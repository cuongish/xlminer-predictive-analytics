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927"/>
  <workbookPr/>
  <mc:AlternateContent xmlns:mc="http://schemas.openxmlformats.org/markup-compatibility/2006">
    <mc:Choice Requires="x15">
      <x15ac:absPath xmlns:x15ac="http://schemas.microsoft.com/office/spreadsheetml/2010/11/ac" url="C:\Users\cuongish\Desktop\"/>
    </mc:Choice>
  </mc:AlternateContent>
  <bookViews>
    <workbookView xWindow="0" yWindow="0" windowWidth="28800" windowHeight="12435" activeTab="5"/>
  </bookViews>
  <sheets>
    <sheet name="Sheet1" sheetId="1" r:id="rId1"/>
    <sheet name="CT_Output" sheetId="10" r:id="rId2"/>
    <sheet name="CT_TrainingScore" sheetId="9" r:id="rId3"/>
    <sheet name="CT_ValidationScore" sheetId="8" r:id="rId4"/>
    <sheet name="CT_PruneLog" sheetId="7" r:id="rId5"/>
    <sheet name="CT_PruneTree" sheetId="6" r:id="rId6"/>
    <sheet name="CT_FullTree" sheetId="5" r:id="rId7"/>
    <sheet name="CT_TrainingLiftChart" sheetId="4" r:id="rId8"/>
    <sheet name="CT_ValidationLiftChart" sheetId="3" r:id="rId9"/>
    <sheet name="CT_Stored" sheetId="2" r:id="rId10"/>
  </sheets>
  <definedNames>
    <definedName name="solver_typ" localSheetId="1" hidden="1">2</definedName>
    <definedName name="solver_ver" localSheetId="1" hidden="1">16</definedName>
    <definedName name="xlm_600_1" localSheetId="0" hidden="1">"'{""wkbk"":""Aalto Exam CART Problem.xlsx"",""wksheet"":""Sheet1"",""data_range"":""$A$1:$I$3101"",""has_header"":true,""cat_cols"":[],""firstRow"":1,""rows"":3100,""train_rows"":1860,""validation_rows"":1240,""test_rows"":0,""isPartitionSheet"":false,""numOutputClasses"":2,""useSucces"</definedName>
    <definedName name="xlm_600_2" localSheetId="0" hidden="1">"'sClass"":true,""successClass"":""1"",""successCutoffProb"":0.25,""partitionData"":true,""usePartitionVar"":false,""useRandomRows"":true,""setSeed"":true,""seedValue"":12345,""trainPct"":60,""validationPct"":40,""testPct"":0,""autoPct"":true,""equalPct"":false,""specifyPct"":false,""n"</definedName>
    <definedName name="xlm_600_3" localSheetId="0" hidden="1">"'ewDataDatabase"":false,""newDataWorksheet"":false,""normalizeInput"":false,""useTreeLimitType"":false,""useMinTermNodesRecs"":true,""minRecsInTermNode"":30,""pruneTree"":true,""priorClassProbabilityCode"":0,""maxTreeDisplayLevels"":7,""fullTree"":true,""bestPrunedTree"":true"</definedName>
    <definedName name="xlm_600_4" localSheetId="0" hidden="1">"',""minErrorTree"":false,""userSpecDecisionNodes"":false,""trainDetailRpt"":true,""trainSummaryRpt"":true,""trainLiftChart"":true,""trainROCCurve"":true,""validationDetailRpt"":true,""validationSummaryRpt"":true,""validationLiftChart"":true,""validROCCurve"":false,""testDetai"</definedName>
    <definedName name="xlm_600_5" localSheetId="0" hidden="1">"'lRpt"":false,""testSummaryRpt"":false,""testLiftChart"":false,""testROCCurve"":false}"</definedName>
    <definedName name="xlm_clnc_1" localSheetId="0" hidden="1">"'{""input_cols"":[{""varName"":""Age""},{""varName"":""Female""},{""varName"":""Lengthofstay""},{""varName"":""Nchronic""},{""varName"":""NPR""},{""varName"":""Race""},{""varName"":""Totalcharges""},{""varName"":""ORProc""}],""output_var"":{""varName"":""Readmit""}}"</definedName>
    <definedName name="XLMFullModelDefinitionBestPruned" localSheetId="9" hidden="1">"B151:O230"</definedName>
    <definedName name="XLMFullModelDefinitionFullGrown" localSheetId="9" hidden="1">"B3:O148"</definedName>
    <definedName name="XLMModelDefinitionBestPruned" localSheetId="9" hidden="1">"B151:C171"</definedName>
    <definedName name="XLMModelDefinitionFullGrown" localSheetId="9" hidden="1">"B3:C23"</definedName>
    <definedName name="XLMModelInputVarsBestPruned" localSheetId="9" hidden="1">"G227:N227"</definedName>
    <definedName name="XLMModelInputVarsFullGrown" localSheetId="9" hidden="1">"G145:N145"</definedName>
    <definedName name="XLMModelInputVarsRoleBestPruned" localSheetId="9" hidden="1">"G228:O228"</definedName>
    <definedName name="XLMModelInputVarsRoleFullGrown" localSheetId="9" hidden="1">"G146:O146"</definedName>
    <definedName name="XLMModelTypeId" localSheetId="9" hidden="1">11</definedName>
  </definedNames>
  <calcPr calcId="17102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H1860" i="10" l="1"/>
  <c r="BG1860" i="10"/>
  <c r="BI1860" i="10" s="1"/>
  <c r="BH1859" i="10"/>
  <c r="BI1859" i="10" s="1"/>
  <c r="BG1859" i="10"/>
  <c r="BH1858" i="10"/>
  <c r="BI1858" i="10" s="1"/>
  <c r="BG1858" i="10"/>
  <c r="BH1857" i="10"/>
  <c r="BG1857" i="10"/>
  <c r="BH1856" i="10"/>
  <c r="BI1856" i="10" s="1"/>
  <c r="BG1856" i="10"/>
  <c r="BI1855" i="10"/>
  <c r="BH1855" i="10"/>
  <c r="BG1855" i="10"/>
  <c r="BI1854" i="10"/>
  <c r="BH1854" i="10"/>
  <c r="BG1854" i="10"/>
  <c r="BH1853" i="10"/>
  <c r="BG1853" i="10"/>
  <c r="BI1853" i="10" s="1"/>
  <c r="BH1852" i="10"/>
  <c r="BG1852" i="10"/>
  <c r="BI1852" i="10" s="1"/>
  <c r="BI1851" i="10"/>
  <c r="BH1851" i="10"/>
  <c r="BG1851" i="10"/>
  <c r="BH1850" i="10"/>
  <c r="BI1850" i="10" s="1"/>
  <c r="BG1850" i="10"/>
  <c r="BH1849" i="10"/>
  <c r="BG1849" i="10"/>
  <c r="BH1848" i="10"/>
  <c r="BI1848" i="10" s="1"/>
  <c r="BG1848" i="10"/>
  <c r="BI1847" i="10"/>
  <c r="BH1847" i="10"/>
  <c r="BG1847" i="10"/>
  <c r="BH1846" i="10"/>
  <c r="BI1846" i="10" s="1"/>
  <c r="BG1846" i="10"/>
  <c r="BI1845" i="10"/>
  <c r="BH1845" i="10"/>
  <c r="BG1845" i="10"/>
  <c r="BH1844" i="10"/>
  <c r="BG1844" i="10"/>
  <c r="BI1844" i="10" s="1"/>
  <c r="BH1843" i="10"/>
  <c r="BI1843" i="10" s="1"/>
  <c r="BG1843" i="10"/>
  <c r="BH1842" i="10"/>
  <c r="BI1842" i="10" s="1"/>
  <c r="BG1842" i="10"/>
  <c r="BH1841" i="10"/>
  <c r="BG1841" i="10"/>
  <c r="BI1841" i="10" s="1"/>
  <c r="BH1840" i="10"/>
  <c r="BI1840" i="10" s="1"/>
  <c r="BG1840" i="10"/>
  <c r="BI1839" i="10"/>
  <c r="BH1839" i="10"/>
  <c r="BG1839" i="10"/>
  <c r="BH1838" i="10"/>
  <c r="BG1838" i="10"/>
  <c r="BI1837" i="10"/>
  <c r="BH1837" i="10"/>
  <c r="BG1837" i="10"/>
  <c r="BH1836" i="10"/>
  <c r="BG1836" i="10"/>
  <c r="BI1836" i="10" s="1"/>
  <c r="BH1835" i="10"/>
  <c r="BG1835" i="10"/>
  <c r="BI1835" i="10" s="1"/>
  <c r="BH1834" i="10"/>
  <c r="BI1834" i="10" s="1"/>
  <c r="BG1834" i="10"/>
  <c r="BH1833" i="10"/>
  <c r="BG1833" i="10"/>
  <c r="BI1833" i="10" s="1"/>
  <c r="BI1832" i="10"/>
  <c r="BH1832" i="10"/>
  <c r="BG1832" i="10"/>
  <c r="BI1831" i="10"/>
  <c r="BH1831" i="10"/>
  <c r="BG1831" i="10"/>
  <c r="BH1830" i="10"/>
  <c r="BI1830" i="10" s="1"/>
  <c r="BG1830" i="10"/>
  <c r="BH1829" i="10"/>
  <c r="BG1829" i="10"/>
  <c r="BI1829" i="10" s="1"/>
  <c r="BH1828" i="10"/>
  <c r="BG1828" i="10"/>
  <c r="BI1828" i="10" s="1"/>
  <c r="BH1827" i="10"/>
  <c r="BI1827" i="10" s="1"/>
  <c r="BG1827" i="10"/>
  <c r="BH1826" i="10"/>
  <c r="BI1826" i="10" s="1"/>
  <c r="BG1826" i="10"/>
  <c r="BH1825" i="10"/>
  <c r="BG1825" i="10"/>
  <c r="BI1825" i="10" s="1"/>
  <c r="BI1824" i="10"/>
  <c r="BH1824" i="10"/>
  <c r="BG1824" i="10"/>
  <c r="BI1823" i="10"/>
  <c r="BH1823" i="10"/>
  <c r="BG1823" i="10"/>
  <c r="BH1822" i="10"/>
  <c r="BG1822" i="10"/>
  <c r="BI1822" i="10" s="1"/>
  <c r="BI1821" i="10"/>
  <c r="BH1821" i="10"/>
  <c r="BG1821" i="10"/>
  <c r="BH1820" i="10"/>
  <c r="BG1820" i="10"/>
  <c r="BI1820" i="10" s="1"/>
  <c r="BH1819" i="10"/>
  <c r="BG1819" i="10"/>
  <c r="BI1819" i="10" s="1"/>
  <c r="BH1818" i="10"/>
  <c r="BI1818" i="10" s="1"/>
  <c r="BG1818" i="10"/>
  <c r="BH1817" i="10"/>
  <c r="BG1817" i="10"/>
  <c r="BI1816" i="10"/>
  <c r="BH1816" i="10"/>
  <c r="BG1816" i="10"/>
  <c r="BI1815" i="10"/>
  <c r="BH1815" i="10"/>
  <c r="BG1815" i="10"/>
  <c r="BH1814" i="10"/>
  <c r="BG1814" i="10"/>
  <c r="BI1814" i="10" s="1"/>
  <c r="BI1813" i="10"/>
  <c r="BH1813" i="10"/>
  <c r="BG1813" i="10"/>
  <c r="BH1812" i="10"/>
  <c r="BG1812" i="10"/>
  <c r="BI1812" i="10" s="1"/>
  <c r="BH1811" i="10"/>
  <c r="BG1811" i="10"/>
  <c r="BI1811" i="10" s="1"/>
  <c r="BH1810" i="10"/>
  <c r="BI1810" i="10" s="1"/>
  <c r="BG1810" i="10"/>
  <c r="BH1809" i="10"/>
  <c r="BG1809" i="10"/>
  <c r="BI1809" i="10" s="1"/>
  <c r="BI1808" i="10"/>
  <c r="BH1808" i="10"/>
  <c r="BG1808" i="10"/>
  <c r="BI1807" i="10"/>
  <c r="BH1807" i="10"/>
  <c r="BG1807" i="10"/>
  <c r="BH1806" i="10"/>
  <c r="BG1806" i="10"/>
  <c r="BI1806" i="10" s="1"/>
  <c r="BH1805" i="10"/>
  <c r="BG1805" i="10"/>
  <c r="BI1805" i="10" s="1"/>
  <c r="BH1804" i="10"/>
  <c r="BG1804" i="10"/>
  <c r="BI1804" i="10" s="1"/>
  <c r="BI1803" i="10"/>
  <c r="BH1803" i="10"/>
  <c r="BG1803" i="10"/>
  <c r="BH1802" i="10"/>
  <c r="BI1802" i="10" s="1"/>
  <c r="BG1802" i="10"/>
  <c r="BH1801" i="10"/>
  <c r="BG1801" i="10"/>
  <c r="BI1800" i="10"/>
  <c r="BH1800" i="10"/>
  <c r="BG1800" i="10"/>
  <c r="BI1799" i="10"/>
  <c r="BH1799" i="10"/>
  <c r="BG1799" i="10"/>
  <c r="BH1798" i="10"/>
  <c r="BG1798" i="10"/>
  <c r="BI1798" i="10" s="1"/>
  <c r="BH1797" i="10"/>
  <c r="BG1797" i="10"/>
  <c r="BI1797" i="10" s="1"/>
  <c r="BH1796" i="10"/>
  <c r="BG1796" i="10"/>
  <c r="BI1796" i="10" s="1"/>
  <c r="BH1795" i="10"/>
  <c r="BG1795" i="10"/>
  <c r="BI1795" i="10" s="1"/>
  <c r="BH1794" i="10"/>
  <c r="BI1794" i="10" s="1"/>
  <c r="BG1794" i="10"/>
  <c r="BH1793" i="10"/>
  <c r="BG1793" i="10"/>
  <c r="BH1792" i="10"/>
  <c r="BI1792" i="10" s="1"/>
  <c r="BG1792" i="10"/>
  <c r="BI1791" i="10"/>
  <c r="BH1791" i="10"/>
  <c r="BG1791" i="10"/>
  <c r="BI1790" i="10"/>
  <c r="BH1790" i="10"/>
  <c r="BG1790" i="10"/>
  <c r="BI1789" i="10"/>
  <c r="BH1789" i="10"/>
  <c r="BG1789" i="10"/>
  <c r="BH1788" i="10"/>
  <c r="BG1788" i="10"/>
  <c r="BI1788" i="10" s="1"/>
  <c r="BI1787" i="10"/>
  <c r="BH1787" i="10"/>
  <c r="BG1787" i="10"/>
  <c r="BH1786" i="10"/>
  <c r="BI1786" i="10" s="1"/>
  <c r="BG1786" i="10"/>
  <c r="BH1785" i="10"/>
  <c r="BG1785" i="10"/>
  <c r="BI1785" i="10" s="1"/>
  <c r="BI1784" i="10"/>
  <c r="BH1784" i="10"/>
  <c r="BG1784" i="10"/>
  <c r="BI1783" i="10"/>
  <c r="BH1783" i="10"/>
  <c r="BG1783" i="10"/>
  <c r="BH1782" i="10"/>
  <c r="BG1782" i="10"/>
  <c r="BI1782" i="10" s="1"/>
  <c r="BI1781" i="10"/>
  <c r="BH1781" i="10"/>
  <c r="BG1781" i="10"/>
  <c r="BH1780" i="10"/>
  <c r="BG1780" i="10"/>
  <c r="BI1780" i="10" s="1"/>
  <c r="BH1779" i="10"/>
  <c r="BG1779" i="10"/>
  <c r="BI1779" i="10" s="1"/>
  <c r="BH1778" i="10"/>
  <c r="BI1778" i="10" s="1"/>
  <c r="BG1778" i="10"/>
  <c r="BH1777" i="10"/>
  <c r="BG1777" i="10"/>
  <c r="BI1777" i="10" s="1"/>
  <c r="BI1776" i="10"/>
  <c r="BH1776" i="10"/>
  <c r="BG1776" i="10"/>
  <c r="BI1775" i="10"/>
  <c r="BH1775" i="10"/>
  <c r="BG1775" i="10"/>
  <c r="BH1774" i="10"/>
  <c r="BG1774" i="10"/>
  <c r="BH1773" i="10"/>
  <c r="BG1773" i="10"/>
  <c r="BI1773" i="10" s="1"/>
  <c r="BH1772" i="10"/>
  <c r="BG1772" i="10"/>
  <c r="BI1772" i="10" s="1"/>
  <c r="BH1771" i="10"/>
  <c r="BG1771" i="10"/>
  <c r="BH1770" i="10"/>
  <c r="BI1770" i="10" s="1"/>
  <c r="BG1770" i="10"/>
  <c r="BH1769" i="10"/>
  <c r="BG1769" i="10"/>
  <c r="BI1769" i="10" s="1"/>
  <c r="BI1768" i="10"/>
  <c r="BH1768" i="10"/>
  <c r="BG1768" i="10"/>
  <c r="BI1767" i="10"/>
  <c r="BH1767" i="10"/>
  <c r="BG1767" i="10"/>
  <c r="BH1766" i="10"/>
  <c r="BI1766" i="10" s="1"/>
  <c r="BG1766" i="10"/>
  <c r="BH1765" i="10"/>
  <c r="BG1765" i="10"/>
  <c r="BI1765" i="10" s="1"/>
  <c r="BH1764" i="10"/>
  <c r="BG1764" i="10"/>
  <c r="BI1764" i="10" s="1"/>
  <c r="BI1763" i="10"/>
  <c r="BH1763" i="10"/>
  <c r="BG1763" i="10"/>
  <c r="BH1762" i="10"/>
  <c r="BI1762" i="10" s="1"/>
  <c r="BG1762" i="10"/>
  <c r="BH1761" i="10"/>
  <c r="BG1761" i="10"/>
  <c r="BI1761" i="10" s="1"/>
  <c r="BI1760" i="10"/>
  <c r="BH1760" i="10"/>
  <c r="BG1760" i="10"/>
  <c r="BI1759" i="10"/>
  <c r="BH1759" i="10"/>
  <c r="BG1759" i="10"/>
  <c r="BH1758" i="10"/>
  <c r="BG1758" i="10"/>
  <c r="BI1758" i="10" s="1"/>
  <c r="BI1757" i="10"/>
  <c r="BH1757" i="10"/>
  <c r="BG1757" i="10"/>
  <c r="BH1756" i="10"/>
  <c r="BG1756" i="10"/>
  <c r="BI1756" i="10" s="1"/>
  <c r="BH1755" i="10"/>
  <c r="BG1755" i="10"/>
  <c r="BI1755" i="10" s="1"/>
  <c r="BH1754" i="10"/>
  <c r="BI1754" i="10" s="1"/>
  <c r="BG1754" i="10"/>
  <c r="BH1753" i="10"/>
  <c r="BG1753" i="10"/>
  <c r="BH1752" i="10"/>
  <c r="BI1752" i="10" s="1"/>
  <c r="BG1752" i="10"/>
  <c r="BI1751" i="10"/>
  <c r="BH1751" i="10"/>
  <c r="BG1751" i="10"/>
  <c r="BH1750" i="10"/>
  <c r="BG1750" i="10"/>
  <c r="BI1750" i="10" s="1"/>
  <c r="BH1749" i="10"/>
  <c r="BG1749" i="10"/>
  <c r="BI1749" i="10" s="1"/>
  <c r="BH1748" i="10"/>
  <c r="BG1748" i="10"/>
  <c r="BI1748" i="10" s="1"/>
  <c r="BH1747" i="10"/>
  <c r="BG1747" i="10"/>
  <c r="BI1747" i="10" s="1"/>
  <c r="BH1746" i="10"/>
  <c r="BI1746" i="10" s="1"/>
  <c r="BG1746" i="10"/>
  <c r="BH1745" i="10"/>
  <c r="BG1745" i="10"/>
  <c r="BI1745" i="10" s="1"/>
  <c r="BI1744" i="10"/>
  <c r="BH1744" i="10"/>
  <c r="BG1744" i="10"/>
  <c r="BI1743" i="10"/>
  <c r="BH1743" i="10"/>
  <c r="BG1743" i="10"/>
  <c r="BH1742" i="10"/>
  <c r="BG1742" i="10"/>
  <c r="BI1742" i="10" s="1"/>
  <c r="BH1741" i="10"/>
  <c r="BG1741" i="10"/>
  <c r="BI1741" i="10" s="1"/>
  <c r="BH1740" i="10"/>
  <c r="BG1740" i="10"/>
  <c r="BI1740" i="10" s="1"/>
  <c r="BH1739" i="10"/>
  <c r="BG1739" i="10"/>
  <c r="BH1738" i="10"/>
  <c r="BI1738" i="10" s="1"/>
  <c r="BG1738" i="10"/>
  <c r="BH1737" i="10"/>
  <c r="BG1737" i="10"/>
  <c r="BI1737" i="10" s="1"/>
  <c r="BI1736" i="10"/>
  <c r="BH1736" i="10"/>
  <c r="BG1736" i="10"/>
  <c r="BI1735" i="10"/>
  <c r="BH1735" i="10"/>
  <c r="BG1735" i="10"/>
  <c r="BH1734" i="10"/>
  <c r="BG1734" i="10"/>
  <c r="BI1734" i="10" s="1"/>
  <c r="BH1733" i="10"/>
  <c r="BG1733" i="10"/>
  <c r="BI1733" i="10" s="1"/>
  <c r="BH1732" i="10"/>
  <c r="BG1732" i="10"/>
  <c r="BI1732" i="10" s="1"/>
  <c r="BH1731" i="10"/>
  <c r="BG1731" i="10"/>
  <c r="BI1731" i="10" s="1"/>
  <c r="BH1730" i="10"/>
  <c r="BI1730" i="10" s="1"/>
  <c r="BG1730" i="10"/>
  <c r="BH1729" i="10"/>
  <c r="BG1729" i="10"/>
  <c r="BH1728" i="10"/>
  <c r="BI1728" i="10" s="1"/>
  <c r="BG1728" i="10"/>
  <c r="BI1727" i="10"/>
  <c r="BH1727" i="10"/>
  <c r="BG1727" i="10"/>
  <c r="BI1726" i="10"/>
  <c r="BH1726" i="10"/>
  <c r="BG1726" i="10"/>
  <c r="BH1725" i="10"/>
  <c r="BG1725" i="10"/>
  <c r="BI1725" i="10" s="1"/>
  <c r="BH1724" i="10"/>
  <c r="BG1724" i="10"/>
  <c r="BI1724" i="10" s="1"/>
  <c r="BI1723" i="10"/>
  <c r="BH1723" i="10"/>
  <c r="BG1723" i="10"/>
  <c r="BH1722" i="10"/>
  <c r="BI1722" i="10" s="1"/>
  <c r="BG1722" i="10"/>
  <c r="BH1721" i="10"/>
  <c r="BG1721" i="10"/>
  <c r="BI1721" i="10" s="1"/>
  <c r="BH1720" i="10"/>
  <c r="BI1720" i="10" s="1"/>
  <c r="BG1720" i="10"/>
  <c r="BI1719" i="10"/>
  <c r="BH1719" i="10"/>
  <c r="BG1719" i="10"/>
  <c r="BI1718" i="10"/>
  <c r="BH1718" i="10"/>
  <c r="BG1718" i="10"/>
  <c r="BI1717" i="10"/>
  <c r="BH1717" i="10"/>
  <c r="BG1717" i="10"/>
  <c r="BH1716" i="10"/>
  <c r="BG1716" i="10"/>
  <c r="BI1716" i="10" s="1"/>
  <c r="BI1715" i="10"/>
  <c r="BH1715" i="10"/>
  <c r="BG1715" i="10"/>
  <c r="BH1714" i="10"/>
  <c r="BI1714" i="10" s="1"/>
  <c r="BG1714" i="10"/>
  <c r="BH1713" i="10"/>
  <c r="BG1713" i="10"/>
  <c r="BI1713" i="10" s="1"/>
  <c r="BH1712" i="10"/>
  <c r="BI1712" i="10" s="1"/>
  <c r="BG1712" i="10"/>
  <c r="BI1711" i="10"/>
  <c r="BH1711" i="10"/>
  <c r="BG1711" i="10"/>
  <c r="BH1710" i="10"/>
  <c r="BG1710" i="10"/>
  <c r="BH1709" i="10"/>
  <c r="BG1709" i="10"/>
  <c r="BI1709" i="10" s="1"/>
  <c r="BH1708" i="10"/>
  <c r="BG1708" i="10"/>
  <c r="BI1708" i="10" s="1"/>
  <c r="BH1707" i="10"/>
  <c r="BG1707" i="10"/>
  <c r="BI1707" i="10" s="1"/>
  <c r="BH1706" i="10"/>
  <c r="BI1706" i="10" s="1"/>
  <c r="BG1706" i="10"/>
  <c r="BH1705" i="10"/>
  <c r="BG1705" i="10"/>
  <c r="BI1704" i="10"/>
  <c r="BH1704" i="10"/>
  <c r="BG1704" i="10"/>
  <c r="BI1703" i="10"/>
  <c r="BH1703" i="10"/>
  <c r="BG1703" i="10"/>
  <c r="BI1702" i="10"/>
  <c r="BH1702" i="10"/>
  <c r="BG1702" i="10"/>
  <c r="BH1701" i="10"/>
  <c r="BG1701" i="10"/>
  <c r="BI1701" i="10" s="1"/>
  <c r="BH1700" i="10"/>
  <c r="BG1700" i="10"/>
  <c r="BI1700" i="10" s="1"/>
  <c r="BH1699" i="10"/>
  <c r="BI1699" i="10" s="1"/>
  <c r="BG1699" i="10"/>
  <c r="BH1698" i="10"/>
  <c r="BI1698" i="10" s="1"/>
  <c r="BG1698" i="10"/>
  <c r="BH1697" i="10"/>
  <c r="BG1697" i="10"/>
  <c r="BI1697" i="10" s="1"/>
  <c r="BI1696" i="10"/>
  <c r="BH1696" i="10"/>
  <c r="BG1696" i="10"/>
  <c r="BI1695" i="10"/>
  <c r="BH1695" i="10"/>
  <c r="BG1695" i="10"/>
  <c r="BH1694" i="10"/>
  <c r="BI1694" i="10" s="1"/>
  <c r="BG1694" i="10"/>
  <c r="BI1693" i="10"/>
  <c r="BH1693" i="10"/>
  <c r="BG1693" i="10"/>
  <c r="BH1692" i="10"/>
  <c r="BG1692" i="10"/>
  <c r="BI1692" i="10" s="1"/>
  <c r="BH1691" i="10"/>
  <c r="BI1691" i="10" s="1"/>
  <c r="BG1691" i="10"/>
  <c r="BH1690" i="10"/>
  <c r="BI1690" i="10" s="1"/>
  <c r="BG1690" i="10"/>
  <c r="BH1689" i="10"/>
  <c r="BG1689" i="10"/>
  <c r="BI1688" i="10"/>
  <c r="BH1688" i="10"/>
  <c r="BG1688" i="10"/>
  <c r="BI1687" i="10"/>
  <c r="BH1687" i="10"/>
  <c r="BG1687" i="10"/>
  <c r="BH1686" i="10"/>
  <c r="BG1686" i="10"/>
  <c r="BI1686" i="10" s="1"/>
  <c r="BI1685" i="10"/>
  <c r="BH1685" i="10"/>
  <c r="BG1685" i="10"/>
  <c r="BH1684" i="10"/>
  <c r="BG1684" i="10"/>
  <c r="BI1684" i="10" s="1"/>
  <c r="BH1683" i="10"/>
  <c r="BG1683" i="10"/>
  <c r="BI1683" i="10" s="1"/>
  <c r="BH1682" i="10"/>
  <c r="BI1682" i="10" s="1"/>
  <c r="BG1682" i="10"/>
  <c r="BH1681" i="10"/>
  <c r="BG1681" i="10"/>
  <c r="BI1681" i="10" s="1"/>
  <c r="BI1680" i="10"/>
  <c r="BH1680" i="10"/>
  <c r="BG1680" i="10"/>
  <c r="BI1679" i="10"/>
  <c r="BH1679" i="10"/>
  <c r="BG1679" i="10"/>
  <c r="BH1678" i="10"/>
  <c r="BI1678" i="10" s="1"/>
  <c r="BG1678" i="10"/>
  <c r="BH1677" i="10"/>
  <c r="BG1677" i="10"/>
  <c r="BI1677" i="10" s="1"/>
  <c r="BH1676" i="10"/>
  <c r="BG1676" i="10"/>
  <c r="BI1676" i="10" s="1"/>
  <c r="BI1675" i="10"/>
  <c r="BH1675" i="10"/>
  <c r="BG1675" i="10"/>
  <c r="BH1674" i="10"/>
  <c r="BI1674" i="10" s="1"/>
  <c r="BG1674" i="10"/>
  <c r="BH1673" i="10"/>
  <c r="BG1673" i="10"/>
  <c r="BI1673" i="10" s="1"/>
  <c r="BH1672" i="10"/>
  <c r="BI1672" i="10" s="1"/>
  <c r="BG1672" i="10"/>
  <c r="BI1671" i="10"/>
  <c r="BH1671" i="10"/>
  <c r="BG1671" i="10"/>
  <c r="BH1670" i="10"/>
  <c r="BI1670" i="10" s="1"/>
  <c r="BG1670" i="10"/>
  <c r="BI1669" i="10"/>
  <c r="BH1669" i="10"/>
  <c r="BG1669" i="10"/>
  <c r="BH1668" i="10"/>
  <c r="BG1668" i="10"/>
  <c r="BI1668" i="10" s="1"/>
  <c r="BH1667" i="10"/>
  <c r="BI1667" i="10" s="1"/>
  <c r="BG1667" i="10"/>
  <c r="BH1666" i="10"/>
  <c r="BI1666" i="10" s="1"/>
  <c r="BG1666" i="10"/>
  <c r="BH1665" i="10"/>
  <c r="BG1665" i="10"/>
  <c r="BH1664" i="10"/>
  <c r="BI1664" i="10" s="1"/>
  <c r="BG1664" i="10"/>
  <c r="BI1663" i="10"/>
  <c r="BH1663" i="10"/>
  <c r="BG1663" i="10"/>
  <c r="BI1662" i="10"/>
  <c r="BH1662" i="10"/>
  <c r="BG1662" i="10"/>
  <c r="BH1661" i="10"/>
  <c r="BG1661" i="10"/>
  <c r="BI1661" i="10" s="1"/>
  <c r="BH1660" i="10"/>
  <c r="BG1660" i="10"/>
  <c r="BI1660" i="10" s="1"/>
  <c r="BI1659" i="10"/>
  <c r="BH1659" i="10"/>
  <c r="BG1659" i="10"/>
  <c r="BH1658" i="10"/>
  <c r="BI1658" i="10" s="1"/>
  <c r="BG1658" i="10"/>
  <c r="BH1657" i="10"/>
  <c r="BG1657" i="10"/>
  <c r="BI1656" i="10"/>
  <c r="BH1656" i="10"/>
  <c r="BG1656" i="10"/>
  <c r="BI1655" i="10"/>
  <c r="BH1655" i="10"/>
  <c r="BG1655" i="10"/>
  <c r="BH1654" i="10"/>
  <c r="BG1654" i="10"/>
  <c r="BI1654" i="10" s="1"/>
  <c r="BI1653" i="10"/>
  <c r="BH1653" i="10"/>
  <c r="BG1653" i="10"/>
  <c r="BH1652" i="10"/>
  <c r="BG1652" i="10"/>
  <c r="BI1652" i="10" s="1"/>
  <c r="BH1651" i="10"/>
  <c r="BG1651" i="10"/>
  <c r="BI1651" i="10" s="1"/>
  <c r="BH1650" i="10"/>
  <c r="BI1650" i="10" s="1"/>
  <c r="BG1650" i="10"/>
  <c r="BH1649" i="10"/>
  <c r="BG1649" i="10"/>
  <c r="BI1649" i="10" s="1"/>
  <c r="BH1648" i="10"/>
  <c r="BI1648" i="10" s="1"/>
  <c r="BG1648" i="10"/>
  <c r="BI1647" i="10"/>
  <c r="BH1647" i="10"/>
  <c r="BG1647" i="10"/>
  <c r="BH1646" i="10"/>
  <c r="BG1646" i="10"/>
  <c r="BI1645" i="10"/>
  <c r="BH1645" i="10"/>
  <c r="BG1645" i="10"/>
  <c r="BH1644" i="10"/>
  <c r="BG1644" i="10"/>
  <c r="BI1644" i="10" s="1"/>
  <c r="BH1643" i="10"/>
  <c r="BG1643" i="10"/>
  <c r="BH1642" i="10"/>
  <c r="BI1642" i="10" s="1"/>
  <c r="BG1642" i="10"/>
  <c r="BH1641" i="10"/>
  <c r="BG1641" i="10"/>
  <c r="BI1640" i="10"/>
  <c r="BH1640" i="10"/>
  <c r="BG1640" i="10"/>
  <c r="BI1639" i="10"/>
  <c r="BH1639" i="10"/>
  <c r="BG1639" i="10"/>
  <c r="BI1638" i="10"/>
  <c r="BH1638" i="10"/>
  <c r="BG1638" i="10"/>
  <c r="BH1637" i="10"/>
  <c r="BG1637" i="10"/>
  <c r="BI1637" i="10" s="1"/>
  <c r="BH1636" i="10"/>
  <c r="BG1636" i="10"/>
  <c r="BI1636" i="10" s="1"/>
  <c r="BH1635" i="10"/>
  <c r="BI1635" i="10" s="1"/>
  <c r="BG1635" i="10"/>
  <c r="BH1634" i="10"/>
  <c r="BI1634" i="10" s="1"/>
  <c r="BG1634" i="10"/>
  <c r="BH1633" i="10"/>
  <c r="BG1633" i="10"/>
  <c r="BH1632" i="10"/>
  <c r="BI1632" i="10" s="1"/>
  <c r="BG1632" i="10"/>
  <c r="BI1631" i="10"/>
  <c r="BH1631" i="10"/>
  <c r="BG1631" i="10"/>
  <c r="BI1630" i="10"/>
  <c r="BH1630" i="10"/>
  <c r="BG1630" i="10"/>
  <c r="BI1629" i="10"/>
  <c r="BH1629" i="10"/>
  <c r="BG1629" i="10"/>
  <c r="BH1628" i="10"/>
  <c r="BG1628" i="10"/>
  <c r="BI1628" i="10" s="1"/>
  <c r="BI1627" i="10"/>
  <c r="BH1627" i="10"/>
  <c r="BG1627" i="10"/>
  <c r="BH1626" i="10"/>
  <c r="BI1626" i="10" s="1"/>
  <c r="BG1626" i="10"/>
  <c r="BH1625" i="10"/>
  <c r="BG1625" i="10"/>
  <c r="BI1624" i="10"/>
  <c r="BH1624" i="10"/>
  <c r="BG1624" i="10"/>
  <c r="BI1623" i="10"/>
  <c r="BH1623" i="10"/>
  <c r="BG1623" i="10"/>
  <c r="BH1622" i="10"/>
  <c r="BG1622" i="10"/>
  <c r="BI1622" i="10" s="1"/>
  <c r="BI1621" i="10"/>
  <c r="BH1621" i="10"/>
  <c r="BG1621" i="10"/>
  <c r="BH1620" i="10"/>
  <c r="BG1620" i="10"/>
  <c r="BI1620" i="10" s="1"/>
  <c r="BH1619" i="10"/>
  <c r="BG1619" i="10"/>
  <c r="BI1619" i="10" s="1"/>
  <c r="BH1618" i="10"/>
  <c r="BI1618" i="10" s="1"/>
  <c r="BG1618" i="10"/>
  <c r="BH1617" i="10"/>
  <c r="BG1617" i="10"/>
  <c r="BI1616" i="10"/>
  <c r="BH1616" i="10"/>
  <c r="BG1616" i="10"/>
  <c r="BI1615" i="10"/>
  <c r="BH1615" i="10"/>
  <c r="BG1615" i="10"/>
  <c r="BI1614" i="10"/>
  <c r="BH1614" i="10"/>
  <c r="BG1614" i="10"/>
  <c r="BH1613" i="10"/>
  <c r="BG1613" i="10"/>
  <c r="BI1613" i="10" s="1"/>
  <c r="BH1612" i="10"/>
  <c r="BG1612" i="10"/>
  <c r="BI1612" i="10" s="1"/>
  <c r="BI1611" i="10"/>
  <c r="BH1611" i="10"/>
  <c r="BG1611" i="10"/>
  <c r="BH1610" i="10"/>
  <c r="BI1610" i="10" s="1"/>
  <c r="BG1610" i="10"/>
  <c r="BH1609" i="10"/>
  <c r="BG1609" i="10"/>
  <c r="BH1608" i="10"/>
  <c r="BI1608" i="10" s="1"/>
  <c r="BG1608" i="10"/>
  <c r="BI1607" i="10"/>
  <c r="BH1607" i="10"/>
  <c r="BG1607" i="10"/>
  <c r="BH1606" i="10"/>
  <c r="BG1606" i="10"/>
  <c r="BI1606" i="10" s="1"/>
  <c r="BI1605" i="10"/>
  <c r="BH1605" i="10"/>
  <c r="BG1605" i="10"/>
  <c r="BH1604" i="10"/>
  <c r="BG1604" i="10"/>
  <c r="BI1604" i="10" s="1"/>
  <c r="BH1603" i="10"/>
  <c r="BG1603" i="10"/>
  <c r="BI1603" i="10" s="1"/>
  <c r="BH1602" i="10"/>
  <c r="BI1602" i="10" s="1"/>
  <c r="BG1602" i="10"/>
  <c r="BH1601" i="10"/>
  <c r="BG1601" i="10"/>
  <c r="BH1600" i="10"/>
  <c r="BI1600" i="10" s="1"/>
  <c r="BG1600" i="10"/>
  <c r="BI1599" i="10"/>
  <c r="BH1599" i="10"/>
  <c r="BG1599" i="10"/>
  <c r="BI1598" i="10"/>
  <c r="BH1598" i="10"/>
  <c r="BG1598" i="10"/>
  <c r="BI1597" i="10"/>
  <c r="BH1597" i="10"/>
  <c r="BG1597" i="10"/>
  <c r="BH1596" i="10"/>
  <c r="BG1596" i="10"/>
  <c r="BI1596" i="10" s="1"/>
  <c r="BI1595" i="10"/>
  <c r="BH1595" i="10"/>
  <c r="BG1595" i="10"/>
  <c r="BH1594" i="10"/>
  <c r="BI1594" i="10" s="1"/>
  <c r="BG1594" i="10"/>
  <c r="BH1593" i="10"/>
  <c r="BG1593" i="10"/>
  <c r="BI1593" i="10" s="1"/>
  <c r="BI1592" i="10"/>
  <c r="BH1592" i="10"/>
  <c r="BG1592" i="10"/>
  <c r="BI1591" i="10"/>
  <c r="BH1591" i="10"/>
  <c r="BG1591" i="10"/>
  <c r="BH1590" i="10"/>
  <c r="BG1590" i="10"/>
  <c r="BI1590" i="10" s="1"/>
  <c r="BI1589" i="10"/>
  <c r="BH1589" i="10"/>
  <c r="BG1589" i="10"/>
  <c r="BH1588" i="10"/>
  <c r="BG1588" i="10"/>
  <c r="BI1588" i="10" s="1"/>
  <c r="BH1587" i="10"/>
  <c r="BG1587" i="10"/>
  <c r="BI1587" i="10" s="1"/>
  <c r="BH1586" i="10"/>
  <c r="BI1586" i="10" s="1"/>
  <c r="BG1586" i="10"/>
  <c r="BH1585" i="10"/>
  <c r="BG1585" i="10"/>
  <c r="BI1585" i="10" s="1"/>
  <c r="BI1584" i="10"/>
  <c r="BH1584" i="10"/>
  <c r="BG1584" i="10"/>
  <c r="BI1583" i="10"/>
  <c r="BH1583" i="10"/>
  <c r="BG1583" i="10"/>
  <c r="BH1582" i="10"/>
  <c r="BG1582" i="10"/>
  <c r="BI1582" i="10" s="1"/>
  <c r="BH1581" i="10"/>
  <c r="BG1581" i="10"/>
  <c r="BI1581" i="10" s="1"/>
  <c r="BH1580" i="10"/>
  <c r="BG1580" i="10"/>
  <c r="BI1580" i="10" s="1"/>
  <c r="BH1579" i="10"/>
  <c r="BG1579" i="10"/>
  <c r="BH1578" i="10"/>
  <c r="BI1578" i="10" s="1"/>
  <c r="BG1578" i="10"/>
  <c r="BH1577" i="10"/>
  <c r="BG1577" i="10"/>
  <c r="BI1577" i="10" s="1"/>
  <c r="BI1576" i="10"/>
  <c r="BH1576" i="10"/>
  <c r="BG1576" i="10"/>
  <c r="BI1575" i="10"/>
  <c r="BH1575" i="10"/>
  <c r="BG1575" i="10"/>
  <c r="BH1574" i="10"/>
  <c r="BI1574" i="10" s="1"/>
  <c r="BG1574" i="10"/>
  <c r="BH1573" i="10"/>
  <c r="BG1573" i="10"/>
  <c r="BI1573" i="10" s="1"/>
  <c r="BH1572" i="10"/>
  <c r="BG1572" i="10"/>
  <c r="BI1572" i="10" s="1"/>
  <c r="BI1571" i="10"/>
  <c r="BH1571" i="10"/>
  <c r="BG1571" i="10"/>
  <c r="BH1570" i="10"/>
  <c r="BI1570" i="10" s="1"/>
  <c r="BG1570" i="10"/>
  <c r="BH1569" i="10"/>
  <c r="BG1569" i="10"/>
  <c r="BH1568" i="10"/>
  <c r="BI1568" i="10" s="1"/>
  <c r="BG1568" i="10"/>
  <c r="BI1567" i="10"/>
  <c r="BH1567" i="10"/>
  <c r="BG1567" i="10"/>
  <c r="BH1566" i="10"/>
  <c r="BG1566" i="10"/>
  <c r="BI1566" i="10" s="1"/>
  <c r="BI1565" i="10"/>
  <c r="BH1565" i="10"/>
  <c r="BG1565" i="10"/>
  <c r="BH1564" i="10"/>
  <c r="BG1564" i="10"/>
  <c r="BI1564" i="10" s="1"/>
  <c r="BH1563" i="10"/>
  <c r="BG1563" i="10"/>
  <c r="BI1563" i="10" s="1"/>
  <c r="BH1562" i="10"/>
  <c r="BI1562" i="10" s="1"/>
  <c r="BG1562" i="10"/>
  <c r="BH1561" i="10"/>
  <c r="BG1561" i="10"/>
  <c r="BI1560" i="10"/>
  <c r="BH1560" i="10"/>
  <c r="BG1560" i="10"/>
  <c r="BI1559" i="10"/>
  <c r="BH1559" i="10"/>
  <c r="BG1559" i="10"/>
  <c r="BH1558" i="10"/>
  <c r="BG1558" i="10"/>
  <c r="BI1558" i="10" s="1"/>
  <c r="BI1557" i="10"/>
  <c r="BH1557" i="10"/>
  <c r="BG1557" i="10"/>
  <c r="BH1556" i="10"/>
  <c r="BG1556" i="10"/>
  <c r="BI1556" i="10" s="1"/>
  <c r="BH1555" i="10"/>
  <c r="BG1555" i="10"/>
  <c r="BI1555" i="10" s="1"/>
  <c r="BH1554" i="10"/>
  <c r="BI1554" i="10" s="1"/>
  <c r="BG1554" i="10"/>
  <c r="BH1553" i="10"/>
  <c r="BG1553" i="10"/>
  <c r="BI1552" i="10"/>
  <c r="BH1552" i="10"/>
  <c r="BG1552" i="10"/>
  <c r="BI1551" i="10"/>
  <c r="BH1551" i="10"/>
  <c r="BG1551" i="10"/>
  <c r="BH1550" i="10"/>
  <c r="BG1550" i="10"/>
  <c r="BI1550" i="10" s="1"/>
  <c r="BH1549" i="10"/>
  <c r="BG1549" i="10"/>
  <c r="BI1549" i="10" s="1"/>
  <c r="BH1548" i="10"/>
  <c r="BG1548" i="10"/>
  <c r="BI1548" i="10" s="1"/>
  <c r="BI1547" i="10"/>
  <c r="BH1547" i="10"/>
  <c r="BG1547" i="10"/>
  <c r="BH1546" i="10"/>
  <c r="BI1546" i="10" s="1"/>
  <c r="BG1546" i="10"/>
  <c r="BH1545" i="10"/>
  <c r="BG1545" i="10"/>
  <c r="BI1545" i="10" s="1"/>
  <c r="BI1544" i="10"/>
  <c r="BH1544" i="10"/>
  <c r="BG1544" i="10"/>
  <c r="BI1543" i="10"/>
  <c r="BH1543" i="10"/>
  <c r="BG1543" i="10"/>
  <c r="BH1542" i="10"/>
  <c r="BG1542" i="10"/>
  <c r="BI1541" i="10"/>
  <c r="BH1541" i="10"/>
  <c r="BG1541" i="10"/>
  <c r="BH1540" i="10"/>
  <c r="BG1540" i="10"/>
  <c r="BI1540" i="10" s="1"/>
  <c r="BH1539" i="10"/>
  <c r="BG1539" i="10"/>
  <c r="BI1539" i="10" s="1"/>
  <c r="BH1538" i="10"/>
  <c r="BI1538" i="10" s="1"/>
  <c r="BG1538" i="10"/>
  <c r="BH1537" i="10"/>
  <c r="BG1537" i="10"/>
  <c r="BH1536" i="10"/>
  <c r="BI1536" i="10" s="1"/>
  <c r="BG1536" i="10"/>
  <c r="BI1535" i="10"/>
  <c r="BH1535" i="10"/>
  <c r="BG1535" i="10"/>
  <c r="BI1534" i="10"/>
  <c r="BH1534" i="10"/>
  <c r="BG1534" i="10"/>
  <c r="BH1533" i="10"/>
  <c r="BG1533" i="10"/>
  <c r="BI1533" i="10" s="1"/>
  <c r="BH1532" i="10"/>
  <c r="BG1532" i="10"/>
  <c r="BI1532" i="10" s="1"/>
  <c r="BI1531" i="10"/>
  <c r="BH1531" i="10"/>
  <c r="BG1531" i="10"/>
  <c r="BH1530" i="10"/>
  <c r="BI1530" i="10" s="1"/>
  <c r="BG1530" i="10"/>
  <c r="BH1529" i="10"/>
  <c r="BG1529" i="10"/>
  <c r="BI1528" i="10"/>
  <c r="BH1528" i="10"/>
  <c r="BG1528" i="10"/>
  <c r="BI1527" i="10"/>
  <c r="BH1527" i="10"/>
  <c r="BG1527" i="10"/>
  <c r="BI1526" i="10"/>
  <c r="BH1526" i="10"/>
  <c r="BG1526" i="10"/>
  <c r="BI1525" i="10"/>
  <c r="BH1525" i="10"/>
  <c r="BG1525" i="10"/>
  <c r="BH1524" i="10"/>
  <c r="BG1524" i="10"/>
  <c r="BI1524" i="10" s="1"/>
  <c r="BI1523" i="10"/>
  <c r="BH1523" i="10"/>
  <c r="BG1523" i="10"/>
  <c r="BH1522" i="10"/>
  <c r="BI1522" i="10" s="1"/>
  <c r="BG1522" i="10"/>
  <c r="BH1521" i="10"/>
  <c r="BG1521" i="10"/>
  <c r="BI1521" i="10" s="1"/>
  <c r="BH1520" i="10"/>
  <c r="BI1520" i="10" s="1"/>
  <c r="BG1520" i="10"/>
  <c r="BI1519" i="10"/>
  <c r="BH1519" i="10"/>
  <c r="BG1519" i="10"/>
  <c r="BH1518" i="10"/>
  <c r="BG1518" i="10"/>
  <c r="BI1518" i="10" s="1"/>
  <c r="BH1517" i="10"/>
  <c r="BG1517" i="10"/>
  <c r="BI1517" i="10" s="1"/>
  <c r="BH1516" i="10"/>
  <c r="BG1516" i="10"/>
  <c r="BI1516" i="10" s="1"/>
  <c r="BH1515" i="10"/>
  <c r="BG1515" i="10"/>
  <c r="BI1515" i="10" s="1"/>
  <c r="BH1514" i="10"/>
  <c r="BI1514" i="10" s="1"/>
  <c r="BG1514" i="10"/>
  <c r="BH1513" i="10"/>
  <c r="BG1513" i="10"/>
  <c r="BI1513" i="10" s="1"/>
  <c r="BI1512" i="10"/>
  <c r="BH1512" i="10"/>
  <c r="BG1512" i="10"/>
  <c r="BI1511" i="10"/>
  <c r="BH1511" i="10"/>
  <c r="BG1511" i="10"/>
  <c r="BH1510" i="10"/>
  <c r="BI1510" i="10" s="1"/>
  <c r="BG1510" i="10"/>
  <c r="BH1509" i="10"/>
  <c r="BG1509" i="10"/>
  <c r="BI1509" i="10" s="1"/>
  <c r="BH1508" i="10"/>
  <c r="BG1508" i="10"/>
  <c r="BI1508" i="10" s="1"/>
  <c r="BH1507" i="10"/>
  <c r="BI1507" i="10" s="1"/>
  <c r="BG1507" i="10"/>
  <c r="BH1506" i="10"/>
  <c r="BI1506" i="10" s="1"/>
  <c r="BG1506" i="10"/>
  <c r="BH1505" i="10"/>
  <c r="BG1505" i="10"/>
  <c r="BI1505" i="10" s="1"/>
  <c r="BI1504" i="10"/>
  <c r="BH1504" i="10"/>
  <c r="BG1504" i="10"/>
  <c r="BI1503" i="10"/>
  <c r="BH1503" i="10"/>
  <c r="BG1503" i="10"/>
  <c r="BH1502" i="10"/>
  <c r="BG1502" i="10"/>
  <c r="BI1501" i="10"/>
  <c r="BH1501" i="10"/>
  <c r="BG1501" i="10"/>
  <c r="BH1500" i="10"/>
  <c r="BG1500" i="10"/>
  <c r="BI1500" i="10" s="1"/>
  <c r="BH1499" i="10"/>
  <c r="BG1499" i="10"/>
  <c r="BI1499" i="10" s="1"/>
  <c r="BH1498" i="10"/>
  <c r="BI1498" i="10" s="1"/>
  <c r="BG1498" i="10"/>
  <c r="BH1497" i="10"/>
  <c r="BG1497" i="10"/>
  <c r="BI1496" i="10"/>
  <c r="BH1496" i="10"/>
  <c r="BG1496" i="10"/>
  <c r="BI1495" i="10"/>
  <c r="BH1495" i="10"/>
  <c r="BG1495" i="10"/>
  <c r="BH1494" i="10"/>
  <c r="BG1494" i="10"/>
  <c r="BI1494" i="10" s="1"/>
  <c r="BH1493" i="10"/>
  <c r="BG1493" i="10"/>
  <c r="BI1493" i="10" s="1"/>
  <c r="BH1492" i="10"/>
  <c r="BG1492" i="10"/>
  <c r="BI1492" i="10" s="1"/>
  <c r="BH1491" i="10"/>
  <c r="BG1491" i="10"/>
  <c r="BI1491" i="10" s="1"/>
  <c r="BH1490" i="10"/>
  <c r="BI1490" i="10" s="1"/>
  <c r="BG1490" i="10"/>
  <c r="BH1489" i="10"/>
  <c r="BG1489" i="10"/>
  <c r="BI1489" i="10" s="1"/>
  <c r="BI1488" i="10"/>
  <c r="BH1488" i="10"/>
  <c r="BG1488" i="10"/>
  <c r="BI1487" i="10"/>
  <c r="BH1487" i="10"/>
  <c r="BG1487" i="10"/>
  <c r="BH1486" i="10"/>
  <c r="BG1486" i="10"/>
  <c r="BI1486" i="10" s="1"/>
  <c r="BH1485" i="10"/>
  <c r="BG1485" i="10"/>
  <c r="BI1485" i="10" s="1"/>
  <c r="BH1484" i="10"/>
  <c r="BG1484" i="10"/>
  <c r="BI1484" i="10" s="1"/>
  <c r="BH1483" i="10"/>
  <c r="BG1483" i="10"/>
  <c r="BI1483" i="10" s="1"/>
  <c r="BH1482" i="10"/>
  <c r="BI1482" i="10" s="1"/>
  <c r="BG1482" i="10"/>
  <c r="BH1481" i="10"/>
  <c r="BG1481" i="10"/>
  <c r="BI1481" i="10" s="1"/>
  <c r="BI1480" i="10"/>
  <c r="BH1480" i="10"/>
  <c r="BG1480" i="10"/>
  <c r="BI1479" i="10"/>
  <c r="BH1479" i="10"/>
  <c r="BG1479" i="10"/>
  <c r="BH1478" i="10"/>
  <c r="BI1478" i="10" s="1"/>
  <c r="BG1478" i="10"/>
  <c r="BH1477" i="10"/>
  <c r="BG1477" i="10"/>
  <c r="BI1477" i="10" s="1"/>
  <c r="BH1476" i="10"/>
  <c r="BG1476" i="10"/>
  <c r="BI1476" i="10" s="1"/>
  <c r="BH1475" i="10"/>
  <c r="BG1475" i="10"/>
  <c r="BH1474" i="10"/>
  <c r="BI1474" i="10" s="1"/>
  <c r="BG1474" i="10"/>
  <c r="BH1473" i="10"/>
  <c r="BG1473" i="10"/>
  <c r="BH1472" i="10"/>
  <c r="BI1472" i="10" s="1"/>
  <c r="BG1472" i="10"/>
  <c r="BI1471" i="10"/>
  <c r="BH1471" i="10"/>
  <c r="BG1471" i="10"/>
  <c r="BI1470" i="10"/>
  <c r="BH1470" i="10"/>
  <c r="BG1470" i="10"/>
  <c r="BH1469" i="10"/>
  <c r="BG1469" i="10"/>
  <c r="BI1469" i="10" s="1"/>
  <c r="BH1468" i="10"/>
  <c r="BG1468" i="10"/>
  <c r="BI1468" i="10" s="1"/>
  <c r="BI1467" i="10"/>
  <c r="BH1467" i="10"/>
  <c r="BG1467" i="10"/>
  <c r="BH1466" i="10"/>
  <c r="BI1466" i="10" s="1"/>
  <c r="BG1466" i="10"/>
  <c r="BH1465" i="10"/>
  <c r="BG1465" i="10"/>
  <c r="BI1465" i="10" s="1"/>
  <c r="BI1464" i="10"/>
  <c r="BH1464" i="10"/>
  <c r="BG1464" i="10"/>
  <c r="BI1463" i="10"/>
  <c r="BH1463" i="10"/>
  <c r="BG1463" i="10"/>
  <c r="BH1462" i="10"/>
  <c r="BI1462" i="10" s="1"/>
  <c r="BG1462" i="10"/>
  <c r="BI1461" i="10"/>
  <c r="BH1461" i="10"/>
  <c r="BG1461" i="10"/>
  <c r="BH1460" i="10"/>
  <c r="BG1460" i="10"/>
  <c r="BI1460" i="10" s="1"/>
  <c r="BH1459" i="10"/>
  <c r="BI1459" i="10" s="1"/>
  <c r="BG1459" i="10"/>
  <c r="BH1458" i="10"/>
  <c r="BI1458" i="10" s="1"/>
  <c r="BG1458" i="10"/>
  <c r="BH1457" i="10"/>
  <c r="BG1457" i="10"/>
  <c r="BI1457" i="10" s="1"/>
  <c r="BH1456" i="10"/>
  <c r="BI1456" i="10" s="1"/>
  <c r="BG1456" i="10"/>
  <c r="BI1455" i="10"/>
  <c r="BH1455" i="10"/>
  <c r="BG1455" i="10"/>
  <c r="BH1454" i="10"/>
  <c r="BG1454" i="10"/>
  <c r="BH1453" i="10"/>
  <c r="BG1453" i="10"/>
  <c r="BI1453" i="10" s="1"/>
  <c r="BH1452" i="10"/>
  <c r="BG1452" i="10"/>
  <c r="BI1452" i="10" s="1"/>
  <c r="BH1451" i="10"/>
  <c r="BG1451" i="10"/>
  <c r="BH1450" i="10"/>
  <c r="BI1450" i="10" s="1"/>
  <c r="BG1450" i="10"/>
  <c r="BH1449" i="10"/>
  <c r="BG1449" i="10"/>
  <c r="BI1448" i="10"/>
  <c r="BH1448" i="10"/>
  <c r="BG1448" i="10"/>
  <c r="BI1447" i="10"/>
  <c r="BH1447" i="10"/>
  <c r="BG1447" i="10"/>
  <c r="BI1446" i="10"/>
  <c r="BH1446" i="10"/>
  <c r="BG1446" i="10"/>
  <c r="BH1445" i="10"/>
  <c r="BG1445" i="10"/>
  <c r="BI1445" i="10" s="1"/>
  <c r="BH1444" i="10"/>
  <c r="BG1444" i="10"/>
  <c r="BI1444" i="10" s="1"/>
  <c r="BH1443" i="10"/>
  <c r="BI1443" i="10" s="1"/>
  <c r="BG1443" i="10"/>
  <c r="BH1442" i="10"/>
  <c r="BI1442" i="10" s="1"/>
  <c r="BG1442" i="10"/>
  <c r="BH1441" i="10"/>
  <c r="BG1441" i="10"/>
  <c r="BH1440" i="10"/>
  <c r="BI1440" i="10" s="1"/>
  <c r="BG1440" i="10"/>
  <c r="BI1439" i="10"/>
  <c r="BH1439" i="10"/>
  <c r="BG1439" i="10"/>
  <c r="BH1438" i="10"/>
  <c r="BI1438" i="10" s="1"/>
  <c r="BG1438" i="10"/>
  <c r="BI1437" i="10"/>
  <c r="BH1437" i="10"/>
  <c r="BG1437" i="10"/>
  <c r="BH1436" i="10"/>
  <c r="BG1436" i="10"/>
  <c r="BI1436" i="10" s="1"/>
  <c r="BH1435" i="10"/>
  <c r="BI1435" i="10" s="1"/>
  <c r="BG1435" i="10"/>
  <c r="BH1434" i="10"/>
  <c r="BI1434" i="10" s="1"/>
  <c r="BG1434" i="10"/>
  <c r="BH1433" i="10"/>
  <c r="BG1433" i="10"/>
  <c r="BH1432" i="10"/>
  <c r="BI1432" i="10" s="1"/>
  <c r="BG1432" i="10"/>
  <c r="BI1431" i="10"/>
  <c r="BH1431" i="10"/>
  <c r="BG1431" i="10"/>
  <c r="BH1430" i="10"/>
  <c r="BG1430" i="10"/>
  <c r="BI1430" i="10" s="1"/>
  <c r="BH1429" i="10"/>
  <c r="BG1429" i="10"/>
  <c r="BI1429" i="10" s="1"/>
  <c r="BH1428" i="10"/>
  <c r="BG1428" i="10"/>
  <c r="BI1428" i="10" s="1"/>
  <c r="BH1427" i="10"/>
  <c r="BG1427" i="10"/>
  <c r="BI1427" i="10" s="1"/>
  <c r="BH1426" i="10"/>
  <c r="BI1426" i="10" s="1"/>
  <c r="BG1426" i="10"/>
  <c r="BH1425" i="10"/>
  <c r="BG1425" i="10"/>
  <c r="BI1425" i="10" s="1"/>
  <c r="BI1424" i="10"/>
  <c r="BH1424" i="10"/>
  <c r="BG1424" i="10"/>
  <c r="BI1423" i="10"/>
  <c r="BH1423" i="10"/>
  <c r="BG1423" i="10"/>
  <c r="BH1422" i="10"/>
  <c r="BI1422" i="10" s="1"/>
  <c r="BG1422" i="10"/>
  <c r="BH1421" i="10"/>
  <c r="BG1421" i="10"/>
  <c r="BI1421" i="10" s="1"/>
  <c r="BH1420" i="10"/>
  <c r="BG1420" i="10"/>
  <c r="BI1420" i="10" s="1"/>
  <c r="BH1419" i="10"/>
  <c r="BG1419" i="10"/>
  <c r="BH1418" i="10"/>
  <c r="BI1418" i="10" s="1"/>
  <c r="BG1418" i="10"/>
  <c r="BH1417" i="10"/>
  <c r="BG1417" i="10"/>
  <c r="BI1416" i="10"/>
  <c r="BH1416" i="10"/>
  <c r="BG1416" i="10"/>
  <c r="BI1415" i="10"/>
  <c r="BH1415" i="10"/>
  <c r="BG1415" i="10"/>
  <c r="BI1414" i="10"/>
  <c r="BH1414" i="10"/>
  <c r="BG1414" i="10"/>
  <c r="BH1413" i="10"/>
  <c r="BG1413" i="10"/>
  <c r="BI1413" i="10" s="1"/>
  <c r="BH1412" i="10"/>
  <c r="BG1412" i="10"/>
  <c r="BI1412" i="10" s="1"/>
  <c r="BH1411" i="10"/>
  <c r="BI1411" i="10" s="1"/>
  <c r="BG1411" i="10"/>
  <c r="BH1410" i="10"/>
  <c r="BI1410" i="10" s="1"/>
  <c r="BG1410" i="10"/>
  <c r="BH1409" i="10"/>
  <c r="BG1409" i="10"/>
  <c r="BH1408" i="10"/>
  <c r="BI1408" i="10" s="1"/>
  <c r="BG1408" i="10"/>
  <c r="BI1407" i="10"/>
  <c r="BH1407" i="10"/>
  <c r="BG1407" i="10"/>
  <c r="BI1406" i="10"/>
  <c r="BH1406" i="10"/>
  <c r="BG1406" i="10"/>
  <c r="BH1405" i="10"/>
  <c r="BG1405" i="10"/>
  <c r="BI1405" i="10" s="1"/>
  <c r="BH1404" i="10"/>
  <c r="BG1404" i="10"/>
  <c r="BI1404" i="10" s="1"/>
  <c r="BI1403" i="10"/>
  <c r="BH1403" i="10"/>
  <c r="BG1403" i="10"/>
  <c r="BH1402" i="10"/>
  <c r="BI1402" i="10" s="1"/>
  <c r="BG1402" i="10"/>
  <c r="BH1401" i="10"/>
  <c r="BG1401" i="10"/>
  <c r="BH1400" i="10"/>
  <c r="BI1400" i="10" s="1"/>
  <c r="BG1400" i="10"/>
  <c r="BI1399" i="10"/>
  <c r="BH1399" i="10"/>
  <c r="BG1399" i="10"/>
  <c r="BI1398" i="10"/>
  <c r="BH1398" i="10"/>
  <c r="BG1398" i="10"/>
  <c r="BI1397" i="10"/>
  <c r="BH1397" i="10"/>
  <c r="BG1397" i="10"/>
  <c r="BH1396" i="10"/>
  <c r="BG1396" i="10"/>
  <c r="BI1396" i="10" s="1"/>
  <c r="BI1395" i="10"/>
  <c r="BH1395" i="10"/>
  <c r="BG1395" i="10"/>
  <c r="BH1394" i="10"/>
  <c r="BI1394" i="10" s="1"/>
  <c r="BG1394" i="10"/>
  <c r="BH1393" i="10"/>
  <c r="BG1393" i="10"/>
  <c r="BI1393" i="10" s="1"/>
  <c r="BI1392" i="10"/>
  <c r="BH1392" i="10"/>
  <c r="BG1392" i="10"/>
  <c r="BI1391" i="10"/>
  <c r="BH1391" i="10"/>
  <c r="BG1391" i="10"/>
  <c r="BH1390" i="10"/>
  <c r="BG1390" i="10"/>
  <c r="BI1390" i="10" s="1"/>
  <c r="BI1389" i="10"/>
  <c r="BH1389" i="10"/>
  <c r="BG1389" i="10"/>
  <c r="BH1388" i="10"/>
  <c r="BG1388" i="10"/>
  <c r="BI1388" i="10" s="1"/>
  <c r="BH1387" i="10"/>
  <c r="BG1387" i="10"/>
  <c r="BH1386" i="10"/>
  <c r="BI1386" i="10" s="1"/>
  <c r="BG1386" i="10"/>
  <c r="BH1385" i="10"/>
  <c r="BG1385" i="10"/>
  <c r="BI1384" i="10"/>
  <c r="BH1384" i="10"/>
  <c r="BG1384" i="10"/>
  <c r="BI1383" i="10"/>
  <c r="BH1383" i="10"/>
  <c r="BG1383" i="10"/>
  <c r="BI1382" i="10"/>
  <c r="BH1382" i="10"/>
  <c r="BG1382" i="10"/>
  <c r="BH1381" i="10"/>
  <c r="BG1381" i="10"/>
  <c r="BI1381" i="10" s="1"/>
  <c r="BH1380" i="10"/>
  <c r="BG1380" i="10"/>
  <c r="BI1380" i="10" s="1"/>
  <c r="BI1379" i="10"/>
  <c r="BH1379" i="10"/>
  <c r="BG1379" i="10"/>
  <c r="BH1378" i="10"/>
  <c r="BI1378" i="10" s="1"/>
  <c r="BG1378" i="10"/>
  <c r="BH1377" i="10"/>
  <c r="BG1377" i="10"/>
  <c r="BI1376" i="10"/>
  <c r="BH1376" i="10"/>
  <c r="BG1376" i="10"/>
  <c r="BI1375" i="10"/>
  <c r="BH1375" i="10"/>
  <c r="BG1375" i="10"/>
  <c r="BI1374" i="10"/>
  <c r="BH1374" i="10"/>
  <c r="BG1374" i="10"/>
  <c r="BI1373" i="10"/>
  <c r="BH1373" i="10"/>
  <c r="BG1373" i="10"/>
  <c r="BH1372" i="10"/>
  <c r="BG1372" i="10"/>
  <c r="BI1372" i="10" s="1"/>
  <c r="BI1371" i="10"/>
  <c r="BH1371" i="10"/>
  <c r="BG1371" i="10"/>
  <c r="BH1370" i="10"/>
  <c r="BI1370" i="10" s="1"/>
  <c r="BG1370" i="10"/>
  <c r="BH1369" i="10"/>
  <c r="BG1369" i="10"/>
  <c r="BH1368" i="10"/>
  <c r="BI1368" i="10" s="1"/>
  <c r="BG1368" i="10"/>
  <c r="BI1367" i="10"/>
  <c r="BH1367" i="10"/>
  <c r="BG1367" i="10"/>
  <c r="BH1366" i="10"/>
  <c r="BG1366" i="10"/>
  <c r="BI1366" i="10" s="1"/>
  <c r="BI1365" i="10"/>
  <c r="BH1365" i="10"/>
  <c r="BG1365" i="10"/>
  <c r="BH1364" i="10"/>
  <c r="BG1364" i="10"/>
  <c r="BI1364" i="10" s="1"/>
  <c r="BH1363" i="10"/>
  <c r="BG1363" i="10"/>
  <c r="BI1363" i="10" s="1"/>
  <c r="BH1362" i="10"/>
  <c r="BI1362" i="10" s="1"/>
  <c r="BG1362" i="10"/>
  <c r="BH1361" i="10"/>
  <c r="BG1361" i="10"/>
  <c r="BI1360" i="10"/>
  <c r="BH1360" i="10"/>
  <c r="BG1360" i="10"/>
  <c r="BI1359" i="10"/>
  <c r="BH1359" i="10"/>
  <c r="BG1359" i="10"/>
  <c r="BI1358" i="10"/>
  <c r="BH1358" i="10"/>
  <c r="BG1358" i="10"/>
  <c r="BH1357" i="10"/>
  <c r="BG1357" i="10"/>
  <c r="BI1357" i="10" s="1"/>
  <c r="BH1356" i="10"/>
  <c r="BG1356" i="10"/>
  <c r="BI1356" i="10" s="1"/>
  <c r="BH1355" i="10"/>
  <c r="BI1355" i="10" s="1"/>
  <c r="BG1355" i="10"/>
  <c r="BH1354" i="10"/>
  <c r="BI1354" i="10" s="1"/>
  <c r="BG1354" i="10"/>
  <c r="BH1353" i="10"/>
  <c r="BG1353" i="10"/>
  <c r="BH1352" i="10"/>
  <c r="BI1352" i="10" s="1"/>
  <c r="BG1352" i="10"/>
  <c r="BI1351" i="10"/>
  <c r="BH1351" i="10"/>
  <c r="BG1351" i="10"/>
  <c r="BI1350" i="10"/>
  <c r="BH1350" i="10"/>
  <c r="BG1350" i="10"/>
  <c r="BI1349" i="10"/>
  <c r="BH1349" i="10"/>
  <c r="BG1349" i="10"/>
  <c r="BH1348" i="10"/>
  <c r="BG1348" i="10"/>
  <c r="BI1348" i="10" s="1"/>
  <c r="BI1347" i="10"/>
  <c r="BH1347" i="10"/>
  <c r="BG1347" i="10"/>
  <c r="BH1346" i="10"/>
  <c r="BI1346" i="10" s="1"/>
  <c r="BG1346" i="10"/>
  <c r="BH1345" i="10"/>
  <c r="BG1345" i="10"/>
  <c r="BH1344" i="10"/>
  <c r="BI1344" i="10" s="1"/>
  <c r="BG1344" i="10"/>
  <c r="BI1343" i="10"/>
  <c r="BH1343" i="10"/>
  <c r="BG1343" i="10"/>
  <c r="BI1342" i="10"/>
  <c r="BH1342" i="10"/>
  <c r="BG1342" i="10"/>
  <c r="BI1341" i="10"/>
  <c r="BH1341" i="10"/>
  <c r="BG1341" i="10"/>
  <c r="BH1340" i="10"/>
  <c r="BG1340" i="10"/>
  <c r="BI1340" i="10" s="1"/>
  <c r="BI1339" i="10"/>
  <c r="BH1339" i="10"/>
  <c r="BG1339" i="10"/>
  <c r="BH1338" i="10"/>
  <c r="BI1338" i="10" s="1"/>
  <c r="BG1338" i="10"/>
  <c r="BH1337" i="10"/>
  <c r="BG1337" i="10"/>
  <c r="BH1336" i="10"/>
  <c r="BI1336" i="10" s="1"/>
  <c r="BG1336" i="10"/>
  <c r="BI1335" i="10"/>
  <c r="BH1335" i="10"/>
  <c r="BG1335" i="10"/>
  <c r="BH1334" i="10"/>
  <c r="BG1334" i="10"/>
  <c r="BI1334" i="10" s="1"/>
  <c r="BI1333" i="10"/>
  <c r="BH1333" i="10"/>
  <c r="BG1333" i="10"/>
  <c r="BH1332" i="10"/>
  <c r="BG1332" i="10"/>
  <c r="BI1332" i="10" s="1"/>
  <c r="BH1331" i="10"/>
  <c r="BG1331" i="10"/>
  <c r="BI1331" i="10" s="1"/>
  <c r="BH1330" i="10"/>
  <c r="BI1330" i="10" s="1"/>
  <c r="BG1330" i="10"/>
  <c r="BH1329" i="10"/>
  <c r="BG1329" i="10"/>
  <c r="BI1329" i="10" s="1"/>
  <c r="BI1328" i="10"/>
  <c r="BH1328" i="10"/>
  <c r="BG1328" i="10"/>
  <c r="BI1327" i="10"/>
  <c r="BH1327" i="10"/>
  <c r="BG1327" i="10"/>
  <c r="BH1326" i="10"/>
  <c r="BG1326" i="10"/>
  <c r="BI1326" i="10" s="1"/>
  <c r="BI1325" i="10"/>
  <c r="BH1325" i="10"/>
  <c r="BG1325" i="10"/>
  <c r="BH1324" i="10"/>
  <c r="BG1324" i="10"/>
  <c r="BI1324" i="10" s="1"/>
  <c r="BH1323" i="10"/>
  <c r="BG1323" i="10"/>
  <c r="BI1323" i="10" s="1"/>
  <c r="BH1322" i="10"/>
  <c r="BI1322" i="10" s="1"/>
  <c r="BG1322" i="10"/>
  <c r="BH1321" i="10"/>
  <c r="BG1321" i="10"/>
  <c r="BI1320" i="10"/>
  <c r="BH1320" i="10"/>
  <c r="BG1320" i="10"/>
  <c r="BI1319" i="10"/>
  <c r="BH1319" i="10"/>
  <c r="BG1319" i="10"/>
  <c r="BI1318" i="10"/>
  <c r="BH1318" i="10"/>
  <c r="BG1318" i="10"/>
  <c r="BH1317" i="10"/>
  <c r="BG1317" i="10"/>
  <c r="BI1317" i="10" s="1"/>
  <c r="BH1316" i="10"/>
  <c r="BG1316" i="10"/>
  <c r="BI1316" i="10" s="1"/>
  <c r="BI1315" i="10"/>
  <c r="BH1315" i="10"/>
  <c r="BG1315" i="10"/>
  <c r="BH1314" i="10"/>
  <c r="BI1314" i="10" s="1"/>
  <c r="BG1314" i="10"/>
  <c r="BH1313" i="10"/>
  <c r="BG1313" i="10"/>
  <c r="BI1313" i="10" s="1"/>
  <c r="BH1312" i="10"/>
  <c r="BI1312" i="10" s="1"/>
  <c r="BG1312" i="10"/>
  <c r="BI1311" i="10"/>
  <c r="BH1311" i="10"/>
  <c r="BG1311" i="10"/>
  <c r="BH1310" i="10"/>
  <c r="BG1310" i="10"/>
  <c r="BI1310" i="10" s="1"/>
  <c r="BI1309" i="10"/>
  <c r="BH1309" i="10"/>
  <c r="BG1309" i="10"/>
  <c r="BH1308" i="10"/>
  <c r="BG1308" i="10"/>
  <c r="BI1308" i="10" s="1"/>
  <c r="BH1307" i="10"/>
  <c r="BG1307" i="10"/>
  <c r="BH1306" i="10"/>
  <c r="BI1306" i="10" s="1"/>
  <c r="BG1306" i="10"/>
  <c r="BH1305" i="10"/>
  <c r="BG1305" i="10"/>
  <c r="BI1304" i="10"/>
  <c r="BH1304" i="10"/>
  <c r="BG1304" i="10"/>
  <c r="BI1303" i="10"/>
  <c r="BH1303" i="10"/>
  <c r="BG1303" i="10"/>
  <c r="BH1302" i="10"/>
  <c r="BG1302" i="10"/>
  <c r="BI1302" i="10" s="1"/>
  <c r="BI1301" i="10"/>
  <c r="BH1301" i="10"/>
  <c r="BG1301" i="10"/>
  <c r="BH1300" i="10"/>
  <c r="BG1300" i="10"/>
  <c r="BI1300" i="10" s="1"/>
  <c r="BH1299" i="10"/>
  <c r="BG1299" i="10"/>
  <c r="BI1299" i="10" s="1"/>
  <c r="BH1298" i="10"/>
  <c r="BI1298" i="10" s="1"/>
  <c r="BG1298" i="10"/>
  <c r="BH1297" i="10"/>
  <c r="BG1297" i="10"/>
  <c r="BI1297" i="10" s="1"/>
  <c r="BI1296" i="10"/>
  <c r="BH1296" i="10"/>
  <c r="BG1296" i="10"/>
  <c r="BI1295" i="10"/>
  <c r="BH1295" i="10"/>
  <c r="BG1295" i="10"/>
  <c r="BH1294" i="10"/>
  <c r="BG1294" i="10"/>
  <c r="BI1294" i="10" s="1"/>
  <c r="BH1293" i="10"/>
  <c r="BG1293" i="10"/>
  <c r="BI1293" i="10" s="1"/>
  <c r="BH1292" i="10"/>
  <c r="BG1292" i="10"/>
  <c r="BI1292" i="10" s="1"/>
  <c r="BI1291" i="10"/>
  <c r="BH1291" i="10"/>
  <c r="BG1291" i="10"/>
  <c r="BH1290" i="10"/>
  <c r="BI1290" i="10" s="1"/>
  <c r="BG1290" i="10"/>
  <c r="BH1289" i="10"/>
  <c r="BG1289" i="10"/>
  <c r="BH1288" i="10"/>
  <c r="BI1288" i="10" s="1"/>
  <c r="BG1288" i="10"/>
  <c r="BI1287" i="10"/>
  <c r="BH1287" i="10"/>
  <c r="BG1287" i="10"/>
  <c r="BH1286" i="10"/>
  <c r="BG1286" i="10"/>
  <c r="BI1286" i="10" s="1"/>
  <c r="BH1285" i="10"/>
  <c r="BG1285" i="10"/>
  <c r="BI1285" i="10" s="1"/>
  <c r="BH1284" i="10"/>
  <c r="BG1284" i="10"/>
  <c r="BI1284" i="10" s="1"/>
  <c r="BH1283" i="10"/>
  <c r="BG1283" i="10"/>
  <c r="BI1283" i="10" s="1"/>
  <c r="BH1282" i="10"/>
  <c r="BI1282" i="10" s="1"/>
  <c r="BG1282" i="10"/>
  <c r="BH1281" i="10"/>
  <c r="BG1281" i="10"/>
  <c r="BH1280" i="10"/>
  <c r="BI1280" i="10" s="1"/>
  <c r="BG1280" i="10"/>
  <c r="BI1279" i="10"/>
  <c r="BH1279" i="10"/>
  <c r="BG1279" i="10"/>
  <c r="BI1278" i="10"/>
  <c r="BH1278" i="10"/>
  <c r="BG1278" i="10"/>
  <c r="BI1277" i="10"/>
  <c r="BH1277" i="10"/>
  <c r="BG1277" i="10"/>
  <c r="BH1276" i="10"/>
  <c r="BG1276" i="10"/>
  <c r="BI1276" i="10" s="1"/>
  <c r="BI1275" i="10"/>
  <c r="BH1275" i="10"/>
  <c r="BG1275" i="10"/>
  <c r="BH1274" i="10"/>
  <c r="BI1274" i="10" s="1"/>
  <c r="BG1274" i="10"/>
  <c r="BH1273" i="10"/>
  <c r="BG1273" i="10"/>
  <c r="BI1273" i="10" s="1"/>
  <c r="BI1272" i="10"/>
  <c r="BH1272" i="10"/>
  <c r="BG1272" i="10"/>
  <c r="BI1271" i="10"/>
  <c r="BH1271" i="10"/>
  <c r="BG1271" i="10"/>
  <c r="BH1270" i="10"/>
  <c r="BG1270" i="10"/>
  <c r="BI1270" i="10" s="1"/>
  <c r="BI1269" i="10"/>
  <c r="BH1269" i="10"/>
  <c r="BG1269" i="10"/>
  <c r="BH1268" i="10"/>
  <c r="BG1268" i="10"/>
  <c r="BI1268" i="10" s="1"/>
  <c r="BH1267" i="10"/>
  <c r="BG1267" i="10"/>
  <c r="BH1266" i="10"/>
  <c r="BI1266" i="10" s="1"/>
  <c r="BG1266" i="10"/>
  <c r="BH1265" i="10"/>
  <c r="BG1265" i="10"/>
  <c r="BI1265" i="10" s="1"/>
  <c r="BI1264" i="10"/>
  <c r="BH1264" i="10"/>
  <c r="BG1264" i="10"/>
  <c r="BI1263" i="10"/>
  <c r="BH1263" i="10"/>
  <c r="BG1263" i="10"/>
  <c r="BH1262" i="10"/>
  <c r="BG1262" i="10"/>
  <c r="BI1262" i="10" s="1"/>
  <c r="BH1261" i="10"/>
  <c r="BG1261" i="10"/>
  <c r="BI1261" i="10" s="1"/>
  <c r="BH1260" i="10"/>
  <c r="BG1260" i="10"/>
  <c r="BI1260" i="10" s="1"/>
  <c r="BH1259" i="10"/>
  <c r="BG1259" i="10"/>
  <c r="BI1259" i="10" s="1"/>
  <c r="BH1258" i="10"/>
  <c r="BI1258" i="10" s="1"/>
  <c r="BG1258" i="10"/>
  <c r="BH1257" i="10"/>
  <c r="BG1257" i="10"/>
  <c r="BI1257" i="10" s="1"/>
  <c r="BH1256" i="10"/>
  <c r="BG1256" i="10"/>
  <c r="BI1256" i="10" s="1"/>
  <c r="BI1255" i="10"/>
  <c r="BH1255" i="10"/>
  <c r="BG1255" i="10"/>
  <c r="BI1254" i="10"/>
  <c r="BH1254" i="10"/>
  <c r="BG1254" i="10"/>
  <c r="BH1253" i="10"/>
  <c r="BG1253" i="10"/>
  <c r="BH1252" i="10"/>
  <c r="BG1252" i="10"/>
  <c r="BI1252" i="10" s="1"/>
  <c r="BI1251" i="10"/>
  <c r="BH1251" i="10"/>
  <c r="BG1251" i="10"/>
  <c r="BH1250" i="10"/>
  <c r="BI1250" i="10" s="1"/>
  <c r="BG1250" i="10"/>
  <c r="BH1249" i="10"/>
  <c r="BG1249" i="10"/>
  <c r="BI1249" i="10" s="1"/>
  <c r="BH1248" i="10"/>
  <c r="BI1248" i="10" s="1"/>
  <c r="BG1248" i="10"/>
  <c r="BI1247" i="10"/>
  <c r="BH1247" i="10"/>
  <c r="BG1247" i="10"/>
  <c r="BH1246" i="10"/>
  <c r="BG1246" i="10"/>
  <c r="BI1246" i="10" s="1"/>
  <c r="BI1245" i="10"/>
  <c r="BH1245" i="10"/>
  <c r="BG1245" i="10"/>
  <c r="BH1244" i="10"/>
  <c r="BG1244" i="10"/>
  <c r="BI1244" i="10" s="1"/>
  <c r="BH1243" i="10"/>
  <c r="BG1243" i="10"/>
  <c r="BI1242" i="10"/>
  <c r="BH1242" i="10"/>
  <c r="BG1242" i="10"/>
  <c r="BH1241" i="10"/>
  <c r="BG1241" i="10"/>
  <c r="BI1241" i="10" s="1"/>
  <c r="BM1240" i="10"/>
  <c r="BL1240" i="10"/>
  <c r="BN1240" i="10" s="1"/>
  <c r="BI1240" i="10"/>
  <c r="BH1240" i="10"/>
  <c r="BG1240" i="10"/>
  <c r="BM1239" i="10"/>
  <c r="BN1239" i="10" s="1"/>
  <c r="BL1239" i="10"/>
  <c r="BH1239" i="10"/>
  <c r="BI1239" i="10" s="1"/>
  <c r="BG1239" i="10"/>
  <c r="BM1238" i="10"/>
  <c r="BL1238" i="10"/>
  <c r="BH1238" i="10"/>
  <c r="BI1238" i="10" s="1"/>
  <c r="BG1238" i="10"/>
  <c r="BM1237" i="10"/>
  <c r="BN1237" i="10" s="1"/>
  <c r="BL1237" i="10"/>
  <c r="BH1237" i="10"/>
  <c r="BG1237" i="10"/>
  <c r="BI1237" i="10" s="1"/>
  <c r="BM1236" i="10"/>
  <c r="BN1236" i="10" s="1"/>
  <c r="BL1236" i="10"/>
  <c r="BI1236" i="10"/>
  <c r="BH1236" i="10"/>
  <c r="BG1236" i="10"/>
  <c r="BM1235" i="10"/>
  <c r="BL1235" i="10"/>
  <c r="BH1235" i="10"/>
  <c r="BI1235" i="10" s="1"/>
  <c r="BG1235" i="10"/>
  <c r="BM1234" i="10"/>
  <c r="BL1234" i="10"/>
  <c r="BH1234" i="10"/>
  <c r="BG1234" i="10"/>
  <c r="BM1233" i="10"/>
  <c r="BN1233" i="10" s="1"/>
  <c r="BL1233" i="10"/>
  <c r="BI1233" i="10"/>
  <c r="BH1233" i="10"/>
  <c r="BG1233" i="10"/>
  <c r="BN1232" i="10"/>
  <c r="BM1232" i="10"/>
  <c r="BL1232" i="10"/>
  <c r="BI1232" i="10"/>
  <c r="BH1232" i="10"/>
  <c r="BG1232" i="10"/>
  <c r="BM1231" i="10"/>
  <c r="BL1231" i="10"/>
  <c r="BN1231" i="10" s="1"/>
  <c r="BI1231" i="10"/>
  <c r="BH1231" i="10"/>
  <c r="BG1231" i="10"/>
  <c r="BM1230" i="10"/>
  <c r="BL1230" i="10"/>
  <c r="BN1230" i="10" s="1"/>
  <c r="BH1230" i="10"/>
  <c r="BG1230" i="10"/>
  <c r="BI1230" i="10" s="1"/>
  <c r="BM1229" i="10"/>
  <c r="BN1229" i="10" s="1"/>
  <c r="BL1229" i="10"/>
  <c r="BH1229" i="10"/>
  <c r="BI1229" i="10" s="1"/>
  <c r="BG1229" i="10"/>
  <c r="BM1228" i="10"/>
  <c r="BL1228" i="10"/>
  <c r="BN1228" i="10" s="1"/>
  <c r="BI1228" i="10"/>
  <c r="BH1228" i="10"/>
  <c r="BG1228" i="10"/>
  <c r="BN1227" i="10"/>
  <c r="BM1227" i="10"/>
  <c r="BL1227" i="10"/>
  <c r="BH1227" i="10"/>
  <c r="BG1227" i="10"/>
  <c r="BI1227" i="10" s="1"/>
  <c r="BM1226" i="10"/>
  <c r="BL1226" i="10"/>
  <c r="BI1226" i="10"/>
  <c r="BH1226" i="10"/>
  <c r="BG1226" i="10"/>
  <c r="BM1225" i="10"/>
  <c r="BN1225" i="10" s="1"/>
  <c r="BL1225" i="10"/>
  <c r="BI1225" i="10"/>
  <c r="BH1225" i="10"/>
  <c r="BG1225" i="10"/>
  <c r="BM1224" i="10"/>
  <c r="BL1224" i="10"/>
  <c r="BN1224" i="10" s="1"/>
  <c r="BH1224" i="10"/>
  <c r="BG1224" i="10"/>
  <c r="BI1224" i="10" s="1"/>
  <c r="BN1223" i="10"/>
  <c r="BM1223" i="10"/>
  <c r="BL1223" i="10"/>
  <c r="BH1223" i="10"/>
  <c r="BG1223" i="10"/>
  <c r="BI1223" i="10" s="1"/>
  <c r="BM1222" i="10"/>
  <c r="BL1222" i="10"/>
  <c r="BN1222" i="10" s="1"/>
  <c r="BI1222" i="10"/>
  <c r="BH1222" i="10"/>
  <c r="BG1222" i="10"/>
  <c r="BM1221" i="10"/>
  <c r="BN1221" i="10" s="1"/>
  <c r="BL1221" i="10"/>
  <c r="BI1221" i="10"/>
  <c r="BH1221" i="10"/>
  <c r="BG1221" i="10"/>
  <c r="BN1220" i="10"/>
  <c r="BM1220" i="10"/>
  <c r="BL1220" i="10"/>
  <c r="BH1220" i="10"/>
  <c r="BG1220" i="10"/>
  <c r="BI1220" i="10" s="1"/>
  <c r="BM1219" i="10"/>
  <c r="BL1219" i="10"/>
  <c r="BH1219" i="10"/>
  <c r="BG1219" i="10"/>
  <c r="BI1219" i="10" s="1"/>
  <c r="BM1218" i="10"/>
  <c r="BL1218" i="10"/>
  <c r="BN1218" i="10" s="1"/>
  <c r="BH1218" i="10"/>
  <c r="BG1218" i="10"/>
  <c r="BI1218" i="10" s="1"/>
  <c r="BN1217" i="10"/>
  <c r="BM1217" i="10"/>
  <c r="BL1217" i="10"/>
  <c r="BH1217" i="10"/>
  <c r="BG1217" i="10"/>
  <c r="BI1217" i="10" s="1"/>
  <c r="BM1216" i="10"/>
  <c r="BN1216" i="10" s="1"/>
  <c r="BL1216" i="10"/>
  <c r="BH1216" i="10"/>
  <c r="BG1216" i="10"/>
  <c r="BI1216" i="10" s="1"/>
  <c r="BM1215" i="10"/>
  <c r="BL1215" i="10"/>
  <c r="BN1215" i="10" s="1"/>
  <c r="BI1215" i="10"/>
  <c r="BH1215" i="10"/>
  <c r="BG1215" i="10"/>
  <c r="BM1214" i="10"/>
  <c r="BL1214" i="10"/>
  <c r="BH1214" i="10"/>
  <c r="BG1214" i="10"/>
  <c r="BI1214" i="10" s="1"/>
  <c r="BN1213" i="10"/>
  <c r="BM1213" i="10"/>
  <c r="BL1213" i="10"/>
  <c r="BI1213" i="10"/>
  <c r="BH1213" i="10"/>
  <c r="BG1213" i="10"/>
  <c r="BM1212" i="10"/>
  <c r="BN1212" i="10" s="1"/>
  <c r="BL1212" i="10"/>
  <c r="BH1212" i="10"/>
  <c r="BG1212" i="10"/>
  <c r="BI1212" i="10" s="1"/>
  <c r="BN1211" i="10"/>
  <c r="BM1211" i="10"/>
  <c r="BL1211" i="10"/>
  <c r="BH1211" i="10"/>
  <c r="BI1211" i="10" s="1"/>
  <c r="BG1211" i="10"/>
  <c r="BM1210" i="10"/>
  <c r="BL1210" i="10"/>
  <c r="BN1210" i="10" s="1"/>
  <c r="BI1210" i="10"/>
  <c r="BH1210" i="10"/>
  <c r="BG1210" i="10"/>
  <c r="BN1209" i="10"/>
  <c r="BM1209" i="10"/>
  <c r="BL1209" i="10"/>
  <c r="BH1209" i="10"/>
  <c r="BG1209" i="10"/>
  <c r="BI1209" i="10" s="1"/>
  <c r="BM1208" i="10"/>
  <c r="BL1208" i="10"/>
  <c r="BN1208" i="10" s="1"/>
  <c r="BH1208" i="10"/>
  <c r="BG1208" i="10"/>
  <c r="BI1208" i="10" s="1"/>
  <c r="BN1207" i="10"/>
  <c r="BM1207" i="10"/>
  <c r="BL1207" i="10"/>
  <c r="BI1207" i="10"/>
  <c r="BH1207" i="10"/>
  <c r="BG1207" i="10"/>
  <c r="BM1206" i="10"/>
  <c r="BL1206" i="10"/>
  <c r="BI1206" i="10"/>
  <c r="BH1206" i="10"/>
  <c r="BG1206" i="10"/>
  <c r="BN1205" i="10"/>
  <c r="BM1205" i="10"/>
  <c r="BL1205" i="10"/>
  <c r="BH1205" i="10"/>
  <c r="BG1205" i="10"/>
  <c r="BI1205" i="10" s="1"/>
  <c r="BN1204" i="10"/>
  <c r="BM1204" i="10"/>
  <c r="BL1204" i="10"/>
  <c r="BH1204" i="10"/>
  <c r="BG1204" i="10"/>
  <c r="BI1204" i="10" s="1"/>
  <c r="BM1203" i="10"/>
  <c r="BL1203" i="10"/>
  <c r="BN1203" i="10" s="1"/>
  <c r="BH1203" i="10"/>
  <c r="BI1203" i="10" s="1"/>
  <c r="BG1203" i="10"/>
  <c r="BM1202" i="10"/>
  <c r="BL1202" i="10"/>
  <c r="BN1202" i="10" s="1"/>
  <c r="BH1202" i="10"/>
  <c r="BG1202" i="10"/>
  <c r="BI1202" i="10" s="1"/>
  <c r="BN1201" i="10"/>
  <c r="BM1201" i="10"/>
  <c r="BL1201" i="10"/>
  <c r="BH1201" i="10"/>
  <c r="BG1201" i="10"/>
  <c r="BI1201" i="10" s="1"/>
  <c r="BM1200" i="10"/>
  <c r="BL1200" i="10"/>
  <c r="BN1200" i="10" s="1"/>
  <c r="BH1200" i="10"/>
  <c r="BG1200" i="10"/>
  <c r="BI1200" i="10" s="1"/>
  <c r="BM1199" i="10"/>
  <c r="BL1199" i="10"/>
  <c r="BN1199" i="10" s="1"/>
  <c r="BH1199" i="10"/>
  <c r="BI1199" i="10" s="1"/>
  <c r="BG1199" i="10"/>
  <c r="BM1198" i="10"/>
  <c r="BL1198" i="10"/>
  <c r="BH1198" i="10"/>
  <c r="BG1198" i="10"/>
  <c r="BI1198" i="10" s="1"/>
  <c r="BN1197" i="10"/>
  <c r="BM1197" i="10"/>
  <c r="BL1197" i="10"/>
  <c r="BI1197" i="10"/>
  <c r="BH1197" i="10"/>
  <c r="BG1197" i="10"/>
  <c r="BM1196" i="10"/>
  <c r="BN1196" i="10" s="1"/>
  <c r="BL1196" i="10"/>
  <c r="BH1196" i="10"/>
  <c r="BG1196" i="10"/>
  <c r="BI1196" i="10" s="1"/>
  <c r="BN1195" i="10"/>
  <c r="BM1195" i="10"/>
  <c r="BL1195" i="10"/>
  <c r="BH1195" i="10"/>
  <c r="BI1195" i="10" s="1"/>
  <c r="BG1195" i="10"/>
  <c r="BM1194" i="10"/>
  <c r="BL1194" i="10"/>
  <c r="BI1194" i="10"/>
  <c r="BH1194" i="10"/>
  <c r="BG1194" i="10"/>
  <c r="BN1193" i="10"/>
  <c r="BM1193" i="10"/>
  <c r="BL1193" i="10"/>
  <c r="BI1193" i="10"/>
  <c r="BH1193" i="10"/>
  <c r="BG1193" i="10"/>
  <c r="BM1192" i="10"/>
  <c r="BL1192" i="10"/>
  <c r="BN1192" i="10" s="1"/>
  <c r="BH1192" i="10"/>
  <c r="BG1192" i="10"/>
  <c r="BI1192" i="10" s="1"/>
  <c r="BM1191" i="10"/>
  <c r="BN1191" i="10" s="1"/>
  <c r="BL1191" i="10"/>
  <c r="BI1191" i="10"/>
  <c r="BH1191" i="10"/>
  <c r="BG1191" i="10"/>
  <c r="BM1190" i="10"/>
  <c r="BL1190" i="10"/>
  <c r="BH1190" i="10"/>
  <c r="BI1190" i="10" s="1"/>
  <c r="BG1190" i="10"/>
  <c r="BN1189" i="10"/>
  <c r="BM1189" i="10"/>
  <c r="BL1189" i="10"/>
  <c r="BH1189" i="10"/>
  <c r="BG1189" i="10"/>
  <c r="BI1189" i="10" s="1"/>
  <c r="BN1188" i="10"/>
  <c r="BM1188" i="10"/>
  <c r="BL1188" i="10"/>
  <c r="BH1188" i="10"/>
  <c r="BG1188" i="10"/>
  <c r="BI1188" i="10" s="1"/>
  <c r="BM1187" i="10"/>
  <c r="BL1187" i="10"/>
  <c r="BN1187" i="10" s="1"/>
  <c r="BI1187" i="10"/>
  <c r="BH1187" i="10"/>
  <c r="BG1187" i="10"/>
  <c r="BM1186" i="10"/>
  <c r="BL1186" i="10"/>
  <c r="BN1186" i="10" s="1"/>
  <c r="BH1186" i="10"/>
  <c r="BG1186" i="10"/>
  <c r="BI1186" i="10" s="1"/>
  <c r="BN1185" i="10"/>
  <c r="BM1185" i="10"/>
  <c r="BL1185" i="10"/>
  <c r="BH1185" i="10"/>
  <c r="BG1185" i="10"/>
  <c r="BI1185" i="10" s="1"/>
  <c r="BM1184" i="10"/>
  <c r="BL1184" i="10"/>
  <c r="BN1184" i="10" s="1"/>
  <c r="BH1184" i="10"/>
  <c r="BG1184" i="10"/>
  <c r="BI1184" i="10" s="1"/>
  <c r="BM1183" i="10"/>
  <c r="BL1183" i="10"/>
  <c r="BN1183" i="10" s="1"/>
  <c r="BH1183" i="10"/>
  <c r="BI1183" i="10" s="1"/>
  <c r="BG1183" i="10"/>
  <c r="BM1182" i="10"/>
  <c r="BL1182" i="10"/>
  <c r="BH1182" i="10"/>
  <c r="BG1182" i="10"/>
  <c r="BI1182" i="10" s="1"/>
  <c r="BN1181" i="10"/>
  <c r="BM1181" i="10"/>
  <c r="BL1181" i="10"/>
  <c r="BI1181" i="10"/>
  <c r="BH1181" i="10"/>
  <c r="BG1181" i="10"/>
  <c r="BM1180" i="10"/>
  <c r="BN1180" i="10" s="1"/>
  <c r="BL1180" i="10"/>
  <c r="BH1180" i="10"/>
  <c r="BG1180" i="10"/>
  <c r="BI1180" i="10" s="1"/>
  <c r="BN1179" i="10"/>
  <c r="BM1179" i="10"/>
  <c r="BL1179" i="10"/>
  <c r="BH1179" i="10"/>
  <c r="BI1179" i="10" s="1"/>
  <c r="BG1179" i="10"/>
  <c r="BM1178" i="10"/>
  <c r="BL1178" i="10"/>
  <c r="BI1178" i="10"/>
  <c r="BH1178" i="10"/>
  <c r="BG1178" i="10"/>
  <c r="BN1177" i="10"/>
  <c r="BM1177" i="10"/>
  <c r="BL1177" i="10"/>
  <c r="BI1177" i="10"/>
  <c r="BH1177" i="10"/>
  <c r="BG1177" i="10"/>
  <c r="BM1176" i="10"/>
  <c r="BL1176" i="10"/>
  <c r="BN1176" i="10" s="1"/>
  <c r="BH1176" i="10"/>
  <c r="BG1176" i="10"/>
  <c r="BI1176" i="10" s="1"/>
  <c r="BM1175" i="10"/>
  <c r="BN1175" i="10" s="1"/>
  <c r="BL1175" i="10"/>
  <c r="BI1175" i="10"/>
  <c r="BH1175" i="10"/>
  <c r="BG1175" i="10"/>
  <c r="BM1174" i="10"/>
  <c r="BL1174" i="10"/>
  <c r="BH1174" i="10"/>
  <c r="BI1174" i="10" s="1"/>
  <c r="BG1174" i="10"/>
  <c r="BN1173" i="10"/>
  <c r="BM1173" i="10"/>
  <c r="BL1173" i="10"/>
  <c r="BI1173" i="10"/>
  <c r="BH1173" i="10"/>
  <c r="BG1173" i="10"/>
  <c r="BN1172" i="10"/>
  <c r="BM1172" i="10"/>
  <c r="BL1172" i="10"/>
  <c r="BH1172" i="10"/>
  <c r="BG1172" i="10"/>
  <c r="BI1172" i="10" s="1"/>
  <c r="BN1171" i="10"/>
  <c r="BM1171" i="10"/>
  <c r="BL1171" i="10"/>
  <c r="BI1171" i="10"/>
  <c r="BH1171" i="10"/>
  <c r="BG1171" i="10"/>
  <c r="BM1170" i="10"/>
  <c r="BL1170" i="10"/>
  <c r="BN1170" i="10" s="1"/>
  <c r="BI1170" i="10"/>
  <c r="BH1170" i="10"/>
  <c r="BG1170" i="10"/>
  <c r="BN1169" i="10"/>
  <c r="BM1169" i="10"/>
  <c r="BL1169" i="10"/>
  <c r="BH1169" i="10"/>
  <c r="BG1169" i="10"/>
  <c r="BI1169" i="10" s="1"/>
  <c r="BM1168" i="10"/>
  <c r="BL1168" i="10"/>
  <c r="BN1168" i="10" s="1"/>
  <c r="BH1168" i="10"/>
  <c r="BG1168" i="10"/>
  <c r="BI1168" i="10" s="1"/>
  <c r="BM1167" i="10"/>
  <c r="BL1167" i="10"/>
  <c r="BN1167" i="10" s="1"/>
  <c r="BH1167" i="10"/>
  <c r="BI1167" i="10" s="1"/>
  <c r="BG1167" i="10"/>
  <c r="BM1166" i="10"/>
  <c r="BL1166" i="10"/>
  <c r="BH1166" i="10"/>
  <c r="BG1166" i="10"/>
  <c r="BI1166" i="10" s="1"/>
  <c r="BM1165" i="10"/>
  <c r="BN1165" i="10" s="1"/>
  <c r="BL1165" i="10"/>
  <c r="BI1165" i="10"/>
  <c r="BH1165" i="10"/>
  <c r="BG1165" i="10"/>
  <c r="BN1164" i="10"/>
  <c r="BM1164" i="10"/>
  <c r="BL1164" i="10"/>
  <c r="BH1164" i="10"/>
  <c r="BG1164" i="10"/>
  <c r="BI1164" i="10" s="1"/>
  <c r="BM1163" i="10"/>
  <c r="BL1163" i="10"/>
  <c r="BN1163" i="10" s="1"/>
  <c r="BH1163" i="10"/>
  <c r="BG1163" i="10"/>
  <c r="BI1163" i="10" s="1"/>
  <c r="BM1162" i="10"/>
  <c r="BL1162" i="10"/>
  <c r="BN1162" i="10" s="1"/>
  <c r="BH1162" i="10"/>
  <c r="BG1162" i="10"/>
  <c r="BI1162" i="10" s="1"/>
  <c r="BN1161" i="10"/>
  <c r="BM1161" i="10"/>
  <c r="BL1161" i="10"/>
  <c r="BI1161" i="10"/>
  <c r="BH1161" i="10"/>
  <c r="BG1161" i="10"/>
  <c r="BM1160" i="10"/>
  <c r="BL1160" i="10"/>
  <c r="BH1160" i="10"/>
  <c r="BG1160" i="10"/>
  <c r="BI1160" i="10" s="1"/>
  <c r="BN1159" i="10"/>
  <c r="BM1159" i="10"/>
  <c r="BL1159" i="10"/>
  <c r="BH1159" i="10"/>
  <c r="BI1159" i="10" s="1"/>
  <c r="BG1159" i="10"/>
  <c r="BM1158" i="10"/>
  <c r="BL1158" i="10"/>
  <c r="BN1158" i="10" s="1"/>
  <c r="BI1158" i="10"/>
  <c r="BH1158" i="10"/>
  <c r="BG1158" i="10"/>
  <c r="BM1157" i="10"/>
  <c r="BN1157" i="10" s="1"/>
  <c r="BL1157" i="10"/>
  <c r="BI1157" i="10"/>
  <c r="BH1157" i="10"/>
  <c r="BG1157" i="10"/>
  <c r="BM1156" i="10"/>
  <c r="BL1156" i="10"/>
  <c r="BN1156" i="10" s="1"/>
  <c r="BH1156" i="10"/>
  <c r="BG1156" i="10"/>
  <c r="BI1156" i="10" s="1"/>
  <c r="BM1155" i="10"/>
  <c r="BN1155" i="10" s="1"/>
  <c r="BL1155" i="10"/>
  <c r="BH1155" i="10"/>
  <c r="BG1155" i="10"/>
  <c r="BM1154" i="10"/>
  <c r="BL1154" i="10"/>
  <c r="BN1154" i="10" s="1"/>
  <c r="BI1154" i="10"/>
  <c r="BH1154" i="10"/>
  <c r="BG1154" i="10"/>
  <c r="BM1153" i="10"/>
  <c r="BN1153" i="10" s="1"/>
  <c r="BL1153" i="10"/>
  <c r="BH1153" i="10"/>
  <c r="BG1153" i="10"/>
  <c r="BI1153" i="10" s="1"/>
  <c r="BN1152" i="10"/>
  <c r="BM1152" i="10"/>
  <c r="BL1152" i="10"/>
  <c r="BI1152" i="10"/>
  <c r="BH1152" i="10"/>
  <c r="BG1152" i="10"/>
  <c r="BM1151" i="10"/>
  <c r="BL1151" i="10"/>
  <c r="BN1151" i="10" s="1"/>
  <c r="BH1151" i="10"/>
  <c r="BG1151" i="10"/>
  <c r="BI1151" i="10" s="1"/>
  <c r="BM1150" i="10"/>
  <c r="BL1150" i="10"/>
  <c r="BI1150" i="10"/>
  <c r="BH1150" i="10"/>
  <c r="BG1150" i="10"/>
  <c r="BN1149" i="10"/>
  <c r="BM1149" i="10"/>
  <c r="BL1149" i="10"/>
  <c r="BH1149" i="10"/>
  <c r="BG1149" i="10"/>
  <c r="BI1149" i="10" s="1"/>
  <c r="BM1148" i="10"/>
  <c r="BN1148" i="10" s="1"/>
  <c r="BL1148" i="10"/>
  <c r="BH1148" i="10"/>
  <c r="BG1148" i="10"/>
  <c r="BI1148" i="10" s="1"/>
  <c r="BM1147" i="10"/>
  <c r="BL1147" i="10"/>
  <c r="BI1147" i="10"/>
  <c r="BH1147" i="10"/>
  <c r="BG1147" i="10"/>
  <c r="BM1146" i="10"/>
  <c r="BL1146" i="10"/>
  <c r="BN1146" i="10" s="1"/>
  <c r="BH1146" i="10"/>
  <c r="BG1146" i="10"/>
  <c r="BI1146" i="10" s="1"/>
  <c r="BN1145" i="10"/>
  <c r="BM1145" i="10"/>
  <c r="BL1145" i="10"/>
  <c r="BH1145" i="10"/>
  <c r="BI1145" i="10" s="1"/>
  <c r="BG1145" i="10"/>
  <c r="BN1144" i="10"/>
  <c r="BM1144" i="10"/>
  <c r="BL1144" i="10"/>
  <c r="BH1144" i="10"/>
  <c r="BG1144" i="10"/>
  <c r="BI1144" i="10" s="1"/>
  <c r="BM1143" i="10"/>
  <c r="BL1143" i="10"/>
  <c r="BN1143" i="10" s="1"/>
  <c r="BH1143" i="10"/>
  <c r="BI1143" i="10" s="1"/>
  <c r="BG1143" i="10"/>
  <c r="BM1142" i="10"/>
  <c r="BL1142" i="10"/>
  <c r="BN1142" i="10" s="1"/>
  <c r="BH1142" i="10"/>
  <c r="BG1142" i="10"/>
  <c r="BI1142" i="10" s="1"/>
  <c r="BM1141" i="10"/>
  <c r="BN1141" i="10" s="1"/>
  <c r="BL1141" i="10"/>
  <c r="BH1141" i="10"/>
  <c r="BG1141" i="10"/>
  <c r="BM1140" i="10"/>
  <c r="BL1140" i="10"/>
  <c r="BN1140" i="10" s="1"/>
  <c r="BI1140" i="10"/>
  <c r="BH1140" i="10"/>
  <c r="BG1140" i="10"/>
  <c r="BM1139" i="10"/>
  <c r="BN1139" i="10" s="1"/>
  <c r="BL1139" i="10"/>
  <c r="BH1139" i="10"/>
  <c r="BG1139" i="10"/>
  <c r="BM1138" i="10"/>
  <c r="BL1138" i="10"/>
  <c r="BH1138" i="10"/>
  <c r="BI1138" i="10" s="1"/>
  <c r="BG1138" i="10"/>
  <c r="BM1137" i="10"/>
  <c r="BN1137" i="10" s="1"/>
  <c r="BL1137" i="10"/>
  <c r="BH1137" i="10"/>
  <c r="BG1137" i="10"/>
  <c r="BI1137" i="10" s="1"/>
  <c r="BN1136" i="10"/>
  <c r="BM1136" i="10"/>
  <c r="BL1136" i="10"/>
  <c r="BI1136" i="10"/>
  <c r="BH1136" i="10"/>
  <c r="BG1136" i="10"/>
  <c r="BM1135" i="10"/>
  <c r="BL1135" i="10"/>
  <c r="BH1135" i="10"/>
  <c r="BG1135" i="10"/>
  <c r="BI1135" i="10" s="1"/>
  <c r="BM1134" i="10"/>
  <c r="BL1134" i="10"/>
  <c r="BH1134" i="10"/>
  <c r="BG1134" i="10"/>
  <c r="BM1133" i="10"/>
  <c r="BN1133" i="10" s="1"/>
  <c r="BL1133" i="10"/>
  <c r="BI1133" i="10"/>
  <c r="BH1133" i="10"/>
  <c r="BG1133" i="10"/>
  <c r="BM1132" i="10"/>
  <c r="BN1132" i="10" s="1"/>
  <c r="BL1132" i="10"/>
  <c r="BI1132" i="10"/>
  <c r="BH1132" i="10"/>
  <c r="BG1132" i="10"/>
  <c r="BM1131" i="10"/>
  <c r="BL1131" i="10"/>
  <c r="BN1131" i="10" s="1"/>
  <c r="BH1131" i="10"/>
  <c r="BG1131" i="10"/>
  <c r="BI1131" i="10" s="1"/>
  <c r="BM1130" i="10"/>
  <c r="BL1130" i="10"/>
  <c r="BH1130" i="10"/>
  <c r="BG1130" i="10"/>
  <c r="BI1130" i="10" s="1"/>
  <c r="BN1129" i="10"/>
  <c r="BM1129" i="10"/>
  <c r="BL1129" i="10"/>
  <c r="BH1129" i="10"/>
  <c r="BI1129" i="10" s="1"/>
  <c r="BG1129" i="10"/>
  <c r="BM1128" i="10"/>
  <c r="BL1128" i="10"/>
  <c r="BN1128" i="10" s="1"/>
  <c r="BH1128" i="10"/>
  <c r="BG1128" i="10"/>
  <c r="BI1128" i="10" s="1"/>
  <c r="BN1127" i="10"/>
  <c r="BM1127" i="10"/>
  <c r="BL1127" i="10"/>
  <c r="BI1127" i="10"/>
  <c r="BH1127" i="10"/>
  <c r="BG1127" i="10"/>
  <c r="BM1126" i="10"/>
  <c r="BL1126" i="10"/>
  <c r="BN1126" i="10" s="1"/>
  <c r="BI1126" i="10"/>
  <c r="BH1126" i="10"/>
  <c r="BG1126" i="10"/>
  <c r="BN1125" i="10"/>
  <c r="BM1125" i="10"/>
  <c r="BL1125" i="10"/>
  <c r="BH1125" i="10"/>
  <c r="BG1125" i="10"/>
  <c r="BI1125" i="10" s="1"/>
  <c r="BM1124" i="10"/>
  <c r="BL1124" i="10"/>
  <c r="BN1124" i="10" s="1"/>
  <c r="BI1124" i="10"/>
  <c r="BH1124" i="10"/>
  <c r="BG1124" i="10"/>
  <c r="BM1123" i="10"/>
  <c r="BN1123" i="10" s="1"/>
  <c r="BL1123" i="10"/>
  <c r="BH1123" i="10"/>
  <c r="BG1123" i="10"/>
  <c r="BI1123" i="10" s="1"/>
  <c r="BM1122" i="10"/>
  <c r="BL1122" i="10"/>
  <c r="BN1122" i="10" s="1"/>
  <c r="BI1122" i="10"/>
  <c r="BH1122" i="10"/>
  <c r="BG1122" i="10"/>
  <c r="BM1121" i="10"/>
  <c r="BN1121" i="10" s="1"/>
  <c r="BL1121" i="10"/>
  <c r="BH1121" i="10"/>
  <c r="BG1121" i="10"/>
  <c r="BI1121" i="10" s="1"/>
  <c r="BN1120" i="10"/>
  <c r="BM1120" i="10"/>
  <c r="BL1120" i="10"/>
  <c r="BI1120" i="10"/>
  <c r="BH1120" i="10"/>
  <c r="BG1120" i="10"/>
  <c r="BM1119" i="10"/>
  <c r="BN1119" i="10" s="1"/>
  <c r="BL1119" i="10"/>
  <c r="BH1119" i="10"/>
  <c r="BG1119" i="10"/>
  <c r="BI1119" i="10" s="1"/>
  <c r="BM1118" i="10"/>
  <c r="BL1118" i="10"/>
  <c r="BH1118" i="10"/>
  <c r="BG1118" i="10"/>
  <c r="BN1117" i="10"/>
  <c r="BM1117" i="10"/>
  <c r="BL1117" i="10"/>
  <c r="BH1117" i="10"/>
  <c r="BG1117" i="10"/>
  <c r="BI1117" i="10" s="1"/>
  <c r="BM1116" i="10"/>
  <c r="BN1116" i="10" s="1"/>
  <c r="BL1116" i="10"/>
  <c r="BH1116" i="10"/>
  <c r="BG1116" i="10"/>
  <c r="BI1116" i="10" s="1"/>
  <c r="BM1115" i="10"/>
  <c r="BL1115" i="10"/>
  <c r="BN1115" i="10" s="1"/>
  <c r="BI1115" i="10"/>
  <c r="BH1115" i="10"/>
  <c r="BG1115" i="10"/>
  <c r="BM1114" i="10"/>
  <c r="BL1114" i="10"/>
  <c r="BN1114" i="10" s="1"/>
  <c r="BH1114" i="10"/>
  <c r="BG1114" i="10"/>
  <c r="BI1114" i="10" s="1"/>
  <c r="BN1113" i="10"/>
  <c r="BM1113" i="10"/>
  <c r="BL1113" i="10"/>
  <c r="BI1113" i="10"/>
  <c r="BH1113" i="10"/>
  <c r="BG1113" i="10"/>
  <c r="BM1112" i="10"/>
  <c r="BL1112" i="10"/>
  <c r="BN1112" i="10" s="1"/>
  <c r="BH1112" i="10"/>
  <c r="BG1112" i="10"/>
  <c r="BI1112" i="10" s="1"/>
  <c r="BM1111" i="10"/>
  <c r="BL1111" i="10"/>
  <c r="BN1111" i="10" s="1"/>
  <c r="BH1111" i="10"/>
  <c r="BI1111" i="10" s="1"/>
  <c r="BG1111" i="10"/>
  <c r="BM1110" i="10"/>
  <c r="BL1110" i="10"/>
  <c r="BN1110" i="10" s="1"/>
  <c r="BH1110" i="10"/>
  <c r="BG1110" i="10"/>
  <c r="BI1110" i="10" s="1"/>
  <c r="BM1109" i="10"/>
  <c r="BN1109" i="10" s="1"/>
  <c r="BL1109" i="10"/>
  <c r="BH1109" i="10"/>
  <c r="BG1109" i="10"/>
  <c r="BM1108" i="10"/>
  <c r="BL1108" i="10"/>
  <c r="BI1108" i="10"/>
  <c r="BH1108" i="10"/>
  <c r="BG1108" i="10"/>
  <c r="BM1107" i="10"/>
  <c r="BN1107" i="10" s="1"/>
  <c r="BL1107" i="10"/>
  <c r="BH1107" i="10"/>
  <c r="BG1107" i="10"/>
  <c r="BI1107" i="10" s="1"/>
  <c r="BM1106" i="10"/>
  <c r="BL1106" i="10"/>
  <c r="BH1106" i="10"/>
  <c r="BI1106" i="10" s="1"/>
  <c r="BG1106" i="10"/>
  <c r="BN1105" i="10"/>
  <c r="BM1105" i="10"/>
  <c r="BL1105" i="10"/>
  <c r="BH1105" i="10"/>
  <c r="BG1105" i="10"/>
  <c r="BI1105" i="10" s="1"/>
  <c r="BM1104" i="10"/>
  <c r="BL1104" i="10"/>
  <c r="BN1104" i="10" s="1"/>
  <c r="BI1104" i="10"/>
  <c r="BH1104" i="10"/>
  <c r="BG1104" i="10"/>
  <c r="BM1103" i="10"/>
  <c r="BL1103" i="10"/>
  <c r="BN1103" i="10" s="1"/>
  <c r="BH1103" i="10"/>
  <c r="BG1103" i="10"/>
  <c r="BI1103" i="10" s="1"/>
  <c r="BM1102" i="10"/>
  <c r="BL1102" i="10"/>
  <c r="BH1102" i="10"/>
  <c r="BG1102" i="10"/>
  <c r="BI1102" i="10" s="1"/>
  <c r="BM1101" i="10"/>
  <c r="BL1101" i="10"/>
  <c r="BN1101" i="10" s="1"/>
  <c r="BI1101" i="10"/>
  <c r="BH1101" i="10"/>
  <c r="BG1101" i="10"/>
  <c r="BN1100" i="10"/>
  <c r="BM1100" i="10"/>
  <c r="BL1100" i="10"/>
  <c r="BH1100" i="10"/>
  <c r="BG1100" i="10"/>
  <c r="BI1100" i="10" s="1"/>
  <c r="BM1099" i="10"/>
  <c r="BL1099" i="10"/>
  <c r="BN1099" i="10" s="1"/>
  <c r="BI1099" i="10"/>
  <c r="BH1099" i="10"/>
  <c r="BG1099" i="10"/>
  <c r="BM1098" i="10"/>
  <c r="BL1098" i="10"/>
  <c r="BN1098" i="10" s="1"/>
  <c r="BH1098" i="10"/>
  <c r="BG1098" i="10"/>
  <c r="BM1097" i="10"/>
  <c r="BL1097" i="10"/>
  <c r="BI1097" i="10"/>
  <c r="BH1097" i="10"/>
  <c r="BG1097" i="10"/>
  <c r="BM1096" i="10"/>
  <c r="BN1096" i="10" s="1"/>
  <c r="BL1096" i="10"/>
  <c r="BI1096" i="10"/>
  <c r="BH1096" i="10"/>
  <c r="BG1096" i="10"/>
  <c r="BM1095" i="10"/>
  <c r="BL1095" i="10"/>
  <c r="BN1095" i="10" s="1"/>
  <c r="BH1095" i="10"/>
  <c r="BG1095" i="10"/>
  <c r="BI1095" i="10" s="1"/>
  <c r="BM1094" i="10"/>
  <c r="BN1094" i="10" s="1"/>
  <c r="BL1094" i="10"/>
  <c r="BH1094" i="10"/>
  <c r="BG1094" i="10"/>
  <c r="BI1094" i="10" s="1"/>
  <c r="BM1093" i="10"/>
  <c r="BL1093" i="10"/>
  <c r="BN1093" i="10" s="1"/>
  <c r="BI1093" i="10"/>
  <c r="BH1093" i="10"/>
  <c r="BG1093" i="10"/>
  <c r="BM1092" i="10"/>
  <c r="BN1092" i="10" s="1"/>
  <c r="BL1092" i="10"/>
  <c r="BH1092" i="10"/>
  <c r="BG1092" i="10"/>
  <c r="BI1092" i="10" s="1"/>
  <c r="BN1091" i="10"/>
  <c r="BM1091" i="10"/>
  <c r="BL1091" i="10"/>
  <c r="BH1091" i="10"/>
  <c r="BG1091" i="10"/>
  <c r="BI1091" i="10" s="1"/>
  <c r="BN1090" i="10"/>
  <c r="BM1090" i="10"/>
  <c r="BL1090" i="10"/>
  <c r="BH1090" i="10"/>
  <c r="BG1090" i="10"/>
  <c r="BM1089" i="10"/>
  <c r="BL1089" i="10"/>
  <c r="BN1089" i="10" s="1"/>
  <c r="BH1089" i="10"/>
  <c r="BI1089" i="10" s="1"/>
  <c r="BG1089" i="10"/>
  <c r="BM1088" i="10"/>
  <c r="BN1088" i="10" s="1"/>
  <c r="BL1088" i="10"/>
  <c r="BH1088" i="10"/>
  <c r="BG1088" i="10"/>
  <c r="BI1088" i="10" s="1"/>
  <c r="BN1087" i="10"/>
  <c r="BM1087" i="10"/>
  <c r="BL1087" i="10"/>
  <c r="BI1087" i="10"/>
  <c r="BH1087" i="10"/>
  <c r="BG1087" i="10"/>
  <c r="BM1086" i="10"/>
  <c r="BL1086" i="10"/>
  <c r="BN1086" i="10" s="1"/>
  <c r="BH1086" i="10"/>
  <c r="BG1086" i="10"/>
  <c r="BM1085" i="10"/>
  <c r="BL1085" i="10"/>
  <c r="BH1085" i="10"/>
  <c r="BI1085" i="10" s="1"/>
  <c r="BG1085" i="10"/>
  <c r="BN1084" i="10"/>
  <c r="BM1084" i="10"/>
  <c r="BL1084" i="10"/>
  <c r="BI1084" i="10"/>
  <c r="BH1084" i="10"/>
  <c r="BG1084" i="10"/>
  <c r="BN1083" i="10"/>
  <c r="BM1083" i="10"/>
  <c r="BL1083" i="10"/>
  <c r="BI1083" i="10"/>
  <c r="BH1083" i="10"/>
  <c r="BG1083" i="10"/>
  <c r="BM1082" i="10"/>
  <c r="BL1082" i="10"/>
  <c r="BN1082" i="10" s="1"/>
  <c r="BH1082" i="10"/>
  <c r="BG1082" i="10"/>
  <c r="BM1081" i="10"/>
  <c r="BL1081" i="10"/>
  <c r="BI1081" i="10"/>
  <c r="BH1081" i="10"/>
  <c r="BG1081" i="10"/>
  <c r="BN1080" i="10"/>
  <c r="BM1080" i="10"/>
  <c r="BL1080" i="10"/>
  <c r="BI1080" i="10"/>
  <c r="BH1080" i="10"/>
  <c r="BG1080" i="10"/>
  <c r="BM1079" i="10"/>
  <c r="BL1079" i="10"/>
  <c r="BN1079" i="10" s="1"/>
  <c r="BI1079" i="10"/>
  <c r="BH1079" i="10"/>
  <c r="BG1079" i="10"/>
  <c r="BM1078" i="10"/>
  <c r="BN1078" i="10" s="1"/>
  <c r="BL1078" i="10"/>
  <c r="BH1078" i="10"/>
  <c r="BG1078" i="10"/>
  <c r="BI1078" i="10" s="1"/>
  <c r="BM1077" i="10"/>
  <c r="BL1077" i="10"/>
  <c r="BN1077" i="10" s="1"/>
  <c r="BI1077" i="10"/>
  <c r="BH1077" i="10"/>
  <c r="BG1077" i="10"/>
  <c r="BM1076" i="10"/>
  <c r="BN1076" i="10" s="1"/>
  <c r="BL1076" i="10"/>
  <c r="BH1076" i="10"/>
  <c r="BG1076" i="10"/>
  <c r="BI1076" i="10" s="1"/>
  <c r="BN1075" i="10"/>
  <c r="BM1075" i="10"/>
  <c r="BL1075" i="10"/>
  <c r="BH1075" i="10"/>
  <c r="BG1075" i="10"/>
  <c r="BI1075" i="10" s="1"/>
  <c r="BN1074" i="10"/>
  <c r="BM1074" i="10"/>
  <c r="BL1074" i="10"/>
  <c r="BH1074" i="10"/>
  <c r="BG1074" i="10"/>
  <c r="BM1073" i="10"/>
  <c r="BL1073" i="10"/>
  <c r="BN1073" i="10" s="1"/>
  <c r="BH1073" i="10"/>
  <c r="BI1073" i="10" s="1"/>
  <c r="BG1073" i="10"/>
  <c r="BM1072" i="10"/>
  <c r="BN1072" i="10" s="1"/>
  <c r="BL1072" i="10"/>
  <c r="BH1072" i="10"/>
  <c r="BG1072" i="10"/>
  <c r="BN1071" i="10"/>
  <c r="BM1071" i="10"/>
  <c r="BL1071" i="10"/>
  <c r="BI1071" i="10"/>
  <c r="BH1071" i="10"/>
  <c r="BG1071" i="10"/>
  <c r="BN1070" i="10"/>
  <c r="BM1070" i="10"/>
  <c r="BL1070" i="10"/>
  <c r="BH1070" i="10"/>
  <c r="BG1070" i="10"/>
  <c r="BM1069" i="10"/>
  <c r="BL1069" i="10"/>
  <c r="BH1069" i="10"/>
  <c r="BI1069" i="10" s="1"/>
  <c r="BG1069" i="10"/>
  <c r="BN1068" i="10"/>
  <c r="BM1068" i="10"/>
  <c r="BL1068" i="10"/>
  <c r="BI1068" i="10"/>
  <c r="BH1068" i="10"/>
  <c r="BG1068" i="10"/>
  <c r="BM1067" i="10"/>
  <c r="BL1067" i="10"/>
  <c r="BN1067" i="10" s="1"/>
  <c r="BI1067" i="10"/>
  <c r="BH1067" i="10"/>
  <c r="BG1067" i="10"/>
  <c r="BM1066" i="10"/>
  <c r="BL1066" i="10"/>
  <c r="BN1066" i="10" s="1"/>
  <c r="BH1066" i="10"/>
  <c r="BG1066" i="10"/>
  <c r="BI1066" i="10" s="1"/>
  <c r="BM1065" i="10"/>
  <c r="BL1065" i="10"/>
  <c r="BI1065" i="10"/>
  <c r="BH1065" i="10"/>
  <c r="BG1065" i="10"/>
  <c r="BN1064" i="10"/>
  <c r="BM1064" i="10"/>
  <c r="BL1064" i="10"/>
  <c r="BI1064" i="10"/>
  <c r="BH1064" i="10"/>
  <c r="BG1064" i="10"/>
  <c r="BM1063" i="10"/>
  <c r="BL1063" i="10"/>
  <c r="BN1063" i="10" s="1"/>
  <c r="BH1063" i="10"/>
  <c r="BG1063" i="10"/>
  <c r="BI1063" i="10" s="1"/>
  <c r="BM1062" i="10"/>
  <c r="BN1062" i="10" s="1"/>
  <c r="BL1062" i="10"/>
  <c r="BH1062" i="10"/>
  <c r="BG1062" i="10"/>
  <c r="BI1062" i="10" s="1"/>
  <c r="BM1061" i="10"/>
  <c r="BL1061" i="10"/>
  <c r="BN1061" i="10" s="1"/>
  <c r="BI1061" i="10"/>
  <c r="BH1061" i="10"/>
  <c r="BG1061" i="10"/>
  <c r="BM1060" i="10"/>
  <c r="BN1060" i="10" s="1"/>
  <c r="BL1060" i="10"/>
  <c r="BH1060" i="10"/>
  <c r="BG1060" i="10"/>
  <c r="BI1060" i="10" s="1"/>
  <c r="BN1059" i="10"/>
  <c r="BM1059" i="10"/>
  <c r="BL1059" i="10"/>
  <c r="BH1059" i="10"/>
  <c r="BG1059" i="10"/>
  <c r="BI1059" i="10" s="1"/>
  <c r="BN1058" i="10"/>
  <c r="BM1058" i="10"/>
  <c r="BL1058" i="10"/>
  <c r="BH1058" i="10"/>
  <c r="BG1058" i="10"/>
  <c r="BM1057" i="10"/>
  <c r="BL1057" i="10"/>
  <c r="BN1057" i="10" s="1"/>
  <c r="BH1057" i="10"/>
  <c r="BI1057" i="10" s="1"/>
  <c r="BG1057" i="10"/>
  <c r="BM1056" i="10"/>
  <c r="BN1056" i="10" s="1"/>
  <c r="BL1056" i="10"/>
  <c r="BH1056" i="10"/>
  <c r="BG1056" i="10"/>
  <c r="BN1055" i="10"/>
  <c r="BM1055" i="10"/>
  <c r="BL1055" i="10"/>
  <c r="BI1055" i="10"/>
  <c r="BH1055" i="10"/>
  <c r="BG1055" i="10"/>
  <c r="BM1054" i="10"/>
  <c r="BL1054" i="10"/>
  <c r="BN1054" i="10" s="1"/>
  <c r="BH1054" i="10"/>
  <c r="BG1054" i="10"/>
  <c r="BM1053" i="10"/>
  <c r="BL1053" i="10"/>
  <c r="BH1053" i="10"/>
  <c r="BI1053" i="10" s="1"/>
  <c r="BG1053" i="10"/>
  <c r="BM1052" i="10"/>
  <c r="BN1052" i="10" s="1"/>
  <c r="BL1052" i="10"/>
  <c r="BI1052" i="10"/>
  <c r="BH1052" i="10"/>
  <c r="BG1052" i="10"/>
  <c r="BN1051" i="10"/>
  <c r="BM1051" i="10"/>
  <c r="BL1051" i="10"/>
  <c r="BI1051" i="10"/>
  <c r="BH1051" i="10"/>
  <c r="BG1051" i="10"/>
  <c r="BM1050" i="10"/>
  <c r="BL1050" i="10"/>
  <c r="BN1050" i="10" s="1"/>
  <c r="BH1050" i="10"/>
  <c r="BG1050" i="10"/>
  <c r="BI1050" i="10" s="1"/>
  <c r="BM1049" i="10"/>
  <c r="BL1049" i="10"/>
  <c r="BI1049" i="10"/>
  <c r="BH1049" i="10"/>
  <c r="BG1049" i="10"/>
  <c r="BM1048" i="10"/>
  <c r="BN1048" i="10" s="1"/>
  <c r="BL1048" i="10"/>
  <c r="BI1048" i="10"/>
  <c r="BH1048" i="10"/>
  <c r="BG1048" i="10"/>
  <c r="BM1047" i="10"/>
  <c r="BL1047" i="10"/>
  <c r="BN1047" i="10" s="1"/>
  <c r="BH1047" i="10"/>
  <c r="BG1047" i="10"/>
  <c r="BI1047" i="10" s="1"/>
  <c r="BM1046" i="10"/>
  <c r="BN1046" i="10" s="1"/>
  <c r="BL1046" i="10"/>
  <c r="BH1046" i="10"/>
  <c r="BG1046" i="10"/>
  <c r="BI1046" i="10" s="1"/>
  <c r="BM1045" i="10"/>
  <c r="BL1045" i="10"/>
  <c r="BN1045" i="10" s="1"/>
  <c r="BI1045" i="10"/>
  <c r="BH1045" i="10"/>
  <c r="BG1045" i="10"/>
  <c r="BM1044" i="10"/>
  <c r="BN1044" i="10" s="1"/>
  <c r="BL1044" i="10"/>
  <c r="BH1044" i="10"/>
  <c r="BG1044" i="10"/>
  <c r="BI1044" i="10" s="1"/>
  <c r="BN1043" i="10"/>
  <c r="BM1043" i="10"/>
  <c r="BL1043" i="10"/>
  <c r="BH1043" i="10"/>
  <c r="BG1043" i="10"/>
  <c r="BI1043" i="10" s="1"/>
  <c r="BN1042" i="10"/>
  <c r="BM1042" i="10"/>
  <c r="BL1042" i="10"/>
  <c r="BH1042" i="10"/>
  <c r="BG1042" i="10"/>
  <c r="BM1041" i="10"/>
  <c r="BL1041" i="10"/>
  <c r="BN1041" i="10" s="1"/>
  <c r="BH1041" i="10"/>
  <c r="BI1041" i="10" s="1"/>
  <c r="BG1041" i="10"/>
  <c r="BM1040" i="10"/>
  <c r="BN1040" i="10" s="1"/>
  <c r="BL1040" i="10"/>
  <c r="BH1040" i="10"/>
  <c r="BG1040" i="10"/>
  <c r="BI1040" i="10" s="1"/>
  <c r="BN1039" i="10"/>
  <c r="BM1039" i="10"/>
  <c r="BL1039" i="10"/>
  <c r="BI1039" i="10"/>
  <c r="BH1039" i="10"/>
  <c r="BG1039" i="10"/>
  <c r="BM1038" i="10"/>
  <c r="BL1038" i="10"/>
  <c r="BH1038" i="10"/>
  <c r="BG1038" i="10"/>
  <c r="BM1037" i="10"/>
  <c r="BL1037" i="10"/>
  <c r="BH1037" i="10"/>
  <c r="BI1037" i="10" s="1"/>
  <c r="BG1037" i="10"/>
  <c r="BN1036" i="10"/>
  <c r="BM1036" i="10"/>
  <c r="BL1036" i="10"/>
  <c r="BI1036" i="10"/>
  <c r="BH1036" i="10"/>
  <c r="BG1036" i="10"/>
  <c r="BM1035" i="10"/>
  <c r="BL1035" i="10"/>
  <c r="BN1035" i="10" s="1"/>
  <c r="BI1035" i="10"/>
  <c r="BH1035" i="10"/>
  <c r="BG1035" i="10"/>
  <c r="BM1034" i="10"/>
  <c r="BL1034" i="10"/>
  <c r="BN1034" i="10" s="1"/>
  <c r="BH1034" i="10"/>
  <c r="BG1034" i="10"/>
  <c r="BM1033" i="10"/>
  <c r="BL1033" i="10"/>
  <c r="BI1033" i="10"/>
  <c r="BH1033" i="10"/>
  <c r="BG1033" i="10"/>
  <c r="BM1032" i="10"/>
  <c r="BN1032" i="10" s="1"/>
  <c r="BL1032" i="10"/>
  <c r="BI1032" i="10"/>
  <c r="BH1032" i="10"/>
  <c r="BG1032" i="10"/>
  <c r="BM1031" i="10"/>
  <c r="BL1031" i="10"/>
  <c r="BN1031" i="10" s="1"/>
  <c r="BH1031" i="10"/>
  <c r="BG1031" i="10"/>
  <c r="BI1031" i="10" s="1"/>
  <c r="BM1030" i="10"/>
  <c r="BN1030" i="10" s="1"/>
  <c r="BL1030" i="10"/>
  <c r="BH1030" i="10"/>
  <c r="BG1030" i="10"/>
  <c r="BI1030" i="10" s="1"/>
  <c r="BM1029" i="10"/>
  <c r="BL1029" i="10"/>
  <c r="BN1029" i="10" s="1"/>
  <c r="BI1029" i="10"/>
  <c r="BH1029" i="10"/>
  <c r="BG1029" i="10"/>
  <c r="BM1028" i="10"/>
  <c r="BN1028" i="10" s="1"/>
  <c r="BL1028" i="10"/>
  <c r="BH1028" i="10"/>
  <c r="BG1028" i="10"/>
  <c r="BI1028" i="10" s="1"/>
  <c r="BN1027" i="10"/>
  <c r="BM1027" i="10"/>
  <c r="BL1027" i="10"/>
  <c r="BH1027" i="10"/>
  <c r="BG1027" i="10"/>
  <c r="BI1027" i="10" s="1"/>
  <c r="BN1026" i="10"/>
  <c r="BM1026" i="10"/>
  <c r="BL1026" i="10"/>
  <c r="BH1026" i="10"/>
  <c r="BG1026" i="10"/>
  <c r="BM1025" i="10"/>
  <c r="BL1025" i="10"/>
  <c r="BN1025" i="10" s="1"/>
  <c r="BH1025" i="10"/>
  <c r="BI1025" i="10" s="1"/>
  <c r="BG1025" i="10"/>
  <c r="BM1024" i="10"/>
  <c r="BN1024" i="10" s="1"/>
  <c r="BL1024" i="10"/>
  <c r="BH1024" i="10"/>
  <c r="BG1024" i="10"/>
  <c r="BI1024" i="10" s="1"/>
  <c r="BN1023" i="10"/>
  <c r="BM1023" i="10"/>
  <c r="BL1023" i="10"/>
  <c r="BI1023" i="10"/>
  <c r="BH1023" i="10"/>
  <c r="BG1023" i="10"/>
  <c r="BM1022" i="10"/>
  <c r="BL1022" i="10"/>
  <c r="BN1022" i="10" s="1"/>
  <c r="BH1022" i="10"/>
  <c r="BG1022" i="10"/>
  <c r="BM1021" i="10"/>
  <c r="BL1021" i="10"/>
  <c r="BH1021" i="10"/>
  <c r="BI1021" i="10" s="1"/>
  <c r="BG1021" i="10"/>
  <c r="BN1020" i="10"/>
  <c r="BM1020" i="10"/>
  <c r="BL1020" i="10"/>
  <c r="BI1020" i="10"/>
  <c r="BH1020" i="10"/>
  <c r="BG1020" i="10"/>
  <c r="BN1019" i="10"/>
  <c r="BM1019" i="10"/>
  <c r="BL1019" i="10"/>
  <c r="BI1019" i="10"/>
  <c r="BH1019" i="10"/>
  <c r="BG1019" i="10"/>
  <c r="BM1018" i="10"/>
  <c r="BL1018" i="10"/>
  <c r="BN1018" i="10" s="1"/>
  <c r="BH1018" i="10"/>
  <c r="BG1018" i="10"/>
  <c r="BN1017" i="10"/>
  <c r="BM1017" i="10"/>
  <c r="BL1017" i="10"/>
  <c r="BH1017" i="10"/>
  <c r="BI1017" i="10" s="1"/>
  <c r="BG1017" i="10"/>
  <c r="BM1016" i="10"/>
  <c r="BN1016" i="10" s="1"/>
  <c r="BL1016" i="10"/>
  <c r="BH1016" i="10"/>
  <c r="BI1016" i="10" s="1"/>
  <c r="BG1016" i="10"/>
  <c r="BM1015" i="10"/>
  <c r="BL1015" i="10"/>
  <c r="BN1015" i="10" s="1"/>
  <c r="BH1015" i="10"/>
  <c r="BI1015" i="10" s="1"/>
  <c r="BG1015" i="10"/>
  <c r="BN1014" i="10"/>
  <c r="BM1014" i="10"/>
  <c r="BL1014" i="10"/>
  <c r="BH1014" i="10"/>
  <c r="BG1014" i="10"/>
  <c r="BI1014" i="10" s="1"/>
  <c r="BM1013" i="10"/>
  <c r="BN1013" i="10" s="1"/>
  <c r="BL1013" i="10"/>
  <c r="BI1013" i="10"/>
  <c r="BH1013" i="10"/>
  <c r="BG1013" i="10"/>
  <c r="BM1012" i="10"/>
  <c r="BL1012" i="10"/>
  <c r="BN1012" i="10" s="1"/>
  <c r="BI1012" i="10"/>
  <c r="BH1012" i="10"/>
  <c r="BG1012" i="10"/>
  <c r="BM1011" i="10"/>
  <c r="BL1011" i="10"/>
  <c r="BN1011" i="10" s="1"/>
  <c r="BH1011" i="10"/>
  <c r="BG1011" i="10"/>
  <c r="BI1011" i="10" s="1"/>
  <c r="BM1010" i="10"/>
  <c r="BN1010" i="10" s="1"/>
  <c r="BL1010" i="10"/>
  <c r="BH1010" i="10"/>
  <c r="BG1010" i="10"/>
  <c r="BI1010" i="10" s="1"/>
  <c r="BN1009" i="10"/>
  <c r="BM1009" i="10"/>
  <c r="BL1009" i="10"/>
  <c r="BH1009" i="10"/>
  <c r="BI1009" i="10" s="1"/>
  <c r="BG1009" i="10"/>
  <c r="BM1008" i="10"/>
  <c r="BL1008" i="10"/>
  <c r="BN1008" i="10" s="1"/>
  <c r="BH1008" i="10"/>
  <c r="BI1008" i="10" s="1"/>
  <c r="BG1008" i="10"/>
  <c r="BN1007" i="10"/>
  <c r="BM1007" i="10"/>
  <c r="BL1007" i="10"/>
  <c r="BH1007" i="10"/>
  <c r="BI1007" i="10" s="1"/>
  <c r="BG1007" i="10"/>
  <c r="BN1006" i="10"/>
  <c r="BM1006" i="10"/>
  <c r="BL1006" i="10"/>
  <c r="BH1006" i="10"/>
  <c r="BG1006" i="10"/>
  <c r="BI1006" i="10" s="1"/>
  <c r="BM1005" i="10"/>
  <c r="BN1005" i="10" s="1"/>
  <c r="BL1005" i="10"/>
  <c r="BH1005" i="10"/>
  <c r="BI1005" i="10" s="1"/>
  <c r="BG1005" i="10"/>
  <c r="BM1004" i="10"/>
  <c r="BL1004" i="10"/>
  <c r="BH1004" i="10"/>
  <c r="BI1004" i="10" s="1"/>
  <c r="BG1004" i="10"/>
  <c r="BN1003" i="10"/>
  <c r="BM1003" i="10"/>
  <c r="BL1003" i="10"/>
  <c r="BH1003" i="10"/>
  <c r="BG1003" i="10"/>
  <c r="BI1003" i="10" s="1"/>
  <c r="BM1002" i="10"/>
  <c r="BL1002" i="10"/>
  <c r="BN1002" i="10" s="1"/>
  <c r="BH1002" i="10"/>
  <c r="BG1002" i="10"/>
  <c r="BI1002" i="10" s="1"/>
  <c r="BM1001" i="10"/>
  <c r="BL1001" i="10"/>
  <c r="BN1001" i="10" s="1"/>
  <c r="BH1001" i="10"/>
  <c r="BI1001" i="10" s="1"/>
  <c r="BG1001" i="10"/>
  <c r="BM1000" i="10"/>
  <c r="BL1000" i="10"/>
  <c r="BN1000" i="10" s="1"/>
  <c r="BH1000" i="10"/>
  <c r="BI1000" i="10" s="1"/>
  <c r="BG1000" i="10"/>
  <c r="BN999" i="10"/>
  <c r="BM999" i="10"/>
  <c r="BL999" i="10"/>
  <c r="BH999" i="10"/>
  <c r="BI999" i="10" s="1"/>
  <c r="BG999" i="10"/>
  <c r="BM998" i="10"/>
  <c r="BL998" i="10"/>
  <c r="BN998" i="10" s="1"/>
  <c r="BH998" i="10"/>
  <c r="BG998" i="10"/>
  <c r="BI998" i="10" s="1"/>
  <c r="BN997" i="10"/>
  <c r="BM997" i="10"/>
  <c r="BL997" i="10"/>
  <c r="BH997" i="10"/>
  <c r="BI997" i="10" s="1"/>
  <c r="BG997" i="10"/>
  <c r="BM996" i="10"/>
  <c r="BL996" i="10"/>
  <c r="BN996" i="10" s="1"/>
  <c r="BH996" i="10"/>
  <c r="BI996" i="10" s="1"/>
  <c r="BG996" i="10"/>
  <c r="BN995" i="10"/>
  <c r="BM995" i="10"/>
  <c r="BL995" i="10"/>
  <c r="BH995" i="10"/>
  <c r="BI995" i="10" s="1"/>
  <c r="BG995" i="10"/>
  <c r="BN994" i="10"/>
  <c r="BM994" i="10"/>
  <c r="BL994" i="10"/>
  <c r="BH994" i="10"/>
  <c r="BG994" i="10"/>
  <c r="BI994" i="10" s="1"/>
  <c r="BM993" i="10"/>
  <c r="BN993" i="10" s="1"/>
  <c r="BL993" i="10"/>
  <c r="BH993" i="10"/>
  <c r="BI993" i="10" s="1"/>
  <c r="BG993" i="10"/>
  <c r="BM992" i="10"/>
  <c r="BL992" i="10"/>
  <c r="BN992" i="10" s="1"/>
  <c r="BH992" i="10"/>
  <c r="BI992" i="10" s="1"/>
  <c r="BG992" i="10"/>
  <c r="BN991" i="10"/>
  <c r="BM991" i="10"/>
  <c r="BL991" i="10"/>
  <c r="BH991" i="10"/>
  <c r="BG991" i="10"/>
  <c r="BI991" i="10" s="1"/>
  <c r="BN990" i="10"/>
  <c r="BM990" i="10"/>
  <c r="BL990" i="10"/>
  <c r="BH990" i="10"/>
  <c r="BG990" i="10"/>
  <c r="BI990" i="10" s="1"/>
  <c r="BM989" i="10"/>
  <c r="BL989" i="10"/>
  <c r="BN989" i="10" s="1"/>
  <c r="BH989" i="10"/>
  <c r="BI989" i="10" s="1"/>
  <c r="BG989" i="10"/>
  <c r="BM988" i="10"/>
  <c r="BL988" i="10"/>
  <c r="BN988" i="10" s="1"/>
  <c r="BI988" i="10"/>
  <c r="BH988" i="10"/>
  <c r="BG988" i="10"/>
  <c r="BN987" i="10"/>
  <c r="BM987" i="10"/>
  <c r="BL987" i="10"/>
  <c r="BH987" i="10"/>
  <c r="BG987" i="10"/>
  <c r="BI987" i="10" s="1"/>
  <c r="BM986" i="10"/>
  <c r="BL986" i="10"/>
  <c r="BN986" i="10" s="1"/>
  <c r="BH986" i="10"/>
  <c r="BG986" i="10"/>
  <c r="BI986" i="10" s="1"/>
  <c r="BN985" i="10"/>
  <c r="BM985" i="10"/>
  <c r="BL985" i="10"/>
  <c r="BH985" i="10"/>
  <c r="BI985" i="10" s="1"/>
  <c r="BG985" i="10"/>
  <c r="BM984" i="10"/>
  <c r="BL984" i="10"/>
  <c r="BN984" i="10" s="1"/>
  <c r="BH984" i="10"/>
  <c r="BI984" i="10" s="1"/>
  <c r="BG984" i="10"/>
  <c r="BN983" i="10"/>
  <c r="BM983" i="10"/>
  <c r="BL983" i="10"/>
  <c r="BH983" i="10"/>
  <c r="BG983" i="10"/>
  <c r="BN982" i="10"/>
  <c r="BM982" i="10"/>
  <c r="BL982" i="10"/>
  <c r="BH982" i="10"/>
  <c r="BG982" i="10"/>
  <c r="BI982" i="10" s="1"/>
  <c r="BM981" i="10"/>
  <c r="BL981" i="10"/>
  <c r="BN981" i="10" s="1"/>
  <c r="BH981" i="10"/>
  <c r="BI981" i="10" s="1"/>
  <c r="BG981" i="10"/>
  <c r="BM980" i="10"/>
  <c r="BL980" i="10"/>
  <c r="BI980" i="10"/>
  <c r="BH980" i="10"/>
  <c r="BG980" i="10"/>
  <c r="BN979" i="10"/>
  <c r="BM979" i="10"/>
  <c r="BL979" i="10"/>
  <c r="BI979" i="10"/>
  <c r="BH979" i="10"/>
  <c r="BG979" i="10"/>
  <c r="BM978" i="10"/>
  <c r="BL978" i="10"/>
  <c r="BN978" i="10" s="1"/>
  <c r="BH978" i="10"/>
  <c r="BG978" i="10"/>
  <c r="BI978" i="10" s="1"/>
  <c r="BN977" i="10"/>
  <c r="BM977" i="10"/>
  <c r="BL977" i="10"/>
  <c r="BH977" i="10"/>
  <c r="BI977" i="10" s="1"/>
  <c r="BG977" i="10"/>
  <c r="BM976" i="10"/>
  <c r="BL976" i="10"/>
  <c r="BN976" i="10" s="1"/>
  <c r="BH976" i="10"/>
  <c r="BI976" i="10" s="1"/>
  <c r="BG976" i="10"/>
  <c r="BN975" i="10"/>
  <c r="BM975" i="10"/>
  <c r="BL975" i="10"/>
  <c r="BH975" i="10"/>
  <c r="BG975" i="10"/>
  <c r="BI975" i="10" s="1"/>
  <c r="BN974" i="10"/>
  <c r="BM974" i="10"/>
  <c r="BL974" i="10"/>
  <c r="BH974" i="10"/>
  <c r="BG974" i="10"/>
  <c r="BI974" i="10" s="1"/>
  <c r="BM973" i="10"/>
  <c r="BL973" i="10"/>
  <c r="BN973" i="10" s="1"/>
  <c r="BH973" i="10"/>
  <c r="BI973" i="10" s="1"/>
  <c r="BG973" i="10"/>
  <c r="BM972" i="10"/>
  <c r="BL972" i="10"/>
  <c r="BI972" i="10"/>
  <c r="BH972" i="10"/>
  <c r="BG972" i="10"/>
  <c r="BN971" i="10"/>
  <c r="BM971" i="10"/>
  <c r="BL971" i="10"/>
  <c r="BH971" i="10"/>
  <c r="BG971" i="10"/>
  <c r="BI971" i="10" s="1"/>
  <c r="BN970" i="10"/>
  <c r="BM970" i="10"/>
  <c r="BL970" i="10"/>
  <c r="BH970" i="10"/>
  <c r="BG970" i="10"/>
  <c r="BI970" i="10" s="1"/>
  <c r="BM969" i="10"/>
  <c r="BL969" i="10"/>
  <c r="BN969" i="10" s="1"/>
  <c r="BH969" i="10"/>
  <c r="BI969" i="10" s="1"/>
  <c r="BG969" i="10"/>
  <c r="BM968" i="10"/>
  <c r="BL968" i="10"/>
  <c r="BN968" i="10" s="1"/>
  <c r="BH968" i="10"/>
  <c r="BI968" i="10" s="1"/>
  <c r="BG968" i="10"/>
  <c r="BN967" i="10"/>
  <c r="BM967" i="10"/>
  <c r="BL967" i="10"/>
  <c r="BI967" i="10"/>
  <c r="BH967" i="10"/>
  <c r="BG967" i="10"/>
  <c r="BM966" i="10"/>
  <c r="BL966" i="10"/>
  <c r="BN966" i="10" s="1"/>
  <c r="BH966" i="10"/>
  <c r="BG966" i="10"/>
  <c r="BI966" i="10" s="1"/>
  <c r="BM965" i="10"/>
  <c r="BN965" i="10" s="1"/>
  <c r="BL965" i="10"/>
  <c r="BH965" i="10"/>
  <c r="BI965" i="10" s="1"/>
  <c r="BG965" i="10"/>
  <c r="BM964" i="10"/>
  <c r="BL964" i="10"/>
  <c r="BN964" i="10" s="1"/>
  <c r="BH964" i="10"/>
  <c r="BI964" i="10" s="1"/>
  <c r="BG964" i="10"/>
  <c r="BN963" i="10"/>
  <c r="BM963" i="10"/>
  <c r="BL963" i="10"/>
  <c r="BH963" i="10"/>
  <c r="BI963" i="10" s="1"/>
  <c r="BG963" i="10"/>
  <c r="BN962" i="10"/>
  <c r="BM962" i="10"/>
  <c r="BL962" i="10"/>
  <c r="BH962" i="10"/>
  <c r="BG962" i="10"/>
  <c r="BI962" i="10" s="1"/>
  <c r="BM961" i="10"/>
  <c r="BN961" i="10" s="1"/>
  <c r="BL961" i="10"/>
  <c r="BH961" i="10"/>
  <c r="BI961" i="10" s="1"/>
  <c r="BG961" i="10"/>
  <c r="BM960" i="10"/>
  <c r="BL960" i="10"/>
  <c r="BN960" i="10" s="1"/>
  <c r="BH960" i="10"/>
  <c r="BI960" i="10" s="1"/>
  <c r="BG960" i="10"/>
  <c r="BN959" i="10"/>
  <c r="BM959" i="10"/>
  <c r="BL959" i="10"/>
  <c r="BH959" i="10"/>
  <c r="BG959" i="10"/>
  <c r="BI959" i="10" s="1"/>
  <c r="BM958" i="10"/>
  <c r="BL958" i="10"/>
  <c r="BN958" i="10" s="1"/>
  <c r="BH958" i="10"/>
  <c r="BG958" i="10"/>
  <c r="BI958" i="10" s="1"/>
  <c r="BM957" i="10"/>
  <c r="BL957" i="10"/>
  <c r="BN957" i="10" s="1"/>
  <c r="BH957" i="10"/>
  <c r="BI957" i="10" s="1"/>
  <c r="BG957" i="10"/>
  <c r="BM956" i="10"/>
  <c r="BL956" i="10"/>
  <c r="BN956" i="10" s="1"/>
  <c r="BI956" i="10"/>
  <c r="BH956" i="10"/>
  <c r="BG956" i="10"/>
  <c r="BN955" i="10"/>
  <c r="BM955" i="10"/>
  <c r="BL955" i="10"/>
  <c r="BH955" i="10"/>
  <c r="BG955" i="10"/>
  <c r="BM954" i="10"/>
  <c r="BL954" i="10"/>
  <c r="BN954" i="10" s="1"/>
  <c r="BH954" i="10"/>
  <c r="BG954" i="10"/>
  <c r="BI954" i="10" s="1"/>
  <c r="BM953" i="10"/>
  <c r="BL953" i="10"/>
  <c r="BN953" i="10" s="1"/>
  <c r="BH953" i="10"/>
  <c r="BI953" i="10" s="1"/>
  <c r="BG953" i="10"/>
  <c r="BM952" i="10"/>
  <c r="BL952" i="10"/>
  <c r="BN952" i="10" s="1"/>
  <c r="BH952" i="10"/>
  <c r="BI952" i="10" s="1"/>
  <c r="BG952" i="10"/>
  <c r="BN951" i="10"/>
  <c r="BM951" i="10"/>
  <c r="BL951" i="10"/>
  <c r="BH951" i="10"/>
  <c r="BG951" i="10"/>
  <c r="BI951" i="10" s="1"/>
  <c r="BM950" i="10"/>
  <c r="BL950" i="10"/>
  <c r="BN950" i="10" s="1"/>
  <c r="BH950" i="10"/>
  <c r="BG950" i="10"/>
  <c r="BI950" i="10" s="1"/>
  <c r="BM949" i="10"/>
  <c r="BL949" i="10"/>
  <c r="BN949" i="10" s="1"/>
  <c r="BH949" i="10"/>
  <c r="BI949" i="10" s="1"/>
  <c r="BG949" i="10"/>
  <c r="BM948" i="10"/>
  <c r="BL948" i="10"/>
  <c r="BI948" i="10"/>
  <c r="BH948" i="10"/>
  <c r="BG948" i="10"/>
  <c r="BN947" i="10"/>
  <c r="BM947" i="10"/>
  <c r="BL947" i="10"/>
  <c r="BI947" i="10"/>
  <c r="BH947" i="10"/>
  <c r="BG947" i="10"/>
  <c r="BM946" i="10"/>
  <c r="BL946" i="10"/>
  <c r="BN946" i="10" s="1"/>
  <c r="BH946" i="10"/>
  <c r="BG946" i="10"/>
  <c r="BI946" i="10" s="1"/>
  <c r="BN945" i="10"/>
  <c r="BM945" i="10"/>
  <c r="BL945" i="10"/>
  <c r="BH945" i="10"/>
  <c r="BI945" i="10" s="1"/>
  <c r="BG945" i="10"/>
  <c r="BM944" i="10"/>
  <c r="BL944" i="10"/>
  <c r="BN944" i="10" s="1"/>
  <c r="BI944" i="10"/>
  <c r="BH944" i="10"/>
  <c r="BG944" i="10"/>
  <c r="BN943" i="10"/>
  <c r="BM943" i="10"/>
  <c r="BL943" i="10"/>
  <c r="BH943" i="10"/>
  <c r="BG943" i="10"/>
  <c r="BI943" i="10" s="1"/>
  <c r="BN942" i="10"/>
  <c r="BM942" i="10"/>
  <c r="BL942" i="10"/>
  <c r="BH942" i="10"/>
  <c r="BG942" i="10"/>
  <c r="BI942" i="10" s="1"/>
  <c r="BM941" i="10"/>
  <c r="BL941" i="10"/>
  <c r="BN941" i="10" s="1"/>
  <c r="BH941" i="10"/>
  <c r="BI941" i="10" s="1"/>
  <c r="BG941" i="10"/>
  <c r="BM940" i="10"/>
  <c r="BL940" i="10"/>
  <c r="BI940" i="10"/>
  <c r="BH940" i="10"/>
  <c r="BG940" i="10"/>
  <c r="BN939" i="10"/>
  <c r="BM939" i="10"/>
  <c r="BL939" i="10"/>
  <c r="BH939" i="10"/>
  <c r="BG939" i="10"/>
  <c r="BI939" i="10" s="1"/>
  <c r="BN938" i="10"/>
  <c r="BM938" i="10"/>
  <c r="BL938" i="10"/>
  <c r="BH938" i="10"/>
  <c r="BG938" i="10"/>
  <c r="BI938" i="10" s="1"/>
  <c r="BM937" i="10"/>
  <c r="BL937" i="10"/>
  <c r="BN937" i="10" s="1"/>
  <c r="BH937" i="10"/>
  <c r="BI937" i="10" s="1"/>
  <c r="BG937" i="10"/>
  <c r="BM936" i="10"/>
  <c r="BL936" i="10"/>
  <c r="BN936" i="10" s="1"/>
  <c r="BH936" i="10"/>
  <c r="BI936" i="10" s="1"/>
  <c r="BG936" i="10"/>
  <c r="BN935" i="10"/>
  <c r="BM935" i="10"/>
  <c r="BL935" i="10"/>
  <c r="BI935" i="10"/>
  <c r="BH935" i="10"/>
  <c r="BG935" i="10"/>
  <c r="BM934" i="10"/>
  <c r="BL934" i="10"/>
  <c r="BN934" i="10" s="1"/>
  <c r="BH934" i="10"/>
  <c r="BG934" i="10"/>
  <c r="BI934" i="10" s="1"/>
  <c r="BM933" i="10"/>
  <c r="BN933" i="10" s="1"/>
  <c r="BL933" i="10"/>
  <c r="BH933" i="10"/>
  <c r="BI933" i="10" s="1"/>
  <c r="BG933" i="10"/>
  <c r="BM932" i="10"/>
  <c r="BL932" i="10"/>
  <c r="BN932" i="10" s="1"/>
  <c r="BH932" i="10"/>
  <c r="BI932" i="10" s="1"/>
  <c r="BG932" i="10"/>
  <c r="BN931" i="10"/>
  <c r="BM931" i="10"/>
  <c r="BL931" i="10"/>
  <c r="BH931" i="10"/>
  <c r="BG931" i="10"/>
  <c r="BI931" i="10" s="1"/>
  <c r="BN930" i="10"/>
  <c r="BM930" i="10"/>
  <c r="BL930" i="10"/>
  <c r="BH930" i="10"/>
  <c r="BG930" i="10"/>
  <c r="BI930" i="10" s="1"/>
  <c r="BM929" i="10"/>
  <c r="BL929" i="10"/>
  <c r="BN929" i="10" s="1"/>
  <c r="BH929" i="10"/>
  <c r="BI929" i="10" s="1"/>
  <c r="BG929" i="10"/>
  <c r="BM928" i="10"/>
  <c r="BL928" i="10"/>
  <c r="BN928" i="10" s="1"/>
  <c r="BH928" i="10"/>
  <c r="BI928" i="10" s="1"/>
  <c r="BG928" i="10"/>
  <c r="BN927" i="10"/>
  <c r="BM927" i="10"/>
  <c r="BL927" i="10"/>
  <c r="BH927" i="10"/>
  <c r="BG927" i="10"/>
  <c r="BI927" i="10" s="1"/>
  <c r="BN926" i="10"/>
  <c r="BM926" i="10"/>
  <c r="BL926" i="10"/>
  <c r="BH926" i="10"/>
  <c r="BG926" i="10"/>
  <c r="BI926" i="10" s="1"/>
  <c r="BM925" i="10"/>
  <c r="BL925" i="10"/>
  <c r="BN925" i="10" s="1"/>
  <c r="BH925" i="10"/>
  <c r="BI925" i="10" s="1"/>
  <c r="BG925" i="10"/>
  <c r="BM924" i="10"/>
  <c r="BL924" i="10"/>
  <c r="BI924" i="10"/>
  <c r="BH924" i="10"/>
  <c r="BG924" i="10"/>
  <c r="BN923" i="10"/>
  <c r="BM923" i="10"/>
  <c r="BL923" i="10"/>
  <c r="BI923" i="10"/>
  <c r="BH923" i="10"/>
  <c r="BG923" i="10"/>
  <c r="BM922" i="10"/>
  <c r="BL922" i="10"/>
  <c r="BN922" i="10" s="1"/>
  <c r="BH922" i="10"/>
  <c r="BG922" i="10"/>
  <c r="BI922" i="10" s="1"/>
  <c r="BM921" i="10"/>
  <c r="BN921" i="10" s="1"/>
  <c r="BL921" i="10"/>
  <c r="BH921" i="10"/>
  <c r="BI921" i="10" s="1"/>
  <c r="BG921" i="10"/>
  <c r="BM920" i="10"/>
  <c r="BL920" i="10"/>
  <c r="BN920" i="10" s="1"/>
  <c r="BH920" i="10"/>
  <c r="BI920" i="10" s="1"/>
  <c r="BG920" i="10"/>
  <c r="BN919" i="10"/>
  <c r="BM919" i="10"/>
  <c r="BL919" i="10"/>
  <c r="BH919" i="10"/>
  <c r="BG919" i="10"/>
  <c r="BI919" i="10" s="1"/>
  <c r="BM918" i="10"/>
  <c r="BL918" i="10"/>
  <c r="BN918" i="10" s="1"/>
  <c r="BH918" i="10"/>
  <c r="BG918" i="10"/>
  <c r="BI918" i="10" s="1"/>
  <c r="BM917" i="10"/>
  <c r="BL917" i="10"/>
  <c r="BN917" i="10" s="1"/>
  <c r="BH917" i="10"/>
  <c r="BI917" i="10" s="1"/>
  <c r="BG917" i="10"/>
  <c r="BN916" i="10"/>
  <c r="BM916" i="10"/>
  <c r="BL916" i="10"/>
  <c r="BH916" i="10"/>
  <c r="BI916" i="10" s="1"/>
  <c r="BG916" i="10"/>
  <c r="BN915" i="10"/>
  <c r="BM915" i="10"/>
  <c r="BL915" i="10"/>
  <c r="BH915" i="10"/>
  <c r="BG915" i="10"/>
  <c r="BI915" i="10" s="1"/>
  <c r="BM914" i="10"/>
  <c r="BL914" i="10"/>
  <c r="BN914" i="10" s="1"/>
  <c r="BH914" i="10"/>
  <c r="BG914" i="10"/>
  <c r="BM913" i="10"/>
  <c r="BL913" i="10"/>
  <c r="BN913" i="10" s="1"/>
  <c r="BH913" i="10"/>
  <c r="BI913" i="10" s="1"/>
  <c r="BG913" i="10"/>
  <c r="BM912" i="10"/>
  <c r="BL912" i="10"/>
  <c r="BN912" i="10" s="1"/>
  <c r="BH912" i="10"/>
  <c r="BI912" i="10" s="1"/>
  <c r="BG912" i="10"/>
  <c r="BN911" i="10"/>
  <c r="BM911" i="10"/>
  <c r="BL911" i="10"/>
  <c r="BI911" i="10"/>
  <c r="BH911" i="10"/>
  <c r="BG911" i="10"/>
  <c r="BM910" i="10"/>
  <c r="BL910" i="10"/>
  <c r="BN910" i="10" s="1"/>
  <c r="BH910" i="10"/>
  <c r="BG910" i="10"/>
  <c r="BI910" i="10" s="1"/>
  <c r="BM909" i="10"/>
  <c r="BN909" i="10" s="1"/>
  <c r="BL909" i="10"/>
  <c r="BH909" i="10"/>
  <c r="BI909" i="10" s="1"/>
  <c r="BG909" i="10"/>
  <c r="BM908" i="10"/>
  <c r="BL908" i="10"/>
  <c r="BH908" i="10"/>
  <c r="BI908" i="10" s="1"/>
  <c r="BG908" i="10"/>
  <c r="BM907" i="10"/>
  <c r="BL907" i="10"/>
  <c r="BN907" i="10" s="1"/>
  <c r="BH907" i="10"/>
  <c r="BG907" i="10"/>
  <c r="BI907" i="10" s="1"/>
  <c r="BN906" i="10"/>
  <c r="BM906" i="10"/>
  <c r="BL906" i="10"/>
  <c r="BH906" i="10"/>
  <c r="BG906" i="10"/>
  <c r="BI906" i="10" s="1"/>
  <c r="BM905" i="10"/>
  <c r="BL905" i="10"/>
  <c r="BN905" i="10" s="1"/>
  <c r="BH905" i="10"/>
  <c r="BI905" i="10" s="1"/>
  <c r="BG905" i="10"/>
  <c r="BM904" i="10"/>
  <c r="BL904" i="10"/>
  <c r="BN904" i="10" s="1"/>
  <c r="BI904" i="10"/>
  <c r="BH904" i="10"/>
  <c r="BG904" i="10"/>
  <c r="BN903" i="10"/>
  <c r="BM903" i="10"/>
  <c r="BL903" i="10"/>
  <c r="BH903" i="10"/>
  <c r="BG903" i="10"/>
  <c r="BI903" i="10" s="1"/>
  <c r="BN902" i="10"/>
  <c r="BM902" i="10"/>
  <c r="BL902" i="10"/>
  <c r="BH902" i="10"/>
  <c r="BG902" i="10"/>
  <c r="BI902" i="10" s="1"/>
  <c r="BM901" i="10"/>
  <c r="BL901" i="10"/>
  <c r="BH901" i="10"/>
  <c r="BI901" i="10" s="1"/>
  <c r="BG901" i="10"/>
  <c r="BN900" i="10"/>
  <c r="BM900" i="10"/>
  <c r="BL900" i="10"/>
  <c r="BH900" i="10"/>
  <c r="BI900" i="10" s="1"/>
  <c r="BG900" i="10"/>
  <c r="BM899" i="10"/>
  <c r="BL899" i="10"/>
  <c r="BN899" i="10" s="1"/>
  <c r="BH899" i="10"/>
  <c r="BG899" i="10"/>
  <c r="BI899" i="10" s="1"/>
  <c r="BN898" i="10"/>
  <c r="BM898" i="10"/>
  <c r="BL898" i="10"/>
  <c r="BH898" i="10"/>
  <c r="BG898" i="10"/>
  <c r="BI898" i="10" s="1"/>
  <c r="BM897" i="10"/>
  <c r="BL897" i="10"/>
  <c r="BN897" i="10" s="1"/>
  <c r="BH897" i="10"/>
  <c r="BI897" i="10" s="1"/>
  <c r="BG897" i="10"/>
  <c r="BM896" i="10"/>
  <c r="BL896" i="10"/>
  <c r="BN896" i="10" s="1"/>
  <c r="BH896" i="10"/>
  <c r="BI896" i="10" s="1"/>
  <c r="BG896" i="10"/>
  <c r="BM895" i="10"/>
  <c r="BL895" i="10"/>
  <c r="BN895" i="10" s="1"/>
  <c r="BH895" i="10"/>
  <c r="BI895" i="10" s="1"/>
  <c r="BG895" i="10"/>
  <c r="BM894" i="10"/>
  <c r="BL894" i="10"/>
  <c r="BN894" i="10" s="1"/>
  <c r="BH894" i="10"/>
  <c r="BG894" i="10"/>
  <c r="BI894" i="10" s="1"/>
  <c r="BN893" i="10"/>
  <c r="BM893" i="10"/>
  <c r="BL893" i="10"/>
  <c r="BH893" i="10"/>
  <c r="BI893" i="10" s="1"/>
  <c r="BG893" i="10"/>
  <c r="BN892" i="10"/>
  <c r="BM892" i="10"/>
  <c r="BL892" i="10"/>
  <c r="BI892" i="10"/>
  <c r="BH892" i="10"/>
  <c r="BG892" i="10"/>
  <c r="BM891" i="10"/>
  <c r="BL891" i="10"/>
  <c r="BN891" i="10" s="1"/>
  <c r="BI891" i="10"/>
  <c r="BH891" i="10"/>
  <c r="BG891" i="10"/>
  <c r="BN890" i="10"/>
  <c r="BM890" i="10"/>
  <c r="BL890" i="10"/>
  <c r="BH890" i="10"/>
  <c r="BG890" i="10"/>
  <c r="BI890" i="10" s="1"/>
  <c r="BN889" i="10"/>
  <c r="BM889" i="10"/>
  <c r="BL889" i="10"/>
  <c r="BH889" i="10"/>
  <c r="BI889" i="10" s="1"/>
  <c r="BG889" i="10"/>
  <c r="BM888" i="10"/>
  <c r="BL888" i="10"/>
  <c r="BN888" i="10" s="1"/>
  <c r="BH888" i="10"/>
  <c r="BI888" i="10" s="1"/>
  <c r="BG888" i="10"/>
  <c r="BN887" i="10"/>
  <c r="BM887" i="10"/>
  <c r="BL887" i="10"/>
  <c r="BH887" i="10"/>
  <c r="BG887" i="10"/>
  <c r="BN886" i="10"/>
  <c r="BM886" i="10"/>
  <c r="BL886" i="10"/>
  <c r="BH886" i="10"/>
  <c r="BG886" i="10"/>
  <c r="BI886" i="10" s="1"/>
  <c r="BM885" i="10"/>
  <c r="BL885" i="10"/>
  <c r="BN885" i="10" s="1"/>
  <c r="BH885" i="10"/>
  <c r="BI885" i="10" s="1"/>
  <c r="BG885" i="10"/>
  <c r="BN884" i="10"/>
  <c r="BM884" i="10"/>
  <c r="BL884" i="10"/>
  <c r="BH884" i="10"/>
  <c r="BI884" i="10" s="1"/>
  <c r="BG884" i="10"/>
  <c r="BM883" i="10"/>
  <c r="BL883" i="10"/>
  <c r="BN883" i="10" s="1"/>
  <c r="BH883" i="10"/>
  <c r="BG883" i="10"/>
  <c r="BI883" i="10" s="1"/>
  <c r="BN882" i="10"/>
  <c r="BM882" i="10"/>
  <c r="BL882" i="10"/>
  <c r="BH882" i="10"/>
  <c r="BG882" i="10"/>
  <c r="BM881" i="10"/>
  <c r="BL881" i="10"/>
  <c r="BN881" i="10" s="1"/>
  <c r="BH881" i="10"/>
  <c r="BI881" i="10" s="1"/>
  <c r="BG881" i="10"/>
  <c r="BN880" i="10"/>
  <c r="BM880" i="10"/>
  <c r="BL880" i="10"/>
  <c r="BH880" i="10"/>
  <c r="BI880" i="10" s="1"/>
  <c r="BG880" i="10"/>
  <c r="BM879" i="10"/>
  <c r="BL879" i="10"/>
  <c r="BN879" i="10" s="1"/>
  <c r="BI879" i="10"/>
  <c r="BH879" i="10"/>
  <c r="BG879" i="10"/>
  <c r="BM878" i="10"/>
  <c r="BL878" i="10"/>
  <c r="BN878" i="10" s="1"/>
  <c r="BH878" i="10"/>
  <c r="BG878" i="10"/>
  <c r="BN877" i="10"/>
  <c r="BM877" i="10"/>
  <c r="BL877" i="10"/>
  <c r="BH877" i="10"/>
  <c r="BI877" i="10" s="1"/>
  <c r="BG877" i="10"/>
  <c r="BM876" i="10"/>
  <c r="BN876" i="10" s="1"/>
  <c r="BL876" i="10"/>
  <c r="BI876" i="10"/>
  <c r="BH876" i="10"/>
  <c r="BG876" i="10"/>
  <c r="BM875" i="10"/>
  <c r="BL875" i="10"/>
  <c r="BN875" i="10" s="1"/>
  <c r="BH875" i="10"/>
  <c r="BI875" i="10" s="1"/>
  <c r="BG875" i="10"/>
  <c r="BN874" i="10"/>
  <c r="BM874" i="10"/>
  <c r="BL874" i="10"/>
  <c r="BH874" i="10"/>
  <c r="BG874" i="10"/>
  <c r="BI874" i="10" s="1"/>
  <c r="BM873" i="10"/>
  <c r="BN873" i="10" s="1"/>
  <c r="BL873" i="10"/>
  <c r="BH873" i="10"/>
  <c r="BI873" i="10" s="1"/>
  <c r="BG873" i="10"/>
  <c r="BM872" i="10"/>
  <c r="BL872" i="10"/>
  <c r="BN872" i="10" s="1"/>
  <c r="BH872" i="10"/>
  <c r="BI872" i="10" s="1"/>
  <c r="BG872" i="10"/>
  <c r="BM871" i="10"/>
  <c r="BL871" i="10"/>
  <c r="BN871" i="10" s="1"/>
  <c r="BH871" i="10"/>
  <c r="BG871" i="10"/>
  <c r="BI871" i="10" s="1"/>
  <c r="BM870" i="10"/>
  <c r="BL870" i="10"/>
  <c r="BN870" i="10" s="1"/>
  <c r="BH870" i="10"/>
  <c r="BG870" i="10"/>
  <c r="BI870" i="10" s="1"/>
  <c r="BM869" i="10"/>
  <c r="BL869" i="10"/>
  <c r="BH869" i="10"/>
  <c r="BI869" i="10" s="1"/>
  <c r="BG869" i="10"/>
  <c r="BN868" i="10"/>
  <c r="BM868" i="10"/>
  <c r="BL868" i="10"/>
  <c r="BH868" i="10"/>
  <c r="BI868" i="10" s="1"/>
  <c r="BG868" i="10"/>
  <c r="BM867" i="10"/>
  <c r="BL867" i="10"/>
  <c r="BN867" i="10" s="1"/>
  <c r="BH867" i="10"/>
  <c r="BG867" i="10"/>
  <c r="BI867" i="10" s="1"/>
  <c r="BM866" i="10"/>
  <c r="BL866" i="10"/>
  <c r="BN866" i="10" s="1"/>
  <c r="BH866" i="10"/>
  <c r="BG866" i="10"/>
  <c r="BI866" i="10" s="1"/>
  <c r="BM865" i="10"/>
  <c r="BL865" i="10"/>
  <c r="BN865" i="10" s="1"/>
  <c r="BH865" i="10"/>
  <c r="BI865" i="10" s="1"/>
  <c r="BG865" i="10"/>
  <c r="BN864" i="10"/>
  <c r="BM864" i="10"/>
  <c r="BL864" i="10"/>
  <c r="BH864" i="10"/>
  <c r="BI864" i="10" s="1"/>
  <c r="BG864" i="10"/>
  <c r="BN863" i="10"/>
  <c r="BM863" i="10"/>
  <c r="BL863" i="10"/>
  <c r="BI863" i="10"/>
  <c r="BH863" i="10"/>
  <c r="BG863" i="10"/>
  <c r="BM862" i="10"/>
  <c r="BL862" i="10"/>
  <c r="BN862" i="10" s="1"/>
  <c r="BH862" i="10"/>
  <c r="BG862" i="10"/>
  <c r="BN861" i="10"/>
  <c r="BM861" i="10"/>
  <c r="BL861" i="10"/>
  <c r="BH861" i="10"/>
  <c r="BI861" i="10" s="1"/>
  <c r="BG861" i="10"/>
  <c r="BM860" i="10"/>
  <c r="BN860" i="10" s="1"/>
  <c r="BL860" i="10"/>
  <c r="BI860" i="10"/>
  <c r="BH860" i="10"/>
  <c r="BG860" i="10"/>
  <c r="BM859" i="10"/>
  <c r="BL859" i="10"/>
  <c r="BN859" i="10" s="1"/>
  <c r="BI859" i="10"/>
  <c r="BH859" i="10"/>
  <c r="BG859" i="10"/>
  <c r="BN858" i="10"/>
  <c r="BM858" i="10"/>
  <c r="BL858" i="10"/>
  <c r="BH858" i="10"/>
  <c r="BG858" i="10"/>
  <c r="BI858" i="10" s="1"/>
  <c r="BN857" i="10"/>
  <c r="BM857" i="10"/>
  <c r="BL857" i="10"/>
  <c r="BH857" i="10"/>
  <c r="BI857" i="10" s="1"/>
  <c r="BG857" i="10"/>
  <c r="BM856" i="10"/>
  <c r="BL856" i="10"/>
  <c r="BN856" i="10" s="1"/>
  <c r="BI856" i="10"/>
  <c r="BH856" i="10"/>
  <c r="BG856" i="10"/>
  <c r="BN855" i="10"/>
  <c r="BM855" i="10"/>
  <c r="BL855" i="10"/>
  <c r="BH855" i="10"/>
  <c r="BG855" i="10"/>
  <c r="BI855" i="10" s="1"/>
  <c r="BM854" i="10"/>
  <c r="BL854" i="10"/>
  <c r="BN854" i="10" s="1"/>
  <c r="BH854" i="10"/>
  <c r="BG854" i="10"/>
  <c r="BI854" i="10" s="1"/>
  <c r="BM853" i="10"/>
  <c r="BL853" i="10"/>
  <c r="BH853" i="10"/>
  <c r="BI853" i="10" s="1"/>
  <c r="BG853" i="10"/>
  <c r="BM852" i="10"/>
  <c r="BL852" i="10"/>
  <c r="BN852" i="10" s="1"/>
  <c r="BH852" i="10"/>
  <c r="BI852" i="10" s="1"/>
  <c r="BG852" i="10"/>
  <c r="BM851" i="10"/>
  <c r="BL851" i="10"/>
  <c r="BN851" i="10" s="1"/>
  <c r="BH851" i="10"/>
  <c r="BG851" i="10"/>
  <c r="BI851" i="10" s="1"/>
  <c r="BN850" i="10"/>
  <c r="BM850" i="10"/>
  <c r="BL850" i="10"/>
  <c r="BH850" i="10"/>
  <c r="BG850" i="10"/>
  <c r="BI850" i="10" s="1"/>
  <c r="BM849" i="10"/>
  <c r="BL849" i="10"/>
  <c r="BH849" i="10"/>
  <c r="BI849" i="10" s="1"/>
  <c r="BG849" i="10"/>
  <c r="BM848" i="10"/>
  <c r="BL848" i="10"/>
  <c r="BN848" i="10" s="1"/>
  <c r="BH848" i="10"/>
  <c r="BI848" i="10" s="1"/>
  <c r="BG848" i="10"/>
  <c r="BM847" i="10"/>
  <c r="BL847" i="10"/>
  <c r="BN847" i="10" s="1"/>
  <c r="BH847" i="10"/>
  <c r="BI847" i="10" s="1"/>
  <c r="BG847" i="10"/>
  <c r="BN846" i="10"/>
  <c r="BM846" i="10"/>
  <c r="BL846" i="10"/>
  <c r="BH846" i="10"/>
  <c r="BG846" i="10"/>
  <c r="BM845" i="10"/>
  <c r="BN845" i="10" s="1"/>
  <c r="BL845" i="10"/>
  <c r="BH845" i="10"/>
  <c r="BI845" i="10" s="1"/>
  <c r="BG845" i="10"/>
  <c r="BM844" i="10"/>
  <c r="BL844" i="10"/>
  <c r="BN844" i="10" s="1"/>
  <c r="BH844" i="10"/>
  <c r="BI844" i="10" s="1"/>
  <c r="BG844" i="10"/>
  <c r="BN843" i="10"/>
  <c r="BM843" i="10"/>
  <c r="BL843" i="10"/>
  <c r="BI843" i="10"/>
  <c r="BH843" i="10"/>
  <c r="BG843" i="10"/>
  <c r="BM842" i="10"/>
  <c r="BL842" i="10"/>
  <c r="BN842" i="10" s="1"/>
  <c r="BH842" i="10"/>
  <c r="BG842" i="10"/>
  <c r="BI842" i="10" s="1"/>
  <c r="BM841" i="10"/>
  <c r="BN841" i="10" s="1"/>
  <c r="BL841" i="10"/>
  <c r="BH841" i="10"/>
  <c r="BI841" i="10" s="1"/>
  <c r="BG841" i="10"/>
  <c r="BN840" i="10"/>
  <c r="BM840" i="10"/>
  <c r="BL840" i="10"/>
  <c r="BH840" i="10"/>
  <c r="BI840" i="10" s="1"/>
  <c r="BG840" i="10"/>
  <c r="BM839" i="10"/>
  <c r="BL839" i="10"/>
  <c r="BN839" i="10" s="1"/>
  <c r="BH839" i="10"/>
  <c r="BG839" i="10"/>
  <c r="BN838" i="10"/>
  <c r="BM838" i="10"/>
  <c r="BL838" i="10"/>
  <c r="BH838" i="10"/>
  <c r="BG838" i="10"/>
  <c r="BI838" i="10" s="1"/>
  <c r="BM837" i="10"/>
  <c r="BL837" i="10"/>
  <c r="BH837" i="10"/>
  <c r="BI837" i="10" s="1"/>
  <c r="BG837" i="10"/>
  <c r="BN836" i="10"/>
  <c r="BM836" i="10"/>
  <c r="BL836" i="10"/>
  <c r="BH836" i="10"/>
  <c r="BI836" i="10" s="1"/>
  <c r="BG836" i="10"/>
  <c r="BM835" i="10"/>
  <c r="BL835" i="10"/>
  <c r="BN835" i="10" s="1"/>
  <c r="BH835" i="10"/>
  <c r="BG835" i="10"/>
  <c r="BM834" i="10"/>
  <c r="BL834" i="10"/>
  <c r="BN834" i="10" s="1"/>
  <c r="BH834" i="10"/>
  <c r="BG834" i="10"/>
  <c r="BM833" i="10"/>
  <c r="BL833" i="10"/>
  <c r="BN833" i="10" s="1"/>
  <c r="BH833" i="10"/>
  <c r="BI833" i="10" s="1"/>
  <c r="BG833" i="10"/>
  <c r="BM832" i="10"/>
  <c r="BL832" i="10"/>
  <c r="BN832" i="10" s="1"/>
  <c r="BH832" i="10"/>
  <c r="BG832" i="10"/>
  <c r="BI832" i="10" s="1"/>
  <c r="BN831" i="10"/>
  <c r="BM831" i="10"/>
  <c r="BL831" i="10"/>
  <c r="BH831" i="10"/>
  <c r="BI831" i="10" s="1"/>
  <c r="BG831" i="10"/>
  <c r="BM830" i="10"/>
  <c r="BL830" i="10"/>
  <c r="BN830" i="10" s="1"/>
  <c r="BH830" i="10"/>
  <c r="BG830" i="10"/>
  <c r="BI830" i="10" s="1"/>
  <c r="BM829" i="10"/>
  <c r="BN829" i="10" s="1"/>
  <c r="BL829" i="10"/>
  <c r="BI829" i="10"/>
  <c r="BH829" i="10"/>
  <c r="BG829" i="10"/>
  <c r="BM828" i="10"/>
  <c r="BL828" i="10"/>
  <c r="BN828" i="10" s="1"/>
  <c r="BI828" i="10"/>
  <c r="BH828" i="10"/>
  <c r="BG828" i="10"/>
  <c r="BM827" i="10"/>
  <c r="BL827" i="10"/>
  <c r="BN827" i="10" s="1"/>
  <c r="BH827" i="10"/>
  <c r="BG827" i="10"/>
  <c r="BI827" i="10" s="1"/>
  <c r="BM826" i="10"/>
  <c r="BL826" i="10"/>
  <c r="BN826" i="10" s="1"/>
  <c r="BH826" i="10"/>
  <c r="BG826" i="10"/>
  <c r="BI826" i="10" s="1"/>
  <c r="BN825" i="10"/>
  <c r="BM825" i="10"/>
  <c r="BL825" i="10"/>
  <c r="BH825" i="10"/>
  <c r="BI825" i="10" s="1"/>
  <c r="BG825" i="10"/>
  <c r="BM824" i="10"/>
  <c r="BL824" i="10"/>
  <c r="BN824" i="10" s="1"/>
  <c r="BI824" i="10"/>
  <c r="BH824" i="10"/>
  <c r="BG824" i="10"/>
  <c r="BM823" i="10"/>
  <c r="BL823" i="10"/>
  <c r="BN823" i="10" s="1"/>
  <c r="BH823" i="10"/>
  <c r="BG823" i="10"/>
  <c r="BI823" i="10" s="1"/>
  <c r="BM822" i="10"/>
  <c r="BL822" i="10"/>
  <c r="BN822" i="10" s="1"/>
  <c r="BH822" i="10"/>
  <c r="BG822" i="10"/>
  <c r="BI822" i="10" s="1"/>
  <c r="BM821" i="10"/>
  <c r="BL821" i="10"/>
  <c r="BI821" i="10"/>
  <c r="BH821" i="10"/>
  <c r="BG821" i="10"/>
  <c r="BM820" i="10"/>
  <c r="BL820" i="10"/>
  <c r="BH820" i="10"/>
  <c r="BG820" i="10"/>
  <c r="BI820" i="10" s="1"/>
  <c r="BM819" i="10"/>
  <c r="BL819" i="10"/>
  <c r="BN819" i="10" s="1"/>
  <c r="BH819" i="10"/>
  <c r="BG819" i="10"/>
  <c r="BI819" i="10" s="1"/>
  <c r="BM818" i="10"/>
  <c r="BN818" i="10" s="1"/>
  <c r="BL818" i="10"/>
  <c r="BH818" i="10"/>
  <c r="BG818" i="10"/>
  <c r="BM817" i="10"/>
  <c r="BL817" i="10"/>
  <c r="BN817" i="10" s="1"/>
  <c r="BH817" i="10"/>
  <c r="BI817" i="10" s="1"/>
  <c r="BG817" i="10"/>
  <c r="BM816" i="10"/>
  <c r="BL816" i="10"/>
  <c r="BN816" i="10" s="1"/>
  <c r="BH816" i="10"/>
  <c r="BI816" i="10" s="1"/>
  <c r="BG816" i="10"/>
  <c r="BN815" i="10"/>
  <c r="BM815" i="10"/>
  <c r="BL815" i="10"/>
  <c r="BH815" i="10"/>
  <c r="BG815" i="10"/>
  <c r="BM814" i="10"/>
  <c r="BN814" i="10" s="1"/>
  <c r="BL814" i="10"/>
  <c r="BH814" i="10"/>
  <c r="BG814" i="10"/>
  <c r="BI814" i="10" s="1"/>
  <c r="BM813" i="10"/>
  <c r="BL813" i="10"/>
  <c r="BN813" i="10" s="1"/>
  <c r="BH813" i="10"/>
  <c r="BI813" i="10" s="1"/>
  <c r="BG813" i="10"/>
  <c r="BM812" i="10"/>
  <c r="BL812" i="10"/>
  <c r="BN812" i="10" s="1"/>
  <c r="BI812" i="10"/>
  <c r="BH812" i="10"/>
  <c r="BG812" i="10"/>
  <c r="BN811" i="10"/>
  <c r="BM811" i="10"/>
  <c r="BL811" i="10"/>
  <c r="BH811" i="10"/>
  <c r="BG811" i="10"/>
  <c r="BI811" i="10" s="1"/>
  <c r="BM810" i="10"/>
  <c r="BL810" i="10"/>
  <c r="BN810" i="10" s="1"/>
  <c r="BH810" i="10"/>
  <c r="BG810" i="10"/>
  <c r="BM809" i="10"/>
  <c r="BL809" i="10"/>
  <c r="BN809" i="10" s="1"/>
  <c r="BH809" i="10"/>
  <c r="BI809" i="10" s="1"/>
  <c r="BG809" i="10"/>
  <c r="BN808" i="10"/>
  <c r="BM808" i="10"/>
  <c r="BL808" i="10"/>
  <c r="BH808" i="10"/>
  <c r="BG808" i="10"/>
  <c r="BM807" i="10"/>
  <c r="BL807" i="10"/>
  <c r="BN807" i="10" s="1"/>
  <c r="BH807" i="10"/>
  <c r="BG807" i="10"/>
  <c r="BI807" i="10" s="1"/>
  <c r="BM806" i="10"/>
  <c r="BL806" i="10"/>
  <c r="BN806" i="10" s="1"/>
  <c r="BH806" i="10"/>
  <c r="BG806" i="10"/>
  <c r="BI806" i="10" s="1"/>
  <c r="BM805" i="10"/>
  <c r="BL805" i="10"/>
  <c r="BN805" i="10" s="1"/>
  <c r="BI805" i="10"/>
  <c r="BH805" i="10"/>
  <c r="BG805" i="10"/>
  <c r="BN804" i="10"/>
  <c r="BM804" i="10"/>
  <c r="BL804" i="10"/>
  <c r="BH804" i="10"/>
  <c r="BG804" i="10"/>
  <c r="BI804" i="10" s="1"/>
  <c r="BM803" i="10"/>
  <c r="BL803" i="10"/>
  <c r="BN803" i="10" s="1"/>
  <c r="BH803" i="10"/>
  <c r="BG803" i="10"/>
  <c r="BI803" i="10" s="1"/>
  <c r="BM802" i="10"/>
  <c r="BL802" i="10"/>
  <c r="BH802" i="10"/>
  <c r="BG802" i="10"/>
  <c r="BI802" i="10" s="1"/>
  <c r="BM801" i="10"/>
  <c r="BL801" i="10"/>
  <c r="BN801" i="10" s="1"/>
  <c r="BH801" i="10"/>
  <c r="BI801" i="10" s="1"/>
  <c r="BG801" i="10"/>
  <c r="BM800" i="10"/>
  <c r="BL800" i="10"/>
  <c r="BN800" i="10" s="1"/>
  <c r="BH800" i="10"/>
  <c r="BG800" i="10"/>
  <c r="BM799" i="10"/>
  <c r="BL799" i="10"/>
  <c r="BN799" i="10" s="1"/>
  <c r="BI799" i="10"/>
  <c r="BH799" i="10"/>
  <c r="BG799" i="10"/>
  <c r="BM798" i="10"/>
  <c r="BL798" i="10"/>
  <c r="BN798" i="10" s="1"/>
  <c r="BH798" i="10"/>
  <c r="BG798" i="10"/>
  <c r="BI798" i="10" s="1"/>
  <c r="BN797" i="10"/>
  <c r="BM797" i="10"/>
  <c r="BL797" i="10"/>
  <c r="BI797" i="10"/>
  <c r="BH797" i="10"/>
  <c r="BG797" i="10"/>
  <c r="BM796" i="10"/>
  <c r="BL796" i="10"/>
  <c r="BN796" i="10" s="1"/>
  <c r="BH796" i="10"/>
  <c r="BG796" i="10"/>
  <c r="BI796" i="10" s="1"/>
  <c r="BM795" i="10"/>
  <c r="BL795" i="10"/>
  <c r="BN795" i="10" s="1"/>
  <c r="BH795" i="10"/>
  <c r="BG795" i="10"/>
  <c r="BI795" i="10" s="1"/>
  <c r="BM794" i="10"/>
  <c r="BL794" i="10"/>
  <c r="BN794" i="10" s="1"/>
  <c r="BH794" i="10"/>
  <c r="BG794" i="10"/>
  <c r="BN793" i="10"/>
  <c r="BM793" i="10"/>
  <c r="BL793" i="10"/>
  <c r="BH793" i="10"/>
  <c r="BI793" i="10" s="1"/>
  <c r="BG793" i="10"/>
  <c r="BN792" i="10"/>
  <c r="BM792" i="10"/>
  <c r="BL792" i="10"/>
  <c r="BI792" i="10"/>
  <c r="BH792" i="10"/>
  <c r="BG792" i="10"/>
  <c r="BM791" i="10"/>
  <c r="BL791" i="10"/>
  <c r="BN791" i="10" s="1"/>
  <c r="BH791" i="10"/>
  <c r="BG791" i="10"/>
  <c r="BI791" i="10" s="1"/>
  <c r="BM790" i="10"/>
  <c r="BL790" i="10"/>
  <c r="BN790" i="10" s="1"/>
  <c r="BH790" i="10"/>
  <c r="BG790" i="10"/>
  <c r="BI790" i="10" s="1"/>
  <c r="BM789" i="10"/>
  <c r="BL789" i="10"/>
  <c r="BN789" i="10" s="1"/>
  <c r="BI789" i="10"/>
  <c r="BH789" i="10"/>
  <c r="BG789" i="10"/>
  <c r="BM788" i="10"/>
  <c r="BL788" i="10"/>
  <c r="BN788" i="10" s="1"/>
  <c r="BH788" i="10"/>
  <c r="BG788" i="10"/>
  <c r="BI788" i="10" s="1"/>
  <c r="BM787" i="10"/>
  <c r="BL787" i="10"/>
  <c r="BN787" i="10" s="1"/>
  <c r="BH787" i="10"/>
  <c r="BG787" i="10"/>
  <c r="BI787" i="10" s="1"/>
  <c r="BN786" i="10"/>
  <c r="BM786" i="10"/>
  <c r="BL786" i="10"/>
  <c r="BH786" i="10"/>
  <c r="BG786" i="10"/>
  <c r="BM785" i="10"/>
  <c r="BL785" i="10"/>
  <c r="BN785" i="10" s="1"/>
  <c r="BI785" i="10"/>
  <c r="BH785" i="10"/>
  <c r="BG785" i="10"/>
  <c r="BM784" i="10"/>
  <c r="BL784" i="10"/>
  <c r="BN784" i="10" s="1"/>
  <c r="BH784" i="10"/>
  <c r="BG784" i="10"/>
  <c r="BI784" i="10" s="1"/>
  <c r="BM783" i="10"/>
  <c r="BL783" i="10"/>
  <c r="BN783" i="10" s="1"/>
  <c r="BH783" i="10"/>
  <c r="BG783" i="10"/>
  <c r="BI783" i="10" s="1"/>
  <c r="BM782" i="10"/>
  <c r="BL782" i="10"/>
  <c r="BH782" i="10"/>
  <c r="BG782" i="10"/>
  <c r="BI782" i="10" s="1"/>
  <c r="BM781" i="10"/>
  <c r="BL781" i="10"/>
  <c r="BN781" i="10" s="1"/>
  <c r="BI781" i="10"/>
  <c r="BH781" i="10"/>
  <c r="BG781" i="10"/>
  <c r="BM780" i="10"/>
  <c r="BL780" i="10"/>
  <c r="BH780" i="10"/>
  <c r="BG780" i="10"/>
  <c r="BI780" i="10" s="1"/>
  <c r="BN779" i="10"/>
  <c r="BM779" i="10"/>
  <c r="BL779" i="10"/>
  <c r="BH779" i="10"/>
  <c r="BG779" i="10"/>
  <c r="BI779" i="10" s="1"/>
  <c r="BM778" i="10"/>
  <c r="BL778" i="10"/>
  <c r="BH778" i="10"/>
  <c r="BG778" i="10"/>
  <c r="BN777" i="10"/>
  <c r="BM777" i="10"/>
  <c r="BL777" i="10"/>
  <c r="BH777" i="10"/>
  <c r="BI777" i="10" s="1"/>
  <c r="BG777" i="10"/>
  <c r="BM776" i="10"/>
  <c r="BL776" i="10"/>
  <c r="BN776" i="10" s="1"/>
  <c r="BH776" i="10"/>
  <c r="BG776" i="10"/>
  <c r="BI776" i="10" s="1"/>
  <c r="BM775" i="10"/>
  <c r="BL775" i="10"/>
  <c r="BN775" i="10" s="1"/>
  <c r="BH775" i="10"/>
  <c r="BG775" i="10"/>
  <c r="BI775" i="10" s="1"/>
  <c r="BM774" i="10"/>
  <c r="BL774" i="10"/>
  <c r="BN774" i="10" s="1"/>
  <c r="BH774" i="10"/>
  <c r="BG774" i="10"/>
  <c r="BI774" i="10" s="1"/>
  <c r="BM773" i="10"/>
  <c r="BL773" i="10"/>
  <c r="BI773" i="10"/>
  <c r="BH773" i="10"/>
  <c r="BG773" i="10"/>
  <c r="BN772" i="10"/>
  <c r="BM772" i="10"/>
  <c r="BL772" i="10"/>
  <c r="BH772" i="10"/>
  <c r="BG772" i="10"/>
  <c r="BI772" i="10" s="1"/>
  <c r="BN771" i="10"/>
  <c r="BM771" i="10"/>
  <c r="BL771" i="10"/>
  <c r="BH771" i="10"/>
  <c r="BG771" i="10"/>
  <c r="BI771" i="10" s="1"/>
  <c r="BM770" i="10"/>
  <c r="BL770" i="10"/>
  <c r="BN770" i="10" s="1"/>
  <c r="BH770" i="10"/>
  <c r="BG770" i="10"/>
  <c r="BM769" i="10"/>
  <c r="BL769" i="10"/>
  <c r="BN769" i="10" s="1"/>
  <c r="BH769" i="10"/>
  <c r="BI769" i="10" s="1"/>
  <c r="BG769" i="10"/>
  <c r="BM768" i="10"/>
  <c r="BN768" i="10" s="1"/>
  <c r="BL768" i="10"/>
  <c r="BH768" i="10"/>
  <c r="BG768" i="10"/>
  <c r="BN767" i="10"/>
  <c r="BM767" i="10"/>
  <c r="BL767" i="10"/>
  <c r="BH767" i="10"/>
  <c r="BI767" i="10" s="1"/>
  <c r="BG767" i="10"/>
  <c r="BM766" i="10"/>
  <c r="BL766" i="10"/>
  <c r="BN766" i="10" s="1"/>
  <c r="BH766" i="10"/>
  <c r="BG766" i="10"/>
  <c r="BM765" i="10"/>
  <c r="BN765" i="10" s="1"/>
  <c r="BL765" i="10"/>
  <c r="BI765" i="10"/>
  <c r="BH765" i="10"/>
  <c r="BG765" i="10"/>
  <c r="BM764" i="10"/>
  <c r="BL764" i="10"/>
  <c r="BN764" i="10" s="1"/>
  <c r="BI764" i="10"/>
  <c r="BH764" i="10"/>
  <c r="BG764" i="10"/>
  <c r="BM763" i="10"/>
  <c r="BL763" i="10"/>
  <c r="BN763" i="10" s="1"/>
  <c r="BH763" i="10"/>
  <c r="BG763" i="10"/>
  <c r="BI763" i="10" s="1"/>
  <c r="BM762" i="10"/>
  <c r="BL762" i="10"/>
  <c r="BH762" i="10"/>
  <c r="BG762" i="10"/>
  <c r="BN761" i="10"/>
  <c r="BM761" i="10"/>
  <c r="BL761" i="10"/>
  <c r="BH761" i="10"/>
  <c r="BI761" i="10" s="1"/>
  <c r="BG761" i="10"/>
  <c r="BM760" i="10"/>
  <c r="BL760" i="10"/>
  <c r="BI760" i="10"/>
  <c r="BH760" i="10"/>
  <c r="BG760" i="10"/>
  <c r="BN759" i="10"/>
  <c r="BM759" i="10"/>
  <c r="BL759" i="10"/>
  <c r="BH759" i="10"/>
  <c r="BG759" i="10"/>
  <c r="BI759" i="10" s="1"/>
  <c r="BN758" i="10"/>
  <c r="BM758" i="10"/>
  <c r="BL758" i="10"/>
  <c r="BH758" i="10"/>
  <c r="BG758" i="10"/>
  <c r="BI758" i="10" s="1"/>
  <c r="BM757" i="10"/>
  <c r="BL757" i="10"/>
  <c r="BN757" i="10" s="1"/>
  <c r="BI757" i="10"/>
  <c r="BH757" i="10"/>
  <c r="BG757" i="10"/>
  <c r="BM756" i="10"/>
  <c r="BL756" i="10"/>
  <c r="BH756" i="10"/>
  <c r="BG756" i="10"/>
  <c r="BI756" i="10" s="1"/>
  <c r="BM755" i="10"/>
  <c r="BL755" i="10"/>
  <c r="BN755" i="10" s="1"/>
  <c r="BH755" i="10"/>
  <c r="BI755" i="10" s="1"/>
  <c r="BG755" i="10"/>
  <c r="BN754" i="10"/>
  <c r="BM754" i="10"/>
  <c r="BL754" i="10"/>
  <c r="BH754" i="10"/>
  <c r="BG754" i="10"/>
  <c r="BM753" i="10"/>
  <c r="BN753" i="10" s="1"/>
  <c r="BL753" i="10"/>
  <c r="BI753" i="10"/>
  <c r="BH753" i="10"/>
  <c r="BG753" i="10"/>
  <c r="BN752" i="10"/>
  <c r="BM752" i="10"/>
  <c r="BL752" i="10"/>
  <c r="BH752" i="10"/>
  <c r="BG752" i="10"/>
  <c r="BI752" i="10" s="1"/>
  <c r="BM751" i="10"/>
  <c r="BL751" i="10"/>
  <c r="BN751" i="10" s="1"/>
  <c r="BH751" i="10"/>
  <c r="BG751" i="10"/>
  <c r="BI751" i="10" s="1"/>
  <c r="BM750" i="10"/>
  <c r="BL750" i="10"/>
  <c r="BN750" i="10" s="1"/>
  <c r="BH750" i="10"/>
  <c r="BG750" i="10"/>
  <c r="BI750" i="10" s="1"/>
  <c r="BM749" i="10"/>
  <c r="BL749" i="10"/>
  <c r="BI749" i="10"/>
  <c r="BH749" i="10"/>
  <c r="BG749" i="10"/>
  <c r="BM748" i="10"/>
  <c r="BL748" i="10"/>
  <c r="BH748" i="10"/>
  <c r="BI748" i="10" s="1"/>
  <c r="BG748" i="10"/>
  <c r="BN747" i="10"/>
  <c r="BM747" i="10"/>
  <c r="BL747" i="10"/>
  <c r="BI747" i="10"/>
  <c r="BH747" i="10"/>
  <c r="BG747" i="10"/>
  <c r="BN746" i="10"/>
  <c r="BM746" i="10"/>
  <c r="BL746" i="10"/>
  <c r="BH746" i="10"/>
  <c r="BG746" i="10"/>
  <c r="BN745" i="10"/>
  <c r="BM745" i="10"/>
  <c r="BL745" i="10"/>
  <c r="BI745" i="10"/>
  <c r="BH745" i="10"/>
  <c r="BG745" i="10"/>
  <c r="BM744" i="10"/>
  <c r="BL744" i="10"/>
  <c r="BN744" i="10" s="1"/>
  <c r="BH744" i="10"/>
  <c r="BG744" i="10"/>
  <c r="BI744" i="10" s="1"/>
  <c r="BN743" i="10"/>
  <c r="BM743" i="10"/>
  <c r="BL743" i="10"/>
  <c r="BH743" i="10"/>
  <c r="BG743" i="10"/>
  <c r="BN742" i="10"/>
  <c r="BM742" i="10"/>
  <c r="BL742" i="10"/>
  <c r="BH742" i="10"/>
  <c r="BG742" i="10"/>
  <c r="BM741" i="10"/>
  <c r="BL741" i="10"/>
  <c r="BH741" i="10"/>
  <c r="BI741" i="10" s="1"/>
  <c r="BG741" i="10"/>
  <c r="BN740" i="10"/>
  <c r="BM740" i="10"/>
  <c r="BL740" i="10"/>
  <c r="BI740" i="10"/>
  <c r="BH740" i="10"/>
  <c r="BG740" i="10"/>
  <c r="BM739" i="10"/>
  <c r="BL739" i="10"/>
  <c r="BN739" i="10" s="1"/>
  <c r="BH739" i="10"/>
  <c r="BG739" i="10"/>
  <c r="BI739" i="10" s="1"/>
  <c r="BM738" i="10"/>
  <c r="BL738" i="10"/>
  <c r="BH738" i="10"/>
  <c r="BG738" i="10"/>
  <c r="BN737" i="10"/>
  <c r="BM737" i="10"/>
  <c r="BL737" i="10"/>
  <c r="BH737" i="10"/>
  <c r="BI737" i="10" s="1"/>
  <c r="BG737" i="10"/>
  <c r="BM736" i="10"/>
  <c r="BL736" i="10"/>
  <c r="BN736" i="10" s="1"/>
  <c r="BH736" i="10"/>
  <c r="BG736" i="10"/>
  <c r="BM735" i="10"/>
  <c r="BL735" i="10"/>
  <c r="BN735" i="10" s="1"/>
  <c r="BH735" i="10"/>
  <c r="BI735" i="10" s="1"/>
  <c r="BG735" i="10"/>
  <c r="BN734" i="10"/>
  <c r="BM734" i="10"/>
  <c r="BL734" i="10"/>
  <c r="BH734" i="10"/>
  <c r="BG734" i="10"/>
  <c r="BM733" i="10"/>
  <c r="BN733" i="10" s="1"/>
  <c r="BL733" i="10"/>
  <c r="BI733" i="10"/>
  <c r="BH733" i="10"/>
  <c r="BG733" i="10"/>
  <c r="BN732" i="10"/>
  <c r="BM732" i="10"/>
  <c r="BL732" i="10"/>
  <c r="BI732" i="10"/>
  <c r="BH732" i="10"/>
  <c r="BG732" i="10"/>
  <c r="BM731" i="10"/>
  <c r="BL731" i="10"/>
  <c r="BN731" i="10" s="1"/>
  <c r="BI731" i="10"/>
  <c r="BH731" i="10"/>
  <c r="BG731" i="10"/>
  <c r="BM730" i="10"/>
  <c r="BL730" i="10"/>
  <c r="BH730" i="10"/>
  <c r="BG730" i="10"/>
  <c r="BM729" i="10"/>
  <c r="BL729" i="10"/>
  <c r="BN729" i="10" s="1"/>
  <c r="BH729" i="10"/>
  <c r="BI729" i="10" s="1"/>
  <c r="BG729" i="10"/>
  <c r="BM728" i="10"/>
  <c r="BL728" i="10"/>
  <c r="BH728" i="10"/>
  <c r="BI728" i="10" s="1"/>
  <c r="BG728" i="10"/>
  <c r="BM727" i="10"/>
  <c r="BL727" i="10"/>
  <c r="BN727" i="10" s="1"/>
  <c r="BI727" i="10"/>
  <c r="BH727" i="10"/>
  <c r="BG727" i="10"/>
  <c r="BN726" i="10"/>
  <c r="BM726" i="10"/>
  <c r="BL726" i="10"/>
  <c r="BH726" i="10"/>
  <c r="BG726" i="10"/>
  <c r="BI726" i="10" s="1"/>
  <c r="BN725" i="10"/>
  <c r="BM725" i="10"/>
  <c r="BL725" i="10"/>
  <c r="BI725" i="10"/>
  <c r="BH725" i="10"/>
  <c r="BG725" i="10"/>
  <c r="BM724" i="10"/>
  <c r="BL724" i="10"/>
  <c r="BI724" i="10"/>
  <c r="BH724" i="10"/>
  <c r="BG724" i="10"/>
  <c r="BM723" i="10"/>
  <c r="BL723" i="10"/>
  <c r="BN723" i="10" s="1"/>
  <c r="BH723" i="10"/>
  <c r="BG723" i="10"/>
  <c r="BI723" i="10" s="1"/>
  <c r="BN722" i="10"/>
  <c r="BM722" i="10"/>
  <c r="BL722" i="10"/>
  <c r="BH722" i="10"/>
  <c r="BG722" i="10"/>
  <c r="BM721" i="10"/>
  <c r="BL721" i="10"/>
  <c r="BH721" i="10"/>
  <c r="BI721" i="10" s="1"/>
  <c r="BG721" i="10"/>
  <c r="BN720" i="10"/>
  <c r="BM720" i="10"/>
  <c r="BL720" i="10"/>
  <c r="BH720" i="10"/>
  <c r="BG720" i="10"/>
  <c r="BI720" i="10" s="1"/>
  <c r="BN719" i="10"/>
  <c r="BM719" i="10"/>
  <c r="BL719" i="10"/>
  <c r="BH719" i="10"/>
  <c r="BG719" i="10"/>
  <c r="BM718" i="10"/>
  <c r="BL718" i="10"/>
  <c r="BN718" i="10" s="1"/>
  <c r="BH718" i="10"/>
  <c r="BG718" i="10"/>
  <c r="BI718" i="10" s="1"/>
  <c r="BM717" i="10"/>
  <c r="BL717" i="10"/>
  <c r="BN717" i="10" s="1"/>
  <c r="BH717" i="10"/>
  <c r="BI717" i="10" s="1"/>
  <c r="BG717" i="10"/>
  <c r="BM716" i="10"/>
  <c r="BL716" i="10"/>
  <c r="BN716" i="10" s="1"/>
  <c r="BH716" i="10"/>
  <c r="BG716" i="10"/>
  <c r="BI716" i="10" s="1"/>
  <c r="BN715" i="10"/>
  <c r="BM715" i="10"/>
  <c r="BL715" i="10"/>
  <c r="BI715" i="10"/>
  <c r="BH715" i="10"/>
  <c r="BG715" i="10"/>
  <c r="BM714" i="10"/>
  <c r="BN714" i="10" s="1"/>
  <c r="BL714" i="10"/>
  <c r="BH714" i="10"/>
  <c r="BG714" i="10"/>
  <c r="BN713" i="10"/>
  <c r="BM713" i="10"/>
  <c r="BL713" i="10"/>
  <c r="BH713" i="10"/>
  <c r="BI713" i="10" s="1"/>
  <c r="BG713" i="10"/>
  <c r="BN712" i="10"/>
  <c r="BM712" i="10"/>
  <c r="BL712" i="10"/>
  <c r="BH712" i="10"/>
  <c r="BG712" i="10"/>
  <c r="BN711" i="10"/>
  <c r="BM711" i="10"/>
  <c r="BL711" i="10"/>
  <c r="BH711" i="10"/>
  <c r="BG711" i="10"/>
  <c r="BN710" i="10"/>
  <c r="BM710" i="10"/>
  <c r="BL710" i="10"/>
  <c r="BH710" i="10"/>
  <c r="BG710" i="10"/>
  <c r="BI710" i="10" s="1"/>
  <c r="BM709" i="10"/>
  <c r="BL709" i="10"/>
  <c r="BN709" i="10" s="1"/>
  <c r="BI709" i="10"/>
  <c r="BH709" i="10"/>
  <c r="BG709" i="10"/>
  <c r="BM708" i="10"/>
  <c r="BN708" i="10" s="1"/>
  <c r="BL708" i="10"/>
  <c r="BH708" i="10"/>
  <c r="BG708" i="10"/>
  <c r="BI708" i="10" s="1"/>
  <c r="BN707" i="10"/>
  <c r="BM707" i="10"/>
  <c r="BL707" i="10"/>
  <c r="BI707" i="10"/>
  <c r="BH707" i="10"/>
  <c r="BG707" i="10"/>
  <c r="BM706" i="10"/>
  <c r="BL706" i="10"/>
  <c r="BH706" i="10"/>
  <c r="BG706" i="10"/>
  <c r="BM705" i="10"/>
  <c r="BL705" i="10"/>
  <c r="BN705" i="10" s="1"/>
  <c r="BH705" i="10"/>
  <c r="BI705" i="10" s="1"/>
  <c r="BG705" i="10"/>
  <c r="BM704" i="10"/>
  <c r="BL704" i="10"/>
  <c r="BN704" i="10" s="1"/>
  <c r="BH704" i="10"/>
  <c r="BG704" i="10"/>
  <c r="BI704" i="10" s="1"/>
  <c r="BM703" i="10"/>
  <c r="BL703" i="10"/>
  <c r="BN703" i="10" s="1"/>
  <c r="BI703" i="10"/>
  <c r="BH703" i="10"/>
  <c r="BG703" i="10"/>
  <c r="BM702" i="10"/>
  <c r="BL702" i="10"/>
  <c r="BN702" i="10" s="1"/>
  <c r="BH702" i="10"/>
  <c r="BG702" i="10"/>
  <c r="BI702" i="10" s="1"/>
  <c r="BM701" i="10"/>
  <c r="BN701" i="10" s="1"/>
  <c r="BL701" i="10"/>
  <c r="BI701" i="10"/>
  <c r="BH701" i="10"/>
  <c r="BG701" i="10"/>
  <c r="BM700" i="10"/>
  <c r="BL700" i="10"/>
  <c r="BN700" i="10" s="1"/>
  <c r="BI700" i="10"/>
  <c r="BH700" i="10"/>
  <c r="BG700" i="10"/>
  <c r="BM699" i="10"/>
  <c r="BL699" i="10"/>
  <c r="BN699" i="10" s="1"/>
  <c r="BH699" i="10"/>
  <c r="BG699" i="10"/>
  <c r="BM698" i="10"/>
  <c r="BL698" i="10"/>
  <c r="BN698" i="10" s="1"/>
  <c r="BH698" i="10"/>
  <c r="BG698" i="10"/>
  <c r="BI698" i="10" s="1"/>
  <c r="BN697" i="10"/>
  <c r="BM697" i="10"/>
  <c r="BL697" i="10"/>
  <c r="BH697" i="10"/>
  <c r="BI697" i="10" s="1"/>
  <c r="BG697" i="10"/>
  <c r="BN696" i="10"/>
  <c r="BM696" i="10"/>
  <c r="BL696" i="10"/>
  <c r="BI696" i="10"/>
  <c r="BH696" i="10"/>
  <c r="BG696" i="10"/>
  <c r="BM695" i="10"/>
  <c r="BL695" i="10"/>
  <c r="BN695" i="10" s="1"/>
  <c r="BH695" i="10"/>
  <c r="BG695" i="10"/>
  <c r="BM694" i="10"/>
  <c r="BL694" i="10"/>
  <c r="BN694" i="10" s="1"/>
  <c r="BH694" i="10"/>
  <c r="BG694" i="10"/>
  <c r="BI694" i="10" s="1"/>
  <c r="BM693" i="10"/>
  <c r="BL693" i="10"/>
  <c r="BN693" i="10" s="1"/>
  <c r="BI693" i="10"/>
  <c r="BH693" i="10"/>
  <c r="BG693" i="10"/>
  <c r="BM692" i="10"/>
  <c r="BL692" i="10"/>
  <c r="BH692" i="10"/>
  <c r="BG692" i="10"/>
  <c r="BI692" i="10" s="1"/>
  <c r="BM691" i="10"/>
  <c r="BL691" i="10"/>
  <c r="BN691" i="10" s="1"/>
  <c r="BH691" i="10"/>
  <c r="BG691" i="10"/>
  <c r="BI691" i="10" s="1"/>
  <c r="BM690" i="10"/>
  <c r="BN690" i="10" s="1"/>
  <c r="BL690" i="10"/>
  <c r="BH690" i="10"/>
  <c r="BG690" i="10"/>
  <c r="BN689" i="10"/>
  <c r="BM689" i="10"/>
  <c r="BL689" i="10"/>
  <c r="BH689" i="10"/>
  <c r="BI689" i="10" s="1"/>
  <c r="BG689" i="10"/>
  <c r="BM688" i="10"/>
  <c r="BL688" i="10"/>
  <c r="BN688" i="10" s="1"/>
  <c r="BH688" i="10"/>
  <c r="BI688" i="10" s="1"/>
  <c r="BG688" i="10"/>
  <c r="BN687" i="10"/>
  <c r="BM687" i="10"/>
  <c r="BL687" i="10"/>
  <c r="BH687" i="10"/>
  <c r="BG687" i="10"/>
  <c r="BI687" i="10" s="1"/>
  <c r="BM686" i="10"/>
  <c r="BN686" i="10" s="1"/>
  <c r="BL686" i="10"/>
  <c r="BH686" i="10"/>
  <c r="BG686" i="10"/>
  <c r="BI686" i="10" s="1"/>
  <c r="BM685" i="10"/>
  <c r="BL685" i="10"/>
  <c r="BH685" i="10"/>
  <c r="BI685" i="10" s="1"/>
  <c r="BG685" i="10"/>
  <c r="BN684" i="10"/>
  <c r="BM684" i="10"/>
  <c r="BL684" i="10"/>
  <c r="BH684" i="10"/>
  <c r="BG684" i="10"/>
  <c r="BI684" i="10" s="1"/>
  <c r="BN683" i="10"/>
  <c r="BM683" i="10"/>
  <c r="BL683" i="10"/>
  <c r="BH683" i="10"/>
  <c r="BG683" i="10"/>
  <c r="BM682" i="10"/>
  <c r="BL682" i="10"/>
  <c r="BN682" i="10" s="1"/>
  <c r="BH682" i="10"/>
  <c r="BG682" i="10"/>
  <c r="BM681" i="10"/>
  <c r="BN681" i="10" s="1"/>
  <c r="BL681" i="10"/>
  <c r="BI681" i="10"/>
  <c r="BH681" i="10"/>
  <c r="BG681" i="10"/>
  <c r="BN680" i="10"/>
  <c r="BM680" i="10"/>
  <c r="BL680" i="10"/>
  <c r="BI680" i="10"/>
  <c r="BH680" i="10"/>
  <c r="BG680" i="10"/>
  <c r="BM679" i="10"/>
  <c r="BL679" i="10"/>
  <c r="BN679" i="10" s="1"/>
  <c r="BH679" i="10"/>
  <c r="BG679" i="10"/>
  <c r="BI679" i="10" s="1"/>
  <c r="BN678" i="10"/>
  <c r="BM678" i="10"/>
  <c r="BL678" i="10"/>
  <c r="BH678" i="10"/>
  <c r="BG678" i="10"/>
  <c r="BI678" i="10" s="1"/>
  <c r="BN677" i="10"/>
  <c r="BM677" i="10"/>
  <c r="BL677" i="10"/>
  <c r="BI677" i="10"/>
  <c r="BH677" i="10"/>
  <c r="BG677" i="10"/>
  <c r="BM676" i="10"/>
  <c r="BL676" i="10"/>
  <c r="BN676" i="10" s="1"/>
  <c r="BH676" i="10"/>
  <c r="BG676" i="10"/>
  <c r="BM675" i="10"/>
  <c r="BL675" i="10"/>
  <c r="BN675" i="10" s="1"/>
  <c r="BH675" i="10"/>
  <c r="BG675" i="10"/>
  <c r="BM674" i="10"/>
  <c r="BL674" i="10"/>
  <c r="BN674" i="10" s="1"/>
  <c r="BH674" i="10"/>
  <c r="BG674" i="10"/>
  <c r="BI674" i="10" s="1"/>
  <c r="BM673" i="10"/>
  <c r="BN673" i="10" s="1"/>
  <c r="BL673" i="10"/>
  <c r="BH673" i="10"/>
  <c r="BI673" i="10" s="1"/>
  <c r="BG673" i="10"/>
  <c r="BM672" i="10"/>
  <c r="BL672" i="10"/>
  <c r="BN672" i="10" s="1"/>
  <c r="BH672" i="10"/>
  <c r="BI672" i="10" s="1"/>
  <c r="BG672" i="10"/>
  <c r="BN671" i="10"/>
  <c r="BM671" i="10"/>
  <c r="BL671" i="10"/>
  <c r="BI671" i="10"/>
  <c r="BH671" i="10"/>
  <c r="BG671" i="10"/>
  <c r="BN670" i="10"/>
  <c r="BM670" i="10"/>
  <c r="BL670" i="10"/>
  <c r="BH670" i="10"/>
  <c r="BG670" i="10"/>
  <c r="BN669" i="10"/>
  <c r="BM669" i="10"/>
  <c r="BL669" i="10"/>
  <c r="BI669" i="10"/>
  <c r="BH669" i="10"/>
  <c r="BG669" i="10"/>
  <c r="BM668" i="10"/>
  <c r="BL668" i="10"/>
  <c r="BN668" i="10" s="1"/>
  <c r="BI668" i="10"/>
  <c r="BH668" i="10"/>
  <c r="BG668" i="10"/>
  <c r="BM667" i="10"/>
  <c r="BL667" i="10"/>
  <c r="BN667" i="10" s="1"/>
  <c r="BH667" i="10"/>
  <c r="BG667" i="10"/>
  <c r="BI667" i="10" s="1"/>
  <c r="BM666" i="10"/>
  <c r="BN666" i="10" s="1"/>
  <c r="BL666" i="10"/>
  <c r="BH666" i="10"/>
  <c r="BG666" i="10"/>
  <c r="BI666" i="10" s="1"/>
  <c r="BM665" i="10"/>
  <c r="BL665" i="10"/>
  <c r="BH665" i="10"/>
  <c r="BI665" i="10" s="1"/>
  <c r="BG665" i="10"/>
  <c r="BM664" i="10"/>
  <c r="BN664" i="10" s="1"/>
  <c r="BL664" i="10"/>
  <c r="BH664" i="10"/>
  <c r="BG664" i="10"/>
  <c r="BI664" i="10" s="1"/>
  <c r="BN663" i="10"/>
  <c r="BM663" i="10"/>
  <c r="BL663" i="10"/>
  <c r="BI663" i="10"/>
  <c r="BH663" i="10"/>
  <c r="BG663" i="10"/>
  <c r="BM662" i="10"/>
  <c r="BL662" i="10"/>
  <c r="BN662" i="10" s="1"/>
  <c r="BH662" i="10"/>
  <c r="BG662" i="10"/>
  <c r="BI662" i="10" s="1"/>
  <c r="BN661" i="10"/>
  <c r="BM661" i="10"/>
  <c r="BL661" i="10"/>
  <c r="BH661" i="10"/>
  <c r="BI661" i="10" s="1"/>
  <c r="BG661" i="10"/>
  <c r="BM660" i="10"/>
  <c r="BL660" i="10"/>
  <c r="BH660" i="10"/>
  <c r="BG660" i="10"/>
  <c r="BN659" i="10"/>
  <c r="BM659" i="10"/>
  <c r="BL659" i="10"/>
  <c r="BH659" i="10"/>
  <c r="BI659" i="10" s="1"/>
  <c r="BG659" i="10"/>
  <c r="BN658" i="10"/>
  <c r="BM658" i="10"/>
  <c r="BL658" i="10"/>
  <c r="BH658" i="10"/>
  <c r="BG658" i="10"/>
  <c r="BM657" i="10"/>
  <c r="BN657" i="10" s="1"/>
  <c r="BL657" i="10"/>
  <c r="BI657" i="10"/>
  <c r="BH657" i="10"/>
  <c r="BG657" i="10"/>
  <c r="BM656" i="10"/>
  <c r="BL656" i="10"/>
  <c r="BN656" i="10" s="1"/>
  <c r="BH656" i="10"/>
  <c r="BG656" i="10"/>
  <c r="BI656" i="10" s="1"/>
  <c r="BN655" i="10"/>
  <c r="BM655" i="10"/>
  <c r="BL655" i="10"/>
  <c r="BH655" i="10"/>
  <c r="BG655" i="10"/>
  <c r="BI655" i="10" s="1"/>
  <c r="BM654" i="10"/>
  <c r="BL654" i="10"/>
  <c r="BH654" i="10"/>
  <c r="BG654" i="10"/>
  <c r="BI654" i="10" s="1"/>
  <c r="BM653" i="10"/>
  <c r="BL653" i="10"/>
  <c r="BH653" i="10"/>
  <c r="BI653" i="10" s="1"/>
  <c r="BG653" i="10"/>
  <c r="BN652" i="10"/>
  <c r="BM652" i="10"/>
  <c r="BL652" i="10"/>
  <c r="BI652" i="10"/>
  <c r="BH652" i="10"/>
  <c r="BG652" i="10"/>
  <c r="BM651" i="10"/>
  <c r="BL651" i="10"/>
  <c r="BN651" i="10" s="1"/>
  <c r="BH651" i="10"/>
  <c r="BG651" i="10"/>
  <c r="BI651" i="10" s="1"/>
  <c r="BM650" i="10"/>
  <c r="BL650" i="10"/>
  <c r="BN650" i="10" s="1"/>
  <c r="BH650" i="10"/>
  <c r="BG650" i="10"/>
  <c r="BI650" i="10" s="1"/>
  <c r="BM649" i="10"/>
  <c r="BL649" i="10"/>
  <c r="BN649" i="10" s="1"/>
  <c r="BI649" i="10"/>
  <c r="BH649" i="10"/>
  <c r="BG649" i="10"/>
  <c r="BN648" i="10"/>
  <c r="BM648" i="10"/>
  <c r="BL648" i="10"/>
  <c r="BH648" i="10"/>
  <c r="BG648" i="10"/>
  <c r="BM647" i="10"/>
  <c r="BL647" i="10"/>
  <c r="BN647" i="10" s="1"/>
  <c r="BH647" i="10"/>
  <c r="BI647" i="10" s="1"/>
  <c r="BG647" i="10"/>
  <c r="BM646" i="10"/>
  <c r="BN646" i="10" s="1"/>
  <c r="BL646" i="10"/>
  <c r="BH646" i="10"/>
  <c r="BG646" i="10"/>
  <c r="BM645" i="10"/>
  <c r="BN645" i="10" s="1"/>
  <c r="BL645" i="10"/>
  <c r="BH645" i="10"/>
  <c r="BI645" i="10" s="1"/>
  <c r="BG645" i="10"/>
  <c r="BM644" i="10"/>
  <c r="BL644" i="10"/>
  <c r="BN644" i="10" s="1"/>
  <c r="BI644" i="10"/>
  <c r="BH644" i="10"/>
  <c r="BG644" i="10"/>
  <c r="BN643" i="10"/>
  <c r="BM643" i="10"/>
  <c r="BL643" i="10"/>
  <c r="BH643" i="10"/>
  <c r="BG643" i="10"/>
  <c r="BI643" i="10" s="1"/>
  <c r="BM642" i="10"/>
  <c r="BL642" i="10"/>
  <c r="BH642" i="10"/>
  <c r="BG642" i="10"/>
  <c r="BI642" i="10" s="1"/>
  <c r="BM641" i="10"/>
  <c r="BL641" i="10"/>
  <c r="BN641" i="10" s="1"/>
  <c r="BH641" i="10"/>
  <c r="BI641" i="10" s="1"/>
  <c r="BG641" i="10"/>
  <c r="BM640" i="10"/>
  <c r="BL640" i="10"/>
  <c r="BN640" i="10" s="1"/>
  <c r="BI640" i="10"/>
  <c r="BH640" i="10"/>
  <c r="BG640" i="10"/>
  <c r="BN639" i="10"/>
  <c r="BM639" i="10"/>
  <c r="BL639" i="10"/>
  <c r="BH639" i="10"/>
  <c r="BG639" i="10"/>
  <c r="BM638" i="10"/>
  <c r="BL638" i="10"/>
  <c r="BN638" i="10" s="1"/>
  <c r="BH638" i="10"/>
  <c r="BG638" i="10"/>
  <c r="BM637" i="10"/>
  <c r="BL637" i="10"/>
  <c r="BN637" i="10" s="1"/>
  <c r="BI637" i="10"/>
  <c r="BH637" i="10"/>
  <c r="BG637" i="10"/>
  <c r="BN636" i="10"/>
  <c r="BM636" i="10"/>
  <c r="BL636" i="10"/>
  <c r="BH636" i="10"/>
  <c r="BI636" i="10" s="1"/>
  <c r="BG636" i="10"/>
  <c r="BM635" i="10"/>
  <c r="BL635" i="10"/>
  <c r="BN635" i="10" s="1"/>
  <c r="BH635" i="10"/>
  <c r="BG635" i="10"/>
  <c r="BI635" i="10" s="1"/>
  <c r="BM634" i="10"/>
  <c r="BN634" i="10" s="1"/>
  <c r="BL634" i="10"/>
  <c r="BH634" i="10"/>
  <c r="BG634" i="10"/>
  <c r="BM633" i="10"/>
  <c r="BL633" i="10"/>
  <c r="BN633" i="10" s="1"/>
  <c r="BI633" i="10"/>
  <c r="BH633" i="10"/>
  <c r="BG633" i="10"/>
  <c r="BN632" i="10"/>
  <c r="BM632" i="10"/>
  <c r="BL632" i="10"/>
  <c r="BH632" i="10"/>
  <c r="BG632" i="10"/>
  <c r="BI632" i="10" s="1"/>
  <c r="BM631" i="10"/>
  <c r="BL631" i="10"/>
  <c r="BN631" i="10" s="1"/>
  <c r="BH631" i="10"/>
  <c r="BG631" i="10"/>
  <c r="BI631" i="10" s="1"/>
  <c r="BM630" i="10"/>
  <c r="BN630" i="10" s="1"/>
  <c r="BL630" i="10"/>
  <c r="BH630" i="10"/>
  <c r="BG630" i="10"/>
  <c r="BI630" i="10" s="1"/>
  <c r="BM629" i="10"/>
  <c r="BL629" i="10"/>
  <c r="BN629" i="10" s="1"/>
  <c r="BH629" i="10"/>
  <c r="BI629" i="10" s="1"/>
  <c r="BG629" i="10"/>
  <c r="BM628" i="10"/>
  <c r="BL628" i="10"/>
  <c r="BN628" i="10" s="1"/>
  <c r="BH628" i="10"/>
  <c r="BG628" i="10"/>
  <c r="BN627" i="10"/>
  <c r="BM627" i="10"/>
  <c r="BL627" i="10"/>
  <c r="BH627" i="10"/>
  <c r="BI627" i="10" s="1"/>
  <c r="BG627" i="10"/>
  <c r="BM626" i="10"/>
  <c r="BL626" i="10"/>
  <c r="BN626" i="10" s="1"/>
  <c r="BH626" i="10"/>
  <c r="BG626" i="10"/>
  <c r="BM625" i="10"/>
  <c r="BN625" i="10" s="1"/>
  <c r="BL625" i="10"/>
  <c r="BI625" i="10"/>
  <c r="BH625" i="10"/>
  <c r="BG625" i="10"/>
  <c r="BN624" i="10"/>
  <c r="BM624" i="10"/>
  <c r="BL624" i="10"/>
  <c r="BI624" i="10"/>
  <c r="BH624" i="10"/>
  <c r="BG624" i="10"/>
  <c r="BM623" i="10"/>
  <c r="BL623" i="10"/>
  <c r="BN623" i="10" s="1"/>
  <c r="BH623" i="10"/>
  <c r="BG623" i="10"/>
  <c r="BM622" i="10"/>
  <c r="BL622" i="10"/>
  <c r="BH622" i="10"/>
  <c r="BG622" i="10"/>
  <c r="BM621" i="10"/>
  <c r="BL621" i="10"/>
  <c r="BN621" i="10" s="1"/>
  <c r="BH621" i="10"/>
  <c r="BI621" i="10" s="1"/>
  <c r="BG621" i="10"/>
  <c r="BN620" i="10"/>
  <c r="BM620" i="10"/>
  <c r="BL620" i="10"/>
  <c r="BH620" i="10"/>
  <c r="BI620" i="10" s="1"/>
  <c r="BG620" i="10"/>
  <c r="BM619" i="10"/>
  <c r="BL619" i="10"/>
  <c r="BN619" i="10" s="1"/>
  <c r="BI619" i="10"/>
  <c r="BH619" i="10"/>
  <c r="BG619" i="10"/>
  <c r="BM618" i="10"/>
  <c r="BL618" i="10"/>
  <c r="BN618" i="10" s="1"/>
  <c r="BH618" i="10"/>
  <c r="BG618" i="10"/>
  <c r="BI618" i="10" s="1"/>
  <c r="BN617" i="10"/>
  <c r="BM617" i="10"/>
  <c r="BL617" i="10"/>
  <c r="BI617" i="10"/>
  <c r="BH617" i="10"/>
  <c r="BG617" i="10"/>
  <c r="BM616" i="10"/>
  <c r="BL616" i="10"/>
  <c r="BN616" i="10" s="1"/>
  <c r="BH616" i="10"/>
  <c r="BG616" i="10"/>
  <c r="BM615" i="10"/>
  <c r="BL615" i="10"/>
  <c r="BN615" i="10" s="1"/>
  <c r="BI615" i="10"/>
  <c r="BH615" i="10"/>
  <c r="BG615" i="10"/>
  <c r="BN614" i="10"/>
  <c r="BM614" i="10"/>
  <c r="BL614" i="10"/>
  <c r="BH614" i="10"/>
  <c r="BG614" i="10"/>
  <c r="BI614" i="10" s="1"/>
  <c r="BN613" i="10"/>
  <c r="BM613" i="10"/>
  <c r="BL613" i="10"/>
  <c r="BI613" i="10"/>
  <c r="BH613" i="10"/>
  <c r="BG613" i="10"/>
  <c r="BM612" i="10"/>
  <c r="BL612" i="10"/>
  <c r="BN612" i="10" s="1"/>
  <c r="BH612" i="10"/>
  <c r="BG612" i="10"/>
  <c r="BI612" i="10" s="1"/>
  <c r="BM611" i="10"/>
  <c r="BL611" i="10"/>
  <c r="BN611" i="10" s="1"/>
  <c r="BH611" i="10"/>
  <c r="BI611" i="10" s="1"/>
  <c r="BG611" i="10"/>
  <c r="BM610" i="10"/>
  <c r="BL610" i="10"/>
  <c r="BN610" i="10" s="1"/>
  <c r="BH610" i="10"/>
  <c r="BG610" i="10"/>
  <c r="BI610" i="10" s="1"/>
  <c r="BM609" i="10"/>
  <c r="BL609" i="10"/>
  <c r="BN609" i="10" s="1"/>
  <c r="BH609" i="10"/>
  <c r="BI609" i="10" s="1"/>
  <c r="BG609" i="10"/>
  <c r="BM608" i="10"/>
  <c r="BL608" i="10"/>
  <c r="BH608" i="10"/>
  <c r="BI608" i="10" s="1"/>
  <c r="BG608" i="10"/>
  <c r="BN607" i="10"/>
  <c r="BM607" i="10"/>
  <c r="BL607" i="10"/>
  <c r="BI607" i="10"/>
  <c r="BH607" i="10"/>
  <c r="BG607" i="10"/>
  <c r="BM606" i="10"/>
  <c r="BL606" i="10"/>
  <c r="BN606" i="10" s="1"/>
  <c r="BH606" i="10"/>
  <c r="BG606" i="10"/>
  <c r="BN605" i="10"/>
  <c r="BM605" i="10"/>
  <c r="BL605" i="10"/>
  <c r="BI605" i="10"/>
  <c r="BH605" i="10"/>
  <c r="BG605" i="10"/>
  <c r="BM604" i="10"/>
  <c r="BL604" i="10"/>
  <c r="BN604" i="10" s="1"/>
  <c r="BH604" i="10"/>
  <c r="BG604" i="10"/>
  <c r="BI604" i="10" s="1"/>
  <c r="BM603" i="10"/>
  <c r="BL603" i="10"/>
  <c r="BN603" i="10" s="1"/>
  <c r="BH603" i="10"/>
  <c r="BG603" i="10"/>
  <c r="BI603" i="10" s="1"/>
  <c r="BN602" i="10"/>
  <c r="BM602" i="10"/>
  <c r="BL602" i="10"/>
  <c r="BH602" i="10"/>
  <c r="BG602" i="10"/>
  <c r="BI602" i="10" s="1"/>
  <c r="BM601" i="10"/>
  <c r="BL601" i="10"/>
  <c r="BH601" i="10"/>
  <c r="BI601" i="10" s="1"/>
  <c r="BG601" i="10"/>
  <c r="BM600" i="10"/>
  <c r="BN600" i="10" s="1"/>
  <c r="BL600" i="10"/>
  <c r="BI600" i="10"/>
  <c r="BH600" i="10"/>
  <c r="BG600" i="10"/>
  <c r="BN599" i="10"/>
  <c r="BM599" i="10"/>
  <c r="BL599" i="10"/>
  <c r="BH599" i="10"/>
  <c r="BG599" i="10"/>
  <c r="BI599" i="10" s="1"/>
  <c r="BM598" i="10"/>
  <c r="BL598" i="10"/>
  <c r="BN598" i="10" s="1"/>
  <c r="BH598" i="10"/>
  <c r="BG598" i="10"/>
  <c r="BI598" i="10" s="1"/>
  <c r="BM597" i="10"/>
  <c r="BL597" i="10"/>
  <c r="BN597" i="10" s="1"/>
  <c r="BH597" i="10"/>
  <c r="BI597" i="10" s="1"/>
  <c r="BG597" i="10"/>
  <c r="BM596" i="10"/>
  <c r="BL596" i="10"/>
  <c r="BH596" i="10"/>
  <c r="BG596" i="10"/>
  <c r="BI596" i="10" s="1"/>
  <c r="BN595" i="10"/>
  <c r="BM595" i="10"/>
  <c r="BL595" i="10"/>
  <c r="BI595" i="10"/>
  <c r="BH595" i="10"/>
  <c r="BG595" i="10"/>
  <c r="BM594" i="10"/>
  <c r="BL594" i="10"/>
  <c r="BN594" i="10" s="1"/>
  <c r="BH594" i="10"/>
  <c r="BG594" i="10"/>
  <c r="BN593" i="10"/>
  <c r="BM593" i="10"/>
  <c r="BL593" i="10"/>
  <c r="BH593" i="10"/>
  <c r="BI593" i="10" s="1"/>
  <c r="BG593" i="10"/>
  <c r="BM592" i="10"/>
  <c r="BL592" i="10"/>
  <c r="BN592" i="10" s="1"/>
  <c r="BH592" i="10"/>
  <c r="BG592" i="10"/>
  <c r="BI592" i="10" s="1"/>
  <c r="BN591" i="10"/>
  <c r="BM591" i="10"/>
  <c r="BL591" i="10"/>
  <c r="BH591" i="10"/>
  <c r="BI591" i="10" s="1"/>
  <c r="BG591" i="10"/>
  <c r="BM590" i="10"/>
  <c r="BL590" i="10"/>
  <c r="BN590" i="10" s="1"/>
  <c r="BH590" i="10"/>
  <c r="BG590" i="10"/>
  <c r="BI590" i="10" s="1"/>
  <c r="BM589" i="10"/>
  <c r="BL589" i="10"/>
  <c r="BH589" i="10"/>
  <c r="BI589" i="10" s="1"/>
  <c r="BG589" i="10"/>
  <c r="BM588" i="10"/>
  <c r="BL588" i="10"/>
  <c r="BN588" i="10" s="1"/>
  <c r="BH588" i="10"/>
  <c r="BI588" i="10" s="1"/>
  <c r="BG588" i="10"/>
  <c r="BM587" i="10"/>
  <c r="BL587" i="10"/>
  <c r="BN587" i="10" s="1"/>
  <c r="BH587" i="10"/>
  <c r="BI587" i="10" s="1"/>
  <c r="BG587" i="10"/>
  <c r="BN586" i="10"/>
  <c r="BM586" i="10"/>
  <c r="BL586" i="10"/>
  <c r="BH586" i="10"/>
  <c r="BG586" i="10"/>
  <c r="BI586" i="10" s="1"/>
  <c r="BM585" i="10"/>
  <c r="BN585" i="10" s="1"/>
  <c r="BL585" i="10"/>
  <c r="BI585" i="10"/>
  <c r="BH585" i="10"/>
  <c r="BG585" i="10"/>
  <c r="BM584" i="10"/>
  <c r="BL584" i="10"/>
  <c r="BN584" i="10" s="1"/>
  <c r="BH584" i="10"/>
  <c r="BG584" i="10"/>
  <c r="BI584" i="10" s="1"/>
  <c r="BM583" i="10"/>
  <c r="BL583" i="10"/>
  <c r="BN583" i="10" s="1"/>
  <c r="BH583" i="10"/>
  <c r="BG583" i="10"/>
  <c r="BI583" i="10" s="1"/>
  <c r="BN582" i="10"/>
  <c r="BM582" i="10"/>
  <c r="BL582" i="10"/>
  <c r="BH582" i="10"/>
  <c r="BG582" i="10"/>
  <c r="BM581" i="10"/>
  <c r="BL581" i="10"/>
  <c r="BN581" i="10" s="1"/>
  <c r="BI581" i="10"/>
  <c r="BH581" i="10"/>
  <c r="BG581" i="10"/>
  <c r="BN580" i="10"/>
  <c r="BM580" i="10"/>
  <c r="BL580" i="10"/>
  <c r="BH580" i="10"/>
  <c r="BG580" i="10"/>
  <c r="BI580" i="10" s="1"/>
  <c r="BM579" i="10"/>
  <c r="BL579" i="10"/>
  <c r="BN579" i="10" s="1"/>
  <c r="BH579" i="10"/>
  <c r="BG579" i="10"/>
  <c r="BI579" i="10" s="1"/>
  <c r="BM578" i="10"/>
  <c r="BN578" i="10" s="1"/>
  <c r="BL578" i="10"/>
  <c r="BH578" i="10"/>
  <c r="BG578" i="10"/>
  <c r="BI578" i="10" s="1"/>
  <c r="BM577" i="10"/>
  <c r="BL577" i="10"/>
  <c r="BN577" i="10" s="1"/>
  <c r="BH577" i="10"/>
  <c r="BI577" i="10" s="1"/>
  <c r="BG577" i="10"/>
  <c r="BM576" i="10"/>
  <c r="BL576" i="10"/>
  <c r="BN576" i="10" s="1"/>
  <c r="BH576" i="10"/>
  <c r="BG576" i="10"/>
  <c r="BI576" i="10" s="1"/>
  <c r="BN575" i="10"/>
  <c r="BM575" i="10"/>
  <c r="BL575" i="10"/>
  <c r="BI575" i="10"/>
  <c r="BH575" i="10"/>
  <c r="BG575" i="10"/>
  <c r="BM574" i="10"/>
  <c r="BL574" i="10"/>
  <c r="BN574" i="10" s="1"/>
  <c r="BH574" i="10"/>
  <c r="BG574" i="10"/>
  <c r="BM573" i="10"/>
  <c r="BN573" i="10" s="1"/>
  <c r="BL573" i="10"/>
  <c r="BH573" i="10"/>
  <c r="BI573" i="10" s="1"/>
  <c r="BG573" i="10"/>
  <c r="BM572" i="10"/>
  <c r="BL572" i="10"/>
  <c r="BN572" i="10" s="1"/>
  <c r="BI572" i="10"/>
  <c r="BH572" i="10"/>
  <c r="BG572" i="10"/>
  <c r="BM571" i="10"/>
  <c r="BL571" i="10"/>
  <c r="BN571" i="10" s="1"/>
  <c r="BH571" i="10"/>
  <c r="BG571" i="10"/>
  <c r="BI571" i="10" s="1"/>
  <c r="BN570" i="10"/>
  <c r="BM570" i="10"/>
  <c r="BL570" i="10"/>
  <c r="BH570" i="10"/>
  <c r="BG570" i="10"/>
  <c r="BI570" i="10" s="1"/>
  <c r="BM569" i="10"/>
  <c r="BL569" i="10"/>
  <c r="BH569" i="10"/>
  <c r="BI569" i="10" s="1"/>
  <c r="BG569" i="10"/>
  <c r="BM568" i="10"/>
  <c r="BN568" i="10" s="1"/>
  <c r="BL568" i="10"/>
  <c r="BI568" i="10"/>
  <c r="BH568" i="10"/>
  <c r="BG568" i="10"/>
  <c r="BN567" i="10"/>
  <c r="BM567" i="10"/>
  <c r="BL567" i="10"/>
  <c r="BH567" i="10"/>
  <c r="BG567" i="10"/>
  <c r="BI567" i="10" s="1"/>
  <c r="BM566" i="10"/>
  <c r="BL566" i="10"/>
  <c r="BN566" i="10" s="1"/>
  <c r="BH566" i="10"/>
  <c r="BG566" i="10"/>
  <c r="BM565" i="10"/>
  <c r="BL565" i="10"/>
  <c r="BN565" i="10" s="1"/>
  <c r="BH565" i="10"/>
  <c r="BI565" i="10" s="1"/>
  <c r="BG565" i="10"/>
  <c r="BM564" i="10"/>
  <c r="BL564" i="10"/>
  <c r="BN564" i="10" s="1"/>
  <c r="BH564" i="10"/>
  <c r="BG564" i="10"/>
  <c r="BI564" i="10" s="1"/>
  <c r="BM563" i="10"/>
  <c r="BL563" i="10"/>
  <c r="BN563" i="10" s="1"/>
  <c r="BI563" i="10"/>
  <c r="BH563" i="10"/>
  <c r="BG563" i="10"/>
  <c r="BN562" i="10"/>
  <c r="BM562" i="10"/>
  <c r="BL562" i="10"/>
  <c r="BH562" i="10"/>
  <c r="BG562" i="10"/>
  <c r="BI562" i="10" s="1"/>
  <c r="BN561" i="10"/>
  <c r="BM561" i="10"/>
  <c r="BL561" i="10"/>
  <c r="BI561" i="10"/>
  <c r="BH561" i="10"/>
  <c r="BG561" i="10"/>
  <c r="BM560" i="10"/>
  <c r="BN560" i="10" s="1"/>
  <c r="BL560" i="10"/>
  <c r="BH560" i="10"/>
  <c r="BG560" i="10"/>
  <c r="BI560" i="10" s="1"/>
  <c r="BN559" i="10"/>
  <c r="BM559" i="10"/>
  <c r="BL559" i="10"/>
  <c r="BI559" i="10"/>
  <c r="BH559" i="10"/>
  <c r="BG559" i="10"/>
  <c r="BM558" i="10"/>
  <c r="BL558" i="10"/>
  <c r="BN558" i="10" s="1"/>
  <c r="BH558" i="10"/>
  <c r="BG558" i="10"/>
  <c r="BM557" i="10"/>
  <c r="BN557" i="10" s="1"/>
  <c r="BL557" i="10"/>
  <c r="BH557" i="10"/>
  <c r="BI557" i="10" s="1"/>
  <c r="BG557" i="10"/>
  <c r="BM556" i="10"/>
  <c r="BN556" i="10" s="1"/>
  <c r="BL556" i="10"/>
  <c r="BH556" i="10"/>
  <c r="BI556" i="10" s="1"/>
  <c r="BG556" i="10"/>
  <c r="BM555" i="10"/>
  <c r="BL555" i="10"/>
  <c r="BN555" i="10" s="1"/>
  <c r="BI555" i="10"/>
  <c r="BH555" i="10"/>
  <c r="BG555" i="10"/>
  <c r="BN554" i="10"/>
  <c r="BM554" i="10"/>
  <c r="BL554" i="10"/>
  <c r="BH554" i="10"/>
  <c r="BG554" i="10"/>
  <c r="BI554" i="10" s="1"/>
  <c r="BN553" i="10"/>
  <c r="BM553" i="10"/>
  <c r="BL553" i="10"/>
  <c r="BI553" i="10"/>
  <c r="BH553" i="10"/>
  <c r="BG553" i="10"/>
  <c r="BM552" i="10"/>
  <c r="BL552" i="10"/>
  <c r="BH552" i="10"/>
  <c r="BG552" i="10"/>
  <c r="BI552" i="10" s="1"/>
  <c r="BM551" i="10"/>
  <c r="BL551" i="10"/>
  <c r="BN551" i="10" s="1"/>
  <c r="BH551" i="10"/>
  <c r="BG551" i="10"/>
  <c r="BI551" i="10" s="1"/>
  <c r="BM550" i="10"/>
  <c r="BN550" i="10" s="1"/>
  <c r="BL550" i="10"/>
  <c r="BH550" i="10"/>
  <c r="BG550" i="10"/>
  <c r="BM549" i="10"/>
  <c r="BL549" i="10"/>
  <c r="BN549" i="10" s="1"/>
  <c r="BH549" i="10"/>
  <c r="BI549" i="10" s="1"/>
  <c r="BG549" i="10"/>
  <c r="BM548" i="10"/>
  <c r="BL548" i="10"/>
  <c r="BN548" i="10" s="1"/>
  <c r="BH548" i="10"/>
  <c r="BI548" i="10" s="1"/>
  <c r="BG548" i="10"/>
  <c r="BN547" i="10"/>
  <c r="BM547" i="10"/>
  <c r="BL547" i="10"/>
  <c r="BH547" i="10"/>
  <c r="BG547" i="10"/>
  <c r="BI547" i="10" s="1"/>
  <c r="BN546" i="10"/>
  <c r="BM546" i="10"/>
  <c r="BL546" i="10"/>
  <c r="BH546" i="10"/>
  <c r="BG546" i="10"/>
  <c r="BI546" i="10" s="1"/>
  <c r="BM545" i="10"/>
  <c r="BL545" i="10"/>
  <c r="BN545" i="10" s="1"/>
  <c r="BI545" i="10"/>
  <c r="BH545" i="10"/>
  <c r="BG545" i="10"/>
  <c r="BM544" i="10"/>
  <c r="BL544" i="10"/>
  <c r="BH544" i="10"/>
  <c r="BG544" i="10"/>
  <c r="BI544" i="10" s="1"/>
  <c r="BN543" i="10"/>
  <c r="BM543" i="10"/>
  <c r="BL543" i="10"/>
  <c r="BI543" i="10"/>
  <c r="BH543" i="10"/>
  <c r="BG543" i="10"/>
  <c r="BM542" i="10"/>
  <c r="BL542" i="10"/>
  <c r="BN542" i="10" s="1"/>
  <c r="BH542" i="10"/>
  <c r="BG542" i="10"/>
  <c r="BN541" i="10"/>
  <c r="BM541" i="10"/>
  <c r="BL541" i="10"/>
  <c r="BH541" i="10"/>
  <c r="BI541" i="10" s="1"/>
  <c r="BG541" i="10"/>
  <c r="BM540" i="10"/>
  <c r="BL540" i="10"/>
  <c r="BN540" i="10" s="1"/>
  <c r="BH540" i="10"/>
  <c r="BG540" i="10"/>
  <c r="BI540" i="10" s="1"/>
  <c r="BN539" i="10"/>
  <c r="BM539" i="10"/>
  <c r="BL539" i="10"/>
  <c r="BH539" i="10"/>
  <c r="BG539" i="10"/>
  <c r="BI539" i="10" s="1"/>
  <c r="BM538" i="10"/>
  <c r="BL538" i="10"/>
  <c r="BN538" i="10" s="1"/>
  <c r="BH538" i="10"/>
  <c r="BG538" i="10"/>
  <c r="BI538" i="10" s="1"/>
  <c r="BM537" i="10"/>
  <c r="BL537" i="10"/>
  <c r="BN537" i="10" s="1"/>
  <c r="BI537" i="10"/>
  <c r="BH537" i="10"/>
  <c r="BG537" i="10"/>
  <c r="BM536" i="10"/>
  <c r="BN536" i="10" s="1"/>
  <c r="BL536" i="10"/>
  <c r="BH536" i="10"/>
  <c r="BG536" i="10"/>
  <c r="BM535" i="10"/>
  <c r="BL535" i="10"/>
  <c r="BN535" i="10" s="1"/>
  <c r="BI535" i="10"/>
  <c r="BH535" i="10"/>
  <c r="BG535" i="10"/>
  <c r="BM534" i="10"/>
  <c r="BN534" i="10" s="1"/>
  <c r="BL534" i="10"/>
  <c r="BH534" i="10"/>
  <c r="BG534" i="10"/>
  <c r="BI534" i="10" s="1"/>
  <c r="BM533" i="10"/>
  <c r="BN533" i="10" s="1"/>
  <c r="BL533" i="10"/>
  <c r="BH533" i="10"/>
  <c r="BI533" i="10" s="1"/>
  <c r="BG533" i="10"/>
  <c r="BM532" i="10"/>
  <c r="BL532" i="10"/>
  <c r="BN532" i="10" s="1"/>
  <c r="BI532" i="10"/>
  <c r="BH532" i="10"/>
  <c r="BG532" i="10"/>
  <c r="BN531" i="10"/>
  <c r="BM531" i="10"/>
  <c r="BL531" i="10"/>
  <c r="BH531" i="10"/>
  <c r="BG531" i="10"/>
  <c r="BI531" i="10" s="1"/>
  <c r="BM530" i="10"/>
  <c r="BL530" i="10"/>
  <c r="BN530" i="10" s="1"/>
  <c r="BH530" i="10"/>
  <c r="BG530" i="10"/>
  <c r="BM529" i="10"/>
  <c r="BL529" i="10"/>
  <c r="BH529" i="10"/>
  <c r="BI529" i="10" s="1"/>
  <c r="BG529" i="10"/>
  <c r="BM528" i="10"/>
  <c r="BL528" i="10"/>
  <c r="BN528" i="10" s="1"/>
  <c r="BH528" i="10"/>
  <c r="BI528" i="10" s="1"/>
  <c r="BG528" i="10"/>
  <c r="BN527" i="10"/>
  <c r="BM527" i="10"/>
  <c r="BL527" i="10"/>
  <c r="BH527" i="10"/>
  <c r="BG527" i="10"/>
  <c r="BI527" i="10" s="1"/>
  <c r="BM526" i="10"/>
  <c r="BL526" i="10"/>
  <c r="BN526" i="10" s="1"/>
  <c r="BH526" i="10"/>
  <c r="BG526" i="10"/>
  <c r="BM525" i="10"/>
  <c r="BL525" i="10"/>
  <c r="BN525" i="10" s="1"/>
  <c r="BI525" i="10"/>
  <c r="BH525" i="10"/>
  <c r="BG525" i="10"/>
  <c r="BN524" i="10"/>
  <c r="BM524" i="10"/>
  <c r="BL524" i="10"/>
  <c r="BH524" i="10"/>
  <c r="BG524" i="10"/>
  <c r="BI524" i="10" s="1"/>
  <c r="BM523" i="10"/>
  <c r="BL523" i="10"/>
  <c r="BN523" i="10" s="1"/>
  <c r="BH523" i="10"/>
  <c r="BG523" i="10"/>
  <c r="BI523" i="10" s="1"/>
  <c r="BM522" i="10"/>
  <c r="BN522" i="10" s="1"/>
  <c r="BL522" i="10"/>
  <c r="BH522" i="10"/>
  <c r="BG522" i="10"/>
  <c r="BI522" i="10" s="1"/>
  <c r="BM521" i="10"/>
  <c r="BL521" i="10"/>
  <c r="BN521" i="10" s="1"/>
  <c r="BI521" i="10"/>
  <c r="BH521" i="10"/>
  <c r="BG521" i="10"/>
  <c r="BM520" i="10"/>
  <c r="BN520" i="10" s="1"/>
  <c r="BL520" i="10"/>
  <c r="BH520" i="10"/>
  <c r="BG520" i="10"/>
  <c r="BI520" i="10" s="1"/>
  <c r="BN519" i="10"/>
  <c r="BM519" i="10"/>
  <c r="BL519" i="10"/>
  <c r="BI519" i="10"/>
  <c r="BH519" i="10"/>
  <c r="BG519" i="10"/>
  <c r="BM518" i="10"/>
  <c r="BL518" i="10"/>
  <c r="BN518" i="10" s="1"/>
  <c r="BH518" i="10"/>
  <c r="BG518" i="10"/>
  <c r="BI518" i="10" s="1"/>
  <c r="BN517" i="10"/>
  <c r="BM517" i="10"/>
  <c r="BL517" i="10"/>
  <c r="BH517" i="10"/>
  <c r="BI517" i="10" s="1"/>
  <c r="BG517" i="10"/>
  <c r="BM516" i="10"/>
  <c r="BL516" i="10"/>
  <c r="BN516" i="10" s="1"/>
  <c r="BH516" i="10"/>
  <c r="BG516" i="10"/>
  <c r="BI516" i="10" s="1"/>
  <c r="BN515" i="10"/>
  <c r="BM515" i="10"/>
  <c r="BL515" i="10"/>
  <c r="BH515" i="10"/>
  <c r="BI515" i="10" s="1"/>
  <c r="BG515" i="10"/>
  <c r="BM514" i="10"/>
  <c r="BL514" i="10"/>
  <c r="BN514" i="10" s="1"/>
  <c r="BH514" i="10"/>
  <c r="BG514" i="10"/>
  <c r="BN513" i="10"/>
  <c r="BM513" i="10"/>
  <c r="BL513" i="10"/>
  <c r="BH513" i="10"/>
  <c r="BI513" i="10" s="1"/>
  <c r="BG513" i="10"/>
  <c r="BM512" i="10"/>
  <c r="BL512" i="10"/>
  <c r="BN512" i="10" s="1"/>
  <c r="BI512" i="10"/>
  <c r="BH512" i="10"/>
  <c r="BG512" i="10"/>
  <c r="BM511" i="10"/>
  <c r="BL511" i="10"/>
  <c r="BN511" i="10" s="1"/>
  <c r="BH511" i="10"/>
  <c r="BG511" i="10"/>
  <c r="BI511" i="10" s="1"/>
  <c r="BM510" i="10"/>
  <c r="BL510" i="10"/>
  <c r="BN510" i="10" s="1"/>
  <c r="BH510" i="10"/>
  <c r="BG510" i="10"/>
  <c r="BI510" i="10" s="1"/>
  <c r="BM509" i="10"/>
  <c r="BL509" i="10"/>
  <c r="BI509" i="10"/>
  <c r="BH509" i="10"/>
  <c r="BG509" i="10"/>
  <c r="BN508" i="10"/>
  <c r="BM508" i="10"/>
  <c r="BL508" i="10"/>
  <c r="BI508" i="10"/>
  <c r="BH508" i="10"/>
  <c r="BG508" i="10"/>
  <c r="BM507" i="10"/>
  <c r="BL507" i="10"/>
  <c r="BN507" i="10" s="1"/>
  <c r="BI507" i="10"/>
  <c r="BH507" i="10"/>
  <c r="BG507" i="10"/>
  <c r="BN506" i="10"/>
  <c r="BM506" i="10"/>
  <c r="BL506" i="10"/>
  <c r="BH506" i="10"/>
  <c r="BG506" i="10"/>
  <c r="BI506" i="10" s="1"/>
  <c r="BN505" i="10"/>
  <c r="BM505" i="10"/>
  <c r="BL505" i="10"/>
  <c r="BI505" i="10"/>
  <c r="BH505" i="10"/>
  <c r="BG505" i="10"/>
  <c r="BM504" i="10"/>
  <c r="BL504" i="10"/>
  <c r="BN504" i="10" s="1"/>
  <c r="BH504" i="10"/>
  <c r="BG504" i="10"/>
  <c r="BM503" i="10"/>
  <c r="BL503" i="10"/>
  <c r="BN503" i="10" s="1"/>
  <c r="BH503" i="10"/>
  <c r="BI503" i="10" s="1"/>
  <c r="BG503" i="10"/>
  <c r="BM502" i="10"/>
  <c r="BN502" i="10" s="1"/>
  <c r="BL502" i="10"/>
  <c r="BH502" i="10"/>
  <c r="BG502" i="10"/>
  <c r="BI502" i="10" s="1"/>
  <c r="BM501" i="10"/>
  <c r="BN501" i="10" s="1"/>
  <c r="BL501" i="10"/>
  <c r="BH501" i="10"/>
  <c r="BI501" i="10" s="1"/>
  <c r="BG501" i="10"/>
  <c r="BM500" i="10"/>
  <c r="BL500" i="10"/>
  <c r="BN500" i="10" s="1"/>
  <c r="BH500" i="10"/>
  <c r="BG500" i="10"/>
  <c r="BI500" i="10" s="1"/>
  <c r="BN499" i="10"/>
  <c r="BM499" i="10"/>
  <c r="BL499" i="10"/>
  <c r="BH499" i="10"/>
  <c r="BG499" i="10"/>
  <c r="BI499" i="10" s="1"/>
  <c r="BM498" i="10"/>
  <c r="BL498" i="10"/>
  <c r="BN498" i="10" s="1"/>
  <c r="BH498" i="10"/>
  <c r="BG498" i="10"/>
  <c r="BM497" i="10"/>
  <c r="BL497" i="10"/>
  <c r="BH497" i="10"/>
  <c r="BI497" i="10" s="1"/>
  <c r="BG497" i="10"/>
  <c r="BM496" i="10"/>
  <c r="BL496" i="10"/>
  <c r="BN496" i="10" s="1"/>
  <c r="BH496" i="10"/>
  <c r="BI496" i="10" s="1"/>
  <c r="BG496" i="10"/>
  <c r="BN495" i="10"/>
  <c r="BM495" i="10"/>
  <c r="BL495" i="10"/>
  <c r="BH495" i="10"/>
  <c r="BG495" i="10"/>
  <c r="BI495" i="10" s="1"/>
  <c r="BM494" i="10"/>
  <c r="BL494" i="10"/>
  <c r="BN494" i="10" s="1"/>
  <c r="BH494" i="10"/>
  <c r="BG494" i="10"/>
  <c r="BM493" i="10"/>
  <c r="BL493" i="10"/>
  <c r="BN493" i="10" s="1"/>
  <c r="BI493" i="10"/>
  <c r="BH493" i="10"/>
  <c r="BG493" i="10"/>
  <c r="BN492" i="10"/>
  <c r="BM492" i="10"/>
  <c r="BL492" i="10"/>
  <c r="BH492" i="10"/>
  <c r="BG492" i="10"/>
  <c r="BM491" i="10"/>
  <c r="BL491" i="10"/>
  <c r="BN491" i="10" s="1"/>
  <c r="BH491" i="10"/>
  <c r="BG491" i="10"/>
  <c r="BI491" i="10" s="1"/>
  <c r="BM490" i="10"/>
  <c r="BN490" i="10" s="1"/>
  <c r="BL490" i="10"/>
  <c r="BH490" i="10"/>
  <c r="BG490" i="10"/>
  <c r="BI490" i="10" s="1"/>
  <c r="BM489" i="10"/>
  <c r="BL489" i="10"/>
  <c r="BN489" i="10" s="1"/>
  <c r="BI489" i="10"/>
  <c r="BH489" i="10"/>
  <c r="BG489" i="10"/>
  <c r="BN488" i="10"/>
  <c r="BM488" i="10"/>
  <c r="BL488" i="10"/>
  <c r="BH488" i="10"/>
  <c r="BG488" i="10"/>
  <c r="BI488" i="10" s="1"/>
  <c r="BN487" i="10"/>
  <c r="BM487" i="10"/>
  <c r="BL487" i="10"/>
  <c r="BI487" i="10"/>
  <c r="BH487" i="10"/>
  <c r="BG487" i="10"/>
  <c r="BM486" i="10"/>
  <c r="BL486" i="10"/>
  <c r="BN486" i="10" s="1"/>
  <c r="BH486" i="10"/>
  <c r="BG486" i="10"/>
  <c r="BI486" i="10" s="1"/>
  <c r="BN485" i="10"/>
  <c r="BM485" i="10"/>
  <c r="BL485" i="10"/>
  <c r="BH485" i="10"/>
  <c r="BI485" i="10" s="1"/>
  <c r="BG485" i="10"/>
  <c r="BM484" i="10"/>
  <c r="BL484" i="10"/>
  <c r="BN484" i="10" s="1"/>
  <c r="BH484" i="10"/>
  <c r="BG484" i="10"/>
  <c r="BI484" i="10" s="1"/>
  <c r="BN483" i="10"/>
  <c r="BM483" i="10"/>
  <c r="BL483" i="10"/>
  <c r="BH483" i="10"/>
  <c r="BI483" i="10" s="1"/>
  <c r="BG483" i="10"/>
  <c r="BM482" i="10"/>
  <c r="BL482" i="10"/>
  <c r="BN482" i="10" s="1"/>
  <c r="BH482" i="10"/>
  <c r="BG482" i="10"/>
  <c r="BM481" i="10"/>
  <c r="BN481" i="10" s="1"/>
  <c r="BL481" i="10"/>
  <c r="BH481" i="10"/>
  <c r="BI481" i="10" s="1"/>
  <c r="BG481" i="10"/>
  <c r="BN480" i="10"/>
  <c r="BM480" i="10"/>
  <c r="BL480" i="10"/>
  <c r="BI480" i="10"/>
  <c r="BH480" i="10"/>
  <c r="BG480" i="10"/>
  <c r="BM479" i="10"/>
  <c r="BL479" i="10"/>
  <c r="BN479" i="10" s="1"/>
  <c r="BH479" i="10"/>
  <c r="BG479" i="10"/>
  <c r="BI479" i="10" s="1"/>
  <c r="BM478" i="10"/>
  <c r="BL478" i="10"/>
  <c r="BN478" i="10" s="1"/>
  <c r="BH478" i="10"/>
  <c r="BG478" i="10"/>
  <c r="BI478" i="10" s="1"/>
  <c r="BM477" i="10"/>
  <c r="BL477" i="10"/>
  <c r="BI477" i="10"/>
  <c r="BH477" i="10"/>
  <c r="BG477" i="10"/>
  <c r="BM476" i="10"/>
  <c r="BN476" i="10" s="1"/>
  <c r="BL476" i="10"/>
  <c r="BI476" i="10"/>
  <c r="BH476" i="10"/>
  <c r="BG476" i="10"/>
  <c r="BM475" i="10"/>
  <c r="BL475" i="10"/>
  <c r="BN475" i="10" s="1"/>
  <c r="BH475" i="10"/>
  <c r="BG475" i="10"/>
  <c r="BI475" i="10" s="1"/>
  <c r="BN474" i="10"/>
  <c r="BM474" i="10"/>
  <c r="BL474" i="10"/>
  <c r="BH474" i="10"/>
  <c r="BG474" i="10"/>
  <c r="BI474" i="10" s="1"/>
  <c r="BM473" i="10"/>
  <c r="BL473" i="10"/>
  <c r="BN473" i="10" s="1"/>
  <c r="BI473" i="10"/>
  <c r="BH473" i="10"/>
  <c r="BG473" i="10"/>
  <c r="BM472" i="10"/>
  <c r="BL472" i="10"/>
  <c r="BH472" i="10"/>
  <c r="BG472" i="10"/>
  <c r="BI472" i="10" s="1"/>
  <c r="BM471" i="10"/>
  <c r="BL471" i="10"/>
  <c r="BN471" i="10" s="1"/>
  <c r="BH471" i="10"/>
  <c r="BI471" i="10" s="1"/>
  <c r="BG471" i="10"/>
  <c r="BM470" i="10"/>
  <c r="BN470" i="10" s="1"/>
  <c r="BL470" i="10"/>
  <c r="BH470" i="10"/>
  <c r="BG470" i="10"/>
  <c r="BI470" i="10" s="1"/>
  <c r="BM469" i="10"/>
  <c r="BN469" i="10" s="1"/>
  <c r="BL469" i="10"/>
  <c r="BH469" i="10"/>
  <c r="BI469" i="10" s="1"/>
  <c r="BG469" i="10"/>
  <c r="BM468" i="10"/>
  <c r="BL468" i="10"/>
  <c r="BN468" i="10" s="1"/>
  <c r="BH468" i="10"/>
  <c r="BG468" i="10"/>
  <c r="BI468" i="10" s="1"/>
  <c r="BN467" i="10"/>
  <c r="BM467" i="10"/>
  <c r="BL467" i="10"/>
  <c r="BH467" i="10"/>
  <c r="BG467" i="10"/>
  <c r="BI467" i="10" s="1"/>
  <c r="BM466" i="10"/>
  <c r="BL466" i="10"/>
  <c r="BN466" i="10" s="1"/>
  <c r="BH466" i="10"/>
  <c r="BG466" i="10"/>
  <c r="BM465" i="10"/>
  <c r="BL465" i="10"/>
  <c r="BN465" i="10" s="1"/>
  <c r="BH465" i="10"/>
  <c r="BI465" i="10" s="1"/>
  <c r="BG465" i="10"/>
  <c r="BM464" i="10"/>
  <c r="BL464" i="10"/>
  <c r="BN464" i="10" s="1"/>
  <c r="BI464" i="10"/>
  <c r="BH464" i="10"/>
  <c r="BG464" i="10"/>
  <c r="BN463" i="10"/>
  <c r="BM463" i="10"/>
  <c r="BL463" i="10"/>
  <c r="BH463" i="10"/>
  <c r="BG463" i="10"/>
  <c r="BI463" i="10" s="1"/>
  <c r="BN462" i="10"/>
  <c r="BM462" i="10"/>
  <c r="BL462" i="10"/>
  <c r="BH462" i="10"/>
  <c r="BG462" i="10"/>
  <c r="BM461" i="10"/>
  <c r="BL461" i="10"/>
  <c r="BN461" i="10" s="1"/>
  <c r="BI461" i="10"/>
  <c r="BH461" i="10"/>
  <c r="BG461" i="10"/>
  <c r="BN460" i="10"/>
  <c r="BM460" i="10"/>
  <c r="BL460" i="10"/>
  <c r="BH460" i="10"/>
  <c r="BG460" i="10"/>
  <c r="BM459" i="10"/>
  <c r="BL459" i="10"/>
  <c r="BN459" i="10" s="1"/>
  <c r="BH459" i="10"/>
  <c r="BG459" i="10"/>
  <c r="BI459" i="10" s="1"/>
  <c r="BM458" i="10"/>
  <c r="BN458" i="10" s="1"/>
  <c r="BL458" i="10"/>
  <c r="BH458" i="10"/>
  <c r="BG458" i="10"/>
  <c r="BI458" i="10" s="1"/>
  <c r="BM457" i="10"/>
  <c r="BL457" i="10"/>
  <c r="BN457" i="10" s="1"/>
  <c r="BH457" i="10"/>
  <c r="BI457" i="10" s="1"/>
  <c r="BG457" i="10"/>
  <c r="BN456" i="10"/>
  <c r="BM456" i="10"/>
  <c r="BL456" i="10"/>
  <c r="BH456" i="10"/>
  <c r="BG456" i="10"/>
  <c r="BI456" i="10" s="1"/>
  <c r="BM455" i="10"/>
  <c r="BL455" i="10"/>
  <c r="BN455" i="10" s="1"/>
  <c r="BI455" i="10"/>
  <c r="BH455" i="10"/>
  <c r="BG455" i="10"/>
  <c r="BM454" i="10"/>
  <c r="BL454" i="10"/>
  <c r="BH454" i="10"/>
  <c r="BG454" i="10"/>
  <c r="BI454" i="10" s="1"/>
  <c r="BN453" i="10"/>
  <c r="BM453" i="10"/>
  <c r="BL453" i="10"/>
  <c r="BH453" i="10"/>
  <c r="BI453" i="10" s="1"/>
  <c r="BG453" i="10"/>
  <c r="BM452" i="10"/>
  <c r="BL452" i="10"/>
  <c r="BN452" i="10" s="1"/>
  <c r="BH452" i="10"/>
  <c r="BG452" i="10"/>
  <c r="BI452" i="10" s="1"/>
  <c r="BN451" i="10"/>
  <c r="BM451" i="10"/>
  <c r="BL451" i="10"/>
  <c r="BI451" i="10"/>
  <c r="BH451" i="10"/>
  <c r="BG451" i="10"/>
  <c r="BM450" i="10"/>
  <c r="BL450" i="10"/>
  <c r="BN450" i="10" s="1"/>
  <c r="BH450" i="10"/>
  <c r="BG450" i="10"/>
  <c r="BM449" i="10"/>
  <c r="BN449" i="10" s="1"/>
  <c r="BL449" i="10"/>
  <c r="BH449" i="10"/>
  <c r="BI449" i="10" s="1"/>
  <c r="BG449" i="10"/>
  <c r="BN448" i="10"/>
  <c r="BM448" i="10"/>
  <c r="BL448" i="10"/>
  <c r="BI448" i="10"/>
  <c r="BH448" i="10"/>
  <c r="BG448" i="10"/>
  <c r="BM447" i="10"/>
  <c r="BL447" i="10"/>
  <c r="BN447" i="10" s="1"/>
  <c r="BH447" i="10"/>
  <c r="BG447" i="10"/>
  <c r="BI447" i="10" s="1"/>
  <c r="BM446" i="10"/>
  <c r="BL446" i="10"/>
  <c r="BN446" i="10" s="1"/>
  <c r="BI446" i="10"/>
  <c r="BH446" i="10"/>
  <c r="BG446" i="10"/>
  <c r="BM445" i="10"/>
  <c r="BN445" i="10" s="1"/>
  <c r="BL445" i="10"/>
  <c r="BH445" i="10"/>
  <c r="BG445" i="10"/>
  <c r="BI445" i="10" s="1"/>
  <c r="BN444" i="10"/>
  <c r="BM444" i="10"/>
  <c r="BL444" i="10"/>
  <c r="BI444" i="10"/>
  <c r="BH444" i="10"/>
  <c r="BG444" i="10"/>
  <c r="BM443" i="10"/>
  <c r="BL443" i="10"/>
  <c r="BN443" i="10" s="1"/>
  <c r="BH443" i="10"/>
  <c r="BG443" i="10"/>
  <c r="BM442" i="10"/>
  <c r="BL442" i="10"/>
  <c r="BN442" i="10" s="1"/>
  <c r="BH442" i="10"/>
  <c r="BI442" i="10" s="1"/>
  <c r="BG442" i="10"/>
  <c r="BM441" i="10"/>
  <c r="BN441" i="10" s="1"/>
  <c r="BL441" i="10"/>
  <c r="BH441" i="10"/>
  <c r="BG441" i="10"/>
  <c r="BI441" i="10" s="1"/>
  <c r="BN440" i="10"/>
  <c r="BM440" i="10"/>
  <c r="BL440" i="10"/>
  <c r="BI440" i="10"/>
  <c r="BH440" i="10"/>
  <c r="BG440" i="10"/>
  <c r="BM439" i="10"/>
  <c r="BL439" i="10"/>
  <c r="BN439" i="10" s="1"/>
  <c r="BH439" i="10"/>
  <c r="BG439" i="10"/>
  <c r="BI439" i="10" s="1"/>
  <c r="BM438" i="10"/>
  <c r="BL438" i="10"/>
  <c r="BN438" i="10" s="1"/>
  <c r="BI438" i="10"/>
  <c r="BH438" i="10"/>
  <c r="BG438" i="10"/>
  <c r="BM437" i="10"/>
  <c r="BN437" i="10" s="1"/>
  <c r="BL437" i="10"/>
  <c r="BH437" i="10"/>
  <c r="BG437" i="10"/>
  <c r="BI437" i="10" s="1"/>
  <c r="BN436" i="10"/>
  <c r="BM436" i="10"/>
  <c r="BL436" i="10"/>
  <c r="BI436" i="10"/>
  <c r="BH436" i="10"/>
  <c r="BG436" i="10"/>
  <c r="BM435" i="10"/>
  <c r="BL435" i="10"/>
  <c r="BN435" i="10" s="1"/>
  <c r="BH435" i="10"/>
  <c r="BG435" i="10"/>
  <c r="BM434" i="10"/>
  <c r="BL434" i="10"/>
  <c r="BN434" i="10" s="1"/>
  <c r="BH434" i="10"/>
  <c r="BI434" i="10" s="1"/>
  <c r="BG434" i="10"/>
  <c r="BM433" i="10"/>
  <c r="BN433" i="10" s="1"/>
  <c r="BL433" i="10"/>
  <c r="BH433" i="10"/>
  <c r="BG433" i="10"/>
  <c r="BI433" i="10" s="1"/>
  <c r="BN432" i="10"/>
  <c r="BM432" i="10"/>
  <c r="BL432" i="10"/>
  <c r="BI432" i="10"/>
  <c r="BH432" i="10"/>
  <c r="BG432" i="10"/>
  <c r="BM431" i="10"/>
  <c r="BL431" i="10"/>
  <c r="BN431" i="10" s="1"/>
  <c r="BH431" i="10"/>
  <c r="BG431" i="10"/>
  <c r="BI431" i="10" s="1"/>
  <c r="BM430" i="10"/>
  <c r="BL430" i="10"/>
  <c r="BN430" i="10" s="1"/>
  <c r="BI430" i="10"/>
  <c r="BH430" i="10"/>
  <c r="BG430" i="10"/>
  <c r="BM429" i="10"/>
  <c r="BN429" i="10" s="1"/>
  <c r="BL429" i="10"/>
  <c r="BH429" i="10"/>
  <c r="BG429" i="10"/>
  <c r="BI429" i="10" s="1"/>
  <c r="BN428" i="10"/>
  <c r="BM428" i="10"/>
  <c r="BL428" i="10"/>
  <c r="BI428" i="10"/>
  <c r="BH428" i="10"/>
  <c r="BG428" i="10"/>
  <c r="BM427" i="10"/>
  <c r="BL427" i="10"/>
  <c r="BN427" i="10" s="1"/>
  <c r="BH427" i="10"/>
  <c r="BG427" i="10"/>
  <c r="BM426" i="10"/>
  <c r="BL426" i="10"/>
  <c r="BN426" i="10" s="1"/>
  <c r="BH426" i="10"/>
  <c r="BI426" i="10" s="1"/>
  <c r="BG426" i="10"/>
  <c r="BM425" i="10"/>
  <c r="BN425" i="10" s="1"/>
  <c r="BL425" i="10"/>
  <c r="BH425" i="10"/>
  <c r="BG425" i="10"/>
  <c r="BI425" i="10" s="1"/>
  <c r="BN424" i="10"/>
  <c r="BM424" i="10"/>
  <c r="BL424" i="10"/>
  <c r="BI424" i="10"/>
  <c r="BH424" i="10"/>
  <c r="BG424" i="10"/>
  <c r="BM423" i="10"/>
  <c r="BL423" i="10"/>
  <c r="BN423" i="10" s="1"/>
  <c r="BH423" i="10"/>
  <c r="BG423" i="10"/>
  <c r="BI423" i="10" s="1"/>
  <c r="BM422" i="10"/>
  <c r="BL422" i="10"/>
  <c r="BN422" i="10" s="1"/>
  <c r="BI422" i="10"/>
  <c r="BH422" i="10"/>
  <c r="BG422" i="10"/>
  <c r="BM421" i="10"/>
  <c r="BN421" i="10" s="1"/>
  <c r="BL421" i="10"/>
  <c r="BH421" i="10"/>
  <c r="BG421" i="10"/>
  <c r="BI421" i="10" s="1"/>
  <c r="BN420" i="10"/>
  <c r="BM420" i="10"/>
  <c r="BL420" i="10"/>
  <c r="BI420" i="10"/>
  <c r="BH420" i="10"/>
  <c r="BG420" i="10"/>
  <c r="BM419" i="10"/>
  <c r="BL419" i="10"/>
  <c r="BN419" i="10" s="1"/>
  <c r="BH419" i="10"/>
  <c r="BG419" i="10"/>
  <c r="BM418" i="10"/>
  <c r="BL418" i="10"/>
  <c r="BN418" i="10" s="1"/>
  <c r="BH418" i="10"/>
  <c r="BI418" i="10" s="1"/>
  <c r="BG418" i="10"/>
  <c r="BM417" i="10"/>
  <c r="BN417" i="10" s="1"/>
  <c r="BL417" i="10"/>
  <c r="BH417" i="10"/>
  <c r="BG417" i="10"/>
  <c r="BI417" i="10" s="1"/>
  <c r="BN416" i="10"/>
  <c r="BM416" i="10"/>
  <c r="BL416" i="10"/>
  <c r="BI416" i="10"/>
  <c r="BH416" i="10"/>
  <c r="BG416" i="10"/>
  <c r="BM415" i="10"/>
  <c r="BL415" i="10"/>
  <c r="BN415" i="10" s="1"/>
  <c r="BH415" i="10"/>
  <c r="BG415" i="10"/>
  <c r="BI415" i="10" s="1"/>
  <c r="BM414" i="10"/>
  <c r="BL414" i="10"/>
  <c r="BN414" i="10" s="1"/>
  <c r="BI414" i="10"/>
  <c r="BH414" i="10"/>
  <c r="BG414" i="10"/>
  <c r="BM413" i="10"/>
  <c r="BN413" i="10" s="1"/>
  <c r="BL413" i="10"/>
  <c r="BH413" i="10"/>
  <c r="BG413" i="10"/>
  <c r="BI413" i="10" s="1"/>
  <c r="BN412" i="10"/>
  <c r="BM412" i="10"/>
  <c r="BL412" i="10"/>
  <c r="BI412" i="10"/>
  <c r="BH412" i="10"/>
  <c r="BG412" i="10"/>
  <c r="BM411" i="10"/>
  <c r="BL411" i="10"/>
  <c r="BN411" i="10" s="1"/>
  <c r="BH411" i="10"/>
  <c r="BG411" i="10"/>
  <c r="BM410" i="10"/>
  <c r="BL410" i="10"/>
  <c r="BN410" i="10" s="1"/>
  <c r="BH410" i="10"/>
  <c r="BI410" i="10" s="1"/>
  <c r="BG410" i="10"/>
  <c r="BM409" i="10"/>
  <c r="BN409" i="10" s="1"/>
  <c r="BL409" i="10"/>
  <c r="BH409" i="10"/>
  <c r="BG409" i="10"/>
  <c r="BI409" i="10" s="1"/>
  <c r="BN408" i="10"/>
  <c r="BM408" i="10"/>
  <c r="BL408" i="10"/>
  <c r="BI408" i="10"/>
  <c r="BH408" i="10"/>
  <c r="BG408" i="10"/>
  <c r="BM407" i="10"/>
  <c r="BL407" i="10"/>
  <c r="BN407" i="10" s="1"/>
  <c r="BH407" i="10"/>
  <c r="BG407" i="10"/>
  <c r="BI407" i="10" s="1"/>
  <c r="BM406" i="10"/>
  <c r="BL406" i="10"/>
  <c r="BN406" i="10" s="1"/>
  <c r="BI406" i="10"/>
  <c r="BH406" i="10"/>
  <c r="BG406" i="10"/>
  <c r="BM405" i="10"/>
  <c r="BN405" i="10" s="1"/>
  <c r="BL405" i="10"/>
  <c r="BH405" i="10"/>
  <c r="BG405" i="10"/>
  <c r="BI405" i="10" s="1"/>
  <c r="BN404" i="10"/>
  <c r="BM404" i="10"/>
  <c r="BL404" i="10"/>
  <c r="BI404" i="10"/>
  <c r="BH404" i="10"/>
  <c r="BG404" i="10"/>
  <c r="BM403" i="10"/>
  <c r="BL403" i="10"/>
  <c r="BN403" i="10" s="1"/>
  <c r="BH403" i="10"/>
  <c r="BG403" i="10"/>
  <c r="BM402" i="10"/>
  <c r="BL402" i="10"/>
  <c r="BN402" i="10" s="1"/>
  <c r="BH402" i="10"/>
  <c r="BI402" i="10" s="1"/>
  <c r="BG402" i="10"/>
  <c r="BM401" i="10"/>
  <c r="BN401" i="10" s="1"/>
  <c r="BL401" i="10"/>
  <c r="BH401" i="10"/>
  <c r="BG401" i="10"/>
  <c r="BI401" i="10" s="1"/>
  <c r="BN400" i="10"/>
  <c r="BM400" i="10"/>
  <c r="BL400" i="10"/>
  <c r="BI400" i="10"/>
  <c r="BH400" i="10"/>
  <c r="BG400" i="10"/>
  <c r="BM399" i="10"/>
  <c r="BL399" i="10"/>
  <c r="BN399" i="10" s="1"/>
  <c r="BH399" i="10"/>
  <c r="BG399" i="10"/>
  <c r="BI399" i="10" s="1"/>
  <c r="BM398" i="10"/>
  <c r="BL398" i="10"/>
  <c r="BN398" i="10" s="1"/>
  <c r="BI398" i="10"/>
  <c r="BH398" i="10"/>
  <c r="BG398" i="10"/>
  <c r="BM397" i="10"/>
  <c r="BN397" i="10" s="1"/>
  <c r="BL397" i="10"/>
  <c r="BH397" i="10"/>
  <c r="BG397" i="10"/>
  <c r="BI397" i="10" s="1"/>
  <c r="BN396" i="10"/>
  <c r="BM396" i="10"/>
  <c r="BL396" i="10"/>
  <c r="BI396" i="10"/>
  <c r="BH396" i="10"/>
  <c r="BG396" i="10"/>
  <c r="BM395" i="10"/>
  <c r="BL395" i="10"/>
  <c r="BN395" i="10" s="1"/>
  <c r="BH395" i="10"/>
  <c r="BG395" i="10"/>
  <c r="BM394" i="10"/>
  <c r="BL394" i="10"/>
  <c r="BN394" i="10" s="1"/>
  <c r="BH394" i="10"/>
  <c r="BI394" i="10" s="1"/>
  <c r="BG394" i="10"/>
  <c r="BM393" i="10"/>
  <c r="BN393" i="10" s="1"/>
  <c r="BL393" i="10"/>
  <c r="BH393" i="10"/>
  <c r="BG393" i="10"/>
  <c r="BI393" i="10" s="1"/>
  <c r="BN392" i="10"/>
  <c r="BM392" i="10"/>
  <c r="BL392" i="10"/>
  <c r="BI392" i="10"/>
  <c r="BH392" i="10"/>
  <c r="BG392" i="10"/>
  <c r="BM391" i="10"/>
  <c r="BL391" i="10"/>
  <c r="BN391" i="10" s="1"/>
  <c r="BH391" i="10"/>
  <c r="BG391" i="10"/>
  <c r="BI391" i="10" s="1"/>
  <c r="BM390" i="10"/>
  <c r="BL390" i="10"/>
  <c r="BN390" i="10" s="1"/>
  <c r="BI390" i="10"/>
  <c r="BH390" i="10"/>
  <c r="BG390" i="10"/>
  <c r="BM389" i="10"/>
  <c r="BN389" i="10" s="1"/>
  <c r="BL389" i="10"/>
  <c r="BH389" i="10"/>
  <c r="BG389" i="10"/>
  <c r="BI389" i="10" s="1"/>
  <c r="BN388" i="10"/>
  <c r="BM388" i="10"/>
  <c r="BL388" i="10"/>
  <c r="BI388" i="10"/>
  <c r="BH388" i="10"/>
  <c r="BG388" i="10"/>
  <c r="BM387" i="10"/>
  <c r="BL387" i="10"/>
  <c r="BN387" i="10" s="1"/>
  <c r="BH387" i="10"/>
  <c r="BG387" i="10"/>
  <c r="BM386" i="10"/>
  <c r="BL386" i="10"/>
  <c r="BN386" i="10" s="1"/>
  <c r="BH386" i="10"/>
  <c r="BI386" i="10" s="1"/>
  <c r="BG386" i="10"/>
  <c r="BM385" i="10"/>
  <c r="BN385" i="10" s="1"/>
  <c r="BL385" i="10"/>
  <c r="BH385" i="10"/>
  <c r="BG385" i="10"/>
  <c r="BI385" i="10" s="1"/>
  <c r="BN384" i="10"/>
  <c r="BM384" i="10"/>
  <c r="BL384" i="10"/>
  <c r="BI384" i="10"/>
  <c r="BH384" i="10"/>
  <c r="BG384" i="10"/>
  <c r="BM383" i="10"/>
  <c r="BL383" i="10"/>
  <c r="BN383" i="10" s="1"/>
  <c r="BH383" i="10"/>
  <c r="BG383" i="10"/>
  <c r="BI383" i="10" s="1"/>
  <c r="BM382" i="10"/>
  <c r="BL382" i="10"/>
  <c r="BN382" i="10" s="1"/>
  <c r="BI382" i="10"/>
  <c r="BH382" i="10"/>
  <c r="BG382" i="10"/>
  <c r="BM381" i="10"/>
  <c r="BN381" i="10" s="1"/>
  <c r="BL381" i="10"/>
  <c r="BH381" i="10"/>
  <c r="BG381" i="10"/>
  <c r="BI381" i="10" s="1"/>
  <c r="BN380" i="10"/>
  <c r="BM380" i="10"/>
  <c r="BL380" i="10"/>
  <c r="BI380" i="10"/>
  <c r="BH380" i="10"/>
  <c r="BG380" i="10"/>
  <c r="BM379" i="10"/>
  <c r="BL379" i="10"/>
  <c r="BN379" i="10" s="1"/>
  <c r="BH379" i="10"/>
  <c r="BG379" i="10"/>
  <c r="BM378" i="10"/>
  <c r="BL378" i="10"/>
  <c r="BN378" i="10" s="1"/>
  <c r="BH378" i="10"/>
  <c r="BI378" i="10" s="1"/>
  <c r="BG378" i="10"/>
  <c r="BM377" i="10"/>
  <c r="BN377" i="10" s="1"/>
  <c r="BL377" i="10"/>
  <c r="BH377" i="10"/>
  <c r="BG377" i="10"/>
  <c r="BI377" i="10" s="1"/>
  <c r="BN376" i="10"/>
  <c r="BM376" i="10"/>
  <c r="BL376" i="10"/>
  <c r="BI376" i="10"/>
  <c r="BH376" i="10"/>
  <c r="BG376" i="10"/>
  <c r="BM375" i="10"/>
  <c r="BL375" i="10"/>
  <c r="BN375" i="10" s="1"/>
  <c r="BH375" i="10"/>
  <c r="BG375" i="10"/>
  <c r="BI375" i="10" s="1"/>
  <c r="BM374" i="10"/>
  <c r="BL374" i="10"/>
  <c r="BN374" i="10" s="1"/>
  <c r="BI374" i="10"/>
  <c r="BH374" i="10"/>
  <c r="BG374" i="10"/>
  <c r="BM373" i="10"/>
  <c r="BN373" i="10" s="1"/>
  <c r="BL373" i="10"/>
  <c r="BH373" i="10"/>
  <c r="BG373" i="10"/>
  <c r="BI373" i="10" s="1"/>
  <c r="BN372" i="10"/>
  <c r="BM372" i="10"/>
  <c r="BL372" i="10"/>
  <c r="BI372" i="10"/>
  <c r="BH372" i="10"/>
  <c r="BG372" i="10"/>
  <c r="BM371" i="10"/>
  <c r="BL371" i="10"/>
  <c r="BN371" i="10" s="1"/>
  <c r="BH371" i="10"/>
  <c r="BG371" i="10"/>
  <c r="BM370" i="10"/>
  <c r="BL370" i="10"/>
  <c r="BN370" i="10" s="1"/>
  <c r="BH370" i="10"/>
  <c r="BI370" i="10" s="1"/>
  <c r="BG370" i="10"/>
  <c r="BM369" i="10"/>
  <c r="BN369" i="10" s="1"/>
  <c r="BL369" i="10"/>
  <c r="BH369" i="10"/>
  <c r="BG369" i="10"/>
  <c r="BI369" i="10" s="1"/>
  <c r="BN368" i="10"/>
  <c r="BM368" i="10"/>
  <c r="BL368" i="10"/>
  <c r="BI368" i="10"/>
  <c r="BH368" i="10"/>
  <c r="BG368" i="10"/>
  <c r="BM367" i="10"/>
  <c r="BL367" i="10"/>
  <c r="BN367" i="10" s="1"/>
  <c r="BH367" i="10"/>
  <c r="BG367" i="10"/>
  <c r="BI367" i="10" s="1"/>
  <c r="BM366" i="10"/>
  <c r="BL366" i="10"/>
  <c r="BN366" i="10" s="1"/>
  <c r="BI366" i="10"/>
  <c r="BH366" i="10"/>
  <c r="BG366" i="10"/>
  <c r="BM365" i="10"/>
  <c r="BN365" i="10" s="1"/>
  <c r="BL365" i="10"/>
  <c r="BH365" i="10"/>
  <c r="BG365" i="10"/>
  <c r="BI365" i="10" s="1"/>
  <c r="BN364" i="10"/>
  <c r="BM364" i="10"/>
  <c r="BL364" i="10"/>
  <c r="BI364" i="10"/>
  <c r="BH364" i="10"/>
  <c r="BG364" i="10"/>
  <c r="BM363" i="10"/>
  <c r="BL363" i="10"/>
  <c r="BN363" i="10" s="1"/>
  <c r="BH363" i="10"/>
  <c r="BG363" i="10"/>
  <c r="BM362" i="10"/>
  <c r="BL362" i="10"/>
  <c r="BN362" i="10" s="1"/>
  <c r="BH362" i="10"/>
  <c r="BI362" i="10" s="1"/>
  <c r="BG362" i="10"/>
  <c r="BM361" i="10"/>
  <c r="BN361" i="10" s="1"/>
  <c r="BL361" i="10"/>
  <c r="BH361" i="10"/>
  <c r="BG361" i="10"/>
  <c r="BI361" i="10" s="1"/>
  <c r="BN360" i="10"/>
  <c r="BM360" i="10"/>
  <c r="BL360" i="10"/>
  <c r="BI360" i="10"/>
  <c r="BH360" i="10"/>
  <c r="BG360" i="10"/>
  <c r="BM359" i="10"/>
  <c r="BL359" i="10"/>
  <c r="BN359" i="10" s="1"/>
  <c r="BH359" i="10"/>
  <c r="BG359" i="10"/>
  <c r="BI359" i="10" s="1"/>
  <c r="BM358" i="10"/>
  <c r="BL358" i="10"/>
  <c r="BN358" i="10" s="1"/>
  <c r="BI358" i="10"/>
  <c r="BH358" i="10"/>
  <c r="BG358" i="10"/>
  <c r="BM357" i="10"/>
  <c r="BN357" i="10" s="1"/>
  <c r="BL357" i="10"/>
  <c r="BH357" i="10"/>
  <c r="BG357" i="10"/>
  <c r="BI357" i="10" s="1"/>
  <c r="BN356" i="10"/>
  <c r="BM356" i="10"/>
  <c r="BL356" i="10"/>
  <c r="BI356" i="10"/>
  <c r="BH356" i="10"/>
  <c r="BG356" i="10"/>
  <c r="BM355" i="10"/>
  <c r="BL355" i="10"/>
  <c r="BN355" i="10" s="1"/>
  <c r="BH355" i="10"/>
  <c r="BG355" i="10"/>
  <c r="BM354" i="10"/>
  <c r="BL354" i="10"/>
  <c r="BN354" i="10" s="1"/>
  <c r="BH354" i="10"/>
  <c r="BI354" i="10" s="1"/>
  <c r="BG354" i="10"/>
  <c r="BM353" i="10"/>
  <c r="BN353" i="10" s="1"/>
  <c r="BL353" i="10"/>
  <c r="BH353" i="10"/>
  <c r="BG353" i="10"/>
  <c r="BI353" i="10" s="1"/>
  <c r="BN352" i="10"/>
  <c r="BM352" i="10"/>
  <c r="BL352" i="10"/>
  <c r="BI352" i="10"/>
  <c r="BH352" i="10"/>
  <c r="BG352" i="10"/>
  <c r="BM351" i="10"/>
  <c r="BL351" i="10"/>
  <c r="BN351" i="10" s="1"/>
  <c r="BH351" i="10"/>
  <c r="BG351" i="10"/>
  <c r="BI351" i="10" s="1"/>
  <c r="BM350" i="10"/>
  <c r="BL350" i="10"/>
  <c r="BN350" i="10" s="1"/>
  <c r="BI350" i="10"/>
  <c r="BH350" i="10"/>
  <c r="BG350" i="10"/>
  <c r="BM349" i="10"/>
  <c r="BN349" i="10" s="1"/>
  <c r="BL349" i="10"/>
  <c r="BH349" i="10"/>
  <c r="BG349" i="10"/>
  <c r="BI349" i="10" s="1"/>
  <c r="BN348" i="10"/>
  <c r="BM348" i="10"/>
  <c r="BL348" i="10"/>
  <c r="BI348" i="10"/>
  <c r="BH348" i="10"/>
  <c r="BG348" i="10"/>
  <c r="BM347" i="10"/>
  <c r="BL347" i="10"/>
  <c r="BN347" i="10" s="1"/>
  <c r="BH347" i="10"/>
  <c r="BG347" i="10"/>
  <c r="BM346" i="10"/>
  <c r="BL346" i="10"/>
  <c r="BN346" i="10" s="1"/>
  <c r="BH346" i="10"/>
  <c r="BI346" i="10" s="1"/>
  <c r="BG346" i="10"/>
  <c r="BM345" i="10"/>
  <c r="BN345" i="10" s="1"/>
  <c r="BL345" i="10"/>
  <c r="BH345" i="10"/>
  <c r="BG345" i="10"/>
  <c r="BI345" i="10" s="1"/>
  <c r="BN344" i="10"/>
  <c r="BM344" i="10"/>
  <c r="BL344" i="10"/>
  <c r="BI344" i="10"/>
  <c r="BH344" i="10"/>
  <c r="BG344" i="10"/>
  <c r="BM343" i="10"/>
  <c r="BL343" i="10"/>
  <c r="BN343" i="10" s="1"/>
  <c r="BH343" i="10"/>
  <c r="BG343" i="10"/>
  <c r="BI343" i="10" s="1"/>
  <c r="BM342" i="10"/>
  <c r="BL342" i="10"/>
  <c r="BN342" i="10" s="1"/>
  <c r="BI342" i="10"/>
  <c r="BH342" i="10"/>
  <c r="BG342" i="10"/>
  <c r="BM341" i="10"/>
  <c r="BN341" i="10" s="1"/>
  <c r="BL341" i="10"/>
  <c r="BH341" i="10"/>
  <c r="BG341" i="10"/>
  <c r="BI341" i="10" s="1"/>
  <c r="BN340" i="10"/>
  <c r="BM340" i="10"/>
  <c r="BL340" i="10"/>
  <c r="BI340" i="10"/>
  <c r="BH340" i="10"/>
  <c r="BG340" i="10"/>
  <c r="BM339" i="10"/>
  <c r="BL339" i="10"/>
  <c r="BN339" i="10" s="1"/>
  <c r="BH339" i="10"/>
  <c r="BG339" i="10"/>
  <c r="BM338" i="10"/>
  <c r="BL338" i="10"/>
  <c r="BN338" i="10" s="1"/>
  <c r="BH338" i="10"/>
  <c r="BI338" i="10" s="1"/>
  <c r="BG338" i="10"/>
  <c r="BM337" i="10"/>
  <c r="BN337" i="10" s="1"/>
  <c r="BL337" i="10"/>
  <c r="BH337" i="10"/>
  <c r="BG337" i="10"/>
  <c r="BI337" i="10" s="1"/>
  <c r="BN336" i="10"/>
  <c r="BM336" i="10"/>
  <c r="BL336" i="10"/>
  <c r="BI336" i="10"/>
  <c r="BH336" i="10"/>
  <c r="BG336" i="10"/>
  <c r="BM335" i="10"/>
  <c r="BL335" i="10"/>
  <c r="BN335" i="10" s="1"/>
  <c r="BH335" i="10"/>
  <c r="BG335" i="10"/>
  <c r="BI335" i="10" s="1"/>
  <c r="BM334" i="10"/>
  <c r="BL334" i="10"/>
  <c r="BN334" i="10" s="1"/>
  <c r="BI334" i="10"/>
  <c r="BH334" i="10"/>
  <c r="BG334" i="10"/>
  <c r="BM333" i="10"/>
  <c r="BN333" i="10" s="1"/>
  <c r="BL333" i="10"/>
  <c r="BH333" i="10"/>
  <c r="BG333" i="10"/>
  <c r="BI333" i="10" s="1"/>
  <c r="BN332" i="10"/>
  <c r="BM332" i="10"/>
  <c r="BL332" i="10"/>
  <c r="BI332" i="10"/>
  <c r="BH332" i="10"/>
  <c r="BG332" i="10"/>
  <c r="BM331" i="10"/>
  <c r="BL331" i="10"/>
  <c r="BN331" i="10" s="1"/>
  <c r="BH331" i="10"/>
  <c r="BG331" i="10"/>
  <c r="BM330" i="10"/>
  <c r="BL330" i="10"/>
  <c r="BN330" i="10" s="1"/>
  <c r="BH330" i="10"/>
  <c r="BI330" i="10" s="1"/>
  <c r="BG330" i="10"/>
  <c r="BM329" i="10"/>
  <c r="BN329" i="10" s="1"/>
  <c r="BL329" i="10"/>
  <c r="BH329" i="10"/>
  <c r="BG329" i="10"/>
  <c r="BI329" i="10" s="1"/>
  <c r="BN328" i="10"/>
  <c r="BM328" i="10"/>
  <c r="BL328" i="10"/>
  <c r="BI328" i="10"/>
  <c r="BH328" i="10"/>
  <c r="BG328" i="10"/>
  <c r="BM327" i="10"/>
  <c r="BL327" i="10"/>
  <c r="BN327" i="10" s="1"/>
  <c r="BH327" i="10"/>
  <c r="BG327" i="10"/>
  <c r="BI327" i="10" s="1"/>
  <c r="BM326" i="10"/>
  <c r="BL326" i="10"/>
  <c r="BN326" i="10" s="1"/>
  <c r="BI326" i="10"/>
  <c r="BH326" i="10"/>
  <c r="BG326" i="10"/>
  <c r="BM325" i="10"/>
  <c r="BN325" i="10" s="1"/>
  <c r="BL325" i="10"/>
  <c r="BH325" i="10"/>
  <c r="BG325" i="10"/>
  <c r="BI325" i="10" s="1"/>
  <c r="BN324" i="10"/>
  <c r="BM324" i="10"/>
  <c r="BL324" i="10"/>
  <c r="BI324" i="10"/>
  <c r="BH324" i="10"/>
  <c r="BG324" i="10"/>
  <c r="BM323" i="10"/>
  <c r="BL323" i="10"/>
  <c r="BN323" i="10" s="1"/>
  <c r="BH323" i="10"/>
  <c r="BG323" i="10"/>
  <c r="BM322" i="10"/>
  <c r="BL322" i="10"/>
  <c r="BN322" i="10" s="1"/>
  <c r="BH322" i="10"/>
  <c r="BI322" i="10" s="1"/>
  <c r="BG322" i="10"/>
  <c r="BM321" i="10"/>
  <c r="BN321" i="10" s="1"/>
  <c r="BL321" i="10"/>
  <c r="BH321" i="10"/>
  <c r="BG321" i="10"/>
  <c r="BI321" i="10" s="1"/>
  <c r="BN320" i="10"/>
  <c r="BM320" i="10"/>
  <c r="BL320" i="10"/>
  <c r="BI320" i="10"/>
  <c r="BH320" i="10"/>
  <c r="BG320" i="10"/>
  <c r="BM319" i="10"/>
  <c r="BL319" i="10"/>
  <c r="BN319" i="10" s="1"/>
  <c r="BH319" i="10"/>
  <c r="BG319" i="10"/>
  <c r="BI319" i="10" s="1"/>
  <c r="BM318" i="10"/>
  <c r="BL318" i="10"/>
  <c r="BN318" i="10" s="1"/>
  <c r="BI318" i="10"/>
  <c r="BH318" i="10"/>
  <c r="BG318" i="10"/>
  <c r="BM317" i="10"/>
  <c r="BN317" i="10" s="1"/>
  <c r="BL317" i="10"/>
  <c r="BH317" i="10"/>
  <c r="BG317" i="10"/>
  <c r="BI317" i="10" s="1"/>
  <c r="BN316" i="10"/>
  <c r="BM316" i="10"/>
  <c r="BL316" i="10"/>
  <c r="BI316" i="10"/>
  <c r="BH316" i="10"/>
  <c r="BG316" i="10"/>
  <c r="BM315" i="10"/>
  <c r="BL315" i="10"/>
  <c r="BN315" i="10" s="1"/>
  <c r="BH315" i="10"/>
  <c r="BG315" i="10"/>
  <c r="BM314" i="10"/>
  <c r="BL314" i="10"/>
  <c r="BN314" i="10" s="1"/>
  <c r="BH314" i="10"/>
  <c r="BI314" i="10" s="1"/>
  <c r="BG314" i="10"/>
  <c r="BM313" i="10"/>
  <c r="BN313" i="10" s="1"/>
  <c r="BL313" i="10"/>
  <c r="BH313" i="10"/>
  <c r="BG313" i="10"/>
  <c r="BI313" i="10" s="1"/>
  <c r="BN312" i="10"/>
  <c r="BM312" i="10"/>
  <c r="BL312" i="10"/>
  <c r="BI312" i="10"/>
  <c r="BH312" i="10"/>
  <c r="BG312" i="10"/>
  <c r="BM311" i="10"/>
  <c r="BL311" i="10"/>
  <c r="BN311" i="10" s="1"/>
  <c r="BH311" i="10"/>
  <c r="BG311" i="10"/>
  <c r="BI311" i="10" s="1"/>
  <c r="BM310" i="10"/>
  <c r="BL310" i="10"/>
  <c r="BN310" i="10" s="1"/>
  <c r="BI310" i="10"/>
  <c r="BH310" i="10"/>
  <c r="BG310" i="10"/>
  <c r="BM309" i="10"/>
  <c r="BN309" i="10" s="1"/>
  <c r="BL309" i="10"/>
  <c r="BH309" i="10"/>
  <c r="BG309" i="10"/>
  <c r="BI309" i="10" s="1"/>
  <c r="BN308" i="10"/>
  <c r="BM308" i="10"/>
  <c r="BL308" i="10"/>
  <c r="BI308" i="10"/>
  <c r="BH308" i="10"/>
  <c r="BG308" i="10"/>
  <c r="BM307" i="10"/>
  <c r="BL307" i="10"/>
  <c r="BN307" i="10" s="1"/>
  <c r="BH307" i="10"/>
  <c r="BG307" i="10"/>
  <c r="BM306" i="10"/>
  <c r="BL306" i="10"/>
  <c r="BN306" i="10" s="1"/>
  <c r="BH306" i="10"/>
  <c r="BI306" i="10" s="1"/>
  <c r="BG306" i="10"/>
  <c r="BM305" i="10"/>
  <c r="BN305" i="10" s="1"/>
  <c r="BL305" i="10"/>
  <c r="BH305" i="10"/>
  <c r="BG305" i="10"/>
  <c r="BI305" i="10" s="1"/>
  <c r="BN304" i="10"/>
  <c r="BM304" i="10"/>
  <c r="BL304" i="10"/>
  <c r="BI304" i="10"/>
  <c r="BH304" i="10"/>
  <c r="BG304" i="10"/>
  <c r="BM303" i="10"/>
  <c r="BL303" i="10"/>
  <c r="BN303" i="10" s="1"/>
  <c r="BH303" i="10"/>
  <c r="BG303" i="10"/>
  <c r="BI303" i="10" s="1"/>
  <c r="BM302" i="10"/>
  <c r="BL302" i="10"/>
  <c r="BN302" i="10" s="1"/>
  <c r="BI302" i="10"/>
  <c r="BH302" i="10"/>
  <c r="BG302" i="10"/>
  <c r="BM301" i="10"/>
  <c r="BN301" i="10" s="1"/>
  <c r="BL301" i="10"/>
  <c r="BH301" i="10"/>
  <c r="BG301" i="10"/>
  <c r="BI301" i="10" s="1"/>
  <c r="BN300" i="10"/>
  <c r="BM300" i="10"/>
  <c r="BL300" i="10"/>
  <c r="BI300" i="10"/>
  <c r="BH300" i="10"/>
  <c r="BG300" i="10"/>
  <c r="BM299" i="10"/>
  <c r="BL299" i="10"/>
  <c r="BN299" i="10" s="1"/>
  <c r="BH299" i="10"/>
  <c r="BG299" i="10"/>
  <c r="BM298" i="10"/>
  <c r="BL298" i="10"/>
  <c r="BN298" i="10" s="1"/>
  <c r="BH298" i="10"/>
  <c r="BI298" i="10" s="1"/>
  <c r="BG298" i="10"/>
  <c r="BM297" i="10"/>
  <c r="BN297" i="10" s="1"/>
  <c r="BL297" i="10"/>
  <c r="BH297" i="10"/>
  <c r="BG297" i="10"/>
  <c r="BI297" i="10" s="1"/>
  <c r="BN296" i="10"/>
  <c r="BM296" i="10"/>
  <c r="BL296" i="10"/>
  <c r="BI296" i="10"/>
  <c r="BH296" i="10"/>
  <c r="BG296" i="10"/>
  <c r="BM295" i="10"/>
  <c r="BL295" i="10"/>
  <c r="BN295" i="10" s="1"/>
  <c r="BH295" i="10"/>
  <c r="BG295" i="10"/>
  <c r="BI295" i="10" s="1"/>
  <c r="BM294" i="10"/>
  <c r="BL294" i="10"/>
  <c r="BN294" i="10" s="1"/>
  <c r="BI294" i="10"/>
  <c r="BH294" i="10"/>
  <c r="BG294" i="10"/>
  <c r="BM293" i="10"/>
  <c r="BN293" i="10" s="1"/>
  <c r="BL293" i="10"/>
  <c r="BH293" i="10"/>
  <c r="BG293" i="10"/>
  <c r="BI293" i="10" s="1"/>
  <c r="BN292" i="10"/>
  <c r="BM292" i="10"/>
  <c r="BL292" i="10"/>
  <c r="BH292" i="10"/>
  <c r="BG292" i="10"/>
  <c r="BM291" i="10"/>
  <c r="BL291" i="10"/>
  <c r="BN291" i="10" s="1"/>
  <c r="BH291" i="10"/>
  <c r="BI291" i="10" s="1"/>
  <c r="BG291" i="10"/>
  <c r="BM290" i="10"/>
  <c r="BL290" i="10"/>
  <c r="BN290" i="10" s="1"/>
  <c r="BH290" i="10"/>
  <c r="BG290" i="10"/>
  <c r="BI290" i="10" s="1"/>
  <c r="BN289" i="10"/>
  <c r="BM289" i="10"/>
  <c r="BL289" i="10"/>
  <c r="BH289" i="10"/>
  <c r="BG289" i="10"/>
  <c r="BM288" i="10"/>
  <c r="BL288" i="10"/>
  <c r="BN288" i="10" s="1"/>
  <c r="BH288" i="10"/>
  <c r="BG288" i="10"/>
  <c r="BI288" i="10" s="1"/>
  <c r="BM287" i="10"/>
  <c r="BN287" i="10" s="1"/>
  <c r="BL287" i="10"/>
  <c r="BH287" i="10"/>
  <c r="BI287" i="10" s="1"/>
  <c r="BG287" i="10"/>
  <c r="BM286" i="10"/>
  <c r="BL286" i="10"/>
  <c r="BN286" i="10" s="1"/>
  <c r="BH286" i="10"/>
  <c r="BG286" i="10"/>
  <c r="BI286" i="10" s="1"/>
  <c r="BN285" i="10"/>
  <c r="BM285" i="10"/>
  <c r="BL285" i="10"/>
  <c r="BH285" i="10"/>
  <c r="BG285" i="10"/>
  <c r="BI285" i="10" s="1"/>
  <c r="BM284" i="10"/>
  <c r="BL284" i="10"/>
  <c r="BN284" i="10" s="1"/>
  <c r="BH284" i="10"/>
  <c r="BG284" i="10"/>
  <c r="BI284" i="10" s="1"/>
  <c r="BM283" i="10"/>
  <c r="BN283" i="10" s="1"/>
  <c r="BL283" i="10"/>
  <c r="BI283" i="10"/>
  <c r="BH283" i="10"/>
  <c r="BG283" i="10"/>
  <c r="BM282" i="10"/>
  <c r="BL282" i="10"/>
  <c r="BN282" i="10" s="1"/>
  <c r="BH282" i="10"/>
  <c r="BG282" i="10"/>
  <c r="BI282" i="10" s="1"/>
  <c r="BN281" i="10"/>
  <c r="BM281" i="10"/>
  <c r="BL281" i="10"/>
  <c r="BH281" i="10"/>
  <c r="BG281" i="10"/>
  <c r="BM280" i="10"/>
  <c r="BL280" i="10"/>
  <c r="BN280" i="10" s="1"/>
  <c r="BH280" i="10"/>
  <c r="BG280" i="10"/>
  <c r="BI280" i="10" s="1"/>
  <c r="BM279" i="10"/>
  <c r="BN279" i="10" s="1"/>
  <c r="BL279" i="10"/>
  <c r="BH279" i="10"/>
  <c r="BI279" i="10" s="1"/>
  <c r="BG279" i="10"/>
  <c r="BM278" i="10"/>
  <c r="BL278" i="10"/>
  <c r="BN278" i="10" s="1"/>
  <c r="BH278" i="10"/>
  <c r="BG278" i="10"/>
  <c r="BI278" i="10" s="1"/>
  <c r="BN277" i="10"/>
  <c r="BM277" i="10"/>
  <c r="BL277" i="10"/>
  <c r="BH277" i="10"/>
  <c r="BG277" i="10"/>
  <c r="BI277" i="10" s="1"/>
  <c r="BM276" i="10"/>
  <c r="BL276" i="10"/>
  <c r="BN276" i="10" s="1"/>
  <c r="BH276" i="10"/>
  <c r="BG276" i="10"/>
  <c r="BI276" i="10" s="1"/>
  <c r="BM275" i="10"/>
  <c r="BN275" i="10" s="1"/>
  <c r="BL275" i="10"/>
  <c r="BI275" i="10"/>
  <c r="BH275" i="10"/>
  <c r="BG275" i="10"/>
  <c r="BM274" i="10"/>
  <c r="BL274" i="10"/>
  <c r="BN274" i="10" s="1"/>
  <c r="BH274" i="10"/>
  <c r="BG274" i="10"/>
  <c r="BI274" i="10" s="1"/>
  <c r="BN273" i="10"/>
  <c r="BM273" i="10"/>
  <c r="BL273" i="10"/>
  <c r="BH273" i="10"/>
  <c r="BG273" i="10"/>
  <c r="BM272" i="10"/>
  <c r="BL272" i="10"/>
  <c r="BN272" i="10" s="1"/>
  <c r="BH272" i="10"/>
  <c r="BG272" i="10"/>
  <c r="BI272" i="10" s="1"/>
  <c r="BM271" i="10"/>
  <c r="BN271" i="10" s="1"/>
  <c r="BL271" i="10"/>
  <c r="BH271" i="10"/>
  <c r="BI271" i="10" s="1"/>
  <c r="BG271" i="10"/>
  <c r="BM270" i="10"/>
  <c r="BL270" i="10"/>
  <c r="BN270" i="10" s="1"/>
  <c r="BH270" i="10"/>
  <c r="BG270" i="10"/>
  <c r="BI270" i="10" s="1"/>
  <c r="BN269" i="10"/>
  <c r="BM269" i="10"/>
  <c r="BL269" i="10"/>
  <c r="BH269" i="10"/>
  <c r="BG269" i="10"/>
  <c r="BI269" i="10" s="1"/>
  <c r="BM268" i="10"/>
  <c r="BL268" i="10"/>
  <c r="BN268" i="10" s="1"/>
  <c r="BH268" i="10"/>
  <c r="BG268" i="10"/>
  <c r="BI268" i="10" s="1"/>
  <c r="BM267" i="10"/>
  <c r="BN267" i="10" s="1"/>
  <c r="BL267" i="10"/>
  <c r="BI267" i="10"/>
  <c r="BH267" i="10"/>
  <c r="BG267" i="10"/>
  <c r="BM266" i="10"/>
  <c r="BL266" i="10"/>
  <c r="BN266" i="10" s="1"/>
  <c r="BH266" i="10"/>
  <c r="BG266" i="10"/>
  <c r="BI266" i="10" s="1"/>
  <c r="BN265" i="10"/>
  <c r="BM265" i="10"/>
  <c r="BL265" i="10"/>
  <c r="BI265" i="10"/>
  <c r="BH265" i="10"/>
  <c r="BG265" i="10"/>
  <c r="BM264" i="10"/>
  <c r="BL264" i="10"/>
  <c r="BN264" i="10" s="1"/>
  <c r="BH264" i="10"/>
  <c r="BG264" i="10"/>
  <c r="BI264" i="10" s="1"/>
  <c r="BM263" i="10"/>
  <c r="BN263" i="10" s="1"/>
  <c r="BL263" i="10"/>
  <c r="BH263" i="10"/>
  <c r="BI263" i="10" s="1"/>
  <c r="BG263" i="10"/>
  <c r="BM262" i="10"/>
  <c r="BL262" i="10"/>
  <c r="BI262" i="10"/>
  <c r="BH262" i="10"/>
  <c r="BG262" i="10"/>
  <c r="BN261" i="10"/>
  <c r="BM261" i="10"/>
  <c r="BL261" i="10"/>
  <c r="BI261" i="10"/>
  <c r="BH261" i="10"/>
  <c r="BG261" i="10"/>
  <c r="BM260" i="10"/>
  <c r="BL260" i="10"/>
  <c r="BH260" i="10"/>
  <c r="BG260" i="10"/>
  <c r="BI260" i="10" s="1"/>
  <c r="BM259" i="10"/>
  <c r="BN259" i="10" s="1"/>
  <c r="BL259" i="10"/>
  <c r="BH259" i="10"/>
  <c r="BI259" i="10" s="1"/>
  <c r="BG259" i="10"/>
  <c r="BM258" i="10"/>
  <c r="BL258" i="10"/>
  <c r="BN258" i="10" s="1"/>
  <c r="BI258" i="10"/>
  <c r="BH258" i="10"/>
  <c r="BG258" i="10"/>
  <c r="BN257" i="10"/>
  <c r="BM257" i="10"/>
  <c r="BL257" i="10"/>
  <c r="BH257" i="10"/>
  <c r="BG257" i="10"/>
  <c r="BI257" i="10" s="1"/>
  <c r="BM256" i="10"/>
  <c r="BL256" i="10"/>
  <c r="BH256" i="10"/>
  <c r="BG256" i="10"/>
  <c r="BI256" i="10" s="1"/>
  <c r="BM255" i="10"/>
  <c r="BN255" i="10" s="1"/>
  <c r="BL255" i="10"/>
  <c r="BH255" i="10"/>
  <c r="BI255" i="10" s="1"/>
  <c r="BG255" i="10"/>
  <c r="BM254" i="10"/>
  <c r="BL254" i="10"/>
  <c r="BN254" i="10" s="1"/>
  <c r="BH254" i="10"/>
  <c r="BG254" i="10"/>
  <c r="BI254" i="10" s="1"/>
  <c r="BN253" i="10"/>
  <c r="BM253" i="10"/>
  <c r="BL253" i="10"/>
  <c r="BH253" i="10"/>
  <c r="BI253" i="10" s="1"/>
  <c r="BG253" i="10"/>
  <c r="BM252" i="10"/>
  <c r="BL252" i="10"/>
  <c r="BN252" i="10" s="1"/>
  <c r="BH252" i="10"/>
  <c r="BG252" i="10"/>
  <c r="BI252" i="10" s="1"/>
  <c r="BM251" i="10"/>
  <c r="BN251" i="10" s="1"/>
  <c r="BL251" i="10"/>
  <c r="BH251" i="10"/>
  <c r="BI251" i="10" s="1"/>
  <c r="BG251" i="10"/>
  <c r="BM250" i="10"/>
  <c r="BL250" i="10"/>
  <c r="BN250" i="10" s="1"/>
  <c r="BH250" i="10"/>
  <c r="BG250" i="10"/>
  <c r="BI250" i="10" s="1"/>
  <c r="BN249" i="10"/>
  <c r="BM249" i="10"/>
  <c r="BL249" i="10"/>
  <c r="BH249" i="10"/>
  <c r="BI249" i="10" s="1"/>
  <c r="BG249" i="10"/>
  <c r="BM248" i="10"/>
  <c r="BL248" i="10"/>
  <c r="BN248" i="10" s="1"/>
  <c r="BH248" i="10"/>
  <c r="BG248" i="10"/>
  <c r="BI248" i="10" s="1"/>
  <c r="BM247" i="10"/>
  <c r="BN247" i="10" s="1"/>
  <c r="BL247" i="10"/>
  <c r="BH247" i="10"/>
  <c r="BI247" i="10" s="1"/>
  <c r="BG247" i="10"/>
  <c r="BM246" i="10"/>
  <c r="BL246" i="10"/>
  <c r="BN246" i="10" s="1"/>
  <c r="BH246" i="10"/>
  <c r="BG246" i="10"/>
  <c r="BI246" i="10" s="1"/>
  <c r="BN245" i="10"/>
  <c r="BM245" i="10"/>
  <c r="BL245" i="10"/>
  <c r="BH245" i="10"/>
  <c r="BG245" i="10"/>
  <c r="BI245" i="10" s="1"/>
  <c r="BM244" i="10"/>
  <c r="BL244" i="10"/>
  <c r="BN244" i="10" s="1"/>
  <c r="BH244" i="10"/>
  <c r="BG244" i="10"/>
  <c r="BI244" i="10" s="1"/>
  <c r="BN243" i="10"/>
  <c r="BM243" i="10"/>
  <c r="BL243" i="10"/>
  <c r="BH243" i="10"/>
  <c r="BI243" i="10" s="1"/>
  <c r="BG243" i="10"/>
  <c r="BM242" i="10"/>
  <c r="BL242" i="10"/>
  <c r="BN242" i="10" s="1"/>
  <c r="BI242" i="10"/>
  <c r="BH242" i="10"/>
  <c r="BG242" i="10"/>
  <c r="BN241" i="10"/>
  <c r="BM241" i="10"/>
  <c r="BL241" i="10"/>
  <c r="BH241" i="10"/>
  <c r="BG241" i="10"/>
  <c r="BI241" i="10" s="1"/>
  <c r="BM240" i="10"/>
  <c r="BL240" i="10"/>
  <c r="BN240" i="10" s="1"/>
  <c r="BH240" i="10"/>
  <c r="BG240" i="10"/>
  <c r="BI240" i="10" s="1"/>
  <c r="BN239" i="10"/>
  <c r="BM239" i="10"/>
  <c r="BL239" i="10"/>
  <c r="BI239" i="10"/>
  <c r="BH239" i="10"/>
  <c r="BG239" i="10"/>
  <c r="BM238" i="10"/>
  <c r="BL238" i="10"/>
  <c r="BN238" i="10" s="1"/>
  <c r="BI238" i="10"/>
  <c r="BH238" i="10"/>
  <c r="BG238" i="10"/>
  <c r="BN237" i="10"/>
  <c r="BM237" i="10"/>
  <c r="BL237" i="10"/>
  <c r="BH237" i="10"/>
  <c r="BG237" i="10"/>
  <c r="BI237" i="10" s="1"/>
  <c r="BM236" i="10"/>
  <c r="BL236" i="10"/>
  <c r="BN236" i="10" s="1"/>
  <c r="BH236" i="10"/>
  <c r="BG236" i="10"/>
  <c r="BI236" i="10" s="1"/>
  <c r="BM235" i="10"/>
  <c r="BN235" i="10" s="1"/>
  <c r="BL235" i="10"/>
  <c r="BI235" i="10"/>
  <c r="BH235" i="10"/>
  <c r="BG235" i="10"/>
  <c r="BM234" i="10"/>
  <c r="BL234" i="10"/>
  <c r="BH234" i="10"/>
  <c r="BG234" i="10"/>
  <c r="BI234" i="10" s="1"/>
  <c r="BN233" i="10"/>
  <c r="BM233" i="10"/>
  <c r="BL233" i="10"/>
  <c r="BI233" i="10"/>
  <c r="BH233" i="10"/>
  <c r="BG233" i="10"/>
  <c r="BM232" i="10"/>
  <c r="BL232" i="10"/>
  <c r="BN232" i="10" s="1"/>
  <c r="BH232" i="10"/>
  <c r="BG232" i="10"/>
  <c r="BI232" i="10" s="1"/>
  <c r="BM231" i="10"/>
  <c r="BN231" i="10" s="1"/>
  <c r="BL231" i="10"/>
  <c r="BH231" i="10"/>
  <c r="BI231" i="10" s="1"/>
  <c r="BG231" i="10"/>
  <c r="BM230" i="10"/>
  <c r="BL230" i="10"/>
  <c r="BI230" i="10"/>
  <c r="BH230" i="10"/>
  <c r="BG230" i="10"/>
  <c r="BN229" i="10"/>
  <c r="BM229" i="10"/>
  <c r="BL229" i="10"/>
  <c r="BI229" i="10"/>
  <c r="BH229" i="10"/>
  <c r="BG229" i="10"/>
  <c r="BM228" i="10"/>
  <c r="BL228" i="10"/>
  <c r="BH228" i="10"/>
  <c r="BG228" i="10"/>
  <c r="BI228" i="10" s="1"/>
  <c r="BM227" i="10"/>
  <c r="BN227" i="10" s="1"/>
  <c r="BL227" i="10"/>
  <c r="BH227" i="10"/>
  <c r="BI227" i="10" s="1"/>
  <c r="BG227" i="10"/>
  <c r="BM226" i="10"/>
  <c r="BL226" i="10"/>
  <c r="BN226" i="10" s="1"/>
  <c r="BI226" i="10"/>
  <c r="BH226" i="10"/>
  <c r="BG226" i="10"/>
  <c r="BN225" i="10"/>
  <c r="BM225" i="10"/>
  <c r="BL225" i="10"/>
  <c r="BH225" i="10"/>
  <c r="BG225" i="10"/>
  <c r="BI225" i="10" s="1"/>
  <c r="BM224" i="10"/>
  <c r="BL224" i="10"/>
  <c r="BH224" i="10"/>
  <c r="BG224" i="10"/>
  <c r="BI224" i="10" s="1"/>
  <c r="BM223" i="10"/>
  <c r="BN223" i="10" s="1"/>
  <c r="BL223" i="10"/>
  <c r="BH223" i="10"/>
  <c r="BI223" i="10" s="1"/>
  <c r="BG223" i="10"/>
  <c r="BM222" i="10"/>
  <c r="BL222" i="10"/>
  <c r="BN222" i="10" s="1"/>
  <c r="BH222" i="10"/>
  <c r="BG222" i="10"/>
  <c r="BI222" i="10" s="1"/>
  <c r="BN221" i="10"/>
  <c r="BM221" i="10"/>
  <c r="BL221" i="10"/>
  <c r="BH221" i="10"/>
  <c r="BI221" i="10" s="1"/>
  <c r="BG221" i="10"/>
  <c r="BM220" i="10"/>
  <c r="BL220" i="10"/>
  <c r="BN220" i="10" s="1"/>
  <c r="BH220" i="10"/>
  <c r="BG220" i="10"/>
  <c r="BI220" i="10" s="1"/>
  <c r="BM219" i="10"/>
  <c r="BN219" i="10" s="1"/>
  <c r="BL219" i="10"/>
  <c r="BH219" i="10"/>
  <c r="BI219" i="10" s="1"/>
  <c r="BG219" i="10"/>
  <c r="BM218" i="10"/>
  <c r="BL218" i="10"/>
  <c r="BN218" i="10" s="1"/>
  <c r="BH218" i="10"/>
  <c r="BG218" i="10"/>
  <c r="BI218" i="10" s="1"/>
  <c r="BN217" i="10"/>
  <c r="BM217" i="10"/>
  <c r="BL217" i="10"/>
  <c r="BH217" i="10"/>
  <c r="BI217" i="10" s="1"/>
  <c r="BG217" i="10"/>
  <c r="BM216" i="10"/>
  <c r="BL216" i="10"/>
  <c r="BN216" i="10" s="1"/>
  <c r="BH216" i="10"/>
  <c r="BG216" i="10"/>
  <c r="BI216" i="10" s="1"/>
  <c r="BN215" i="10"/>
  <c r="BM215" i="10"/>
  <c r="BL215" i="10"/>
  <c r="BH215" i="10"/>
  <c r="BG215" i="10"/>
  <c r="BN214" i="10"/>
  <c r="BM214" i="10"/>
  <c r="BL214" i="10"/>
  <c r="BH214" i="10"/>
  <c r="BI214" i="10" s="1"/>
  <c r="BG214" i="10"/>
  <c r="BM213" i="10"/>
  <c r="BL213" i="10"/>
  <c r="BN213" i="10" s="1"/>
  <c r="BH213" i="10"/>
  <c r="BI213" i="10" s="1"/>
  <c r="BG213" i="10"/>
  <c r="BM212" i="10"/>
  <c r="BN212" i="10" s="1"/>
  <c r="BL212" i="10"/>
  <c r="BH212" i="10"/>
  <c r="BG212" i="10"/>
  <c r="BI212" i="10" s="1"/>
  <c r="BM211" i="10"/>
  <c r="BL211" i="10"/>
  <c r="BN211" i="10" s="1"/>
  <c r="BI211" i="10"/>
  <c r="BH211" i="10"/>
  <c r="BG211" i="10"/>
  <c r="BM210" i="10"/>
  <c r="BN210" i="10" s="1"/>
  <c r="BL210" i="10"/>
  <c r="BH210" i="10"/>
  <c r="BG210" i="10"/>
  <c r="BI210" i="10" s="1"/>
  <c r="BM209" i="10"/>
  <c r="BL209" i="10"/>
  <c r="BN209" i="10" s="1"/>
  <c r="BH209" i="10"/>
  <c r="BI209" i="10" s="1"/>
  <c r="BG209" i="10"/>
  <c r="BM208" i="10"/>
  <c r="BN208" i="10" s="1"/>
  <c r="BL208" i="10"/>
  <c r="BH208" i="10"/>
  <c r="BG208" i="10"/>
  <c r="BI208" i="10" s="1"/>
  <c r="BM207" i="10"/>
  <c r="BL207" i="10"/>
  <c r="BN207" i="10" s="1"/>
  <c r="BI207" i="10"/>
  <c r="BH207" i="10"/>
  <c r="BG207" i="10"/>
  <c r="BM206" i="10"/>
  <c r="BL206" i="10"/>
  <c r="BN206" i="10" s="1"/>
  <c r="BH206" i="10"/>
  <c r="BG206" i="10"/>
  <c r="BI206" i="10" s="1"/>
  <c r="BM205" i="10"/>
  <c r="BL205" i="10"/>
  <c r="BN205" i="10" s="1"/>
  <c r="BI205" i="10"/>
  <c r="BH205" i="10"/>
  <c r="BG205" i="10"/>
  <c r="BM204" i="10"/>
  <c r="BN204" i="10" s="1"/>
  <c r="BL204" i="10"/>
  <c r="BH204" i="10"/>
  <c r="BG204" i="10"/>
  <c r="BI204" i="10" s="1"/>
  <c r="BN203" i="10"/>
  <c r="BM203" i="10"/>
  <c r="BL203" i="10"/>
  <c r="BI203" i="10"/>
  <c r="BH203" i="10"/>
  <c r="BG203" i="10"/>
  <c r="BM202" i="10"/>
  <c r="BL202" i="10"/>
  <c r="BN202" i="10" s="1"/>
  <c r="BH202" i="10"/>
  <c r="BG202" i="10"/>
  <c r="BI202" i="10" s="1"/>
  <c r="BM201" i="10"/>
  <c r="BL201" i="10"/>
  <c r="BN201" i="10" s="1"/>
  <c r="BI201" i="10"/>
  <c r="BH201" i="10"/>
  <c r="BG201" i="10"/>
  <c r="BN200" i="10"/>
  <c r="BM200" i="10"/>
  <c r="BL200" i="10"/>
  <c r="BH200" i="10"/>
  <c r="BG200" i="10"/>
  <c r="BI200" i="10" s="1"/>
  <c r="BN199" i="10"/>
  <c r="BM199" i="10"/>
  <c r="BL199" i="10"/>
  <c r="BI199" i="10"/>
  <c r="BH199" i="10"/>
  <c r="BG199" i="10"/>
  <c r="BM198" i="10"/>
  <c r="BL198" i="10"/>
  <c r="BN198" i="10" s="1"/>
  <c r="BH198" i="10"/>
  <c r="BG198" i="10"/>
  <c r="BI198" i="10" s="1"/>
  <c r="BM197" i="10"/>
  <c r="BL197" i="10"/>
  <c r="BN197" i="10" s="1"/>
  <c r="BH197" i="10"/>
  <c r="BI197" i="10" s="1"/>
  <c r="BG197" i="10"/>
  <c r="BN196" i="10"/>
  <c r="BM196" i="10"/>
  <c r="BL196" i="10"/>
  <c r="BH196" i="10"/>
  <c r="BG196" i="10"/>
  <c r="BM195" i="10"/>
  <c r="BL195" i="10"/>
  <c r="BN195" i="10" s="1"/>
  <c r="BI195" i="10"/>
  <c r="BH195" i="10"/>
  <c r="BG195" i="10"/>
  <c r="BN194" i="10"/>
  <c r="BM194" i="10"/>
  <c r="BL194" i="10"/>
  <c r="BH194" i="10"/>
  <c r="BG194" i="10"/>
  <c r="BI194" i="10" s="1"/>
  <c r="BM193" i="10"/>
  <c r="BL193" i="10"/>
  <c r="BN193" i="10" s="1"/>
  <c r="BH193" i="10"/>
  <c r="BI193" i="10" s="1"/>
  <c r="BG193" i="10"/>
  <c r="BM192" i="10"/>
  <c r="BN192" i="10" s="1"/>
  <c r="BL192" i="10"/>
  <c r="BH192" i="10"/>
  <c r="BG192" i="10"/>
  <c r="BM191" i="10"/>
  <c r="BN191" i="10" s="1"/>
  <c r="BL191" i="10"/>
  <c r="BI191" i="10"/>
  <c r="BH191" i="10"/>
  <c r="BG191" i="10"/>
  <c r="BN190" i="10"/>
  <c r="BM190" i="10"/>
  <c r="BL190" i="10"/>
  <c r="BI190" i="10"/>
  <c r="BH190" i="10"/>
  <c r="BG190" i="10"/>
  <c r="BM189" i="10"/>
  <c r="BL189" i="10"/>
  <c r="BN189" i="10" s="1"/>
  <c r="BI189" i="10"/>
  <c r="BH189" i="10"/>
  <c r="BG189" i="10"/>
  <c r="BN188" i="10"/>
  <c r="BM188" i="10"/>
  <c r="BL188" i="10"/>
  <c r="BH188" i="10"/>
  <c r="BG188" i="10"/>
  <c r="BI188" i="10" s="1"/>
  <c r="BN187" i="10"/>
  <c r="BM187" i="10"/>
  <c r="BL187" i="10"/>
  <c r="BI187" i="10"/>
  <c r="BH187" i="10"/>
  <c r="BG187" i="10"/>
  <c r="BM186" i="10"/>
  <c r="BL186" i="10"/>
  <c r="BN186" i="10" s="1"/>
  <c r="BH186" i="10"/>
  <c r="BG186" i="10"/>
  <c r="BI186" i="10" s="1"/>
  <c r="BM185" i="10"/>
  <c r="BL185" i="10"/>
  <c r="BN185" i="10" s="1"/>
  <c r="BH185" i="10"/>
  <c r="BG185" i="10"/>
  <c r="BI185" i="10" s="1"/>
  <c r="BM184" i="10"/>
  <c r="BN184" i="10" s="1"/>
  <c r="BL184" i="10"/>
  <c r="BH184" i="10"/>
  <c r="BG184" i="10"/>
  <c r="BI184" i="10" s="1"/>
  <c r="BM183" i="10"/>
  <c r="BL183" i="10"/>
  <c r="BN183" i="10" s="1"/>
  <c r="BI183" i="10"/>
  <c r="BH183" i="10"/>
  <c r="BG183" i="10"/>
  <c r="BM182" i="10"/>
  <c r="BL182" i="10"/>
  <c r="BN182" i="10" s="1"/>
  <c r="BH182" i="10"/>
  <c r="BI182" i="10" s="1"/>
  <c r="BG182" i="10"/>
  <c r="BM181" i="10"/>
  <c r="BL181" i="10"/>
  <c r="BN181" i="10" s="1"/>
  <c r="BH181" i="10"/>
  <c r="BG181" i="10"/>
  <c r="BI181" i="10" s="1"/>
  <c r="BM180" i="10"/>
  <c r="BN180" i="10" s="1"/>
  <c r="BL180" i="10"/>
  <c r="BH180" i="10"/>
  <c r="BG180" i="10"/>
  <c r="BI180" i="10" s="1"/>
  <c r="BM179" i="10"/>
  <c r="BL179" i="10"/>
  <c r="BN179" i="10" s="1"/>
  <c r="BI179" i="10"/>
  <c r="BH179" i="10"/>
  <c r="BG179" i="10"/>
  <c r="BM178" i="10"/>
  <c r="BN178" i="10" s="1"/>
  <c r="BL178" i="10"/>
  <c r="BH178" i="10"/>
  <c r="BG178" i="10"/>
  <c r="BI178" i="10" s="1"/>
  <c r="BM177" i="10"/>
  <c r="BL177" i="10"/>
  <c r="BN177" i="10" s="1"/>
  <c r="BH177" i="10"/>
  <c r="BI177" i="10" s="1"/>
  <c r="BG177" i="10"/>
  <c r="BM176" i="10"/>
  <c r="BN176" i="10" s="1"/>
  <c r="BL176" i="10"/>
  <c r="BH176" i="10"/>
  <c r="BG176" i="10"/>
  <c r="BM175" i="10"/>
  <c r="BN175" i="10" s="1"/>
  <c r="BL175" i="10"/>
  <c r="BI175" i="10"/>
  <c r="BH175" i="10"/>
  <c r="BG175" i="10"/>
  <c r="BN174" i="10"/>
  <c r="BM174" i="10"/>
  <c r="BL174" i="10"/>
  <c r="BI174" i="10"/>
  <c r="BH174" i="10"/>
  <c r="BG174" i="10"/>
  <c r="BM173" i="10"/>
  <c r="BL173" i="10"/>
  <c r="BN173" i="10" s="1"/>
  <c r="BI173" i="10"/>
  <c r="BH173" i="10"/>
  <c r="BG173" i="10"/>
  <c r="BN172" i="10"/>
  <c r="BM172" i="10"/>
  <c r="BL172" i="10"/>
  <c r="BH172" i="10"/>
  <c r="BG172" i="10"/>
  <c r="BI172" i="10" s="1"/>
  <c r="BN171" i="10"/>
  <c r="BM171" i="10"/>
  <c r="BL171" i="10"/>
  <c r="BI171" i="10"/>
  <c r="BH171" i="10"/>
  <c r="BG171" i="10"/>
  <c r="BM170" i="10"/>
  <c r="BL170" i="10"/>
  <c r="BN170" i="10" s="1"/>
  <c r="BH170" i="10"/>
  <c r="BG170" i="10"/>
  <c r="BI170" i="10" s="1"/>
  <c r="BM169" i="10"/>
  <c r="BL169" i="10"/>
  <c r="BN169" i="10" s="1"/>
  <c r="BH169" i="10"/>
  <c r="BG169" i="10"/>
  <c r="BI169" i="10" s="1"/>
  <c r="BM168" i="10"/>
  <c r="BN168" i="10" s="1"/>
  <c r="BL168" i="10"/>
  <c r="BH168" i="10"/>
  <c r="BG168" i="10"/>
  <c r="BI168" i="10" s="1"/>
  <c r="BM167" i="10"/>
  <c r="BL167" i="10"/>
  <c r="BN167" i="10" s="1"/>
  <c r="BI167" i="10"/>
  <c r="BH167" i="10"/>
  <c r="BG167" i="10"/>
  <c r="BM166" i="10"/>
  <c r="BL166" i="10"/>
  <c r="BN166" i="10" s="1"/>
  <c r="BH166" i="10"/>
  <c r="BI166" i="10" s="1"/>
  <c r="BG166" i="10"/>
  <c r="BM165" i="10"/>
  <c r="BL165" i="10"/>
  <c r="BN165" i="10" s="1"/>
  <c r="BH165" i="10"/>
  <c r="BG165" i="10"/>
  <c r="BI165" i="10" s="1"/>
  <c r="BM164" i="10"/>
  <c r="BN164" i="10" s="1"/>
  <c r="BL164" i="10"/>
  <c r="BH164" i="10"/>
  <c r="BG164" i="10"/>
  <c r="BI164" i="10" s="1"/>
  <c r="BM163" i="10"/>
  <c r="BL163" i="10"/>
  <c r="BN163" i="10" s="1"/>
  <c r="BI163" i="10"/>
  <c r="BH163" i="10"/>
  <c r="BG163" i="10"/>
  <c r="BM162" i="10"/>
  <c r="BN162" i="10" s="1"/>
  <c r="BL162" i="10"/>
  <c r="BH162" i="10"/>
  <c r="BG162" i="10"/>
  <c r="BI162" i="10" s="1"/>
  <c r="BM161" i="10"/>
  <c r="BL161" i="10"/>
  <c r="BN161" i="10" s="1"/>
  <c r="BH161" i="10"/>
  <c r="BI161" i="10" s="1"/>
  <c r="BG161" i="10"/>
  <c r="BM160" i="10"/>
  <c r="BN160" i="10" s="1"/>
  <c r="BL160" i="10"/>
  <c r="BH160" i="10"/>
  <c r="BG160" i="10"/>
  <c r="BM159" i="10"/>
  <c r="BN159" i="10" s="1"/>
  <c r="BL159" i="10"/>
  <c r="BI159" i="10"/>
  <c r="BH159" i="10"/>
  <c r="BG159" i="10"/>
  <c r="BN158" i="10"/>
  <c r="BM158" i="10"/>
  <c r="BL158" i="10"/>
  <c r="BI158" i="10"/>
  <c r="BH158" i="10"/>
  <c r="BG158" i="10"/>
  <c r="BM157" i="10"/>
  <c r="BL157" i="10"/>
  <c r="BN157" i="10" s="1"/>
  <c r="BI157" i="10"/>
  <c r="BH157" i="10"/>
  <c r="BG157" i="10"/>
  <c r="BN156" i="10"/>
  <c r="BM156" i="10"/>
  <c r="BL156" i="10"/>
  <c r="BH156" i="10"/>
  <c r="BG156" i="10"/>
  <c r="BI156" i="10" s="1"/>
  <c r="BN155" i="10"/>
  <c r="BM155" i="10"/>
  <c r="BL155" i="10"/>
  <c r="BI155" i="10"/>
  <c r="BH155" i="10"/>
  <c r="BG155" i="10"/>
  <c r="BM154" i="10"/>
  <c r="BL154" i="10"/>
  <c r="BN154" i="10" s="1"/>
  <c r="BH154" i="10"/>
  <c r="BG154" i="10"/>
  <c r="BI154" i="10" s="1"/>
  <c r="BM153" i="10"/>
  <c r="BL153" i="10"/>
  <c r="BN153" i="10" s="1"/>
  <c r="BH153" i="10"/>
  <c r="BG153" i="10"/>
  <c r="BI153" i="10" s="1"/>
  <c r="BM152" i="10"/>
  <c r="BN152" i="10" s="1"/>
  <c r="BL152" i="10"/>
  <c r="BH152" i="10"/>
  <c r="BG152" i="10"/>
  <c r="BI152" i="10" s="1"/>
  <c r="BM151" i="10"/>
  <c r="BL151" i="10"/>
  <c r="BN151" i="10" s="1"/>
  <c r="BI151" i="10"/>
  <c r="BH151" i="10"/>
  <c r="BG151" i="10"/>
  <c r="BM150" i="10"/>
  <c r="BL150" i="10"/>
  <c r="BN150" i="10" s="1"/>
  <c r="BH150" i="10"/>
  <c r="BI150" i="10" s="1"/>
  <c r="BG150" i="10"/>
  <c r="BM149" i="10"/>
  <c r="BL149" i="10"/>
  <c r="BN149" i="10" s="1"/>
  <c r="BH149" i="10"/>
  <c r="BG149" i="10"/>
  <c r="BI149" i="10" s="1"/>
  <c r="BM148" i="10"/>
  <c r="BN148" i="10" s="1"/>
  <c r="BL148" i="10"/>
  <c r="BH148" i="10"/>
  <c r="BG148" i="10"/>
  <c r="BI148" i="10" s="1"/>
  <c r="BM147" i="10"/>
  <c r="BL147" i="10"/>
  <c r="BN147" i="10" s="1"/>
  <c r="BI147" i="10"/>
  <c r="BH147" i="10"/>
  <c r="BG147" i="10"/>
  <c r="BM146" i="10"/>
  <c r="BN146" i="10" s="1"/>
  <c r="BL146" i="10"/>
  <c r="BH146" i="10"/>
  <c r="BG146" i="10"/>
  <c r="BI146" i="10" s="1"/>
  <c r="BM145" i="10"/>
  <c r="BL145" i="10"/>
  <c r="BN145" i="10" s="1"/>
  <c r="BH145" i="10"/>
  <c r="BI145" i="10" s="1"/>
  <c r="BG145" i="10"/>
  <c r="BM144" i="10"/>
  <c r="BN144" i="10" s="1"/>
  <c r="BL144" i="10"/>
  <c r="BH144" i="10"/>
  <c r="BG144" i="10"/>
  <c r="BM143" i="10"/>
  <c r="BN143" i="10" s="1"/>
  <c r="BL143" i="10"/>
  <c r="BI143" i="10"/>
  <c r="BH143" i="10"/>
  <c r="BG143" i="10"/>
  <c r="BN142" i="10"/>
  <c r="BM142" i="10"/>
  <c r="BL142" i="10"/>
  <c r="BI142" i="10"/>
  <c r="BH142" i="10"/>
  <c r="BG142" i="10"/>
  <c r="BM141" i="10"/>
  <c r="BL141" i="10"/>
  <c r="BN141" i="10" s="1"/>
  <c r="BI141" i="10"/>
  <c r="BH141" i="10"/>
  <c r="BG141" i="10"/>
  <c r="BN140" i="10"/>
  <c r="BM140" i="10"/>
  <c r="BL140" i="10"/>
  <c r="BH140" i="10"/>
  <c r="BG140" i="10"/>
  <c r="BI140" i="10" s="1"/>
  <c r="BN139" i="10"/>
  <c r="BM139" i="10"/>
  <c r="BL139" i="10"/>
  <c r="BI139" i="10"/>
  <c r="BH139" i="10"/>
  <c r="BG139" i="10"/>
  <c r="BM138" i="10"/>
  <c r="BL138" i="10"/>
  <c r="BN138" i="10" s="1"/>
  <c r="BH138" i="10"/>
  <c r="BG138" i="10"/>
  <c r="BI138" i="10" s="1"/>
  <c r="BM137" i="10"/>
  <c r="BL137" i="10"/>
  <c r="BN137" i="10" s="1"/>
  <c r="BH137" i="10"/>
  <c r="BG137" i="10"/>
  <c r="BI137" i="10" s="1"/>
  <c r="BM136" i="10"/>
  <c r="BN136" i="10" s="1"/>
  <c r="BL136" i="10"/>
  <c r="BH136" i="10"/>
  <c r="BG136" i="10"/>
  <c r="BI136" i="10" s="1"/>
  <c r="BM135" i="10"/>
  <c r="BL135" i="10"/>
  <c r="BN135" i="10" s="1"/>
  <c r="BI135" i="10"/>
  <c r="BH135" i="10"/>
  <c r="BG135" i="10"/>
  <c r="BM134" i="10"/>
  <c r="BL134" i="10"/>
  <c r="BN134" i="10" s="1"/>
  <c r="BH134" i="10"/>
  <c r="BI134" i="10" s="1"/>
  <c r="BG134" i="10"/>
  <c r="BM133" i="10"/>
  <c r="BL133" i="10"/>
  <c r="BN133" i="10" s="1"/>
  <c r="BH133" i="10"/>
  <c r="BG133" i="10"/>
  <c r="BI133" i="10" s="1"/>
  <c r="BM132" i="10"/>
  <c r="BN132" i="10" s="1"/>
  <c r="BL132" i="10"/>
  <c r="BH132" i="10"/>
  <c r="BG132" i="10"/>
  <c r="BI132" i="10" s="1"/>
  <c r="BM131" i="10"/>
  <c r="BL131" i="10"/>
  <c r="BN131" i="10" s="1"/>
  <c r="BI131" i="10"/>
  <c r="BH131" i="10"/>
  <c r="BG131" i="10"/>
  <c r="BM130" i="10"/>
  <c r="BN130" i="10" s="1"/>
  <c r="BL130" i="10"/>
  <c r="BH130" i="10"/>
  <c r="BG130" i="10"/>
  <c r="BI130" i="10" s="1"/>
  <c r="BM129" i="10"/>
  <c r="BL129" i="10"/>
  <c r="BN129" i="10" s="1"/>
  <c r="BH129" i="10"/>
  <c r="BI129" i="10" s="1"/>
  <c r="BG129" i="10"/>
  <c r="BM128" i="10"/>
  <c r="BN128" i="10" s="1"/>
  <c r="BL128" i="10"/>
  <c r="BH128" i="10"/>
  <c r="BG128" i="10"/>
  <c r="BM127" i="10"/>
  <c r="BN127" i="10" s="1"/>
  <c r="BL127" i="10"/>
  <c r="BI127" i="10"/>
  <c r="BH127" i="10"/>
  <c r="BG127" i="10"/>
  <c r="BN126" i="10"/>
  <c r="BM126" i="10"/>
  <c r="BL126" i="10"/>
  <c r="BI126" i="10"/>
  <c r="BH126" i="10"/>
  <c r="BG126" i="10"/>
  <c r="BM125" i="10"/>
  <c r="BL125" i="10"/>
  <c r="BN125" i="10" s="1"/>
  <c r="BI125" i="10"/>
  <c r="BH125" i="10"/>
  <c r="BG125" i="10"/>
  <c r="BN124" i="10"/>
  <c r="BM124" i="10"/>
  <c r="BL124" i="10"/>
  <c r="BH124" i="10"/>
  <c r="BG124" i="10"/>
  <c r="BI124" i="10" s="1"/>
  <c r="BN123" i="10"/>
  <c r="BM123" i="10"/>
  <c r="BL123" i="10"/>
  <c r="BI123" i="10"/>
  <c r="BH123" i="10"/>
  <c r="BG123" i="10"/>
  <c r="BM122" i="10"/>
  <c r="BL122" i="10"/>
  <c r="BN122" i="10" s="1"/>
  <c r="BH122" i="10"/>
  <c r="BG122" i="10"/>
  <c r="BI122" i="10" s="1"/>
  <c r="BM121" i="10"/>
  <c r="BL121" i="10"/>
  <c r="BN121" i="10" s="1"/>
  <c r="BH121" i="10"/>
  <c r="BG121" i="10"/>
  <c r="BI121" i="10" s="1"/>
  <c r="BM120" i="10"/>
  <c r="BN120" i="10" s="1"/>
  <c r="BL120" i="10"/>
  <c r="BH120" i="10"/>
  <c r="BG120" i="10"/>
  <c r="BI120" i="10" s="1"/>
  <c r="BM119" i="10"/>
  <c r="BL119" i="10"/>
  <c r="BN119" i="10" s="1"/>
  <c r="BI119" i="10"/>
  <c r="BH119" i="10"/>
  <c r="BG119" i="10"/>
  <c r="BM118" i="10"/>
  <c r="BL118" i="10"/>
  <c r="BN118" i="10" s="1"/>
  <c r="BH118" i="10"/>
  <c r="BI118" i="10" s="1"/>
  <c r="BG118" i="10"/>
  <c r="BN117" i="10"/>
  <c r="BM117" i="10"/>
  <c r="BL117" i="10"/>
  <c r="BH117" i="10"/>
  <c r="BG117" i="10"/>
  <c r="BI117" i="10" s="1"/>
  <c r="BN116" i="10"/>
  <c r="BM116" i="10"/>
  <c r="BL116" i="10"/>
  <c r="BH116" i="10"/>
  <c r="BG116" i="10"/>
  <c r="BM115" i="10"/>
  <c r="BL115" i="10"/>
  <c r="BN115" i="10" s="1"/>
  <c r="BI115" i="10"/>
  <c r="BH115" i="10"/>
  <c r="BG115" i="10"/>
  <c r="BN114" i="10"/>
  <c r="BM114" i="10"/>
  <c r="BL114" i="10"/>
  <c r="BH114" i="10"/>
  <c r="BG114" i="10"/>
  <c r="BI114" i="10" s="1"/>
  <c r="BM113" i="10"/>
  <c r="BL113" i="10"/>
  <c r="BN113" i="10" s="1"/>
  <c r="BH113" i="10"/>
  <c r="BG113" i="10"/>
  <c r="BI113" i="10" s="1"/>
  <c r="BM112" i="10"/>
  <c r="BN112" i="10" s="1"/>
  <c r="BL112" i="10"/>
  <c r="BH112" i="10"/>
  <c r="BG112" i="10"/>
  <c r="BI112" i="10" s="1"/>
  <c r="BM111" i="10"/>
  <c r="BL111" i="10"/>
  <c r="BN111" i="10" s="1"/>
  <c r="BH111" i="10"/>
  <c r="BI111" i="10" s="1"/>
  <c r="BG111" i="10"/>
  <c r="BM110" i="10"/>
  <c r="BN110" i="10" s="1"/>
  <c r="BL110" i="10"/>
  <c r="BH110" i="10"/>
  <c r="BG110" i="10"/>
  <c r="BI110" i="10" s="1"/>
  <c r="BN109" i="10"/>
  <c r="BM109" i="10"/>
  <c r="BL109" i="10"/>
  <c r="BI109" i="10"/>
  <c r="BH109" i="10"/>
  <c r="BG109" i="10"/>
  <c r="BM108" i="10"/>
  <c r="BL108" i="10"/>
  <c r="BN108" i="10" s="1"/>
  <c r="BH108" i="10"/>
  <c r="BG108" i="10"/>
  <c r="BI108" i="10" s="1"/>
  <c r="BN107" i="10"/>
  <c r="BM107" i="10"/>
  <c r="BL107" i="10"/>
  <c r="BH107" i="10"/>
  <c r="BI107" i="10" s="1"/>
  <c r="BG107" i="10"/>
  <c r="BM106" i="10"/>
  <c r="BL106" i="10"/>
  <c r="BN106" i="10" s="1"/>
  <c r="BH106" i="10"/>
  <c r="BG106" i="10"/>
  <c r="BI106" i="10" s="1"/>
  <c r="BN105" i="10"/>
  <c r="BM105" i="10"/>
  <c r="BL105" i="10"/>
  <c r="BH105" i="10"/>
  <c r="BI105" i="10" s="1"/>
  <c r="BG105" i="10"/>
  <c r="BM104" i="10"/>
  <c r="BL104" i="10"/>
  <c r="BN104" i="10" s="1"/>
  <c r="BH104" i="10"/>
  <c r="BG104" i="10"/>
  <c r="BM103" i="10"/>
  <c r="BN103" i="10" s="1"/>
  <c r="BL103" i="10"/>
  <c r="BH103" i="10"/>
  <c r="BI103" i="10" s="1"/>
  <c r="BG103" i="10"/>
  <c r="BN102" i="10"/>
  <c r="BM102" i="10"/>
  <c r="BL102" i="10"/>
  <c r="BI102" i="10"/>
  <c r="BH102" i="10"/>
  <c r="BG102" i="10"/>
  <c r="BM101" i="10"/>
  <c r="BL101" i="10"/>
  <c r="BN101" i="10" s="1"/>
  <c r="BH101" i="10"/>
  <c r="BG101" i="10"/>
  <c r="BI101" i="10" s="1"/>
  <c r="BM100" i="10"/>
  <c r="BL100" i="10"/>
  <c r="BN100" i="10" s="1"/>
  <c r="BH100" i="10"/>
  <c r="BG100" i="10"/>
  <c r="BI100" i="10" s="1"/>
  <c r="BM99" i="10"/>
  <c r="BL99" i="10"/>
  <c r="BN99" i="10" s="1"/>
  <c r="BH99" i="10"/>
  <c r="BI99" i="10" s="1"/>
  <c r="BG99" i="10"/>
  <c r="BM98" i="10"/>
  <c r="BN98" i="10" s="1"/>
  <c r="BL98" i="10"/>
  <c r="BH98" i="10"/>
  <c r="BI98" i="10" s="1"/>
  <c r="BG98" i="10"/>
  <c r="BM97" i="10"/>
  <c r="BL97" i="10"/>
  <c r="BN97" i="10" s="1"/>
  <c r="BI97" i="10"/>
  <c r="BH97" i="10"/>
  <c r="BG97" i="10"/>
  <c r="BN96" i="10"/>
  <c r="BM96" i="10"/>
  <c r="BL96" i="10"/>
  <c r="BH96" i="10"/>
  <c r="BG96" i="10"/>
  <c r="BI96" i="10" s="1"/>
  <c r="BN95" i="10"/>
  <c r="BM95" i="10"/>
  <c r="BL95" i="10"/>
  <c r="BI95" i="10"/>
  <c r="BH95" i="10"/>
  <c r="BG95" i="10"/>
  <c r="BM94" i="10"/>
  <c r="BL94" i="10"/>
  <c r="BN94" i="10" s="1"/>
  <c r="BH94" i="10"/>
  <c r="BG94" i="10"/>
  <c r="BI94" i="10" s="1"/>
  <c r="BM93" i="10"/>
  <c r="BL93" i="10"/>
  <c r="BN93" i="10" s="1"/>
  <c r="BH93" i="10"/>
  <c r="BI93" i="10" s="1"/>
  <c r="BG93" i="10"/>
  <c r="BM92" i="10"/>
  <c r="BN92" i="10" s="1"/>
  <c r="BL92" i="10"/>
  <c r="BH92" i="10"/>
  <c r="BG92" i="10"/>
  <c r="BI92" i="10" s="1"/>
  <c r="BM91" i="10"/>
  <c r="BN91" i="10" s="1"/>
  <c r="BL91" i="10"/>
  <c r="BH91" i="10"/>
  <c r="BI91" i="10" s="1"/>
  <c r="BG91" i="10"/>
  <c r="BM90" i="10"/>
  <c r="BL90" i="10"/>
  <c r="BN90" i="10" s="1"/>
  <c r="BI90" i="10"/>
  <c r="BH90" i="10"/>
  <c r="BG90" i="10"/>
  <c r="BN89" i="10"/>
  <c r="BM89" i="10"/>
  <c r="BL89" i="10"/>
  <c r="BH89" i="10"/>
  <c r="BG89" i="10"/>
  <c r="BI89" i="10" s="1"/>
  <c r="BM88" i="10"/>
  <c r="BL88" i="10"/>
  <c r="BN88" i="10" s="1"/>
  <c r="BH88" i="10"/>
  <c r="BG88" i="10"/>
  <c r="BI88" i="10" s="1"/>
  <c r="BM87" i="10"/>
  <c r="BL87" i="10"/>
  <c r="BN87" i="10" s="1"/>
  <c r="BH87" i="10"/>
  <c r="BG87" i="10"/>
  <c r="BI87" i="10" s="1"/>
  <c r="BM86" i="10"/>
  <c r="BL86" i="10"/>
  <c r="BN86" i="10" s="1"/>
  <c r="BH86" i="10"/>
  <c r="BI86" i="10" s="1"/>
  <c r="BG86" i="10"/>
  <c r="BM85" i="10"/>
  <c r="BN85" i="10" s="1"/>
  <c r="BL85" i="10"/>
  <c r="BH85" i="10"/>
  <c r="BG85" i="10"/>
  <c r="BI85" i="10" s="1"/>
  <c r="BN84" i="10"/>
  <c r="BM84" i="10"/>
  <c r="BL84" i="10"/>
  <c r="BI84" i="10"/>
  <c r="BH84" i="10"/>
  <c r="BG84" i="10"/>
  <c r="BM83" i="10"/>
  <c r="BL83" i="10"/>
  <c r="BN83" i="10" s="1"/>
  <c r="BH83" i="10"/>
  <c r="BG83" i="10"/>
  <c r="BI83" i="10" s="1"/>
  <c r="BM82" i="10"/>
  <c r="BL82" i="10"/>
  <c r="BN82" i="10" s="1"/>
  <c r="BH82" i="10"/>
  <c r="BI82" i="10" s="1"/>
  <c r="BG82" i="10"/>
  <c r="BM81" i="10"/>
  <c r="BN81" i="10" s="1"/>
  <c r="BL81" i="10"/>
  <c r="BH81" i="10"/>
  <c r="BG81" i="10"/>
  <c r="BI81" i="10" s="1"/>
  <c r="BN80" i="10"/>
  <c r="BM80" i="10"/>
  <c r="BL80" i="10"/>
  <c r="BI80" i="10"/>
  <c r="BH80" i="10"/>
  <c r="BG80" i="10"/>
  <c r="BM79" i="10"/>
  <c r="BL79" i="10"/>
  <c r="BN79" i="10" s="1"/>
  <c r="BH79" i="10"/>
  <c r="BG79" i="10"/>
  <c r="BI79" i="10" s="1"/>
  <c r="BM78" i="10"/>
  <c r="BL78" i="10"/>
  <c r="BN78" i="10" s="1"/>
  <c r="BH78" i="10"/>
  <c r="BI78" i="10" s="1"/>
  <c r="BG78" i="10"/>
  <c r="BM77" i="10"/>
  <c r="BN77" i="10" s="1"/>
  <c r="BL77" i="10"/>
  <c r="BH77" i="10"/>
  <c r="BG77" i="10"/>
  <c r="BI77" i="10" s="1"/>
  <c r="BN76" i="10"/>
  <c r="BM76" i="10"/>
  <c r="BL76" i="10"/>
  <c r="BI76" i="10"/>
  <c r="BH76" i="10"/>
  <c r="BG76" i="10"/>
  <c r="BM75" i="10"/>
  <c r="BL75" i="10"/>
  <c r="BN75" i="10" s="1"/>
  <c r="BH75" i="10"/>
  <c r="BG75" i="10"/>
  <c r="BI75" i="10" s="1"/>
  <c r="BM74" i="10"/>
  <c r="BL74" i="10"/>
  <c r="BN74" i="10" s="1"/>
  <c r="BH74" i="10"/>
  <c r="BI74" i="10" s="1"/>
  <c r="BG74" i="10"/>
  <c r="BM73" i="10"/>
  <c r="BN73" i="10" s="1"/>
  <c r="BL73" i="10"/>
  <c r="BH73" i="10"/>
  <c r="BG73" i="10"/>
  <c r="BI73" i="10" s="1"/>
  <c r="BN72" i="10"/>
  <c r="BM72" i="10"/>
  <c r="BL72" i="10"/>
  <c r="BI72" i="10"/>
  <c r="BH72" i="10"/>
  <c r="BG72" i="10"/>
  <c r="BM71" i="10"/>
  <c r="BL71" i="10"/>
  <c r="BN71" i="10" s="1"/>
  <c r="BH71" i="10"/>
  <c r="BG71" i="10"/>
  <c r="BI71" i="10" s="1"/>
  <c r="BM70" i="10"/>
  <c r="BL70" i="10"/>
  <c r="BN70" i="10" s="1"/>
  <c r="BH70" i="10"/>
  <c r="BI70" i="10" s="1"/>
  <c r="BG70" i="10"/>
  <c r="BM69" i="10"/>
  <c r="BN69" i="10" s="1"/>
  <c r="BL69" i="10"/>
  <c r="BH69" i="10"/>
  <c r="BG69" i="10"/>
  <c r="BI69" i="10" s="1"/>
  <c r="BN68" i="10"/>
  <c r="BM68" i="10"/>
  <c r="BL68" i="10"/>
  <c r="BI68" i="10"/>
  <c r="BH68" i="10"/>
  <c r="BG68" i="10"/>
  <c r="BM67" i="10"/>
  <c r="BL67" i="10"/>
  <c r="BN67" i="10" s="1"/>
  <c r="BH67" i="10"/>
  <c r="BG67" i="10"/>
  <c r="BI67" i="10" s="1"/>
  <c r="BM66" i="10"/>
  <c r="BL66" i="10"/>
  <c r="BN66" i="10" s="1"/>
  <c r="BH66" i="10"/>
  <c r="BI66" i="10" s="1"/>
  <c r="BG66" i="10"/>
  <c r="BM65" i="10"/>
  <c r="BN65" i="10" s="1"/>
  <c r="BL65" i="10"/>
  <c r="BH65" i="10"/>
  <c r="BG65" i="10"/>
  <c r="BI65" i="10" s="1"/>
  <c r="BN64" i="10"/>
  <c r="BM64" i="10"/>
  <c r="BL64" i="10"/>
  <c r="BI64" i="10"/>
  <c r="BH64" i="10"/>
  <c r="BG64" i="10"/>
  <c r="BM63" i="10"/>
  <c r="BL63" i="10"/>
  <c r="BN63" i="10" s="1"/>
  <c r="BH63" i="10"/>
  <c r="BG63" i="10"/>
  <c r="BI63" i="10" s="1"/>
  <c r="BM62" i="10"/>
  <c r="BL62" i="10"/>
  <c r="BN62" i="10" s="1"/>
  <c r="BH62" i="10"/>
  <c r="BI62" i="10" s="1"/>
  <c r="BG62" i="10"/>
  <c r="BM61" i="10"/>
  <c r="BN61" i="10" s="1"/>
  <c r="BL61" i="10"/>
  <c r="BH61" i="10"/>
  <c r="BG61" i="10"/>
  <c r="BI61" i="10" s="1"/>
  <c r="BN60" i="10"/>
  <c r="BM60" i="10"/>
  <c r="BL60" i="10"/>
  <c r="BI60" i="10"/>
  <c r="BH60" i="10"/>
  <c r="BG60" i="10"/>
  <c r="BM59" i="10"/>
  <c r="BL59" i="10"/>
  <c r="BN59" i="10" s="1"/>
  <c r="BH59" i="10"/>
  <c r="BG59" i="10"/>
  <c r="BI59" i="10" s="1"/>
  <c r="BM58" i="10"/>
  <c r="BL58" i="10"/>
  <c r="BN58" i="10" s="1"/>
  <c r="BH58" i="10"/>
  <c r="BI58" i="10" s="1"/>
  <c r="BG58" i="10"/>
  <c r="BM57" i="10"/>
  <c r="BN57" i="10" s="1"/>
  <c r="BL57" i="10"/>
  <c r="BH57" i="10"/>
  <c r="BG57" i="10"/>
  <c r="BI57" i="10" s="1"/>
  <c r="BN56" i="10"/>
  <c r="BM56" i="10"/>
  <c r="BL56" i="10"/>
  <c r="BI56" i="10"/>
  <c r="BH56" i="10"/>
  <c r="BG56" i="10"/>
  <c r="BM55" i="10"/>
  <c r="BL55" i="10"/>
  <c r="BN55" i="10" s="1"/>
  <c r="BH55" i="10"/>
  <c r="BG55" i="10"/>
  <c r="BI55" i="10" s="1"/>
  <c r="BM54" i="10"/>
  <c r="BL54" i="10"/>
  <c r="BN54" i="10" s="1"/>
  <c r="BH54" i="10"/>
  <c r="BI54" i="10" s="1"/>
  <c r="BG54" i="10"/>
  <c r="BM53" i="10"/>
  <c r="BN53" i="10" s="1"/>
  <c r="BL53" i="10"/>
  <c r="BH53" i="10"/>
  <c r="BG53" i="10"/>
  <c r="BI53" i="10" s="1"/>
  <c r="BN52" i="10"/>
  <c r="BM52" i="10"/>
  <c r="BL52" i="10"/>
  <c r="BI52" i="10"/>
  <c r="BH52" i="10"/>
  <c r="BG52" i="10"/>
  <c r="BM51" i="10"/>
  <c r="BL51" i="10"/>
  <c r="BN51" i="10" s="1"/>
  <c r="BH51" i="10"/>
  <c r="BG51" i="10"/>
  <c r="BI51" i="10" s="1"/>
  <c r="BM50" i="10"/>
  <c r="BL50" i="10"/>
  <c r="BN50" i="10" s="1"/>
  <c r="BH50" i="10"/>
  <c r="BI50" i="10" s="1"/>
  <c r="BG50" i="10"/>
  <c r="BM49" i="10"/>
  <c r="BN49" i="10" s="1"/>
  <c r="BL49" i="10"/>
  <c r="BH49" i="10"/>
  <c r="BG49" i="10"/>
  <c r="BI49" i="10" s="1"/>
  <c r="BN48" i="10"/>
  <c r="BM48" i="10"/>
  <c r="BL48" i="10"/>
  <c r="BI48" i="10"/>
  <c r="BH48" i="10"/>
  <c r="BG48" i="10"/>
  <c r="BM47" i="10"/>
  <c r="BL47" i="10"/>
  <c r="BN47" i="10" s="1"/>
  <c r="BH47" i="10"/>
  <c r="BG47" i="10"/>
  <c r="BI47" i="10" s="1"/>
  <c r="BM46" i="10"/>
  <c r="BL46" i="10"/>
  <c r="BN46" i="10" s="1"/>
  <c r="BH46" i="10"/>
  <c r="BI46" i="10" s="1"/>
  <c r="BG46" i="10"/>
  <c r="BM45" i="10"/>
  <c r="BN45" i="10" s="1"/>
  <c r="BL45" i="10"/>
  <c r="BH45" i="10"/>
  <c r="BG45" i="10"/>
  <c r="BI45" i="10" s="1"/>
  <c r="BN44" i="10"/>
  <c r="BM44" i="10"/>
  <c r="BL44" i="10"/>
  <c r="BI44" i="10"/>
  <c r="BH44" i="10"/>
  <c r="BG44" i="10"/>
  <c r="BM43" i="10"/>
  <c r="BL43" i="10"/>
  <c r="BN43" i="10" s="1"/>
  <c r="BH43" i="10"/>
  <c r="BG43" i="10"/>
  <c r="BI43" i="10" s="1"/>
  <c r="BM42" i="10"/>
  <c r="BL42" i="10"/>
  <c r="BN42" i="10" s="1"/>
  <c r="BH42" i="10"/>
  <c r="BI42" i="10" s="1"/>
  <c r="BG42" i="10"/>
  <c r="BM41" i="10"/>
  <c r="BN41" i="10" s="1"/>
  <c r="BL41" i="10"/>
  <c r="BH41" i="10"/>
  <c r="BG41" i="10"/>
  <c r="BI41" i="10" s="1"/>
  <c r="BN40" i="10"/>
  <c r="BM40" i="10"/>
  <c r="BL40" i="10"/>
  <c r="BI40" i="10"/>
  <c r="BH40" i="10"/>
  <c r="BG40" i="10"/>
  <c r="BM39" i="10"/>
  <c r="BL39" i="10"/>
  <c r="BN39" i="10" s="1"/>
  <c r="BH39" i="10"/>
  <c r="BG39" i="10"/>
  <c r="BI39" i="10" s="1"/>
  <c r="BM38" i="10"/>
  <c r="BL38" i="10"/>
  <c r="BN38" i="10" s="1"/>
  <c r="BH38" i="10"/>
  <c r="BI38" i="10" s="1"/>
  <c r="BG38" i="10"/>
  <c r="BM37" i="10"/>
  <c r="BN37" i="10" s="1"/>
  <c r="BL37" i="10"/>
  <c r="BH37" i="10"/>
  <c r="BG37" i="10"/>
  <c r="BI37" i="10" s="1"/>
  <c r="BN36" i="10"/>
  <c r="BM36" i="10"/>
  <c r="BL36" i="10"/>
  <c r="BI36" i="10"/>
  <c r="BH36" i="10"/>
  <c r="BG36" i="10"/>
  <c r="BM35" i="10"/>
  <c r="BL35" i="10"/>
  <c r="BN35" i="10" s="1"/>
  <c r="BH35" i="10"/>
  <c r="BG35" i="10"/>
  <c r="BI35" i="10" s="1"/>
  <c r="BM34" i="10"/>
  <c r="BL34" i="10"/>
  <c r="BN34" i="10" s="1"/>
  <c r="BH34" i="10"/>
  <c r="BI34" i="10" s="1"/>
  <c r="BG34" i="10"/>
  <c r="BM33" i="10"/>
  <c r="BN33" i="10" s="1"/>
  <c r="BL33" i="10"/>
  <c r="BH33" i="10"/>
  <c r="BG33" i="10"/>
  <c r="BI33" i="10" s="1"/>
  <c r="BN32" i="10"/>
  <c r="BM32" i="10"/>
  <c r="BL32" i="10"/>
  <c r="BI32" i="10"/>
  <c r="BH32" i="10"/>
  <c r="BG32" i="10"/>
  <c r="BM31" i="10"/>
  <c r="BL31" i="10"/>
  <c r="BN31" i="10" s="1"/>
  <c r="BH31" i="10"/>
  <c r="BG31" i="10"/>
  <c r="BI31" i="10" s="1"/>
  <c r="BM30" i="10"/>
  <c r="BL30" i="10"/>
  <c r="BN30" i="10" s="1"/>
  <c r="BH30" i="10"/>
  <c r="BI30" i="10" s="1"/>
  <c r="BG30" i="10"/>
  <c r="BM29" i="10"/>
  <c r="BN29" i="10" s="1"/>
  <c r="BL29" i="10"/>
  <c r="BH29" i="10"/>
  <c r="BG29" i="10"/>
  <c r="BI29" i="10" s="1"/>
  <c r="BN28" i="10"/>
  <c r="BM28" i="10"/>
  <c r="BL28" i="10"/>
  <c r="BI28" i="10"/>
  <c r="BH28" i="10"/>
  <c r="BG28" i="10"/>
  <c r="BM27" i="10"/>
  <c r="BL27" i="10"/>
  <c r="BN27" i="10" s="1"/>
  <c r="BH27" i="10"/>
  <c r="BG27" i="10"/>
  <c r="BI27" i="10" s="1"/>
  <c r="BM26" i="10"/>
  <c r="BL26" i="10"/>
  <c r="BN26" i="10" s="1"/>
  <c r="BH26" i="10"/>
  <c r="BI26" i="10" s="1"/>
  <c r="BG26" i="10"/>
  <c r="BM25" i="10"/>
  <c r="BN25" i="10" s="1"/>
  <c r="BL25" i="10"/>
  <c r="BH25" i="10"/>
  <c r="BG25" i="10"/>
  <c r="BI25" i="10" s="1"/>
  <c r="BN24" i="10"/>
  <c r="BM24" i="10"/>
  <c r="BL24" i="10"/>
  <c r="BI24" i="10"/>
  <c r="BH24" i="10"/>
  <c r="BG24" i="10"/>
  <c r="BM23" i="10"/>
  <c r="BL23" i="10"/>
  <c r="BN23" i="10" s="1"/>
  <c r="BH23" i="10"/>
  <c r="BG23" i="10"/>
  <c r="BI23" i="10" s="1"/>
  <c r="BM22" i="10"/>
  <c r="BL22" i="10"/>
  <c r="BN22" i="10" s="1"/>
  <c r="BH22" i="10"/>
  <c r="BI22" i="10" s="1"/>
  <c r="BG22" i="10"/>
  <c r="BM21" i="10"/>
  <c r="BN21" i="10" s="1"/>
  <c r="BL21" i="10"/>
  <c r="BH21" i="10"/>
  <c r="BG21" i="10"/>
  <c r="BI21" i="10" s="1"/>
  <c r="BN20" i="10"/>
  <c r="BM20" i="10"/>
  <c r="BL20" i="10"/>
  <c r="BI20" i="10"/>
  <c r="BH20" i="10"/>
  <c r="BG20" i="10"/>
  <c r="BM19" i="10"/>
  <c r="BL19" i="10"/>
  <c r="BN19" i="10" s="1"/>
  <c r="BH19" i="10"/>
  <c r="BG19" i="10"/>
  <c r="BI19" i="10" s="1"/>
  <c r="BM18" i="10"/>
  <c r="BL18" i="10"/>
  <c r="BN18" i="10" s="1"/>
  <c r="BH18" i="10"/>
  <c r="BI18" i="10" s="1"/>
  <c r="BG18" i="10"/>
  <c r="BM17" i="10"/>
  <c r="BN17" i="10" s="1"/>
  <c r="BL17" i="10"/>
  <c r="BH17" i="10"/>
  <c r="BG17" i="10"/>
  <c r="BI17" i="10" s="1"/>
  <c r="BN16" i="10"/>
  <c r="BM16" i="10"/>
  <c r="BL16" i="10"/>
  <c r="BI16" i="10"/>
  <c r="BH16" i="10"/>
  <c r="BG16" i="10"/>
  <c r="BM15" i="10"/>
  <c r="BL15" i="10"/>
  <c r="BN15" i="10" s="1"/>
  <c r="BH15" i="10"/>
  <c r="BG15" i="10"/>
  <c r="BI15" i="10" s="1"/>
  <c r="BM14" i="10"/>
  <c r="BL14" i="10"/>
  <c r="BN14" i="10" s="1"/>
  <c r="BH14" i="10"/>
  <c r="BI14" i="10" s="1"/>
  <c r="BG14" i="10"/>
  <c r="BM13" i="10"/>
  <c r="BN13" i="10" s="1"/>
  <c r="BL13" i="10"/>
  <c r="BH13" i="10"/>
  <c r="BG13" i="10"/>
  <c r="BI13" i="10" s="1"/>
  <c r="BN12" i="10"/>
  <c r="BM12" i="10"/>
  <c r="BL12" i="10"/>
  <c r="BI12" i="10"/>
  <c r="BH12" i="10"/>
  <c r="BG12" i="10"/>
  <c r="BM11" i="10"/>
  <c r="BL11" i="10"/>
  <c r="BN11" i="10" s="1"/>
  <c r="BH11" i="10"/>
  <c r="BG11" i="10"/>
  <c r="BI11" i="10" s="1"/>
  <c r="BM10" i="10"/>
  <c r="BL10" i="10"/>
  <c r="BN10" i="10" s="1"/>
  <c r="BH10" i="10"/>
  <c r="BI10" i="10" s="1"/>
  <c r="BG10" i="10"/>
  <c r="BM9" i="10"/>
  <c r="BN9" i="10" s="1"/>
  <c r="BL9" i="10"/>
  <c r="BH9" i="10"/>
  <c r="BG9" i="10"/>
  <c r="BI9" i="10" s="1"/>
  <c r="BN8" i="10"/>
  <c r="BM8" i="10"/>
  <c r="BL8" i="10"/>
  <c r="BI8" i="10"/>
  <c r="BH8" i="10"/>
  <c r="BG8" i="10"/>
  <c r="BM7" i="10"/>
  <c r="BL7" i="10"/>
  <c r="BN7" i="10" s="1"/>
  <c r="BH7" i="10"/>
  <c r="BG7" i="10"/>
  <c r="BM6" i="10"/>
  <c r="BL6" i="10"/>
  <c r="BN6" i="10" s="1"/>
  <c r="BH6" i="10"/>
  <c r="BI6" i="10" s="1"/>
  <c r="BG6" i="10"/>
  <c r="BM5" i="10"/>
  <c r="BN5" i="10" s="1"/>
  <c r="BL5" i="10"/>
  <c r="BH5" i="10"/>
  <c r="BG5" i="10"/>
  <c r="BI5" i="10" s="1"/>
  <c r="BM4" i="10"/>
  <c r="BL4" i="10"/>
  <c r="BN4" i="10" s="1"/>
  <c r="BI4" i="10"/>
  <c r="BH4" i="10"/>
  <c r="BG4" i="10"/>
  <c r="BM3" i="10"/>
  <c r="BL3" i="10"/>
  <c r="BN3" i="10" s="1"/>
  <c r="BH3" i="10"/>
  <c r="BG3" i="10"/>
  <c r="BI3" i="10" s="1"/>
  <c r="BM2" i="10"/>
  <c r="BL2" i="10"/>
  <c r="BN2" i="10" s="1"/>
  <c r="BH2" i="10"/>
  <c r="BI2" i="10" s="1"/>
  <c r="BG2" i="10"/>
  <c r="BM1" i="10"/>
  <c r="BN1" i="10" s="1"/>
  <c r="BL1" i="10"/>
  <c r="BH1" i="10"/>
  <c r="BG1" i="10"/>
  <c r="BI1" i="10" s="1"/>
  <c r="D209" i="10" l="1"/>
  <c r="BI7" i="10"/>
  <c r="E210" i="10" s="1"/>
  <c r="BI104" i="10"/>
  <c r="BI128" i="10"/>
  <c r="BI144" i="10"/>
  <c r="BI160" i="10"/>
  <c r="BI176" i="10"/>
  <c r="BI192" i="10"/>
  <c r="BN224" i="10"/>
  <c r="D286" i="10" s="1"/>
  <c r="BN230" i="10"/>
  <c r="BN256" i="10"/>
  <c r="BN262" i="10"/>
  <c r="BI292" i="10"/>
  <c r="BI460" i="10"/>
  <c r="BN477" i="10"/>
  <c r="BN497" i="10"/>
  <c r="BI504" i="10"/>
  <c r="BN552" i="10"/>
  <c r="BN622" i="10"/>
  <c r="BI660" i="10"/>
  <c r="BI706" i="10"/>
  <c r="BI711" i="10"/>
  <c r="BI736" i="10"/>
  <c r="BN778" i="10"/>
  <c r="BI116" i="10"/>
  <c r="E209" i="10" s="1"/>
  <c r="BI196" i="10"/>
  <c r="BI215" i="10"/>
  <c r="BN228" i="10"/>
  <c r="BN234" i="10"/>
  <c r="BN260" i="10"/>
  <c r="BI273" i="10"/>
  <c r="BI281" i="10"/>
  <c r="BI289" i="10"/>
  <c r="BI299" i="10"/>
  <c r="BI307" i="10"/>
  <c r="BI315" i="10"/>
  <c r="BI323" i="10"/>
  <c r="BI331" i="10"/>
  <c r="BI339" i="10"/>
  <c r="BI347" i="10"/>
  <c r="BI355" i="10"/>
  <c r="BI363" i="10"/>
  <c r="BI371" i="10"/>
  <c r="BI379" i="10"/>
  <c r="BI387" i="10"/>
  <c r="BI395" i="10"/>
  <c r="BI403" i="10"/>
  <c r="BI411" i="10"/>
  <c r="BI419" i="10"/>
  <c r="BI427" i="10"/>
  <c r="BI435" i="10"/>
  <c r="BI443" i="10"/>
  <c r="BN454" i="10"/>
  <c r="BN472" i="10"/>
  <c r="BI492" i="10"/>
  <c r="BN509" i="10"/>
  <c r="BN529" i="10"/>
  <c r="BI536" i="10"/>
  <c r="BN589" i="10"/>
  <c r="BI639" i="10"/>
  <c r="BI648" i="10"/>
  <c r="BN728" i="10"/>
  <c r="BI450" i="10"/>
  <c r="BI482" i="10"/>
  <c r="BI514" i="10"/>
  <c r="BI558" i="10"/>
  <c r="BN569" i="10"/>
  <c r="BN601" i="10"/>
  <c r="BI623" i="10"/>
  <c r="BN642" i="10"/>
  <c r="BN654" i="10"/>
  <c r="BN660" i="10"/>
  <c r="BI676" i="10"/>
  <c r="BI695" i="10"/>
  <c r="BN706" i="10"/>
  <c r="BI734" i="10"/>
  <c r="BN760" i="10"/>
  <c r="BN802" i="10"/>
  <c r="BI808" i="10"/>
  <c r="BN820" i="10"/>
  <c r="BN908" i="10"/>
  <c r="BI914" i="10"/>
  <c r="BI1475" i="10"/>
  <c r="BI466" i="10"/>
  <c r="BI498" i="10"/>
  <c r="BI530" i="10"/>
  <c r="BI550" i="10"/>
  <c r="BI566" i="10"/>
  <c r="BN596" i="10"/>
  <c r="BI616" i="10"/>
  <c r="BI622" i="10"/>
  <c r="BI628" i="10"/>
  <c r="BI634" i="10"/>
  <c r="BI646" i="10"/>
  <c r="BN653" i="10"/>
  <c r="BN665" i="10"/>
  <c r="BI675" i="10"/>
  <c r="BN685" i="10"/>
  <c r="BI699" i="10"/>
  <c r="BN721" i="10"/>
  <c r="BI730" i="10"/>
  <c r="BN741" i="10"/>
  <c r="BI462" i="10"/>
  <c r="BI494" i="10"/>
  <c r="BI526" i="10"/>
  <c r="BN544" i="10"/>
  <c r="BI582" i="10"/>
  <c r="BN608" i="10"/>
  <c r="BN692" i="10"/>
  <c r="BN782" i="10"/>
  <c r="BN821" i="10"/>
  <c r="BN837" i="10"/>
  <c r="BI846" i="10"/>
  <c r="BI955" i="10"/>
  <c r="BN1038" i="10"/>
  <c r="BI1072" i="10"/>
  <c r="BI1449" i="10"/>
  <c r="BI594" i="10"/>
  <c r="BI626" i="10"/>
  <c r="BI658" i="10"/>
  <c r="BI682" i="10"/>
  <c r="BI712" i="10"/>
  <c r="BI742" i="10"/>
  <c r="BN749" i="10"/>
  <c r="BI766" i="10"/>
  <c r="BN773" i="10"/>
  <c r="BI834" i="10"/>
  <c r="BI839" i="10"/>
  <c r="BN849" i="10"/>
  <c r="BI862" i="10"/>
  <c r="BI878" i="10"/>
  <c r="BI1056" i="10"/>
  <c r="BI1109" i="10"/>
  <c r="BI1118" i="10"/>
  <c r="BN724" i="10"/>
  <c r="BN730" i="10"/>
  <c r="BI738" i="10"/>
  <c r="BN748" i="10"/>
  <c r="BI762" i="10"/>
  <c r="BI768" i="10"/>
  <c r="BI815" i="10"/>
  <c r="BN853" i="10"/>
  <c r="BI882" i="10"/>
  <c r="BI887" i="10"/>
  <c r="BN901" i="10"/>
  <c r="BI983" i="10"/>
  <c r="BI1034" i="10"/>
  <c r="BI1098" i="10"/>
  <c r="BI542" i="10"/>
  <c r="BI574" i="10"/>
  <c r="BI606" i="10"/>
  <c r="BI638" i="10"/>
  <c r="BI670" i="10"/>
  <c r="BI683" i="10"/>
  <c r="BI719" i="10"/>
  <c r="BN738" i="10"/>
  <c r="BI743" i="10"/>
  <c r="BN756" i="10"/>
  <c r="BN762" i="10"/>
  <c r="BI770" i="10"/>
  <c r="BN780" i="10"/>
  <c r="BI794" i="10"/>
  <c r="BI800" i="10"/>
  <c r="BI835" i="10"/>
  <c r="BN869" i="10"/>
  <c r="BN924" i="10"/>
  <c r="BI1018" i="10"/>
  <c r="BI1082" i="10"/>
  <c r="BN1130" i="10"/>
  <c r="BI1134" i="10"/>
  <c r="BI1529" i="10"/>
  <c r="BI690" i="10"/>
  <c r="BI722" i="10"/>
  <c r="BI754" i="10"/>
  <c r="BI786" i="10"/>
  <c r="BI818" i="10"/>
  <c r="BN940" i="10"/>
  <c r="BN972" i="10"/>
  <c r="BN1004" i="10"/>
  <c r="BN1160" i="10"/>
  <c r="BI1419" i="10"/>
  <c r="BI1771" i="10"/>
  <c r="BI714" i="10"/>
  <c r="BI746" i="10"/>
  <c r="BI778" i="10"/>
  <c r="BI810" i="10"/>
  <c r="BN948" i="10"/>
  <c r="BN980" i="10"/>
  <c r="BN1135" i="10"/>
  <c r="BI1139" i="10"/>
  <c r="BI1022" i="10"/>
  <c r="BN1033" i="10"/>
  <c r="BI1038" i="10"/>
  <c r="BN1049" i="10"/>
  <c r="BI1054" i="10"/>
  <c r="BN1065" i="10"/>
  <c r="BI1070" i="10"/>
  <c r="BN1081" i="10"/>
  <c r="BI1086" i="10"/>
  <c r="BN1097" i="10"/>
  <c r="BN1108" i="10"/>
  <c r="BN1147" i="10"/>
  <c r="BN1194" i="10"/>
  <c r="BI1502" i="10"/>
  <c r="BI1542" i="10"/>
  <c r="BI1705" i="10"/>
  <c r="BI1774" i="10"/>
  <c r="BN1021" i="10"/>
  <c r="BI1026" i="10"/>
  <c r="BN1037" i="10"/>
  <c r="BI1042" i="10"/>
  <c r="BN1053" i="10"/>
  <c r="BI1058" i="10"/>
  <c r="BN1069" i="10"/>
  <c r="BI1074" i="10"/>
  <c r="BN1085" i="10"/>
  <c r="BI1090" i="10"/>
  <c r="BI1141" i="10"/>
  <c r="BI1155" i="10"/>
  <c r="BN1178" i="10"/>
  <c r="BN1219" i="10"/>
  <c r="BI1243" i="10"/>
  <c r="BI1267" i="10"/>
  <c r="BI1307" i="10"/>
  <c r="BI1417" i="10"/>
  <c r="BI1441" i="10"/>
  <c r="BI1451" i="10"/>
  <c r="BI1739" i="10"/>
  <c r="BN1118" i="10"/>
  <c r="BN1150" i="10"/>
  <c r="BN1174" i="10"/>
  <c r="BN1190" i="10"/>
  <c r="BN1206" i="10"/>
  <c r="BI1253" i="10"/>
  <c r="BI1361" i="10"/>
  <c r="BI1377" i="10"/>
  <c r="BI1387" i="10"/>
  <c r="BI1454" i="10"/>
  <c r="BI1609" i="10"/>
  <c r="BI1641" i="10"/>
  <c r="BI1657" i="10"/>
  <c r="BI1849" i="10"/>
  <c r="BN1106" i="10"/>
  <c r="BN1138" i="10"/>
  <c r="BN1235" i="10"/>
  <c r="BI1289" i="10"/>
  <c r="BI1321" i="10"/>
  <c r="BI1337" i="10"/>
  <c r="BI1553" i="10"/>
  <c r="BI1569" i="10"/>
  <c r="BI1579" i="10"/>
  <c r="BI1646" i="10"/>
  <c r="BI1801" i="10"/>
  <c r="BN1102" i="10"/>
  <c r="BN1134" i="10"/>
  <c r="BN1166" i="10"/>
  <c r="BN1182" i="10"/>
  <c r="BN1198" i="10"/>
  <c r="BN1214" i="10"/>
  <c r="BN1226" i="10"/>
  <c r="BI1234" i="10"/>
  <c r="BI1353" i="10"/>
  <c r="BI1385" i="10"/>
  <c r="BI1401" i="10"/>
  <c r="BI1617" i="10"/>
  <c r="BI1633" i="10"/>
  <c r="BI1643" i="10"/>
  <c r="BI1710" i="10"/>
  <c r="BI1838" i="10"/>
  <c r="BN1238" i="10"/>
  <c r="BI1305" i="10"/>
  <c r="BI1369" i="10"/>
  <c r="BI1433" i="10"/>
  <c r="BI1497" i="10"/>
  <c r="BI1561" i="10"/>
  <c r="BI1625" i="10"/>
  <c r="BI1689" i="10"/>
  <c r="BI1753" i="10"/>
  <c r="BI1817" i="10"/>
  <c r="BN1234" i="10"/>
  <c r="BI1281" i="10"/>
  <c r="BI1345" i="10"/>
  <c r="BI1409" i="10"/>
  <c r="BI1473" i="10"/>
  <c r="BI1537" i="10"/>
  <c r="BI1601" i="10"/>
  <c r="BI1665" i="10"/>
  <c r="BI1729" i="10"/>
  <c r="BI1793" i="10"/>
  <c r="BI1857" i="10"/>
  <c r="E214" i="10" l="1"/>
  <c r="E221" i="10"/>
  <c r="D214" i="10"/>
  <c r="D210" i="10"/>
  <c r="E220" i="10" s="1"/>
  <c r="E223" i="10" s="1"/>
  <c r="D287" i="10"/>
  <c r="E297" i="10" s="1"/>
  <c r="E287" i="10"/>
  <c r="E286" i="10"/>
  <c r="D291" i="10" s="1"/>
  <c r="F291" i="10" l="1"/>
  <c r="E292" i="10"/>
  <c r="E291" i="10"/>
  <c r="E293" i="10" s="1"/>
  <c r="D216" i="10"/>
  <c r="F214" i="10"/>
  <c r="E215" i="10"/>
  <c r="E216" i="10" s="1"/>
  <c r="D292" i="10"/>
  <c r="F292" i="10" s="1"/>
  <c r="E299" i="10"/>
  <c r="E298" i="10"/>
  <c r="E300" i="10" s="1"/>
  <c r="D215" i="10"/>
  <c r="E222" i="10"/>
  <c r="F216" i="10" l="1"/>
  <c r="F215" i="10"/>
  <c r="D293" i="10"/>
  <c r="F293" i="10" s="1"/>
</calcChain>
</file>

<file path=xl/sharedStrings.xml><?xml version="1.0" encoding="utf-8"?>
<sst xmlns="http://schemas.openxmlformats.org/spreadsheetml/2006/main" count="1142" uniqueCount="201">
  <si>
    <t>Age</t>
  </si>
  <si>
    <t>Female</t>
  </si>
  <si>
    <t>Lengthofstay</t>
  </si>
  <si>
    <t>Nchronic</t>
  </si>
  <si>
    <t>NPR</t>
  </si>
  <si>
    <t>Race</t>
  </si>
  <si>
    <t>Totalcharges</t>
  </si>
  <si>
    <t>ORProc</t>
  </si>
  <si>
    <t>Readmit</t>
  </si>
  <si>
    <t>Date: 26-May-2017 11:34:38</t>
  </si>
  <si>
    <t>Model</t>
  </si>
  <si>
    <t>Classification Tree</t>
  </si>
  <si>
    <t>Node ID</t>
  </si>
  <si>
    <t>Class</t>
  </si>
  <si>
    <t>Decision Node?</t>
  </si>
  <si>
    <t>Tree Type</t>
  </si>
  <si>
    <t>FullGrown</t>
  </si>
  <si>
    <t># Selected Input Variables</t>
  </si>
  <si>
    <t>Class Labels</t>
  </si>
  <si>
    <t>I3:J3</t>
  </si>
  <si>
    <t>F4:F94</t>
  </si>
  <si>
    <t>Node Class Label</t>
  </si>
  <si>
    <t>G4:G94</t>
  </si>
  <si>
    <t>Node Type</t>
  </si>
  <si>
    <t>H4:H94</t>
  </si>
  <si>
    <t>Probability Matrix</t>
  </si>
  <si>
    <t>I4:J94</t>
  </si>
  <si>
    <t>Decision Node ID</t>
  </si>
  <si>
    <t>F98:F142</t>
  </si>
  <si>
    <t>Split Variable Name</t>
  </si>
  <si>
    <t>G98:G142</t>
  </si>
  <si>
    <t>Split Variable Index</t>
  </si>
  <si>
    <t>H98:H142</t>
  </si>
  <si>
    <t>Split Value</t>
  </si>
  <si>
    <t>I98:I142</t>
  </si>
  <si>
    <t>Split Sets</t>
  </si>
  <si>
    <t>J98:J142</t>
  </si>
  <si>
    <t>Left Child ID</t>
  </si>
  <si>
    <t>K98:K142</t>
  </si>
  <si>
    <t>Right Child ID</t>
  </si>
  <si>
    <t>L98:L142</t>
  </si>
  <si>
    <t>Selected Variables</t>
  </si>
  <si>
    <t>G145:O145</t>
  </si>
  <si>
    <t>Variable Role</t>
  </si>
  <si>
    <t>G146:O146</t>
  </si>
  <si>
    <t>Variables Offsets</t>
  </si>
  <si>
    <t>G147:O147</t>
  </si>
  <si>
    <t>Selected Input Variable Indices</t>
  </si>
  <si>
    <t>G148:N148</t>
  </si>
  <si>
    <t>Success Class Index</t>
  </si>
  <si>
    <t>Success Probability Threshold</t>
  </si>
  <si>
    <t>SplitVar</t>
  </si>
  <si>
    <t>SplitVar Index</t>
  </si>
  <si>
    <t>SplitValue</t>
  </si>
  <si>
    <t>SplitSet</t>
  </si>
  <si>
    <t>LeftChild</t>
  </si>
  <si>
    <t>RightChild</t>
  </si>
  <si>
    <t>Empty</t>
  </si>
  <si>
    <t>Variable Roles</t>
  </si>
  <si>
    <t>Scale Input</t>
  </si>
  <si>
    <t>Output</t>
  </si>
  <si>
    <t>Variable Offsets</t>
  </si>
  <si>
    <t>Input Variable Indices</t>
  </si>
  <si>
    <t>BestPruned</t>
  </si>
  <si>
    <t>I151:J151</t>
  </si>
  <si>
    <t>F152:F198</t>
  </si>
  <si>
    <t>G152:G198</t>
  </si>
  <si>
    <t>H152:H198</t>
  </si>
  <si>
    <t>I152:J198</t>
  </si>
  <si>
    <t>F202:F224</t>
  </si>
  <si>
    <t>G202:G224</t>
  </si>
  <si>
    <t>H202:H224</t>
  </si>
  <si>
    <t>I202:I224</t>
  </si>
  <si>
    <t>J202:J224</t>
  </si>
  <si>
    <t>K202:K224</t>
  </si>
  <si>
    <t>L202:L224</t>
  </si>
  <si>
    <t>G227:O227</t>
  </si>
  <si>
    <t>G228:O228</t>
  </si>
  <si>
    <t>G229:O229</t>
  </si>
  <si>
    <t>G230:N230</t>
  </si>
  <si>
    <t>XLMiner : Classification Tree Classification - Lift Chart for Validation Data</t>
  </si>
  <si>
    <t>Output Navigator</t>
  </si>
  <si>
    <t>Elapsed Times in Milliseconds</t>
  </si>
  <si>
    <t>Reading Data</t>
  </si>
  <si>
    <t>Computation</t>
  </si>
  <si>
    <t>Writing Data</t>
  </si>
  <si>
    <t>Total</t>
  </si>
  <si>
    <t>Serial no.</t>
  </si>
  <si>
    <t>Predicted Readmit</t>
  </si>
  <si>
    <t>Actual Readmit</t>
  </si>
  <si>
    <t>Cumulative Readmit when sorted using predicted values</t>
  </si>
  <si>
    <t>Cumulative Readmit using average</t>
  </si>
  <si>
    <t>Deciles</t>
  </si>
  <si>
    <t>Decile mean / Global mean</t>
  </si>
  <si>
    <t>X</t>
  </si>
  <si>
    <t>Y0</t>
  </si>
  <si>
    <t>Y1</t>
  </si>
  <si>
    <t>Decile</t>
  </si>
  <si>
    <t>Mean</t>
  </si>
  <si>
    <t>Std.Dev.</t>
  </si>
  <si>
    <t>Min.</t>
  </si>
  <si>
    <t>Max.</t>
  </si>
  <si>
    <t>Full-Grown Tree</t>
  </si>
  <si>
    <t>Inputs</t>
  </si>
  <si>
    <t>Prior class probs</t>
  </si>
  <si>
    <t>Train Log</t>
  </si>
  <si>
    <t>Full-Grown Tree Rules</t>
  </si>
  <si>
    <t>Train. Score Summary.</t>
  </si>
  <si>
    <t>Best-Pruned Tree Rules</t>
  </si>
  <si>
    <t>Valid. Score Summary</t>
  </si>
  <si>
    <t>Prune Log</t>
  </si>
  <si>
    <t>Best-Pruned Tree</t>
  </si>
  <si>
    <t>CT Train. Lift Chart</t>
  </si>
  <si>
    <t>Train. Score Detail</t>
  </si>
  <si>
    <t>CT Valid. Lift Chart</t>
  </si>
  <si>
    <t>Valid. Score Detail</t>
  </si>
  <si>
    <t>XLMiner : Classification Tree Classification - Lift Chart for Training Data</t>
  </si>
  <si>
    <t>XLMiner : Classification Tree - Full-Grown Tree (Using Training Data)</t>
  </si>
  <si>
    <t>XLMiner : Classification Tree - Best-Pruned Tree (Using Validation Data)</t>
  </si>
  <si>
    <t>XLMiner : Classification Tree - Prune Log (Using Validation Data)</t>
  </si>
  <si>
    <t># Decision Nodes</t>
  </si>
  <si>
    <t>% Error</t>
  </si>
  <si>
    <t>&lt;-- Best Pruned</t>
  </si>
  <si>
    <t>&lt;-- Min Error Tree</t>
  </si>
  <si>
    <t>Std. Error %</t>
  </si>
  <si>
    <t>XLMiner : Classification Tree - Classification of Validation Data (Using Best Pruned Tree)</t>
  </si>
  <si>
    <t>Workbook</t>
  </si>
  <si>
    <t>Aalto Exam CART Problem.xlsx</t>
  </si>
  <si>
    <t>Worksheet</t>
  </si>
  <si>
    <t>Sheet1</t>
  </si>
  <si>
    <t>Cutoff probability value for success (UPDATABLE)</t>
  </si>
  <si>
    <t>Updating the value here will NOT update value in summary report</t>
  </si>
  <si>
    <t>Predicted
Class</t>
  </si>
  <si>
    <t>Actual
Class</t>
  </si>
  <si>
    <t>Prob. for
0</t>
  </si>
  <si>
    <t>Prob. for
1(success)</t>
  </si>
  <si>
    <t>XLMiner : Classification Tree - Classification of Training Data (Using Full-Grown Tree)</t>
  </si>
  <si>
    <t>XLMiner : Classification Tree</t>
  </si>
  <si>
    <t>Data</t>
  </si>
  <si>
    <t>Partitioning Method</t>
  </si>
  <si>
    <t>Random Partition</t>
  </si>
  <si>
    <t>Set Random Seed</t>
  </si>
  <si>
    <t>Seed Value</t>
  </si>
  <si>
    <t># Records in the training data</t>
  </si>
  <si>
    <t># Records in the validation data</t>
  </si>
  <si>
    <t>Variables</t>
  </si>
  <si>
    <t># Input Variables</t>
  </si>
  <si>
    <t>Input variables</t>
  </si>
  <si>
    <t>Output variable</t>
  </si>
  <si>
    <t>Parameters/Options</t>
  </si>
  <si>
    <t>Input variables normalized</t>
  </si>
  <si>
    <t>No</t>
  </si>
  <si>
    <t>Minimum # records in a terminal node</t>
  </si>
  <si>
    <t>Is pruning done</t>
  </si>
  <si>
    <t>Yes</t>
  </si>
  <si>
    <t>Max # levels displayed in tree drawing</t>
  </si>
  <si>
    <t>Draw full-grown tree</t>
  </si>
  <si>
    <t>Draw best-pruned tree</t>
  </si>
  <si>
    <t>Draw minimum-error tree</t>
  </si>
  <si>
    <t>Draw user-specified tree</t>
  </si>
  <si>
    <t>Output Options Chosen</t>
  </si>
  <si>
    <t>Summary report of scoring on training data</t>
  </si>
  <si>
    <t>Detailed report of scoring on training data</t>
  </si>
  <si>
    <t>Lift charts on training data</t>
  </si>
  <si>
    <t>Summary report of scoring on validation data</t>
  </si>
  <si>
    <t>Detailed report of scoring on validation data</t>
  </si>
  <si>
    <t>Lift charts on validation data</t>
  </si>
  <si>
    <t>Prior class probabilities</t>
  </si>
  <si>
    <t>Empirical prior probabilities</t>
  </si>
  <si>
    <t>Probability</t>
  </si>
  <si>
    <t>&lt;-- Success Class</t>
  </si>
  <si>
    <t>Training Log (Growing the full tree using training data)</t>
  </si>
  <si>
    <t>Full-Grown Tree Rules (Using Training Data)</t>
  </si>
  <si>
    <t>#Decision Nodes</t>
  </si>
  <si>
    <t>#Terminal Nodes</t>
  </si>
  <si>
    <t>NodeID</t>
  </si>
  <si>
    <t>Level</t>
  </si>
  <si>
    <t>ParentID</t>
  </si>
  <si>
    <t>SplitValue/Set</t>
  </si>
  <si>
    <t>Cases</t>
  </si>
  <si>
    <t>Misclassifications</t>
  </si>
  <si>
    <t>N/A</t>
  </si>
  <si>
    <t>Decision</t>
  </si>
  <si>
    <t>Terminal</t>
  </si>
  <si>
    <t>Training Data scoring - Summary Report (Using Full-Grown Tree)</t>
  </si>
  <si>
    <t>Updating the value here will NOT update value in detailed report</t>
  </si>
  <si>
    <t>Confusion Matrix</t>
  </si>
  <si>
    <t>Predicted Class</t>
  </si>
  <si>
    <t>Actual Class</t>
  </si>
  <si>
    <t>Error Report</t>
  </si>
  <si>
    <t># Cases</t>
  </si>
  <si>
    <t># Errors</t>
  </si>
  <si>
    <t>Overall</t>
  </si>
  <si>
    <t>Performance</t>
  </si>
  <si>
    <t>Success Class</t>
  </si>
  <si>
    <t>Precision</t>
  </si>
  <si>
    <t>Recall (Sensitivity)</t>
  </si>
  <si>
    <t>Specificity</t>
  </si>
  <si>
    <t>F1-Score</t>
  </si>
  <si>
    <t>Best-Pruned Tree Rules (Using Validation Data)</t>
  </si>
  <si>
    <t>Validation Data scoring - Summary Report (Using Best Pruned Tree)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</si>
</sst>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sz val="10"/>
      <color rgb="FF4169E1"/>
      <name val="Calibri"/>
      <family val="2"/>
      <scheme val="minor"/>
    </font>
    <font>
      <b/>
      <sz val="14"/>
      <color rgb="FF4169E1"/>
      <name val="Calibri"/>
      <family val="2"/>
      <scheme val="minor"/>
    </font>
    <font>
      <b/>
      <sz val="12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color rgb="FF000000"/>
      <name val="Calibri"/>
      <family val="2"/>
      <scheme val="minor"/>
    </font>
    <font>
      <sz val="8"/>
      <color rgb="FFFFFFFF"/>
      <name val="Calibri"/>
      <family val="2"/>
      <scheme val="minor"/>
    </font>
    <font>
      <b/>
      <sz val="14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EBEBFA"/>
        <bgColor indexed="64"/>
      </patternFill>
    </fill>
    <fill>
      <patternFill patternType="solid">
        <fgColor rgb="FFD3D3D3"/>
        <bgColor indexed="64"/>
      </patternFill>
    </fill>
    <fill>
      <patternFill patternType="solid">
        <fgColor rgb="FF538DD5"/>
        <bgColor indexed="64"/>
      </patternFill>
    </fill>
    <fill>
      <patternFill patternType="solid">
        <fgColor rgb="FF00FFFF"/>
        <bgColor indexed="64"/>
      </patternFill>
    </fill>
  </fills>
  <borders count="5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33">
    <xf numFmtId="0" fontId="0" fillId="0" borderId="0" xfId="0"/>
    <xf numFmtId="0" fontId="0" fillId="0" borderId="1" xfId="0" applyFont="1" applyFill="1" applyBorder="1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left"/>
    </xf>
    <xf numFmtId="0" fontId="2" fillId="0" borderId="0" xfId="0" applyFont="1" applyAlignment="1">
      <alignment horizontal="left"/>
    </xf>
    <xf numFmtId="0" fontId="0" fillId="2" borderId="0" xfId="0" applyFill="1"/>
    <xf numFmtId="0" fontId="0" fillId="3" borderId="0" xfId="0" applyFill="1"/>
    <xf numFmtId="0" fontId="0" fillId="0" borderId="2" xfId="0" applyFont="1" applyFill="1" applyBorder="1"/>
    <xf numFmtId="0" fontId="0" fillId="0" borderId="3" xfId="0" applyFont="1" applyFill="1" applyBorder="1"/>
    <xf numFmtId="0" fontId="3" fillId="3" borderId="2" xfId="0" applyFont="1" applyFill="1" applyBorder="1" applyAlignment="1">
      <alignment horizontal="left"/>
    </xf>
    <xf numFmtId="0" fontId="3" fillId="3" borderId="4" xfId="0" applyFont="1" applyFill="1" applyBorder="1" applyAlignment="1">
      <alignment horizontal="left"/>
    </xf>
    <xf numFmtId="0" fontId="3" fillId="3" borderId="3" xfId="0" applyFont="1" applyFill="1" applyBorder="1" applyAlignment="1">
      <alignment horizontal="left"/>
    </xf>
    <xf numFmtId="0" fontId="4" fillId="0" borderId="2" xfId="1" applyFill="1" applyBorder="1"/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6" fillId="4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wrapText="1"/>
    </xf>
    <xf numFmtId="0" fontId="0" fillId="5" borderId="1" xfId="0" applyFont="1" applyFill="1" applyBorder="1"/>
    <xf numFmtId="0" fontId="0" fillId="0" borderId="4" xfId="0" applyFont="1" applyFill="1" applyBorder="1"/>
    <xf numFmtId="0" fontId="5" fillId="2" borderId="2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7" fillId="0" borderId="0" xfId="0" applyFont="1" applyAlignment="1">
      <alignment horizontal="left"/>
    </xf>
    <xf numFmtId="0" fontId="0" fillId="0" borderId="1" xfId="0" applyFont="1" applyFill="1" applyBorder="1" applyAlignment="1">
      <alignment horizontal="left"/>
    </xf>
    <xf numFmtId="0" fontId="0" fillId="0" borderId="1" xfId="0" applyFont="1" applyFill="1" applyBorder="1" applyAlignment="1">
      <alignment horizontal="center"/>
    </xf>
    <xf numFmtId="0" fontId="0" fillId="0" borderId="1" xfId="0" applyFont="1" applyFill="1" applyBorder="1" applyAlignment="1">
      <alignment horizontal="right"/>
    </xf>
    <xf numFmtId="0" fontId="1" fillId="2" borderId="4" xfId="0" applyFont="1" applyFill="1" applyBorder="1" applyAlignment="1">
      <alignment horizontal="left"/>
    </xf>
    <xf numFmtId="0" fontId="0" fillId="0" borderId="2" xfId="0" applyFont="1" applyFill="1" applyBorder="1" applyAlignment="1">
      <alignment horizontal="left"/>
    </xf>
    <xf numFmtId="0" fontId="0" fillId="0" borderId="4" xfId="0" applyFont="1" applyFill="1" applyBorder="1" applyAlignment="1">
      <alignment horizontal="left"/>
    </xf>
    <xf numFmtId="0" fontId="0" fillId="0" borderId="3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Lift chart (training dataset)</a:t>
            </a:r>
          </a:p>
        </c:rich>
      </c:tx>
      <c:overlay val="0"/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Cumulative Readmit when sorted using predicted values</c:v>
          </c:tx>
          <c:spPr>
            <a:ln w="6350"/>
          </c:spPr>
          <c:marker>
            <c:symbol val="none"/>
          </c:marker>
          <c:xVal>
            <c:numRef>
              <c:f>CT_TrainingLiftChart!$AZ$4:$AZ$1863</c:f>
              <c:numCache>
                <c:formatCode>General</c:formatCode>
                <c:ptCount val="18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  <c:pt idx="1200">
                  <c:v>1201</c:v>
                </c:pt>
                <c:pt idx="1201">
                  <c:v>1202</c:v>
                </c:pt>
                <c:pt idx="1202">
                  <c:v>1203</c:v>
                </c:pt>
                <c:pt idx="1203">
                  <c:v>1204</c:v>
                </c:pt>
                <c:pt idx="1204">
                  <c:v>1205</c:v>
                </c:pt>
                <c:pt idx="1205">
                  <c:v>1206</c:v>
                </c:pt>
                <c:pt idx="1206">
                  <c:v>1207</c:v>
                </c:pt>
                <c:pt idx="1207">
                  <c:v>1208</c:v>
                </c:pt>
                <c:pt idx="1208">
                  <c:v>1209</c:v>
                </c:pt>
                <c:pt idx="1209">
                  <c:v>1210</c:v>
                </c:pt>
                <c:pt idx="1210">
                  <c:v>1211</c:v>
                </c:pt>
                <c:pt idx="1211">
                  <c:v>1212</c:v>
                </c:pt>
                <c:pt idx="1212">
                  <c:v>1213</c:v>
                </c:pt>
                <c:pt idx="1213">
                  <c:v>1214</c:v>
                </c:pt>
                <c:pt idx="1214">
                  <c:v>1215</c:v>
                </c:pt>
                <c:pt idx="1215">
                  <c:v>1216</c:v>
                </c:pt>
                <c:pt idx="1216">
                  <c:v>1217</c:v>
                </c:pt>
                <c:pt idx="1217">
                  <c:v>1218</c:v>
                </c:pt>
                <c:pt idx="1218">
                  <c:v>1219</c:v>
                </c:pt>
                <c:pt idx="1219">
                  <c:v>1220</c:v>
                </c:pt>
                <c:pt idx="1220">
                  <c:v>1221</c:v>
                </c:pt>
                <c:pt idx="1221">
                  <c:v>1222</c:v>
                </c:pt>
                <c:pt idx="1222">
                  <c:v>1223</c:v>
                </c:pt>
                <c:pt idx="1223">
                  <c:v>1224</c:v>
                </c:pt>
                <c:pt idx="1224">
                  <c:v>1225</c:v>
                </c:pt>
                <c:pt idx="1225">
                  <c:v>1226</c:v>
                </c:pt>
                <c:pt idx="1226">
                  <c:v>1227</c:v>
                </c:pt>
                <c:pt idx="1227">
                  <c:v>1228</c:v>
                </c:pt>
                <c:pt idx="1228">
                  <c:v>1229</c:v>
                </c:pt>
                <c:pt idx="1229">
                  <c:v>1230</c:v>
                </c:pt>
                <c:pt idx="1230">
                  <c:v>1231</c:v>
                </c:pt>
                <c:pt idx="1231">
                  <c:v>1232</c:v>
                </c:pt>
                <c:pt idx="1232">
                  <c:v>1233</c:v>
                </c:pt>
                <c:pt idx="1233">
                  <c:v>1234</c:v>
                </c:pt>
                <c:pt idx="1234">
                  <c:v>1235</c:v>
                </c:pt>
                <c:pt idx="1235">
                  <c:v>1236</c:v>
                </c:pt>
                <c:pt idx="1236">
                  <c:v>1237</c:v>
                </c:pt>
                <c:pt idx="1237">
                  <c:v>1238</c:v>
                </c:pt>
                <c:pt idx="1238">
                  <c:v>1239</c:v>
                </c:pt>
                <c:pt idx="1239">
                  <c:v>1240</c:v>
                </c:pt>
                <c:pt idx="1240">
                  <c:v>1241</c:v>
                </c:pt>
                <c:pt idx="1241">
                  <c:v>1242</c:v>
                </c:pt>
                <c:pt idx="1242">
                  <c:v>1243</c:v>
                </c:pt>
                <c:pt idx="1243">
                  <c:v>1244</c:v>
                </c:pt>
                <c:pt idx="1244">
                  <c:v>1245</c:v>
                </c:pt>
                <c:pt idx="1245">
                  <c:v>1246</c:v>
                </c:pt>
                <c:pt idx="1246">
                  <c:v>1247</c:v>
                </c:pt>
                <c:pt idx="1247">
                  <c:v>1248</c:v>
                </c:pt>
                <c:pt idx="1248">
                  <c:v>1249</c:v>
                </c:pt>
                <c:pt idx="1249">
                  <c:v>1250</c:v>
                </c:pt>
                <c:pt idx="1250">
                  <c:v>1251</c:v>
                </c:pt>
                <c:pt idx="1251">
                  <c:v>1252</c:v>
                </c:pt>
                <c:pt idx="1252">
                  <c:v>1253</c:v>
                </c:pt>
                <c:pt idx="1253">
                  <c:v>1254</c:v>
                </c:pt>
                <c:pt idx="1254">
                  <c:v>1255</c:v>
                </c:pt>
                <c:pt idx="1255">
                  <c:v>1256</c:v>
                </c:pt>
                <c:pt idx="1256">
                  <c:v>1257</c:v>
                </c:pt>
                <c:pt idx="1257">
                  <c:v>1258</c:v>
                </c:pt>
                <c:pt idx="1258">
                  <c:v>1259</c:v>
                </c:pt>
                <c:pt idx="1259">
                  <c:v>1260</c:v>
                </c:pt>
                <c:pt idx="1260">
                  <c:v>1261</c:v>
                </c:pt>
                <c:pt idx="1261">
                  <c:v>1262</c:v>
                </c:pt>
                <c:pt idx="1262">
                  <c:v>1263</c:v>
                </c:pt>
                <c:pt idx="1263">
                  <c:v>1264</c:v>
                </c:pt>
                <c:pt idx="1264">
                  <c:v>1265</c:v>
                </c:pt>
                <c:pt idx="1265">
                  <c:v>1266</c:v>
                </c:pt>
                <c:pt idx="1266">
                  <c:v>1267</c:v>
                </c:pt>
                <c:pt idx="1267">
                  <c:v>1268</c:v>
                </c:pt>
                <c:pt idx="1268">
                  <c:v>1269</c:v>
                </c:pt>
                <c:pt idx="1269">
                  <c:v>1270</c:v>
                </c:pt>
                <c:pt idx="1270">
                  <c:v>1271</c:v>
                </c:pt>
                <c:pt idx="1271">
                  <c:v>1272</c:v>
                </c:pt>
                <c:pt idx="1272">
                  <c:v>1273</c:v>
                </c:pt>
                <c:pt idx="1273">
                  <c:v>1274</c:v>
                </c:pt>
                <c:pt idx="1274">
                  <c:v>1275</c:v>
                </c:pt>
                <c:pt idx="1275">
                  <c:v>1276</c:v>
                </c:pt>
                <c:pt idx="1276">
                  <c:v>1277</c:v>
                </c:pt>
                <c:pt idx="1277">
                  <c:v>1278</c:v>
                </c:pt>
                <c:pt idx="1278">
                  <c:v>1279</c:v>
                </c:pt>
                <c:pt idx="1279">
                  <c:v>1280</c:v>
                </c:pt>
                <c:pt idx="1280">
                  <c:v>1281</c:v>
                </c:pt>
                <c:pt idx="1281">
                  <c:v>1282</c:v>
                </c:pt>
                <c:pt idx="1282">
                  <c:v>1283</c:v>
                </c:pt>
                <c:pt idx="1283">
                  <c:v>1284</c:v>
                </c:pt>
                <c:pt idx="1284">
                  <c:v>1285</c:v>
                </c:pt>
                <c:pt idx="1285">
                  <c:v>1286</c:v>
                </c:pt>
                <c:pt idx="1286">
                  <c:v>1287</c:v>
                </c:pt>
                <c:pt idx="1287">
                  <c:v>1288</c:v>
                </c:pt>
                <c:pt idx="1288">
                  <c:v>1289</c:v>
                </c:pt>
                <c:pt idx="1289">
                  <c:v>1290</c:v>
                </c:pt>
                <c:pt idx="1290">
                  <c:v>1291</c:v>
                </c:pt>
                <c:pt idx="1291">
                  <c:v>1292</c:v>
                </c:pt>
                <c:pt idx="1292">
                  <c:v>1293</c:v>
                </c:pt>
                <c:pt idx="1293">
                  <c:v>1294</c:v>
                </c:pt>
                <c:pt idx="1294">
                  <c:v>1295</c:v>
                </c:pt>
                <c:pt idx="1295">
                  <c:v>1296</c:v>
                </c:pt>
                <c:pt idx="1296">
                  <c:v>1297</c:v>
                </c:pt>
                <c:pt idx="1297">
                  <c:v>1298</c:v>
                </c:pt>
                <c:pt idx="1298">
                  <c:v>1299</c:v>
                </c:pt>
                <c:pt idx="1299">
                  <c:v>1300</c:v>
                </c:pt>
                <c:pt idx="1300">
                  <c:v>1301</c:v>
                </c:pt>
                <c:pt idx="1301">
                  <c:v>1302</c:v>
                </c:pt>
                <c:pt idx="1302">
                  <c:v>1303</c:v>
                </c:pt>
                <c:pt idx="1303">
                  <c:v>1304</c:v>
                </c:pt>
                <c:pt idx="1304">
                  <c:v>1305</c:v>
                </c:pt>
                <c:pt idx="1305">
                  <c:v>1306</c:v>
                </c:pt>
                <c:pt idx="1306">
                  <c:v>1307</c:v>
                </c:pt>
                <c:pt idx="1307">
                  <c:v>1308</c:v>
                </c:pt>
                <c:pt idx="1308">
                  <c:v>1309</c:v>
                </c:pt>
                <c:pt idx="1309">
                  <c:v>1310</c:v>
                </c:pt>
                <c:pt idx="1310">
                  <c:v>1311</c:v>
                </c:pt>
                <c:pt idx="1311">
                  <c:v>1312</c:v>
                </c:pt>
                <c:pt idx="1312">
                  <c:v>1313</c:v>
                </c:pt>
                <c:pt idx="1313">
                  <c:v>1314</c:v>
                </c:pt>
                <c:pt idx="1314">
                  <c:v>1315</c:v>
                </c:pt>
                <c:pt idx="1315">
                  <c:v>1316</c:v>
                </c:pt>
                <c:pt idx="1316">
                  <c:v>1317</c:v>
                </c:pt>
                <c:pt idx="1317">
                  <c:v>1318</c:v>
                </c:pt>
                <c:pt idx="1318">
                  <c:v>1319</c:v>
                </c:pt>
                <c:pt idx="1319">
                  <c:v>1320</c:v>
                </c:pt>
                <c:pt idx="1320">
                  <c:v>1321</c:v>
                </c:pt>
                <c:pt idx="1321">
                  <c:v>1322</c:v>
                </c:pt>
                <c:pt idx="1322">
                  <c:v>1323</c:v>
                </c:pt>
                <c:pt idx="1323">
                  <c:v>1324</c:v>
                </c:pt>
                <c:pt idx="1324">
                  <c:v>1325</c:v>
                </c:pt>
                <c:pt idx="1325">
                  <c:v>1326</c:v>
                </c:pt>
                <c:pt idx="1326">
                  <c:v>1327</c:v>
                </c:pt>
                <c:pt idx="1327">
                  <c:v>1328</c:v>
                </c:pt>
                <c:pt idx="1328">
                  <c:v>1329</c:v>
                </c:pt>
                <c:pt idx="1329">
                  <c:v>1330</c:v>
                </c:pt>
                <c:pt idx="1330">
                  <c:v>1331</c:v>
                </c:pt>
                <c:pt idx="1331">
                  <c:v>1332</c:v>
                </c:pt>
                <c:pt idx="1332">
                  <c:v>1333</c:v>
                </c:pt>
                <c:pt idx="1333">
                  <c:v>1334</c:v>
                </c:pt>
                <c:pt idx="1334">
                  <c:v>1335</c:v>
                </c:pt>
                <c:pt idx="1335">
                  <c:v>1336</c:v>
                </c:pt>
                <c:pt idx="1336">
                  <c:v>1337</c:v>
                </c:pt>
                <c:pt idx="1337">
                  <c:v>1338</c:v>
                </c:pt>
                <c:pt idx="1338">
                  <c:v>1339</c:v>
                </c:pt>
                <c:pt idx="1339">
                  <c:v>1340</c:v>
                </c:pt>
                <c:pt idx="1340">
                  <c:v>1341</c:v>
                </c:pt>
                <c:pt idx="1341">
                  <c:v>1342</c:v>
                </c:pt>
                <c:pt idx="1342">
                  <c:v>1343</c:v>
                </c:pt>
                <c:pt idx="1343">
                  <c:v>1344</c:v>
                </c:pt>
                <c:pt idx="1344">
                  <c:v>1345</c:v>
                </c:pt>
                <c:pt idx="1345">
                  <c:v>1346</c:v>
                </c:pt>
                <c:pt idx="1346">
                  <c:v>1347</c:v>
                </c:pt>
                <c:pt idx="1347">
                  <c:v>1348</c:v>
                </c:pt>
                <c:pt idx="1348">
                  <c:v>1349</c:v>
                </c:pt>
                <c:pt idx="1349">
                  <c:v>1350</c:v>
                </c:pt>
                <c:pt idx="1350">
                  <c:v>1351</c:v>
                </c:pt>
                <c:pt idx="1351">
                  <c:v>1352</c:v>
                </c:pt>
                <c:pt idx="1352">
                  <c:v>1353</c:v>
                </c:pt>
                <c:pt idx="1353">
                  <c:v>1354</c:v>
                </c:pt>
                <c:pt idx="1354">
                  <c:v>1355</c:v>
                </c:pt>
                <c:pt idx="1355">
                  <c:v>1356</c:v>
                </c:pt>
                <c:pt idx="1356">
                  <c:v>1357</c:v>
                </c:pt>
                <c:pt idx="1357">
                  <c:v>1358</c:v>
                </c:pt>
                <c:pt idx="1358">
                  <c:v>1359</c:v>
                </c:pt>
                <c:pt idx="1359">
                  <c:v>1360</c:v>
                </c:pt>
                <c:pt idx="1360">
                  <c:v>1361</c:v>
                </c:pt>
                <c:pt idx="1361">
                  <c:v>1362</c:v>
                </c:pt>
                <c:pt idx="1362">
                  <c:v>1363</c:v>
                </c:pt>
                <c:pt idx="1363">
                  <c:v>1364</c:v>
                </c:pt>
                <c:pt idx="1364">
                  <c:v>1365</c:v>
                </c:pt>
                <c:pt idx="1365">
                  <c:v>1366</c:v>
                </c:pt>
                <c:pt idx="1366">
                  <c:v>1367</c:v>
                </c:pt>
                <c:pt idx="1367">
                  <c:v>1368</c:v>
                </c:pt>
                <c:pt idx="1368">
                  <c:v>1369</c:v>
                </c:pt>
                <c:pt idx="1369">
                  <c:v>1370</c:v>
                </c:pt>
                <c:pt idx="1370">
                  <c:v>1371</c:v>
                </c:pt>
                <c:pt idx="1371">
                  <c:v>1372</c:v>
                </c:pt>
                <c:pt idx="1372">
                  <c:v>1373</c:v>
                </c:pt>
                <c:pt idx="1373">
                  <c:v>1374</c:v>
                </c:pt>
                <c:pt idx="1374">
                  <c:v>1375</c:v>
                </c:pt>
                <c:pt idx="1375">
                  <c:v>1376</c:v>
                </c:pt>
                <c:pt idx="1376">
                  <c:v>1377</c:v>
                </c:pt>
                <c:pt idx="1377">
                  <c:v>1378</c:v>
                </c:pt>
                <c:pt idx="1378">
                  <c:v>1379</c:v>
                </c:pt>
                <c:pt idx="1379">
                  <c:v>1380</c:v>
                </c:pt>
                <c:pt idx="1380">
                  <c:v>1381</c:v>
                </c:pt>
                <c:pt idx="1381">
                  <c:v>1382</c:v>
                </c:pt>
                <c:pt idx="1382">
                  <c:v>1383</c:v>
                </c:pt>
                <c:pt idx="1383">
                  <c:v>1384</c:v>
                </c:pt>
                <c:pt idx="1384">
                  <c:v>1385</c:v>
                </c:pt>
                <c:pt idx="1385">
                  <c:v>1386</c:v>
                </c:pt>
                <c:pt idx="1386">
                  <c:v>1387</c:v>
                </c:pt>
                <c:pt idx="1387">
                  <c:v>1388</c:v>
                </c:pt>
                <c:pt idx="1388">
                  <c:v>1389</c:v>
                </c:pt>
                <c:pt idx="1389">
                  <c:v>1390</c:v>
                </c:pt>
                <c:pt idx="1390">
                  <c:v>1391</c:v>
                </c:pt>
                <c:pt idx="1391">
                  <c:v>1392</c:v>
                </c:pt>
                <c:pt idx="1392">
                  <c:v>1393</c:v>
                </c:pt>
                <c:pt idx="1393">
                  <c:v>1394</c:v>
                </c:pt>
                <c:pt idx="1394">
                  <c:v>1395</c:v>
                </c:pt>
                <c:pt idx="1395">
                  <c:v>1396</c:v>
                </c:pt>
                <c:pt idx="1396">
                  <c:v>1397</c:v>
                </c:pt>
                <c:pt idx="1397">
                  <c:v>1398</c:v>
                </c:pt>
                <c:pt idx="1398">
                  <c:v>1399</c:v>
                </c:pt>
                <c:pt idx="1399">
                  <c:v>1400</c:v>
                </c:pt>
                <c:pt idx="1400">
                  <c:v>1401</c:v>
                </c:pt>
                <c:pt idx="1401">
                  <c:v>1402</c:v>
                </c:pt>
                <c:pt idx="1402">
                  <c:v>1403</c:v>
                </c:pt>
                <c:pt idx="1403">
                  <c:v>1404</c:v>
                </c:pt>
                <c:pt idx="1404">
                  <c:v>1405</c:v>
                </c:pt>
                <c:pt idx="1405">
                  <c:v>1406</c:v>
                </c:pt>
                <c:pt idx="1406">
                  <c:v>1407</c:v>
                </c:pt>
                <c:pt idx="1407">
                  <c:v>1408</c:v>
                </c:pt>
                <c:pt idx="1408">
                  <c:v>1409</c:v>
                </c:pt>
                <c:pt idx="1409">
                  <c:v>1410</c:v>
                </c:pt>
                <c:pt idx="1410">
                  <c:v>1411</c:v>
                </c:pt>
                <c:pt idx="1411">
                  <c:v>1412</c:v>
                </c:pt>
                <c:pt idx="1412">
                  <c:v>1413</c:v>
                </c:pt>
                <c:pt idx="1413">
                  <c:v>1414</c:v>
                </c:pt>
                <c:pt idx="1414">
                  <c:v>1415</c:v>
                </c:pt>
                <c:pt idx="1415">
                  <c:v>1416</c:v>
                </c:pt>
                <c:pt idx="1416">
                  <c:v>1417</c:v>
                </c:pt>
                <c:pt idx="1417">
                  <c:v>1418</c:v>
                </c:pt>
                <c:pt idx="1418">
                  <c:v>1419</c:v>
                </c:pt>
                <c:pt idx="1419">
                  <c:v>1420</c:v>
                </c:pt>
                <c:pt idx="1420">
                  <c:v>1421</c:v>
                </c:pt>
                <c:pt idx="1421">
                  <c:v>1422</c:v>
                </c:pt>
                <c:pt idx="1422">
                  <c:v>1423</c:v>
                </c:pt>
                <c:pt idx="1423">
                  <c:v>1424</c:v>
                </c:pt>
                <c:pt idx="1424">
                  <c:v>1425</c:v>
                </c:pt>
                <c:pt idx="1425">
                  <c:v>1426</c:v>
                </c:pt>
                <c:pt idx="1426">
                  <c:v>1427</c:v>
                </c:pt>
                <c:pt idx="1427">
                  <c:v>1428</c:v>
                </c:pt>
                <c:pt idx="1428">
                  <c:v>1429</c:v>
                </c:pt>
                <c:pt idx="1429">
                  <c:v>1430</c:v>
                </c:pt>
                <c:pt idx="1430">
                  <c:v>1431</c:v>
                </c:pt>
                <c:pt idx="1431">
                  <c:v>1432</c:v>
                </c:pt>
                <c:pt idx="1432">
                  <c:v>1433</c:v>
                </c:pt>
                <c:pt idx="1433">
                  <c:v>1434</c:v>
                </c:pt>
                <c:pt idx="1434">
                  <c:v>1435</c:v>
                </c:pt>
                <c:pt idx="1435">
                  <c:v>1436</c:v>
                </c:pt>
                <c:pt idx="1436">
                  <c:v>1437</c:v>
                </c:pt>
                <c:pt idx="1437">
                  <c:v>1438</c:v>
                </c:pt>
                <c:pt idx="1438">
                  <c:v>1439</c:v>
                </c:pt>
                <c:pt idx="1439">
                  <c:v>1440</c:v>
                </c:pt>
                <c:pt idx="1440">
                  <c:v>1441</c:v>
                </c:pt>
                <c:pt idx="1441">
                  <c:v>1442</c:v>
                </c:pt>
                <c:pt idx="1442">
                  <c:v>1443</c:v>
                </c:pt>
                <c:pt idx="1443">
                  <c:v>1444</c:v>
                </c:pt>
                <c:pt idx="1444">
                  <c:v>1445</c:v>
                </c:pt>
                <c:pt idx="1445">
                  <c:v>1446</c:v>
                </c:pt>
                <c:pt idx="1446">
                  <c:v>1447</c:v>
                </c:pt>
                <c:pt idx="1447">
                  <c:v>1448</c:v>
                </c:pt>
                <c:pt idx="1448">
                  <c:v>1449</c:v>
                </c:pt>
                <c:pt idx="1449">
                  <c:v>1450</c:v>
                </c:pt>
                <c:pt idx="1450">
                  <c:v>1451</c:v>
                </c:pt>
                <c:pt idx="1451">
                  <c:v>1452</c:v>
                </c:pt>
                <c:pt idx="1452">
                  <c:v>1453</c:v>
                </c:pt>
                <c:pt idx="1453">
                  <c:v>1454</c:v>
                </c:pt>
                <c:pt idx="1454">
                  <c:v>1455</c:v>
                </c:pt>
                <c:pt idx="1455">
                  <c:v>1456</c:v>
                </c:pt>
                <c:pt idx="1456">
                  <c:v>1457</c:v>
                </c:pt>
                <c:pt idx="1457">
                  <c:v>1458</c:v>
                </c:pt>
                <c:pt idx="1458">
                  <c:v>1459</c:v>
                </c:pt>
                <c:pt idx="1459">
                  <c:v>1460</c:v>
                </c:pt>
                <c:pt idx="1460">
                  <c:v>1461</c:v>
                </c:pt>
                <c:pt idx="1461">
                  <c:v>1462</c:v>
                </c:pt>
                <c:pt idx="1462">
                  <c:v>1463</c:v>
                </c:pt>
                <c:pt idx="1463">
                  <c:v>1464</c:v>
                </c:pt>
                <c:pt idx="1464">
                  <c:v>1465</c:v>
                </c:pt>
                <c:pt idx="1465">
                  <c:v>1466</c:v>
                </c:pt>
                <c:pt idx="1466">
                  <c:v>1467</c:v>
                </c:pt>
                <c:pt idx="1467">
                  <c:v>1468</c:v>
                </c:pt>
                <c:pt idx="1468">
                  <c:v>1469</c:v>
                </c:pt>
                <c:pt idx="1469">
                  <c:v>1470</c:v>
                </c:pt>
                <c:pt idx="1470">
                  <c:v>1471</c:v>
                </c:pt>
                <c:pt idx="1471">
                  <c:v>1472</c:v>
                </c:pt>
                <c:pt idx="1472">
                  <c:v>1473</c:v>
                </c:pt>
                <c:pt idx="1473">
                  <c:v>1474</c:v>
                </c:pt>
                <c:pt idx="1474">
                  <c:v>1475</c:v>
                </c:pt>
                <c:pt idx="1475">
                  <c:v>1476</c:v>
                </c:pt>
                <c:pt idx="1476">
                  <c:v>1477</c:v>
                </c:pt>
                <c:pt idx="1477">
                  <c:v>1478</c:v>
                </c:pt>
                <c:pt idx="1478">
                  <c:v>1479</c:v>
                </c:pt>
                <c:pt idx="1479">
                  <c:v>1480</c:v>
                </c:pt>
                <c:pt idx="1480">
                  <c:v>1481</c:v>
                </c:pt>
                <c:pt idx="1481">
                  <c:v>1482</c:v>
                </c:pt>
                <c:pt idx="1482">
                  <c:v>1483</c:v>
                </c:pt>
                <c:pt idx="1483">
                  <c:v>1484</c:v>
                </c:pt>
                <c:pt idx="1484">
                  <c:v>1485</c:v>
                </c:pt>
                <c:pt idx="1485">
                  <c:v>1486</c:v>
                </c:pt>
                <c:pt idx="1486">
                  <c:v>1487</c:v>
                </c:pt>
                <c:pt idx="1487">
                  <c:v>1488</c:v>
                </c:pt>
                <c:pt idx="1488">
                  <c:v>1489</c:v>
                </c:pt>
                <c:pt idx="1489">
                  <c:v>1490</c:v>
                </c:pt>
                <c:pt idx="1490">
                  <c:v>1491</c:v>
                </c:pt>
                <c:pt idx="1491">
                  <c:v>1492</c:v>
                </c:pt>
                <c:pt idx="1492">
                  <c:v>1493</c:v>
                </c:pt>
                <c:pt idx="1493">
                  <c:v>1494</c:v>
                </c:pt>
                <c:pt idx="1494">
                  <c:v>1495</c:v>
                </c:pt>
                <c:pt idx="1495">
                  <c:v>1496</c:v>
                </c:pt>
                <c:pt idx="1496">
                  <c:v>1497</c:v>
                </c:pt>
                <c:pt idx="1497">
                  <c:v>1498</c:v>
                </c:pt>
                <c:pt idx="1498">
                  <c:v>1499</c:v>
                </c:pt>
                <c:pt idx="1499">
                  <c:v>1500</c:v>
                </c:pt>
                <c:pt idx="1500">
                  <c:v>1501</c:v>
                </c:pt>
                <c:pt idx="1501">
                  <c:v>1502</c:v>
                </c:pt>
                <c:pt idx="1502">
                  <c:v>1503</c:v>
                </c:pt>
                <c:pt idx="1503">
                  <c:v>1504</c:v>
                </c:pt>
                <c:pt idx="1504">
                  <c:v>1505</c:v>
                </c:pt>
                <c:pt idx="1505">
                  <c:v>1506</c:v>
                </c:pt>
                <c:pt idx="1506">
                  <c:v>1507</c:v>
                </c:pt>
                <c:pt idx="1507">
                  <c:v>1508</c:v>
                </c:pt>
                <c:pt idx="1508">
                  <c:v>1509</c:v>
                </c:pt>
                <c:pt idx="1509">
                  <c:v>1510</c:v>
                </c:pt>
                <c:pt idx="1510">
                  <c:v>1511</c:v>
                </c:pt>
                <c:pt idx="1511">
                  <c:v>1512</c:v>
                </c:pt>
                <c:pt idx="1512">
                  <c:v>1513</c:v>
                </c:pt>
                <c:pt idx="1513">
                  <c:v>1514</c:v>
                </c:pt>
                <c:pt idx="1514">
                  <c:v>1515</c:v>
                </c:pt>
                <c:pt idx="1515">
                  <c:v>1516</c:v>
                </c:pt>
                <c:pt idx="1516">
                  <c:v>1517</c:v>
                </c:pt>
                <c:pt idx="1517">
                  <c:v>1518</c:v>
                </c:pt>
                <c:pt idx="1518">
                  <c:v>1519</c:v>
                </c:pt>
                <c:pt idx="1519">
                  <c:v>1520</c:v>
                </c:pt>
                <c:pt idx="1520">
                  <c:v>1521</c:v>
                </c:pt>
                <c:pt idx="1521">
                  <c:v>1522</c:v>
                </c:pt>
                <c:pt idx="1522">
                  <c:v>1523</c:v>
                </c:pt>
                <c:pt idx="1523">
                  <c:v>1524</c:v>
                </c:pt>
                <c:pt idx="1524">
                  <c:v>1525</c:v>
                </c:pt>
                <c:pt idx="1525">
                  <c:v>1526</c:v>
                </c:pt>
                <c:pt idx="1526">
                  <c:v>1527</c:v>
                </c:pt>
                <c:pt idx="1527">
                  <c:v>1528</c:v>
                </c:pt>
                <c:pt idx="1528">
                  <c:v>1529</c:v>
                </c:pt>
                <c:pt idx="1529">
                  <c:v>1530</c:v>
                </c:pt>
                <c:pt idx="1530">
                  <c:v>1531</c:v>
                </c:pt>
                <c:pt idx="1531">
                  <c:v>1532</c:v>
                </c:pt>
                <c:pt idx="1532">
                  <c:v>1533</c:v>
                </c:pt>
                <c:pt idx="1533">
                  <c:v>1534</c:v>
                </c:pt>
                <c:pt idx="1534">
                  <c:v>1535</c:v>
                </c:pt>
                <c:pt idx="1535">
                  <c:v>1536</c:v>
                </c:pt>
                <c:pt idx="1536">
                  <c:v>1537</c:v>
                </c:pt>
                <c:pt idx="1537">
                  <c:v>1538</c:v>
                </c:pt>
                <c:pt idx="1538">
                  <c:v>1539</c:v>
                </c:pt>
                <c:pt idx="1539">
                  <c:v>1540</c:v>
                </c:pt>
                <c:pt idx="1540">
                  <c:v>1541</c:v>
                </c:pt>
                <c:pt idx="1541">
                  <c:v>1542</c:v>
                </c:pt>
                <c:pt idx="1542">
                  <c:v>1543</c:v>
                </c:pt>
                <c:pt idx="1543">
                  <c:v>1544</c:v>
                </c:pt>
                <c:pt idx="1544">
                  <c:v>1545</c:v>
                </c:pt>
                <c:pt idx="1545">
                  <c:v>1546</c:v>
                </c:pt>
                <c:pt idx="1546">
                  <c:v>1547</c:v>
                </c:pt>
                <c:pt idx="1547">
                  <c:v>1548</c:v>
                </c:pt>
                <c:pt idx="1548">
                  <c:v>1549</c:v>
                </c:pt>
                <c:pt idx="1549">
                  <c:v>1550</c:v>
                </c:pt>
                <c:pt idx="1550">
                  <c:v>1551</c:v>
                </c:pt>
                <c:pt idx="1551">
                  <c:v>1552</c:v>
                </c:pt>
                <c:pt idx="1552">
                  <c:v>1553</c:v>
                </c:pt>
                <c:pt idx="1553">
                  <c:v>1554</c:v>
                </c:pt>
                <c:pt idx="1554">
                  <c:v>1555</c:v>
                </c:pt>
                <c:pt idx="1555">
                  <c:v>1556</c:v>
                </c:pt>
                <c:pt idx="1556">
                  <c:v>1557</c:v>
                </c:pt>
                <c:pt idx="1557">
                  <c:v>1558</c:v>
                </c:pt>
                <c:pt idx="1558">
                  <c:v>1559</c:v>
                </c:pt>
                <c:pt idx="1559">
                  <c:v>1560</c:v>
                </c:pt>
                <c:pt idx="1560">
                  <c:v>1561</c:v>
                </c:pt>
                <c:pt idx="1561">
                  <c:v>1562</c:v>
                </c:pt>
                <c:pt idx="1562">
                  <c:v>1563</c:v>
                </c:pt>
                <c:pt idx="1563">
                  <c:v>1564</c:v>
                </c:pt>
                <c:pt idx="1564">
                  <c:v>1565</c:v>
                </c:pt>
                <c:pt idx="1565">
                  <c:v>1566</c:v>
                </c:pt>
                <c:pt idx="1566">
                  <c:v>1567</c:v>
                </c:pt>
                <c:pt idx="1567">
                  <c:v>1568</c:v>
                </c:pt>
                <c:pt idx="1568">
                  <c:v>1569</c:v>
                </c:pt>
                <c:pt idx="1569">
                  <c:v>1570</c:v>
                </c:pt>
                <c:pt idx="1570">
                  <c:v>1571</c:v>
                </c:pt>
                <c:pt idx="1571">
                  <c:v>1572</c:v>
                </c:pt>
                <c:pt idx="1572">
                  <c:v>1573</c:v>
                </c:pt>
                <c:pt idx="1573">
                  <c:v>1574</c:v>
                </c:pt>
                <c:pt idx="1574">
                  <c:v>1575</c:v>
                </c:pt>
                <c:pt idx="1575">
                  <c:v>1576</c:v>
                </c:pt>
                <c:pt idx="1576">
                  <c:v>1577</c:v>
                </c:pt>
                <c:pt idx="1577">
                  <c:v>1578</c:v>
                </c:pt>
                <c:pt idx="1578">
                  <c:v>1579</c:v>
                </c:pt>
                <c:pt idx="1579">
                  <c:v>1580</c:v>
                </c:pt>
                <c:pt idx="1580">
                  <c:v>1581</c:v>
                </c:pt>
                <c:pt idx="1581">
                  <c:v>1582</c:v>
                </c:pt>
                <c:pt idx="1582">
                  <c:v>1583</c:v>
                </c:pt>
                <c:pt idx="1583">
                  <c:v>1584</c:v>
                </c:pt>
                <c:pt idx="1584">
                  <c:v>1585</c:v>
                </c:pt>
                <c:pt idx="1585">
                  <c:v>1586</c:v>
                </c:pt>
                <c:pt idx="1586">
                  <c:v>1587</c:v>
                </c:pt>
                <c:pt idx="1587">
                  <c:v>1588</c:v>
                </c:pt>
                <c:pt idx="1588">
                  <c:v>1589</c:v>
                </c:pt>
                <c:pt idx="1589">
                  <c:v>1590</c:v>
                </c:pt>
                <c:pt idx="1590">
                  <c:v>1591</c:v>
                </c:pt>
                <c:pt idx="1591">
                  <c:v>1592</c:v>
                </c:pt>
                <c:pt idx="1592">
                  <c:v>1593</c:v>
                </c:pt>
                <c:pt idx="1593">
                  <c:v>1594</c:v>
                </c:pt>
                <c:pt idx="1594">
                  <c:v>1595</c:v>
                </c:pt>
                <c:pt idx="1595">
                  <c:v>1596</c:v>
                </c:pt>
                <c:pt idx="1596">
                  <c:v>1597</c:v>
                </c:pt>
                <c:pt idx="1597">
                  <c:v>1598</c:v>
                </c:pt>
                <c:pt idx="1598">
                  <c:v>1599</c:v>
                </c:pt>
                <c:pt idx="1599">
                  <c:v>1600</c:v>
                </c:pt>
                <c:pt idx="1600">
                  <c:v>1601</c:v>
                </c:pt>
                <c:pt idx="1601">
                  <c:v>1602</c:v>
                </c:pt>
                <c:pt idx="1602">
                  <c:v>1603</c:v>
                </c:pt>
                <c:pt idx="1603">
                  <c:v>1604</c:v>
                </c:pt>
                <c:pt idx="1604">
                  <c:v>1605</c:v>
                </c:pt>
                <c:pt idx="1605">
                  <c:v>1606</c:v>
                </c:pt>
                <c:pt idx="1606">
                  <c:v>1607</c:v>
                </c:pt>
                <c:pt idx="1607">
                  <c:v>1608</c:v>
                </c:pt>
                <c:pt idx="1608">
                  <c:v>1609</c:v>
                </c:pt>
                <c:pt idx="1609">
                  <c:v>1610</c:v>
                </c:pt>
                <c:pt idx="1610">
                  <c:v>1611</c:v>
                </c:pt>
                <c:pt idx="1611">
                  <c:v>1612</c:v>
                </c:pt>
                <c:pt idx="1612">
                  <c:v>1613</c:v>
                </c:pt>
                <c:pt idx="1613">
                  <c:v>1614</c:v>
                </c:pt>
                <c:pt idx="1614">
                  <c:v>1615</c:v>
                </c:pt>
                <c:pt idx="1615">
                  <c:v>1616</c:v>
                </c:pt>
                <c:pt idx="1616">
                  <c:v>1617</c:v>
                </c:pt>
                <c:pt idx="1617">
                  <c:v>1618</c:v>
                </c:pt>
                <c:pt idx="1618">
                  <c:v>1619</c:v>
                </c:pt>
                <c:pt idx="1619">
                  <c:v>1620</c:v>
                </c:pt>
                <c:pt idx="1620">
                  <c:v>1621</c:v>
                </c:pt>
                <c:pt idx="1621">
                  <c:v>1622</c:v>
                </c:pt>
                <c:pt idx="1622">
                  <c:v>1623</c:v>
                </c:pt>
                <c:pt idx="1623">
                  <c:v>1624</c:v>
                </c:pt>
                <c:pt idx="1624">
                  <c:v>1625</c:v>
                </c:pt>
                <c:pt idx="1625">
                  <c:v>1626</c:v>
                </c:pt>
                <c:pt idx="1626">
                  <c:v>1627</c:v>
                </c:pt>
                <c:pt idx="1627">
                  <c:v>1628</c:v>
                </c:pt>
                <c:pt idx="1628">
                  <c:v>1629</c:v>
                </c:pt>
                <c:pt idx="1629">
                  <c:v>1630</c:v>
                </c:pt>
                <c:pt idx="1630">
                  <c:v>1631</c:v>
                </c:pt>
                <c:pt idx="1631">
                  <c:v>1632</c:v>
                </c:pt>
                <c:pt idx="1632">
                  <c:v>1633</c:v>
                </c:pt>
                <c:pt idx="1633">
                  <c:v>1634</c:v>
                </c:pt>
                <c:pt idx="1634">
                  <c:v>1635</c:v>
                </c:pt>
                <c:pt idx="1635">
                  <c:v>1636</c:v>
                </c:pt>
                <c:pt idx="1636">
                  <c:v>1637</c:v>
                </c:pt>
                <c:pt idx="1637">
                  <c:v>1638</c:v>
                </c:pt>
                <c:pt idx="1638">
                  <c:v>1639</c:v>
                </c:pt>
                <c:pt idx="1639">
                  <c:v>1640</c:v>
                </c:pt>
                <c:pt idx="1640">
                  <c:v>1641</c:v>
                </c:pt>
                <c:pt idx="1641">
                  <c:v>1642</c:v>
                </c:pt>
                <c:pt idx="1642">
                  <c:v>1643</c:v>
                </c:pt>
                <c:pt idx="1643">
                  <c:v>1644</c:v>
                </c:pt>
                <c:pt idx="1644">
                  <c:v>1645</c:v>
                </c:pt>
                <c:pt idx="1645">
                  <c:v>1646</c:v>
                </c:pt>
                <c:pt idx="1646">
                  <c:v>1647</c:v>
                </c:pt>
                <c:pt idx="1647">
                  <c:v>1648</c:v>
                </c:pt>
                <c:pt idx="1648">
                  <c:v>1649</c:v>
                </c:pt>
                <c:pt idx="1649">
                  <c:v>1650</c:v>
                </c:pt>
                <c:pt idx="1650">
                  <c:v>1651</c:v>
                </c:pt>
                <c:pt idx="1651">
                  <c:v>1652</c:v>
                </c:pt>
                <c:pt idx="1652">
                  <c:v>1653</c:v>
                </c:pt>
                <c:pt idx="1653">
                  <c:v>1654</c:v>
                </c:pt>
                <c:pt idx="1654">
                  <c:v>1655</c:v>
                </c:pt>
                <c:pt idx="1655">
                  <c:v>1656</c:v>
                </c:pt>
                <c:pt idx="1656">
                  <c:v>1657</c:v>
                </c:pt>
                <c:pt idx="1657">
                  <c:v>1658</c:v>
                </c:pt>
                <c:pt idx="1658">
                  <c:v>1659</c:v>
                </c:pt>
                <c:pt idx="1659">
                  <c:v>1660</c:v>
                </c:pt>
                <c:pt idx="1660">
                  <c:v>1661</c:v>
                </c:pt>
                <c:pt idx="1661">
                  <c:v>1662</c:v>
                </c:pt>
                <c:pt idx="1662">
                  <c:v>1663</c:v>
                </c:pt>
                <c:pt idx="1663">
                  <c:v>1664</c:v>
                </c:pt>
                <c:pt idx="1664">
                  <c:v>1665</c:v>
                </c:pt>
                <c:pt idx="1665">
                  <c:v>1666</c:v>
                </c:pt>
                <c:pt idx="1666">
                  <c:v>1667</c:v>
                </c:pt>
                <c:pt idx="1667">
                  <c:v>1668</c:v>
                </c:pt>
                <c:pt idx="1668">
                  <c:v>1669</c:v>
                </c:pt>
                <c:pt idx="1669">
                  <c:v>1670</c:v>
                </c:pt>
                <c:pt idx="1670">
                  <c:v>1671</c:v>
                </c:pt>
                <c:pt idx="1671">
                  <c:v>1672</c:v>
                </c:pt>
                <c:pt idx="1672">
                  <c:v>1673</c:v>
                </c:pt>
                <c:pt idx="1673">
                  <c:v>1674</c:v>
                </c:pt>
                <c:pt idx="1674">
                  <c:v>1675</c:v>
                </c:pt>
                <c:pt idx="1675">
                  <c:v>1676</c:v>
                </c:pt>
                <c:pt idx="1676">
                  <c:v>1677</c:v>
                </c:pt>
                <c:pt idx="1677">
                  <c:v>1678</c:v>
                </c:pt>
                <c:pt idx="1678">
                  <c:v>1679</c:v>
                </c:pt>
                <c:pt idx="1679">
                  <c:v>1680</c:v>
                </c:pt>
                <c:pt idx="1680">
                  <c:v>1681</c:v>
                </c:pt>
                <c:pt idx="1681">
                  <c:v>1682</c:v>
                </c:pt>
                <c:pt idx="1682">
                  <c:v>1683</c:v>
                </c:pt>
                <c:pt idx="1683">
                  <c:v>1684</c:v>
                </c:pt>
                <c:pt idx="1684">
                  <c:v>1685</c:v>
                </c:pt>
                <c:pt idx="1685">
                  <c:v>1686</c:v>
                </c:pt>
                <c:pt idx="1686">
                  <c:v>1687</c:v>
                </c:pt>
                <c:pt idx="1687">
                  <c:v>1688</c:v>
                </c:pt>
                <c:pt idx="1688">
                  <c:v>1689</c:v>
                </c:pt>
                <c:pt idx="1689">
                  <c:v>1690</c:v>
                </c:pt>
                <c:pt idx="1690">
                  <c:v>1691</c:v>
                </c:pt>
                <c:pt idx="1691">
                  <c:v>1692</c:v>
                </c:pt>
                <c:pt idx="1692">
                  <c:v>1693</c:v>
                </c:pt>
                <c:pt idx="1693">
                  <c:v>1694</c:v>
                </c:pt>
                <c:pt idx="1694">
                  <c:v>1695</c:v>
                </c:pt>
                <c:pt idx="1695">
                  <c:v>1696</c:v>
                </c:pt>
                <c:pt idx="1696">
                  <c:v>1697</c:v>
                </c:pt>
                <c:pt idx="1697">
                  <c:v>1698</c:v>
                </c:pt>
                <c:pt idx="1698">
                  <c:v>1699</c:v>
                </c:pt>
                <c:pt idx="1699">
                  <c:v>1700</c:v>
                </c:pt>
                <c:pt idx="1700">
                  <c:v>1701</c:v>
                </c:pt>
                <c:pt idx="1701">
                  <c:v>1702</c:v>
                </c:pt>
                <c:pt idx="1702">
                  <c:v>1703</c:v>
                </c:pt>
                <c:pt idx="1703">
                  <c:v>1704</c:v>
                </c:pt>
                <c:pt idx="1704">
                  <c:v>1705</c:v>
                </c:pt>
                <c:pt idx="1705">
                  <c:v>1706</c:v>
                </c:pt>
                <c:pt idx="1706">
                  <c:v>1707</c:v>
                </c:pt>
                <c:pt idx="1707">
                  <c:v>1708</c:v>
                </c:pt>
                <c:pt idx="1708">
                  <c:v>1709</c:v>
                </c:pt>
                <c:pt idx="1709">
                  <c:v>1710</c:v>
                </c:pt>
                <c:pt idx="1710">
                  <c:v>1711</c:v>
                </c:pt>
                <c:pt idx="1711">
                  <c:v>1712</c:v>
                </c:pt>
                <c:pt idx="1712">
                  <c:v>1713</c:v>
                </c:pt>
                <c:pt idx="1713">
                  <c:v>1714</c:v>
                </c:pt>
                <c:pt idx="1714">
                  <c:v>1715</c:v>
                </c:pt>
                <c:pt idx="1715">
                  <c:v>1716</c:v>
                </c:pt>
                <c:pt idx="1716">
                  <c:v>1717</c:v>
                </c:pt>
                <c:pt idx="1717">
                  <c:v>1718</c:v>
                </c:pt>
                <c:pt idx="1718">
                  <c:v>1719</c:v>
                </c:pt>
                <c:pt idx="1719">
                  <c:v>1720</c:v>
                </c:pt>
                <c:pt idx="1720">
                  <c:v>1721</c:v>
                </c:pt>
                <c:pt idx="1721">
                  <c:v>1722</c:v>
                </c:pt>
                <c:pt idx="1722">
                  <c:v>1723</c:v>
                </c:pt>
                <c:pt idx="1723">
                  <c:v>1724</c:v>
                </c:pt>
                <c:pt idx="1724">
                  <c:v>1725</c:v>
                </c:pt>
                <c:pt idx="1725">
                  <c:v>1726</c:v>
                </c:pt>
                <c:pt idx="1726">
                  <c:v>1727</c:v>
                </c:pt>
                <c:pt idx="1727">
                  <c:v>1728</c:v>
                </c:pt>
                <c:pt idx="1728">
                  <c:v>1729</c:v>
                </c:pt>
                <c:pt idx="1729">
                  <c:v>1730</c:v>
                </c:pt>
                <c:pt idx="1730">
                  <c:v>1731</c:v>
                </c:pt>
                <c:pt idx="1731">
                  <c:v>1732</c:v>
                </c:pt>
                <c:pt idx="1732">
                  <c:v>1733</c:v>
                </c:pt>
                <c:pt idx="1733">
                  <c:v>1734</c:v>
                </c:pt>
                <c:pt idx="1734">
                  <c:v>1735</c:v>
                </c:pt>
                <c:pt idx="1735">
                  <c:v>1736</c:v>
                </c:pt>
                <c:pt idx="1736">
                  <c:v>1737</c:v>
                </c:pt>
                <c:pt idx="1737">
                  <c:v>1738</c:v>
                </c:pt>
                <c:pt idx="1738">
                  <c:v>1739</c:v>
                </c:pt>
                <c:pt idx="1739">
                  <c:v>1740</c:v>
                </c:pt>
                <c:pt idx="1740">
                  <c:v>1741</c:v>
                </c:pt>
                <c:pt idx="1741">
                  <c:v>1742</c:v>
                </c:pt>
                <c:pt idx="1742">
                  <c:v>1743</c:v>
                </c:pt>
                <c:pt idx="1743">
                  <c:v>1744</c:v>
                </c:pt>
                <c:pt idx="1744">
                  <c:v>1745</c:v>
                </c:pt>
                <c:pt idx="1745">
                  <c:v>1746</c:v>
                </c:pt>
                <c:pt idx="1746">
                  <c:v>1747</c:v>
                </c:pt>
                <c:pt idx="1747">
                  <c:v>1748</c:v>
                </c:pt>
                <c:pt idx="1748">
                  <c:v>1749</c:v>
                </c:pt>
                <c:pt idx="1749">
                  <c:v>1750</c:v>
                </c:pt>
                <c:pt idx="1750">
                  <c:v>1751</c:v>
                </c:pt>
                <c:pt idx="1751">
                  <c:v>1752</c:v>
                </c:pt>
                <c:pt idx="1752">
                  <c:v>1753</c:v>
                </c:pt>
                <c:pt idx="1753">
                  <c:v>1754</c:v>
                </c:pt>
                <c:pt idx="1754">
                  <c:v>1755</c:v>
                </c:pt>
                <c:pt idx="1755">
                  <c:v>1756</c:v>
                </c:pt>
                <c:pt idx="1756">
                  <c:v>1757</c:v>
                </c:pt>
                <c:pt idx="1757">
                  <c:v>1758</c:v>
                </c:pt>
                <c:pt idx="1758">
                  <c:v>1759</c:v>
                </c:pt>
                <c:pt idx="1759">
                  <c:v>1760</c:v>
                </c:pt>
                <c:pt idx="1760">
                  <c:v>1761</c:v>
                </c:pt>
                <c:pt idx="1761">
                  <c:v>1762</c:v>
                </c:pt>
                <c:pt idx="1762">
                  <c:v>1763</c:v>
                </c:pt>
                <c:pt idx="1763">
                  <c:v>1764</c:v>
                </c:pt>
                <c:pt idx="1764">
                  <c:v>1765</c:v>
                </c:pt>
                <c:pt idx="1765">
                  <c:v>1766</c:v>
                </c:pt>
                <c:pt idx="1766">
                  <c:v>1767</c:v>
                </c:pt>
                <c:pt idx="1767">
                  <c:v>1768</c:v>
                </c:pt>
                <c:pt idx="1768">
                  <c:v>1769</c:v>
                </c:pt>
                <c:pt idx="1769">
                  <c:v>1770</c:v>
                </c:pt>
                <c:pt idx="1770">
                  <c:v>1771</c:v>
                </c:pt>
                <c:pt idx="1771">
                  <c:v>1772</c:v>
                </c:pt>
                <c:pt idx="1772">
                  <c:v>1773</c:v>
                </c:pt>
                <c:pt idx="1773">
                  <c:v>1774</c:v>
                </c:pt>
                <c:pt idx="1774">
                  <c:v>1775</c:v>
                </c:pt>
                <c:pt idx="1775">
                  <c:v>1776</c:v>
                </c:pt>
                <c:pt idx="1776">
                  <c:v>1777</c:v>
                </c:pt>
                <c:pt idx="1777">
                  <c:v>1778</c:v>
                </c:pt>
                <c:pt idx="1778">
                  <c:v>1779</c:v>
                </c:pt>
                <c:pt idx="1779">
                  <c:v>1780</c:v>
                </c:pt>
                <c:pt idx="1780">
                  <c:v>1781</c:v>
                </c:pt>
                <c:pt idx="1781">
                  <c:v>1782</c:v>
                </c:pt>
                <c:pt idx="1782">
                  <c:v>1783</c:v>
                </c:pt>
                <c:pt idx="1783">
                  <c:v>1784</c:v>
                </c:pt>
                <c:pt idx="1784">
                  <c:v>1785</c:v>
                </c:pt>
                <c:pt idx="1785">
                  <c:v>1786</c:v>
                </c:pt>
                <c:pt idx="1786">
                  <c:v>1787</c:v>
                </c:pt>
                <c:pt idx="1787">
                  <c:v>1788</c:v>
                </c:pt>
                <c:pt idx="1788">
                  <c:v>1789</c:v>
                </c:pt>
                <c:pt idx="1789">
                  <c:v>1790</c:v>
                </c:pt>
                <c:pt idx="1790">
                  <c:v>1791</c:v>
                </c:pt>
                <c:pt idx="1791">
                  <c:v>1792</c:v>
                </c:pt>
                <c:pt idx="1792">
                  <c:v>1793</c:v>
                </c:pt>
                <c:pt idx="1793">
                  <c:v>1794</c:v>
                </c:pt>
                <c:pt idx="1794">
                  <c:v>1795</c:v>
                </c:pt>
                <c:pt idx="1795">
                  <c:v>1796</c:v>
                </c:pt>
                <c:pt idx="1796">
                  <c:v>1797</c:v>
                </c:pt>
                <c:pt idx="1797">
                  <c:v>1798</c:v>
                </c:pt>
                <c:pt idx="1798">
                  <c:v>1799</c:v>
                </c:pt>
                <c:pt idx="1799">
                  <c:v>1800</c:v>
                </c:pt>
                <c:pt idx="1800">
                  <c:v>1801</c:v>
                </c:pt>
                <c:pt idx="1801">
                  <c:v>1802</c:v>
                </c:pt>
                <c:pt idx="1802">
                  <c:v>1803</c:v>
                </c:pt>
                <c:pt idx="1803">
                  <c:v>1804</c:v>
                </c:pt>
                <c:pt idx="1804">
                  <c:v>1805</c:v>
                </c:pt>
                <c:pt idx="1805">
                  <c:v>1806</c:v>
                </c:pt>
                <c:pt idx="1806">
                  <c:v>1807</c:v>
                </c:pt>
                <c:pt idx="1807">
                  <c:v>1808</c:v>
                </c:pt>
                <c:pt idx="1808">
                  <c:v>1809</c:v>
                </c:pt>
                <c:pt idx="1809">
                  <c:v>1810</c:v>
                </c:pt>
                <c:pt idx="1810">
                  <c:v>1811</c:v>
                </c:pt>
                <c:pt idx="1811">
                  <c:v>1812</c:v>
                </c:pt>
                <c:pt idx="1812">
                  <c:v>1813</c:v>
                </c:pt>
                <c:pt idx="1813">
                  <c:v>1814</c:v>
                </c:pt>
                <c:pt idx="1814">
                  <c:v>1815</c:v>
                </c:pt>
                <c:pt idx="1815">
                  <c:v>1816</c:v>
                </c:pt>
                <c:pt idx="1816">
                  <c:v>1817</c:v>
                </c:pt>
                <c:pt idx="1817">
                  <c:v>1818</c:v>
                </c:pt>
                <c:pt idx="1818">
                  <c:v>1819</c:v>
                </c:pt>
                <c:pt idx="1819">
                  <c:v>1820</c:v>
                </c:pt>
                <c:pt idx="1820">
                  <c:v>1821</c:v>
                </c:pt>
                <c:pt idx="1821">
                  <c:v>1822</c:v>
                </c:pt>
                <c:pt idx="1822">
                  <c:v>1823</c:v>
                </c:pt>
                <c:pt idx="1823">
                  <c:v>1824</c:v>
                </c:pt>
                <c:pt idx="1824">
                  <c:v>1825</c:v>
                </c:pt>
                <c:pt idx="1825">
                  <c:v>1826</c:v>
                </c:pt>
                <c:pt idx="1826">
                  <c:v>1827</c:v>
                </c:pt>
                <c:pt idx="1827">
                  <c:v>1828</c:v>
                </c:pt>
                <c:pt idx="1828">
                  <c:v>1829</c:v>
                </c:pt>
                <c:pt idx="1829">
                  <c:v>1830</c:v>
                </c:pt>
                <c:pt idx="1830">
                  <c:v>1831</c:v>
                </c:pt>
                <c:pt idx="1831">
                  <c:v>1832</c:v>
                </c:pt>
                <c:pt idx="1832">
                  <c:v>1833</c:v>
                </c:pt>
                <c:pt idx="1833">
                  <c:v>1834</c:v>
                </c:pt>
                <c:pt idx="1834">
                  <c:v>1835</c:v>
                </c:pt>
                <c:pt idx="1835">
                  <c:v>1836</c:v>
                </c:pt>
                <c:pt idx="1836">
                  <c:v>1837</c:v>
                </c:pt>
                <c:pt idx="1837">
                  <c:v>1838</c:v>
                </c:pt>
                <c:pt idx="1838">
                  <c:v>1839</c:v>
                </c:pt>
                <c:pt idx="1839">
                  <c:v>1840</c:v>
                </c:pt>
                <c:pt idx="1840">
                  <c:v>1841</c:v>
                </c:pt>
                <c:pt idx="1841">
                  <c:v>1842</c:v>
                </c:pt>
                <c:pt idx="1842">
                  <c:v>1843</c:v>
                </c:pt>
                <c:pt idx="1843">
                  <c:v>1844</c:v>
                </c:pt>
                <c:pt idx="1844">
                  <c:v>1845</c:v>
                </c:pt>
                <c:pt idx="1845">
                  <c:v>1846</c:v>
                </c:pt>
                <c:pt idx="1846">
                  <c:v>1847</c:v>
                </c:pt>
                <c:pt idx="1847">
                  <c:v>1848</c:v>
                </c:pt>
                <c:pt idx="1848">
                  <c:v>1849</c:v>
                </c:pt>
                <c:pt idx="1849">
                  <c:v>1850</c:v>
                </c:pt>
                <c:pt idx="1850">
                  <c:v>1851</c:v>
                </c:pt>
                <c:pt idx="1851">
                  <c:v>1852</c:v>
                </c:pt>
                <c:pt idx="1852">
                  <c:v>1853</c:v>
                </c:pt>
                <c:pt idx="1853">
                  <c:v>1854</c:v>
                </c:pt>
                <c:pt idx="1854">
                  <c:v>1855</c:v>
                </c:pt>
                <c:pt idx="1855">
                  <c:v>1856</c:v>
                </c:pt>
                <c:pt idx="1856">
                  <c:v>1857</c:v>
                </c:pt>
                <c:pt idx="1857">
                  <c:v>1858</c:v>
                </c:pt>
                <c:pt idx="1858">
                  <c:v>1859</c:v>
                </c:pt>
                <c:pt idx="1859">
                  <c:v>1860</c:v>
                </c:pt>
              </c:numCache>
            </c:numRef>
          </c:xVal>
          <c:yVal>
            <c:numRef>
              <c:f>CT_TrainingLiftChart!$BC$4:$BC$1863</c:f>
              <c:numCache>
                <c:formatCode>General</c:formatCode>
                <c:ptCount val="18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338</c:v>
                </c:pt>
                <c:pt idx="340">
                  <c:v>339</c:v>
                </c:pt>
                <c:pt idx="341">
                  <c:v>340</c:v>
                </c:pt>
                <c:pt idx="342">
                  <c:v>341</c:v>
                </c:pt>
                <c:pt idx="343">
                  <c:v>342</c:v>
                </c:pt>
                <c:pt idx="344">
                  <c:v>343</c:v>
                </c:pt>
                <c:pt idx="345">
                  <c:v>344</c:v>
                </c:pt>
                <c:pt idx="346">
                  <c:v>345</c:v>
                </c:pt>
                <c:pt idx="347">
                  <c:v>346</c:v>
                </c:pt>
                <c:pt idx="348">
                  <c:v>347</c:v>
                </c:pt>
                <c:pt idx="349">
                  <c:v>347</c:v>
                </c:pt>
                <c:pt idx="350">
                  <c:v>348</c:v>
                </c:pt>
                <c:pt idx="351">
                  <c:v>349</c:v>
                </c:pt>
                <c:pt idx="352">
                  <c:v>350</c:v>
                </c:pt>
                <c:pt idx="353">
                  <c:v>351</c:v>
                </c:pt>
                <c:pt idx="354">
                  <c:v>352</c:v>
                </c:pt>
                <c:pt idx="355">
                  <c:v>353</c:v>
                </c:pt>
                <c:pt idx="356">
                  <c:v>354</c:v>
                </c:pt>
                <c:pt idx="357">
                  <c:v>355</c:v>
                </c:pt>
                <c:pt idx="358">
                  <c:v>355</c:v>
                </c:pt>
                <c:pt idx="359">
                  <c:v>356</c:v>
                </c:pt>
                <c:pt idx="360">
                  <c:v>357</c:v>
                </c:pt>
                <c:pt idx="361">
                  <c:v>358</c:v>
                </c:pt>
                <c:pt idx="362">
                  <c:v>359</c:v>
                </c:pt>
                <c:pt idx="363">
                  <c:v>360</c:v>
                </c:pt>
                <c:pt idx="364">
                  <c:v>361</c:v>
                </c:pt>
                <c:pt idx="365">
                  <c:v>361</c:v>
                </c:pt>
                <c:pt idx="366">
                  <c:v>361</c:v>
                </c:pt>
                <c:pt idx="367">
                  <c:v>361</c:v>
                </c:pt>
                <c:pt idx="368">
                  <c:v>362</c:v>
                </c:pt>
                <c:pt idx="369">
                  <c:v>363</c:v>
                </c:pt>
                <c:pt idx="370">
                  <c:v>364</c:v>
                </c:pt>
                <c:pt idx="371">
                  <c:v>365</c:v>
                </c:pt>
                <c:pt idx="372">
                  <c:v>366</c:v>
                </c:pt>
                <c:pt idx="373">
                  <c:v>367</c:v>
                </c:pt>
                <c:pt idx="374">
                  <c:v>368</c:v>
                </c:pt>
                <c:pt idx="375">
                  <c:v>369</c:v>
                </c:pt>
                <c:pt idx="376">
                  <c:v>370</c:v>
                </c:pt>
                <c:pt idx="377">
                  <c:v>371</c:v>
                </c:pt>
                <c:pt idx="378">
                  <c:v>371</c:v>
                </c:pt>
                <c:pt idx="379">
                  <c:v>372</c:v>
                </c:pt>
                <c:pt idx="380">
                  <c:v>373</c:v>
                </c:pt>
                <c:pt idx="381">
                  <c:v>374</c:v>
                </c:pt>
                <c:pt idx="382">
                  <c:v>375</c:v>
                </c:pt>
                <c:pt idx="383">
                  <c:v>376</c:v>
                </c:pt>
                <c:pt idx="384">
                  <c:v>377</c:v>
                </c:pt>
                <c:pt idx="385">
                  <c:v>378</c:v>
                </c:pt>
                <c:pt idx="386">
                  <c:v>379</c:v>
                </c:pt>
                <c:pt idx="387">
                  <c:v>380</c:v>
                </c:pt>
                <c:pt idx="388">
                  <c:v>380</c:v>
                </c:pt>
                <c:pt idx="389">
                  <c:v>380</c:v>
                </c:pt>
                <c:pt idx="390">
                  <c:v>381</c:v>
                </c:pt>
                <c:pt idx="391">
                  <c:v>382</c:v>
                </c:pt>
                <c:pt idx="392">
                  <c:v>383</c:v>
                </c:pt>
                <c:pt idx="393">
                  <c:v>384</c:v>
                </c:pt>
                <c:pt idx="394">
                  <c:v>385</c:v>
                </c:pt>
                <c:pt idx="395">
                  <c:v>386</c:v>
                </c:pt>
                <c:pt idx="396">
                  <c:v>387</c:v>
                </c:pt>
                <c:pt idx="397">
                  <c:v>388</c:v>
                </c:pt>
                <c:pt idx="398">
                  <c:v>389</c:v>
                </c:pt>
                <c:pt idx="399">
                  <c:v>389</c:v>
                </c:pt>
                <c:pt idx="400">
                  <c:v>390</c:v>
                </c:pt>
                <c:pt idx="401">
                  <c:v>390</c:v>
                </c:pt>
                <c:pt idx="402">
                  <c:v>391</c:v>
                </c:pt>
                <c:pt idx="403">
                  <c:v>392</c:v>
                </c:pt>
                <c:pt idx="404">
                  <c:v>393</c:v>
                </c:pt>
                <c:pt idx="405">
                  <c:v>394</c:v>
                </c:pt>
                <c:pt idx="406">
                  <c:v>395</c:v>
                </c:pt>
                <c:pt idx="407">
                  <c:v>396</c:v>
                </c:pt>
                <c:pt idx="408">
                  <c:v>397</c:v>
                </c:pt>
                <c:pt idx="409">
                  <c:v>397</c:v>
                </c:pt>
                <c:pt idx="410">
                  <c:v>398</c:v>
                </c:pt>
                <c:pt idx="411">
                  <c:v>398</c:v>
                </c:pt>
                <c:pt idx="412">
                  <c:v>399</c:v>
                </c:pt>
                <c:pt idx="413">
                  <c:v>400</c:v>
                </c:pt>
                <c:pt idx="414">
                  <c:v>400</c:v>
                </c:pt>
                <c:pt idx="415">
                  <c:v>401</c:v>
                </c:pt>
                <c:pt idx="416">
                  <c:v>402</c:v>
                </c:pt>
                <c:pt idx="417">
                  <c:v>403</c:v>
                </c:pt>
                <c:pt idx="418">
                  <c:v>403</c:v>
                </c:pt>
                <c:pt idx="419">
                  <c:v>403</c:v>
                </c:pt>
                <c:pt idx="420">
                  <c:v>403</c:v>
                </c:pt>
                <c:pt idx="421">
                  <c:v>404</c:v>
                </c:pt>
                <c:pt idx="422">
                  <c:v>405</c:v>
                </c:pt>
                <c:pt idx="423">
                  <c:v>406</c:v>
                </c:pt>
                <c:pt idx="424">
                  <c:v>407</c:v>
                </c:pt>
                <c:pt idx="425">
                  <c:v>408</c:v>
                </c:pt>
                <c:pt idx="426">
                  <c:v>408</c:v>
                </c:pt>
                <c:pt idx="427">
                  <c:v>409</c:v>
                </c:pt>
                <c:pt idx="428">
                  <c:v>410</c:v>
                </c:pt>
                <c:pt idx="429">
                  <c:v>411</c:v>
                </c:pt>
                <c:pt idx="430">
                  <c:v>412</c:v>
                </c:pt>
                <c:pt idx="431">
                  <c:v>413</c:v>
                </c:pt>
                <c:pt idx="432">
                  <c:v>414</c:v>
                </c:pt>
                <c:pt idx="433">
                  <c:v>414</c:v>
                </c:pt>
                <c:pt idx="434">
                  <c:v>414</c:v>
                </c:pt>
                <c:pt idx="435">
                  <c:v>414</c:v>
                </c:pt>
                <c:pt idx="436">
                  <c:v>415</c:v>
                </c:pt>
                <c:pt idx="437">
                  <c:v>416</c:v>
                </c:pt>
                <c:pt idx="438">
                  <c:v>417</c:v>
                </c:pt>
                <c:pt idx="439">
                  <c:v>417</c:v>
                </c:pt>
                <c:pt idx="440">
                  <c:v>418</c:v>
                </c:pt>
                <c:pt idx="441">
                  <c:v>419</c:v>
                </c:pt>
                <c:pt idx="442">
                  <c:v>420</c:v>
                </c:pt>
                <c:pt idx="443">
                  <c:v>421</c:v>
                </c:pt>
                <c:pt idx="444">
                  <c:v>422</c:v>
                </c:pt>
                <c:pt idx="445">
                  <c:v>423</c:v>
                </c:pt>
                <c:pt idx="446">
                  <c:v>424</c:v>
                </c:pt>
                <c:pt idx="447">
                  <c:v>425</c:v>
                </c:pt>
                <c:pt idx="448">
                  <c:v>426</c:v>
                </c:pt>
                <c:pt idx="449">
                  <c:v>427</c:v>
                </c:pt>
                <c:pt idx="450">
                  <c:v>428</c:v>
                </c:pt>
                <c:pt idx="451">
                  <c:v>429</c:v>
                </c:pt>
                <c:pt idx="452">
                  <c:v>429</c:v>
                </c:pt>
                <c:pt idx="453">
                  <c:v>429</c:v>
                </c:pt>
                <c:pt idx="454">
                  <c:v>429</c:v>
                </c:pt>
                <c:pt idx="455">
                  <c:v>430</c:v>
                </c:pt>
                <c:pt idx="456">
                  <c:v>430</c:v>
                </c:pt>
                <c:pt idx="457">
                  <c:v>430</c:v>
                </c:pt>
                <c:pt idx="458">
                  <c:v>430</c:v>
                </c:pt>
                <c:pt idx="459">
                  <c:v>431</c:v>
                </c:pt>
                <c:pt idx="460">
                  <c:v>432</c:v>
                </c:pt>
                <c:pt idx="461">
                  <c:v>433</c:v>
                </c:pt>
                <c:pt idx="462">
                  <c:v>433</c:v>
                </c:pt>
                <c:pt idx="463">
                  <c:v>433</c:v>
                </c:pt>
                <c:pt idx="464">
                  <c:v>434</c:v>
                </c:pt>
                <c:pt idx="465">
                  <c:v>435</c:v>
                </c:pt>
                <c:pt idx="466">
                  <c:v>436</c:v>
                </c:pt>
                <c:pt idx="467">
                  <c:v>436</c:v>
                </c:pt>
                <c:pt idx="468">
                  <c:v>436</c:v>
                </c:pt>
                <c:pt idx="469">
                  <c:v>437</c:v>
                </c:pt>
                <c:pt idx="470">
                  <c:v>437</c:v>
                </c:pt>
                <c:pt idx="471">
                  <c:v>438</c:v>
                </c:pt>
                <c:pt idx="472">
                  <c:v>438</c:v>
                </c:pt>
                <c:pt idx="473">
                  <c:v>439</c:v>
                </c:pt>
                <c:pt idx="474">
                  <c:v>439</c:v>
                </c:pt>
                <c:pt idx="475">
                  <c:v>440</c:v>
                </c:pt>
                <c:pt idx="476">
                  <c:v>441</c:v>
                </c:pt>
                <c:pt idx="477">
                  <c:v>442</c:v>
                </c:pt>
                <c:pt idx="478">
                  <c:v>443</c:v>
                </c:pt>
                <c:pt idx="479">
                  <c:v>444</c:v>
                </c:pt>
                <c:pt idx="480">
                  <c:v>445</c:v>
                </c:pt>
                <c:pt idx="481">
                  <c:v>446</c:v>
                </c:pt>
                <c:pt idx="482">
                  <c:v>446</c:v>
                </c:pt>
                <c:pt idx="483">
                  <c:v>447</c:v>
                </c:pt>
                <c:pt idx="484">
                  <c:v>447</c:v>
                </c:pt>
                <c:pt idx="485">
                  <c:v>447</c:v>
                </c:pt>
                <c:pt idx="486">
                  <c:v>448</c:v>
                </c:pt>
                <c:pt idx="487">
                  <c:v>449</c:v>
                </c:pt>
                <c:pt idx="488">
                  <c:v>450</c:v>
                </c:pt>
                <c:pt idx="489">
                  <c:v>451</c:v>
                </c:pt>
                <c:pt idx="490">
                  <c:v>452</c:v>
                </c:pt>
                <c:pt idx="491">
                  <c:v>452</c:v>
                </c:pt>
                <c:pt idx="492">
                  <c:v>453</c:v>
                </c:pt>
                <c:pt idx="493">
                  <c:v>454</c:v>
                </c:pt>
                <c:pt idx="494">
                  <c:v>455</c:v>
                </c:pt>
                <c:pt idx="495">
                  <c:v>455</c:v>
                </c:pt>
                <c:pt idx="496">
                  <c:v>456</c:v>
                </c:pt>
                <c:pt idx="497">
                  <c:v>457</c:v>
                </c:pt>
                <c:pt idx="498">
                  <c:v>458</c:v>
                </c:pt>
                <c:pt idx="499">
                  <c:v>459</c:v>
                </c:pt>
                <c:pt idx="500">
                  <c:v>459</c:v>
                </c:pt>
                <c:pt idx="501">
                  <c:v>459</c:v>
                </c:pt>
                <c:pt idx="502">
                  <c:v>460</c:v>
                </c:pt>
                <c:pt idx="503">
                  <c:v>460</c:v>
                </c:pt>
                <c:pt idx="504">
                  <c:v>460</c:v>
                </c:pt>
                <c:pt idx="505">
                  <c:v>461</c:v>
                </c:pt>
                <c:pt idx="506">
                  <c:v>461</c:v>
                </c:pt>
                <c:pt idx="507">
                  <c:v>461</c:v>
                </c:pt>
                <c:pt idx="508">
                  <c:v>462</c:v>
                </c:pt>
                <c:pt idx="509">
                  <c:v>462</c:v>
                </c:pt>
                <c:pt idx="510">
                  <c:v>462</c:v>
                </c:pt>
                <c:pt idx="511">
                  <c:v>463</c:v>
                </c:pt>
                <c:pt idx="512">
                  <c:v>464</c:v>
                </c:pt>
                <c:pt idx="513">
                  <c:v>465</c:v>
                </c:pt>
                <c:pt idx="514">
                  <c:v>465</c:v>
                </c:pt>
                <c:pt idx="515">
                  <c:v>465</c:v>
                </c:pt>
                <c:pt idx="516">
                  <c:v>465</c:v>
                </c:pt>
                <c:pt idx="517">
                  <c:v>466</c:v>
                </c:pt>
                <c:pt idx="518">
                  <c:v>467</c:v>
                </c:pt>
                <c:pt idx="519">
                  <c:v>468</c:v>
                </c:pt>
                <c:pt idx="520">
                  <c:v>469</c:v>
                </c:pt>
                <c:pt idx="521">
                  <c:v>469</c:v>
                </c:pt>
                <c:pt idx="522">
                  <c:v>470</c:v>
                </c:pt>
                <c:pt idx="523">
                  <c:v>470</c:v>
                </c:pt>
                <c:pt idx="524">
                  <c:v>470</c:v>
                </c:pt>
                <c:pt idx="525">
                  <c:v>471</c:v>
                </c:pt>
                <c:pt idx="526">
                  <c:v>471</c:v>
                </c:pt>
                <c:pt idx="527">
                  <c:v>472</c:v>
                </c:pt>
                <c:pt idx="528">
                  <c:v>472</c:v>
                </c:pt>
                <c:pt idx="529">
                  <c:v>473</c:v>
                </c:pt>
                <c:pt idx="530">
                  <c:v>473</c:v>
                </c:pt>
                <c:pt idx="531">
                  <c:v>473</c:v>
                </c:pt>
                <c:pt idx="532">
                  <c:v>473</c:v>
                </c:pt>
                <c:pt idx="533">
                  <c:v>473</c:v>
                </c:pt>
                <c:pt idx="534">
                  <c:v>473</c:v>
                </c:pt>
                <c:pt idx="535">
                  <c:v>474</c:v>
                </c:pt>
                <c:pt idx="536">
                  <c:v>474</c:v>
                </c:pt>
                <c:pt idx="537">
                  <c:v>474</c:v>
                </c:pt>
                <c:pt idx="538">
                  <c:v>474</c:v>
                </c:pt>
                <c:pt idx="539">
                  <c:v>474</c:v>
                </c:pt>
                <c:pt idx="540">
                  <c:v>474</c:v>
                </c:pt>
                <c:pt idx="541">
                  <c:v>474</c:v>
                </c:pt>
                <c:pt idx="542">
                  <c:v>475</c:v>
                </c:pt>
                <c:pt idx="543">
                  <c:v>476</c:v>
                </c:pt>
                <c:pt idx="544">
                  <c:v>477</c:v>
                </c:pt>
                <c:pt idx="545">
                  <c:v>478</c:v>
                </c:pt>
                <c:pt idx="546">
                  <c:v>479</c:v>
                </c:pt>
                <c:pt idx="547">
                  <c:v>480</c:v>
                </c:pt>
                <c:pt idx="548">
                  <c:v>481</c:v>
                </c:pt>
                <c:pt idx="549">
                  <c:v>482</c:v>
                </c:pt>
                <c:pt idx="550">
                  <c:v>483</c:v>
                </c:pt>
                <c:pt idx="551">
                  <c:v>484</c:v>
                </c:pt>
                <c:pt idx="552">
                  <c:v>484</c:v>
                </c:pt>
                <c:pt idx="553">
                  <c:v>484</c:v>
                </c:pt>
                <c:pt idx="554">
                  <c:v>484</c:v>
                </c:pt>
                <c:pt idx="555">
                  <c:v>484</c:v>
                </c:pt>
                <c:pt idx="556">
                  <c:v>484</c:v>
                </c:pt>
                <c:pt idx="557">
                  <c:v>484</c:v>
                </c:pt>
                <c:pt idx="558">
                  <c:v>484</c:v>
                </c:pt>
                <c:pt idx="559">
                  <c:v>484</c:v>
                </c:pt>
                <c:pt idx="560">
                  <c:v>485</c:v>
                </c:pt>
                <c:pt idx="561">
                  <c:v>486</c:v>
                </c:pt>
                <c:pt idx="562">
                  <c:v>486</c:v>
                </c:pt>
                <c:pt idx="563">
                  <c:v>487</c:v>
                </c:pt>
                <c:pt idx="564">
                  <c:v>488</c:v>
                </c:pt>
                <c:pt idx="565">
                  <c:v>489</c:v>
                </c:pt>
                <c:pt idx="566">
                  <c:v>489</c:v>
                </c:pt>
                <c:pt idx="567">
                  <c:v>490</c:v>
                </c:pt>
                <c:pt idx="568">
                  <c:v>491</c:v>
                </c:pt>
                <c:pt idx="569">
                  <c:v>491</c:v>
                </c:pt>
                <c:pt idx="570">
                  <c:v>491</c:v>
                </c:pt>
                <c:pt idx="571">
                  <c:v>491</c:v>
                </c:pt>
                <c:pt idx="572">
                  <c:v>492</c:v>
                </c:pt>
                <c:pt idx="573">
                  <c:v>492</c:v>
                </c:pt>
                <c:pt idx="574">
                  <c:v>493</c:v>
                </c:pt>
                <c:pt idx="575">
                  <c:v>494</c:v>
                </c:pt>
                <c:pt idx="576">
                  <c:v>494</c:v>
                </c:pt>
                <c:pt idx="577">
                  <c:v>494</c:v>
                </c:pt>
                <c:pt idx="578">
                  <c:v>494</c:v>
                </c:pt>
                <c:pt idx="579">
                  <c:v>495</c:v>
                </c:pt>
                <c:pt idx="580">
                  <c:v>495</c:v>
                </c:pt>
                <c:pt idx="581">
                  <c:v>495</c:v>
                </c:pt>
                <c:pt idx="582">
                  <c:v>495</c:v>
                </c:pt>
                <c:pt idx="583">
                  <c:v>496</c:v>
                </c:pt>
                <c:pt idx="584">
                  <c:v>496</c:v>
                </c:pt>
                <c:pt idx="585">
                  <c:v>497</c:v>
                </c:pt>
                <c:pt idx="586">
                  <c:v>498</c:v>
                </c:pt>
                <c:pt idx="587">
                  <c:v>499</c:v>
                </c:pt>
                <c:pt idx="588">
                  <c:v>499</c:v>
                </c:pt>
                <c:pt idx="589">
                  <c:v>499</c:v>
                </c:pt>
                <c:pt idx="590">
                  <c:v>499</c:v>
                </c:pt>
                <c:pt idx="591">
                  <c:v>499</c:v>
                </c:pt>
                <c:pt idx="592">
                  <c:v>500</c:v>
                </c:pt>
                <c:pt idx="593">
                  <c:v>500</c:v>
                </c:pt>
                <c:pt idx="594">
                  <c:v>500</c:v>
                </c:pt>
                <c:pt idx="595">
                  <c:v>500</c:v>
                </c:pt>
                <c:pt idx="596">
                  <c:v>501</c:v>
                </c:pt>
                <c:pt idx="597">
                  <c:v>501</c:v>
                </c:pt>
                <c:pt idx="598">
                  <c:v>501</c:v>
                </c:pt>
                <c:pt idx="599">
                  <c:v>502</c:v>
                </c:pt>
                <c:pt idx="600">
                  <c:v>503</c:v>
                </c:pt>
                <c:pt idx="601">
                  <c:v>503</c:v>
                </c:pt>
                <c:pt idx="602">
                  <c:v>503</c:v>
                </c:pt>
                <c:pt idx="603">
                  <c:v>503</c:v>
                </c:pt>
                <c:pt idx="604">
                  <c:v>504</c:v>
                </c:pt>
                <c:pt idx="605">
                  <c:v>504</c:v>
                </c:pt>
                <c:pt idx="606">
                  <c:v>505</c:v>
                </c:pt>
                <c:pt idx="607">
                  <c:v>505</c:v>
                </c:pt>
                <c:pt idx="608">
                  <c:v>505</c:v>
                </c:pt>
                <c:pt idx="609">
                  <c:v>506</c:v>
                </c:pt>
                <c:pt idx="610">
                  <c:v>506</c:v>
                </c:pt>
                <c:pt idx="611">
                  <c:v>506</c:v>
                </c:pt>
                <c:pt idx="612">
                  <c:v>506</c:v>
                </c:pt>
                <c:pt idx="613">
                  <c:v>506</c:v>
                </c:pt>
                <c:pt idx="614">
                  <c:v>506</c:v>
                </c:pt>
                <c:pt idx="615">
                  <c:v>507</c:v>
                </c:pt>
                <c:pt idx="616">
                  <c:v>507</c:v>
                </c:pt>
                <c:pt idx="617">
                  <c:v>507</c:v>
                </c:pt>
                <c:pt idx="618">
                  <c:v>508</c:v>
                </c:pt>
                <c:pt idx="619">
                  <c:v>508</c:v>
                </c:pt>
                <c:pt idx="620">
                  <c:v>508</c:v>
                </c:pt>
                <c:pt idx="621">
                  <c:v>508</c:v>
                </c:pt>
                <c:pt idx="622">
                  <c:v>509</c:v>
                </c:pt>
                <c:pt idx="623">
                  <c:v>509</c:v>
                </c:pt>
                <c:pt idx="624">
                  <c:v>510</c:v>
                </c:pt>
                <c:pt idx="625">
                  <c:v>510</c:v>
                </c:pt>
                <c:pt idx="626">
                  <c:v>511</c:v>
                </c:pt>
                <c:pt idx="627">
                  <c:v>512</c:v>
                </c:pt>
                <c:pt idx="628">
                  <c:v>513</c:v>
                </c:pt>
                <c:pt idx="629">
                  <c:v>514</c:v>
                </c:pt>
                <c:pt idx="630">
                  <c:v>514</c:v>
                </c:pt>
                <c:pt idx="631">
                  <c:v>514</c:v>
                </c:pt>
                <c:pt idx="632">
                  <c:v>514</c:v>
                </c:pt>
                <c:pt idx="633">
                  <c:v>514</c:v>
                </c:pt>
                <c:pt idx="634">
                  <c:v>514</c:v>
                </c:pt>
                <c:pt idx="635">
                  <c:v>514</c:v>
                </c:pt>
                <c:pt idx="636">
                  <c:v>514</c:v>
                </c:pt>
                <c:pt idx="637">
                  <c:v>514</c:v>
                </c:pt>
                <c:pt idx="638">
                  <c:v>514</c:v>
                </c:pt>
                <c:pt idx="639">
                  <c:v>514</c:v>
                </c:pt>
                <c:pt idx="640">
                  <c:v>514</c:v>
                </c:pt>
                <c:pt idx="641">
                  <c:v>514</c:v>
                </c:pt>
                <c:pt idx="642">
                  <c:v>514</c:v>
                </c:pt>
                <c:pt idx="643">
                  <c:v>514</c:v>
                </c:pt>
                <c:pt idx="644">
                  <c:v>514</c:v>
                </c:pt>
                <c:pt idx="645">
                  <c:v>514</c:v>
                </c:pt>
                <c:pt idx="646">
                  <c:v>514</c:v>
                </c:pt>
                <c:pt idx="647">
                  <c:v>515</c:v>
                </c:pt>
                <c:pt idx="648">
                  <c:v>515</c:v>
                </c:pt>
                <c:pt idx="649">
                  <c:v>515</c:v>
                </c:pt>
                <c:pt idx="650">
                  <c:v>515</c:v>
                </c:pt>
                <c:pt idx="651">
                  <c:v>516</c:v>
                </c:pt>
                <c:pt idx="652">
                  <c:v>516</c:v>
                </c:pt>
                <c:pt idx="653">
                  <c:v>516</c:v>
                </c:pt>
                <c:pt idx="654">
                  <c:v>516</c:v>
                </c:pt>
                <c:pt idx="655">
                  <c:v>516</c:v>
                </c:pt>
                <c:pt idx="656">
                  <c:v>517</c:v>
                </c:pt>
                <c:pt idx="657">
                  <c:v>517</c:v>
                </c:pt>
                <c:pt idx="658">
                  <c:v>517</c:v>
                </c:pt>
                <c:pt idx="659">
                  <c:v>517</c:v>
                </c:pt>
                <c:pt idx="660">
                  <c:v>517</c:v>
                </c:pt>
                <c:pt idx="661">
                  <c:v>518</c:v>
                </c:pt>
                <c:pt idx="662">
                  <c:v>518</c:v>
                </c:pt>
                <c:pt idx="663">
                  <c:v>518</c:v>
                </c:pt>
                <c:pt idx="664">
                  <c:v>518</c:v>
                </c:pt>
                <c:pt idx="665">
                  <c:v>518</c:v>
                </c:pt>
                <c:pt idx="666">
                  <c:v>518</c:v>
                </c:pt>
                <c:pt idx="667">
                  <c:v>518</c:v>
                </c:pt>
                <c:pt idx="668">
                  <c:v>518</c:v>
                </c:pt>
                <c:pt idx="669">
                  <c:v>519</c:v>
                </c:pt>
                <c:pt idx="670">
                  <c:v>519</c:v>
                </c:pt>
                <c:pt idx="671">
                  <c:v>519</c:v>
                </c:pt>
                <c:pt idx="672">
                  <c:v>519</c:v>
                </c:pt>
                <c:pt idx="673">
                  <c:v>519</c:v>
                </c:pt>
                <c:pt idx="674">
                  <c:v>519</c:v>
                </c:pt>
                <c:pt idx="675">
                  <c:v>519</c:v>
                </c:pt>
                <c:pt idx="676">
                  <c:v>519</c:v>
                </c:pt>
                <c:pt idx="677">
                  <c:v>519</c:v>
                </c:pt>
                <c:pt idx="678">
                  <c:v>519</c:v>
                </c:pt>
                <c:pt idx="679">
                  <c:v>519</c:v>
                </c:pt>
                <c:pt idx="680">
                  <c:v>519</c:v>
                </c:pt>
                <c:pt idx="681">
                  <c:v>519</c:v>
                </c:pt>
                <c:pt idx="682">
                  <c:v>519</c:v>
                </c:pt>
                <c:pt idx="683">
                  <c:v>520</c:v>
                </c:pt>
                <c:pt idx="684">
                  <c:v>520</c:v>
                </c:pt>
                <c:pt idx="685">
                  <c:v>520</c:v>
                </c:pt>
                <c:pt idx="686">
                  <c:v>520</c:v>
                </c:pt>
                <c:pt idx="687">
                  <c:v>520</c:v>
                </c:pt>
                <c:pt idx="688">
                  <c:v>520</c:v>
                </c:pt>
                <c:pt idx="689">
                  <c:v>521</c:v>
                </c:pt>
                <c:pt idx="690">
                  <c:v>521</c:v>
                </c:pt>
                <c:pt idx="691">
                  <c:v>521</c:v>
                </c:pt>
                <c:pt idx="692">
                  <c:v>521</c:v>
                </c:pt>
                <c:pt idx="693">
                  <c:v>521</c:v>
                </c:pt>
                <c:pt idx="694">
                  <c:v>521</c:v>
                </c:pt>
                <c:pt idx="695">
                  <c:v>521</c:v>
                </c:pt>
                <c:pt idx="696">
                  <c:v>521</c:v>
                </c:pt>
                <c:pt idx="697">
                  <c:v>521</c:v>
                </c:pt>
                <c:pt idx="698">
                  <c:v>521</c:v>
                </c:pt>
                <c:pt idx="699">
                  <c:v>521</c:v>
                </c:pt>
                <c:pt idx="700">
                  <c:v>521</c:v>
                </c:pt>
                <c:pt idx="701">
                  <c:v>521</c:v>
                </c:pt>
                <c:pt idx="702">
                  <c:v>521</c:v>
                </c:pt>
                <c:pt idx="703">
                  <c:v>521</c:v>
                </c:pt>
                <c:pt idx="704">
                  <c:v>521</c:v>
                </c:pt>
                <c:pt idx="705">
                  <c:v>521</c:v>
                </c:pt>
                <c:pt idx="706">
                  <c:v>521</c:v>
                </c:pt>
                <c:pt idx="707">
                  <c:v>521</c:v>
                </c:pt>
                <c:pt idx="708">
                  <c:v>521</c:v>
                </c:pt>
                <c:pt idx="709">
                  <c:v>521</c:v>
                </c:pt>
                <c:pt idx="710">
                  <c:v>521</c:v>
                </c:pt>
                <c:pt idx="711">
                  <c:v>522</c:v>
                </c:pt>
                <c:pt idx="712">
                  <c:v>522</c:v>
                </c:pt>
                <c:pt idx="713">
                  <c:v>522</c:v>
                </c:pt>
                <c:pt idx="714">
                  <c:v>522</c:v>
                </c:pt>
                <c:pt idx="715">
                  <c:v>522</c:v>
                </c:pt>
                <c:pt idx="716">
                  <c:v>522</c:v>
                </c:pt>
                <c:pt idx="717">
                  <c:v>522</c:v>
                </c:pt>
                <c:pt idx="718">
                  <c:v>522</c:v>
                </c:pt>
                <c:pt idx="719">
                  <c:v>522</c:v>
                </c:pt>
                <c:pt idx="720">
                  <c:v>522</c:v>
                </c:pt>
                <c:pt idx="721">
                  <c:v>522</c:v>
                </c:pt>
                <c:pt idx="722">
                  <c:v>522</c:v>
                </c:pt>
                <c:pt idx="723">
                  <c:v>522</c:v>
                </c:pt>
                <c:pt idx="724">
                  <c:v>523</c:v>
                </c:pt>
                <c:pt idx="725">
                  <c:v>523</c:v>
                </c:pt>
                <c:pt idx="726">
                  <c:v>523</c:v>
                </c:pt>
                <c:pt idx="727">
                  <c:v>523</c:v>
                </c:pt>
                <c:pt idx="728">
                  <c:v>523</c:v>
                </c:pt>
                <c:pt idx="729">
                  <c:v>523</c:v>
                </c:pt>
                <c:pt idx="730">
                  <c:v>523</c:v>
                </c:pt>
                <c:pt idx="731">
                  <c:v>523</c:v>
                </c:pt>
                <c:pt idx="732">
                  <c:v>523</c:v>
                </c:pt>
                <c:pt idx="733">
                  <c:v>523</c:v>
                </c:pt>
                <c:pt idx="734">
                  <c:v>523</c:v>
                </c:pt>
                <c:pt idx="735">
                  <c:v>523</c:v>
                </c:pt>
                <c:pt idx="736">
                  <c:v>523</c:v>
                </c:pt>
                <c:pt idx="737">
                  <c:v>523</c:v>
                </c:pt>
                <c:pt idx="738">
                  <c:v>523</c:v>
                </c:pt>
                <c:pt idx="739">
                  <c:v>523</c:v>
                </c:pt>
                <c:pt idx="740">
                  <c:v>523</c:v>
                </c:pt>
                <c:pt idx="741">
                  <c:v>523</c:v>
                </c:pt>
                <c:pt idx="742">
                  <c:v>523</c:v>
                </c:pt>
                <c:pt idx="743">
                  <c:v>524</c:v>
                </c:pt>
                <c:pt idx="744">
                  <c:v>524</c:v>
                </c:pt>
                <c:pt idx="745">
                  <c:v>524</c:v>
                </c:pt>
                <c:pt idx="746">
                  <c:v>524</c:v>
                </c:pt>
                <c:pt idx="747">
                  <c:v>524</c:v>
                </c:pt>
                <c:pt idx="748">
                  <c:v>524</c:v>
                </c:pt>
                <c:pt idx="749">
                  <c:v>524</c:v>
                </c:pt>
                <c:pt idx="750">
                  <c:v>524</c:v>
                </c:pt>
                <c:pt idx="751">
                  <c:v>524</c:v>
                </c:pt>
                <c:pt idx="752">
                  <c:v>524</c:v>
                </c:pt>
                <c:pt idx="753">
                  <c:v>524</c:v>
                </c:pt>
                <c:pt idx="754">
                  <c:v>524</c:v>
                </c:pt>
                <c:pt idx="755">
                  <c:v>524</c:v>
                </c:pt>
                <c:pt idx="756">
                  <c:v>524</c:v>
                </c:pt>
                <c:pt idx="757">
                  <c:v>524</c:v>
                </c:pt>
                <c:pt idx="758">
                  <c:v>524</c:v>
                </c:pt>
                <c:pt idx="759">
                  <c:v>524</c:v>
                </c:pt>
                <c:pt idx="760">
                  <c:v>524</c:v>
                </c:pt>
                <c:pt idx="761">
                  <c:v>524</c:v>
                </c:pt>
                <c:pt idx="762">
                  <c:v>524</c:v>
                </c:pt>
                <c:pt idx="763">
                  <c:v>524</c:v>
                </c:pt>
                <c:pt idx="764">
                  <c:v>524</c:v>
                </c:pt>
                <c:pt idx="765">
                  <c:v>524</c:v>
                </c:pt>
                <c:pt idx="766">
                  <c:v>524</c:v>
                </c:pt>
                <c:pt idx="767">
                  <c:v>524</c:v>
                </c:pt>
                <c:pt idx="768">
                  <c:v>524</c:v>
                </c:pt>
                <c:pt idx="769">
                  <c:v>524</c:v>
                </c:pt>
                <c:pt idx="770">
                  <c:v>524</c:v>
                </c:pt>
                <c:pt idx="771">
                  <c:v>524</c:v>
                </c:pt>
                <c:pt idx="772">
                  <c:v>524</c:v>
                </c:pt>
                <c:pt idx="773">
                  <c:v>524</c:v>
                </c:pt>
                <c:pt idx="774">
                  <c:v>524</c:v>
                </c:pt>
                <c:pt idx="775">
                  <c:v>524</c:v>
                </c:pt>
                <c:pt idx="776">
                  <c:v>524</c:v>
                </c:pt>
                <c:pt idx="777">
                  <c:v>524</c:v>
                </c:pt>
                <c:pt idx="778">
                  <c:v>524</c:v>
                </c:pt>
                <c:pt idx="779">
                  <c:v>524</c:v>
                </c:pt>
                <c:pt idx="780">
                  <c:v>524</c:v>
                </c:pt>
                <c:pt idx="781">
                  <c:v>524</c:v>
                </c:pt>
                <c:pt idx="782">
                  <c:v>524</c:v>
                </c:pt>
                <c:pt idx="783">
                  <c:v>524</c:v>
                </c:pt>
                <c:pt idx="784">
                  <c:v>524</c:v>
                </c:pt>
                <c:pt idx="785">
                  <c:v>524</c:v>
                </c:pt>
                <c:pt idx="786">
                  <c:v>524</c:v>
                </c:pt>
                <c:pt idx="787">
                  <c:v>524</c:v>
                </c:pt>
                <c:pt idx="788">
                  <c:v>525</c:v>
                </c:pt>
                <c:pt idx="789">
                  <c:v>525</c:v>
                </c:pt>
                <c:pt idx="790">
                  <c:v>525</c:v>
                </c:pt>
                <c:pt idx="791">
                  <c:v>525</c:v>
                </c:pt>
                <c:pt idx="792">
                  <c:v>525</c:v>
                </c:pt>
                <c:pt idx="793">
                  <c:v>525</c:v>
                </c:pt>
                <c:pt idx="794">
                  <c:v>525</c:v>
                </c:pt>
                <c:pt idx="795">
                  <c:v>525</c:v>
                </c:pt>
                <c:pt idx="796">
                  <c:v>525</c:v>
                </c:pt>
                <c:pt idx="797">
                  <c:v>525</c:v>
                </c:pt>
                <c:pt idx="798">
                  <c:v>525</c:v>
                </c:pt>
                <c:pt idx="799">
                  <c:v>525</c:v>
                </c:pt>
                <c:pt idx="800">
                  <c:v>525</c:v>
                </c:pt>
                <c:pt idx="801">
                  <c:v>525</c:v>
                </c:pt>
                <c:pt idx="802">
                  <c:v>525</c:v>
                </c:pt>
                <c:pt idx="803">
                  <c:v>525</c:v>
                </c:pt>
                <c:pt idx="804">
                  <c:v>525</c:v>
                </c:pt>
                <c:pt idx="805">
                  <c:v>525</c:v>
                </c:pt>
                <c:pt idx="806">
                  <c:v>525</c:v>
                </c:pt>
                <c:pt idx="807">
                  <c:v>525</c:v>
                </c:pt>
                <c:pt idx="808">
                  <c:v>525</c:v>
                </c:pt>
                <c:pt idx="809">
                  <c:v>525</c:v>
                </c:pt>
                <c:pt idx="810">
                  <c:v>525</c:v>
                </c:pt>
                <c:pt idx="811">
                  <c:v>525</c:v>
                </c:pt>
                <c:pt idx="812">
                  <c:v>525</c:v>
                </c:pt>
                <c:pt idx="813">
                  <c:v>525</c:v>
                </c:pt>
                <c:pt idx="814">
                  <c:v>525</c:v>
                </c:pt>
                <c:pt idx="815">
                  <c:v>525</c:v>
                </c:pt>
                <c:pt idx="816">
                  <c:v>525</c:v>
                </c:pt>
                <c:pt idx="817">
                  <c:v>525</c:v>
                </c:pt>
                <c:pt idx="818">
                  <c:v>525</c:v>
                </c:pt>
                <c:pt idx="819">
                  <c:v>525</c:v>
                </c:pt>
                <c:pt idx="820">
                  <c:v>525</c:v>
                </c:pt>
                <c:pt idx="821">
                  <c:v>525</c:v>
                </c:pt>
                <c:pt idx="822">
                  <c:v>525</c:v>
                </c:pt>
                <c:pt idx="823">
                  <c:v>525</c:v>
                </c:pt>
                <c:pt idx="824">
                  <c:v>525</c:v>
                </c:pt>
                <c:pt idx="825">
                  <c:v>525</c:v>
                </c:pt>
                <c:pt idx="826">
                  <c:v>525</c:v>
                </c:pt>
                <c:pt idx="827">
                  <c:v>525</c:v>
                </c:pt>
                <c:pt idx="828">
                  <c:v>525</c:v>
                </c:pt>
                <c:pt idx="829">
                  <c:v>525</c:v>
                </c:pt>
                <c:pt idx="830">
                  <c:v>525</c:v>
                </c:pt>
                <c:pt idx="831">
                  <c:v>525</c:v>
                </c:pt>
                <c:pt idx="832">
                  <c:v>525</c:v>
                </c:pt>
                <c:pt idx="833">
                  <c:v>525</c:v>
                </c:pt>
                <c:pt idx="834">
                  <c:v>525</c:v>
                </c:pt>
                <c:pt idx="835">
                  <c:v>525</c:v>
                </c:pt>
                <c:pt idx="836">
                  <c:v>525</c:v>
                </c:pt>
                <c:pt idx="837">
                  <c:v>525</c:v>
                </c:pt>
                <c:pt idx="838">
                  <c:v>525</c:v>
                </c:pt>
                <c:pt idx="839">
                  <c:v>525</c:v>
                </c:pt>
                <c:pt idx="840">
                  <c:v>525</c:v>
                </c:pt>
                <c:pt idx="841">
                  <c:v>525</c:v>
                </c:pt>
                <c:pt idx="842">
                  <c:v>525</c:v>
                </c:pt>
                <c:pt idx="843">
                  <c:v>525</c:v>
                </c:pt>
                <c:pt idx="844">
                  <c:v>525</c:v>
                </c:pt>
                <c:pt idx="845">
                  <c:v>525</c:v>
                </c:pt>
                <c:pt idx="846">
                  <c:v>525</c:v>
                </c:pt>
                <c:pt idx="847">
                  <c:v>525</c:v>
                </c:pt>
                <c:pt idx="848">
                  <c:v>525</c:v>
                </c:pt>
                <c:pt idx="849">
                  <c:v>525</c:v>
                </c:pt>
                <c:pt idx="850">
                  <c:v>525</c:v>
                </c:pt>
                <c:pt idx="851">
                  <c:v>525</c:v>
                </c:pt>
                <c:pt idx="852">
                  <c:v>525</c:v>
                </c:pt>
                <c:pt idx="853">
                  <c:v>525</c:v>
                </c:pt>
                <c:pt idx="854">
                  <c:v>525</c:v>
                </c:pt>
                <c:pt idx="855">
                  <c:v>525</c:v>
                </c:pt>
                <c:pt idx="856">
                  <c:v>525</c:v>
                </c:pt>
                <c:pt idx="857">
                  <c:v>525</c:v>
                </c:pt>
                <c:pt idx="858">
                  <c:v>525</c:v>
                </c:pt>
                <c:pt idx="859">
                  <c:v>525</c:v>
                </c:pt>
                <c:pt idx="860">
                  <c:v>525</c:v>
                </c:pt>
                <c:pt idx="861">
                  <c:v>525</c:v>
                </c:pt>
                <c:pt idx="862">
                  <c:v>525</c:v>
                </c:pt>
                <c:pt idx="863">
                  <c:v>525</c:v>
                </c:pt>
                <c:pt idx="864">
                  <c:v>525</c:v>
                </c:pt>
                <c:pt idx="865">
                  <c:v>525</c:v>
                </c:pt>
                <c:pt idx="866">
                  <c:v>525</c:v>
                </c:pt>
                <c:pt idx="867">
                  <c:v>525</c:v>
                </c:pt>
                <c:pt idx="868">
                  <c:v>525</c:v>
                </c:pt>
                <c:pt idx="869">
                  <c:v>525</c:v>
                </c:pt>
                <c:pt idx="870">
                  <c:v>525</c:v>
                </c:pt>
                <c:pt idx="871">
                  <c:v>525</c:v>
                </c:pt>
                <c:pt idx="872">
                  <c:v>525</c:v>
                </c:pt>
                <c:pt idx="873">
                  <c:v>525</c:v>
                </c:pt>
                <c:pt idx="874">
                  <c:v>525</c:v>
                </c:pt>
                <c:pt idx="875">
                  <c:v>525</c:v>
                </c:pt>
                <c:pt idx="876">
                  <c:v>525</c:v>
                </c:pt>
                <c:pt idx="877">
                  <c:v>525</c:v>
                </c:pt>
                <c:pt idx="878">
                  <c:v>525</c:v>
                </c:pt>
                <c:pt idx="879">
                  <c:v>525</c:v>
                </c:pt>
                <c:pt idx="880">
                  <c:v>525</c:v>
                </c:pt>
                <c:pt idx="881">
                  <c:v>525</c:v>
                </c:pt>
                <c:pt idx="882">
                  <c:v>525</c:v>
                </c:pt>
                <c:pt idx="883">
                  <c:v>525</c:v>
                </c:pt>
                <c:pt idx="884">
                  <c:v>525</c:v>
                </c:pt>
                <c:pt idx="885">
                  <c:v>525</c:v>
                </c:pt>
                <c:pt idx="886">
                  <c:v>525</c:v>
                </c:pt>
                <c:pt idx="887">
                  <c:v>525</c:v>
                </c:pt>
                <c:pt idx="888">
                  <c:v>525</c:v>
                </c:pt>
                <c:pt idx="889">
                  <c:v>525</c:v>
                </c:pt>
                <c:pt idx="890">
                  <c:v>525</c:v>
                </c:pt>
                <c:pt idx="891">
                  <c:v>525</c:v>
                </c:pt>
                <c:pt idx="892">
                  <c:v>525</c:v>
                </c:pt>
                <c:pt idx="893">
                  <c:v>525</c:v>
                </c:pt>
                <c:pt idx="894">
                  <c:v>525</c:v>
                </c:pt>
                <c:pt idx="895">
                  <c:v>525</c:v>
                </c:pt>
                <c:pt idx="896">
                  <c:v>525</c:v>
                </c:pt>
                <c:pt idx="897">
                  <c:v>525</c:v>
                </c:pt>
                <c:pt idx="898">
                  <c:v>525</c:v>
                </c:pt>
                <c:pt idx="899">
                  <c:v>525</c:v>
                </c:pt>
                <c:pt idx="900">
                  <c:v>525</c:v>
                </c:pt>
                <c:pt idx="901">
                  <c:v>525</c:v>
                </c:pt>
                <c:pt idx="902">
                  <c:v>525</c:v>
                </c:pt>
                <c:pt idx="903">
                  <c:v>525</c:v>
                </c:pt>
                <c:pt idx="904">
                  <c:v>525</c:v>
                </c:pt>
                <c:pt idx="905">
                  <c:v>525</c:v>
                </c:pt>
                <c:pt idx="906">
                  <c:v>525</c:v>
                </c:pt>
                <c:pt idx="907">
                  <c:v>525</c:v>
                </c:pt>
                <c:pt idx="908">
                  <c:v>525</c:v>
                </c:pt>
                <c:pt idx="909">
                  <c:v>525</c:v>
                </c:pt>
                <c:pt idx="910">
                  <c:v>525</c:v>
                </c:pt>
                <c:pt idx="911">
                  <c:v>525</c:v>
                </c:pt>
                <c:pt idx="912">
                  <c:v>525</c:v>
                </c:pt>
                <c:pt idx="913">
                  <c:v>525</c:v>
                </c:pt>
                <c:pt idx="914">
                  <c:v>525</c:v>
                </c:pt>
                <c:pt idx="915">
                  <c:v>525</c:v>
                </c:pt>
                <c:pt idx="916">
                  <c:v>525</c:v>
                </c:pt>
                <c:pt idx="917">
                  <c:v>525</c:v>
                </c:pt>
                <c:pt idx="918">
                  <c:v>525</c:v>
                </c:pt>
                <c:pt idx="919">
                  <c:v>525</c:v>
                </c:pt>
                <c:pt idx="920">
                  <c:v>525</c:v>
                </c:pt>
                <c:pt idx="921">
                  <c:v>525</c:v>
                </c:pt>
                <c:pt idx="922">
                  <c:v>525</c:v>
                </c:pt>
                <c:pt idx="923">
                  <c:v>525</c:v>
                </c:pt>
                <c:pt idx="924">
                  <c:v>525</c:v>
                </c:pt>
                <c:pt idx="925">
                  <c:v>525</c:v>
                </c:pt>
                <c:pt idx="926">
                  <c:v>525</c:v>
                </c:pt>
                <c:pt idx="927">
                  <c:v>525</c:v>
                </c:pt>
                <c:pt idx="928">
                  <c:v>525</c:v>
                </c:pt>
                <c:pt idx="929">
                  <c:v>525</c:v>
                </c:pt>
                <c:pt idx="930">
                  <c:v>525</c:v>
                </c:pt>
                <c:pt idx="931">
                  <c:v>525</c:v>
                </c:pt>
                <c:pt idx="932">
                  <c:v>525</c:v>
                </c:pt>
                <c:pt idx="933">
                  <c:v>525</c:v>
                </c:pt>
                <c:pt idx="934">
                  <c:v>525</c:v>
                </c:pt>
                <c:pt idx="935">
                  <c:v>525</c:v>
                </c:pt>
                <c:pt idx="936">
                  <c:v>525</c:v>
                </c:pt>
                <c:pt idx="937">
                  <c:v>525</c:v>
                </c:pt>
                <c:pt idx="938">
                  <c:v>525</c:v>
                </c:pt>
                <c:pt idx="939">
                  <c:v>525</c:v>
                </c:pt>
                <c:pt idx="940">
                  <c:v>525</c:v>
                </c:pt>
                <c:pt idx="941">
                  <c:v>525</c:v>
                </c:pt>
                <c:pt idx="942">
                  <c:v>525</c:v>
                </c:pt>
                <c:pt idx="943">
                  <c:v>525</c:v>
                </c:pt>
                <c:pt idx="944">
                  <c:v>525</c:v>
                </c:pt>
                <c:pt idx="945">
                  <c:v>525</c:v>
                </c:pt>
                <c:pt idx="946">
                  <c:v>525</c:v>
                </c:pt>
                <c:pt idx="947">
                  <c:v>525</c:v>
                </c:pt>
                <c:pt idx="948">
                  <c:v>525</c:v>
                </c:pt>
                <c:pt idx="949">
                  <c:v>525</c:v>
                </c:pt>
                <c:pt idx="950">
                  <c:v>525</c:v>
                </c:pt>
                <c:pt idx="951">
                  <c:v>525</c:v>
                </c:pt>
                <c:pt idx="952">
                  <c:v>525</c:v>
                </c:pt>
                <c:pt idx="953">
                  <c:v>525</c:v>
                </c:pt>
                <c:pt idx="954">
                  <c:v>525</c:v>
                </c:pt>
                <c:pt idx="955">
                  <c:v>525</c:v>
                </c:pt>
                <c:pt idx="956">
                  <c:v>525</c:v>
                </c:pt>
                <c:pt idx="957">
                  <c:v>525</c:v>
                </c:pt>
                <c:pt idx="958">
                  <c:v>525</c:v>
                </c:pt>
                <c:pt idx="959">
                  <c:v>525</c:v>
                </c:pt>
                <c:pt idx="960">
                  <c:v>525</c:v>
                </c:pt>
                <c:pt idx="961">
                  <c:v>525</c:v>
                </c:pt>
                <c:pt idx="962">
                  <c:v>525</c:v>
                </c:pt>
                <c:pt idx="963">
                  <c:v>525</c:v>
                </c:pt>
                <c:pt idx="964">
                  <c:v>525</c:v>
                </c:pt>
                <c:pt idx="965">
                  <c:v>525</c:v>
                </c:pt>
                <c:pt idx="966">
                  <c:v>525</c:v>
                </c:pt>
                <c:pt idx="967">
                  <c:v>525</c:v>
                </c:pt>
                <c:pt idx="968">
                  <c:v>525</c:v>
                </c:pt>
                <c:pt idx="969">
                  <c:v>525</c:v>
                </c:pt>
                <c:pt idx="970">
                  <c:v>525</c:v>
                </c:pt>
                <c:pt idx="971">
                  <c:v>525</c:v>
                </c:pt>
                <c:pt idx="972">
                  <c:v>525</c:v>
                </c:pt>
                <c:pt idx="973">
                  <c:v>525</c:v>
                </c:pt>
                <c:pt idx="974">
                  <c:v>525</c:v>
                </c:pt>
                <c:pt idx="975">
                  <c:v>525</c:v>
                </c:pt>
                <c:pt idx="976">
                  <c:v>525</c:v>
                </c:pt>
                <c:pt idx="977">
                  <c:v>525</c:v>
                </c:pt>
                <c:pt idx="978">
                  <c:v>525</c:v>
                </c:pt>
                <c:pt idx="979">
                  <c:v>525</c:v>
                </c:pt>
                <c:pt idx="980">
                  <c:v>525</c:v>
                </c:pt>
                <c:pt idx="981">
                  <c:v>525</c:v>
                </c:pt>
                <c:pt idx="982">
                  <c:v>525</c:v>
                </c:pt>
                <c:pt idx="983">
                  <c:v>525</c:v>
                </c:pt>
                <c:pt idx="984">
                  <c:v>525</c:v>
                </c:pt>
                <c:pt idx="985">
                  <c:v>525</c:v>
                </c:pt>
                <c:pt idx="986">
                  <c:v>525</c:v>
                </c:pt>
                <c:pt idx="987">
                  <c:v>525</c:v>
                </c:pt>
                <c:pt idx="988">
                  <c:v>525</c:v>
                </c:pt>
                <c:pt idx="989">
                  <c:v>525</c:v>
                </c:pt>
                <c:pt idx="990">
                  <c:v>525</c:v>
                </c:pt>
                <c:pt idx="991">
                  <c:v>525</c:v>
                </c:pt>
                <c:pt idx="992">
                  <c:v>525</c:v>
                </c:pt>
                <c:pt idx="993">
                  <c:v>525</c:v>
                </c:pt>
                <c:pt idx="994">
                  <c:v>525</c:v>
                </c:pt>
                <c:pt idx="995">
                  <c:v>525</c:v>
                </c:pt>
                <c:pt idx="996">
                  <c:v>525</c:v>
                </c:pt>
                <c:pt idx="997">
                  <c:v>525</c:v>
                </c:pt>
                <c:pt idx="998">
                  <c:v>525</c:v>
                </c:pt>
                <c:pt idx="999">
                  <c:v>525</c:v>
                </c:pt>
                <c:pt idx="1000">
                  <c:v>525</c:v>
                </c:pt>
                <c:pt idx="1001">
                  <c:v>525</c:v>
                </c:pt>
                <c:pt idx="1002">
                  <c:v>525</c:v>
                </c:pt>
                <c:pt idx="1003">
                  <c:v>525</c:v>
                </c:pt>
                <c:pt idx="1004">
                  <c:v>525</c:v>
                </c:pt>
                <c:pt idx="1005">
                  <c:v>525</c:v>
                </c:pt>
                <c:pt idx="1006">
                  <c:v>525</c:v>
                </c:pt>
                <c:pt idx="1007">
                  <c:v>525</c:v>
                </c:pt>
                <c:pt idx="1008">
                  <c:v>525</c:v>
                </c:pt>
                <c:pt idx="1009">
                  <c:v>525</c:v>
                </c:pt>
                <c:pt idx="1010">
                  <c:v>525</c:v>
                </c:pt>
                <c:pt idx="1011">
                  <c:v>525</c:v>
                </c:pt>
                <c:pt idx="1012">
                  <c:v>525</c:v>
                </c:pt>
                <c:pt idx="1013">
                  <c:v>525</c:v>
                </c:pt>
                <c:pt idx="1014">
                  <c:v>525</c:v>
                </c:pt>
                <c:pt idx="1015">
                  <c:v>525</c:v>
                </c:pt>
                <c:pt idx="1016">
                  <c:v>525</c:v>
                </c:pt>
                <c:pt idx="1017">
                  <c:v>525</c:v>
                </c:pt>
                <c:pt idx="1018">
                  <c:v>525</c:v>
                </c:pt>
                <c:pt idx="1019">
                  <c:v>525</c:v>
                </c:pt>
                <c:pt idx="1020">
                  <c:v>525</c:v>
                </c:pt>
                <c:pt idx="1021">
                  <c:v>525</c:v>
                </c:pt>
                <c:pt idx="1022">
                  <c:v>525</c:v>
                </c:pt>
                <c:pt idx="1023">
                  <c:v>525</c:v>
                </c:pt>
                <c:pt idx="1024">
                  <c:v>525</c:v>
                </c:pt>
                <c:pt idx="1025">
                  <c:v>525</c:v>
                </c:pt>
                <c:pt idx="1026">
                  <c:v>525</c:v>
                </c:pt>
                <c:pt idx="1027">
                  <c:v>525</c:v>
                </c:pt>
                <c:pt idx="1028">
                  <c:v>525</c:v>
                </c:pt>
                <c:pt idx="1029">
                  <c:v>525</c:v>
                </c:pt>
                <c:pt idx="1030">
                  <c:v>525</c:v>
                </c:pt>
                <c:pt idx="1031">
                  <c:v>525</c:v>
                </c:pt>
                <c:pt idx="1032">
                  <c:v>525</c:v>
                </c:pt>
                <c:pt idx="1033">
                  <c:v>525</c:v>
                </c:pt>
                <c:pt idx="1034">
                  <c:v>525</c:v>
                </c:pt>
                <c:pt idx="1035">
                  <c:v>525</c:v>
                </c:pt>
                <c:pt idx="1036">
                  <c:v>525</c:v>
                </c:pt>
                <c:pt idx="1037">
                  <c:v>525</c:v>
                </c:pt>
                <c:pt idx="1038">
                  <c:v>525</c:v>
                </c:pt>
                <c:pt idx="1039">
                  <c:v>525</c:v>
                </c:pt>
                <c:pt idx="1040">
                  <c:v>525</c:v>
                </c:pt>
                <c:pt idx="1041">
                  <c:v>525</c:v>
                </c:pt>
                <c:pt idx="1042">
                  <c:v>525</c:v>
                </c:pt>
                <c:pt idx="1043">
                  <c:v>525</c:v>
                </c:pt>
                <c:pt idx="1044">
                  <c:v>525</c:v>
                </c:pt>
                <c:pt idx="1045">
                  <c:v>525</c:v>
                </c:pt>
                <c:pt idx="1046">
                  <c:v>525</c:v>
                </c:pt>
                <c:pt idx="1047">
                  <c:v>525</c:v>
                </c:pt>
                <c:pt idx="1048">
                  <c:v>525</c:v>
                </c:pt>
                <c:pt idx="1049">
                  <c:v>525</c:v>
                </c:pt>
                <c:pt idx="1050">
                  <c:v>525</c:v>
                </c:pt>
                <c:pt idx="1051">
                  <c:v>525</c:v>
                </c:pt>
                <c:pt idx="1052">
                  <c:v>525</c:v>
                </c:pt>
                <c:pt idx="1053">
                  <c:v>525</c:v>
                </c:pt>
                <c:pt idx="1054">
                  <c:v>525</c:v>
                </c:pt>
                <c:pt idx="1055">
                  <c:v>525</c:v>
                </c:pt>
                <c:pt idx="1056">
                  <c:v>525</c:v>
                </c:pt>
                <c:pt idx="1057">
                  <c:v>525</c:v>
                </c:pt>
                <c:pt idx="1058">
                  <c:v>525</c:v>
                </c:pt>
                <c:pt idx="1059">
                  <c:v>525</c:v>
                </c:pt>
                <c:pt idx="1060">
                  <c:v>525</c:v>
                </c:pt>
                <c:pt idx="1061">
                  <c:v>525</c:v>
                </c:pt>
                <c:pt idx="1062">
                  <c:v>525</c:v>
                </c:pt>
                <c:pt idx="1063">
                  <c:v>525</c:v>
                </c:pt>
                <c:pt idx="1064">
                  <c:v>525</c:v>
                </c:pt>
                <c:pt idx="1065">
                  <c:v>525</c:v>
                </c:pt>
                <c:pt idx="1066">
                  <c:v>525</c:v>
                </c:pt>
                <c:pt idx="1067">
                  <c:v>525</c:v>
                </c:pt>
                <c:pt idx="1068">
                  <c:v>525</c:v>
                </c:pt>
                <c:pt idx="1069">
                  <c:v>525</c:v>
                </c:pt>
                <c:pt idx="1070">
                  <c:v>525</c:v>
                </c:pt>
                <c:pt idx="1071">
                  <c:v>525</c:v>
                </c:pt>
                <c:pt idx="1072">
                  <c:v>525</c:v>
                </c:pt>
                <c:pt idx="1073">
                  <c:v>525</c:v>
                </c:pt>
                <c:pt idx="1074">
                  <c:v>525</c:v>
                </c:pt>
                <c:pt idx="1075">
                  <c:v>525</c:v>
                </c:pt>
                <c:pt idx="1076">
                  <c:v>525</c:v>
                </c:pt>
                <c:pt idx="1077">
                  <c:v>525</c:v>
                </c:pt>
                <c:pt idx="1078">
                  <c:v>525</c:v>
                </c:pt>
                <c:pt idx="1079">
                  <c:v>525</c:v>
                </c:pt>
                <c:pt idx="1080">
                  <c:v>525</c:v>
                </c:pt>
                <c:pt idx="1081">
                  <c:v>525</c:v>
                </c:pt>
                <c:pt idx="1082">
                  <c:v>525</c:v>
                </c:pt>
                <c:pt idx="1083">
                  <c:v>525</c:v>
                </c:pt>
                <c:pt idx="1084">
                  <c:v>525</c:v>
                </c:pt>
                <c:pt idx="1085">
                  <c:v>525</c:v>
                </c:pt>
                <c:pt idx="1086">
                  <c:v>525</c:v>
                </c:pt>
                <c:pt idx="1087">
                  <c:v>525</c:v>
                </c:pt>
                <c:pt idx="1088">
                  <c:v>525</c:v>
                </c:pt>
                <c:pt idx="1089">
                  <c:v>525</c:v>
                </c:pt>
                <c:pt idx="1090">
                  <c:v>525</c:v>
                </c:pt>
                <c:pt idx="1091">
                  <c:v>525</c:v>
                </c:pt>
                <c:pt idx="1092">
                  <c:v>525</c:v>
                </c:pt>
                <c:pt idx="1093">
                  <c:v>525</c:v>
                </c:pt>
                <c:pt idx="1094">
                  <c:v>525</c:v>
                </c:pt>
                <c:pt idx="1095">
                  <c:v>525</c:v>
                </c:pt>
                <c:pt idx="1096">
                  <c:v>525</c:v>
                </c:pt>
                <c:pt idx="1097">
                  <c:v>525</c:v>
                </c:pt>
                <c:pt idx="1098">
                  <c:v>525</c:v>
                </c:pt>
                <c:pt idx="1099">
                  <c:v>525</c:v>
                </c:pt>
                <c:pt idx="1100">
                  <c:v>525</c:v>
                </c:pt>
                <c:pt idx="1101">
                  <c:v>525</c:v>
                </c:pt>
                <c:pt idx="1102">
                  <c:v>525</c:v>
                </c:pt>
                <c:pt idx="1103">
                  <c:v>525</c:v>
                </c:pt>
                <c:pt idx="1104">
                  <c:v>525</c:v>
                </c:pt>
                <c:pt idx="1105">
                  <c:v>525</c:v>
                </c:pt>
                <c:pt idx="1106">
                  <c:v>525</c:v>
                </c:pt>
                <c:pt idx="1107">
                  <c:v>525</c:v>
                </c:pt>
                <c:pt idx="1108">
                  <c:v>525</c:v>
                </c:pt>
                <c:pt idx="1109">
                  <c:v>525</c:v>
                </c:pt>
                <c:pt idx="1110">
                  <c:v>525</c:v>
                </c:pt>
                <c:pt idx="1111">
                  <c:v>525</c:v>
                </c:pt>
                <c:pt idx="1112">
                  <c:v>525</c:v>
                </c:pt>
                <c:pt idx="1113">
                  <c:v>525</c:v>
                </c:pt>
                <c:pt idx="1114">
                  <c:v>525</c:v>
                </c:pt>
                <c:pt idx="1115">
                  <c:v>525</c:v>
                </c:pt>
                <c:pt idx="1116">
                  <c:v>525</c:v>
                </c:pt>
                <c:pt idx="1117">
                  <c:v>525</c:v>
                </c:pt>
                <c:pt idx="1118">
                  <c:v>525</c:v>
                </c:pt>
                <c:pt idx="1119">
                  <c:v>525</c:v>
                </c:pt>
                <c:pt idx="1120">
                  <c:v>525</c:v>
                </c:pt>
                <c:pt idx="1121">
                  <c:v>525</c:v>
                </c:pt>
                <c:pt idx="1122">
                  <c:v>525</c:v>
                </c:pt>
                <c:pt idx="1123">
                  <c:v>525</c:v>
                </c:pt>
                <c:pt idx="1124">
                  <c:v>525</c:v>
                </c:pt>
                <c:pt idx="1125">
                  <c:v>525</c:v>
                </c:pt>
                <c:pt idx="1126">
                  <c:v>525</c:v>
                </c:pt>
                <c:pt idx="1127">
                  <c:v>525</c:v>
                </c:pt>
                <c:pt idx="1128">
                  <c:v>525</c:v>
                </c:pt>
                <c:pt idx="1129">
                  <c:v>525</c:v>
                </c:pt>
                <c:pt idx="1130">
                  <c:v>525</c:v>
                </c:pt>
                <c:pt idx="1131">
                  <c:v>525</c:v>
                </c:pt>
                <c:pt idx="1132">
                  <c:v>525</c:v>
                </c:pt>
                <c:pt idx="1133">
                  <c:v>525</c:v>
                </c:pt>
                <c:pt idx="1134">
                  <c:v>525</c:v>
                </c:pt>
                <c:pt idx="1135">
                  <c:v>525</c:v>
                </c:pt>
                <c:pt idx="1136">
                  <c:v>525</c:v>
                </c:pt>
                <c:pt idx="1137">
                  <c:v>525</c:v>
                </c:pt>
                <c:pt idx="1138">
                  <c:v>525</c:v>
                </c:pt>
                <c:pt idx="1139">
                  <c:v>525</c:v>
                </c:pt>
                <c:pt idx="1140">
                  <c:v>525</c:v>
                </c:pt>
                <c:pt idx="1141">
                  <c:v>525</c:v>
                </c:pt>
                <c:pt idx="1142">
                  <c:v>525</c:v>
                </c:pt>
                <c:pt idx="1143">
                  <c:v>525</c:v>
                </c:pt>
                <c:pt idx="1144">
                  <c:v>525</c:v>
                </c:pt>
                <c:pt idx="1145">
                  <c:v>525</c:v>
                </c:pt>
                <c:pt idx="1146">
                  <c:v>525</c:v>
                </c:pt>
                <c:pt idx="1147">
                  <c:v>525</c:v>
                </c:pt>
                <c:pt idx="1148">
                  <c:v>525</c:v>
                </c:pt>
                <c:pt idx="1149">
                  <c:v>525</c:v>
                </c:pt>
                <c:pt idx="1150">
                  <c:v>525</c:v>
                </c:pt>
                <c:pt idx="1151">
                  <c:v>525</c:v>
                </c:pt>
                <c:pt idx="1152">
                  <c:v>525</c:v>
                </c:pt>
                <c:pt idx="1153">
                  <c:v>525</c:v>
                </c:pt>
                <c:pt idx="1154">
                  <c:v>525</c:v>
                </c:pt>
                <c:pt idx="1155">
                  <c:v>525</c:v>
                </c:pt>
                <c:pt idx="1156">
                  <c:v>525</c:v>
                </c:pt>
                <c:pt idx="1157">
                  <c:v>525</c:v>
                </c:pt>
                <c:pt idx="1158">
                  <c:v>525</c:v>
                </c:pt>
                <c:pt idx="1159">
                  <c:v>525</c:v>
                </c:pt>
                <c:pt idx="1160">
                  <c:v>525</c:v>
                </c:pt>
                <c:pt idx="1161">
                  <c:v>525</c:v>
                </c:pt>
                <c:pt idx="1162">
                  <c:v>525</c:v>
                </c:pt>
                <c:pt idx="1163">
                  <c:v>525</c:v>
                </c:pt>
                <c:pt idx="1164">
                  <c:v>525</c:v>
                </c:pt>
                <c:pt idx="1165">
                  <c:v>525</c:v>
                </c:pt>
                <c:pt idx="1166">
                  <c:v>525</c:v>
                </c:pt>
                <c:pt idx="1167">
                  <c:v>525</c:v>
                </c:pt>
                <c:pt idx="1168">
                  <c:v>525</c:v>
                </c:pt>
                <c:pt idx="1169">
                  <c:v>525</c:v>
                </c:pt>
                <c:pt idx="1170">
                  <c:v>525</c:v>
                </c:pt>
                <c:pt idx="1171">
                  <c:v>525</c:v>
                </c:pt>
                <c:pt idx="1172">
                  <c:v>525</c:v>
                </c:pt>
                <c:pt idx="1173">
                  <c:v>525</c:v>
                </c:pt>
                <c:pt idx="1174">
                  <c:v>525</c:v>
                </c:pt>
                <c:pt idx="1175">
                  <c:v>525</c:v>
                </c:pt>
                <c:pt idx="1176">
                  <c:v>525</c:v>
                </c:pt>
                <c:pt idx="1177">
                  <c:v>525</c:v>
                </c:pt>
                <c:pt idx="1178">
                  <c:v>525</c:v>
                </c:pt>
                <c:pt idx="1179">
                  <c:v>525</c:v>
                </c:pt>
                <c:pt idx="1180">
                  <c:v>525</c:v>
                </c:pt>
                <c:pt idx="1181">
                  <c:v>525</c:v>
                </c:pt>
                <c:pt idx="1182">
                  <c:v>525</c:v>
                </c:pt>
                <c:pt idx="1183">
                  <c:v>525</c:v>
                </c:pt>
                <c:pt idx="1184">
                  <c:v>525</c:v>
                </c:pt>
                <c:pt idx="1185">
                  <c:v>525</c:v>
                </c:pt>
                <c:pt idx="1186">
                  <c:v>525</c:v>
                </c:pt>
                <c:pt idx="1187">
                  <c:v>525</c:v>
                </c:pt>
                <c:pt idx="1188">
                  <c:v>525</c:v>
                </c:pt>
                <c:pt idx="1189">
                  <c:v>525</c:v>
                </c:pt>
                <c:pt idx="1190">
                  <c:v>525</c:v>
                </c:pt>
                <c:pt idx="1191">
                  <c:v>525</c:v>
                </c:pt>
                <c:pt idx="1192">
                  <c:v>525</c:v>
                </c:pt>
                <c:pt idx="1193">
                  <c:v>525</c:v>
                </c:pt>
                <c:pt idx="1194">
                  <c:v>525</c:v>
                </c:pt>
                <c:pt idx="1195">
                  <c:v>525</c:v>
                </c:pt>
                <c:pt idx="1196">
                  <c:v>525</c:v>
                </c:pt>
                <c:pt idx="1197">
                  <c:v>525</c:v>
                </c:pt>
                <c:pt idx="1198">
                  <c:v>525</c:v>
                </c:pt>
                <c:pt idx="1199">
                  <c:v>525</c:v>
                </c:pt>
                <c:pt idx="1200">
                  <c:v>525</c:v>
                </c:pt>
                <c:pt idx="1201">
                  <c:v>525</c:v>
                </c:pt>
                <c:pt idx="1202">
                  <c:v>525</c:v>
                </c:pt>
                <c:pt idx="1203">
                  <c:v>525</c:v>
                </c:pt>
                <c:pt idx="1204">
                  <c:v>525</c:v>
                </c:pt>
                <c:pt idx="1205">
                  <c:v>525</c:v>
                </c:pt>
                <c:pt idx="1206">
                  <c:v>525</c:v>
                </c:pt>
                <c:pt idx="1207">
                  <c:v>525</c:v>
                </c:pt>
                <c:pt idx="1208">
                  <c:v>525</c:v>
                </c:pt>
                <c:pt idx="1209">
                  <c:v>525</c:v>
                </c:pt>
                <c:pt idx="1210">
                  <c:v>525</c:v>
                </c:pt>
                <c:pt idx="1211">
                  <c:v>525</c:v>
                </c:pt>
                <c:pt idx="1212">
                  <c:v>525</c:v>
                </c:pt>
                <c:pt idx="1213">
                  <c:v>525</c:v>
                </c:pt>
                <c:pt idx="1214">
                  <c:v>525</c:v>
                </c:pt>
                <c:pt idx="1215">
                  <c:v>525</c:v>
                </c:pt>
                <c:pt idx="1216">
                  <c:v>525</c:v>
                </c:pt>
                <c:pt idx="1217">
                  <c:v>525</c:v>
                </c:pt>
                <c:pt idx="1218">
                  <c:v>525</c:v>
                </c:pt>
                <c:pt idx="1219">
                  <c:v>525</c:v>
                </c:pt>
                <c:pt idx="1220">
                  <c:v>525</c:v>
                </c:pt>
                <c:pt idx="1221">
                  <c:v>525</c:v>
                </c:pt>
                <c:pt idx="1222">
                  <c:v>525</c:v>
                </c:pt>
                <c:pt idx="1223">
                  <c:v>525</c:v>
                </c:pt>
                <c:pt idx="1224">
                  <c:v>525</c:v>
                </c:pt>
                <c:pt idx="1225">
                  <c:v>525</c:v>
                </c:pt>
                <c:pt idx="1226">
                  <c:v>525</c:v>
                </c:pt>
                <c:pt idx="1227">
                  <c:v>525</c:v>
                </c:pt>
                <c:pt idx="1228">
                  <c:v>525</c:v>
                </c:pt>
                <c:pt idx="1229">
                  <c:v>525</c:v>
                </c:pt>
                <c:pt idx="1230">
                  <c:v>525</c:v>
                </c:pt>
                <c:pt idx="1231">
                  <c:v>525</c:v>
                </c:pt>
                <c:pt idx="1232">
                  <c:v>525</c:v>
                </c:pt>
                <c:pt idx="1233">
                  <c:v>525</c:v>
                </c:pt>
                <c:pt idx="1234">
                  <c:v>525</c:v>
                </c:pt>
                <c:pt idx="1235">
                  <c:v>525</c:v>
                </c:pt>
                <c:pt idx="1236">
                  <c:v>525</c:v>
                </c:pt>
                <c:pt idx="1237">
                  <c:v>525</c:v>
                </c:pt>
                <c:pt idx="1238">
                  <c:v>525</c:v>
                </c:pt>
                <c:pt idx="1239">
                  <c:v>525</c:v>
                </c:pt>
                <c:pt idx="1240">
                  <c:v>525</c:v>
                </c:pt>
                <c:pt idx="1241">
                  <c:v>525</c:v>
                </c:pt>
                <c:pt idx="1242">
                  <c:v>525</c:v>
                </c:pt>
                <c:pt idx="1243">
                  <c:v>525</c:v>
                </c:pt>
                <c:pt idx="1244">
                  <c:v>525</c:v>
                </c:pt>
                <c:pt idx="1245">
                  <c:v>525</c:v>
                </c:pt>
                <c:pt idx="1246">
                  <c:v>525</c:v>
                </c:pt>
                <c:pt idx="1247">
                  <c:v>525</c:v>
                </c:pt>
                <c:pt idx="1248">
                  <c:v>525</c:v>
                </c:pt>
                <c:pt idx="1249">
                  <c:v>525</c:v>
                </c:pt>
                <c:pt idx="1250">
                  <c:v>525</c:v>
                </c:pt>
                <c:pt idx="1251">
                  <c:v>525</c:v>
                </c:pt>
                <c:pt idx="1252">
                  <c:v>525</c:v>
                </c:pt>
                <c:pt idx="1253">
                  <c:v>525</c:v>
                </c:pt>
                <c:pt idx="1254">
                  <c:v>525</c:v>
                </c:pt>
                <c:pt idx="1255">
                  <c:v>525</c:v>
                </c:pt>
                <c:pt idx="1256">
                  <c:v>525</c:v>
                </c:pt>
                <c:pt idx="1257">
                  <c:v>525</c:v>
                </c:pt>
                <c:pt idx="1258">
                  <c:v>525</c:v>
                </c:pt>
                <c:pt idx="1259">
                  <c:v>525</c:v>
                </c:pt>
                <c:pt idx="1260">
                  <c:v>525</c:v>
                </c:pt>
                <c:pt idx="1261">
                  <c:v>525</c:v>
                </c:pt>
                <c:pt idx="1262">
                  <c:v>525</c:v>
                </c:pt>
                <c:pt idx="1263">
                  <c:v>525</c:v>
                </c:pt>
                <c:pt idx="1264">
                  <c:v>525</c:v>
                </c:pt>
                <c:pt idx="1265">
                  <c:v>525</c:v>
                </c:pt>
                <c:pt idx="1266">
                  <c:v>525</c:v>
                </c:pt>
                <c:pt idx="1267">
                  <c:v>525</c:v>
                </c:pt>
                <c:pt idx="1268">
                  <c:v>525</c:v>
                </c:pt>
                <c:pt idx="1269">
                  <c:v>525</c:v>
                </c:pt>
                <c:pt idx="1270">
                  <c:v>525</c:v>
                </c:pt>
                <c:pt idx="1271">
                  <c:v>525</c:v>
                </c:pt>
                <c:pt idx="1272">
                  <c:v>525</c:v>
                </c:pt>
                <c:pt idx="1273">
                  <c:v>525</c:v>
                </c:pt>
                <c:pt idx="1274">
                  <c:v>525</c:v>
                </c:pt>
                <c:pt idx="1275">
                  <c:v>525</c:v>
                </c:pt>
                <c:pt idx="1276">
                  <c:v>525</c:v>
                </c:pt>
                <c:pt idx="1277">
                  <c:v>525</c:v>
                </c:pt>
                <c:pt idx="1278">
                  <c:v>525</c:v>
                </c:pt>
                <c:pt idx="1279">
                  <c:v>525</c:v>
                </c:pt>
                <c:pt idx="1280">
                  <c:v>525</c:v>
                </c:pt>
                <c:pt idx="1281">
                  <c:v>525</c:v>
                </c:pt>
                <c:pt idx="1282">
                  <c:v>525</c:v>
                </c:pt>
                <c:pt idx="1283">
                  <c:v>525</c:v>
                </c:pt>
                <c:pt idx="1284">
                  <c:v>525</c:v>
                </c:pt>
                <c:pt idx="1285">
                  <c:v>525</c:v>
                </c:pt>
                <c:pt idx="1286">
                  <c:v>525</c:v>
                </c:pt>
                <c:pt idx="1287">
                  <c:v>525</c:v>
                </c:pt>
                <c:pt idx="1288">
                  <c:v>525</c:v>
                </c:pt>
                <c:pt idx="1289">
                  <c:v>525</c:v>
                </c:pt>
                <c:pt idx="1290">
                  <c:v>525</c:v>
                </c:pt>
                <c:pt idx="1291">
                  <c:v>525</c:v>
                </c:pt>
                <c:pt idx="1292">
                  <c:v>525</c:v>
                </c:pt>
                <c:pt idx="1293">
                  <c:v>525</c:v>
                </c:pt>
                <c:pt idx="1294">
                  <c:v>525</c:v>
                </c:pt>
                <c:pt idx="1295">
                  <c:v>525</c:v>
                </c:pt>
                <c:pt idx="1296">
                  <c:v>525</c:v>
                </c:pt>
                <c:pt idx="1297">
                  <c:v>525</c:v>
                </c:pt>
                <c:pt idx="1298">
                  <c:v>525</c:v>
                </c:pt>
                <c:pt idx="1299">
                  <c:v>525</c:v>
                </c:pt>
                <c:pt idx="1300">
                  <c:v>525</c:v>
                </c:pt>
                <c:pt idx="1301">
                  <c:v>525</c:v>
                </c:pt>
                <c:pt idx="1302">
                  <c:v>525</c:v>
                </c:pt>
                <c:pt idx="1303">
                  <c:v>525</c:v>
                </c:pt>
                <c:pt idx="1304">
                  <c:v>525</c:v>
                </c:pt>
                <c:pt idx="1305">
                  <c:v>525</c:v>
                </c:pt>
                <c:pt idx="1306">
                  <c:v>525</c:v>
                </c:pt>
                <c:pt idx="1307">
                  <c:v>525</c:v>
                </c:pt>
                <c:pt idx="1308">
                  <c:v>525</c:v>
                </c:pt>
                <c:pt idx="1309">
                  <c:v>525</c:v>
                </c:pt>
                <c:pt idx="1310">
                  <c:v>525</c:v>
                </c:pt>
                <c:pt idx="1311">
                  <c:v>525</c:v>
                </c:pt>
                <c:pt idx="1312">
                  <c:v>525</c:v>
                </c:pt>
                <c:pt idx="1313">
                  <c:v>525</c:v>
                </c:pt>
                <c:pt idx="1314">
                  <c:v>525</c:v>
                </c:pt>
                <c:pt idx="1315">
                  <c:v>525</c:v>
                </c:pt>
                <c:pt idx="1316">
                  <c:v>525</c:v>
                </c:pt>
                <c:pt idx="1317">
                  <c:v>525</c:v>
                </c:pt>
                <c:pt idx="1318">
                  <c:v>525</c:v>
                </c:pt>
                <c:pt idx="1319">
                  <c:v>525</c:v>
                </c:pt>
                <c:pt idx="1320">
                  <c:v>525</c:v>
                </c:pt>
                <c:pt idx="1321">
                  <c:v>525</c:v>
                </c:pt>
                <c:pt idx="1322">
                  <c:v>525</c:v>
                </c:pt>
                <c:pt idx="1323">
                  <c:v>525</c:v>
                </c:pt>
                <c:pt idx="1324">
                  <c:v>525</c:v>
                </c:pt>
                <c:pt idx="1325">
                  <c:v>525</c:v>
                </c:pt>
                <c:pt idx="1326">
                  <c:v>525</c:v>
                </c:pt>
                <c:pt idx="1327">
                  <c:v>525</c:v>
                </c:pt>
                <c:pt idx="1328">
                  <c:v>525</c:v>
                </c:pt>
                <c:pt idx="1329">
                  <c:v>525</c:v>
                </c:pt>
                <c:pt idx="1330">
                  <c:v>525</c:v>
                </c:pt>
                <c:pt idx="1331">
                  <c:v>525</c:v>
                </c:pt>
                <c:pt idx="1332">
                  <c:v>525</c:v>
                </c:pt>
                <c:pt idx="1333">
                  <c:v>525</c:v>
                </c:pt>
                <c:pt idx="1334">
                  <c:v>525</c:v>
                </c:pt>
                <c:pt idx="1335">
                  <c:v>525</c:v>
                </c:pt>
                <c:pt idx="1336">
                  <c:v>525</c:v>
                </c:pt>
                <c:pt idx="1337">
                  <c:v>525</c:v>
                </c:pt>
                <c:pt idx="1338">
                  <c:v>525</c:v>
                </c:pt>
                <c:pt idx="1339">
                  <c:v>525</c:v>
                </c:pt>
                <c:pt idx="1340">
                  <c:v>525</c:v>
                </c:pt>
                <c:pt idx="1341">
                  <c:v>525</c:v>
                </c:pt>
                <c:pt idx="1342">
                  <c:v>525</c:v>
                </c:pt>
                <c:pt idx="1343">
                  <c:v>525</c:v>
                </c:pt>
                <c:pt idx="1344">
                  <c:v>525</c:v>
                </c:pt>
                <c:pt idx="1345">
                  <c:v>525</c:v>
                </c:pt>
                <c:pt idx="1346">
                  <c:v>525</c:v>
                </c:pt>
                <c:pt idx="1347">
                  <c:v>525</c:v>
                </c:pt>
                <c:pt idx="1348">
                  <c:v>525</c:v>
                </c:pt>
                <c:pt idx="1349">
                  <c:v>525</c:v>
                </c:pt>
                <c:pt idx="1350">
                  <c:v>525</c:v>
                </c:pt>
                <c:pt idx="1351">
                  <c:v>525</c:v>
                </c:pt>
                <c:pt idx="1352">
                  <c:v>525</c:v>
                </c:pt>
                <c:pt idx="1353">
                  <c:v>525</c:v>
                </c:pt>
                <c:pt idx="1354">
                  <c:v>525</c:v>
                </c:pt>
                <c:pt idx="1355">
                  <c:v>525</c:v>
                </c:pt>
                <c:pt idx="1356">
                  <c:v>525</c:v>
                </c:pt>
                <c:pt idx="1357">
                  <c:v>525</c:v>
                </c:pt>
                <c:pt idx="1358">
                  <c:v>525</c:v>
                </c:pt>
                <c:pt idx="1359">
                  <c:v>525</c:v>
                </c:pt>
                <c:pt idx="1360">
                  <c:v>525</c:v>
                </c:pt>
                <c:pt idx="1361">
                  <c:v>525</c:v>
                </c:pt>
                <c:pt idx="1362">
                  <c:v>525</c:v>
                </c:pt>
                <c:pt idx="1363">
                  <c:v>525</c:v>
                </c:pt>
                <c:pt idx="1364">
                  <c:v>525</c:v>
                </c:pt>
                <c:pt idx="1365">
                  <c:v>525</c:v>
                </c:pt>
                <c:pt idx="1366">
                  <c:v>525</c:v>
                </c:pt>
                <c:pt idx="1367">
                  <c:v>525</c:v>
                </c:pt>
                <c:pt idx="1368">
                  <c:v>525</c:v>
                </c:pt>
                <c:pt idx="1369">
                  <c:v>525</c:v>
                </c:pt>
                <c:pt idx="1370">
                  <c:v>525</c:v>
                </c:pt>
                <c:pt idx="1371">
                  <c:v>525</c:v>
                </c:pt>
                <c:pt idx="1372">
                  <c:v>525</c:v>
                </c:pt>
                <c:pt idx="1373">
                  <c:v>525</c:v>
                </c:pt>
                <c:pt idx="1374">
                  <c:v>525</c:v>
                </c:pt>
                <c:pt idx="1375">
                  <c:v>525</c:v>
                </c:pt>
                <c:pt idx="1376">
                  <c:v>525</c:v>
                </c:pt>
                <c:pt idx="1377">
                  <c:v>525</c:v>
                </c:pt>
                <c:pt idx="1378">
                  <c:v>525</c:v>
                </c:pt>
                <c:pt idx="1379">
                  <c:v>525</c:v>
                </c:pt>
                <c:pt idx="1380">
                  <c:v>525</c:v>
                </c:pt>
                <c:pt idx="1381">
                  <c:v>525</c:v>
                </c:pt>
                <c:pt idx="1382">
                  <c:v>525</c:v>
                </c:pt>
                <c:pt idx="1383">
                  <c:v>525</c:v>
                </c:pt>
                <c:pt idx="1384">
                  <c:v>525</c:v>
                </c:pt>
                <c:pt idx="1385">
                  <c:v>525</c:v>
                </c:pt>
                <c:pt idx="1386">
                  <c:v>525</c:v>
                </c:pt>
                <c:pt idx="1387">
                  <c:v>525</c:v>
                </c:pt>
                <c:pt idx="1388">
                  <c:v>525</c:v>
                </c:pt>
                <c:pt idx="1389">
                  <c:v>525</c:v>
                </c:pt>
                <c:pt idx="1390">
                  <c:v>525</c:v>
                </c:pt>
                <c:pt idx="1391">
                  <c:v>525</c:v>
                </c:pt>
                <c:pt idx="1392">
                  <c:v>525</c:v>
                </c:pt>
                <c:pt idx="1393">
                  <c:v>525</c:v>
                </c:pt>
                <c:pt idx="1394">
                  <c:v>525</c:v>
                </c:pt>
                <c:pt idx="1395">
                  <c:v>525</c:v>
                </c:pt>
                <c:pt idx="1396">
                  <c:v>525</c:v>
                </c:pt>
                <c:pt idx="1397">
                  <c:v>525</c:v>
                </c:pt>
                <c:pt idx="1398">
                  <c:v>525</c:v>
                </c:pt>
                <c:pt idx="1399">
                  <c:v>525</c:v>
                </c:pt>
                <c:pt idx="1400">
                  <c:v>525</c:v>
                </c:pt>
                <c:pt idx="1401">
                  <c:v>525</c:v>
                </c:pt>
                <c:pt idx="1402">
                  <c:v>525</c:v>
                </c:pt>
                <c:pt idx="1403">
                  <c:v>525</c:v>
                </c:pt>
                <c:pt idx="1404">
                  <c:v>525</c:v>
                </c:pt>
                <c:pt idx="1405">
                  <c:v>525</c:v>
                </c:pt>
                <c:pt idx="1406">
                  <c:v>525</c:v>
                </c:pt>
                <c:pt idx="1407">
                  <c:v>525</c:v>
                </c:pt>
                <c:pt idx="1408">
                  <c:v>525</c:v>
                </c:pt>
                <c:pt idx="1409">
                  <c:v>525</c:v>
                </c:pt>
                <c:pt idx="1410">
                  <c:v>525</c:v>
                </c:pt>
                <c:pt idx="1411">
                  <c:v>525</c:v>
                </c:pt>
                <c:pt idx="1412">
                  <c:v>525</c:v>
                </c:pt>
                <c:pt idx="1413">
                  <c:v>525</c:v>
                </c:pt>
                <c:pt idx="1414">
                  <c:v>525</c:v>
                </c:pt>
                <c:pt idx="1415">
                  <c:v>525</c:v>
                </c:pt>
                <c:pt idx="1416">
                  <c:v>525</c:v>
                </c:pt>
                <c:pt idx="1417">
                  <c:v>525</c:v>
                </c:pt>
                <c:pt idx="1418">
                  <c:v>525</c:v>
                </c:pt>
                <c:pt idx="1419">
                  <c:v>525</c:v>
                </c:pt>
                <c:pt idx="1420">
                  <c:v>525</c:v>
                </c:pt>
                <c:pt idx="1421">
                  <c:v>525</c:v>
                </c:pt>
                <c:pt idx="1422">
                  <c:v>525</c:v>
                </c:pt>
                <c:pt idx="1423">
                  <c:v>525</c:v>
                </c:pt>
                <c:pt idx="1424">
                  <c:v>525</c:v>
                </c:pt>
                <c:pt idx="1425">
                  <c:v>525</c:v>
                </c:pt>
                <c:pt idx="1426">
                  <c:v>525</c:v>
                </c:pt>
                <c:pt idx="1427">
                  <c:v>525</c:v>
                </c:pt>
                <c:pt idx="1428">
                  <c:v>525</c:v>
                </c:pt>
                <c:pt idx="1429">
                  <c:v>525</c:v>
                </c:pt>
                <c:pt idx="1430">
                  <c:v>525</c:v>
                </c:pt>
                <c:pt idx="1431">
                  <c:v>525</c:v>
                </c:pt>
                <c:pt idx="1432">
                  <c:v>525</c:v>
                </c:pt>
                <c:pt idx="1433">
                  <c:v>525</c:v>
                </c:pt>
                <c:pt idx="1434">
                  <c:v>525</c:v>
                </c:pt>
                <c:pt idx="1435">
                  <c:v>525</c:v>
                </c:pt>
                <c:pt idx="1436">
                  <c:v>525</c:v>
                </c:pt>
                <c:pt idx="1437">
                  <c:v>525</c:v>
                </c:pt>
                <c:pt idx="1438">
                  <c:v>525</c:v>
                </c:pt>
                <c:pt idx="1439">
                  <c:v>525</c:v>
                </c:pt>
                <c:pt idx="1440">
                  <c:v>525</c:v>
                </c:pt>
                <c:pt idx="1441">
                  <c:v>525</c:v>
                </c:pt>
                <c:pt idx="1442">
                  <c:v>525</c:v>
                </c:pt>
                <c:pt idx="1443">
                  <c:v>525</c:v>
                </c:pt>
                <c:pt idx="1444">
                  <c:v>525</c:v>
                </c:pt>
                <c:pt idx="1445">
                  <c:v>525</c:v>
                </c:pt>
                <c:pt idx="1446">
                  <c:v>525</c:v>
                </c:pt>
                <c:pt idx="1447">
                  <c:v>525</c:v>
                </c:pt>
                <c:pt idx="1448">
                  <c:v>525</c:v>
                </c:pt>
                <c:pt idx="1449">
                  <c:v>525</c:v>
                </c:pt>
                <c:pt idx="1450">
                  <c:v>525</c:v>
                </c:pt>
                <c:pt idx="1451">
                  <c:v>525</c:v>
                </c:pt>
                <c:pt idx="1452">
                  <c:v>525</c:v>
                </c:pt>
                <c:pt idx="1453">
                  <c:v>525</c:v>
                </c:pt>
                <c:pt idx="1454">
                  <c:v>525</c:v>
                </c:pt>
                <c:pt idx="1455">
                  <c:v>525</c:v>
                </c:pt>
                <c:pt idx="1456">
                  <c:v>525</c:v>
                </c:pt>
                <c:pt idx="1457">
                  <c:v>525</c:v>
                </c:pt>
                <c:pt idx="1458">
                  <c:v>525</c:v>
                </c:pt>
                <c:pt idx="1459">
                  <c:v>525</c:v>
                </c:pt>
                <c:pt idx="1460">
                  <c:v>525</c:v>
                </c:pt>
                <c:pt idx="1461">
                  <c:v>525</c:v>
                </c:pt>
                <c:pt idx="1462">
                  <c:v>525</c:v>
                </c:pt>
                <c:pt idx="1463">
                  <c:v>525</c:v>
                </c:pt>
                <c:pt idx="1464">
                  <c:v>525</c:v>
                </c:pt>
                <c:pt idx="1465">
                  <c:v>525</c:v>
                </c:pt>
                <c:pt idx="1466">
                  <c:v>525</c:v>
                </c:pt>
                <c:pt idx="1467">
                  <c:v>525</c:v>
                </c:pt>
                <c:pt idx="1468">
                  <c:v>525</c:v>
                </c:pt>
                <c:pt idx="1469">
                  <c:v>525</c:v>
                </c:pt>
                <c:pt idx="1470">
                  <c:v>525</c:v>
                </c:pt>
                <c:pt idx="1471">
                  <c:v>525</c:v>
                </c:pt>
                <c:pt idx="1472">
                  <c:v>525</c:v>
                </c:pt>
                <c:pt idx="1473">
                  <c:v>525</c:v>
                </c:pt>
                <c:pt idx="1474">
                  <c:v>525</c:v>
                </c:pt>
                <c:pt idx="1475">
                  <c:v>525</c:v>
                </c:pt>
                <c:pt idx="1476">
                  <c:v>525</c:v>
                </c:pt>
                <c:pt idx="1477">
                  <c:v>525</c:v>
                </c:pt>
                <c:pt idx="1478">
                  <c:v>525</c:v>
                </c:pt>
                <c:pt idx="1479">
                  <c:v>525</c:v>
                </c:pt>
                <c:pt idx="1480">
                  <c:v>525</c:v>
                </c:pt>
                <c:pt idx="1481">
                  <c:v>525</c:v>
                </c:pt>
                <c:pt idx="1482">
                  <c:v>525</c:v>
                </c:pt>
                <c:pt idx="1483">
                  <c:v>525</c:v>
                </c:pt>
                <c:pt idx="1484">
                  <c:v>525</c:v>
                </c:pt>
                <c:pt idx="1485">
                  <c:v>525</c:v>
                </c:pt>
                <c:pt idx="1486">
                  <c:v>525</c:v>
                </c:pt>
                <c:pt idx="1487">
                  <c:v>525</c:v>
                </c:pt>
                <c:pt idx="1488">
                  <c:v>525</c:v>
                </c:pt>
                <c:pt idx="1489">
                  <c:v>525</c:v>
                </c:pt>
                <c:pt idx="1490">
                  <c:v>525</c:v>
                </c:pt>
                <c:pt idx="1491">
                  <c:v>525</c:v>
                </c:pt>
                <c:pt idx="1492">
                  <c:v>525</c:v>
                </c:pt>
                <c:pt idx="1493">
                  <c:v>525</c:v>
                </c:pt>
                <c:pt idx="1494">
                  <c:v>525</c:v>
                </c:pt>
                <c:pt idx="1495">
                  <c:v>525</c:v>
                </c:pt>
                <c:pt idx="1496">
                  <c:v>525</c:v>
                </c:pt>
                <c:pt idx="1497">
                  <c:v>525</c:v>
                </c:pt>
                <c:pt idx="1498">
                  <c:v>525</c:v>
                </c:pt>
                <c:pt idx="1499">
                  <c:v>525</c:v>
                </c:pt>
                <c:pt idx="1500">
                  <c:v>525</c:v>
                </c:pt>
                <c:pt idx="1501">
                  <c:v>525</c:v>
                </c:pt>
                <c:pt idx="1502">
                  <c:v>525</c:v>
                </c:pt>
                <c:pt idx="1503">
                  <c:v>525</c:v>
                </c:pt>
                <c:pt idx="1504">
                  <c:v>525</c:v>
                </c:pt>
                <c:pt idx="1505">
                  <c:v>525</c:v>
                </c:pt>
                <c:pt idx="1506">
                  <c:v>525</c:v>
                </c:pt>
                <c:pt idx="1507">
                  <c:v>525</c:v>
                </c:pt>
                <c:pt idx="1508">
                  <c:v>525</c:v>
                </c:pt>
                <c:pt idx="1509">
                  <c:v>525</c:v>
                </c:pt>
                <c:pt idx="1510">
                  <c:v>525</c:v>
                </c:pt>
                <c:pt idx="1511">
                  <c:v>525</c:v>
                </c:pt>
                <c:pt idx="1512">
                  <c:v>525</c:v>
                </c:pt>
                <c:pt idx="1513">
                  <c:v>525</c:v>
                </c:pt>
                <c:pt idx="1514">
                  <c:v>525</c:v>
                </c:pt>
                <c:pt idx="1515">
                  <c:v>525</c:v>
                </c:pt>
                <c:pt idx="1516">
                  <c:v>525</c:v>
                </c:pt>
                <c:pt idx="1517">
                  <c:v>525</c:v>
                </c:pt>
                <c:pt idx="1518">
                  <c:v>525</c:v>
                </c:pt>
                <c:pt idx="1519">
                  <c:v>525</c:v>
                </c:pt>
                <c:pt idx="1520">
                  <c:v>525</c:v>
                </c:pt>
                <c:pt idx="1521">
                  <c:v>525</c:v>
                </c:pt>
                <c:pt idx="1522">
                  <c:v>525</c:v>
                </c:pt>
                <c:pt idx="1523">
                  <c:v>525</c:v>
                </c:pt>
                <c:pt idx="1524">
                  <c:v>525</c:v>
                </c:pt>
                <c:pt idx="1525">
                  <c:v>525</c:v>
                </c:pt>
                <c:pt idx="1526">
                  <c:v>525</c:v>
                </c:pt>
                <c:pt idx="1527">
                  <c:v>525</c:v>
                </c:pt>
                <c:pt idx="1528">
                  <c:v>525</c:v>
                </c:pt>
                <c:pt idx="1529">
                  <c:v>525</c:v>
                </c:pt>
                <c:pt idx="1530">
                  <c:v>525</c:v>
                </c:pt>
                <c:pt idx="1531">
                  <c:v>525</c:v>
                </c:pt>
                <c:pt idx="1532">
                  <c:v>525</c:v>
                </c:pt>
                <c:pt idx="1533">
                  <c:v>525</c:v>
                </c:pt>
                <c:pt idx="1534">
                  <c:v>525</c:v>
                </c:pt>
                <c:pt idx="1535">
                  <c:v>525</c:v>
                </c:pt>
                <c:pt idx="1536">
                  <c:v>525</c:v>
                </c:pt>
                <c:pt idx="1537">
                  <c:v>525</c:v>
                </c:pt>
                <c:pt idx="1538">
                  <c:v>525</c:v>
                </c:pt>
                <c:pt idx="1539">
                  <c:v>525</c:v>
                </c:pt>
                <c:pt idx="1540">
                  <c:v>525</c:v>
                </c:pt>
                <c:pt idx="1541">
                  <c:v>525</c:v>
                </c:pt>
                <c:pt idx="1542">
                  <c:v>525</c:v>
                </c:pt>
                <c:pt idx="1543">
                  <c:v>525</c:v>
                </c:pt>
                <c:pt idx="1544">
                  <c:v>525</c:v>
                </c:pt>
                <c:pt idx="1545">
                  <c:v>525</c:v>
                </c:pt>
                <c:pt idx="1546">
                  <c:v>525</c:v>
                </c:pt>
                <c:pt idx="1547">
                  <c:v>525</c:v>
                </c:pt>
                <c:pt idx="1548">
                  <c:v>525</c:v>
                </c:pt>
                <c:pt idx="1549">
                  <c:v>525</c:v>
                </c:pt>
                <c:pt idx="1550">
                  <c:v>525</c:v>
                </c:pt>
                <c:pt idx="1551">
                  <c:v>525</c:v>
                </c:pt>
                <c:pt idx="1552">
                  <c:v>525</c:v>
                </c:pt>
                <c:pt idx="1553">
                  <c:v>525</c:v>
                </c:pt>
                <c:pt idx="1554">
                  <c:v>525</c:v>
                </c:pt>
                <c:pt idx="1555">
                  <c:v>525</c:v>
                </c:pt>
                <c:pt idx="1556">
                  <c:v>525</c:v>
                </c:pt>
                <c:pt idx="1557">
                  <c:v>525</c:v>
                </c:pt>
                <c:pt idx="1558">
                  <c:v>525</c:v>
                </c:pt>
                <c:pt idx="1559">
                  <c:v>525</c:v>
                </c:pt>
                <c:pt idx="1560">
                  <c:v>525</c:v>
                </c:pt>
                <c:pt idx="1561">
                  <c:v>525</c:v>
                </c:pt>
                <c:pt idx="1562">
                  <c:v>525</c:v>
                </c:pt>
                <c:pt idx="1563">
                  <c:v>525</c:v>
                </c:pt>
                <c:pt idx="1564">
                  <c:v>525</c:v>
                </c:pt>
                <c:pt idx="1565">
                  <c:v>525</c:v>
                </c:pt>
                <c:pt idx="1566">
                  <c:v>525</c:v>
                </c:pt>
                <c:pt idx="1567">
                  <c:v>525</c:v>
                </c:pt>
                <c:pt idx="1568">
                  <c:v>525</c:v>
                </c:pt>
                <c:pt idx="1569">
                  <c:v>525</c:v>
                </c:pt>
                <c:pt idx="1570">
                  <c:v>525</c:v>
                </c:pt>
                <c:pt idx="1571">
                  <c:v>525</c:v>
                </c:pt>
                <c:pt idx="1572">
                  <c:v>525</c:v>
                </c:pt>
                <c:pt idx="1573">
                  <c:v>525</c:v>
                </c:pt>
                <c:pt idx="1574">
                  <c:v>525</c:v>
                </c:pt>
                <c:pt idx="1575">
                  <c:v>525</c:v>
                </c:pt>
                <c:pt idx="1576">
                  <c:v>525</c:v>
                </c:pt>
                <c:pt idx="1577">
                  <c:v>525</c:v>
                </c:pt>
                <c:pt idx="1578">
                  <c:v>525</c:v>
                </c:pt>
                <c:pt idx="1579">
                  <c:v>525</c:v>
                </c:pt>
                <c:pt idx="1580">
                  <c:v>525</c:v>
                </c:pt>
                <c:pt idx="1581">
                  <c:v>525</c:v>
                </c:pt>
                <c:pt idx="1582">
                  <c:v>525</c:v>
                </c:pt>
                <c:pt idx="1583">
                  <c:v>525</c:v>
                </c:pt>
                <c:pt idx="1584">
                  <c:v>525</c:v>
                </c:pt>
                <c:pt idx="1585">
                  <c:v>525</c:v>
                </c:pt>
                <c:pt idx="1586">
                  <c:v>525</c:v>
                </c:pt>
                <c:pt idx="1587">
                  <c:v>525</c:v>
                </c:pt>
                <c:pt idx="1588">
                  <c:v>525</c:v>
                </c:pt>
                <c:pt idx="1589">
                  <c:v>525</c:v>
                </c:pt>
                <c:pt idx="1590">
                  <c:v>525</c:v>
                </c:pt>
                <c:pt idx="1591">
                  <c:v>525</c:v>
                </c:pt>
                <c:pt idx="1592">
                  <c:v>525</c:v>
                </c:pt>
                <c:pt idx="1593">
                  <c:v>525</c:v>
                </c:pt>
                <c:pt idx="1594">
                  <c:v>525</c:v>
                </c:pt>
                <c:pt idx="1595">
                  <c:v>525</c:v>
                </c:pt>
                <c:pt idx="1596">
                  <c:v>525</c:v>
                </c:pt>
                <c:pt idx="1597">
                  <c:v>525</c:v>
                </c:pt>
                <c:pt idx="1598">
                  <c:v>525</c:v>
                </c:pt>
                <c:pt idx="1599">
                  <c:v>525</c:v>
                </c:pt>
                <c:pt idx="1600">
                  <c:v>525</c:v>
                </c:pt>
                <c:pt idx="1601">
                  <c:v>525</c:v>
                </c:pt>
                <c:pt idx="1602">
                  <c:v>525</c:v>
                </c:pt>
                <c:pt idx="1603">
                  <c:v>525</c:v>
                </c:pt>
                <c:pt idx="1604">
                  <c:v>525</c:v>
                </c:pt>
                <c:pt idx="1605">
                  <c:v>525</c:v>
                </c:pt>
                <c:pt idx="1606">
                  <c:v>525</c:v>
                </c:pt>
                <c:pt idx="1607">
                  <c:v>525</c:v>
                </c:pt>
                <c:pt idx="1608">
                  <c:v>525</c:v>
                </c:pt>
                <c:pt idx="1609">
                  <c:v>525</c:v>
                </c:pt>
                <c:pt idx="1610">
                  <c:v>525</c:v>
                </c:pt>
                <c:pt idx="1611">
                  <c:v>525</c:v>
                </c:pt>
                <c:pt idx="1612">
                  <c:v>525</c:v>
                </c:pt>
                <c:pt idx="1613">
                  <c:v>525</c:v>
                </c:pt>
                <c:pt idx="1614">
                  <c:v>525</c:v>
                </c:pt>
                <c:pt idx="1615">
                  <c:v>525</c:v>
                </c:pt>
                <c:pt idx="1616">
                  <c:v>525</c:v>
                </c:pt>
                <c:pt idx="1617">
                  <c:v>525</c:v>
                </c:pt>
                <c:pt idx="1618">
                  <c:v>525</c:v>
                </c:pt>
                <c:pt idx="1619">
                  <c:v>525</c:v>
                </c:pt>
                <c:pt idx="1620">
                  <c:v>525</c:v>
                </c:pt>
                <c:pt idx="1621">
                  <c:v>525</c:v>
                </c:pt>
                <c:pt idx="1622">
                  <c:v>525</c:v>
                </c:pt>
                <c:pt idx="1623">
                  <c:v>525</c:v>
                </c:pt>
                <c:pt idx="1624">
                  <c:v>525</c:v>
                </c:pt>
                <c:pt idx="1625">
                  <c:v>525</c:v>
                </c:pt>
                <c:pt idx="1626">
                  <c:v>525</c:v>
                </c:pt>
                <c:pt idx="1627">
                  <c:v>525</c:v>
                </c:pt>
                <c:pt idx="1628">
                  <c:v>525</c:v>
                </c:pt>
                <c:pt idx="1629">
                  <c:v>525</c:v>
                </c:pt>
                <c:pt idx="1630">
                  <c:v>525</c:v>
                </c:pt>
                <c:pt idx="1631">
                  <c:v>525</c:v>
                </c:pt>
                <c:pt idx="1632">
                  <c:v>525</c:v>
                </c:pt>
                <c:pt idx="1633">
                  <c:v>525</c:v>
                </c:pt>
                <c:pt idx="1634">
                  <c:v>525</c:v>
                </c:pt>
                <c:pt idx="1635">
                  <c:v>525</c:v>
                </c:pt>
                <c:pt idx="1636">
                  <c:v>525</c:v>
                </c:pt>
                <c:pt idx="1637">
                  <c:v>525</c:v>
                </c:pt>
                <c:pt idx="1638">
                  <c:v>525</c:v>
                </c:pt>
                <c:pt idx="1639">
                  <c:v>525</c:v>
                </c:pt>
                <c:pt idx="1640">
                  <c:v>525</c:v>
                </c:pt>
                <c:pt idx="1641">
                  <c:v>525</c:v>
                </c:pt>
                <c:pt idx="1642">
                  <c:v>525</c:v>
                </c:pt>
                <c:pt idx="1643">
                  <c:v>525</c:v>
                </c:pt>
                <c:pt idx="1644">
                  <c:v>525</c:v>
                </c:pt>
                <c:pt idx="1645">
                  <c:v>525</c:v>
                </c:pt>
                <c:pt idx="1646">
                  <c:v>525</c:v>
                </c:pt>
                <c:pt idx="1647">
                  <c:v>525</c:v>
                </c:pt>
                <c:pt idx="1648">
                  <c:v>525</c:v>
                </c:pt>
                <c:pt idx="1649">
                  <c:v>525</c:v>
                </c:pt>
                <c:pt idx="1650">
                  <c:v>525</c:v>
                </c:pt>
                <c:pt idx="1651">
                  <c:v>525</c:v>
                </c:pt>
                <c:pt idx="1652">
                  <c:v>525</c:v>
                </c:pt>
                <c:pt idx="1653">
                  <c:v>525</c:v>
                </c:pt>
                <c:pt idx="1654">
                  <c:v>525</c:v>
                </c:pt>
                <c:pt idx="1655">
                  <c:v>525</c:v>
                </c:pt>
                <c:pt idx="1656">
                  <c:v>525</c:v>
                </c:pt>
                <c:pt idx="1657">
                  <c:v>525</c:v>
                </c:pt>
                <c:pt idx="1658">
                  <c:v>525</c:v>
                </c:pt>
                <c:pt idx="1659">
                  <c:v>525</c:v>
                </c:pt>
                <c:pt idx="1660">
                  <c:v>525</c:v>
                </c:pt>
                <c:pt idx="1661">
                  <c:v>525</c:v>
                </c:pt>
                <c:pt idx="1662">
                  <c:v>525</c:v>
                </c:pt>
                <c:pt idx="1663">
                  <c:v>525</c:v>
                </c:pt>
                <c:pt idx="1664">
                  <c:v>525</c:v>
                </c:pt>
                <c:pt idx="1665">
                  <c:v>525</c:v>
                </c:pt>
                <c:pt idx="1666">
                  <c:v>525</c:v>
                </c:pt>
                <c:pt idx="1667">
                  <c:v>525</c:v>
                </c:pt>
                <c:pt idx="1668">
                  <c:v>525</c:v>
                </c:pt>
                <c:pt idx="1669">
                  <c:v>525</c:v>
                </c:pt>
                <c:pt idx="1670">
                  <c:v>525</c:v>
                </c:pt>
                <c:pt idx="1671">
                  <c:v>525</c:v>
                </c:pt>
                <c:pt idx="1672">
                  <c:v>525</c:v>
                </c:pt>
                <c:pt idx="1673">
                  <c:v>525</c:v>
                </c:pt>
                <c:pt idx="1674">
                  <c:v>525</c:v>
                </c:pt>
                <c:pt idx="1675">
                  <c:v>525</c:v>
                </c:pt>
                <c:pt idx="1676">
                  <c:v>525</c:v>
                </c:pt>
                <c:pt idx="1677">
                  <c:v>525</c:v>
                </c:pt>
                <c:pt idx="1678">
                  <c:v>525</c:v>
                </c:pt>
                <c:pt idx="1679">
                  <c:v>525</c:v>
                </c:pt>
                <c:pt idx="1680">
                  <c:v>525</c:v>
                </c:pt>
                <c:pt idx="1681">
                  <c:v>525</c:v>
                </c:pt>
                <c:pt idx="1682">
                  <c:v>525</c:v>
                </c:pt>
                <c:pt idx="1683">
                  <c:v>525</c:v>
                </c:pt>
                <c:pt idx="1684">
                  <c:v>525</c:v>
                </c:pt>
                <c:pt idx="1685">
                  <c:v>525</c:v>
                </c:pt>
                <c:pt idx="1686">
                  <c:v>525</c:v>
                </c:pt>
                <c:pt idx="1687">
                  <c:v>525</c:v>
                </c:pt>
                <c:pt idx="1688">
                  <c:v>525</c:v>
                </c:pt>
                <c:pt idx="1689">
                  <c:v>525</c:v>
                </c:pt>
                <c:pt idx="1690">
                  <c:v>525</c:v>
                </c:pt>
                <c:pt idx="1691">
                  <c:v>525</c:v>
                </c:pt>
                <c:pt idx="1692">
                  <c:v>525</c:v>
                </c:pt>
                <c:pt idx="1693">
                  <c:v>525</c:v>
                </c:pt>
                <c:pt idx="1694">
                  <c:v>525</c:v>
                </c:pt>
                <c:pt idx="1695">
                  <c:v>525</c:v>
                </c:pt>
                <c:pt idx="1696">
                  <c:v>525</c:v>
                </c:pt>
                <c:pt idx="1697">
                  <c:v>525</c:v>
                </c:pt>
                <c:pt idx="1698">
                  <c:v>525</c:v>
                </c:pt>
                <c:pt idx="1699">
                  <c:v>525</c:v>
                </c:pt>
                <c:pt idx="1700">
                  <c:v>525</c:v>
                </c:pt>
                <c:pt idx="1701">
                  <c:v>525</c:v>
                </c:pt>
                <c:pt idx="1702">
                  <c:v>525</c:v>
                </c:pt>
                <c:pt idx="1703">
                  <c:v>525</c:v>
                </c:pt>
                <c:pt idx="1704">
                  <c:v>525</c:v>
                </c:pt>
                <c:pt idx="1705">
                  <c:v>525</c:v>
                </c:pt>
                <c:pt idx="1706">
                  <c:v>525</c:v>
                </c:pt>
                <c:pt idx="1707">
                  <c:v>525</c:v>
                </c:pt>
                <c:pt idx="1708">
                  <c:v>525</c:v>
                </c:pt>
                <c:pt idx="1709">
                  <c:v>525</c:v>
                </c:pt>
                <c:pt idx="1710">
                  <c:v>525</c:v>
                </c:pt>
                <c:pt idx="1711">
                  <c:v>525</c:v>
                </c:pt>
                <c:pt idx="1712">
                  <c:v>525</c:v>
                </c:pt>
                <c:pt idx="1713">
                  <c:v>525</c:v>
                </c:pt>
                <c:pt idx="1714">
                  <c:v>525</c:v>
                </c:pt>
                <c:pt idx="1715">
                  <c:v>525</c:v>
                </c:pt>
                <c:pt idx="1716">
                  <c:v>525</c:v>
                </c:pt>
                <c:pt idx="1717">
                  <c:v>525</c:v>
                </c:pt>
                <c:pt idx="1718">
                  <c:v>525</c:v>
                </c:pt>
                <c:pt idx="1719">
                  <c:v>525</c:v>
                </c:pt>
                <c:pt idx="1720">
                  <c:v>525</c:v>
                </c:pt>
                <c:pt idx="1721">
                  <c:v>525</c:v>
                </c:pt>
                <c:pt idx="1722">
                  <c:v>525</c:v>
                </c:pt>
                <c:pt idx="1723">
                  <c:v>525</c:v>
                </c:pt>
                <c:pt idx="1724">
                  <c:v>525</c:v>
                </c:pt>
                <c:pt idx="1725">
                  <c:v>525</c:v>
                </c:pt>
                <c:pt idx="1726">
                  <c:v>525</c:v>
                </c:pt>
                <c:pt idx="1727">
                  <c:v>525</c:v>
                </c:pt>
                <c:pt idx="1728">
                  <c:v>525</c:v>
                </c:pt>
                <c:pt idx="1729">
                  <c:v>525</c:v>
                </c:pt>
                <c:pt idx="1730">
                  <c:v>525</c:v>
                </c:pt>
                <c:pt idx="1731">
                  <c:v>525</c:v>
                </c:pt>
                <c:pt idx="1732">
                  <c:v>525</c:v>
                </c:pt>
                <c:pt idx="1733">
                  <c:v>525</c:v>
                </c:pt>
                <c:pt idx="1734">
                  <c:v>525</c:v>
                </c:pt>
                <c:pt idx="1735">
                  <c:v>525</c:v>
                </c:pt>
                <c:pt idx="1736">
                  <c:v>525</c:v>
                </c:pt>
                <c:pt idx="1737">
                  <c:v>525</c:v>
                </c:pt>
                <c:pt idx="1738">
                  <c:v>525</c:v>
                </c:pt>
                <c:pt idx="1739">
                  <c:v>525</c:v>
                </c:pt>
                <c:pt idx="1740">
                  <c:v>525</c:v>
                </c:pt>
                <c:pt idx="1741">
                  <c:v>525</c:v>
                </c:pt>
                <c:pt idx="1742">
                  <c:v>525</c:v>
                </c:pt>
                <c:pt idx="1743">
                  <c:v>525</c:v>
                </c:pt>
                <c:pt idx="1744">
                  <c:v>525</c:v>
                </c:pt>
                <c:pt idx="1745">
                  <c:v>525</c:v>
                </c:pt>
                <c:pt idx="1746">
                  <c:v>525</c:v>
                </c:pt>
                <c:pt idx="1747">
                  <c:v>525</c:v>
                </c:pt>
                <c:pt idx="1748">
                  <c:v>525</c:v>
                </c:pt>
                <c:pt idx="1749">
                  <c:v>525</c:v>
                </c:pt>
                <c:pt idx="1750">
                  <c:v>525</c:v>
                </c:pt>
                <c:pt idx="1751">
                  <c:v>525</c:v>
                </c:pt>
                <c:pt idx="1752">
                  <c:v>525</c:v>
                </c:pt>
                <c:pt idx="1753">
                  <c:v>525</c:v>
                </c:pt>
                <c:pt idx="1754">
                  <c:v>525</c:v>
                </c:pt>
                <c:pt idx="1755">
                  <c:v>525</c:v>
                </c:pt>
                <c:pt idx="1756">
                  <c:v>525</c:v>
                </c:pt>
                <c:pt idx="1757">
                  <c:v>525</c:v>
                </c:pt>
                <c:pt idx="1758">
                  <c:v>525</c:v>
                </c:pt>
                <c:pt idx="1759">
                  <c:v>525</c:v>
                </c:pt>
                <c:pt idx="1760">
                  <c:v>525</c:v>
                </c:pt>
                <c:pt idx="1761">
                  <c:v>525</c:v>
                </c:pt>
                <c:pt idx="1762">
                  <c:v>525</c:v>
                </c:pt>
                <c:pt idx="1763">
                  <c:v>525</c:v>
                </c:pt>
                <c:pt idx="1764">
                  <c:v>525</c:v>
                </c:pt>
                <c:pt idx="1765">
                  <c:v>525</c:v>
                </c:pt>
                <c:pt idx="1766">
                  <c:v>525</c:v>
                </c:pt>
                <c:pt idx="1767">
                  <c:v>525</c:v>
                </c:pt>
                <c:pt idx="1768">
                  <c:v>525</c:v>
                </c:pt>
                <c:pt idx="1769">
                  <c:v>525</c:v>
                </c:pt>
                <c:pt idx="1770">
                  <c:v>525</c:v>
                </c:pt>
                <c:pt idx="1771">
                  <c:v>525</c:v>
                </c:pt>
                <c:pt idx="1772">
                  <c:v>525</c:v>
                </c:pt>
                <c:pt idx="1773">
                  <c:v>525</c:v>
                </c:pt>
                <c:pt idx="1774">
                  <c:v>525</c:v>
                </c:pt>
                <c:pt idx="1775">
                  <c:v>525</c:v>
                </c:pt>
                <c:pt idx="1776">
                  <c:v>525</c:v>
                </c:pt>
                <c:pt idx="1777">
                  <c:v>525</c:v>
                </c:pt>
                <c:pt idx="1778">
                  <c:v>525</c:v>
                </c:pt>
                <c:pt idx="1779">
                  <c:v>525</c:v>
                </c:pt>
                <c:pt idx="1780">
                  <c:v>525</c:v>
                </c:pt>
                <c:pt idx="1781">
                  <c:v>525</c:v>
                </c:pt>
                <c:pt idx="1782">
                  <c:v>525</c:v>
                </c:pt>
                <c:pt idx="1783">
                  <c:v>525</c:v>
                </c:pt>
                <c:pt idx="1784">
                  <c:v>525</c:v>
                </c:pt>
                <c:pt idx="1785">
                  <c:v>525</c:v>
                </c:pt>
                <c:pt idx="1786">
                  <c:v>525</c:v>
                </c:pt>
                <c:pt idx="1787">
                  <c:v>525</c:v>
                </c:pt>
                <c:pt idx="1788">
                  <c:v>525</c:v>
                </c:pt>
                <c:pt idx="1789">
                  <c:v>525</c:v>
                </c:pt>
                <c:pt idx="1790">
                  <c:v>525</c:v>
                </c:pt>
                <c:pt idx="1791">
                  <c:v>525</c:v>
                </c:pt>
                <c:pt idx="1792">
                  <c:v>525</c:v>
                </c:pt>
                <c:pt idx="1793">
                  <c:v>525</c:v>
                </c:pt>
                <c:pt idx="1794">
                  <c:v>525</c:v>
                </c:pt>
                <c:pt idx="1795">
                  <c:v>525</c:v>
                </c:pt>
                <c:pt idx="1796">
                  <c:v>525</c:v>
                </c:pt>
                <c:pt idx="1797">
                  <c:v>525</c:v>
                </c:pt>
                <c:pt idx="1798">
                  <c:v>525</c:v>
                </c:pt>
                <c:pt idx="1799">
                  <c:v>525</c:v>
                </c:pt>
                <c:pt idx="1800">
                  <c:v>525</c:v>
                </c:pt>
                <c:pt idx="1801">
                  <c:v>525</c:v>
                </c:pt>
                <c:pt idx="1802">
                  <c:v>525</c:v>
                </c:pt>
                <c:pt idx="1803">
                  <c:v>525</c:v>
                </c:pt>
                <c:pt idx="1804">
                  <c:v>525</c:v>
                </c:pt>
                <c:pt idx="1805">
                  <c:v>525</c:v>
                </c:pt>
                <c:pt idx="1806">
                  <c:v>525</c:v>
                </c:pt>
                <c:pt idx="1807">
                  <c:v>525</c:v>
                </c:pt>
                <c:pt idx="1808">
                  <c:v>525</c:v>
                </c:pt>
                <c:pt idx="1809">
                  <c:v>525</c:v>
                </c:pt>
                <c:pt idx="1810">
                  <c:v>525</c:v>
                </c:pt>
                <c:pt idx="1811">
                  <c:v>525</c:v>
                </c:pt>
                <c:pt idx="1812">
                  <c:v>525</c:v>
                </c:pt>
                <c:pt idx="1813">
                  <c:v>525</c:v>
                </c:pt>
                <c:pt idx="1814">
                  <c:v>525</c:v>
                </c:pt>
                <c:pt idx="1815">
                  <c:v>525</c:v>
                </c:pt>
                <c:pt idx="1816">
                  <c:v>525</c:v>
                </c:pt>
                <c:pt idx="1817">
                  <c:v>525</c:v>
                </c:pt>
                <c:pt idx="1818">
                  <c:v>525</c:v>
                </c:pt>
                <c:pt idx="1819">
                  <c:v>525</c:v>
                </c:pt>
                <c:pt idx="1820">
                  <c:v>525</c:v>
                </c:pt>
                <c:pt idx="1821">
                  <c:v>525</c:v>
                </c:pt>
                <c:pt idx="1822">
                  <c:v>525</c:v>
                </c:pt>
                <c:pt idx="1823">
                  <c:v>525</c:v>
                </c:pt>
                <c:pt idx="1824">
                  <c:v>525</c:v>
                </c:pt>
                <c:pt idx="1825">
                  <c:v>525</c:v>
                </c:pt>
                <c:pt idx="1826">
                  <c:v>525</c:v>
                </c:pt>
                <c:pt idx="1827">
                  <c:v>525</c:v>
                </c:pt>
                <c:pt idx="1828">
                  <c:v>525</c:v>
                </c:pt>
                <c:pt idx="1829">
                  <c:v>525</c:v>
                </c:pt>
                <c:pt idx="1830">
                  <c:v>525</c:v>
                </c:pt>
                <c:pt idx="1831">
                  <c:v>525</c:v>
                </c:pt>
                <c:pt idx="1832">
                  <c:v>525</c:v>
                </c:pt>
                <c:pt idx="1833">
                  <c:v>525</c:v>
                </c:pt>
                <c:pt idx="1834">
                  <c:v>525</c:v>
                </c:pt>
                <c:pt idx="1835">
                  <c:v>525</c:v>
                </c:pt>
                <c:pt idx="1836">
                  <c:v>525</c:v>
                </c:pt>
                <c:pt idx="1837">
                  <c:v>525</c:v>
                </c:pt>
                <c:pt idx="1838">
                  <c:v>525</c:v>
                </c:pt>
                <c:pt idx="1839">
                  <c:v>525</c:v>
                </c:pt>
                <c:pt idx="1840">
                  <c:v>525</c:v>
                </c:pt>
                <c:pt idx="1841">
                  <c:v>525</c:v>
                </c:pt>
                <c:pt idx="1842">
                  <c:v>525</c:v>
                </c:pt>
                <c:pt idx="1843">
                  <c:v>525</c:v>
                </c:pt>
                <c:pt idx="1844">
                  <c:v>525</c:v>
                </c:pt>
                <c:pt idx="1845">
                  <c:v>525</c:v>
                </c:pt>
                <c:pt idx="1846">
                  <c:v>525</c:v>
                </c:pt>
                <c:pt idx="1847">
                  <c:v>525</c:v>
                </c:pt>
                <c:pt idx="1848">
                  <c:v>525</c:v>
                </c:pt>
                <c:pt idx="1849">
                  <c:v>525</c:v>
                </c:pt>
                <c:pt idx="1850">
                  <c:v>525</c:v>
                </c:pt>
                <c:pt idx="1851">
                  <c:v>525</c:v>
                </c:pt>
                <c:pt idx="1852">
                  <c:v>525</c:v>
                </c:pt>
                <c:pt idx="1853">
                  <c:v>525</c:v>
                </c:pt>
                <c:pt idx="1854">
                  <c:v>525</c:v>
                </c:pt>
                <c:pt idx="1855">
                  <c:v>525</c:v>
                </c:pt>
                <c:pt idx="1856">
                  <c:v>525</c:v>
                </c:pt>
                <c:pt idx="1857">
                  <c:v>525</c:v>
                </c:pt>
                <c:pt idx="1858">
                  <c:v>525</c:v>
                </c:pt>
                <c:pt idx="1859">
                  <c:v>525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F10-4788-8C62-40458EB0EFB8}"/>
            </c:ext>
          </c:extLst>
        </c:ser>
        <c:ser>
          <c:idx val="1"/>
          <c:order val="1"/>
          <c:tx>
            <c:v>Cumulative Readmit using average</c:v>
          </c:tx>
          <c:spPr>
            <a:ln w="6350"/>
          </c:spPr>
          <c:marker>
            <c:symbol val="none"/>
          </c:marker>
          <c:xVal>
            <c:numRef>
              <c:f>CT_TrainingLiftChart!$AZ$4:$AZ$1863</c:f>
              <c:numCache>
                <c:formatCode>General</c:formatCode>
                <c:ptCount val="18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  <c:pt idx="1200">
                  <c:v>1201</c:v>
                </c:pt>
                <c:pt idx="1201">
                  <c:v>1202</c:v>
                </c:pt>
                <c:pt idx="1202">
                  <c:v>1203</c:v>
                </c:pt>
                <c:pt idx="1203">
                  <c:v>1204</c:v>
                </c:pt>
                <c:pt idx="1204">
                  <c:v>1205</c:v>
                </c:pt>
                <c:pt idx="1205">
                  <c:v>1206</c:v>
                </c:pt>
                <c:pt idx="1206">
                  <c:v>1207</c:v>
                </c:pt>
                <c:pt idx="1207">
                  <c:v>1208</c:v>
                </c:pt>
                <c:pt idx="1208">
                  <c:v>1209</c:v>
                </c:pt>
                <c:pt idx="1209">
                  <c:v>1210</c:v>
                </c:pt>
                <c:pt idx="1210">
                  <c:v>1211</c:v>
                </c:pt>
                <c:pt idx="1211">
                  <c:v>1212</c:v>
                </c:pt>
                <c:pt idx="1212">
                  <c:v>1213</c:v>
                </c:pt>
                <c:pt idx="1213">
                  <c:v>1214</c:v>
                </c:pt>
                <c:pt idx="1214">
                  <c:v>1215</c:v>
                </c:pt>
                <c:pt idx="1215">
                  <c:v>1216</c:v>
                </c:pt>
                <c:pt idx="1216">
                  <c:v>1217</c:v>
                </c:pt>
                <c:pt idx="1217">
                  <c:v>1218</c:v>
                </c:pt>
                <c:pt idx="1218">
                  <c:v>1219</c:v>
                </c:pt>
                <c:pt idx="1219">
                  <c:v>1220</c:v>
                </c:pt>
                <c:pt idx="1220">
                  <c:v>1221</c:v>
                </c:pt>
                <c:pt idx="1221">
                  <c:v>1222</c:v>
                </c:pt>
                <c:pt idx="1222">
                  <c:v>1223</c:v>
                </c:pt>
                <c:pt idx="1223">
                  <c:v>1224</c:v>
                </c:pt>
                <c:pt idx="1224">
                  <c:v>1225</c:v>
                </c:pt>
                <c:pt idx="1225">
                  <c:v>1226</c:v>
                </c:pt>
                <c:pt idx="1226">
                  <c:v>1227</c:v>
                </c:pt>
                <c:pt idx="1227">
                  <c:v>1228</c:v>
                </c:pt>
                <c:pt idx="1228">
                  <c:v>1229</c:v>
                </c:pt>
                <c:pt idx="1229">
                  <c:v>1230</c:v>
                </c:pt>
                <c:pt idx="1230">
                  <c:v>1231</c:v>
                </c:pt>
                <c:pt idx="1231">
                  <c:v>1232</c:v>
                </c:pt>
                <c:pt idx="1232">
                  <c:v>1233</c:v>
                </c:pt>
                <c:pt idx="1233">
                  <c:v>1234</c:v>
                </c:pt>
                <c:pt idx="1234">
                  <c:v>1235</c:v>
                </c:pt>
                <c:pt idx="1235">
                  <c:v>1236</c:v>
                </c:pt>
                <c:pt idx="1236">
                  <c:v>1237</c:v>
                </c:pt>
                <c:pt idx="1237">
                  <c:v>1238</c:v>
                </c:pt>
                <c:pt idx="1238">
                  <c:v>1239</c:v>
                </c:pt>
                <c:pt idx="1239">
                  <c:v>1240</c:v>
                </c:pt>
                <c:pt idx="1240">
                  <c:v>1241</c:v>
                </c:pt>
                <c:pt idx="1241">
                  <c:v>1242</c:v>
                </c:pt>
                <c:pt idx="1242">
                  <c:v>1243</c:v>
                </c:pt>
                <c:pt idx="1243">
                  <c:v>1244</c:v>
                </c:pt>
                <c:pt idx="1244">
                  <c:v>1245</c:v>
                </c:pt>
                <c:pt idx="1245">
                  <c:v>1246</c:v>
                </c:pt>
                <c:pt idx="1246">
                  <c:v>1247</c:v>
                </c:pt>
                <c:pt idx="1247">
                  <c:v>1248</c:v>
                </c:pt>
                <c:pt idx="1248">
                  <c:v>1249</c:v>
                </c:pt>
                <c:pt idx="1249">
                  <c:v>1250</c:v>
                </c:pt>
                <c:pt idx="1250">
                  <c:v>1251</c:v>
                </c:pt>
                <c:pt idx="1251">
                  <c:v>1252</c:v>
                </c:pt>
                <c:pt idx="1252">
                  <c:v>1253</c:v>
                </c:pt>
                <c:pt idx="1253">
                  <c:v>1254</c:v>
                </c:pt>
                <c:pt idx="1254">
                  <c:v>1255</c:v>
                </c:pt>
                <c:pt idx="1255">
                  <c:v>1256</c:v>
                </c:pt>
                <c:pt idx="1256">
                  <c:v>1257</c:v>
                </c:pt>
                <c:pt idx="1257">
                  <c:v>1258</c:v>
                </c:pt>
                <c:pt idx="1258">
                  <c:v>1259</c:v>
                </c:pt>
                <c:pt idx="1259">
                  <c:v>1260</c:v>
                </c:pt>
                <c:pt idx="1260">
                  <c:v>1261</c:v>
                </c:pt>
                <c:pt idx="1261">
                  <c:v>1262</c:v>
                </c:pt>
                <c:pt idx="1262">
                  <c:v>1263</c:v>
                </c:pt>
                <c:pt idx="1263">
                  <c:v>1264</c:v>
                </c:pt>
                <c:pt idx="1264">
                  <c:v>1265</c:v>
                </c:pt>
                <c:pt idx="1265">
                  <c:v>1266</c:v>
                </c:pt>
                <c:pt idx="1266">
                  <c:v>1267</c:v>
                </c:pt>
                <c:pt idx="1267">
                  <c:v>1268</c:v>
                </c:pt>
                <c:pt idx="1268">
                  <c:v>1269</c:v>
                </c:pt>
                <c:pt idx="1269">
                  <c:v>1270</c:v>
                </c:pt>
                <c:pt idx="1270">
                  <c:v>1271</c:v>
                </c:pt>
                <c:pt idx="1271">
                  <c:v>1272</c:v>
                </c:pt>
                <c:pt idx="1272">
                  <c:v>1273</c:v>
                </c:pt>
                <c:pt idx="1273">
                  <c:v>1274</c:v>
                </c:pt>
                <c:pt idx="1274">
                  <c:v>1275</c:v>
                </c:pt>
                <c:pt idx="1275">
                  <c:v>1276</c:v>
                </c:pt>
                <c:pt idx="1276">
                  <c:v>1277</c:v>
                </c:pt>
                <c:pt idx="1277">
                  <c:v>1278</c:v>
                </c:pt>
                <c:pt idx="1278">
                  <c:v>1279</c:v>
                </c:pt>
                <c:pt idx="1279">
                  <c:v>1280</c:v>
                </c:pt>
                <c:pt idx="1280">
                  <c:v>1281</c:v>
                </c:pt>
                <c:pt idx="1281">
                  <c:v>1282</c:v>
                </c:pt>
                <c:pt idx="1282">
                  <c:v>1283</c:v>
                </c:pt>
                <c:pt idx="1283">
                  <c:v>1284</c:v>
                </c:pt>
                <c:pt idx="1284">
                  <c:v>1285</c:v>
                </c:pt>
                <c:pt idx="1285">
                  <c:v>1286</c:v>
                </c:pt>
                <c:pt idx="1286">
                  <c:v>1287</c:v>
                </c:pt>
                <c:pt idx="1287">
                  <c:v>1288</c:v>
                </c:pt>
                <c:pt idx="1288">
                  <c:v>1289</c:v>
                </c:pt>
                <c:pt idx="1289">
                  <c:v>1290</c:v>
                </c:pt>
                <c:pt idx="1290">
                  <c:v>1291</c:v>
                </c:pt>
                <c:pt idx="1291">
                  <c:v>1292</c:v>
                </c:pt>
                <c:pt idx="1292">
                  <c:v>1293</c:v>
                </c:pt>
                <c:pt idx="1293">
                  <c:v>1294</c:v>
                </c:pt>
                <c:pt idx="1294">
                  <c:v>1295</c:v>
                </c:pt>
                <c:pt idx="1295">
                  <c:v>1296</c:v>
                </c:pt>
                <c:pt idx="1296">
                  <c:v>1297</c:v>
                </c:pt>
                <c:pt idx="1297">
                  <c:v>1298</c:v>
                </c:pt>
                <c:pt idx="1298">
                  <c:v>1299</c:v>
                </c:pt>
                <c:pt idx="1299">
                  <c:v>1300</c:v>
                </c:pt>
                <c:pt idx="1300">
                  <c:v>1301</c:v>
                </c:pt>
                <c:pt idx="1301">
                  <c:v>1302</c:v>
                </c:pt>
                <c:pt idx="1302">
                  <c:v>1303</c:v>
                </c:pt>
                <c:pt idx="1303">
                  <c:v>1304</c:v>
                </c:pt>
                <c:pt idx="1304">
                  <c:v>1305</c:v>
                </c:pt>
                <c:pt idx="1305">
                  <c:v>1306</c:v>
                </c:pt>
                <c:pt idx="1306">
                  <c:v>1307</c:v>
                </c:pt>
                <c:pt idx="1307">
                  <c:v>1308</c:v>
                </c:pt>
                <c:pt idx="1308">
                  <c:v>1309</c:v>
                </c:pt>
                <c:pt idx="1309">
                  <c:v>1310</c:v>
                </c:pt>
                <c:pt idx="1310">
                  <c:v>1311</c:v>
                </c:pt>
                <c:pt idx="1311">
                  <c:v>1312</c:v>
                </c:pt>
                <c:pt idx="1312">
                  <c:v>1313</c:v>
                </c:pt>
                <c:pt idx="1313">
                  <c:v>1314</c:v>
                </c:pt>
                <c:pt idx="1314">
                  <c:v>1315</c:v>
                </c:pt>
                <c:pt idx="1315">
                  <c:v>1316</c:v>
                </c:pt>
                <c:pt idx="1316">
                  <c:v>1317</c:v>
                </c:pt>
                <c:pt idx="1317">
                  <c:v>1318</c:v>
                </c:pt>
                <c:pt idx="1318">
                  <c:v>1319</c:v>
                </c:pt>
                <c:pt idx="1319">
                  <c:v>1320</c:v>
                </c:pt>
                <c:pt idx="1320">
                  <c:v>1321</c:v>
                </c:pt>
                <c:pt idx="1321">
                  <c:v>1322</c:v>
                </c:pt>
                <c:pt idx="1322">
                  <c:v>1323</c:v>
                </c:pt>
                <c:pt idx="1323">
                  <c:v>1324</c:v>
                </c:pt>
                <c:pt idx="1324">
                  <c:v>1325</c:v>
                </c:pt>
                <c:pt idx="1325">
                  <c:v>1326</c:v>
                </c:pt>
                <c:pt idx="1326">
                  <c:v>1327</c:v>
                </c:pt>
                <c:pt idx="1327">
                  <c:v>1328</c:v>
                </c:pt>
                <c:pt idx="1328">
                  <c:v>1329</c:v>
                </c:pt>
                <c:pt idx="1329">
                  <c:v>1330</c:v>
                </c:pt>
                <c:pt idx="1330">
                  <c:v>1331</c:v>
                </c:pt>
                <c:pt idx="1331">
                  <c:v>1332</c:v>
                </c:pt>
                <c:pt idx="1332">
                  <c:v>1333</c:v>
                </c:pt>
                <c:pt idx="1333">
                  <c:v>1334</c:v>
                </c:pt>
                <c:pt idx="1334">
                  <c:v>1335</c:v>
                </c:pt>
                <c:pt idx="1335">
                  <c:v>1336</c:v>
                </c:pt>
                <c:pt idx="1336">
                  <c:v>1337</c:v>
                </c:pt>
                <c:pt idx="1337">
                  <c:v>1338</c:v>
                </c:pt>
                <c:pt idx="1338">
                  <c:v>1339</c:v>
                </c:pt>
                <c:pt idx="1339">
                  <c:v>1340</c:v>
                </c:pt>
                <c:pt idx="1340">
                  <c:v>1341</c:v>
                </c:pt>
                <c:pt idx="1341">
                  <c:v>1342</c:v>
                </c:pt>
                <c:pt idx="1342">
                  <c:v>1343</c:v>
                </c:pt>
                <c:pt idx="1343">
                  <c:v>1344</c:v>
                </c:pt>
                <c:pt idx="1344">
                  <c:v>1345</c:v>
                </c:pt>
                <c:pt idx="1345">
                  <c:v>1346</c:v>
                </c:pt>
                <c:pt idx="1346">
                  <c:v>1347</c:v>
                </c:pt>
                <c:pt idx="1347">
                  <c:v>1348</c:v>
                </c:pt>
                <c:pt idx="1348">
                  <c:v>1349</c:v>
                </c:pt>
                <c:pt idx="1349">
                  <c:v>1350</c:v>
                </c:pt>
                <c:pt idx="1350">
                  <c:v>1351</c:v>
                </c:pt>
                <c:pt idx="1351">
                  <c:v>1352</c:v>
                </c:pt>
                <c:pt idx="1352">
                  <c:v>1353</c:v>
                </c:pt>
                <c:pt idx="1353">
                  <c:v>1354</c:v>
                </c:pt>
                <c:pt idx="1354">
                  <c:v>1355</c:v>
                </c:pt>
                <c:pt idx="1355">
                  <c:v>1356</c:v>
                </c:pt>
                <c:pt idx="1356">
                  <c:v>1357</c:v>
                </c:pt>
                <c:pt idx="1357">
                  <c:v>1358</c:v>
                </c:pt>
                <c:pt idx="1358">
                  <c:v>1359</c:v>
                </c:pt>
                <c:pt idx="1359">
                  <c:v>1360</c:v>
                </c:pt>
                <c:pt idx="1360">
                  <c:v>1361</c:v>
                </c:pt>
                <c:pt idx="1361">
                  <c:v>1362</c:v>
                </c:pt>
                <c:pt idx="1362">
                  <c:v>1363</c:v>
                </c:pt>
                <c:pt idx="1363">
                  <c:v>1364</c:v>
                </c:pt>
                <c:pt idx="1364">
                  <c:v>1365</c:v>
                </c:pt>
                <c:pt idx="1365">
                  <c:v>1366</c:v>
                </c:pt>
                <c:pt idx="1366">
                  <c:v>1367</c:v>
                </c:pt>
                <c:pt idx="1367">
                  <c:v>1368</c:v>
                </c:pt>
                <c:pt idx="1368">
                  <c:v>1369</c:v>
                </c:pt>
                <c:pt idx="1369">
                  <c:v>1370</c:v>
                </c:pt>
                <c:pt idx="1370">
                  <c:v>1371</c:v>
                </c:pt>
                <c:pt idx="1371">
                  <c:v>1372</c:v>
                </c:pt>
                <c:pt idx="1372">
                  <c:v>1373</c:v>
                </c:pt>
                <c:pt idx="1373">
                  <c:v>1374</c:v>
                </c:pt>
                <c:pt idx="1374">
                  <c:v>1375</c:v>
                </c:pt>
                <c:pt idx="1375">
                  <c:v>1376</c:v>
                </c:pt>
                <c:pt idx="1376">
                  <c:v>1377</c:v>
                </c:pt>
                <c:pt idx="1377">
                  <c:v>1378</c:v>
                </c:pt>
                <c:pt idx="1378">
                  <c:v>1379</c:v>
                </c:pt>
                <c:pt idx="1379">
                  <c:v>1380</c:v>
                </c:pt>
                <c:pt idx="1380">
                  <c:v>1381</c:v>
                </c:pt>
                <c:pt idx="1381">
                  <c:v>1382</c:v>
                </c:pt>
                <c:pt idx="1382">
                  <c:v>1383</c:v>
                </c:pt>
                <c:pt idx="1383">
                  <c:v>1384</c:v>
                </c:pt>
                <c:pt idx="1384">
                  <c:v>1385</c:v>
                </c:pt>
                <c:pt idx="1385">
                  <c:v>1386</c:v>
                </c:pt>
                <c:pt idx="1386">
                  <c:v>1387</c:v>
                </c:pt>
                <c:pt idx="1387">
                  <c:v>1388</c:v>
                </c:pt>
                <c:pt idx="1388">
                  <c:v>1389</c:v>
                </c:pt>
                <c:pt idx="1389">
                  <c:v>1390</c:v>
                </c:pt>
                <c:pt idx="1390">
                  <c:v>1391</c:v>
                </c:pt>
                <c:pt idx="1391">
                  <c:v>1392</c:v>
                </c:pt>
                <c:pt idx="1392">
                  <c:v>1393</c:v>
                </c:pt>
                <c:pt idx="1393">
                  <c:v>1394</c:v>
                </c:pt>
                <c:pt idx="1394">
                  <c:v>1395</c:v>
                </c:pt>
                <c:pt idx="1395">
                  <c:v>1396</c:v>
                </c:pt>
                <c:pt idx="1396">
                  <c:v>1397</c:v>
                </c:pt>
                <c:pt idx="1397">
                  <c:v>1398</c:v>
                </c:pt>
                <c:pt idx="1398">
                  <c:v>1399</c:v>
                </c:pt>
                <c:pt idx="1399">
                  <c:v>1400</c:v>
                </c:pt>
                <c:pt idx="1400">
                  <c:v>1401</c:v>
                </c:pt>
                <c:pt idx="1401">
                  <c:v>1402</c:v>
                </c:pt>
                <c:pt idx="1402">
                  <c:v>1403</c:v>
                </c:pt>
                <c:pt idx="1403">
                  <c:v>1404</c:v>
                </c:pt>
                <c:pt idx="1404">
                  <c:v>1405</c:v>
                </c:pt>
                <c:pt idx="1405">
                  <c:v>1406</c:v>
                </c:pt>
                <c:pt idx="1406">
                  <c:v>1407</c:v>
                </c:pt>
                <c:pt idx="1407">
                  <c:v>1408</c:v>
                </c:pt>
                <c:pt idx="1408">
                  <c:v>1409</c:v>
                </c:pt>
                <c:pt idx="1409">
                  <c:v>1410</c:v>
                </c:pt>
                <c:pt idx="1410">
                  <c:v>1411</c:v>
                </c:pt>
                <c:pt idx="1411">
                  <c:v>1412</c:v>
                </c:pt>
                <c:pt idx="1412">
                  <c:v>1413</c:v>
                </c:pt>
                <c:pt idx="1413">
                  <c:v>1414</c:v>
                </c:pt>
                <c:pt idx="1414">
                  <c:v>1415</c:v>
                </c:pt>
                <c:pt idx="1415">
                  <c:v>1416</c:v>
                </c:pt>
                <c:pt idx="1416">
                  <c:v>1417</c:v>
                </c:pt>
                <c:pt idx="1417">
                  <c:v>1418</c:v>
                </c:pt>
                <c:pt idx="1418">
                  <c:v>1419</c:v>
                </c:pt>
                <c:pt idx="1419">
                  <c:v>1420</c:v>
                </c:pt>
                <c:pt idx="1420">
                  <c:v>1421</c:v>
                </c:pt>
                <c:pt idx="1421">
                  <c:v>1422</c:v>
                </c:pt>
                <c:pt idx="1422">
                  <c:v>1423</c:v>
                </c:pt>
                <c:pt idx="1423">
                  <c:v>1424</c:v>
                </c:pt>
                <c:pt idx="1424">
                  <c:v>1425</c:v>
                </c:pt>
                <c:pt idx="1425">
                  <c:v>1426</c:v>
                </c:pt>
                <c:pt idx="1426">
                  <c:v>1427</c:v>
                </c:pt>
                <c:pt idx="1427">
                  <c:v>1428</c:v>
                </c:pt>
                <c:pt idx="1428">
                  <c:v>1429</c:v>
                </c:pt>
                <c:pt idx="1429">
                  <c:v>1430</c:v>
                </c:pt>
                <c:pt idx="1430">
                  <c:v>1431</c:v>
                </c:pt>
                <c:pt idx="1431">
                  <c:v>1432</c:v>
                </c:pt>
                <c:pt idx="1432">
                  <c:v>1433</c:v>
                </c:pt>
                <c:pt idx="1433">
                  <c:v>1434</c:v>
                </c:pt>
                <c:pt idx="1434">
                  <c:v>1435</c:v>
                </c:pt>
                <c:pt idx="1435">
                  <c:v>1436</c:v>
                </c:pt>
                <c:pt idx="1436">
                  <c:v>1437</c:v>
                </c:pt>
                <c:pt idx="1437">
                  <c:v>1438</c:v>
                </c:pt>
                <c:pt idx="1438">
                  <c:v>1439</c:v>
                </c:pt>
                <c:pt idx="1439">
                  <c:v>1440</c:v>
                </c:pt>
                <c:pt idx="1440">
                  <c:v>1441</c:v>
                </c:pt>
                <c:pt idx="1441">
                  <c:v>1442</c:v>
                </c:pt>
                <c:pt idx="1442">
                  <c:v>1443</c:v>
                </c:pt>
                <c:pt idx="1443">
                  <c:v>1444</c:v>
                </c:pt>
                <c:pt idx="1444">
                  <c:v>1445</c:v>
                </c:pt>
                <c:pt idx="1445">
                  <c:v>1446</c:v>
                </c:pt>
                <c:pt idx="1446">
                  <c:v>1447</c:v>
                </c:pt>
                <c:pt idx="1447">
                  <c:v>1448</c:v>
                </c:pt>
                <c:pt idx="1448">
                  <c:v>1449</c:v>
                </c:pt>
                <c:pt idx="1449">
                  <c:v>1450</c:v>
                </c:pt>
                <c:pt idx="1450">
                  <c:v>1451</c:v>
                </c:pt>
                <c:pt idx="1451">
                  <c:v>1452</c:v>
                </c:pt>
                <c:pt idx="1452">
                  <c:v>1453</c:v>
                </c:pt>
                <c:pt idx="1453">
                  <c:v>1454</c:v>
                </c:pt>
                <c:pt idx="1454">
                  <c:v>1455</c:v>
                </c:pt>
                <c:pt idx="1455">
                  <c:v>1456</c:v>
                </c:pt>
                <c:pt idx="1456">
                  <c:v>1457</c:v>
                </c:pt>
                <c:pt idx="1457">
                  <c:v>1458</c:v>
                </c:pt>
                <c:pt idx="1458">
                  <c:v>1459</c:v>
                </c:pt>
                <c:pt idx="1459">
                  <c:v>1460</c:v>
                </c:pt>
                <c:pt idx="1460">
                  <c:v>1461</c:v>
                </c:pt>
                <c:pt idx="1461">
                  <c:v>1462</c:v>
                </c:pt>
                <c:pt idx="1462">
                  <c:v>1463</c:v>
                </c:pt>
                <c:pt idx="1463">
                  <c:v>1464</c:v>
                </c:pt>
                <c:pt idx="1464">
                  <c:v>1465</c:v>
                </c:pt>
                <c:pt idx="1465">
                  <c:v>1466</c:v>
                </c:pt>
                <c:pt idx="1466">
                  <c:v>1467</c:v>
                </c:pt>
                <c:pt idx="1467">
                  <c:v>1468</c:v>
                </c:pt>
                <c:pt idx="1468">
                  <c:v>1469</c:v>
                </c:pt>
                <c:pt idx="1469">
                  <c:v>1470</c:v>
                </c:pt>
                <c:pt idx="1470">
                  <c:v>1471</c:v>
                </c:pt>
                <c:pt idx="1471">
                  <c:v>1472</c:v>
                </c:pt>
                <c:pt idx="1472">
                  <c:v>1473</c:v>
                </c:pt>
                <c:pt idx="1473">
                  <c:v>1474</c:v>
                </c:pt>
                <c:pt idx="1474">
                  <c:v>1475</c:v>
                </c:pt>
                <c:pt idx="1475">
                  <c:v>1476</c:v>
                </c:pt>
                <c:pt idx="1476">
                  <c:v>1477</c:v>
                </c:pt>
                <c:pt idx="1477">
                  <c:v>1478</c:v>
                </c:pt>
                <c:pt idx="1478">
                  <c:v>1479</c:v>
                </c:pt>
                <c:pt idx="1479">
                  <c:v>1480</c:v>
                </c:pt>
                <c:pt idx="1480">
                  <c:v>1481</c:v>
                </c:pt>
                <c:pt idx="1481">
                  <c:v>1482</c:v>
                </c:pt>
                <c:pt idx="1482">
                  <c:v>1483</c:v>
                </c:pt>
                <c:pt idx="1483">
                  <c:v>1484</c:v>
                </c:pt>
                <c:pt idx="1484">
                  <c:v>1485</c:v>
                </c:pt>
                <c:pt idx="1485">
                  <c:v>1486</c:v>
                </c:pt>
                <c:pt idx="1486">
                  <c:v>1487</c:v>
                </c:pt>
                <c:pt idx="1487">
                  <c:v>1488</c:v>
                </c:pt>
                <c:pt idx="1488">
                  <c:v>1489</c:v>
                </c:pt>
                <c:pt idx="1489">
                  <c:v>1490</c:v>
                </c:pt>
                <c:pt idx="1490">
                  <c:v>1491</c:v>
                </c:pt>
                <c:pt idx="1491">
                  <c:v>1492</c:v>
                </c:pt>
                <c:pt idx="1492">
                  <c:v>1493</c:v>
                </c:pt>
                <c:pt idx="1493">
                  <c:v>1494</c:v>
                </c:pt>
                <c:pt idx="1494">
                  <c:v>1495</c:v>
                </c:pt>
                <c:pt idx="1495">
                  <c:v>1496</c:v>
                </c:pt>
                <c:pt idx="1496">
                  <c:v>1497</c:v>
                </c:pt>
                <c:pt idx="1497">
                  <c:v>1498</c:v>
                </c:pt>
                <c:pt idx="1498">
                  <c:v>1499</c:v>
                </c:pt>
                <c:pt idx="1499">
                  <c:v>1500</c:v>
                </c:pt>
                <c:pt idx="1500">
                  <c:v>1501</c:v>
                </c:pt>
                <c:pt idx="1501">
                  <c:v>1502</c:v>
                </c:pt>
                <c:pt idx="1502">
                  <c:v>1503</c:v>
                </c:pt>
                <c:pt idx="1503">
                  <c:v>1504</c:v>
                </c:pt>
                <c:pt idx="1504">
                  <c:v>1505</c:v>
                </c:pt>
                <c:pt idx="1505">
                  <c:v>1506</c:v>
                </c:pt>
                <c:pt idx="1506">
                  <c:v>1507</c:v>
                </c:pt>
                <c:pt idx="1507">
                  <c:v>1508</c:v>
                </c:pt>
                <c:pt idx="1508">
                  <c:v>1509</c:v>
                </c:pt>
                <c:pt idx="1509">
                  <c:v>1510</c:v>
                </c:pt>
                <c:pt idx="1510">
                  <c:v>1511</c:v>
                </c:pt>
                <c:pt idx="1511">
                  <c:v>1512</c:v>
                </c:pt>
                <c:pt idx="1512">
                  <c:v>1513</c:v>
                </c:pt>
                <c:pt idx="1513">
                  <c:v>1514</c:v>
                </c:pt>
                <c:pt idx="1514">
                  <c:v>1515</c:v>
                </c:pt>
                <c:pt idx="1515">
                  <c:v>1516</c:v>
                </c:pt>
                <c:pt idx="1516">
                  <c:v>1517</c:v>
                </c:pt>
                <c:pt idx="1517">
                  <c:v>1518</c:v>
                </c:pt>
                <c:pt idx="1518">
                  <c:v>1519</c:v>
                </c:pt>
                <c:pt idx="1519">
                  <c:v>1520</c:v>
                </c:pt>
                <c:pt idx="1520">
                  <c:v>1521</c:v>
                </c:pt>
                <c:pt idx="1521">
                  <c:v>1522</c:v>
                </c:pt>
                <c:pt idx="1522">
                  <c:v>1523</c:v>
                </c:pt>
                <c:pt idx="1523">
                  <c:v>1524</c:v>
                </c:pt>
                <c:pt idx="1524">
                  <c:v>1525</c:v>
                </c:pt>
                <c:pt idx="1525">
                  <c:v>1526</c:v>
                </c:pt>
                <c:pt idx="1526">
                  <c:v>1527</c:v>
                </c:pt>
                <c:pt idx="1527">
                  <c:v>1528</c:v>
                </c:pt>
                <c:pt idx="1528">
                  <c:v>1529</c:v>
                </c:pt>
                <c:pt idx="1529">
                  <c:v>1530</c:v>
                </c:pt>
                <c:pt idx="1530">
                  <c:v>1531</c:v>
                </c:pt>
                <c:pt idx="1531">
                  <c:v>1532</c:v>
                </c:pt>
                <c:pt idx="1532">
                  <c:v>1533</c:v>
                </c:pt>
                <c:pt idx="1533">
                  <c:v>1534</c:v>
                </c:pt>
                <c:pt idx="1534">
                  <c:v>1535</c:v>
                </c:pt>
                <c:pt idx="1535">
                  <c:v>1536</c:v>
                </c:pt>
                <c:pt idx="1536">
                  <c:v>1537</c:v>
                </c:pt>
                <c:pt idx="1537">
                  <c:v>1538</c:v>
                </c:pt>
                <c:pt idx="1538">
                  <c:v>1539</c:v>
                </c:pt>
                <c:pt idx="1539">
                  <c:v>1540</c:v>
                </c:pt>
                <c:pt idx="1540">
                  <c:v>1541</c:v>
                </c:pt>
                <c:pt idx="1541">
                  <c:v>1542</c:v>
                </c:pt>
                <c:pt idx="1542">
                  <c:v>1543</c:v>
                </c:pt>
                <c:pt idx="1543">
                  <c:v>1544</c:v>
                </c:pt>
                <c:pt idx="1544">
                  <c:v>1545</c:v>
                </c:pt>
                <c:pt idx="1545">
                  <c:v>1546</c:v>
                </c:pt>
                <c:pt idx="1546">
                  <c:v>1547</c:v>
                </c:pt>
                <c:pt idx="1547">
                  <c:v>1548</c:v>
                </c:pt>
                <c:pt idx="1548">
                  <c:v>1549</c:v>
                </c:pt>
                <c:pt idx="1549">
                  <c:v>1550</c:v>
                </c:pt>
                <c:pt idx="1550">
                  <c:v>1551</c:v>
                </c:pt>
                <c:pt idx="1551">
                  <c:v>1552</c:v>
                </c:pt>
                <c:pt idx="1552">
                  <c:v>1553</c:v>
                </c:pt>
                <c:pt idx="1553">
                  <c:v>1554</c:v>
                </c:pt>
                <c:pt idx="1554">
                  <c:v>1555</c:v>
                </c:pt>
                <c:pt idx="1555">
                  <c:v>1556</c:v>
                </c:pt>
                <c:pt idx="1556">
                  <c:v>1557</c:v>
                </c:pt>
                <c:pt idx="1557">
                  <c:v>1558</c:v>
                </c:pt>
                <c:pt idx="1558">
                  <c:v>1559</c:v>
                </c:pt>
                <c:pt idx="1559">
                  <c:v>1560</c:v>
                </c:pt>
                <c:pt idx="1560">
                  <c:v>1561</c:v>
                </c:pt>
                <c:pt idx="1561">
                  <c:v>1562</c:v>
                </c:pt>
                <c:pt idx="1562">
                  <c:v>1563</c:v>
                </c:pt>
                <c:pt idx="1563">
                  <c:v>1564</c:v>
                </c:pt>
                <c:pt idx="1564">
                  <c:v>1565</c:v>
                </c:pt>
                <c:pt idx="1565">
                  <c:v>1566</c:v>
                </c:pt>
                <c:pt idx="1566">
                  <c:v>1567</c:v>
                </c:pt>
                <c:pt idx="1567">
                  <c:v>1568</c:v>
                </c:pt>
                <c:pt idx="1568">
                  <c:v>1569</c:v>
                </c:pt>
                <c:pt idx="1569">
                  <c:v>1570</c:v>
                </c:pt>
                <c:pt idx="1570">
                  <c:v>1571</c:v>
                </c:pt>
                <c:pt idx="1571">
                  <c:v>1572</c:v>
                </c:pt>
                <c:pt idx="1572">
                  <c:v>1573</c:v>
                </c:pt>
                <c:pt idx="1573">
                  <c:v>1574</c:v>
                </c:pt>
                <c:pt idx="1574">
                  <c:v>1575</c:v>
                </c:pt>
                <c:pt idx="1575">
                  <c:v>1576</c:v>
                </c:pt>
                <c:pt idx="1576">
                  <c:v>1577</c:v>
                </c:pt>
                <c:pt idx="1577">
                  <c:v>1578</c:v>
                </c:pt>
                <c:pt idx="1578">
                  <c:v>1579</c:v>
                </c:pt>
                <c:pt idx="1579">
                  <c:v>1580</c:v>
                </c:pt>
                <c:pt idx="1580">
                  <c:v>1581</c:v>
                </c:pt>
                <c:pt idx="1581">
                  <c:v>1582</c:v>
                </c:pt>
                <c:pt idx="1582">
                  <c:v>1583</c:v>
                </c:pt>
                <c:pt idx="1583">
                  <c:v>1584</c:v>
                </c:pt>
                <c:pt idx="1584">
                  <c:v>1585</c:v>
                </c:pt>
                <c:pt idx="1585">
                  <c:v>1586</c:v>
                </c:pt>
                <c:pt idx="1586">
                  <c:v>1587</c:v>
                </c:pt>
                <c:pt idx="1587">
                  <c:v>1588</c:v>
                </c:pt>
                <c:pt idx="1588">
                  <c:v>1589</c:v>
                </c:pt>
                <c:pt idx="1589">
                  <c:v>1590</c:v>
                </c:pt>
                <c:pt idx="1590">
                  <c:v>1591</c:v>
                </c:pt>
                <c:pt idx="1591">
                  <c:v>1592</c:v>
                </c:pt>
                <c:pt idx="1592">
                  <c:v>1593</c:v>
                </c:pt>
                <c:pt idx="1593">
                  <c:v>1594</c:v>
                </c:pt>
                <c:pt idx="1594">
                  <c:v>1595</c:v>
                </c:pt>
                <c:pt idx="1595">
                  <c:v>1596</c:v>
                </c:pt>
                <c:pt idx="1596">
                  <c:v>1597</c:v>
                </c:pt>
                <c:pt idx="1597">
                  <c:v>1598</c:v>
                </c:pt>
                <c:pt idx="1598">
                  <c:v>1599</c:v>
                </c:pt>
                <c:pt idx="1599">
                  <c:v>1600</c:v>
                </c:pt>
                <c:pt idx="1600">
                  <c:v>1601</c:v>
                </c:pt>
                <c:pt idx="1601">
                  <c:v>1602</c:v>
                </c:pt>
                <c:pt idx="1602">
                  <c:v>1603</c:v>
                </c:pt>
                <c:pt idx="1603">
                  <c:v>1604</c:v>
                </c:pt>
                <c:pt idx="1604">
                  <c:v>1605</c:v>
                </c:pt>
                <c:pt idx="1605">
                  <c:v>1606</c:v>
                </c:pt>
                <c:pt idx="1606">
                  <c:v>1607</c:v>
                </c:pt>
                <c:pt idx="1607">
                  <c:v>1608</c:v>
                </c:pt>
                <c:pt idx="1608">
                  <c:v>1609</c:v>
                </c:pt>
                <c:pt idx="1609">
                  <c:v>1610</c:v>
                </c:pt>
                <c:pt idx="1610">
                  <c:v>1611</c:v>
                </c:pt>
                <c:pt idx="1611">
                  <c:v>1612</c:v>
                </c:pt>
                <c:pt idx="1612">
                  <c:v>1613</c:v>
                </c:pt>
                <c:pt idx="1613">
                  <c:v>1614</c:v>
                </c:pt>
                <c:pt idx="1614">
                  <c:v>1615</c:v>
                </c:pt>
                <c:pt idx="1615">
                  <c:v>1616</c:v>
                </c:pt>
                <c:pt idx="1616">
                  <c:v>1617</c:v>
                </c:pt>
                <c:pt idx="1617">
                  <c:v>1618</c:v>
                </c:pt>
                <c:pt idx="1618">
                  <c:v>1619</c:v>
                </c:pt>
                <c:pt idx="1619">
                  <c:v>1620</c:v>
                </c:pt>
                <c:pt idx="1620">
                  <c:v>1621</c:v>
                </c:pt>
                <c:pt idx="1621">
                  <c:v>1622</c:v>
                </c:pt>
                <c:pt idx="1622">
                  <c:v>1623</c:v>
                </c:pt>
                <c:pt idx="1623">
                  <c:v>1624</c:v>
                </c:pt>
                <c:pt idx="1624">
                  <c:v>1625</c:v>
                </c:pt>
                <c:pt idx="1625">
                  <c:v>1626</c:v>
                </c:pt>
                <c:pt idx="1626">
                  <c:v>1627</c:v>
                </c:pt>
                <c:pt idx="1627">
                  <c:v>1628</c:v>
                </c:pt>
                <c:pt idx="1628">
                  <c:v>1629</c:v>
                </c:pt>
                <c:pt idx="1629">
                  <c:v>1630</c:v>
                </c:pt>
                <c:pt idx="1630">
                  <c:v>1631</c:v>
                </c:pt>
                <c:pt idx="1631">
                  <c:v>1632</c:v>
                </c:pt>
                <c:pt idx="1632">
                  <c:v>1633</c:v>
                </c:pt>
                <c:pt idx="1633">
                  <c:v>1634</c:v>
                </c:pt>
                <c:pt idx="1634">
                  <c:v>1635</c:v>
                </c:pt>
                <c:pt idx="1635">
                  <c:v>1636</c:v>
                </c:pt>
                <c:pt idx="1636">
                  <c:v>1637</c:v>
                </c:pt>
                <c:pt idx="1637">
                  <c:v>1638</c:v>
                </c:pt>
                <c:pt idx="1638">
                  <c:v>1639</c:v>
                </c:pt>
                <c:pt idx="1639">
                  <c:v>1640</c:v>
                </c:pt>
                <c:pt idx="1640">
                  <c:v>1641</c:v>
                </c:pt>
                <c:pt idx="1641">
                  <c:v>1642</c:v>
                </c:pt>
                <c:pt idx="1642">
                  <c:v>1643</c:v>
                </c:pt>
                <c:pt idx="1643">
                  <c:v>1644</c:v>
                </c:pt>
                <c:pt idx="1644">
                  <c:v>1645</c:v>
                </c:pt>
                <c:pt idx="1645">
                  <c:v>1646</c:v>
                </c:pt>
                <c:pt idx="1646">
                  <c:v>1647</c:v>
                </c:pt>
                <c:pt idx="1647">
                  <c:v>1648</c:v>
                </c:pt>
                <c:pt idx="1648">
                  <c:v>1649</c:v>
                </c:pt>
                <c:pt idx="1649">
                  <c:v>1650</c:v>
                </c:pt>
                <c:pt idx="1650">
                  <c:v>1651</c:v>
                </c:pt>
                <c:pt idx="1651">
                  <c:v>1652</c:v>
                </c:pt>
                <c:pt idx="1652">
                  <c:v>1653</c:v>
                </c:pt>
                <c:pt idx="1653">
                  <c:v>1654</c:v>
                </c:pt>
                <c:pt idx="1654">
                  <c:v>1655</c:v>
                </c:pt>
                <c:pt idx="1655">
                  <c:v>1656</c:v>
                </c:pt>
                <c:pt idx="1656">
                  <c:v>1657</c:v>
                </c:pt>
                <c:pt idx="1657">
                  <c:v>1658</c:v>
                </c:pt>
                <c:pt idx="1658">
                  <c:v>1659</c:v>
                </c:pt>
                <c:pt idx="1659">
                  <c:v>1660</c:v>
                </c:pt>
                <c:pt idx="1660">
                  <c:v>1661</c:v>
                </c:pt>
                <c:pt idx="1661">
                  <c:v>1662</c:v>
                </c:pt>
                <c:pt idx="1662">
                  <c:v>1663</c:v>
                </c:pt>
                <c:pt idx="1663">
                  <c:v>1664</c:v>
                </c:pt>
                <c:pt idx="1664">
                  <c:v>1665</c:v>
                </c:pt>
                <c:pt idx="1665">
                  <c:v>1666</c:v>
                </c:pt>
                <c:pt idx="1666">
                  <c:v>1667</c:v>
                </c:pt>
                <c:pt idx="1667">
                  <c:v>1668</c:v>
                </c:pt>
                <c:pt idx="1668">
                  <c:v>1669</c:v>
                </c:pt>
                <c:pt idx="1669">
                  <c:v>1670</c:v>
                </c:pt>
                <c:pt idx="1670">
                  <c:v>1671</c:v>
                </c:pt>
                <c:pt idx="1671">
                  <c:v>1672</c:v>
                </c:pt>
                <c:pt idx="1672">
                  <c:v>1673</c:v>
                </c:pt>
                <c:pt idx="1673">
                  <c:v>1674</c:v>
                </c:pt>
                <c:pt idx="1674">
                  <c:v>1675</c:v>
                </c:pt>
                <c:pt idx="1675">
                  <c:v>1676</c:v>
                </c:pt>
                <c:pt idx="1676">
                  <c:v>1677</c:v>
                </c:pt>
                <c:pt idx="1677">
                  <c:v>1678</c:v>
                </c:pt>
                <c:pt idx="1678">
                  <c:v>1679</c:v>
                </c:pt>
                <c:pt idx="1679">
                  <c:v>1680</c:v>
                </c:pt>
                <c:pt idx="1680">
                  <c:v>1681</c:v>
                </c:pt>
                <c:pt idx="1681">
                  <c:v>1682</c:v>
                </c:pt>
                <c:pt idx="1682">
                  <c:v>1683</c:v>
                </c:pt>
                <c:pt idx="1683">
                  <c:v>1684</c:v>
                </c:pt>
                <c:pt idx="1684">
                  <c:v>1685</c:v>
                </c:pt>
                <c:pt idx="1685">
                  <c:v>1686</c:v>
                </c:pt>
                <c:pt idx="1686">
                  <c:v>1687</c:v>
                </c:pt>
                <c:pt idx="1687">
                  <c:v>1688</c:v>
                </c:pt>
                <c:pt idx="1688">
                  <c:v>1689</c:v>
                </c:pt>
                <c:pt idx="1689">
                  <c:v>1690</c:v>
                </c:pt>
                <c:pt idx="1690">
                  <c:v>1691</c:v>
                </c:pt>
                <c:pt idx="1691">
                  <c:v>1692</c:v>
                </c:pt>
                <c:pt idx="1692">
                  <c:v>1693</c:v>
                </c:pt>
                <c:pt idx="1693">
                  <c:v>1694</c:v>
                </c:pt>
                <c:pt idx="1694">
                  <c:v>1695</c:v>
                </c:pt>
                <c:pt idx="1695">
                  <c:v>1696</c:v>
                </c:pt>
                <c:pt idx="1696">
                  <c:v>1697</c:v>
                </c:pt>
                <c:pt idx="1697">
                  <c:v>1698</c:v>
                </c:pt>
                <c:pt idx="1698">
                  <c:v>1699</c:v>
                </c:pt>
                <c:pt idx="1699">
                  <c:v>1700</c:v>
                </c:pt>
                <c:pt idx="1700">
                  <c:v>1701</c:v>
                </c:pt>
                <c:pt idx="1701">
                  <c:v>1702</c:v>
                </c:pt>
                <c:pt idx="1702">
                  <c:v>1703</c:v>
                </c:pt>
                <c:pt idx="1703">
                  <c:v>1704</c:v>
                </c:pt>
                <c:pt idx="1704">
                  <c:v>1705</c:v>
                </c:pt>
                <c:pt idx="1705">
                  <c:v>1706</c:v>
                </c:pt>
                <c:pt idx="1706">
                  <c:v>1707</c:v>
                </c:pt>
                <c:pt idx="1707">
                  <c:v>1708</c:v>
                </c:pt>
                <c:pt idx="1708">
                  <c:v>1709</c:v>
                </c:pt>
                <c:pt idx="1709">
                  <c:v>1710</c:v>
                </c:pt>
                <c:pt idx="1710">
                  <c:v>1711</c:v>
                </c:pt>
                <c:pt idx="1711">
                  <c:v>1712</c:v>
                </c:pt>
                <c:pt idx="1712">
                  <c:v>1713</c:v>
                </c:pt>
                <c:pt idx="1713">
                  <c:v>1714</c:v>
                </c:pt>
                <c:pt idx="1714">
                  <c:v>1715</c:v>
                </c:pt>
                <c:pt idx="1715">
                  <c:v>1716</c:v>
                </c:pt>
                <c:pt idx="1716">
                  <c:v>1717</c:v>
                </c:pt>
                <c:pt idx="1717">
                  <c:v>1718</c:v>
                </c:pt>
                <c:pt idx="1718">
                  <c:v>1719</c:v>
                </c:pt>
                <c:pt idx="1719">
                  <c:v>1720</c:v>
                </c:pt>
                <c:pt idx="1720">
                  <c:v>1721</c:v>
                </c:pt>
                <c:pt idx="1721">
                  <c:v>1722</c:v>
                </c:pt>
                <c:pt idx="1722">
                  <c:v>1723</c:v>
                </c:pt>
                <c:pt idx="1723">
                  <c:v>1724</c:v>
                </c:pt>
                <c:pt idx="1724">
                  <c:v>1725</c:v>
                </c:pt>
                <c:pt idx="1725">
                  <c:v>1726</c:v>
                </c:pt>
                <c:pt idx="1726">
                  <c:v>1727</c:v>
                </c:pt>
                <c:pt idx="1727">
                  <c:v>1728</c:v>
                </c:pt>
                <c:pt idx="1728">
                  <c:v>1729</c:v>
                </c:pt>
                <c:pt idx="1729">
                  <c:v>1730</c:v>
                </c:pt>
                <c:pt idx="1730">
                  <c:v>1731</c:v>
                </c:pt>
                <c:pt idx="1731">
                  <c:v>1732</c:v>
                </c:pt>
                <c:pt idx="1732">
                  <c:v>1733</c:v>
                </c:pt>
                <c:pt idx="1733">
                  <c:v>1734</c:v>
                </c:pt>
                <c:pt idx="1734">
                  <c:v>1735</c:v>
                </c:pt>
                <c:pt idx="1735">
                  <c:v>1736</c:v>
                </c:pt>
                <c:pt idx="1736">
                  <c:v>1737</c:v>
                </c:pt>
                <c:pt idx="1737">
                  <c:v>1738</c:v>
                </c:pt>
                <c:pt idx="1738">
                  <c:v>1739</c:v>
                </c:pt>
                <c:pt idx="1739">
                  <c:v>1740</c:v>
                </c:pt>
                <c:pt idx="1740">
                  <c:v>1741</c:v>
                </c:pt>
                <c:pt idx="1741">
                  <c:v>1742</c:v>
                </c:pt>
                <c:pt idx="1742">
                  <c:v>1743</c:v>
                </c:pt>
                <c:pt idx="1743">
                  <c:v>1744</c:v>
                </c:pt>
                <c:pt idx="1744">
                  <c:v>1745</c:v>
                </c:pt>
                <c:pt idx="1745">
                  <c:v>1746</c:v>
                </c:pt>
                <c:pt idx="1746">
                  <c:v>1747</c:v>
                </c:pt>
                <c:pt idx="1747">
                  <c:v>1748</c:v>
                </c:pt>
                <c:pt idx="1748">
                  <c:v>1749</c:v>
                </c:pt>
                <c:pt idx="1749">
                  <c:v>1750</c:v>
                </c:pt>
                <c:pt idx="1750">
                  <c:v>1751</c:v>
                </c:pt>
                <c:pt idx="1751">
                  <c:v>1752</c:v>
                </c:pt>
                <c:pt idx="1752">
                  <c:v>1753</c:v>
                </c:pt>
                <c:pt idx="1753">
                  <c:v>1754</c:v>
                </c:pt>
                <c:pt idx="1754">
                  <c:v>1755</c:v>
                </c:pt>
                <c:pt idx="1755">
                  <c:v>1756</c:v>
                </c:pt>
                <c:pt idx="1756">
                  <c:v>1757</c:v>
                </c:pt>
                <c:pt idx="1757">
                  <c:v>1758</c:v>
                </c:pt>
                <c:pt idx="1758">
                  <c:v>1759</c:v>
                </c:pt>
                <c:pt idx="1759">
                  <c:v>1760</c:v>
                </c:pt>
                <c:pt idx="1760">
                  <c:v>1761</c:v>
                </c:pt>
                <c:pt idx="1761">
                  <c:v>1762</c:v>
                </c:pt>
                <c:pt idx="1762">
                  <c:v>1763</c:v>
                </c:pt>
                <c:pt idx="1763">
                  <c:v>1764</c:v>
                </c:pt>
                <c:pt idx="1764">
                  <c:v>1765</c:v>
                </c:pt>
                <c:pt idx="1765">
                  <c:v>1766</c:v>
                </c:pt>
                <c:pt idx="1766">
                  <c:v>1767</c:v>
                </c:pt>
                <c:pt idx="1767">
                  <c:v>1768</c:v>
                </c:pt>
                <c:pt idx="1768">
                  <c:v>1769</c:v>
                </c:pt>
                <c:pt idx="1769">
                  <c:v>1770</c:v>
                </c:pt>
                <c:pt idx="1770">
                  <c:v>1771</c:v>
                </c:pt>
                <c:pt idx="1771">
                  <c:v>1772</c:v>
                </c:pt>
                <c:pt idx="1772">
                  <c:v>1773</c:v>
                </c:pt>
                <c:pt idx="1773">
                  <c:v>1774</c:v>
                </c:pt>
                <c:pt idx="1774">
                  <c:v>1775</c:v>
                </c:pt>
                <c:pt idx="1775">
                  <c:v>1776</c:v>
                </c:pt>
                <c:pt idx="1776">
                  <c:v>1777</c:v>
                </c:pt>
                <c:pt idx="1777">
                  <c:v>1778</c:v>
                </c:pt>
                <c:pt idx="1778">
                  <c:v>1779</c:v>
                </c:pt>
                <c:pt idx="1779">
                  <c:v>1780</c:v>
                </c:pt>
                <c:pt idx="1780">
                  <c:v>1781</c:v>
                </c:pt>
                <c:pt idx="1781">
                  <c:v>1782</c:v>
                </c:pt>
                <c:pt idx="1782">
                  <c:v>1783</c:v>
                </c:pt>
                <c:pt idx="1783">
                  <c:v>1784</c:v>
                </c:pt>
                <c:pt idx="1784">
                  <c:v>1785</c:v>
                </c:pt>
                <c:pt idx="1785">
                  <c:v>1786</c:v>
                </c:pt>
                <c:pt idx="1786">
                  <c:v>1787</c:v>
                </c:pt>
                <c:pt idx="1787">
                  <c:v>1788</c:v>
                </c:pt>
                <c:pt idx="1788">
                  <c:v>1789</c:v>
                </c:pt>
                <c:pt idx="1789">
                  <c:v>1790</c:v>
                </c:pt>
                <c:pt idx="1790">
                  <c:v>1791</c:v>
                </c:pt>
                <c:pt idx="1791">
                  <c:v>1792</c:v>
                </c:pt>
                <c:pt idx="1792">
                  <c:v>1793</c:v>
                </c:pt>
                <c:pt idx="1793">
                  <c:v>1794</c:v>
                </c:pt>
                <c:pt idx="1794">
                  <c:v>1795</c:v>
                </c:pt>
                <c:pt idx="1795">
                  <c:v>1796</c:v>
                </c:pt>
                <c:pt idx="1796">
                  <c:v>1797</c:v>
                </c:pt>
                <c:pt idx="1797">
                  <c:v>1798</c:v>
                </c:pt>
                <c:pt idx="1798">
                  <c:v>1799</c:v>
                </c:pt>
                <c:pt idx="1799">
                  <c:v>1800</c:v>
                </c:pt>
                <c:pt idx="1800">
                  <c:v>1801</c:v>
                </c:pt>
                <c:pt idx="1801">
                  <c:v>1802</c:v>
                </c:pt>
                <c:pt idx="1802">
                  <c:v>1803</c:v>
                </c:pt>
                <c:pt idx="1803">
                  <c:v>1804</c:v>
                </c:pt>
                <c:pt idx="1804">
                  <c:v>1805</c:v>
                </c:pt>
                <c:pt idx="1805">
                  <c:v>1806</c:v>
                </c:pt>
                <c:pt idx="1806">
                  <c:v>1807</c:v>
                </c:pt>
                <c:pt idx="1807">
                  <c:v>1808</c:v>
                </c:pt>
                <c:pt idx="1808">
                  <c:v>1809</c:v>
                </c:pt>
                <c:pt idx="1809">
                  <c:v>1810</c:v>
                </c:pt>
                <c:pt idx="1810">
                  <c:v>1811</c:v>
                </c:pt>
                <c:pt idx="1811">
                  <c:v>1812</c:v>
                </c:pt>
                <c:pt idx="1812">
                  <c:v>1813</c:v>
                </c:pt>
                <c:pt idx="1813">
                  <c:v>1814</c:v>
                </c:pt>
                <c:pt idx="1814">
                  <c:v>1815</c:v>
                </c:pt>
                <c:pt idx="1815">
                  <c:v>1816</c:v>
                </c:pt>
                <c:pt idx="1816">
                  <c:v>1817</c:v>
                </c:pt>
                <c:pt idx="1817">
                  <c:v>1818</c:v>
                </c:pt>
                <c:pt idx="1818">
                  <c:v>1819</c:v>
                </c:pt>
                <c:pt idx="1819">
                  <c:v>1820</c:v>
                </c:pt>
                <c:pt idx="1820">
                  <c:v>1821</c:v>
                </c:pt>
                <c:pt idx="1821">
                  <c:v>1822</c:v>
                </c:pt>
                <c:pt idx="1822">
                  <c:v>1823</c:v>
                </c:pt>
                <c:pt idx="1823">
                  <c:v>1824</c:v>
                </c:pt>
                <c:pt idx="1824">
                  <c:v>1825</c:v>
                </c:pt>
                <c:pt idx="1825">
                  <c:v>1826</c:v>
                </c:pt>
                <c:pt idx="1826">
                  <c:v>1827</c:v>
                </c:pt>
                <c:pt idx="1827">
                  <c:v>1828</c:v>
                </c:pt>
                <c:pt idx="1828">
                  <c:v>1829</c:v>
                </c:pt>
                <c:pt idx="1829">
                  <c:v>1830</c:v>
                </c:pt>
                <c:pt idx="1830">
                  <c:v>1831</c:v>
                </c:pt>
                <c:pt idx="1831">
                  <c:v>1832</c:v>
                </c:pt>
                <c:pt idx="1832">
                  <c:v>1833</c:v>
                </c:pt>
                <c:pt idx="1833">
                  <c:v>1834</c:v>
                </c:pt>
                <c:pt idx="1834">
                  <c:v>1835</c:v>
                </c:pt>
                <c:pt idx="1835">
                  <c:v>1836</c:v>
                </c:pt>
                <c:pt idx="1836">
                  <c:v>1837</c:v>
                </c:pt>
                <c:pt idx="1837">
                  <c:v>1838</c:v>
                </c:pt>
                <c:pt idx="1838">
                  <c:v>1839</c:v>
                </c:pt>
                <c:pt idx="1839">
                  <c:v>1840</c:v>
                </c:pt>
                <c:pt idx="1840">
                  <c:v>1841</c:v>
                </c:pt>
                <c:pt idx="1841">
                  <c:v>1842</c:v>
                </c:pt>
                <c:pt idx="1842">
                  <c:v>1843</c:v>
                </c:pt>
                <c:pt idx="1843">
                  <c:v>1844</c:v>
                </c:pt>
                <c:pt idx="1844">
                  <c:v>1845</c:v>
                </c:pt>
                <c:pt idx="1845">
                  <c:v>1846</c:v>
                </c:pt>
                <c:pt idx="1846">
                  <c:v>1847</c:v>
                </c:pt>
                <c:pt idx="1847">
                  <c:v>1848</c:v>
                </c:pt>
                <c:pt idx="1848">
                  <c:v>1849</c:v>
                </c:pt>
                <c:pt idx="1849">
                  <c:v>1850</c:v>
                </c:pt>
                <c:pt idx="1850">
                  <c:v>1851</c:v>
                </c:pt>
                <c:pt idx="1851">
                  <c:v>1852</c:v>
                </c:pt>
                <c:pt idx="1852">
                  <c:v>1853</c:v>
                </c:pt>
                <c:pt idx="1853">
                  <c:v>1854</c:v>
                </c:pt>
                <c:pt idx="1854">
                  <c:v>1855</c:v>
                </c:pt>
                <c:pt idx="1855">
                  <c:v>1856</c:v>
                </c:pt>
                <c:pt idx="1856">
                  <c:v>1857</c:v>
                </c:pt>
                <c:pt idx="1857">
                  <c:v>1858</c:v>
                </c:pt>
                <c:pt idx="1858">
                  <c:v>1859</c:v>
                </c:pt>
                <c:pt idx="1859">
                  <c:v>1860</c:v>
                </c:pt>
              </c:numCache>
            </c:numRef>
          </c:xVal>
          <c:yVal>
            <c:numRef>
              <c:f>CT_TrainingLiftChart!$BD$4:$BD$1863</c:f>
              <c:numCache>
                <c:formatCode>General</c:formatCode>
                <c:ptCount val="1860"/>
                <c:pt idx="0">
                  <c:v>0.28225806451612906</c:v>
                </c:pt>
                <c:pt idx="1">
                  <c:v>0.56451612903225812</c:v>
                </c:pt>
                <c:pt idx="2">
                  <c:v>0.84677419354838723</c:v>
                </c:pt>
                <c:pt idx="3">
                  <c:v>1.1290322580645162</c:v>
                </c:pt>
                <c:pt idx="4">
                  <c:v>1.4112903225806452</c:v>
                </c:pt>
                <c:pt idx="5">
                  <c:v>1.6935483870967745</c:v>
                </c:pt>
                <c:pt idx="6">
                  <c:v>1.9758064516129035</c:v>
                </c:pt>
                <c:pt idx="7">
                  <c:v>2.2580645161290325</c:v>
                </c:pt>
                <c:pt idx="8">
                  <c:v>2.5403225806451615</c:v>
                </c:pt>
                <c:pt idx="9">
                  <c:v>2.8225806451612905</c:v>
                </c:pt>
                <c:pt idx="10">
                  <c:v>3.1048387096774195</c:v>
                </c:pt>
                <c:pt idx="11">
                  <c:v>3.3870967741935489</c:v>
                </c:pt>
                <c:pt idx="12">
                  <c:v>3.6693548387096779</c:v>
                </c:pt>
                <c:pt idx="13">
                  <c:v>3.9516129032258069</c:v>
                </c:pt>
                <c:pt idx="14">
                  <c:v>4.2338709677419359</c:v>
                </c:pt>
                <c:pt idx="15">
                  <c:v>4.5161290322580649</c:v>
                </c:pt>
                <c:pt idx="16">
                  <c:v>4.7983870967741939</c:v>
                </c:pt>
                <c:pt idx="17">
                  <c:v>5.080645161290323</c:v>
                </c:pt>
                <c:pt idx="18">
                  <c:v>5.362903225806452</c:v>
                </c:pt>
                <c:pt idx="19">
                  <c:v>5.645161290322581</c:v>
                </c:pt>
                <c:pt idx="20">
                  <c:v>5.92741935483871</c:v>
                </c:pt>
                <c:pt idx="21">
                  <c:v>6.209677419354839</c:v>
                </c:pt>
                <c:pt idx="22">
                  <c:v>6.491935483870968</c:v>
                </c:pt>
                <c:pt idx="23">
                  <c:v>6.7741935483870979</c:v>
                </c:pt>
                <c:pt idx="24">
                  <c:v>7.0564516129032269</c:v>
                </c:pt>
                <c:pt idx="25">
                  <c:v>7.3387096774193559</c:v>
                </c:pt>
                <c:pt idx="26">
                  <c:v>7.6209677419354849</c:v>
                </c:pt>
                <c:pt idx="27">
                  <c:v>7.9032258064516139</c:v>
                </c:pt>
                <c:pt idx="28">
                  <c:v>8.185483870967742</c:v>
                </c:pt>
                <c:pt idx="29">
                  <c:v>8.4677419354838719</c:v>
                </c:pt>
                <c:pt idx="30">
                  <c:v>8.75</c:v>
                </c:pt>
                <c:pt idx="31">
                  <c:v>9.0322580645161299</c:v>
                </c:pt>
                <c:pt idx="32">
                  <c:v>9.3145161290322598</c:v>
                </c:pt>
                <c:pt idx="33">
                  <c:v>9.5967741935483879</c:v>
                </c:pt>
                <c:pt idx="34">
                  <c:v>9.8790322580645178</c:v>
                </c:pt>
                <c:pt idx="35">
                  <c:v>10.161290322580646</c:v>
                </c:pt>
                <c:pt idx="36">
                  <c:v>10.443548387096776</c:v>
                </c:pt>
                <c:pt idx="37">
                  <c:v>10.725806451612904</c:v>
                </c:pt>
                <c:pt idx="38">
                  <c:v>11.008064516129034</c:v>
                </c:pt>
                <c:pt idx="39">
                  <c:v>11.290322580645162</c:v>
                </c:pt>
                <c:pt idx="40">
                  <c:v>11.572580645161292</c:v>
                </c:pt>
                <c:pt idx="41">
                  <c:v>11.85483870967742</c:v>
                </c:pt>
                <c:pt idx="42">
                  <c:v>12.13709677419355</c:v>
                </c:pt>
                <c:pt idx="43">
                  <c:v>12.419354838709678</c:v>
                </c:pt>
                <c:pt idx="44">
                  <c:v>12.701612903225808</c:v>
                </c:pt>
                <c:pt idx="45">
                  <c:v>12.983870967741936</c:v>
                </c:pt>
                <c:pt idx="46">
                  <c:v>13.266129032258066</c:v>
                </c:pt>
                <c:pt idx="47">
                  <c:v>13.548387096774196</c:v>
                </c:pt>
                <c:pt idx="48">
                  <c:v>13.830645161290324</c:v>
                </c:pt>
                <c:pt idx="49">
                  <c:v>14.112903225806454</c:v>
                </c:pt>
                <c:pt idx="50">
                  <c:v>14.395161290322582</c:v>
                </c:pt>
                <c:pt idx="51">
                  <c:v>14.677419354838712</c:v>
                </c:pt>
                <c:pt idx="52">
                  <c:v>14.95967741935484</c:v>
                </c:pt>
                <c:pt idx="53">
                  <c:v>15.24193548387097</c:v>
                </c:pt>
                <c:pt idx="54">
                  <c:v>15.524193548387098</c:v>
                </c:pt>
                <c:pt idx="55">
                  <c:v>15.806451612903228</c:v>
                </c:pt>
                <c:pt idx="56">
                  <c:v>16.088709677419356</c:v>
                </c:pt>
                <c:pt idx="57">
                  <c:v>16.370967741935484</c:v>
                </c:pt>
                <c:pt idx="58">
                  <c:v>16.653225806451616</c:v>
                </c:pt>
                <c:pt idx="59">
                  <c:v>16.935483870967744</c:v>
                </c:pt>
                <c:pt idx="60">
                  <c:v>17.217741935483872</c:v>
                </c:pt>
                <c:pt idx="61">
                  <c:v>17.5</c:v>
                </c:pt>
                <c:pt idx="62">
                  <c:v>17.782258064516132</c:v>
                </c:pt>
                <c:pt idx="63">
                  <c:v>18.06451612903226</c:v>
                </c:pt>
                <c:pt idx="64">
                  <c:v>18.346774193548388</c:v>
                </c:pt>
                <c:pt idx="65">
                  <c:v>18.62903225806452</c:v>
                </c:pt>
                <c:pt idx="66">
                  <c:v>18.911290322580648</c:v>
                </c:pt>
                <c:pt idx="67">
                  <c:v>19.193548387096776</c:v>
                </c:pt>
                <c:pt idx="68">
                  <c:v>19.475806451612904</c:v>
                </c:pt>
                <c:pt idx="69">
                  <c:v>19.758064516129036</c:v>
                </c:pt>
                <c:pt idx="70">
                  <c:v>20.040322580645164</c:v>
                </c:pt>
                <c:pt idx="71">
                  <c:v>20.322580645161292</c:v>
                </c:pt>
                <c:pt idx="72">
                  <c:v>20.60483870967742</c:v>
                </c:pt>
                <c:pt idx="73">
                  <c:v>20.887096774193552</c:v>
                </c:pt>
                <c:pt idx="74">
                  <c:v>21.16935483870968</c:v>
                </c:pt>
                <c:pt idx="75">
                  <c:v>21.451612903225808</c:v>
                </c:pt>
                <c:pt idx="76">
                  <c:v>21.733870967741936</c:v>
                </c:pt>
                <c:pt idx="77">
                  <c:v>22.016129032258068</c:v>
                </c:pt>
                <c:pt idx="78">
                  <c:v>22.298387096774196</c:v>
                </c:pt>
                <c:pt idx="79">
                  <c:v>22.580645161290324</c:v>
                </c:pt>
                <c:pt idx="80">
                  <c:v>22.862903225806456</c:v>
                </c:pt>
                <c:pt idx="81">
                  <c:v>23.145161290322584</c:v>
                </c:pt>
                <c:pt idx="82">
                  <c:v>23.427419354838712</c:v>
                </c:pt>
                <c:pt idx="83">
                  <c:v>23.70967741935484</c:v>
                </c:pt>
                <c:pt idx="84">
                  <c:v>23.991935483870972</c:v>
                </c:pt>
                <c:pt idx="85">
                  <c:v>24.2741935483871</c:v>
                </c:pt>
                <c:pt idx="86">
                  <c:v>24.556451612903228</c:v>
                </c:pt>
                <c:pt idx="87">
                  <c:v>24.838709677419356</c:v>
                </c:pt>
                <c:pt idx="88">
                  <c:v>25.120967741935488</c:v>
                </c:pt>
                <c:pt idx="89">
                  <c:v>25.403225806451616</c:v>
                </c:pt>
                <c:pt idx="90">
                  <c:v>25.685483870967744</c:v>
                </c:pt>
                <c:pt idx="91">
                  <c:v>25.967741935483872</c:v>
                </c:pt>
                <c:pt idx="92">
                  <c:v>26.250000000000004</c:v>
                </c:pt>
                <c:pt idx="93">
                  <c:v>26.532258064516132</c:v>
                </c:pt>
                <c:pt idx="94">
                  <c:v>26.81451612903226</c:v>
                </c:pt>
                <c:pt idx="95">
                  <c:v>27.096774193548391</c:v>
                </c:pt>
                <c:pt idx="96">
                  <c:v>27.37903225806452</c:v>
                </c:pt>
                <c:pt idx="97">
                  <c:v>27.661290322580648</c:v>
                </c:pt>
                <c:pt idx="98">
                  <c:v>27.943548387096776</c:v>
                </c:pt>
                <c:pt idx="99">
                  <c:v>28.225806451612907</c:v>
                </c:pt>
                <c:pt idx="100">
                  <c:v>28.508064516129036</c:v>
                </c:pt>
                <c:pt idx="101">
                  <c:v>28.790322580645164</c:v>
                </c:pt>
                <c:pt idx="102">
                  <c:v>29.072580645161292</c:v>
                </c:pt>
                <c:pt idx="103">
                  <c:v>29.354838709677423</c:v>
                </c:pt>
                <c:pt idx="104">
                  <c:v>29.637096774193552</c:v>
                </c:pt>
                <c:pt idx="105">
                  <c:v>29.91935483870968</c:v>
                </c:pt>
                <c:pt idx="106">
                  <c:v>30.201612903225808</c:v>
                </c:pt>
                <c:pt idx="107">
                  <c:v>30.483870967741939</c:v>
                </c:pt>
                <c:pt idx="108">
                  <c:v>30.766129032258068</c:v>
                </c:pt>
                <c:pt idx="109">
                  <c:v>31.048387096774196</c:v>
                </c:pt>
                <c:pt idx="110">
                  <c:v>31.330645161290324</c:v>
                </c:pt>
                <c:pt idx="111">
                  <c:v>31.612903225806456</c:v>
                </c:pt>
                <c:pt idx="112">
                  <c:v>31.895161290322584</c:v>
                </c:pt>
                <c:pt idx="113">
                  <c:v>32.177419354838712</c:v>
                </c:pt>
                <c:pt idx="114">
                  <c:v>32.45967741935484</c:v>
                </c:pt>
                <c:pt idx="115">
                  <c:v>32.741935483870968</c:v>
                </c:pt>
                <c:pt idx="116">
                  <c:v>33.024193548387103</c:v>
                </c:pt>
                <c:pt idx="117">
                  <c:v>33.306451612903231</c:v>
                </c:pt>
                <c:pt idx="118">
                  <c:v>33.588709677419359</c:v>
                </c:pt>
                <c:pt idx="119">
                  <c:v>33.870967741935488</c:v>
                </c:pt>
                <c:pt idx="120">
                  <c:v>34.153225806451616</c:v>
                </c:pt>
                <c:pt idx="121">
                  <c:v>34.435483870967744</c:v>
                </c:pt>
                <c:pt idx="122">
                  <c:v>34.717741935483872</c:v>
                </c:pt>
                <c:pt idx="123">
                  <c:v>35</c:v>
                </c:pt>
                <c:pt idx="124">
                  <c:v>35.282258064516135</c:v>
                </c:pt>
                <c:pt idx="125">
                  <c:v>35.564516129032263</c:v>
                </c:pt>
                <c:pt idx="126">
                  <c:v>35.846774193548391</c:v>
                </c:pt>
                <c:pt idx="127">
                  <c:v>36.12903225806452</c:v>
                </c:pt>
                <c:pt idx="128">
                  <c:v>36.411290322580648</c:v>
                </c:pt>
                <c:pt idx="129">
                  <c:v>36.693548387096776</c:v>
                </c:pt>
                <c:pt idx="130">
                  <c:v>36.975806451612904</c:v>
                </c:pt>
                <c:pt idx="131">
                  <c:v>37.258064516129039</c:v>
                </c:pt>
                <c:pt idx="132">
                  <c:v>37.540322580645167</c:v>
                </c:pt>
                <c:pt idx="133">
                  <c:v>37.822580645161295</c:v>
                </c:pt>
                <c:pt idx="134">
                  <c:v>38.104838709677423</c:v>
                </c:pt>
                <c:pt idx="135">
                  <c:v>38.387096774193552</c:v>
                </c:pt>
                <c:pt idx="136">
                  <c:v>38.66935483870968</c:v>
                </c:pt>
                <c:pt idx="137">
                  <c:v>38.951612903225808</c:v>
                </c:pt>
                <c:pt idx="138">
                  <c:v>39.233870967741936</c:v>
                </c:pt>
                <c:pt idx="139">
                  <c:v>39.516129032258071</c:v>
                </c:pt>
                <c:pt idx="140">
                  <c:v>39.798387096774199</c:v>
                </c:pt>
                <c:pt idx="141">
                  <c:v>40.080645161290327</c:v>
                </c:pt>
                <c:pt idx="142">
                  <c:v>40.362903225806456</c:v>
                </c:pt>
                <c:pt idx="143">
                  <c:v>40.645161290322584</c:v>
                </c:pt>
                <c:pt idx="144">
                  <c:v>40.927419354838712</c:v>
                </c:pt>
                <c:pt idx="145">
                  <c:v>41.20967741935484</c:v>
                </c:pt>
                <c:pt idx="146">
                  <c:v>41.491935483870975</c:v>
                </c:pt>
                <c:pt idx="147">
                  <c:v>41.774193548387103</c:v>
                </c:pt>
                <c:pt idx="148">
                  <c:v>42.056451612903231</c:v>
                </c:pt>
                <c:pt idx="149">
                  <c:v>42.338709677419359</c:v>
                </c:pt>
                <c:pt idx="150">
                  <c:v>42.620967741935488</c:v>
                </c:pt>
                <c:pt idx="151">
                  <c:v>42.903225806451616</c:v>
                </c:pt>
                <c:pt idx="152">
                  <c:v>43.185483870967744</c:v>
                </c:pt>
                <c:pt idx="153">
                  <c:v>43.467741935483872</c:v>
                </c:pt>
                <c:pt idx="154">
                  <c:v>43.750000000000007</c:v>
                </c:pt>
                <c:pt idx="155">
                  <c:v>44.032258064516135</c:v>
                </c:pt>
                <c:pt idx="156">
                  <c:v>44.314516129032263</c:v>
                </c:pt>
                <c:pt idx="157">
                  <c:v>44.596774193548391</c:v>
                </c:pt>
                <c:pt idx="158">
                  <c:v>44.87903225806452</c:v>
                </c:pt>
                <c:pt idx="159">
                  <c:v>45.161290322580648</c:v>
                </c:pt>
                <c:pt idx="160">
                  <c:v>45.443548387096776</c:v>
                </c:pt>
                <c:pt idx="161">
                  <c:v>45.725806451612911</c:v>
                </c:pt>
                <c:pt idx="162">
                  <c:v>46.008064516129039</c:v>
                </c:pt>
                <c:pt idx="163">
                  <c:v>46.290322580645167</c:v>
                </c:pt>
                <c:pt idx="164">
                  <c:v>46.572580645161295</c:v>
                </c:pt>
                <c:pt idx="165">
                  <c:v>46.854838709677423</c:v>
                </c:pt>
                <c:pt idx="166">
                  <c:v>47.137096774193552</c:v>
                </c:pt>
                <c:pt idx="167">
                  <c:v>47.41935483870968</c:v>
                </c:pt>
                <c:pt idx="168">
                  <c:v>47.701612903225808</c:v>
                </c:pt>
                <c:pt idx="169">
                  <c:v>47.983870967741943</c:v>
                </c:pt>
                <c:pt idx="170">
                  <c:v>48.266129032258071</c:v>
                </c:pt>
                <c:pt idx="171">
                  <c:v>48.548387096774199</c:v>
                </c:pt>
                <c:pt idx="172">
                  <c:v>48.830645161290327</c:v>
                </c:pt>
                <c:pt idx="173">
                  <c:v>49.112903225806456</c:v>
                </c:pt>
                <c:pt idx="174">
                  <c:v>49.395161290322584</c:v>
                </c:pt>
                <c:pt idx="175">
                  <c:v>49.677419354838712</c:v>
                </c:pt>
                <c:pt idx="176">
                  <c:v>49.959677419354847</c:v>
                </c:pt>
                <c:pt idx="177">
                  <c:v>50.241935483870975</c:v>
                </c:pt>
                <c:pt idx="178">
                  <c:v>50.524193548387103</c:v>
                </c:pt>
                <c:pt idx="179">
                  <c:v>50.806451612903231</c:v>
                </c:pt>
                <c:pt idx="180">
                  <c:v>51.088709677419359</c:v>
                </c:pt>
                <c:pt idx="181">
                  <c:v>51.370967741935488</c:v>
                </c:pt>
                <c:pt idx="182">
                  <c:v>51.653225806451616</c:v>
                </c:pt>
                <c:pt idx="183">
                  <c:v>51.935483870967744</c:v>
                </c:pt>
                <c:pt idx="184">
                  <c:v>52.217741935483879</c:v>
                </c:pt>
                <c:pt idx="185">
                  <c:v>52.500000000000007</c:v>
                </c:pt>
                <c:pt idx="186">
                  <c:v>52.782258064516135</c:v>
                </c:pt>
                <c:pt idx="187">
                  <c:v>53.064516129032263</c:v>
                </c:pt>
                <c:pt idx="188">
                  <c:v>53.346774193548391</c:v>
                </c:pt>
                <c:pt idx="189">
                  <c:v>53.62903225806452</c:v>
                </c:pt>
                <c:pt idx="190">
                  <c:v>53.911290322580648</c:v>
                </c:pt>
                <c:pt idx="191">
                  <c:v>54.193548387096783</c:v>
                </c:pt>
                <c:pt idx="192">
                  <c:v>54.475806451612911</c:v>
                </c:pt>
                <c:pt idx="193">
                  <c:v>54.758064516129039</c:v>
                </c:pt>
                <c:pt idx="194">
                  <c:v>55.040322580645167</c:v>
                </c:pt>
                <c:pt idx="195">
                  <c:v>55.322580645161295</c:v>
                </c:pt>
                <c:pt idx="196">
                  <c:v>55.604838709677423</c:v>
                </c:pt>
                <c:pt idx="197">
                  <c:v>55.887096774193552</c:v>
                </c:pt>
                <c:pt idx="198">
                  <c:v>56.16935483870968</c:v>
                </c:pt>
                <c:pt idx="199">
                  <c:v>56.451612903225815</c:v>
                </c:pt>
                <c:pt idx="200">
                  <c:v>56.733870967741943</c:v>
                </c:pt>
                <c:pt idx="201">
                  <c:v>57.016129032258071</c:v>
                </c:pt>
                <c:pt idx="202">
                  <c:v>57.298387096774199</c:v>
                </c:pt>
                <c:pt idx="203">
                  <c:v>57.580645161290327</c:v>
                </c:pt>
                <c:pt idx="204">
                  <c:v>57.862903225806456</c:v>
                </c:pt>
                <c:pt idx="205">
                  <c:v>58.145161290322584</c:v>
                </c:pt>
                <c:pt idx="206">
                  <c:v>58.427419354838712</c:v>
                </c:pt>
                <c:pt idx="207">
                  <c:v>58.709677419354847</c:v>
                </c:pt>
                <c:pt idx="208">
                  <c:v>58.991935483870975</c:v>
                </c:pt>
                <c:pt idx="209">
                  <c:v>59.274193548387103</c:v>
                </c:pt>
                <c:pt idx="210">
                  <c:v>59.556451612903231</c:v>
                </c:pt>
                <c:pt idx="211">
                  <c:v>59.838709677419359</c:v>
                </c:pt>
                <c:pt idx="212">
                  <c:v>60.120967741935488</c:v>
                </c:pt>
                <c:pt idx="213">
                  <c:v>60.403225806451616</c:v>
                </c:pt>
                <c:pt idx="214">
                  <c:v>60.685483870967751</c:v>
                </c:pt>
                <c:pt idx="215">
                  <c:v>60.967741935483879</c:v>
                </c:pt>
                <c:pt idx="216">
                  <c:v>61.250000000000007</c:v>
                </c:pt>
                <c:pt idx="217">
                  <c:v>61.532258064516135</c:v>
                </c:pt>
                <c:pt idx="218">
                  <c:v>61.814516129032263</c:v>
                </c:pt>
                <c:pt idx="219">
                  <c:v>62.096774193548391</c:v>
                </c:pt>
                <c:pt idx="220">
                  <c:v>62.37903225806452</c:v>
                </c:pt>
                <c:pt idx="221">
                  <c:v>62.661290322580648</c:v>
                </c:pt>
                <c:pt idx="222">
                  <c:v>62.943548387096783</c:v>
                </c:pt>
                <c:pt idx="223">
                  <c:v>63.225806451612911</c:v>
                </c:pt>
                <c:pt idx="224">
                  <c:v>63.508064516129039</c:v>
                </c:pt>
                <c:pt idx="225">
                  <c:v>63.790322580645167</c:v>
                </c:pt>
                <c:pt idx="226">
                  <c:v>64.072580645161295</c:v>
                </c:pt>
                <c:pt idx="227">
                  <c:v>64.354838709677423</c:v>
                </c:pt>
                <c:pt idx="228">
                  <c:v>64.637096774193552</c:v>
                </c:pt>
                <c:pt idx="229">
                  <c:v>64.91935483870968</c:v>
                </c:pt>
                <c:pt idx="230">
                  <c:v>65.201612903225808</c:v>
                </c:pt>
                <c:pt idx="231">
                  <c:v>65.483870967741936</c:v>
                </c:pt>
                <c:pt idx="232">
                  <c:v>65.766129032258064</c:v>
                </c:pt>
                <c:pt idx="233">
                  <c:v>66.048387096774206</c:v>
                </c:pt>
                <c:pt idx="234">
                  <c:v>66.330645161290334</c:v>
                </c:pt>
                <c:pt idx="235">
                  <c:v>66.612903225806463</c:v>
                </c:pt>
                <c:pt idx="236">
                  <c:v>66.895161290322591</c:v>
                </c:pt>
                <c:pt idx="237">
                  <c:v>67.177419354838719</c:v>
                </c:pt>
                <c:pt idx="238">
                  <c:v>67.459677419354847</c:v>
                </c:pt>
                <c:pt idx="239">
                  <c:v>67.741935483870975</c:v>
                </c:pt>
                <c:pt idx="240">
                  <c:v>68.024193548387103</c:v>
                </c:pt>
                <c:pt idx="241">
                  <c:v>68.306451612903231</c:v>
                </c:pt>
                <c:pt idx="242">
                  <c:v>68.588709677419359</c:v>
                </c:pt>
                <c:pt idx="243">
                  <c:v>68.870967741935488</c:v>
                </c:pt>
                <c:pt idx="244">
                  <c:v>69.153225806451616</c:v>
                </c:pt>
                <c:pt idx="245">
                  <c:v>69.435483870967744</c:v>
                </c:pt>
                <c:pt idx="246">
                  <c:v>69.717741935483872</c:v>
                </c:pt>
                <c:pt idx="247">
                  <c:v>70</c:v>
                </c:pt>
                <c:pt idx="248">
                  <c:v>70.282258064516142</c:v>
                </c:pt>
                <c:pt idx="249">
                  <c:v>70.56451612903227</c:v>
                </c:pt>
                <c:pt idx="250">
                  <c:v>70.846774193548399</c:v>
                </c:pt>
                <c:pt idx="251">
                  <c:v>71.129032258064527</c:v>
                </c:pt>
                <c:pt idx="252">
                  <c:v>71.411290322580655</c:v>
                </c:pt>
                <c:pt idx="253">
                  <c:v>71.693548387096783</c:v>
                </c:pt>
                <c:pt idx="254">
                  <c:v>71.975806451612911</c:v>
                </c:pt>
                <c:pt idx="255">
                  <c:v>72.258064516129039</c:v>
                </c:pt>
                <c:pt idx="256">
                  <c:v>72.540322580645167</c:v>
                </c:pt>
                <c:pt idx="257">
                  <c:v>72.822580645161295</c:v>
                </c:pt>
                <c:pt idx="258">
                  <c:v>73.104838709677423</c:v>
                </c:pt>
                <c:pt idx="259">
                  <c:v>73.387096774193552</c:v>
                </c:pt>
                <c:pt idx="260">
                  <c:v>73.66935483870968</c:v>
                </c:pt>
                <c:pt idx="261">
                  <c:v>73.951612903225808</c:v>
                </c:pt>
                <c:pt idx="262">
                  <c:v>74.233870967741936</c:v>
                </c:pt>
                <c:pt idx="263">
                  <c:v>74.516129032258078</c:v>
                </c:pt>
                <c:pt idx="264">
                  <c:v>74.798387096774206</c:v>
                </c:pt>
                <c:pt idx="265">
                  <c:v>75.080645161290334</c:v>
                </c:pt>
                <c:pt idx="266">
                  <c:v>75.362903225806463</c:v>
                </c:pt>
                <c:pt idx="267">
                  <c:v>75.645161290322591</c:v>
                </c:pt>
                <c:pt idx="268">
                  <c:v>75.927419354838719</c:v>
                </c:pt>
                <c:pt idx="269">
                  <c:v>76.209677419354847</c:v>
                </c:pt>
                <c:pt idx="270">
                  <c:v>76.491935483870975</c:v>
                </c:pt>
                <c:pt idx="271">
                  <c:v>76.774193548387103</c:v>
                </c:pt>
                <c:pt idx="272">
                  <c:v>77.056451612903231</c:v>
                </c:pt>
                <c:pt idx="273">
                  <c:v>77.338709677419359</c:v>
                </c:pt>
                <c:pt idx="274">
                  <c:v>77.620967741935488</c:v>
                </c:pt>
                <c:pt idx="275">
                  <c:v>77.903225806451616</c:v>
                </c:pt>
                <c:pt idx="276">
                  <c:v>78.185483870967744</c:v>
                </c:pt>
                <c:pt idx="277">
                  <c:v>78.467741935483872</c:v>
                </c:pt>
                <c:pt idx="278">
                  <c:v>78.750000000000014</c:v>
                </c:pt>
                <c:pt idx="279">
                  <c:v>79.032258064516142</c:v>
                </c:pt>
                <c:pt idx="280">
                  <c:v>79.31451612903227</c:v>
                </c:pt>
                <c:pt idx="281">
                  <c:v>79.596774193548399</c:v>
                </c:pt>
                <c:pt idx="282">
                  <c:v>79.879032258064527</c:v>
                </c:pt>
                <c:pt idx="283">
                  <c:v>80.161290322580655</c:v>
                </c:pt>
                <c:pt idx="284">
                  <c:v>80.443548387096783</c:v>
                </c:pt>
                <c:pt idx="285">
                  <c:v>80.725806451612911</c:v>
                </c:pt>
                <c:pt idx="286">
                  <c:v>81.008064516129039</c:v>
                </c:pt>
                <c:pt idx="287">
                  <c:v>81.290322580645167</c:v>
                </c:pt>
                <c:pt idx="288">
                  <c:v>81.572580645161295</c:v>
                </c:pt>
                <c:pt idx="289">
                  <c:v>81.854838709677423</c:v>
                </c:pt>
                <c:pt idx="290">
                  <c:v>82.137096774193552</c:v>
                </c:pt>
                <c:pt idx="291">
                  <c:v>82.41935483870968</c:v>
                </c:pt>
                <c:pt idx="292">
                  <c:v>82.701612903225808</c:v>
                </c:pt>
                <c:pt idx="293">
                  <c:v>82.98387096774195</c:v>
                </c:pt>
                <c:pt idx="294">
                  <c:v>83.266129032258078</c:v>
                </c:pt>
                <c:pt idx="295">
                  <c:v>83.548387096774206</c:v>
                </c:pt>
                <c:pt idx="296">
                  <c:v>83.830645161290334</c:v>
                </c:pt>
                <c:pt idx="297">
                  <c:v>84.112903225806463</c:v>
                </c:pt>
                <c:pt idx="298">
                  <c:v>84.395161290322591</c:v>
                </c:pt>
                <c:pt idx="299">
                  <c:v>84.677419354838719</c:v>
                </c:pt>
                <c:pt idx="300">
                  <c:v>84.959677419354847</c:v>
                </c:pt>
                <c:pt idx="301">
                  <c:v>85.241935483870975</c:v>
                </c:pt>
                <c:pt idx="302">
                  <c:v>85.524193548387103</c:v>
                </c:pt>
                <c:pt idx="303">
                  <c:v>85.806451612903231</c:v>
                </c:pt>
                <c:pt idx="304">
                  <c:v>86.088709677419359</c:v>
                </c:pt>
                <c:pt idx="305">
                  <c:v>86.370967741935488</c:v>
                </c:pt>
                <c:pt idx="306">
                  <c:v>86.653225806451616</c:v>
                </c:pt>
                <c:pt idx="307">
                  <c:v>86.935483870967744</c:v>
                </c:pt>
                <c:pt idx="308">
                  <c:v>87.217741935483886</c:v>
                </c:pt>
                <c:pt idx="309">
                  <c:v>87.500000000000014</c:v>
                </c:pt>
                <c:pt idx="310">
                  <c:v>87.782258064516142</c:v>
                </c:pt>
                <c:pt idx="311">
                  <c:v>88.06451612903227</c:v>
                </c:pt>
                <c:pt idx="312">
                  <c:v>88.346774193548399</c:v>
                </c:pt>
                <c:pt idx="313">
                  <c:v>88.629032258064527</c:v>
                </c:pt>
                <c:pt idx="314">
                  <c:v>88.911290322580655</c:v>
                </c:pt>
                <c:pt idx="315">
                  <c:v>89.193548387096783</c:v>
                </c:pt>
                <c:pt idx="316">
                  <c:v>89.475806451612911</c:v>
                </c:pt>
                <c:pt idx="317">
                  <c:v>89.758064516129039</c:v>
                </c:pt>
                <c:pt idx="318">
                  <c:v>90.040322580645167</c:v>
                </c:pt>
                <c:pt idx="319">
                  <c:v>90.322580645161295</c:v>
                </c:pt>
                <c:pt idx="320">
                  <c:v>90.604838709677423</c:v>
                </c:pt>
                <c:pt idx="321">
                  <c:v>90.887096774193552</c:v>
                </c:pt>
                <c:pt idx="322">
                  <c:v>91.16935483870968</c:v>
                </c:pt>
                <c:pt idx="323">
                  <c:v>91.451612903225822</c:v>
                </c:pt>
                <c:pt idx="324">
                  <c:v>91.73387096774195</c:v>
                </c:pt>
                <c:pt idx="325">
                  <c:v>92.016129032258078</c:v>
                </c:pt>
                <c:pt idx="326">
                  <c:v>92.298387096774206</c:v>
                </c:pt>
                <c:pt idx="327">
                  <c:v>92.580645161290334</c:v>
                </c:pt>
                <c:pt idx="328">
                  <c:v>92.862903225806463</c:v>
                </c:pt>
                <c:pt idx="329">
                  <c:v>93.145161290322591</c:v>
                </c:pt>
                <c:pt idx="330">
                  <c:v>93.427419354838719</c:v>
                </c:pt>
                <c:pt idx="331">
                  <c:v>93.709677419354847</c:v>
                </c:pt>
                <c:pt idx="332">
                  <c:v>93.991935483870975</c:v>
                </c:pt>
                <c:pt idx="333">
                  <c:v>94.274193548387103</c:v>
                </c:pt>
                <c:pt idx="334">
                  <c:v>94.556451612903231</c:v>
                </c:pt>
                <c:pt idx="335">
                  <c:v>94.838709677419359</c:v>
                </c:pt>
                <c:pt idx="336">
                  <c:v>95.120967741935488</c:v>
                </c:pt>
                <c:pt idx="337">
                  <c:v>95.403225806451616</c:v>
                </c:pt>
                <c:pt idx="338">
                  <c:v>95.685483870967758</c:v>
                </c:pt>
                <c:pt idx="339">
                  <c:v>95.967741935483886</c:v>
                </c:pt>
                <c:pt idx="340">
                  <c:v>96.250000000000014</c:v>
                </c:pt>
                <c:pt idx="341">
                  <c:v>96.532258064516142</c:v>
                </c:pt>
                <c:pt idx="342">
                  <c:v>96.81451612903227</c:v>
                </c:pt>
                <c:pt idx="343">
                  <c:v>97.096774193548399</c:v>
                </c:pt>
                <c:pt idx="344">
                  <c:v>97.379032258064527</c:v>
                </c:pt>
                <c:pt idx="345">
                  <c:v>97.661290322580655</c:v>
                </c:pt>
                <c:pt idx="346">
                  <c:v>97.943548387096783</c:v>
                </c:pt>
                <c:pt idx="347">
                  <c:v>98.225806451612911</c:v>
                </c:pt>
                <c:pt idx="348">
                  <c:v>98.508064516129039</c:v>
                </c:pt>
                <c:pt idx="349">
                  <c:v>98.790322580645167</c:v>
                </c:pt>
                <c:pt idx="350">
                  <c:v>99.072580645161295</c:v>
                </c:pt>
                <c:pt idx="351">
                  <c:v>99.354838709677423</c:v>
                </c:pt>
                <c:pt idx="352">
                  <c:v>99.637096774193552</c:v>
                </c:pt>
                <c:pt idx="353">
                  <c:v>99.919354838709694</c:v>
                </c:pt>
                <c:pt idx="354">
                  <c:v>100.20161290322582</c:v>
                </c:pt>
                <c:pt idx="355">
                  <c:v>100.48387096774195</c:v>
                </c:pt>
                <c:pt idx="356">
                  <c:v>100.76612903225808</c:v>
                </c:pt>
                <c:pt idx="357">
                  <c:v>101.04838709677421</c:v>
                </c:pt>
                <c:pt idx="358">
                  <c:v>101.33064516129033</c:v>
                </c:pt>
                <c:pt idx="359">
                  <c:v>101.61290322580646</c:v>
                </c:pt>
                <c:pt idx="360">
                  <c:v>101.89516129032259</c:v>
                </c:pt>
                <c:pt idx="361">
                  <c:v>102.17741935483872</c:v>
                </c:pt>
                <c:pt idx="362">
                  <c:v>102.45967741935485</c:v>
                </c:pt>
                <c:pt idx="363">
                  <c:v>102.74193548387098</c:v>
                </c:pt>
                <c:pt idx="364">
                  <c:v>103.0241935483871</c:v>
                </c:pt>
                <c:pt idx="365">
                  <c:v>103.30645161290323</c:v>
                </c:pt>
                <c:pt idx="366">
                  <c:v>103.58870967741936</c:v>
                </c:pt>
                <c:pt idx="367">
                  <c:v>103.87096774193549</c:v>
                </c:pt>
                <c:pt idx="368">
                  <c:v>104.15322580645163</c:v>
                </c:pt>
                <c:pt idx="369">
                  <c:v>104.43548387096776</c:v>
                </c:pt>
                <c:pt idx="370">
                  <c:v>104.71774193548389</c:v>
                </c:pt>
                <c:pt idx="371">
                  <c:v>105.00000000000001</c:v>
                </c:pt>
                <c:pt idx="372">
                  <c:v>105.28225806451614</c:v>
                </c:pt>
                <c:pt idx="373">
                  <c:v>105.56451612903227</c:v>
                </c:pt>
                <c:pt idx="374">
                  <c:v>105.8467741935484</c:v>
                </c:pt>
                <c:pt idx="375">
                  <c:v>106.12903225806453</c:v>
                </c:pt>
                <c:pt idx="376">
                  <c:v>106.41129032258065</c:v>
                </c:pt>
                <c:pt idx="377">
                  <c:v>106.69354838709678</c:v>
                </c:pt>
                <c:pt idx="378">
                  <c:v>106.97580645161291</c:v>
                </c:pt>
                <c:pt idx="379">
                  <c:v>107.25806451612904</c:v>
                </c:pt>
                <c:pt idx="380">
                  <c:v>107.54032258064517</c:v>
                </c:pt>
                <c:pt idx="381">
                  <c:v>107.8225806451613</c:v>
                </c:pt>
                <c:pt idx="382">
                  <c:v>108.10483870967742</c:v>
                </c:pt>
                <c:pt idx="383">
                  <c:v>108.38709677419357</c:v>
                </c:pt>
                <c:pt idx="384">
                  <c:v>108.66935483870969</c:v>
                </c:pt>
                <c:pt idx="385">
                  <c:v>108.95161290322582</c:v>
                </c:pt>
                <c:pt idx="386">
                  <c:v>109.23387096774195</c:v>
                </c:pt>
                <c:pt idx="387">
                  <c:v>109.51612903225808</c:v>
                </c:pt>
                <c:pt idx="388">
                  <c:v>109.79838709677421</c:v>
                </c:pt>
                <c:pt idx="389">
                  <c:v>110.08064516129033</c:v>
                </c:pt>
                <c:pt idx="390">
                  <c:v>110.36290322580646</c:v>
                </c:pt>
                <c:pt idx="391">
                  <c:v>110.64516129032259</c:v>
                </c:pt>
                <c:pt idx="392">
                  <c:v>110.92741935483872</c:v>
                </c:pt>
                <c:pt idx="393">
                  <c:v>111.20967741935485</c:v>
                </c:pt>
                <c:pt idx="394">
                  <c:v>111.49193548387098</c:v>
                </c:pt>
                <c:pt idx="395">
                  <c:v>111.7741935483871</c:v>
                </c:pt>
                <c:pt idx="396">
                  <c:v>112.05645161290323</c:v>
                </c:pt>
                <c:pt idx="397">
                  <c:v>112.33870967741936</c:v>
                </c:pt>
                <c:pt idx="398">
                  <c:v>112.62096774193549</c:v>
                </c:pt>
                <c:pt idx="399">
                  <c:v>112.90322580645163</c:v>
                </c:pt>
                <c:pt idx="400">
                  <c:v>113.18548387096776</c:v>
                </c:pt>
                <c:pt idx="401">
                  <c:v>113.46774193548389</c:v>
                </c:pt>
                <c:pt idx="402">
                  <c:v>113.75000000000001</c:v>
                </c:pt>
                <c:pt idx="403">
                  <c:v>114.03225806451614</c:v>
                </c:pt>
                <c:pt idx="404">
                  <c:v>114.31451612903227</c:v>
                </c:pt>
                <c:pt idx="405">
                  <c:v>114.5967741935484</c:v>
                </c:pt>
                <c:pt idx="406">
                  <c:v>114.87903225806453</c:v>
                </c:pt>
                <c:pt idx="407">
                  <c:v>115.16129032258065</c:v>
                </c:pt>
                <c:pt idx="408">
                  <c:v>115.44354838709678</c:v>
                </c:pt>
                <c:pt idx="409">
                  <c:v>115.72580645161291</c:v>
                </c:pt>
                <c:pt idx="410">
                  <c:v>116.00806451612904</c:v>
                </c:pt>
                <c:pt idx="411">
                  <c:v>116.29032258064517</c:v>
                </c:pt>
                <c:pt idx="412">
                  <c:v>116.5725806451613</c:v>
                </c:pt>
                <c:pt idx="413">
                  <c:v>116.85483870967742</c:v>
                </c:pt>
                <c:pt idx="414">
                  <c:v>117.13709677419357</c:v>
                </c:pt>
                <c:pt idx="415">
                  <c:v>117.41935483870969</c:v>
                </c:pt>
                <c:pt idx="416">
                  <c:v>117.70161290322582</c:v>
                </c:pt>
                <c:pt idx="417">
                  <c:v>117.98387096774195</c:v>
                </c:pt>
                <c:pt idx="418">
                  <c:v>118.26612903225808</c:v>
                </c:pt>
                <c:pt idx="419">
                  <c:v>118.54838709677421</c:v>
                </c:pt>
                <c:pt idx="420">
                  <c:v>118.83064516129033</c:v>
                </c:pt>
                <c:pt idx="421">
                  <c:v>119.11290322580646</c:v>
                </c:pt>
                <c:pt idx="422">
                  <c:v>119.39516129032259</c:v>
                </c:pt>
                <c:pt idx="423">
                  <c:v>119.67741935483872</c:v>
                </c:pt>
                <c:pt idx="424">
                  <c:v>119.95967741935485</c:v>
                </c:pt>
                <c:pt idx="425">
                  <c:v>120.24193548387098</c:v>
                </c:pt>
                <c:pt idx="426">
                  <c:v>120.5241935483871</c:v>
                </c:pt>
                <c:pt idx="427">
                  <c:v>120.80645161290323</c:v>
                </c:pt>
                <c:pt idx="428">
                  <c:v>121.08870967741936</c:v>
                </c:pt>
                <c:pt idx="429">
                  <c:v>121.3709677419355</c:v>
                </c:pt>
                <c:pt idx="430">
                  <c:v>121.65322580645163</c:v>
                </c:pt>
                <c:pt idx="431">
                  <c:v>121.93548387096776</c:v>
                </c:pt>
                <c:pt idx="432">
                  <c:v>122.21774193548389</c:v>
                </c:pt>
                <c:pt idx="433">
                  <c:v>122.50000000000001</c:v>
                </c:pt>
                <c:pt idx="434">
                  <c:v>122.78225806451614</c:v>
                </c:pt>
                <c:pt idx="435">
                  <c:v>123.06451612903227</c:v>
                </c:pt>
                <c:pt idx="436">
                  <c:v>123.3467741935484</c:v>
                </c:pt>
                <c:pt idx="437">
                  <c:v>123.62903225806453</c:v>
                </c:pt>
                <c:pt idx="438">
                  <c:v>123.91129032258065</c:v>
                </c:pt>
                <c:pt idx="439">
                  <c:v>124.19354838709678</c:v>
                </c:pt>
                <c:pt idx="440">
                  <c:v>124.47580645161291</c:v>
                </c:pt>
                <c:pt idx="441">
                  <c:v>124.75806451612904</c:v>
                </c:pt>
                <c:pt idx="442">
                  <c:v>125.04032258064517</c:v>
                </c:pt>
                <c:pt idx="443">
                  <c:v>125.3225806451613</c:v>
                </c:pt>
                <c:pt idx="444">
                  <c:v>125.60483870967744</c:v>
                </c:pt>
                <c:pt idx="445">
                  <c:v>125.88709677419357</c:v>
                </c:pt>
                <c:pt idx="446">
                  <c:v>126.16935483870969</c:v>
                </c:pt>
                <c:pt idx="447">
                  <c:v>126.45161290322582</c:v>
                </c:pt>
                <c:pt idx="448">
                  <c:v>126.73387096774195</c:v>
                </c:pt>
                <c:pt idx="449">
                  <c:v>127.01612903225808</c:v>
                </c:pt>
                <c:pt idx="450">
                  <c:v>127.29838709677421</c:v>
                </c:pt>
                <c:pt idx="451">
                  <c:v>127.58064516129033</c:v>
                </c:pt>
                <c:pt idx="452">
                  <c:v>127.86290322580646</c:v>
                </c:pt>
                <c:pt idx="453">
                  <c:v>128.14516129032259</c:v>
                </c:pt>
                <c:pt idx="454">
                  <c:v>128.42741935483872</c:v>
                </c:pt>
                <c:pt idx="455">
                  <c:v>128.70967741935485</c:v>
                </c:pt>
                <c:pt idx="456">
                  <c:v>128.99193548387098</c:v>
                </c:pt>
                <c:pt idx="457">
                  <c:v>129.2741935483871</c:v>
                </c:pt>
                <c:pt idx="458">
                  <c:v>129.55645161290323</c:v>
                </c:pt>
                <c:pt idx="459">
                  <c:v>129.83870967741936</c:v>
                </c:pt>
                <c:pt idx="460">
                  <c:v>130.12096774193549</c:v>
                </c:pt>
                <c:pt idx="461">
                  <c:v>130.40322580645162</c:v>
                </c:pt>
                <c:pt idx="462">
                  <c:v>130.68548387096774</c:v>
                </c:pt>
                <c:pt idx="463">
                  <c:v>130.96774193548387</c:v>
                </c:pt>
                <c:pt idx="464">
                  <c:v>131.25</c:v>
                </c:pt>
                <c:pt idx="465">
                  <c:v>131.53225806451613</c:v>
                </c:pt>
                <c:pt idx="466">
                  <c:v>131.81451612903228</c:v>
                </c:pt>
                <c:pt idx="467">
                  <c:v>132.09677419354841</c:v>
                </c:pt>
                <c:pt idx="468">
                  <c:v>132.37903225806454</c:v>
                </c:pt>
                <c:pt idx="469">
                  <c:v>132.66129032258067</c:v>
                </c:pt>
                <c:pt idx="470">
                  <c:v>132.9435483870968</c:v>
                </c:pt>
                <c:pt idx="471">
                  <c:v>133.22580645161293</c:v>
                </c:pt>
                <c:pt idx="472">
                  <c:v>133.50806451612905</c:v>
                </c:pt>
                <c:pt idx="473">
                  <c:v>133.79032258064518</c:v>
                </c:pt>
                <c:pt idx="474">
                  <c:v>134.07258064516131</c:v>
                </c:pt>
                <c:pt idx="475">
                  <c:v>134.35483870967744</c:v>
                </c:pt>
                <c:pt idx="476">
                  <c:v>134.63709677419357</c:v>
                </c:pt>
                <c:pt idx="477">
                  <c:v>134.91935483870969</c:v>
                </c:pt>
                <c:pt idx="478">
                  <c:v>135.20161290322582</c:v>
                </c:pt>
                <c:pt idx="479">
                  <c:v>135.48387096774195</c:v>
                </c:pt>
                <c:pt idx="480">
                  <c:v>135.76612903225808</c:v>
                </c:pt>
                <c:pt idx="481">
                  <c:v>136.04838709677421</c:v>
                </c:pt>
                <c:pt idx="482">
                  <c:v>136.33064516129033</c:v>
                </c:pt>
                <c:pt idx="483">
                  <c:v>136.61290322580646</c:v>
                </c:pt>
                <c:pt idx="484">
                  <c:v>136.89516129032259</c:v>
                </c:pt>
                <c:pt idx="485">
                  <c:v>137.17741935483872</c:v>
                </c:pt>
                <c:pt idx="486">
                  <c:v>137.45967741935485</c:v>
                </c:pt>
                <c:pt idx="487">
                  <c:v>137.74193548387098</c:v>
                </c:pt>
                <c:pt idx="488">
                  <c:v>138.0241935483871</c:v>
                </c:pt>
                <c:pt idx="489">
                  <c:v>138.30645161290323</c:v>
                </c:pt>
                <c:pt idx="490">
                  <c:v>138.58870967741936</c:v>
                </c:pt>
                <c:pt idx="491">
                  <c:v>138.87096774193549</c:v>
                </c:pt>
                <c:pt idx="492">
                  <c:v>139.15322580645162</c:v>
                </c:pt>
                <c:pt idx="493">
                  <c:v>139.43548387096774</c:v>
                </c:pt>
                <c:pt idx="494">
                  <c:v>139.71774193548387</c:v>
                </c:pt>
                <c:pt idx="495">
                  <c:v>140</c:v>
                </c:pt>
                <c:pt idx="496">
                  <c:v>140.28225806451616</c:v>
                </c:pt>
                <c:pt idx="497">
                  <c:v>140.56451612903228</c:v>
                </c:pt>
                <c:pt idx="498">
                  <c:v>140.84677419354841</c:v>
                </c:pt>
                <c:pt idx="499">
                  <c:v>141.12903225806454</c:v>
                </c:pt>
                <c:pt idx="500">
                  <c:v>141.41129032258067</c:v>
                </c:pt>
                <c:pt idx="501">
                  <c:v>141.6935483870968</c:v>
                </c:pt>
                <c:pt idx="502">
                  <c:v>141.97580645161293</c:v>
                </c:pt>
                <c:pt idx="503">
                  <c:v>142.25806451612905</c:v>
                </c:pt>
                <c:pt idx="504">
                  <c:v>142.54032258064518</c:v>
                </c:pt>
                <c:pt idx="505">
                  <c:v>142.82258064516131</c:v>
                </c:pt>
                <c:pt idx="506">
                  <c:v>143.10483870967744</c:v>
                </c:pt>
                <c:pt idx="507">
                  <c:v>143.38709677419357</c:v>
                </c:pt>
                <c:pt idx="508">
                  <c:v>143.66935483870969</c:v>
                </c:pt>
                <c:pt idx="509">
                  <c:v>143.95161290322582</c:v>
                </c:pt>
                <c:pt idx="510">
                  <c:v>144.23387096774195</c:v>
                </c:pt>
                <c:pt idx="511">
                  <c:v>144.51612903225808</c:v>
                </c:pt>
                <c:pt idx="512">
                  <c:v>144.79838709677421</c:v>
                </c:pt>
                <c:pt idx="513">
                  <c:v>145.08064516129033</c:v>
                </c:pt>
                <c:pt idx="514">
                  <c:v>145.36290322580646</c:v>
                </c:pt>
                <c:pt idx="515">
                  <c:v>145.64516129032259</c:v>
                </c:pt>
                <c:pt idx="516">
                  <c:v>145.92741935483872</c:v>
                </c:pt>
                <c:pt idx="517">
                  <c:v>146.20967741935485</c:v>
                </c:pt>
                <c:pt idx="518">
                  <c:v>146.49193548387098</c:v>
                </c:pt>
                <c:pt idx="519">
                  <c:v>146.7741935483871</c:v>
                </c:pt>
                <c:pt idx="520">
                  <c:v>147.05645161290323</c:v>
                </c:pt>
                <c:pt idx="521">
                  <c:v>147.33870967741936</c:v>
                </c:pt>
                <c:pt idx="522">
                  <c:v>147.62096774193549</c:v>
                </c:pt>
                <c:pt idx="523">
                  <c:v>147.90322580645162</c:v>
                </c:pt>
                <c:pt idx="524">
                  <c:v>148.18548387096774</c:v>
                </c:pt>
                <c:pt idx="525">
                  <c:v>148.46774193548387</c:v>
                </c:pt>
                <c:pt idx="526">
                  <c:v>148.75</c:v>
                </c:pt>
                <c:pt idx="527">
                  <c:v>149.03225806451616</c:v>
                </c:pt>
                <c:pt idx="528">
                  <c:v>149.31451612903228</c:v>
                </c:pt>
                <c:pt idx="529">
                  <c:v>149.59677419354841</c:v>
                </c:pt>
                <c:pt idx="530">
                  <c:v>149.87903225806454</c:v>
                </c:pt>
                <c:pt idx="531">
                  <c:v>150.16129032258067</c:v>
                </c:pt>
                <c:pt idx="532">
                  <c:v>150.4435483870968</c:v>
                </c:pt>
                <c:pt idx="533">
                  <c:v>150.72580645161293</c:v>
                </c:pt>
                <c:pt idx="534">
                  <c:v>151.00806451612905</c:v>
                </c:pt>
                <c:pt idx="535">
                  <c:v>151.29032258064518</c:v>
                </c:pt>
                <c:pt idx="536">
                  <c:v>151.57258064516131</c:v>
                </c:pt>
                <c:pt idx="537">
                  <c:v>151.85483870967744</c:v>
                </c:pt>
                <c:pt idx="538">
                  <c:v>152.13709677419357</c:v>
                </c:pt>
                <c:pt idx="539">
                  <c:v>152.41935483870969</c:v>
                </c:pt>
                <c:pt idx="540">
                  <c:v>152.70161290322582</c:v>
                </c:pt>
                <c:pt idx="541">
                  <c:v>152.98387096774195</c:v>
                </c:pt>
                <c:pt idx="542">
                  <c:v>153.26612903225808</c:v>
                </c:pt>
                <c:pt idx="543">
                  <c:v>153.54838709677421</c:v>
                </c:pt>
                <c:pt idx="544">
                  <c:v>153.83064516129033</c:v>
                </c:pt>
                <c:pt idx="545">
                  <c:v>154.11290322580646</c:v>
                </c:pt>
                <c:pt idx="546">
                  <c:v>154.39516129032259</c:v>
                </c:pt>
                <c:pt idx="547">
                  <c:v>154.67741935483872</c:v>
                </c:pt>
                <c:pt idx="548">
                  <c:v>154.95967741935485</c:v>
                </c:pt>
                <c:pt idx="549">
                  <c:v>155.24193548387098</c:v>
                </c:pt>
                <c:pt idx="550">
                  <c:v>155.5241935483871</c:v>
                </c:pt>
                <c:pt idx="551">
                  <c:v>155.80645161290323</c:v>
                </c:pt>
                <c:pt idx="552">
                  <c:v>156.08870967741936</c:v>
                </c:pt>
                <c:pt idx="553">
                  <c:v>156.37096774193549</c:v>
                </c:pt>
                <c:pt idx="554">
                  <c:v>156.65322580645162</c:v>
                </c:pt>
                <c:pt idx="555">
                  <c:v>156.93548387096774</c:v>
                </c:pt>
                <c:pt idx="556">
                  <c:v>157.21774193548387</c:v>
                </c:pt>
                <c:pt idx="557">
                  <c:v>157.50000000000003</c:v>
                </c:pt>
                <c:pt idx="558">
                  <c:v>157.78225806451616</c:v>
                </c:pt>
                <c:pt idx="559">
                  <c:v>158.06451612903228</c:v>
                </c:pt>
                <c:pt idx="560">
                  <c:v>158.34677419354841</c:v>
                </c:pt>
                <c:pt idx="561">
                  <c:v>158.62903225806454</c:v>
                </c:pt>
                <c:pt idx="562">
                  <c:v>158.91129032258067</c:v>
                </c:pt>
                <c:pt idx="563">
                  <c:v>159.1935483870968</c:v>
                </c:pt>
                <c:pt idx="564">
                  <c:v>159.47580645161293</c:v>
                </c:pt>
                <c:pt idx="565">
                  <c:v>159.75806451612905</c:v>
                </c:pt>
                <c:pt idx="566">
                  <c:v>160.04032258064518</c:v>
                </c:pt>
                <c:pt idx="567">
                  <c:v>160.32258064516131</c:v>
                </c:pt>
                <c:pt idx="568">
                  <c:v>160.60483870967744</c:v>
                </c:pt>
                <c:pt idx="569">
                  <c:v>160.88709677419357</c:v>
                </c:pt>
                <c:pt idx="570">
                  <c:v>161.16935483870969</c:v>
                </c:pt>
                <c:pt idx="571">
                  <c:v>161.45161290322582</c:v>
                </c:pt>
                <c:pt idx="572">
                  <c:v>161.73387096774195</c:v>
                </c:pt>
                <c:pt idx="573">
                  <c:v>162.01612903225808</c:v>
                </c:pt>
                <c:pt idx="574">
                  <c:v>162.29838709677421</c:v>
                </c:pt>
                <c:pt idx="575">
                  <c:v>162.58064516129033</c:v>
                </c:pt>
                <c:pt idx="576">
                  <c:v>162.86290322580646</c:v>
                </c:pt>
                <c:pt idx="577">
                  <c:v>163.14516129032259</c:v>
                </c:pt>
                <c:pt idx="578">
                  <c:v>163.42741935483872</c:v>
                </c:pt>
                <c:pt idx="579">
                  <c:v>163.70967741935485</c:v>
                </c:pt>
                <c:pt idx="580">
                  <c:v>163.99193548387098</c:v>
                </c:pt>
                <c:pt idx="581">
                  <c:v>164.2741935483871</c:v>
                </c:pt>
                <c:pt idx="582">
                  <c:v>164.55645161290323</c:v>
                </c:pt>
                <c:pt idx="583">
                  <c:v>164.83870967741936</c:v>
                </c:pt>
                <c:pt idx="584">
                  <c:v>165.12096774193549</c:v>
                </c:pt>
                <c:pt idx="585">
                  <c:v>165.40322580645162</c:v>
                </c:pt>
                <c:pt idx="586">
                  <c:v>165.68548387096774</c:v>
                </c:pt>
                <c:pt idx="587">
                  <c:v>165.9677419354839</c:v>
                </c:pt>
                <c:pt idx="588">
                  <c:v>166.25000000000003</c:v>
                </c:pt>
                <c:pt idx="589">
                  <c:v>166.53225806451616</c:v>
                </c:pt>
                <c:pt idx="590">
                  <c:v>166.81451612903228</c:v>
                </c:pt>
                <c:pt idx="591">
                  <c:v>167.09677419354841</c:v>
                </c:pt>
                <c:pt idx="592">
                  <c:v>167.37903225806454</c:v>
                </c:pt>
                <c:pt idx="593">
                  <c:v>167.66129032258067</c:v>
                </c:pt>
                <c:pt idx="594">
                  <c:v>167.9435483870968</c:v>
                </c:pt>
                <c:pt idx="595">
                  <c:v>168.22580645161293</c:v>
                </c:pt>
                <c:pt idx="596">
                  <c:v>168.50806451612905</c:v>
                </c:pt>
                <c:pt idx="597">
                  <c:v>168.79032258064518</c:v>
                </c:pt>
                <c:pt idx="598">
                  <c:v>169.07258064516131</c:v>
                </c:pt>
                <c:pt idx="599">
                  <c:v>169.35483870967744</c:v>
                </c:pt>
                <c:pt idx="600">
                  <c:v>169.63709677419357</c:v>
                </c:pt>
                <c:pt idx="601">
                  <c:v>169.91935483870969</c:v>
                </c:pt>
                <c:pt idx="602">
                  <c:v>170.20161290322582</c:v>
                </c:pt>
                <c:pt idx="603">
                  <c:v>170.48387096774195</c:v>
                </c:pt>
                <c:pt idx="604">
                  <c:v>170.76612903225808</c:v>
                </c:pt>
                <c:pt idx="605">
                  <c:v>171.04838709677421</c:v>
                </c:pt>
                <c:pt idx="606">
                  <c:v>171.33064516129033</c:v>
                </c:pt>
                <c:pt idx="607">
                  <c:v>171.61290322580646</c:v>
                </c:pt>
                <c:pt idx="608">
                  <c:v>171.89516129032259</c:v>
                </c:pt>
                <c:pt idx="609">
                  <c:v>172.17741935483872</c:v>
                </c:pt>
                <c:pt idx="610">
                  <c:v>172.45967741935485</c:v>
                </c:pt>
                <c:pt idx="611">
                  <c:v>172.74193548387098</c:v>
                </c:pt>
                <c:pt idx="612">
                  <c:v>173.0241935483871</c:v>
                </c:pt>
                <c:pt idx="613">
                  <c:v>173.30645161290323</c:v>
                </c:pt>
                <c:pt idx="614">
                  <c:v>173.58870967741936</c:v>
                </c:pt>
                <c:pt idx="615">
                  <c:v>173.87096774193549</c:v>
                </c:pt>
                <c:pt idx="616">
                  <c:v>174.15322580645162</c:v>
                </c:pt>
                <c:pt idx="617">
                  <c:v>174.43548387096777</c:v>
                </c:pt>
                <c:pt idx="618">
                  <c:v>174.7177419354839</c:v>
                </c:pt>
                <c:pt idx="619">
                  <c:v>175.00000000000003</c:v>
                </c:pt>
                <c:pt idx="620">
                  <c:v>175.28225806451616</c:v>
                </c:pt>
                <c:pt idx="621">
                  <c:v>175.56451612903228</c:v>
                </c:pt>
                <c:pt idx="622">
                  <c:v>175.84677419354841</c:v>
                </c:pt>
                <c:pt idx="623">
                  <c:v>176.12903225806454</c:v>
                </c:pt>
                <c:pt idx="624">
                  <c:v>176.41129032258067</c:v>
                </c:pt>
                <c:pt idx="625">
                  <c:v>176.6935483870968</c:v>
                </c:pt>
                <c:pt idx="626">
                  <c:v>176.97580645161293</c:v>
                </c:pt>
                <c:pt idx="627">
                  <c:v>177.25806451612905</c:v>
                </c:pt>
                <c:pt idx="628">
                  <c:v>177.54032258064518</c:v>
                </c:pt>
                <c:pt idx="629">
                  <c:v>177.82258064516131</c:v>
                </c:pt>
                <c:pt idx="630">
                  <c:v>178.10483870967744</c:v>
                </c:pt>
                <c:pt idx="631">
                  <c:v>178.38709677419357</c:v>
                </c:pt>
                <c:pt idx="632">
                  <c:v>178.66935483870969</c:v>
                </c:pt>
                <c:pt idx="633">
                  <c:v>178.95161290322582</c:v>
                </c:pt>
                <c:pt idx="634">
                  <c:v>179.23387096774195</c:v>
                </c:pt>
                <c:pt idx="635">
                  <c:v>179.51612903225808</c:v>
                </c:pt>
                <c:pt idx="636">
                  <c:v>179.79838709677421</c:v>
                </c:pt>
                <c:pt idx="637">
                  <c:v>180.08064516129033</c:v>
                </c:pt>
                <c:pt idx="638">
                  <c:v>180.36290322580646</c:v>
                </c:pt>
                <c:pt idx="639">
                  <c:v>180.64516129032259</c:v>
                </c:pt>
                <c:pt idx="640">
                  <c:v>180.92741935483872</c:v>
                </c:pt>
                <c:pt idx="641">
                  <c:v>181.20967741935485</c:v>
                </c:pt>
                <c:pt idx="642">
                  <c:v>181.49193548387098</c:v>
                </c:pt>
                <c:pt idx="643">
                  <c:v>181.7741935483871</c:v>
                </c:pt>
                <c:pt idx="644">
                  <c:v>182.05645161290323</c:v>
                </c:pt>
                <c:pt idx="645">
                  <c:v>182.33870967741936</c:v>
                </c:pt>
                <c:pt idx="646">
                  <c:v>182.62096774193549</c:v>
                </c:pt>
                <c:pt idx="647">
                  <c:v>182.90322580645164</c:v>
                </c:pt>
                <c:pt idx="648">
                  <c:v>183.18548387096777</c:v>
                </c:pt>
                <c:pt idx="649">
                  <c:v>183.4677419354839</c:v>
                </c:pt>
                <c:pt idx="650">
                  <c:v>183.75000000000003</c:v>
                </c:pt>
                <c:pt idx="651">
                  <c:v>184.03225806451616</c:v>
                </c:pt>
                <c:pt idx="652">
                  <c:v>184.31451612903228</c:v>
                </c:pt>
                <c:pt idx="653">
                  <c:v>184.59677419354841</c:v>
                </c:pt>
                <c:pt idx="654">
                  <c:v>184.87903225806454</c:v>
                </c:pt>
                <c:pt idx="655">
                  <c:v>185.16129032258067</c:v>
                </c:pt>
                <c:pt idx="656">
                  <c:v>185.4435483870968</c:v>
                </c:pt>
                <c:pt idx="657">
                  <c:v>185.72580645161293</c:v>
                </c:pt>
                <c:pt idx="658">
                  <c:v>186.00806451612905</c:v>
                </c:pt>
                <c:pt idx="659">
                  <c:v>186.29032258064518</c:v>
                </c:pt>
                <c:pt idx="660">
                  <c:v>186.57258064516131</c:v>
                </c:pt>
                <c:pt idx="661">
                  <c:v>186.85483870967744</c:v>
                </c:pt>
                <c:pt idx="662">
                  <c:v>187.13709677419357</c:v>
                </c:pt>
                <c:pt idx="663">
                  <c:v>187.41935483870969</c:v>
                </c:pt>
                <c:pt idx="664">
                  <c:v>187.70161290322582</c:v>
                </c:pt>
                <c:pt idx="665">
                  <c:v>187.98387096774195</c:v>
                </c:pt>
                <c:pt idx="666">
                  <c:v>188.26612903225808</c:v>
                </c:pt>
                <c:pt idx="667">
                  <c:v>188.54838709677421</c:v>
                </c:pt>
                <c:pt idx="668">
                  <c:v>188.83064516129033</c:v>
                </c:pt>
                <c:pt idx="669">
                  <c:v>189.11290322580646</c:v>
                </c:pt>
                <c:pt idx="670">
                  <c:v>189.39516129032259</c:v>
                </c:pt>
                <c:pt idx="671">
                  <c:v>189.67741935483872</c:v>
                </c:pt>
                <c:pt idx="672">
                  <c:v>189.95967741935485</c:v>
                </c:pt>
                <c:pt idx="673">
                  <c:v>190.24193548387098</c:v>
                </c:pt>
                <c:pt idx="674">
                  <c:v>190.5241935483871</c:v>
                </c:pt>
                <c:pt idx="675">
                  <c:v>190.80645161290323</c:v>
                </c:pt>
                <c:pt idx="676">
                  <c:v>191.08870967741936</c:v>
                </c:pt>
                <c:pt idx="677">
                  <c:v>191.37096774193552</c:v>
                </c:pt>
                <c:pt idx="678">
                  <c:v>191.65322580645164</c:v>
                </c:pt>
                <c:pt idx="679">
                  <c:v>191.93548387096777</c:v>
                </c:pt>
                <c:pt idx="680">
                  <c:v>192.2177419354839</c:v>
                </c:pt>
                <c:pt idx="681">
                  <c:v>192.50000000000003</c:v>
                </c:pt>
                <c:pt idx="682">
                  <c:v>192.78225806451616</c:v>
                </c:pt>
                <c:pt idx="683">
                  <c:v>193.06451612903228</c:v>
                </c:pt>
                <c:pt idx="684">
                  <c:v>193.34677419354841</c:v>
                </c:pt>
                <c:pt idx="685">
                  <c:v>193.62903225806454</c:v>
                </c:pt>
                <c:pt idx="686">
                  <c:v>193.91129032258067</c:v>
                </c:pt>
                <c:pt idx="687">
                  <c:v>194.1935483870968</c:v>
                </c:pt>
                <c:pt idx="688">
                  <c:v>194.47580645161293</c:v>
                </c:pt>
                <c:pt idx="689">
                  <c:v>194.75806451612905</c:v>
                </c:pt>
                <c:pt idx="690">
                  <c:v>195.04032258064518</c:v>
                </c:pt>
                <c:pt idx="691">
                  <c:v>195.32258064516131</c:v>
                </c:pt>
                <c:pt idx="692">
                  <c:v>195.60483870967744</c:v>
                </c:pt>
                <c:pt idx="693">
                  <c:v>195.88709677419357</c:v>
                </c:pt>
                <c:pt idx="694">
                  <c:v>196.16935483870969</c:v>
                </c:pt>
                <c:pt idx="695">
                  <c:v>196.45161290322582</c:v>
                </c:pt>
                <c:pt idx="696">
                  <c:v>196.73387096774195</c:v>
                </c:pt>
                <c:pt idx="697">
                  <c:v>197.01612903225808</c:v>
                </c:pt>
                <c:pt idx="698">
                  <c:v>197.29838709677421</c:v>
                </c:pt>
                <c:pt idx="699">
                  <c:v>197.58064516129033</c:v>
                </c:pt>
                <c:pt idx="700">
                  <c:v>197.86290322580646</c:v>
                </c:pt>
                <c:pt idx="701">
                  <c:v>198.14516129032259</c:v>
                </c:pt>
                <c:pt idx="702">
                  <c:v>198.42741935483872</c:v>
                </c:pt>
                <c:pt idx="703">
                  <c:v>198.70967741935485</c:v>
                </c:pt>
                <c:pt idx="704">
                  <c:v>198.99193548387098</c:v>
                </c:pt>
                <c:pt idx="705">
                  <c:v>199.2741935483871</c:v>
                </c:pt>
                <c:pt idx="706">
                  <c:v>199.55645161290323</c:v>
                </c:pt>
                <c:pt idx="707">
                  <c:v>199.83870967741939</c:v>
                </c:pt>
                <c:pt idx="708">
                  <c:v>200.12096774193552</c:v>
                </c:pt>
                <c:pt idx="709">
                  <c:v>200.40322580645164</c:v>
                </c:pt>
                <c:pt idx="710">
                  <c:v>200.68548387096777</c:v>
                </c:pt>
                <c:pt idx="711">
                  <c:v>200.9677419354839</c:v>
                </c:pt>
                <c:pt idx="712">
                  <c:v>201.25000000000003</c:v>
                </c:pt>
                <c:pt idx="713">
                  <c:v>201.53225806451616</c:v>
                </c:pt>
                <c:pt idx="714">
                  <c:v>201.81451612903228</c:v>
                </c:pt>
                <c:pt idx="715">
                  <c:v>202.09677419354841</c:v>
                </c:pt>
                <c:pt idx="716">
                  <c:v>202.37903225806454</c:v>
                </c:pt>
                <c:pt idx="717">
                  <c:v>202.66129032258067</c:v>
                </c:pt>
                <c:pt idx="718">
                  <c:v>202.9435483870968</c:v>
                </c:pt>
                <c:pt idx="719">
                  <c:v>203.22580645161293</c:v>
                </c:pt>
                <c:pt idx="720">
                  <c:v>203.50806451612905</c:v>
                </c:pt>
                <c:pt idx="721">
                  <c:v>203.79032258064518</c:v>
                </c:pt>
                <c:pt idx="722">
                  <c:v>204.07258064516131</c:v>
                </c:pt>
                <c:pt idx="723">
                  <c:v>204.35483870967744</c:v>
                </c:pt>
                <c:pt idx="724">
                  <c:v>204.63709677419357</c:v>
                </c:pt>
                <c:pt idx="725">
                  <c:v>204.91935483870969</c:v>
                </c:pt>
                <c:pt idx="726">
                  <c:v>205.20161290322582</c:v>
                </c:pt>
                <c:pt idx="727">
                  <c:v>205.48387096774195</c:v>
                </c:pt>
                <c:pt idx="728">
                  <c:v>205.76612903225808</c:v>
                </c:pt>
                <c:pt idx="729">
                  <c:v>206.04838709677421</c:v>
                </c:pt>
                <c:pt idx="730">
                  <c:v>206.33064516129033</c:v>
                </c:pt>
                <c:pt idx="731">
                  <c:v>206.61290322580646</c:v>
                </c:pt>
                <c:pt idx="732">
                  <c:v>206.89516129032259</c:v>
                </c:pt>
                <c:pt idx="733">
                  <c:v>207.17741935483872</c:v>
                </c:pt>
                <c:pt idx="734">
                  <c:v>207.45967741935485</c:v>
                </c:pt>
                <c:pt idx="735">
                  <c:v>207.74193548387098</c:v>
                </c:pt>
                <c:pt idx="736">
                  <c:v>208.0241935483871</c:v>
                </c:pt>
                <c:pt idx="737">
                  <c:v>208.30645161290326</c:v>
                </c:pt>
                <c:pt idx="738">
                  <c:v>208.58870967741939</c:v>
                </c:pt>
                <c:pt idx="739">
                  <c:v>208.87096774193552</c:v>
                </c:pt>
                <c:pt idx="740">
                  <c:v>209.15322580645164</c:v>
                </c:pt>
                <c:pt idx="741">
                  <c:v>209.43548387096777</c:v>
                </c:pt>
                <c:pt idx="742">
                  <c:v>209.7177419354839</c:v>
                </c:pt>
                <c:pt idx="743">
                  <c:v>210.00000000000003</c:v>
                </c:pt>
                <c:pt idx="744">
                  <c:v>210.28225806451616</c:v>
                </c:pt>
                <c:pt idx="745">
                  <c:v>210.56451612903228</c:v>
                </c:pt>
                <c:pt idx="746">
                  <c:v>210.84677419354841</c:v>
                </c:pt>
                <c:pt idx="747">
                  <c:v>211.12903225806454</c:v>
                </c:pt>
                <c:pt idx="748">
                  <c:v>211.41129032258067</c:v>
                </c:pt>
                <c:pt idx="749">
                  <c:v>211.6935483870968</c:v>
                </c:pt>
                <c:pt idx="750">
                  <c:v>211.97580645161293</c:v>
                </c:pt>
                <c:pt idx="751">
                  <c:v>212.25806451612905</c:v>
                </c:pt>
                <c:pt idx="752">
                  <c:v>212.54032258064518</c:v>
                </c:pt>
                <c:pt idx="753">
                  <c:v>212.82258064516131</c:v>
                </c:pt>
                <c:pt idx="754">
                  <c:v>213.10483870967744</c:v>
                </c:pt>
                <c:pt idx="755">
                  <c:v>213.38709677419357</c:v>
                </c:pt>
                <c:pt idx="756">
                  <c:v>213.66935483870969</c:v>
                </c:pt>
                <c:pt idx="757">
                  <c:v>213.95161290322582</c:v>
                </c:pt>
                <c:pt idx="758">
                  <c:v>214.23387096774195</c:v>
                </c:pt>
                <c:pt idx="759">
                  <c:v>214.51612903225808</c:v>
                </c:pt>
                <c:pt idx="760">
                  <c:v>214.79838709677421</c:v>
                </c:pt>
                <c:pt idx="761">
                  <c:v>215.08064516129033</c:v>
                </c:pt>
                <c:pt idx="762">
                  <c:v>215.36290322580646</c:v>
                </c:pt>
                <c:pt idx="763">
                  <c:v>215.64516129032259</c:v>
                </c:pt>
                <c:pt idx="764">
                  <c:v>215.92741935483872</c:v>
                </c:pt>
                <c:pt idx="765">
                  <c:v>216.20967741935485</c:v>
                </c:pt>
                <c:pt idx="766">
                  <c:v>216.49193548387098</c:v>
                </c:pt>
                <c:pt idx="767">
                  <c:v>216.77419354838713</c:v>
                </c:pt>
                <c:pt idx="768">
                  <c:v>217.05645161290326</c:v>
                </c:pt>
                <c:pt idx="769">
                  <c:v>217.33870967741939</c:v>
                </c:pt>
                <c:pt idx="770">
                  <c:v>217.62096774193552</c:v>
                </c:pt>
                <c:pt idx="771">
                  <c:v>217.90322580645164</c:v>
                </c:pt>
                <c:pt idx="772">
                  <c:v>218.18548387096777</c:v>
                </c:pt>
                <c:pt idx="773">
                  <c:v>218.4677419354839</c:v>
                </c:pt>
                <c:pt idx="774">
                  <c:v>218.75000000000003</c:v>
                </c:pt>
                <c:pt idx="775">
                  <c:v>219.03225806451616</c:v>
                </c:pt>
                <c:pt idx="776">
                  <c:v>219.31451612903228</c:v>
                </c:pt>
                <c:pt idx="777">
                  <c:v>219.59677419354841</c:v>
                </c:pt>
                <c:pt idx="778">
                  <c:v>219.87903225806454</c:v>
                </c:pt>
                <c:pt idx="779">
                  <c:v>220.16129032258067</c:v>
                </c:pt>
                <c:pt idx="780">
                  <c:v>220.4435483870968</c:v>
                </c:pt>
                <c:pt idx="781">
                  <c:v>220.72580645161293</c:v>
                </c:pt>
                <c:pt idx="782">
                  <c:v>221.00806451612905</c:v>
                </c:pt>
                <c:pt idx="783">
                  <c:v>221.29032258064518</c:v>
                </c:pt>
                <c:pt idx="784">
                  <c:v>221.57258064516131</c:v>
                </c:pt>
                <c:pt idx="785">
                  <c:v>221.85483870967744</c:v>
                </c:pt>
                <c:pt idx="786">
                  <c:v>222.13709677419357</c:v>
                </c:pt>
                <c:pt idx="787">
                  <c:v>222.41935483870969</c:v>
                </c:pt>
                <c:pt idx="788">
                  <c:v>222.70161290322582</c:v>
                </c:pt>
                <c:pt idx="789">
                  <c:v>222.98387096774195</c:v>
                </c:pt>
                <c:pt idx="790">
                  <c:v>223.26612903225808</c:v>
                </c:pt>
                <c:pt idx="791">
                  <c:v>223.54838709677421</c:v>
                </c:pt>
                <c:pt idx="792">
                  <c:v>223.83064516129033</c:v>
                </c:pt>
                <c:pt idx="793">
                  <c:v>224.11290322580646</c:v>
                </c:pt>
                <c:pt idx="794">
                  <c:v>224.39516129032259</c:v>
                </c:pt>
                <c:pt idx="795">
                  <c:v>224.67741935483872</c:v>
                </c:pt>
                <c:pt idx="796">
                  <c:v>224.95967741935485</c:v>
                </c:pt>
                <c:pt idx="797">
                  <c:v>225.24193548387098</c:v>
                </c:pt>
                <c:pt idx="798">
                  <c:v>225.52419354838713</c:v>
                </c:pt>
                <c:pt idx="799">
                  <c:v>225.80645161290326</c:v>
                </c:pt>
                <c:pt idx="800">
                  <c:v>226.08870967741939</c:v>
                </c:pt>
                <c:pt idx="801">
                  <c:v>226.37096774193552</c:v>
                </c:pt>
                <c:pt idx="802">
                  <c:v>226.65322580645164</c:v>
                </c:pt>
                <c:pt idx="803">
                  <c:v>226.93548387096777</c:v>
                </c:pt>
                <c:pt idx="804">
                  <c:v>227.2177419354839</c:v>
                </c:pt>
                <c:pt idx="805">
                  <c:v>227.50000000000003</c:v>
                </c:pt>
                <c:pt idx="806">
                  <c:v>227.78225806451616</c:v>
                </c:pt>
                <c:pt idx="807">
                  <c:v>228.06451612903228</c:v>
                </c:pt>
                <c:pt idx="808">
                  <c:v>228.34677419354841</c:v>
                </c:pt>
                <c:pt idx="809">
                  <c:v>228.62903225806454</c:v>
                </c:pt>
                <c:pt idx="810">
                  <c:v>228.91129032258067</c:v>
                </c:pt>
                <c:pt idx="811">
                  <c:v>229.1935483870968</c:v>
                </c:pt>
                <c:pt idx="812">
                  <c:v>229.47580645161293</c:v>
                </c:pt>
                <c:pt idx="813">
                  <c:v>229.75806451612905</c:v>
                </c:pt>
                <c:pt idx="814">
                  <c:v>230.04032258064518</c:v>
                </c:pt>
                <c:pt idx="815">
                  <c:v>230.32258064516131</c:v>
                </c:pt>
                <c:pt idx="816">
                  <c:v>230.60483870967744</c:v>
                </c:pt>
                <c:pt idx="817">
                  <c:v>230.88709677419357</c:v>
                </c:pt>
                <c:pt idx="818">
                  <c:v>231.16935483870969</c:v>
                </c:pt>
                <c:pt idx="819">
                  <c:v>231.45161290322582</c:v>
                </c:pt>
                <c:pt idx="820">
                  <c:v>231.73387096774195</c:v>
                </c:pt>
                <c:pt idx="821">
                  <c:v>232.01612903225808</c:v>
                </c:pt>
                <c:pt idx="822">
                  <c:v>232.29838709677421</c:v>
                </c:pt>
                <c:pt idx="823">
                  <c:v>232.58064516129033</c:v>
                </c:pt>
                <c:pt idx="824">
                  <c:v>232.86290322580646</c:v>
                </c:pt>
                <c:pt idx="825">
                  <c:v>233.14516129032259</c:v>
                </c:pt>
                <c:pt idx="826">
                  <c:v>233.42741935483872</c:v>
                </c:pt>
                <c:pt idx="827">
                  <c:v>233.70967741935485</c:v>
                </c:pt>
                <c:pt idx="828">
                  <c:v>233.991935483871</c:v>
                </c:pt>
                <c:pt idx="829">
                  <c:v>234.27419354838713</c:v>
                </c:pt>
                <c:pt idx="830">
                  <c:v>234.55645161290326</c:v>
                </c:pt>
                <c:pt idx="831">
                  <c:v>234.83870967741939</c:v>
                </c:pt>
                <c:pt idx="832">
                  <c:v>235.12096774193552</c:v>
                </c:pt>
                <c:pt idx="833">
                  <c:v>235.40322580645164</c:v>
                </c:pt>
                <c:pt idx="834">
                  <c:v>235.68548387096777</c:v>
                </c:pt>
                <c:pt idx="835">
                  <c:v>235.9677419354839</c:v>
                </c:pt>
                <c:pt idx="836">
                  <c:v>236.25000000000003</c:v>
                </c:pt>
                <c:pt idx="837">
                  <c:v>236.53225806451616</c:v>
                </c:pt>
                <c:pt idx="838">
                  <c:v>236.81451612903228</c:v>
                </c:pt>
                <c:pt idx="839">
                  <c:v>237.09677419354841</c:v>
                </c:pt>
                <c:pt idx="840">
                  <c:v>237.37903225806454</c:v>
                </c:pt>
                <c:pt idx="841">
                  <c:v>237.66129032258067</c:v>
                </c:pt>
                <c:pt idx="842">
                  <c:v>237.9435483870968</c:v>
                </c:pt>
                <c:pt idx="843">
                  <c:v>238.22580645161293</c:v>
                </c:pt>
                <c:pt idx="844">
                  <c:v>238.50806451612905</c:v>
                </c:pt>
                <c:pt idx="845">
                  <c:v>238.79032258064518</c:v>
                </c:pt>
                <c:pt idx="846">
                  <c:v>239.07258064516131</c:v>
                </c:pt>
                <c:pt idx="847">
                  <c:v>239.35483870967744</c:v>
                </c:pt>
                <c:pt idx="848">
                  <c:v>239.63709677419357</c:v>
                </c:pt>
                <c:pt idx="849">
                  <c:v>239.91935483870969</c:v>
                </c:pt>
                <c:pt idx="850">
                  <c:v>240.20161290322582</c:v>
                </c:pt>
                <c:pt idx="851">
                  <c:v>240.48387096774195</c:v>
                </c:pt>
                <c:pt idx="852">
                  <c:v>240.76612903225808</c:v>
                </c:pt>
                <c:pt idx="853">
                  <c:v>241.04838709677421</c:v>
                </c:pt>
                <c:pt idx="854">
                  <c:v>241.33064516129033</c:v>
                </c:pt>
                <c:pt idx="855">
                  <c:v>241.61290322580646</c:v>
                </c:pt>
                <c:pt idx="856">
                  <c:v>241.89516129032259</c:v>
                </c:pt>
                <c:pt idx="857">
                  <c:v>242.17741935483872</c:v>
                </c:pt>
                <c:pt idx="858">
                  <c:v>242.45967741935488</c:v>
                </c:pt>
                <c:pt idx="859">
                  <c:v>242.741935483871</c:v>
                </c:pt>
                <c:pt idx="860">
                  <c:v>243.02419354838713</c:v>
                </c:pt>
                <c:pt idx="861">
                  <c:v>243.30645161290326</c:v>
                </c:pt>
                <c:pt idx="862">
                  <c:v>243.58870967741939</c:v>
                </c:pt>
                <c:pt idx="863">
                  <c:v>243.87096774193552</c:v>
                </c:pt>
                <c:pt idx="864">
                  <c:v>244.15322580645164</c:v>
                </c:pt>
                <c:pt idx="865">
                  <c:v>244.43548387096777</c:v>
                </c:pt>
                <c:pt idx="866">
                  <c:v>244.7177419354839</c:v>
                </c:pt>
                <c:pt idx="867">
                  <c:v>245.00000000000003</c:v>
                </c:pt>
                <c:pt idx="868">
                  <c:v>245.28225806451616</c:v>
                </c:pt>
                <c:pt idx="869">
                  <c:v>245.56451612903228</c:v>
                </c:pt>
                <c:pt idx="870">
                  <c:v>245.84677419354841</c:v>
                </c:pt>
                <c:pt idx="871">
                  <c:v>246.12903225806454</c:v>
                </c:pt>
                <c:pt idx="872">
                  <c:v>246.41129032258067</c:v>
                </c:pt>
                <c:pt idx="873">
                  <c:v>246.6935483870968</c:v>
                </c:pt>
                <c:pt idx="874">
                  <c:v>246.97580645161293</c:v>
                </c:pt>
                <c:pt idx="875">
                  <c:v>247.25806451612905</c:v>
                </c:pt>
                <c:pt idx="876">
                  <c:v>247.54032258064518</c:v>
                </c:pt>
                <c:pt idx="877">
                  <c:v>247.82258064516131</c:v>
                </c:pt>
                <c:pt idx="878">
                  <c:v>248.10483870967744</c:v>
                </c:pt>
                <c:pt idx="879">
                  <c:v>248.38709677419357</c:v>
                </c:pt>
                <c:pt idx="880">
                  <c:v>248.66935483870969</c:v>
                </c:pt>
                <c:pt idx="881">
                  <c:v>248.95161290322582</c:v>
                </c:pt>
                <c:pt idx="882">
                  <c:v>249.23387096774195</c:v>
                </c:pt>
                <c:pt idx="883">
                  <c:v>249.51612903225808</c:v>
                </c:pt>
                <c:pt idx="884">
                  <c:v>249.79838709677421</c:v>
                </c:pt>
                <c:pt idx="885">
                  <c:v>250.08064516129033</c:v>
                </c:pt>
                <c:pt idx="886">
                  <c:v>250.36290322580646</c:v>
                </c:pt>
                <c:pt idx="887">
                  <c:v>250.64516129032259</c:v>
                </c:pt>
                <c:pt idx="888">
                  <c:v>250.92741935483875</c:v>
                </c:pt>
                <c:pt idx="889">
                  <c:v>251.20967741935488</c:v>
                </c:pt>
                <c:pt idx="890">
                  <c:v>251.491935483871</c:v>
                </c:pt>
                <c:pt idx="891">
                  <c:v>251.77419354838713</c:v>
                </c:pt>
                <c:pt idx="892">
                  <c:v>252.05645161290326</c:v>
                </c:pt>
                <c:pt idx="893">
                  <c:v>252.33870967741939</c:v>
                </c:pt>
                <c:pt idx="894">
                  <c:v>252.62096774193552</c:v>
                </c:pt>
                <c:pt idx="895">
                  <c:v>252.90322580645164</c:v>
                </c:pt>
                <c:pt idx="896">
                  <c:v>253.18548387096777</c:v>
                </c:pt>
                <c:pt idx="897">
                  <c:v>253.4677419354839</c:v>
                </c:pt>
                <c:pt idx="898">
                  <c:v>253.75000000000003</c:v>
                </c:pt>
                <c:pt idx="899">
                  <c:v>254.03225806451616</c:v>
                </c:pt>
                <c:pt idx="900">
                  <c:v>254.31451612903228</c:v>
                </c:pt>
                <c:pt idx="901">
                  <c:v>254.59677419354841</c:v>
                </c:pt>
                <c:pt idx="902">
                  <c:v>254.87903225806454</c:v>
                </c:pt>
                <c:pt idx="903">
                  <c:v>255.16129032258067</c:v>
                </c:pt>
                <c:pt idx="904">
                  <c:v>255.4435483870968</c:v>
                </c:pt>
                <c:pt idx="905">
                  <c:v>255.72580645161293</c:v>
                </c:pt>
                <c:pt idx="906">
                  <c:v>256.00806451612908</c:v>
                </c:pt>
                <c:pt idx="907">
                  <c:v>256.29032258064518</c:v>
                </c:pt>
                <c:pt idx="908">
                  <c:v>256.57258064516134</c:v>
                </c:pt>
                <c:pt idx="909">
                  <c:v>256.85483870967744</c:v>
                </c:pt>
                <c:pt idx="910">
                  <c:v>257.13709677419359</c:v>
                </c:pt>
                <c:pt idx="911">
                  <c:v>257.41935483870969</c:v>
                </c:pt>
                <c:pt idx="912">
                  <c:v>257.70161290322585</c:v>
                </c:pt>
                <c:pt idx="913">
                  <c:v>257.98387096774195</c:v>
                </c:pt>
                <c:pt idx="914">
                  <c:v>258.26612903225811</c:v>
                </c:pt>
                <c:pt idx="915">
                  <c:v>258.54838709677421</c:v>
                </c:pt>
                <c:pt idx="916">
                  <c:v>258.83064516129036</c:v>
                </c:pt>
                <c:pt idx="917">
                  <c:v>259.11290322580646</c:v>
                </c:pt>
                <c:pt idx="918">
                  <c:v>259.39516129032262</c:v>
                </c:pt>
                <c:pt idx="919">
                  <c:v>259.67741935483872</c:v>
                </c:pt>
                <c:pt idx="920">
                  <c:v>259.95967741935488</c:v>
                </c:pt>
                <c:pt idx="921">
                  <c:v>260.24193548387098</c:v>
                </c:pt>
                <c:pt idx="922">
                  <c:v>260.52419354838713</c:v>
                </c:pt>
                <c:pt idx="923">
                  <c:v>260.80645161290323</c:v>
                </c:pt>
                <c:pt idx="924">
                  <c:v>261.08870967741939</c:v>
                </c:pt>
                <c:pt idx="925">
                  <c:v>261.37096774193549</c:v>
                </c:pt>
                <c:pt idx="926">
                  <c:v>261.65322580645164</c:v>
                </c:pt>
                <c:pt idx="927">
                  <c:v>261.93548387096774</c:v>
                </c:pt>
                <c:pt idx="928">
                  <c:v>262.2177419354839</c:v>
                </c:pt>
                <c:pt idx="929">
                  <c:v>262.5</c:v>
                </c:pt>
                <c:pt idx="930">
                  <c:v>262.78225806451616</c:v>
                </c:pt>
                <c:pt idx="931">
                  <c:v>263.06451612903226</c:v>
                </c:pt>
                <c:pt idx="932">
                  <c:v>263.34677419354841</c:v>
                </c:pt>
                <c:pt idx="933">
                  <c:v>263.62903225806457</c:v>
                </c:pt>
                <c:pt idx="934">
                  <c:v>263.91129032258067</c:v>
                </c:pt>
                <c:pt idx="935">
                  <c:v>264.19354838709683</c:v>
                </c:pt>
                <c:pt idx="936">
                  <c:v>264.47580645161293</c:v>
                </c:pt>
                <c:pt idx="937">
                  <c:v>264.75806451612908</c:v>
                </c:pt>
                <c:pt idx="938">
                  <c:v>265.04032258064518</c:v>
                </c:pt>
                <c:pt idx="939">
                  <c:v>265.32258064516134</c:v>
                </c:pt>
                <c:pt idx="940">
                  <c:v>265.60483870967744</c:v>
                </c:pt>
                <c:pt idx="941">
                  <c:v>265.88709677419359</c:v>
                </c:pt>
                <c:pt idx="942">
                  <c:v>266.16935483870969</c:v>
                </c:pt>
                <c:pt idx="943">
                  <c:v>266.45161290322585</c:v>
                </c:pt>
                <c:pt idx="944">
                  <c:v>266.73387096774195</c:v>
                </c:pt>
                <c:pt idx="945">
                  <c:v>267.01612903225811</c:v>
                </c:pt>
                <c:pt idx="946">
                  <c:v>267.29838709677421</c:v>
                </c:pt>
                <c:pt idx="947">
                  <c:v>267.58064516129036</c:v>
                </c:pt>
                <c:pt idx="948">
                  <c:v>267.86290322580646</c:v>
                </c:pt>
                <c:pt idx="949">
                  <c:v>268.14516129032262</c:v>
                </c:pt>
                <c:pt idx="950">
                  <c:v>268.42741935483872</c:v>
                </c:pt>
                <c:pt idx="951">
                  <c:v>268.70967741935488</c:v>
                </c:pt>
                <c:pt idx="952">
                  <c:v>268.99193548387098</c:v>
                </c:pt>
                <c:pt idx="953">
                  <c:v>269.27419354838713</c:v>
                </c:pt>
                <c:pt idx="954">
                  <c:v>269.55645161290323</c:v>
                </c:pt>
                <c:pt idx="955">
                  <c:v>269.83870967741939</c:v>
                </c:pt>
                <c:pt idx="956">
                  <c:v>270.12096774193549</c:v>
                </c:pt>
                <c:pt idx="957">
                  <c:v>270.40322580645164</c:v>
                </c:pt>
                <c:pt idx="958">
                  <c:v>270.68548387096774</c:v>
                </c:pt>
                <c:pt idx="959">
                  <c:v>270.9677419354839</c:v>
                </c:pt>
                <c:pt idx="960">
                  <c:v>271.25</c:v>
                </c:pt>
                <c:pt idx="961">
                  <c:v>271.53225806451616</c:v>
                </c:pt>
                <c:pt idx="962">
                  <c:v>271.81451612903226</c:v>
                </c:pt>
                <c:pt idx="963">
                  <c:v>272.09677419354841</c:v>
                </c:pt>
                <c:pt idx="964">
                  <c:v>272.37903225806457</c:v>
                </c:pt>
                <c:pt idx="965">
                  <c:v>272.66129032258067</c:v>
                </c:pt>
                <c:pt idx="966">
                  <c:v>272.94354838709683</c:v>
                </c:pt>
                <c:pt idx="967">
                  <c:v>273.22580645161293</c:v>
                </c:pt>
                <c:pt idx="968">
                  <c:v>273.50806451612908</c:v>
                </c:pt>
                <c:pt idx="969">
                  <c:v>273.79032258064518</c:v>
                </c:pt>
                <c:pt idx="970">
                  <c:v>274.07258064516134</c:v>
                </c:pt>
                <c:pt idx="971">
                  <c:v>274.35483870967744</c:v>
                </c:pt>
                <c:pt idx="972">
                  <c:v>274.63709677419359</c:v>
                </c:pt>
                <c:pt idx="973">
                  <c:v>274.91935483870969</c:v>
                </c:pt>
                <c:pt idx="974">
                  <c:v>275.20161290322585</c:v>
                </c:pt>
                <c:pt idx="975">
                  <c:v>275.48387096774195</c:v>
                </c:pt>
                <c:pt idx="976">
                  <c:v>275.76612903225811</c:v>
                </c:pt>
                <c:pt idx="977">
                  <c:v>276.04838709677421</c:v>
                </c:pt>
                <c:pt idx="978">
                  <c:v>276.33064516129036</c:v>
                </c:pt>
                <c:pt idx="979">
                  <c:v>276.61290322580646</c:v>
                </c:pt>
                <c:pt idx="980">
                  <c:v>276.89516129032262</c:v>
                </c:pt>
                <c:pt idx="981">
                  <c:v>277.17741935483872</c:v>
                </c:pt>
                <c:pt idx="982">
                  <c:v>277.45967741935488</c:v>
                </c:pt>
                <c:pt idx="983">
                  <c:v>277.74193548387098</c:v>
                </c:pt>
                <c:pt idx="984">
                  <c:v>278.02419354838713</c:v>
                </c:pt>
                <c:pt idx="985">
                  <c:v>278.30645161290323</c:v>
                </c:pt>
                <c:pt idx="986">
                  <c:v>278.58870967741939</c:v>
                </c:pt>
                <c:pt idx="987">
                  <c:v>278.87096774193549</c:v>
                </c:pt>
                <c:pt idx="988">
                  <c:v>279.15322580645164</c:v>
                </c:pt>
                <c:pt idx="989">
                  <c:v>279.43548387096774</c:v>
                </c:pt>
                <c:pt idx="990">
                  <c:v>279.7177419354839</c:v>
                </c:pt>
                <c:pt idx="991">
                  <c:v>280</c:v>
                </c:pt>
                <c:pt idx="992">
                  <c:v>280.28225806451616</c:v>
                </c:pt>
                <c:pt idx="993">
                  <c:v>280.56451612903231</c:v>
                </c:pt>
                <c:pt idx="994">
                  <c:v>280.84677419354841</c:v>
                </c:pt>
                <c:pt idx="995">
                  <c:v>281.12903225806457</c:v>
                </c:pt>
                <c:pt idx="996">
                  <c:v>281.41129032258067</c:v>
                </c:pt>
                <c:pt idx="997">
                  <c:v>281.69354838709683</c:v>
                </c:pt>
                <c:pt idx="998">
                  <c:v>281.97580645161293</c:v>
                </c:pt>
                <c:pt idx="999">
                  <c:v>282.25806451612908</c:v>
                </c:pt>
                <c:pt idx="1000">
                  <c:v>282.54032258064518</c:v>
                </c:pt>
                <c:pt idx="1001">
                  <c:v>282.82258064516134</c:v>
                </c:pt>
                <c:pt idx="1002">
                  <c:v>283.10483870967744</c:v>
                </c:pt>
                <c:pt idx="1003">
                  <c:v>283.38709677419359</c:v>
                </c:pt>
                <c:pt idx="1004">
                  <c:v>283.66935483870969</c:v>
                </c:pt>
                <c:pt idx="1005">
                  <c:v>283.95161290322585</c:v>
                </c:pt>
                <c:pt idx="1006">
                  <c:v>284.23387096774195</c:v>
                </c:pt>
                <c:pt idx="1007">
                  <c:v>284.51612903225811</c:v>
                </c:pt>
                <c:pt idx="1008">
                  <c:v>284.79838709677421</c:v>
                </c:pt>
                <c:pt idx="1009">
                  <c:v>285.08064516129036</c:v>
                </c:pt>
                <c:pt idx="1010">
                  <c:v>285.36290322580646</c:v>
                </c:pt>
                <c:pt idx="1011">
                  <c:v>285.64516129032262</c:v>
                </c:pt>
                <c:pt idx="1012">
                  <c:v>285.92741935483872</c:v>
                </c:pt>
                <c:pt idx="1013">
                  <c:v>286.20967741935488</c:v>
                </c:pt>
                <c:pt idx="1014">
                  <c:v>286.49193548387098</c:v>
                </c:pt>
                <c:pt idx="1015">
                  <c:v>286.77419354838713</c:v>
                </c:pt>
                <c:pt idx="1016">
                  <c:v>287.05645161290323</c:v>
                </c:pt>
                <c:pt idx="1017">
                  <c:v>287.33870967741939</c:v>
                </c:pt>
                <c:pt idx="1018">
                  <c:v>287.62096774193549</c:v>
                </c:pt>
                <c:pt idx="1019">
                  <c:v>287.90322580645164</c:v>
                </c:pt>
                <c:pt idx="1020">
                  <c:v>288.18548387096774</c:v>
                </c:pt>
                <c:pt idx="1021">
                  <c:v>288.4677419354839</c:v>
                </c:pt>
                <c:pt idx="1022">
                  <c:v>288.75</c:v>
                </c:pt>
                <c:pt idx="1023">
                  <c:v>289.03225806451616</c:v>
                </c:pt>
                <c:pt idx="1024">
                  <c:v>289.31451612903231</c:v>
                </c:pt>
                <c:pt idx="1025">
                  <c:v>289.59677419354841</c:v>
                </c:pt>
                <c:pt idx="1026">
                  <c:v>289.87903225806457</c:v>
                </c:pt>
                <c:pt idx="1027">
                  <c:v>290.16129032258067</c:v>
                </c:pt>
                <c:pt idx="1028">
                  <c:v>290.44354838709683</c:v>
                </c:pt>
                <c:pt idx="1029">
                  <c:v>290.72580645161293</c:v>
                </c:pt>
                <c:pt idx="1030">
                  <c:v>291.00806451612908</c:v>
                </c:pt>
                <c:pt idx="1031">
                  <c:v>291.29032258064518</c:v>
                </c:pt>
                <c:pt idx="1032">
                  <c:v>291.57258064516134</c:v>
                </c:pt>
                <c:pt idx="1033">
                  <c:v>291.85483870967744</c:v>
                </c:pt>
                <c:pt idx="1034">
                  <c:v>292.13709677419359</c:v>
                </c:pt>
                <c:pt idx="1035">
                  <c:v>292.41935483870969</c:v>
                </c:pt>
                <c:pt idx="1036">
                  <c:v>292.70161290322585</c:v>
                </c:pt>
                <c:pt idx="1037">
                  <c:v>292.98387096774195</c:v>
                </c:pt>
                <c:pt idx="1038">
                  <c:v>293.26612903225811</c:v>
                </c:pt>
                <c:pt idx="1039">
                  <c:v>293.54838709677421</c:v>
                </c:pt>
                <c:pt idx="1040">
                  <c:v>293.83064516129036</c:v>
                </c:pt>
                <c:pt idx="1041">
                  <c:v>294.11290322580646</c:v>
                </c:pt>
                <c:pt idx="1042">
                  <c:v>294.39516129032262</c:v>
                </c:pt>
                <c:pt idx="1043">
                  <c:v>294.67741935483872</c:v>
                </c:pt>
                <c:pt idx="1044">
                  <c:v>294.95967741935488</c:v>
                </c:pt>
                <c:pt idx="1045">
                  <c:v>295.24193548387098</c:v>
                </c:pt>
                <c:pt idx="1046">
                  <c:v>295.52419354838713</c:v>
                </c:pt>
                <c:pt idx="1047">
                  <c:v>295.80645161290323</c:v>
                </c:pt>
                <c:pt idx="1048">
                  <c:v>296.08870967741939</c:v>
                </c:pt>
                <c:pt idx="1049">
                  <c:v>296.37096774193549</c:v>
                </c:pt>
                <c:pt idx="1050">
                  <c:v>296.65322580645164</c:v>
                </c:pt>
                <c:pt idx="1051">
                  <c:v>296.93548387096774</c:v>
                </c:pt>
                <c:pt idx="1052">
                  <c:v>297.2177419354839</c:v>
                </c:pt>
                <c:pt idx="1053">
                  <c:v>297.5</c:v>
                </c:pt>
                <c:pt idx="1054">
                  <c:v>297.78225806451616</c:v>
                </c:pt>
                <c:pt idx="1055">
                  <c:v>298.06451612903231</c:v>
                </c:pt>
                <c:pt idx="1056">
                  <c:v>298.34677419354841</c:v>
                </c:pt>
                <c:pt idx="1057">
                  <c:v>298.62903225806457</c:v>
                </c:pt>
                <c:pt idx="1058">
                  <c:v>298.91129032258067</c:v>
                </c:pt>
                <c:pt idx="1059">
                  <c:v>299.19354838709683</c:v>
                </c:pt>
                <c:pt idx="1060">
                  <c:v>299.47580645161293</c:v>
                </c:pt>
                <c:pt idx="1061">
                  <c:v>299.75806451612908</c:v>
                </c:pt>
                <c:pt idx="1062">
                  <c:v>300.04032258064518</c:v>
                </c:pt>
                <c:pt idx="1063">
                  <c:v>300.32258064516134</c:v>
                </c:pt>
                <c:pt idx="1064">
                  <c:v>300.60483870967744</c:v>
                </c:pt>
                <c:pt idx="1065">
                  <c:v>300.88709677419359</c:v>
                </c:pt>
                <c:pt idx="1066">
                  <c:v>301.16935483870969</c:v>
                </c:pt>
                <c:pt idx="1067">
                  <c:v>301.45161290322585</c:v>
                </c:pt>
                <c:pt idx="1068">
                  <c:v>301.73387096774195</c:v>
                </c:pt>
                <c:pt idx="1069">
                  <c:v>302.01612903225811</c:v>
                </c:pt>
                <c:pt idx="1070">
                  <c:v>302.29838709677421</c:v>
                </c:pt>
                <c:pt idx="1071">
                  <c:v>302.58064516129036</c:v>
                </c:pt>
                <c:pt idx="1072">
                  <c:v>302.86290322580646</c:v>
                </c:pt>
                <c:pt idx="1073">
                  <c:v>303.14516129032262</c:v>
                </c:pt>
                <c:pt idx="1074">
                  <c:v>303.42741935483872</c:v>
                </c:pt>
                <c:pt idx="1075">
                  <c:v>303.70967741935488</c:v>
                </c:pt>
                <c:pt idx="1076">
                  <c:v>303.99193548387098</c:v>
                </c:pt>
                <c:pt idx="1077">
                  <c:v>304.27419354838713</c:v>
                </c:pt>
                <c:pt idx="1078">
                  <c:v>304.55645161290323</c:v>
                </c:pt>
                <c:pt idx="1079">
                  <c:v>304.83870967741939</c:v>
                </c:pt>
                <c:pt idx="1080">
                  <c:v>305.12096774193549</c:v>
                </c:pt>
                <c:pt idx="1081">
                  <c:v>305.40322580645164</c:v>
                </c:pt>
                <c:pt idx="1082">
                  <c:v>305.68548387096774</c:v>
                </c:pt>
                <c:pt idx="1083">
                  <c:v>305.9677419354839</c:v>
                </c:pt>
                <c:pt idx="1084">
                  <c:v>306.25000000000006</c:v>
                </c:pt>
                <c:pt idx="1085">
                  <c:v>306.53225806451616</c:v>
                </c:pt>
                <c:pt idx="1086">
                  <c:v>306.81451612903231</c:v>
                </c:pt>
                <c:pt idx="1087">
                  <c:v>307.09677419354841</c:v>
                </c:pt>
                <c:pt idx="1088">
                  <c:v>307.37903225806457</c:v>
                </c:pt>
                <c:pt idx="1089">
                  <c:v>307.66129032258067</c:v>
                </c:pt>
                <c:pt idx="1090">
                  <c:v>307.94354838709683</c:v>
                </c:pt>
                <c:pt idx="1091">
                  <c:v>308.22580645161293</c:v>
                </c:pt>
                <c:pt idx="1092">
                  <c:v>308.50806451612908</c:v>
                </c:pt>
                <c:pt idx="1093">
                  <c:v>308.79032258064518</c:v>
                </c:pt>
                <c:pt idx="1094">
                  <c:v>309.07258064516134</c:v>
                </c:pt>
                <c:pt idx="1095">
                  <c:v>309.35483870967744</c:v>
                </c:pt>
                <c:pt idx="1096">
                  <c:v>309.63709677419359</c:v>
                </c:pt>
                <c:pt idx="1097">
                  <c:v>309.91935483870969</c:v>
                </c:pt>
                <c:pt idx="1098">
                  <c:v>310.20161290322585</c:v>
                </c:pt>
                <c:pt idx="1099">
                  <c:v>310.48387096774195</c:v>
                </c:pt>
                <c:pt idx="1100">
                  <c:v>310.76612903225811</c:v>
                </c:pt>
                <c:pt idx="1101">
                  <c:v>311.04838709677421</c:v>
                </c:pt>
                <c:pt idx="1102">
                  <c:v>311.33064516129036</c:v>
                </c:pt>
                <c:pt idx="1103">
                  <c:v>311.61290322580646</c:v>
                </c:pt>
                <c:pt idx="1104">
                  <c:v>311.89516129032262</c:v>
                </c:pt>
                <c:pt idx="1105">
                  <c:v>312.17741935483872</c:v>
                </c:pt>
                <c:pt idx="1106">
                  <c:v>312.45967741935488</c:v>
                </c:pt>
                <c:pt idx="1107">
                  <c:v>312.74193548387098</c:v>
                </c:pt>
                <c:pt idx="1108">
                  <c:v>313.02419354838713</c:v>
                </c:pt>
                <c:pt idx="1109">
                  <c:v>313.30645161290323</c:v>
                </c:pt>
                <c:pt idx="1110">
                  <c:v>313.58870967741939</c:v>
                </c:pt>
                <c:pt idx="1111">
                  <c:v>313.87096774193549</c:v>
                </c:pt>
                <c:pt idx="1112">
                  <c:v>314.15322580645164</c:v>
                </c:pt>
                <c:pt idx="1113">
                  <c:v>314.43548387096774</c:v>
                </c:pt>
                <c:pt idx="1114">
                  <c:v>314.7177419354839</c:v>
                </c:pt>
                <c:pt idx="1115">
                  <c:v>315.00000000000006</c:v>
                </c:pt>
                <c:pt idx="1116">
                  <c:v>315.28225806451616</c:v>
                </c:pt>
                <c:pt idx="1117">
                  <c:v>315.56451612903231</c:v>
                </c:pt>
                <c:pt idx="1118">
                  <c:v>315.84677419354841</c:v>
                </c:pt>
                <c:pt idx="1119">
                  <c:v>316.12903225806457</c:v>
                </c:pt>
                <c:pt idx="1120">
                  <c:v>316.41129032258067</c:v>
                </c:pt>
                <c:pt idx="1121">
                  <c:v>316.69354838709683</c:v>
                </c:pt>
                <c:pt idx="1122">
                  <c:v>316.97580645161293</c:v>
                </c:pt>
                <c:pt idx="1123">
                  <c:v>317.25806451612908</c:v>
                </c:pt>
                <c:pt idx="1124">
                  <c:v>317.54032258064518</c:v>
                </c:pt>
                <c:pt idx="1125">
                  <c:v>317.82258064516134</c:v>
                </c:pt>
                <c:pt idx="1126">
                  <c:v>318.10483870967744</c:v>
                </c:pt>
                <c:pt idx="1127">
                  <c:v>318.38709677419359</c:v>
                </c:pt>
                <c:pt idx="1128">
                  <c:v>318.66935483870969</c:v>
                </c:pt>
                <c:pt idx="1129">
                  <c:v>318.95161290322585</c:v>
                </c:pt>
                <c:pt idx="1130">
                  <c:v>319.23387096774195</c:v>
                </c:pt>
                <c:pt idx="1131">
                  <c:v>319.51612903225811</c:v>
                </c:pt>
                <c:pt idx="1132">
                  <c:v>319.79838709677421</c:v>
                </c:pt>
                <c:pt idx="1133">
                  <c:v>320.08064516129036</c:v>
                </c:pt>
                <c:pt idx="1134">
                  <c:v>320.36290322580646</c:v>
                </c:pt>
                <c:pt idx="1135">
                  <c:v>320.64516129032262</c:v>
                </c:pt>
                <c:pt idx="1136">
                  <c:v>320.92741935483872</c:v>
                </c:pt>
                <c:pt idx="1137">
                  <c:v>321.20967741935488</c:v>
                </c:pt>
                <c:pt idx="1138">
                  <c:v>321.49193548387098</c:v>
                </c:pt>
                <c:pt idx="1139">
                  <c:v>321.77419354838713</c:v>
                </c:pt>
                <c:pt idx="1140">
                  <c:v>322.05645161290323</c:v>
                </c:pt>
                <c:pt idx="1141">
                  <c:v>322.33870967741939</c:v>
                </c:pt>
                <c:pt idx="1142">
                  <c:v>322.62096774193549</c:v>
                </c:pt>
                <c:pt idx="1143">
                  <c:v>322.90322580645164</c:v>
                </c:pt>
                <c:pt idx="1144">
                  <c:v>323.1854838709678</c:v>
                </c:pt>
                <c:pt idx="1145">
                  <c:v>323.4677419354839</c:v>
                </c:pt>
                <c:pt idx="1146">
                  <c:v>323.75000000000006</c:v>
                </c:pt>
                <c:pt idx="1147">
                  <c:v>324.03225806451616</c:v>
                </c:pt>
                <c:pt idx="1148">
                  <c:v>324.31451612903231</c:v>
                </c:pt>
                <c:pt idx="1149">
                  <c:v>324.59677419354841</c:v>
                </c:pt>
                <c:pt idx="1150">
                  <c:v>324.87903225806457</c:v>
                </c:pt>
                <c:pt idx="1151">
                  <c:v>325.16129032258067</c:v>
                </c:pt>
                <c:pt idx="1152">
                  <c:v>325.44354838709683</c:v>
                </c:pt>
                <c:pt idx="1153">
                  <c:v>325.72580645161293</c:v>
                </c:pt>
                <c:pt idx="1154">
                  <c:v>326.00806451612908</c:v>
                </c:pt>
                <c:pt idx="1155">
                  <c:v>326.29032258064518</c:v>
                </c:pt>
                <c:pt idx="1156">
                  <c:v>326.57258064516134</c:v>
                </c:pt>
                <c:pt idx="1157">
                  <c:v>326.85483870967744</c:v>
                </c:pt>
                <c:pt idx="1158">
                  <c:v>327.13709677419359</c:v>
                </c:pt>
                <c:pt idx="1159">
                  <c:v>327.41935483870969</c:v>
                </c:pt>
                <c:pt idx="1160">
                  <c:v>327.70161290322585</c:v>
                </c:pt>
                <c:pt idx="1161">
                  <c:v>327.98387096774195</c:v>
                </c:pt>
                <c:pt idx="1162">
                  <c:v>328.26612903225811</c:v>
                </c:pt>
                <c:pt idx="1163">
                  <c:v>328.54838709677421</c:v>
                </c:pt>
                <c:pt idx="1164">
                  <c:v>328.83064516129036</c:v>
                </c:pt>
                <c:pt idx="1165">
                  <c:v>329.11290322580646</c:v>
                </c:pt>
                <c:pt idx="1166">
                  <c:v>329.39516129032262</c:v>
                </c:pt>
                <c:pt idx="1167">
                  <c:v>329.67741935483872</c:v>
                </c:pt>
                <c:pt idx="1168">
                  <c:v>329.95967741935488</c:v>
                </c:pt>
                <c:pt idx="1169">
                  <c:v>330.24193548387098</c:v>
                </c:pt>
                <c:pt idx="1170">
                  <c:v>330.52419354838713</c:v>
                </c:pt>
                <c:pt idx="1171">
                  <c:v>330.80645161290323</c:v>
                </c:pt>
                <c:pt idx="1172">
                  <c:v>331.08870967741939</c:v>
                </c:pt>
                <c:pt idx="1173">
                  <c:v>331.37096774193549</c:v>
                </c:pt>
                <c:pt idx="1174">
                  <c:v>331.65322580645164</c:v>
                </c:pt>
                <c:pt idx="1175">
                  <c:v>331.9354838709678</c:v>
                </c:pt>
                <c:pt idx="1176">
                  <c:v>332.2177419354839</c:v>
                </c:pt>
                <c:pt idx="1177">
                  <c:v>332.50000000000006</c:v>
                </c:pt>
                <c:pt idx="1178">
                  <c:v>332.78225806451616</c:v>
                </c:pt>
                <c:pt idx="1179">
                  <c:v>333.06451612903231</c:v>
                </c:pt>
                <c:pt idx="1180">
                  <c:v>333.34677419354841</c:v>
                </c:pt>
                <c:pt idx="1181">
                  <c:v>333.62903225806457</c:v>
                </c:pt>
                <c:pt idx="1182">
                  <c:v>333.91129032258067</c:v>
                </c:pt>
                <c:pt idx="1183">
                  <c:v>334.19354838709683</c:v>
                </c:pt>
                <c:pt idx="1184">
                  <c:v>334.47580645161293</c:v>
                </c:pt>
                <c:pt idx="1185">
                  <c:v>334.75806451612908</c:v>
                </c:pt>
                <c:pt idx="1186">
                  <c:v>335.04032258064518</c:v>
                </c:pt>
                <c:pt idx="1187">
                  <c:v>335.32258064516134</c:v>
                </c:pt>
                <c:pt idx="1188">
                  <c:v>335.60483870967744</c:v>
                </c:pt>
                <c:pt idx="1189">
                  <c:v>335.88709677419359</c:v>
                </c:pt>
                <c:pt idx="1190">
                  <c:v>336.16935483870969</c:v>
                </c:pt>
                <c:pt idx="1191">
                  <c:v>336.45161290322585</c:v>
                </c:pt>
                <c:pt idx="1192">
                  <c:v>336.73387096774195</c:v>
                </c:pt>
                <c:pt idx="1193">
                  <c:v>337.01612903225811</c:v>
                </c:pt>
                <c:pt idx="1194">
                  <c:v>337.29838709677421</c:v>
                </c:pt>
                <c:pt idx="1195">
                  <c:v>337.58064516129036</c:v>
                </c:pt>
                <c:pt idx="1196">
                  <c:v>337.86290322580646</c:v>
                </c:pt>
                <c:pt idx="1197">
                  <c:v>338.14516129032262</c:v>
                </c:pt>
                <c:pt idx="1198">
                  <c:v>338.42741935483872</c:v>
                </c:pt>
                <c:pt idx="1199">
                  <c:v>338.70967741935488</c:v>
                </c:pt>
                <c:pt idx="1200">
                  <c:v>338.99193548387098</c:v>
                </c:pt>
                <c:pt idx="1201">
                  <c:v>339.27419354838713</c:v>
                </c:pt>
                <c:pt idx="1202">
                  <c:v>339.55645161290323</c:v>
                </c:pt>
                <c:pt idx="1203">
                  <c:v>339.83870967741939</c:v>
                </c:pt>
                <c:pt idx="1204">
                  <c:v>340.12096774193554</c:v>
                </c:pt>
                <c:pt idx="1205">
                  <c:v>340.40322580645164</c:v>
                </c:pt>
                <c:pt idx="1206">
                  <c:v>340.6854838709678</c:v>
                </c:pt>
                <c:pt idx="1207">
                  <c:v>340.9677419354839</c:v>
                </c:pt>
                <c:pt idx="1208">
                  <c:v>341.25000000000006</c:v>
                </c:pt>
                <c:pt idx="1209">
                  <c:v>341.53225806451616</c:v>
                </c:pt>
                <c:pt idx="1210">
                  <c:v>341.81451612903231</c:v>
                </c:pt>
                <c:pt idx="1211">
                  <c:v>342.09677419354841</c:v>
                </c:pt>
                <c:pt idx="1212">
                  <c:v>342.37903225806457</c:v>
                </c:pt>
                <c:pt idx="1213">
                  <c:v>342.66129032258067</c:v>
                </c:pt>
                <c:pt idx="1214">
                  <c:v>342.94354838709683</c:v>
                </c:pt>
                <c:pt idx="1215">
                  <c:v>343.22580645161293</c:v>
                </c:pt>
                <c:pt idx="1216">
                  <c:v>343.50806451612908</c:v>
                </c:pt>
                <c:pt idx="1217">
                  <c:v>343.79032258064518</c:v>
                </c:pt>
                <c:pt idx="1218">
                  <c:v>344.07258064516134</c:v>
                </c:pt>
                <c:pt idx="1219">
                  <c:v>344.35483870967744</c:v>
                </c:pt>
                <c:pt idx="1220">
                  <c:v>344.63709677419359</c:v>
                </c:pt>
                <c:pt idx="1221">
                  <c:v>344.91935483870969</c:v>
                </c:pt>
                <c:pt idx="1222">
                  <c:v>345.20161290322585</c:v>
                </c:pt>
                <c:pt idx="1223">
                  <c:v>345.48387096774195</c:v>
                </c:pt>
                <c:pt idx="1224">
                  <c:v>345.76612903225811</c:v>
                </c:pt>
                <c:pt idx="1225">
                  <c:v>346.04838709677421</c:v>
                </c:pt>
                <c:pt idx="1226">
                  <c:v>346.33064516129036</c:v>
                </c:pt>
                <c:pt idx="1227">
                  <c:v>346.61290322580646</c:v>
                </c:pt>
                <c:pt idx="1228">
                  <c:v>346.89516129032262</c:v>
                </c:pt>
                <c:pt idx="1229">
                  <c:v>347.17741935483872</c:v>
                </c:pt>
                <c:pt idx="1230">
                  <c:v>347.45967741935488</c:v>
                </c:pt>
                <c:pt idx="1231">
                  <c:v>347.74193548387098</c:v>
                </c:pt>
                <c:pt idx="1232">
                  <c:v>348.02419354838713</c:v>
                </c:pt>
                <c:pt idx="1233">
                  <c:v>348.30645161290323</c:v>
                </c:pt>
                <c:pt idx="1234">
                  <c:v>348.58870967741939</c:v>
                </c:pt>
                <c:pt idx="1235">
                  <c:v>348.87096774193554</c:v>
                </c:pt>
                <c:pt idx="1236">
                  <c:v>349.15322580645164</c:v>
                </c:pt>
                <c:pt idx="1237">
                  <c:v>349.4354838709678</c:v>
                </c:pt>
                <c:pt idx="1238">
                  <c:v>349.7177419354839</c:v>
                </c:pt>
                <c:pt idx="1239">
                  <c:v>350.00000000000006</c:v>
                </c:pt>
                <c:pt idx="1240">
                  <c:v>350.28225806451616</c:v>
                </c:pt>
                <c:pt idx="1241">
                  <c:v>350.56451612903231</c:v>
                </c:pt>
                <c:pt idx="1242">
                  <c:v>350.84677419354841</c:v>
                </c:pt>
                <c:pt idx="1243">
                  <c:v>351.12903225806457</c:v>
                </c:pt>
                <c:pt idx="1244">
                  <c:v>351.41129032258067</c:v>
                </c:pt>
                <c:pt idx="1245">
                  <c:v>351.69354838709683</c:v>
                </c:pt>
                <c:pt idx="1246">
                  <c:v>351.97580645161293</c:v>
                </c:pt>
                <c:pt idx="1247">
                  <c:v>352.25806451612908</c:v>
                </c:pt>
                <c:pt idx="1248">
                  <c:v>352.54032258064518</c:v>
                </c:pt>
                <c:pt idx="1249">
                  <c:v>352.82258064516134</c:v>
                </c:pt>
                <c:pt idx="1250">
                  <c:v>353.10483870967744</c:v>
                </c:pt>
                <c:pt idx="1251">
                  <c:v>353.38709677419359</c:v>
                </c:pt>
                <c:pt idx="1252">
                  <c:v>353.66935483870969</c:v>
                </c:pt>
                <c:pt idx="1253">
                  <c:v>353.95161290322585</c:v>
                </c:pt>
                <c:pt idx="1254">
                  <c:v>354.23387096774195</c:v>
                </c:pt>
                <c:pt idx="1255">
                  <c:v>354.51612903225811</c:v>
                </c:pt>
                <c:pt idx="1256">
                  <c:v>354.79838709677421</c:v>
                </c:pt>
                <c:pt idx="1257">
                  <c:v>355.08064516129036</c:v>
                </c:pt>
                <c:pt idx="1258">
                  <c:v>355.36290322580646</c:v>
                </c:pt>
                <c:pt idx="1259">
                  <c:v>355.64516129032262</c:v>
                </c:pt>
                <c:pt idx="1260">
                  <c:v>355.92741935483872</c:v>
                </c:pt>
                <c:pt idx="1261">
                  <c:v>356.20967741935488</c:v>
                </c:pt>
                <c:pt idx="1262">
                  <c:v>356.49193548387098</c:v>
                </c:pt>
                <c:pt idx="1263">
                  <c:v>356.77419354838713</c:v>
                </c:pt>
                <c:pt idx="1264">
                  <c:v>357.05645161290329</c:v>
                </c:pt>
                <c:pt idx="1265">
                  <c:v>357.33870967741939</c:v>
                </c:pt>
                <c:pt idx="1266">
                  <c:v>357.62096774193554</c:v>
                </c:pt>
                <c:pt idx="1267">
                  <c:v>357.90322580645164</c:v>
                </c:pt>
                <c:pt idx="1268">
                  <c:v>358.1854838709678</c:v>
                </c:pt>
                <c:pt idx="1269">
                  <c:v>358.4677419354839</c:v>
                </c:pt>
                <c:pt idx="1270">
                  <c:v>358.75000000000006</c:v>
                </c:pt>
                <c:pt idx="1271">
                  <c:v>359.03225806451616</c:v>
                </c:pt>
                <c:pt idx="1272">
                  <c:v>359.31451612903231</c:v>
                </c:pt>
                <c:pt idx="1273">
                  <c:v>359.59677419354841</c:v>
                </c:pt>
                <c:pt idx="1274">
                  <c:v>359.87903225806457</c:v>
                </c:pt>
                <c:pt idx="1275">
                  <c:v>360.16129032258067</c:v>
                </c:pt>
                <c:pt idx="1276">
                  <c:v>360.44354838709683</c:v>
                </c:pt>
                <c:pt idx="1277">
                  <c:v>360.72580645161293</c:v>
                </c:pt>
                <c:pt idx="1278">
                  <c:v>361.00806451612908</c:v>
                </c:pt>
                <c:pt idx="1279">
                  <c:v>361.29032258064518</c:v>
                </c:pt>
                <c:pt idx="1280">
                  <c:v>361.57258064516134</c:v>
                </c:pt>
                <c:pt idx="1281">
                  <c:v>361.85483870967744</c:v>
                </c:pt>
                <c:pt idx="1282">
                  <c:v>362.13709677419359</c:v>
                </c:pt>
                <c:pt idx="1283">
                  <c:v>362.41935483870969</c:v>
                </c:pt>
                <c:pt idx="1284">
                  <c:v>362.70161290322585</c:v>
                </c:pt>
                <c:pt idx="1285">
                  <c:v>362.98387096774195</c:v>
                </c:pt>
                <c:pt idx="1286">
                  <c:v>363.26612903225811</c:v>
                </c:pt>
                <c:pt idx="1287">
                  <c:v>363.54838709677421</c:v>
                </c:pt>
                <c:pt idx="1288">
                  <c:v>363.83064516129036</c:v>
                </c:pt>
                <c:pt idx="1289">
                  <c:v>364.11290322580646</c:v>
                </c:pt>
                <c:pt idx="1290">
                  <c:v>364.39516129032262</c:v>
                </c:pt>
                <c:pt idx="1291">
                  <c:v>364.67741935483872</c:v>
                </c:pt>
                <c:pt idx="1292">
                  <c:v>364.95967741935488</c:v>
                </c:pt>
                <c:pt idx="1293">
                  <c:v>365.24193548387098</c:v>
                </c:pt>
                <c:pt idx="1294">
                  <c:v>365.52419354838713</c:v>
                </c:pt>
                <c:pt idx="1295">
                  <c:v>365.80645161290329</c:v>
                </c:pt>
                <c:pt idx="1296">
                  <c:v>366.08870967741939</c:v>
                </c:pt>
                <c:pt idx="1297">
                  <c:v>366.37096774193554</c:v>
                </c:pt>
                <c:pt idx="1298">
                  <c:v>366.65322580645164</c:v>
                </c:pt>
                <c:pt idx="1299">
                  <c:v>366.9354838709678</c:v>
                </c:pt>
                <c:pt idx="1300">
                  <c:v>367.2177419354839</c:v>
                </c:pt>
                <c:pt idx="1301">
                  <c:v>367.50000000000006</c:v>
                </c:pt>
                <c:pt idx="1302">
                  <c:v>367.78225806451616</c:v>
                </c:pt>
                <c:pt idx="1303">
                  <c:v>368.06451612903231</c:v>
                </c:pt>
                <c:pt idx="1304">
                  <c:v>368.34677419354841</c:v>
                </c:pt>
                <c:pt idx="1305">
                  <c:v>368.62903225806457</c:v>
                </c:pt>
                <c:pt idx="1306">
                  <c:v>368.91129032258067</c:v>
                </c:pt>
                <c:pt idx="1307">
                  <c:v>369.19354838709683</c:v>
                </c:pt>
                <c:pt idx="1308">
                  <c:v>369.47580645161293</c:v>
                </c:pt>
                <c:pt idx="1309">
                  <c:v>369.75806451612908</c:v>
                </c:pt>
                <c:pt idx="1310">
                  <c:v>370.04032258064518</c:v>
                </c:pt>
                <c:pt idx="1311">
                  <c:v>370.32258064516134</c:v>
                </c:pt>
                <c:pt idx="1312">
                  <c:v>370.60483870967744</c:v>
                </c:pt>
                <c:pt idx="1313">
                  <c:v>370.88709677419359</c:v>
                </c:pt>
                <c:pt idx="1314">
                  <c:v>371.16935483870969</c:v>
                </c:pt>
                <c:pt idx="1315">
                  <c:v>371.45161290322585</c:v>
                </c:pt>
                <c:pt idx="1316">
                  <c:v>371.73387096774195</c:v>
                </c:pt>
                <c:pt idx="1317">
                  <c:v>372.01612903225811</c:v>
                </c:pt>
                <c:pt idx="1318">
                  <c:v>372.29838709677421</c:v>
                </c:pt>
                <c:pt idx="1319">
                  <c:v>372.58064516129036</c:v>
                </c:pt>
                <c:pt idx="1320">
                  <c:v>372.86290322580646</c:v>
                </c:pt>
                <c:pt idx="1321">
                  <c:v>373.14516129032262</c:v>
                </c:pt>
                <c:pt idx="1322">
                  <c:v>373.42741935483872</c:v>
                </c:pt>
                <c:pt idx="1323">
                  <c:v>373.70967741935488</c:v>
                </c:pt>
                <c:pt idx="1324">
                  <c:v>373.99193548387098</c:v>
                </c:pt>
                <c:pt idx="1325">
                  <c:v>374.27419354838713</c:v>
                </c:pt>
                <c:pt idx="1326">
                  <c:v>374.55645161290329</c:v>
                </c:pt>
                <c:pt idx="1327">
                  <c:v>374.83870967741939</c:v>
                </c:pt>
                <c:pt idx="1328">
                  <c:v>375.12096774193554</c:v>
                </c:pt>
                <c:pt idx="1329">
                  <c:v>375.40322580645164</c:v>
                </c:pt>
                <c:pt idx="1330">
                  <c:v>375.6854838709678</c:v>
                </c:pt>
                <c:pt idx="1331">
                  <c:v>375.9677419354839</c:v>
                </c:pt>
                <c:pt idx="1332">
                  <c:v>376.25000000000006</c:v>
                </c:pt>
                <c:pt idx="1333">
                  <c:v>376.53225806451616</c:v>
                </c:pt>
                <c:pt idx="1334">
                  <c:v>376.81451612903231</c:v>
                </c:pt>
                <c:pt idx="1335">
                  <c:v>377.09677419354841</c:v>
                </c:pt>
                <c:pt idx="1336">
                  <c:v>377.37903225806457</c:v>
                </c:pt>
                <c:pt idx="1337">
                  <c:v>377.66129032258067</c:v>
                </c:pt>
                <c:pt idx="1338">
                  <c:v>377.94354838709683</c:v>
                </c:pt>
                <c:pt idx="1339">
                  <c:v>378.22580645161293</c:v>
                </c:pt>
                <c:pt idx="1340">
                  <c:v>378.50806451612908</c:v>
                </c:pt>
                <c:pt idx="1341">
                  <c:v>378.79032258064518</c:v>
                </c:pt>
                <c:pt idx="1342">
                  <c:v>379.07258064516134</c:v>
                </c:pt>
                <c:pt idx="1343">
                  <c:v>379.35483870967744</c:v>
                </c:pt>
                <c:pt idx="1344">
                  <c:v>379.63709677419359</c:v>
                </c:pt>
                <c:pt idx="1345">
                  <c:v>379.91935483870969</c:v>
                </c:pt>
                <c:pt idx="1346">
                  <c:v>380.20161290322585</c:v>
                </c:pt>
                <c:pt idx="1347">
                  <c:v>380.48387096774195</c:v>
                </c:pt>
                <c:pt idx="1348">
                  <c:v>380.76612903225811</c:v>
                </c:pt>
                <c:pt idx="1349">
                  <c:v>381.04838709677421</c:v>
                </c:pt>
                <c:pt idx="1350">
                  <c:v>381.33064516129036</c:v>
                </c:pt>
                <c:pt idx="1351">
                  <c:v>381.61290322580646</c:v>
                </c:pt>
                <c:pt idx="1352">
                  <c:v>381.89516129032262</c:v>
                </c:pt>
                <c:pt idx="1353">
                  <c:v>382.17741935483872</c:v>
                </c:pt>
                <c:pt idx="1354">
                  <c:v>382.45967741935488</c:v>
                </c:pt>
                <c:pt idx="1355">
                  <c:v>382.74193548387103</c:v>
                </c:pt>
                <c:pt idx="1356">
                  <c:v>383.02419354838713</c:v>
                </c:pt>
                <c:pt idx="1357">
                  <c:v>383.30645161290329</c:v>
                </c:pt>
                <c:pt idx="1358">
                  <c:v>383.58870967741939</c:v>
                </c:pt>
                <c:pt idx="1359">
                  <c:v>383.87096774193554</c:v>
                </c:pt>
                <c:pt idx="1360">
                  <c:v>384.15322580645164</c:v>
                </c:pt>
                <c:pt idx="1361">
                  <c:v>384.4354838709678</c:v>
                </c:pt>
                <c:pt idx="1362">
                  <c:v>384.7177419354839</c:v>
                </c:pt>
                <c:pt idx="1363">
                  <c:v>385.00000000000006</c:v>
                </c:pt>
                <c:pt idx="1364">
                  <c:v>385.28225806451616</c:v>
                </c:pt>
                <c:pt idx="1365">
                  <c:v>385.56451612903231</c:v>
                </c:pt>
                <c:pt idx="1366">
                  <c:v>385.84677419354841</c:v>
                </c:pt>
                <c:pt idx="1367">
                  <c:v>386.12903225806457</c:v>
                </c:pt>
                <c:pt idx="1368">
                  <c:v>386.41129032258067</c:v>
                </c:pt>
                <c:pt idx="1369">
                  <c:v>386.69354838709683</c:v>
                </c:pt>
                <c:pt idx="1370">
                  <c:v>386.97580645161293</c:v>
                </c:pt>
                <c:pt idx="1371">
                  <c:v>387.25806451612908</c:v>
                </c:pt>
                <c:pt idx="1372">
                  <c:v>387.54032258064518</c:v>
                </c:pt>
                <c:pt idx="1373">
                  <c:v>387.82258064516134</c:v>
                </c:pt>
                <c:pt idx="1374">
                  <c:v>388.10483870967744</c:v>
                </c:pt>
                <c:pt idx="1375">
                  <c:v>388.38709677419359</c:v>
                </c:pt>
                <c:pt idx="1376">
                  <c:v>388.66935483870969</c:v>
                </c:pt>
                <c:pt idx="1377">
                  <c:v>388.95161290322585</c:v>
                </c:pt>
                <c:pt idx="1378">
                  <c:v>389.23387096774195</c:v>
                </c:pt>
                <c:pt idx="1379">
                  <c:v>389.51612903225811</c:v>
                </c:pt>
                <c:pt idx="1380">
                  <c:v>389.79838709677421</c:v>
                </c:pt>
                <c:pt idx="1381">
                  <c:v>390.08064516129036</c:v>
                </c:pt>
                <c:pt idx="1382">
                  <c:v>390.36290322580646</c:v>
                </c:pt>
                <c:pt idx="1383">
                  <c:v>390.64516129032262</c:v>
                </c:pt>
                <c:pt idx="1384">
                  <c:v>390.92741935483872</c:v>
                </c:pt>
                <c:pt idx="1385">
                  <c:v>391.20967741935488</c:v>
                </c:pt>
                <c:pt idx="1386">
                  <c:v>391.49193548387103</c:v>
                </c:pt>
                <c:pt idx="1387">
                  <c:v>391.77419354838713</c:v>
                </c:pt>
                <c:pt idx="1388">
                  <c:v>392.05645161290329</c:v>
                </c:pt>
                <c:pt idx="1389">
                  <c:v>392.33870967741939</c:v>
                </c:pt>
                <c:pt idx="1390">
                  <c:v>392.62096774193554</c:v>
                </c:pt>
                <c:pt idx="1391">
                  <c:v>392.90322580645164</c:v>
                </c:pt>
                <c:pt idx="1392">
                  <c:v>393.1854838709678</c:v>
                </c:pt>
                <c:pt idx="1393">
                  <c:v>393.4677419354839</c:v>
                </c:pt>
                <c:pt idx="1394">
                  <c:v>393.75000000000006</c:v>
                </c:pt>
                <c:pt idx="1395">
                  <c:v>394.03225806451616</c:v>
                </c:pt>
                <c:pt idx="1396">
                  <c:v>394.31451612903231</c:v>
                </c:pt>
                <c:pt idx="1397">
                  <c:v>394.59677419354841</c:v>
                </c:pt>
                <c:pt idx="1398">
                  <c:v>394.87903225806457</c:v>
                </c:pt>
                <c:pt idx="1399">
                  <c:v>395.16129032258067</c:v>
                </c:pt>
                <c:pt idx="1400">
                  <c:v>395.44354838709683</c:v>
                </c:pt>
                <c:pt idx="1401">
                  <c:v>395.72580645161293</c:v>
                </c:pt>
                <c:pt idx="1402">
                  <c:v>396.00806451612908</c:v>
                </c:pt>
                <c:pt idx="1403">
                  <c:v>396.29032258064518</c:v>
                </c:pt>
                <c:pt idx="1404">
                  <c:v>396.57258064516134</c:v>
                </c:pt>
                <c:pt idx="1405">
                  <c:v>396.85483870967744</c:v>
                </c:pt>
                <c:pt idx="1406">
                  <c:v>397.13709677419359</c:v>
                </c:pt>
                <c:pt idx="1407">
                  <c:v>397.41935483870969</c:v>
                </c:pt>
                <c:pt idx="1408">
                  <c:v>397.70161290322585</c:v>
                </c:pt>
                <c:pt idx="1409">
                  <c:v>397.98387096774195</c:v>
                </c:pt>
                <c:pt idx="1410">
                  <c:v>398.26612903225811</c:v>
                </c:pt>
                <c:pt idx="1411">
                  <c:v>398.54838709677421</c:v>
                </c:pt>
                <c:pt idx="1412">
                  <c:v>398.83064516129036</c:v>
                </c:pt>
                <c:pt idx="1413">
                  <c:v>399.11290322580646</c:v>
                </c:pt>
                <c:pt idx="1414">
                  <c:v>399.39516129032262</c:v>
                </c:pt>
                <c:pt idx="1415">
                  <c:v>399.67741935483878</c:v>
                </c:pt>
                <c:pt idx="1416">
                  <c:v>399.95967741935488</c:v>
                </c:pt>
                <c:pt idx="1417">
                  <c:v>400.24193548387103</c:v>
                </c:pt>
                <c:pt idx="1418">
                  <c:v>400.52419354838713</c:v>
                </c:pt>
                <c:pt idx="1419">
                  <c:v>400.80645161290329</c:v>
                </c:pt>
                <c:pt idx="1420">
                  <c:v>401.08870967741939</c:v>
                </c:pt>
                <c:pt idx="1421">
                  <c:v>401.37096774193554</c:v>
                </c:pt>
                <c:pt idx="1422">
                  <c:v>401.65322580645164</c:v>
                </c:pt>
                <c:pt idx="1423">
                  <c:v>401.9354838709678</c:v>
                </c:pt>
                <c:pt idx="1424">
                  <c:v>402.2177419354839</c:v>
                </c:pt>
                <c:pt idx="1425">
                  <c:v>402.50000000000006</c:v>
                </c:pt>
                <c:pt idx="1426">
                  <c:v>402.78225806451616</c:v>
                </c:pt>
                <c:pt idx="1427">
                  <c:v>403.06451612903231</c:v>
                </c:pt>
                <c:pt idx="1428">
                  <c:v>403.34677419354841</c:v>
                </c:pt>
                <c:pt idx="1429">
                  <c:v>403.62903225806457</c:v>
                </c:pt>
                <c:pt idx="1430">
                  <c:v>403.91129032258067</c:v>
                </c:pt>
                <c:pt idx="1431">
                  <c:v>404.19354838709683</c:v>
                </c:pt>
                <c:pt idx="1432">
                  <c:v>404.47580645161293</c:v>
                </c:pt>
                <c:pt idx="1433">
                  <c:v>404.75806451612908</c:v>
                </c:pt>
                <c:pt idx="1434">
                  <c:v>405.04032258064518</c:v>
                </c:pt>
                <c:pt idx="1435">
                  <c:v>405.32258064516134</c:v>
                </c:pt>
                <c:pt idx="1436">
                  <c:v>405.60483870967744</c:v>
                </c:pt>
                <c:pt idx="1437">
                  <c:v>405.88709677419359</c:v>
                </c:pt>
                <c:pt idx="1438">
                  <c:v>406.16935483870969</c:v>
                </c:pt>
                <c:pt idx="1439">
                  <c:v>406.45161290322585</c:v>
                </c:pt>
                <c:pt idx="1440">
                  <c:v>406.73387096774195</c:v>
                </c:pt>
                <c:pt idx="1441">
                  <c:v>407.01612903225811</c:v>
                </c:pt>
                <c:pt idx="1442">
                  <c:v>407.29838709677421</c:v>
                </c:pt>
                <c:pt idx="1443">
                  <c:v>407.58064516129036</c:v>
                </c:pt>
                <c:pt idx="1444">
                  <c:v>407.86290322580646</c:v>
                </c:pt>
                <c:pt idx="1445">
                  <c:v>408.14516129032262</c:v>
                </c:pt>
                <c:pt idx="1446">
                  <c:v>408.42741935483878</c:v>
                </c:pt>
                <c:pt idx="1447">
                  <c:v>408.70967741935488</c:v>
                </c:pt>
                <c:pt idx="1448">
                  <c:v>408.99193548387103</c:v>
                </c:pt>
                <c:pt idx="1449">
                  <c:v>409.27419354838713</c:v>
                </c:pt>
                <c:pt idx="1450">
                  <c:v>409.55645161290329</c:v>
                </c:pt>
                <c:pt idx="1451">
                  <c:v>409.83870967741939</c:v>
                </c:pt>
                <c:pt idx="1452">
                  <c:v>410.12096774193554</c:v>
                </c:pt>
                <c:pt idx="1453">
                  <c:v>410.40322580645164</c:v>
                </c:pt>
                <c:pt idx="1454">
                  <c:v>410.6854838709678</c:v>
                </c:pt>
                <c:pt idx="1455">
                  <c:v>410.9677419354839</c:v>
                </c:pt>
                <c:pt idx="1456">
                  <c:v>411.25000000000006</c:v>
                </c:pt>
                <c:pt idx="1457">
                  <c:v>411.53225806451616</c:v>
                </c:pt>
                <c:pt idx="1458">
                  <c:v>411.81451612903231</c:v>
                </c:pt>
                <c:pt idx="1459">
                  <c:v>412.09677419354841</c:v>
                </c:pt>
                <c:pt idx="1460">
                  <c:v>412.37903225806457</c:v>
                </c:pt>
                <c:pt idx="1461">
                  <c:v>412.66129032258067</c:v>
                </c:pt>
                <c:pt idx="1462">
                  <c:v>412.94354838709683</c:v>
                </c:pt>
                <c:pt idx="1463">
                  <c:v>413.22580645161293</c:v>
                </c:pt>
                <c:pt idx="1464">
                  <c:v>413.50806451612908</c:v>
                </c:pt>
                <c:pt idx="1465">
                  <c:v>413.79032258064518</c:v>
                </c:pt>
                <c:pt idx="1466">
                  <c:v>414.07258064516134</c:v>
                </c:pt>
                <c:pt idx="1467">
                  <c:v>414.35483870967744</c:v>
                </c:pt>
                <c:pt idx="1468">
                  <c:v>414.63709677419359</c:v>
                </c:pt>
                <c:pt idx="1469">
                  <c:v>414.91935483870969</c:v>
                </c:pt>
                <c:pt idx="1470">
                  <c:v>415.20161290322585</c:v>
                </c:pt>
                <c:pt idx="1471">
                  <c:v>415.48387096774195</c:v>
                </c:pt>
                <c:pt idx="1472">
                  <c:v>415.76612903225811</c:v>
                </c:pt>
                <c:pt idx="1473">
                  <c:v>416.04838709677421</c:v>
                </c:pt>
                <c:pt idx="1474">
                  <c:v>416.33064516129036</c:v>
                </c:pt>
                <c:pt idx="1475">
                  <c:v>416.61290322580652</c:v>
                </c:pt>
                <c:pt idx="1476">
                  <c:v>416.89516129032262</c:v>
                </c:pt>
                <c:pt idx="1477">
                  <c:v>417.17741935483878</c:v>
                </c:pt>
                <c:pt idx="1478">
                  <c:v>417.45967741935488</c:v>
                </c:pt>
                <c:pt idx="1479">
                  <c:v>417.74193548387103</c:v>
                </c:pt>
                <c:pt idx="1480">
                  <c:v>418.02419354838713</c:v>
                </c:pt>
                <c:pt idx="1481">
                  <c:v>418.30645161290329</c:v>
                </c:pt>
                <c:pt idx="1482">
                  <c:v>418.58870967741939</c:v>
                </c:pt>
                <c:pt idx="1483">
                  <c:v>418.87096774193554</c:v>
                </c:pt>
                <c:pt idx="1484">
                  <c:v>419.15322580645164</c:v>
                </c:pt>
                <c:pt idx="1485">
                  <c:v>419.4354838709678</c:v>
                </c:pt>
                <c:pt idx="1486">
                  <c:v>419.7177419354839</c:v>
                </c:pt>
                <c:pt idx="1487">
                  <c:v>420.00000000000006</c:v>
                </c:pt>
                <c:pt idx="1488">
                  <c:v>420.28225806451616</c:v>
                </c:pt>
                <c:pt idx="1489">
                  <c:v>420.56451612903231</c:v>
                </c:pt>
                <c:pt idx="1490">
                  <c:v>420.84677419354841</c:v>
                </c:pt>
                <c:pt idx="1491">
                  <c:v>421.12903225806457</c:v>
                </c:pt>
                <c:pt idx="1492">
                  <c:v>421.41129032258067</c:v>
                </c:pt>
                <c:pt idx="1493">
                  <c:v>421.69354838709683</c:v>
                </c:pt>
                <c:pt idx="1494">
                  <c:v>421.97580645161293</c:v>
                </c:pt>
                <c:pt idx="1495">
                  <c:v>422.25806451612908</c:v>
                </c:pt>
                <c:pt idx="1496">
                  <c:v>422.54032258064518</c:v>
                </c:pt>
                <c:pt idx="1497">
                  <c:v>422.82258064516134</c:v>
                </c:pt>
                <c:pt idx="1498">
                  <c:v>423.10483870967744</c:v>
                </c:pt>
                <c:pt idx="1499">
                  <c:v>423.38709677419359</c:v>
                </c:pt>
                <c:pt idx="1500">
                  <c:v>423.66935483870969</c:v>
                </c:pt>
                <c:pt idx="1501">
                  <c:v>423.95161290322585</c:v>
                </c:pt>
                <c:pt idx="1502">
                  <c:v>424.23387096774195</c:v>
                </c:pt>
                <c:pt idx="1503">
                  <c:v>424.51612903225811</c:v>
                </c:pt>
                <c:pt idx="1504">
                  <c:v>424.79838709677421</c:v>
                </c:pt>
                <c:pt idx="1505">
                  <c:v>425.08064516129036</c:v>
                </c:pt>
                <c:pt idx="1506">
                  <c:v>425.36290322580652</c:v>
                </c:pt>
                <c:pt idx="1507">
                  <c:v>425.64516129032262</c:v>
                </c:pt>
                <c:pt idx="1508">
                  <c:v>425.92741935483878</c:v>
                </c:pt>
                <c:pt idx="1509">
                  <c:v>426.20967741935488</c:v>
                </c:pt>
                <c:pt idx="1510">
                  <c:v>426.49193548387103</c:v>
                </c:pt>
                <c:pt idx="1511">
                  <c:v>426.77419354838713</c:v>
                </c:pt>
                <c:pt idx="1512">
                  <c:v>427.05645161290329</c:v>
                </c:pt>
                <c:pt idx="1513">
                  <c:v>427.33870967741939</c:v>
                </c:pt>
                <c:pt idx="1514">
                  <c:v>427.62096774193554</c:v>
                </c:pt>
                <c:pt idx="1515">
                  <c:v>427.90322580645164</c:v>
                </c:pt>
                <c:pt idx="1516">
                  <c:v>428.1854838709678</c:v>
                </c:pt>
                <c:pt idx="1517">
                  <c:v>428.4677419354839</c:v>
                </c:pt>
                <c:pt idx="1518">
                  <c:v>428.75000000000006</c:v>
                </c:pt>
                <c:pt idx="1519">
                  <c:v>429.03225806451616</c:v>
                </c:pt>
                <c:pt idx="1520">
                  <c:v>429.31451612903231</c:v>
                </c:pt>
                <c:pt idx="1521">
                  <c:v>429.59677419354841</c:v>
                </c:pt>
                <c:pt idx="1522">
                  <c:v>429.87903225806457</c:v>
                </c:pt>
                <c:pt idx="1523">
                  <c:v>430.16129032258067</c:v>
                </c:pt>
                <c:pt idx="1524">
                  <c:v>430.44354838709683</c:v>
                </c:pt>
                <c:pt idx="1525">
                  <c:v>430.72580645161293</c:v>
                </c:pt>
                <c:pt idx="1526">
                  <c:v>431.00806451612908</c:v>
                </c:pt>
                <c:pt idx="1527">
                  <c:v>431.29032258064518</c:v>
                </c:pt>
                <c:pt idx="1528">
                  <c:v>431.57258064516134</c:v>
                </c:pt>
                <c:pt idx="1529">
                  <c:v>431.85483870967744</c:v>
                </c:pt>
                <c:pt idx="1530">
                  <c:v>432.13709677419359</c:v>
                </c:pt>
                <c:pt idx="1531">
                  <c:v>432.41935483870969</c:v>
                </c:pt>
                <c:pt idx="1532">
                  <c:v>432.70161290322585</c:v>
                </c:pt>
                <c:pt idx="1533">
                  <c:v>432.98387096774195</c:v>
                </c:pt>
                <c:pt idx="1534">
                  <c:v>433.26612903225811</c:v>
                </c:pt>
                <c:pt idx="1535">
                  <c:v>433.54838709677426</c:v>
                </c:pt>
                <c:pt idx="1536">
                  <c:v>433.83064516129036</c:v>
                </c:pt>
                <c:pt idx="1537">
                  <c:v>434.11290322580652</c:v>
                </c:pt>
                <c:pt idx="1538">
                  <c:v>434.39516129032262</c:v>
                </c:pt>
                <c:pt idx="1539">
                  <c:v>434.67741935483878</c:v>
                </c:pt>
                <c:pt idx="1540">
                  <c:v>434.95967741935488</c:v>
                </c:pt>
                <c:pt idx="1541">
                  <c:v>435.24193548387103</c:v>
                </c:pt>
                <c:pt idx="1542">
                  <c:v>435.52419354838713</c:v>
                </c:pt>
                <c:pt idx="1543">
                  <c:v>435.80645161290329</c:v>
                </c:pt>
                <c:pt idx="1544">
                  <c:v>436.08870967741939</c:v>
                </c:pt>
                <c:pt idx="1545">
                  <c:v>436.37096774193554</c:v>
                </c:pt>
                <c:pt idx="1546">
                  <c:v>436.65322580645164</c:v>
                </c:pt>
                <c:pt idx="1547">
                  <c:v>436.9354838709678</c:v>
                </c:pt>
                <c:pt idx="1548">
                  <c:v>437.2177419354839</c:v>
                </c:pt>
                <c:pt idx="1549">
                  <c:v>437.50000000000006</c:v>
                </c:pt>
                <c:pt idx="1550">
                  <c:v>437.78225806451616</c:v>
                </c:pt>
                <c:pt idx="1551">
                  <c:v>438.06451612903231</c:v>
                </c:pt>
                <c:pt idx="1552">
                  <c:v>438.34677419354841</c:v>
                </c:pt>
                <c:pt idx="1553">
                  <c:v>438.62903225806457</c:v>
                </c:pt>
                <c:pt idx="1554">
                  <c:v>438.91129032258067</c:v>
                </c:pt>
                <c:pt idx="1555">
                  <c:v>439.19354838709683</c:v>
                </c:pt>
                <c:pt idx="1556">
                  <c:v>439.47580645161293</c:v>
                </c:pt>
                <c:pt idx="1557">
                  <c:v>439.75806451612908</c:v>
                </c:pt>
                <c:pt idx="1558">
                  <c:v>440.04032258064518</c:v>
                </c:pt>
                <c:pt idx="1559">
                  <c:v>440.32258064516134</c:v>
                </c:pt>
                <c:pt idx="1560">
                  <c:v>440.60483870967744</c:v>
                </c:pt>
                <c:pt idx="1561">
                  <c:v>440.88709677419359</c:v>
                </c:pt>
                <c:pt idx="1562">
                  <c:v>441.16935483870969</c:v>
                </c:pt>
                <c:pt idx="1563">
                  <c:v>441.45161290322585</c:v>
                </c:pt>
                <c:pt idx="1564">
                  <c:v>441.73387096774195</c:v>
                </c:pt>
                <c:pt idx="1565">
                  <c:v>442.01612903225811</c:v>
                </c:pt>
                <c:pt idx="1566">
                  <c:v>442.29838709677426</c:v>
                </c:pt>
                <c:pt idx="1567">
                  <c:v>442.58064516129036</c:v>
                </c:pt>
                <c:pt idx="1568">
                  <c:v>442.86290322580652</c:v>
                </c:pt>
                <c:pt idx="1569">
                  <c:v>443.14516129032262</c:v>
                </c:pt>
                <c:pt idx="1570">
                  <c:v>443.42741935483878</c:v>
                </c:pt>
                <c:pt idx="1571">
                  <c:v>443.70967741935488</c:v>
                </c:pt>
                <c:pt idx="1572">
                  <c:v>443.99193548387103</c:v>
                </c:pt>
                <c:pt idx="1573">
                  <c:v>444.27419354838713</c:v>
                </c:pt>
                <c:pt idx="1574">
                  <c:v>444.55645161290329</c:v>
                </c:pt>
                <c:pt idx="1575">
                  <c:v>444.83870967741939</c:v>
                </c:pt>
                <c:pt idx="1576">
                  <c:v>445.12096774193554</c:v>
                </c:pt>
                <c:pt idx="1577">
                  <c:v>445.40322580645164</c:v>
                </c:pt>
                <c:pt idx="1578">
                  <c:v>445.6854838709678</c:v>
                </c:pt>
                <c:pt idx="1579">
                  <c:v>445.9677419354839</c:v>
                </c:pt>
                <c:pt idx="1580">
                  <c:v>446.25000000000006</c:v>
                </c:pt>
                <c:pt idx="1581">
                  <c:v>446.53225806451616</c:v>
                </c:pt>
                <c:pt idx="1582">
                  <c:v>446.81451612903231</c:v>
                </c:pt>
                <c:pt idx="1583">
                  <c:v>447.09677419354841</c:v>
                </c:pt>
                <c:pt idx="1584">
                  <c:v>447.37903225806457</c:v>
                </c:pt>
                <c:pt idx="1585">
                  <c:v>447.66129032258067</c:v>
                </c:pt>
                <c:pt idx="1586">
                  <c:v>447.94354838709683</c:v>
                </c:pt>
                <c:pt idx="1587">
                  <c:v>448.22580645161293</c:v>
                </c:pt>
                <c:pt idx="1588">
                  <c:v>448.50806451612908</c:v>
                </c:pt>
                <c:pt idx="1589">
                  <c:v>448.79032258064518</c:v>
                </c:pt>
                <c:pt idx="1590">
                  <c:v>449.07258064516134</c:v>
                </c:pt>
                <c:pt idx="1591">
                  <c:v>449.35483870967744</c:v>
                </c:pt>
                <c:pt idx="1592">
                  <c:v>449.63709677419359</c:v>
                </c:pt>
                <c:pt idx="1593">
                  <c:v>449.91935483870969</c:v>
                </c:pt>
                <c:pt idx="1594">
                  <c:v>450.20161290322585</c:v>
                </c:pt>
                <c:pt idx="1595">
                  <c:v>450.48387096774195</c:v>
                </c:pt>
                <c:pt idx="1596">
                  <c:v>450.76612903225811</c:v>
                </c:pt>
                <c:pt idx="1597">
                  <c:v>451.04838709677426</c:v>
                </c:pt>
                <c:pt idx="1598">
                  <c:v>451.33064516129036</c:v>
                </c:pt>
                <c:pt idx="1599">
                  <c:v>451.61290322580652</c:v>
                </c:pt>
                <c:pt idx="1600">
                  <c:v>451.89516129032262</c:v>
                </c:pt>
                <c:pt idx="1601">
                  <c:v>452.17741935483878</c:v>
                </c:pt>
                <c:pt idx="1602">
                  <c:v>452.45967741935488</c:v>
                </c:pt>
                <c:pt idx="1603">
                  <c:v>452.74193548387103</c:v>
                </c:pt>
                <c:pt idx="1604">
                  <c:v>453.02419354838713</c:v>
                </c:pt>
                <c:pt idx="1605">
                  <c:v>453.30645161290329</c:v>
                </c:pt>
                <c:pt idx="1606">
                  <c:v>453.58870967741939</c:v>
                </c:pt>
                <c:pt idx="1607">
                  <c:v>453.87096774193554</c:v>
                </c:pt>
                <c:pt idx="1608">
                  <c:v>454.15322580645164</c:v>
                </c:pt>
                <c:pt idx="1609">
                  <c:v>454.4354838709678</c:v>
                </c:pt>
                <c:pt idx="1610">
                  <c:v>454.7177419354839</c:v>
                </c:pt>
                <c:pt idx="1611">
                  <c:v>455.00000000000006</c:v>
                </c:pt>
                <c:pt idx="1612">
                  <c:v>455.28225806451616</c:v>
                </c:pt>
                <c:pt idx="1613">
                  <c:v>455.56451612903231</c:v>
                </c:pt>
                <c:pt idx="1614">
                  <c:v>455.84677419354841</c:v>
                </c:pt>
                <c:pt idx="1615">
                  <c:v>456.12903225806457</c:v>
                </c:pt>
                <c:pt idx="1616">
                  <c:v>456.41129032258067</c:v>
                </c:pt>
                <c:pt idx="1617">
                  <c:v>456.69354838709683</c:v>
                </c:pt>
                <c:pt idx="1618">
                  <c:v>456.97580645161293</c:v>
                </c:pt>
                <c:pt idx="1619">
                  <c:v>457.25806451612908</c:v>
                </c:pt>
                <c:pt idx="1620">
                  <c:v>457.54032258064518</c:v>
                </c:pt>
                <c:pt idx="1621">
                  <c:v>457.82258064516134</c:v>
                </c:pt>
                <c:pt idx="1622">
                  <c:v>458.10483870967744</c:v>
                </c:pt>
                <c:pt idx="1623">
                  <c:v>458.38709677419359</c:v>
                </c:pt>
                <c:pt idx="1624">
                  <c:v>458.66935483870969</c:v>
                </c:pt>
                <c:pt idx="1625">
                  <c:v>458.95161290322585</c:v>
                </c:pt>
                <c:pt idx="1626">
                  <c:v>459.23387096774201</c:v>
                </c:pt>
                <c:pt idx="1627">
                  <c:v>459.51612903225811</c:v>
                </c:pt>
                <c:pt idx="1628">
                  <c:v>459.79838709677426</c:v>
                </c:pt>
                <c:pt idx="1629">
                  <c:v>460.08064516129036</c:v>
                </c:pt>
                <c:pt idx="1630">
                  <c:v>460.36290322580652</c:v>
                </c:pt>
                <c:pt idx="1631">
                  <c:v>460.64516129032262</c:v>
                </c:pt>
                <c:pt idx="1632">
                  <c:v>460.92741935483878</c:v>
                </c:pt>
                <c:pt idx="1633">
                  <c:v>461.20967741935488</c:v>
                </c:pt>
                <c:pt idx="1634">
                  <c:v>461.49193548387103</c:v>
                </c:pt>
                <c:pt idx="1635">
                  <c:v>461.77419354838713</c:v>
                </c:pt>
                <c:pt idx="1636">
                  <c:v>462.05645161290329</c:v>
                </c:pt>
                <c:pt idx="1637">
                  <c:v>462.33870967741939</c:v>
                </c:pt>
                <c:pt idx="1638">
                  <c:v>462.62096774193554</c:v>
                </c:pt>
                <c:pt idx="1639">
                  <c:v>462.90322580645164</c:v>
                </c:pt>
                <c:pt idx="1640">
                  <c:v>463.1854838709678</c:v>
                </c:pt>
                <c:pt idx="1641">
                  <c:v>463.4677419354839</c:v>
                </c:pt>
                <c:pt idx="1642">
                  <c:v>463.75000000000006</c:v>
                </c:pt>
                <c:pt idx="1643">
                  <c:v>464.03225806451616</c:v>
                </c:pt>
                <c:pt idx="1644">
                  <c:v>464.31451612903231</c:v>
                </c:pt>
                <c:pt idx="1645">
                  <c:v>464.59677419354841</c:v>
                </c:pt>
                <c:pt idx="1646">
                  <c:v>464.87903225806457</c:v>
                </c:pt>
                <c:pt idx="1647">
                  <c:v>465.16129032258067</c:v>
                </c:pt>
                <c:pt idx="1648">
                  <c:v>465.44354838709683</c:v>
                </c:pt>
                <c:pt idx="1649">
                  <c:v>465.72580645161293</c:v>
                </c:pt>
                <c:pt idx="1650">
                  <c:v>466.00806451612908</c:v>
                </c:pt>
                <c:pt idx="1651">
                  <c:v>466.29032258064518</c:v>
                </c:pt>
                <c:pt idx="1652">
                  <c:v>466.57258064516134</c:v>
                </c:pt>
                <c:pt idx="1653">
                  <c:v>466.85483870967744</c:v>
                </c:pt>
                <c:pt idx="1654">
                  <c:v>467.13709677419359</c:v>
                </c:pt>
                <c:pt idx="1655">
                  <c:v>467.41935483870969</c:v>
                </c:pt>
                <c:pt idx="1656">
                  <c:v>467.70161290322585</c:v>
                </c:pt>
                <c:pt idx="1657">
                  <c:v>467.98387096774201</c:v>
                </c:pt>
                <c:pt idx="1658">
                  <c:v>468.26612903225811</c:v>
                </c:pt>
                <c:pt idx="1659">
                  <c:v>468.54838709677426</c:v>
                </c:pt>
                <c:pt idx="1660">
                  <c:v>468.83064516129036</c:v>
                </c:pt>
                <c:pt idx="1661">
                  <c:v>469.11290322580652</c:v>
                </c:pt>
                <c:pt idx="1662">
                  <c:v>469.39516129032262</c:v>
                </c:pt>
                <c:pt idx="1663">
                  <c:v>469.67741935483878</c:v>
                </c:pt>
                <c:pt idx="1664">
                  <c:v>469.95967741935488</c:v>
                </c:pt>
                <c:pt idx="1665">
                  <c:v>470.24193548387103</c:v>
                </c:pt>
                <c:pt idx="1666">
                  <c:v>470.52419354838713</c:v>
                </c:pt>
                <c:pt idx="1667">
                  <c:v>470.80645161290329</c:v>
                </c:pt>
                <c:pt idx="1668">
                  <c:v>471.08870967741939</c:v>
                </c:pt>
                <c:pt idx="1669">
                  <c:v>471.37096774193554</c:v>
                </c:pt>
                <c:pt idx="1670">
                  <c:v>471.65322580645164</c:v>
                </c:pt>
                <c:pt idx="1671">
                  <c:v>471.9354838709678</c:v>
                </c:pt>
                <c:pt idx="1672">
                  <c:v>472.2177419354839</c:v>
                </c:pt>
                <c:pt idx="1673">
                  <c:v>472.50000000000006</c:v>
                </c:pt>
                <c:pt idx="1674">
                  <c:v>472.78225806451616</c:v>
                </c:pt>
                <c:pt idx="1675">
                  <c:v>473.06451612903231</c:v>
                </c:pt>
                <c:pt idx="1676">
                  <c:v>473.34677419354841</c:v>
                </c:pt>
                <c:pt idx="1677">
                  <c:v>473.62903225806457</c:v>
                </c:pt>
                <c:pt idx="1678">
                  <c:v>473.91129032258067</c:v>
                </c:pt>
                <c:pt idx="1679">
                  <c:v>474.19354838709683</c:v>
                </c:pt>
                <c:pt idx="1680">
                  <c:v>474.47580645161293</c:v>
                </c:pt>
                <c:pt idx="1681">
                  <c:v>474.75806451612908</c:v>
                </c:pt>
                <c:pt idx="1682">
                  <c:v>475.04032258064518</c:v>
                </c:pt>
                <c:pt idx="1683">
                  <c:v>475.32258064516134</c:v>
                </c:pt>
                <c:pt idx="1684">
                  <c:v>475.60483870967744</c:v>
                </c:pt>
                <c:pt idx="1685">
                  <c:v>475.88709677419359</c:v>
                </c:pt>
                <c:pt idx="1686">
                  <c:v>476.16935483870975</c:v>
                </c:pt>
                <c:pt idx="1687">
                  <c:v>476.45161290322585</c:v>
                </c:pt>
                <c:pt idx="1688">
                  <c:v>476.73387096774201</c:v>
                </c:pt>
                <c:pt idx="1689">
                  <c:v>477.01612903225811</c:v>
                </c:pt>
                <c:pt idx="1690">
                  <c:v>477.29838709677426</c:v>
                </c:pt>
                <c:pt idx="1691">
                  <c:v>477.58064516129036</c:v>
                </c:pt>
                <c:pt idx="1692">
                  <c:v>477.86290322580652</c:v>
                </c:pt>
                <c:pt idx="1693">
                  <c:v>478.14516129032262</c:v>
                </c:pt>
                <c:pt idx="1694">
                  <c:v>478.42741935483878</c:v>
                </c:pt>
                <c:pt idx="1695">
                  <c:v>478.70967741935488</c:v>
                </c:pt>
                <c:pt idx="1696">
                  <c:v>478.99193548387103</c:v>
                </c:pt>
                <c:pt idx="1697">
                  <c:v>479.27419354838713</c:v>
                </c:pt>
                <c:pt idx="1698">
                  <c:v>479.55645161290329</c:v>
                </c:pt>
                <c:pt idx="1699">
                  <c:v>479.83870967741939</c:v>
                </c:pt>
                <c:pt idx="1700">
                  <c:v>480.12096774193554</c:v>
                </c:pt>
                <c:pt idx="1701">
                  <c:v>480.40322580645164</c:v>
                </c:pt>
                <c:pt idx="1702">
                  <c:v>480.6854838709678</c:v>
                </c:pt>
                <c:pt idx="1703">
                  <c:v>480.9677419354839</c:v>
                </c:pt>
                <c:pt idx="1704">
                  <c:v>481.25000000000006</c:v>
                </c:pt>
                <c:pt idx="1705">
                  <c:v>481.53225806451616</c:v>
                </c:pt>
                <c:pt idx="1706">
                  <c:v>481.81451612903231</c:v>
                </c:pt>
                <c:pt idx="1707">
                  <c:v>482.09677419354841</c:v>
                </c:pt>
                <c:pt idx="1708">
                  <c:v>482.37903225806457</c:v>
                </c:pt>
                <c:pt idx="1709">
                  <c:v>482.66129032258067</c:v>
                </c:pt>
                <c:pt idx="1710">
                  <c:v>482.94354838709683</c:v>
                </c:pt>
                <c:pt idx="1711">
                  <c:v>483.22580645161293</c:v>
                </c:pt>
                <c:pt idx="1712">
                  <c:v>483.50806451612908</c:v>
                </c:pt>
                <c:pt idx="1713">
                  <c:v>483.79032258064518</c:v>
                </c:pt>
                <c:pt idx="1714">
                  <c:v>484.07258064516134</c:v>
                </c:pt>
                <c:pt idx="1715">
                  <c:v>484.35483870967744</c:v>
                </c:pt>
                <c:pt idx="1716">
                  <c:v>484.63709677419359</c:v>
                </c:pt>
                <c:pt idx="1717">
                  <c:v>484.91935483870975</c:v>
                </c:pt>
                <c:pt idx="1718">
                  <c:v>485.20161290322585</c:v>
                </c:pt>
                <c:pt idx="1719">
                  <c:v>485.48387096774201</c:v>
                </c:pt>
                <c:pt idx="1720">
                  <c:v>485.76612903225811</c:v>
                </c:pt>
                <c:pt idx="1721">
                  <c:v>486.04838709677426</c:v>
                </c:pt>
                <c:pt idx="1722">
                  <c:v>486.33064516129036</c:v>
                </c:pt>
                <c:pt idx="1723">
                  <c:v>486.61290322580652</c:v>
                </c:pt>
                <c:pt idx="1724">
                  <c:v>486.89516129032262</c:v>
                </c:pt>
                <c:pt idx="1725">
                  <c:v>487.17741935483878</c:v>
                </c:pt>
                <c:pt idx="1726">
                  <c:v>487.45967741935488</c:v>
                </c:pt>
                <c:pt idx="1727">
                  <c:v>487.74193548387103</c:v>
                </c:pt>
                <c:pt idx="1728">
                  <c:v>488.02419354838713</c:v>
                </c:pt>
                <c:pt idx="1729">
                  <c:v>488.30645161290329</c:v>
                </c:pt>
                <c:pt idx="1730">
                  <c:v>488.58870967741939</c:v>
                </c:pt>
                <c:pt idx="1731">
                  <c:v>488.87096774193554</c:v>
                </c:pt>
                <c:pt idx="1732">
                  <c:v>489.15322580645164</c:v>
                </c:pt>
                <c:pt idx="1733">
                  <c:v>489.4354838709678</c:v>
                </c:pt>
                <c:pt idx="1734">
                  <c:v>489.7177419354839</c:v>
                </c:pt>
                <c:pt idx="1735">
                  <c:v>490.00000000000006</c:v>
                </c:pt>
                <c:pt idx="1736">
                  <c:v>490.28225806451616</c:v>
                </c:pt>
                <c:pt idx="1737">
                  <c:v>490.56451612903231</c:v>
                </c:pt>
                <c:pt idx="1738">
                  <c:v>490.84677419354841</c:v>
                </c:pt>
                <c:pt idx="1739">
                  <c:v>491.12903225806457</c:v>
                </c:pt>
                <c:pt idx="1740">
                  <c:v>491.41129032258067</c:v>
                </c:pt>
                <c:pt idx="1741">
                  <c:v>491.69354838709683</c:v>
                </c:pt>
                <c:pt idx="1742">
                  <c:v>491.97580645161293</c:v>
                </c:pt>
                <c:pt idx="1743">
                  <c:v>492.25806451612908</c:v>
                </c:pt>
                <c:pt idx="1744">
                  <c:v>492.54032258064518</c:v>
                </c:pt>
                <c:pt idx="1745">
                  <c:v>492.82258064516134</c:v>
                </c:pt>
                <c:pt idx="1746">
                  <c:v>493.10483870967749</c:v>
                </c:pt>
                <c:pt idx="1747">
                  <c:v>493.38709677419359</c:v>
                </c:pt>
                <c:pt idx="1748">
                  <c:v>493.66935483870975</c:v>
                </c:pt>
                <c:pt idx="1749">
                  <c:v>493.95161290322585</c:v>
                </c:pt>
                <c:pt idx="1750">
                  <c:v>494.23387096774201</c:v>
                </c:pt>
                <c:pt idx="1751">
                  <c:v>494.51612903225811</c:v>
                </c:pt>
                <c:pt idx="1752">
                  <c:v>494.79838709677426</c:v>
                </c:pt>
                <c:pt idx="1753">
                  <c:v>495.08064516129036</c:v>
                </c:pt>
                <c:pt idx="1754">
                  <c:v>495.36290322580652</c:v>
                </c:pt>
                <c:pt idx="1755">
                  <c:v>495.64516129032262</c:v>
                </c:pt>
                <c:pt idx="1756">
                  <c:v>495.92741935483878</c:v>
                </c:pt>
                <c:pt idx="1757">
                  <c:v>496.20967741935488</c:v>
                </c:pt>
                <c:pt idx="1758">
                  <c:v>496.49193548387103</c:v>
                </c:pt>
                <c:pt idx="1759">
                  <c:v>496.77419354838713</c:v>
                </c:pt>
                <c:pt idx="1760">
                  <c:v>497.05645161290329</c:v>
                </c:pt>
                <c:pt idx="1761">
                  <c:v>497.33870967741939</c:v>
                </c:pt>
                <c:pt idx="1762">
                  <c:v>497.62096774193554</c:v>
                </c:pt>
                <c:pt idx="1763">
                  <c:v>497.90322580645164</c:v>
                </c:pt>
                <c:pt idx="1764">
                  <c:v>498.1854838709678</c:v>
                </c:pt>
                <c:pt idx="1765">
                  <c:v>498.4677419354839</c:v>
                </c:pt>
                <c:pt idx="1766">
                  <c:v>498.75000000000006</c:v>
                </c:pt>
                <c:pt idx="1767">
                  <c:v>499.03225806451616</c:v>
                </c:pt>
                <c:pt idx="1768">
                  <c:v>499.31451612903231</c:v>
                </c:pt>
                <c:pt idx="1769">
                  <c:v>499.59677419354841</c:v>
                </c:pt>
                <c:pt idx="1770">
                  <c:v>499.87903225806457</c:v>
                </c:pt>
                <c:pt idx="1771">
                  <c:v>500.16129032258067</c:v>
                </c:pt>
                <c:pt idx="1772">
                  <c:v>500.44354838709683</c:v>
                </c:pt>
                <c:pt idx="1773">
                  <c:v>500.72580645161293</c:v>
                </c:pt>
                <c:pt idx="1774">
                  <c:v>501.00806451612908</c:v>
                </c:pt>
                <c:pt idx="1775">
                  <c:v>501.29032258064518</c:v>
                </c:pt>
                <c:pt idx="1776">
                  <c:v>501.57258064516134</c:v>
                </c:pt>
                <c:pt idx="1777">
                  <c:v>501.85483870967749</c:v>
                </c:pt>
                <c:pt idx="1778">
                  <c:v>502.13709677419359</c:v>
                </c:pt>
                <c:pt idx="1779">
                  <c:v>502.41935483870975</c:v>
                </c:pt>
                <c:pt idx="1780">
                  <c:v>502.70161290322585</c:v>
                </c:pt>
                <c:pt idx="1781">
                  <c:v>502.98387096774201</c:v>
                </c:pt>
                <c:pt idx="1782">
                  <c:v>503.26612903225811</c:v>
                </c:pt>
                <c:pt idx="1783">
                  <c:v>503.54838709677426</c:v>
                </c:pt>
                <c:pt idx="1784">
                  <c:v>503.83064516129036</c:v>
                </c:pt>
                <c:pt idx="1785">
                  <c:v>504.11290322580652</c:v>
                </c:pt>
                <c:pt idx="1786">
                  <c:v>504.39516129032262</c:v>
                </c:pt>
                <c:pt idx="1787">
                  <c:v>504.67741935483878</c:v>
                </c:pt>
                <c:pt idx="1788">
                  <c:v>504.95967741935488</c:v>
                </c:pt>
                <c:pt idx="1789">
                  <c:v>505.24193548387103</c:v>
                </c:pt>
                <c:pt idx="1790">
                  <c:v>505.52419354838713</c:v>
                </c:pt>
                <c:pt idx="1791">
                  <c:v>505.80645161290329</c:v>
                </c:pt>
                <c:pt idx="1792">
                  <c:v>506.08870967741939</c:v>
                </c:pt>
                <c:pt idx="1793">
                  <c:v>506.37096774193554</c:v>
                </c:pt>
                <c:pt idx="1794">
                  <c:v>506.65322580645164</c:v>
                </c:pt>
                <c:pt idx="1795">
                  <c:v>506.9354838709678</c:v>
                </c:pt>
                <c:pt idx="1796">
                  <c:v>507.2177419354839</c:v>
                </c:pt>
                <c:pt idx="1797">
                  <c:v>507.50000000000006</c:v>
                </c:pt>
                <c:pt idx="1798">
                  <c:v>507.78225806451616</c:v>
                </c:pt>
                <c:pt idx="1799">
                  <c:v>508.06451612903231</c:v>
                </c:pt>
                <c:pt idx="1800">
                  <c:v>508.34677419354841</c:v>
                </c:pt>
                <c:pt idx="1801">
                  <c:v>508.62903225806457</c:v>
                </c:pt>
                <c:pt idx="1802">
                  <c:v>508.91129032258067</c:v>
                </c:pt>
                <c:pt idx="1803">
                  <c:v>509.19354838709683</c:v>
                </c:pt>
                <c:pt idx="1804">
                  <c:v>509.47580645161293</c:v>
                </c:pt>
                <c:pt idx="1805">
                  <c:v>509.75806451612908</c:v>
                </c:pt>
                <c:pt idx="1806">
                  <c:v>510.04032258064518</c:v>
                </c:pt>
                <c:pt idx="1807">
                  <c:v>510.32258064516134</c:v>
                </c:pt>
                <c:pt idx="1808">
                  <c:v>510.60483870967749</c:v>
                </c:pt>
                <c:pt idx="1809">
                  <c:v>510.88709677419359</c:v>
                </c:pt>
                <c:pt idx="1810">
                  <c:v>511.16935483870975</c:v>
                </c:pt>
                <c:pt idx="1811">
                  <c:v>511.45161290322585</c:v>
                </c:pt>
                <c:pt idx="1812">
                  <c:v>511.73387096774201</c:v>
                </c:pt>
                <c:pt idx="1813">
                  <c:v>512.01612903225816</c:v>
                </c:pt>
                <c:pt idx="1814">
                  <c:v>512.29838709677426</c:v>
                </c:pt>
                <c:pt idx="1815">
                  <c:v>512.58064516129036</c:v>
                </c:pt>
                <c:pt idx="1816">
                  <c:v>512.86290322580646</c:v>
                </c:pt>
                <c:pt idx="1817">
                  <c:v>513.14516129032268</c:v>
                </c:pt>
                <c:pt idx="1818">
                  <c:v>513.42741935483878</c:v>
                </c:pt>
                <c:pt idx="1819">
                  <c:v>513.70967741935488</c:v>
                </c:pt>
                <c:pt idx="1820">
                  <c:v>513.99193548387098</c:v>
                </c:pt>
                <c:pt idx="1821">
                  <c:v>514.27419354838719</c:v>
                </c:pt>
                <c:pt idx="1822">
                  <c:v>514.55645161290329</c:v>
                </c:pt>
                <c:pt idx="1823">
                  <c:v>514.83870967741939</c:v>
                </c:pt>
                <c:pt idx="1824">
                  <c:v>515.12096774193549</c:v>
                </c:pt>
                <c:pt idx="1825">
                  <c:v>515.4032258064517</c:v>
                </c:pt>
                <c:pt idx="1826">
                  <c:v>515.6854838709678</c:v>
                </c:pt>
                <c:pt idx="1827">
                  <c:v>515.9677419354839</c:v>
                </c:pt>
                <c:pt idx="1828">
                  <c:v>516.25</c:v>
                </c:pt>
                <c:pt idx="1829">
                  <c:v>516.53225806451621</c:v>
                </c:pt>
                <c:pt idx="1830">
                  <c:v>516.81451612903231</c:v>
                </c:pt>
                <c:pt idx="1831">
                  <c:v>517.09677419354841</c:v>
                </c:pt>
                <c:pt idx="1832">
                  <c:v>517.37903225806451</c:v>
                </c:pt>
                <c:pt idx="1833">
                  <c:v>517.66129032258073</c:v>
                </c:pt>
                <c:pt idx="1834">
                  <c:v>517.94354838709683</c:v>
                </c:pt>
                <c:pt idx="1835">
                  <c:v>518.22580645161293</c:v>
                </c:pt>
                <c:pt idx="1836">
                  <c:v>518.50806451612902</c:v>
                </c:pt>
                <c:pt idx="1837">
                  <c:v>518.79032258064524</c:v>
                </c:pt>
                <c:pt idx="1838">
                  <c:v>519.07258064516134</c:v>
                </c:pt>
                <c:pt idx="1839">
                  <c:v>519.35483870967744</c:v>
                </c:pt>
                <c:pt idx="1840">
                  <c:v>519.63709677419365</c:v>
                </c:pt>
                <c:pt idx="1841">
                  <c:v>519.91935483870975</c:v>
                </c:pt>
                <c:pt idx="1842">
                  <c:v>520.20161290322585</c:v>
                </c:pt>
                <c:pt idx="1843">
                  <c:v>520.48387096774195</c:v>
                </c:pt>
                <c:pt idx="1844">
                  <c:v>520.76612903225816</c:v>
                </c:pt>
                <c:pt idx="1845">
                  <c:v>521.04838709677426</c:v>
                </c:pt>
                <c:pt idx="1846">
                  <c:v>521.33064516129036</c:v>
                </c:pt>
                <c:pt idx="1847">
                  <c:v>521.61290322580646</c:v>
                </c:pt>
                <c:pt idx="1848">
                  <c:v>521.89516129032268</c:v>
                </c:pt>
                <c:pt idx="1849">
                  <c:v>522.17741935483878</c:v>
                </c:pt>
                <c:pt idx="1850">
                  <c:v>522.45967741935488</c:v>
                </c:pt>
                <c:pt idx="1851">
                  <c:v>522.74193548387098</c:v>
                </c:pt>
                <c:pt idx="1852">
                  <c:v>523.02419354838719</c:v>
                </c:pt>
                <c:pt idx="1853">
                  <c:v>523.30645161290329</c:v>
                </c:pt>
                <c:pt idx="1854">
                  <c:v>523.58870967741939</c:v>
                </c:pt>
                <c:pt idx="1855">
                  <c:v>523.87096774193549</c:v>
                </c:pt>
                <c:pt idx="1856">
                  <c:v>524.1532258064517</c:v>
                </c:pt>
                <c:pt idx="1857">
                  <c:v>524.4354838709678</c:v>
                </c:pt>
                <c:pt idx="1858">
                  <c:v>524.7177419354839</c:v>
                </c:pt>
                <c:pt idx="1859">
                  <c:v>525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3F10-4788-8C62-40458EB0EF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22498064"/>
        <c:axId val="1525481296"/>
      </c:scatterChart>
      <c:valAx>
        <c:axId val="15224980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# Cases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525481296"/>
        <c:crosses val="autoZero"/>
        <c:crossBetween val="midCat"/>
      </c:valAx>
      <c:valAx>
        <c:axId val="1525481296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Cumulative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522498064"/>
        <c:crosses val="autoZero"/>
        <c:crossBetween val="midCat"/>
      </c:valAx>
      <c:spPr>
        <a:noFill/>
        <a:ln w="25400">
          <a:noFill/>
        </a:ln>
      </c:spPr>
    </c:plotArea>
    <c:legend>
      <c:legendPos val="r"/>
      <c:overlay val="0"/>
      <c:spPr>
        <a:ln>
          <a:solidFill>
            <a:srgbClr val="000000"/>
          </a:solidFill>
          <a:prstDash val="solid"/>
        </a:ln>
      </c:sp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Decile-wise lift chart (training dataset)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numRef>
              <c:f>CT_TrainingLiftChart!$BE$4:$BE$13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CT_TrainingLiftChart!$BF$4:$BF$13</c:f>
              <c:numCache>
                <c:formatCode>General</c:formatCode>
                <c:ptCount val="10"/>
                <c:pt idx="0">
                  <c:v>3.5428571428571423</c:v>
                </c:pt>
                <c:pt idx="1">
                  <c:v>3.409523809523809</c:v>
                </c:pt>
                <c:pt idx="2">
                  <c:v>2.2666666666666662</c:v>
                </c:pt>
                <c:pt idx="3">
                  <c:v>0.76190476190476175</c:v>
                </c:pt>
                <c:pt idx="4">
                  <c:v>1.9047619047619046E-2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413-416C-938D-12B853DACE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22498064"/>
        <c:axId val="1525659664"/>
      </c:barChart>
      <c:catAx>
        <c:axId val="15224980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Deciles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525659664"/>
        <c:crosses val="autoZero"/>
        <c:auto val="1"/>
        <c:lblAlgn val="ctr"/>
        <c:lblOffset val="100"/>
        <c:noMultiLvlLbl val="0"/>
      </c:catAx>
      <c:valAx>
        <c:axId val="1525659664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Decile mean / Global mean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522498064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overlay val="0"/>
      <c:spPr>
        <a:ln>
          <a:solidFill>
            <a:srgbClr val="000000"/>
          </a:solidFill>
          <a:prstDash val="solid"/>
        </a:ln>
      </c:sp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ROC Curve, AUC = 0.988124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CT Classifier</c:v>
          </c:tx>
          <c:spPr>
            <a:ln w="6350"/>
          </c:spPr>
          <c:marker>
            <c:symbol val="none"/>
          </c:marker>
          <c:xVal>
            <c:numRef>
              <c:f>CT_TrainingLiftChart!$BZ$2:$BZ$31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1.4981273408239701E-3</c:v>
                </c:pt>
                <c:pt idx="3">
                  <c:v>2.2471910112359553E-3</c:v>
                </c:pt>
                <c:pt idx="4">
                  <c:v>2.9962546816479402E-3</c:v>
                </c:pt>
                <c:pt idx="5">
                  <c:v>8.988764044943821E-3</c:v>
                </c:pt>
                <c:pt idx="6">
                  <c:v>1.3483146067415731E-2</c:v>
                </c:pt>
                <c:pt idx="7">
                  <c:v>1.647940074906367E-2</c:v>
                </c:pt>
                <c:pt idx="8">
                  <c:v>2.1722846441947566E-2</c:v>
                </c:pt>
                <c:pt idx="9">
                  <c:v>2.3220973782771534E-2</c:v>
                </c:pt>
                <c:pt idx="10">
                  <c:v>2.9962546816479401E-2</c:v>
                </c:pt>
                <c:pt idx="11">
                  <c:v>3.5205992509363293E-2</c:v>
                </c:pt>
                <c:pt idx="12">
                  <c:v>4.1198501872659173E-2</c:v>
                </c:pt>
                <c:pt idx="13">
                  <c:v>4.2696629213483148E-2</c:v>
                </c:pt>
                <c:pt idx="14">
                  <c:v>5.3932584269662923E-2</c:v>
                </c:pt>
                <c:pt idx="15">
                  <c:v>6.0674157303370786E-2</c:v>
                </c:pt>
                <c:pt idx="16">
                  <c:v>6.5168539325842698E-2</c:v>
                </c:pt>
                <c:pt idx="17">
                  <c:v>7.116104868913857E-2</c:v>
                </c:pt>
                <c:pt idx="18">
                  <c:v>7.4906367041198504E-2</c:v>
                </c:pt>
                <c:pt idx="19">
                  <c:v>8.0149812734082393E-2</c:v>
                </c:pt>
                <c:pt idx="20">
                  <c:v>8.3895131086142327E-2</c:v>
                </c:pt>
                <c:pt idx="21">
                  <c:v>9.662921348314607E-2</c:v>
                </c:pt>
                <c:pt idx="22">
                  <c:v>0.10486891385767791</c:v>
                </c:pt>
                <c:pt idx="23">
                  <c:v>0.11835205992509364</c:v>
                </c:pt>
                <c:pt idx="24">
                  <c:v>0.1348314606741573</c:v>
                </c:pt>
                <c:pt idx="25">
                  <c:v>0.14456928838951311</c:v>
                </c:pt>
                <c:pt idx="26">
                  <c:v>0.16104868913857678</c:v>
                </c:pt>
                <c:pt idx="27">
                  <c:v>0.17902621722846443</c:v>
                </c:pt>
                <c:pt idx="28">
                  <c:v>0.2</c:v>
                </c:pt>
                <c:pt idx="29">
                  <c:v>1</c:v>
                </c:pt>
              </c:numCache>
            </c:numRef>
          </c:xVal>
          <c:yVal>
            <c:numRef>
              <c:f>CT_TrainingLiftChart!$CA$2:$CA$31</c:f>
              <c:numCache>
                <c:formatCode>General</c:formatCode>
                <c:ptCount val="30"/>
                <c:pt idx="0">
                  <c:v>0</c:v>
                </c:pt>
                <c:pt idx="1">
                  <c:v>0.62285714285714289</c:v>
                </c:pt>
                <c:pt idx="2">
                  <c:v>0.65904761904761899</c:v>
                </c:pt>
                <c:pt idx="3">
                  <c:v>0.67619047619047623</c:v>
                </c:pt>
                <c:pt idx="4">
                  <c:v>0.68571428571428572</c:v>
                </c:pt>
                <c:pt idx="5">
                  <c:v>0.7466666666666667</c:v>
                </c:pt>
                <c:pt idx="6">
                  <c:v>0.77714285714285714</c:v>
                </c:pt>
                <c:pt idx="7">
                  <c:v>0.79428571428571426</c:v>
                </c:pt>
                <c:pt idx="8">
                  <c:v>0.82285714285714284</c:v>
                </c:pt>
                <c:pt idx="9">
                  <c:v>0.83047619047619048</c:v>
                </c:pt>
                <c:pt idx="10">
                  <c:v>0.86095238095238091</c:v>
                </c:pt>
                <c:pt idx="11">
                  <c:v>0.87809523809523804</c:v>
                </c:pt>
                <c:pt idx="12">
                  <c:v>0.89523809523809528</c:v>
                </c:pt>
                <c:pt idx="13">
                  <c:v>0.8990476190476191</c:v>
                </c:pt>
                <c:pt idx="14">
                  <c:v>0.92190476190476189</c:v>
                </c:pt>
                <c:pt idx="15">
                  <c:v>0.9352380952380952</c:v>
                </c:pt>
                <c:pt idx="16">
                  <c:v>0.94285714285714284</c:v>
                </c:pt>
                <c:pt idx="17">
                  <c:v>0.95238095238095233</c:v>
                </c:pt>
                <c:pt idx="18">
                  <c:v>0.95809523809523811</c:v>
                </c:pt>
                <c:pt idx="19">
                  <c:v>0.96380952380952378</c:v>
                </c:pt>
                <c:pt idx="20">
                  <c:v>0.9676190476190476</c:v>
                </c:pt>
                <c:pt idx="21">
                  <c:v>0.97904761904761906</c:v>
                </c:pt>
                <c:pt idx="22">
                  <c:v>0.98476190476190473</c:v>
                </c:pt>
                <c:pt idx="23">
                  <c:v>0.98857142857142855</c:v>
                </c:pt>
                <c:pt idx="24">
                  <c:v>0.99238095238095236</c:v>
                </c:pt>
                <c:pt idx="25">
                  <c:v>0.99428571428571433</c:v>
                </c:pt>
                <c:pt idx="26">
                  <c:v>0.99619047619047618</c:v>
                </c:pt>
                <c:pt idx="27">
                  <c:v>0.99809523809523815</c:v>
                </c:pt>
                <c:pt idx="28">
                  <c:v>1</c:v>
                </c:pt>
                <c:pt idx="2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837-44D4-93FD-D1698F55898C}"/>
            </c:ext>
          </c:extLst>
        </c:ser>
        <c:ser>
          <c:idx val="1"/>
          <c:order val="1"/>
          <c:tx>
            <c:v>Random Classifier</c:v>
          </c:tx>
          <c:spPr>
            <a:ln w="6350"/>
          </c:spPr>
          <c:marker>
            <c:symbol val="none"/>
          </c:marker>
          <c:xVal>
            <c:numRef>
              <c:f>CT_TrainingLiftChart!$BZ$2:$BZ$31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1.4981273408239701E-3</c:v>
                </c:pt>
                <c:pt idx="3">
                  <c:v>2.2471910112359553E-3</c:v>
                </c:pt>
                <c:pt idx="4">
                  <c:v>2.9962546816479402E-3</c:v>
                </c:pt>
                <c:pt idx="5">
                  <c:v>8.988764044943821E-3</c:v>
                </c:pt>
                <c:pt idx="6">
                  <c:v>1.3483146067415731E-2</c:v>
                </c:pt>
                <c:pt idx="7">
                  <c:v>1.647940074906367E-2</c:v>
                </c:pt>
                <c:pt idx="8">
                  <c:v>2.1722846441947566E-2</c:v>
                </c:pt>
                <c:pt idx="9">
                  <c:v>2.3220973782771534E-2</c:v>
                </c:pt>
                <c:pt idx="10">
                  <c:v>2.9962546816479401E-2</c:v>
                </c:pt>
                <c:pt idx="11">
                  <c:v>3.5205992509363293E-2</c:v>
                </c:pt>
                <c:pt idx="12">
                  <c:v>4.1198501872659173E-2</c:v>
                </c:pt>
                <c:pt idx="13">
                  <c:v>4.2696629213483148E-2</c:v>
                </c:pt>
                <c:pt idx="14">
                  <c:v>5.3932584269662923E-2</c:v>
                </c:pt>
                <c:pt idx="15">
                  <c:v>6.0674157303370786E-2</c:v>
                </c:pt>
                <c:pt idx="16">
                  <c:v>6.5168539325842698E-2</c:v>
                </c:pt>
                <c:pt idx="17">
                  <c:v>7.116104868913857E-2</c:v>
                </c:pt>
                <c:pt idx="18">
                  <c:v>7.4906367041198504E-2</c:v>
                </c:pt>
                <c:pt idx="19">
                  <c:v>8.0149812734082393E-2</c:v>
                </c:pt>
                <c:pt idx="20">
                  <c:v>8.3895131086142327E-2</c:v>
                </c:pt>
                <c:pt idx="21">
                  <c:v>9.662921348314607E-2</c:v>
                </c:pt>
                <c:pt idx="22">
                  <c:v>0.10486891385767791</c:v>
                </c:pt>
                <c:pt idx="23">
                  <c:v>0.11835205992509364</c:v>
                </c:pt>
                <c:pt idx="24">
                  <c:v>0.1348314606741573</c:v>
                </c:pt>
                <c:pt idx="25">
                  <c:v>0.14456928838951311</c:v>
                </c:pt>
                <c:pt idx="26">
                  <c:v>0.16104868913857678</c:v>
                </c:pt>
                <c:pt idx="27">
                  <c:v>0.17902621722846443</c:v>
                </c:pt>
                <c:pt idx="28">
                  <c:v>0.2</c:v>
                </c:pt>
                <c:pt idx="29">
                  <c:v>1</c:v>
                </c:pt>
              </c:numCache>
            </c:numRef>
          </c:xVal>
          <c:yVal>
            <c:numRef>
              <c:f>CT_TrainingLiftChart!$CB$2:$CB$31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1.4981273408239701E-3</c:v>
                </c:pt>
                <c:pt idx="3">
                  <c:v>2.2471910112359553E-3</c:v>
                </c:pt>
                <c:pt idx="4">
                  <c:v>2.9962546816479402E-3</c:v>
                </c:pt>
                <c:pt idx="5">
                  <c:v>8.988764044943821E-3</c:v>
                </c:pt>
                <c:pt idx="6">
                  <c:v>1.3483146067415731E-2</c:v>
                </c:pt>
                <c:pt idx="7">
                  <c:v>1.647940074906367E-2</c:v>
                </c:pt>
                <c:pt idx="8">
                  <c:v>2.1722846441947566E-2</c:v>
                </c:pt>
                <c:pt idx="9">
                  <c:v>2.3220973782771534E-2</c:v>
                </c:pt>
                <c:pt idx="10">
                  <c:v>2.9962546816479401E-2</c:v>
                </c:pt>
                <c:pt idx="11">
                  <c:v>3.5205992509363293E-2</c:v>
                </c:pt>
                <c:pt idx="12">
                  <c:v>4.1198501872659173E-2</c:v>
                </c:pt>
                <c:pt idx="13">
                  <c:v>4.2696629213483148E-2</c:v>
                </c:pt>
                <c:pt idx="14">
                  <c:v>5.3932584269662923E-2</c:v>
                </c:pt>
                <c:pt idx="15">
                  <c:v>6.0674157303370786E-2</c:v>
                </c:pt>
                <c:pt idx="16">
                  <c:v>6.5168539325842698E-2</c:v>
                </c:pt>
                <c:pt idx="17">
                  <c:v>7.116104868913857E-2</c:v>
                </c:pt>
                <c:pt idx="18">
                  <c:v>7.4906367041198504E-2</c:v>
                </c:pt>
                <c:pt idx="19">
                  <c:v>8.0149812734082393E-2</c:v>
                </c:pt>
                <c:pt idx="20">
                  <c:v>8.3895131086142327E-2</c:v>
                </c:pt>
                <c:pt idx="21">
                  <c:v>9.662921348314607E-2</c:v>
                </c:pt>
                <c:pt idx="22">
                  <c:v>0.10486891385767791</c:v>
                </c:pt>
                <c:pt idx="23">
                  <c:v>0.11835205992509364</c:v>
                </c:pt>
                <c:pt idx="24">
                  <c:v>0.1348314606741573</c:v>
                </c:pt>
                <c:pt idx="25">
                  <c:v>0.14456928838951311</c:v>
                </c:pt>
                <c:pt idx="26">
                  <c:v>0.16104868913857678</c:v>
                </c:pt>
                <c:pt idx="27">
                  <c:v>0.17902621722846443</c:v>
                </c:pt>
                <c:pt idx="28">
                  <c:v>0.2</c:v>
                </c:pt>
                <c:pt idx="2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837-44D4-93FD-D1698F5589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22500144"/>
        <c:axId val="1525760032"/>
      </c:scatterChart>
      <c:valAx>
        <c:axId val="152250014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1 - Specificity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525760032"/>
        <c:crosses val="autoZero"/>
        <c:crossBetween val="midCat"/>
      </c:valAx>
      <c:valAx>
        <c:axId val="152576003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Sensitivity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522500144"/>
        <c:crosses val="autoZero"/>
        <c:crossBetween val="midCat"/>
      </c:valAx>
      <c:spPr>
        <a:noFill/>
        <a:ln w="25400">
          <a:noFill/>
        </a:ln>
      </c:spPr>
    </c:plotArea>
    <c:legend>
      <c:legendPos val="r"/>
      <c:overlay val="0"/>
      <c:spPr>
        <a:ln>
          <a:solidFill>
            <a:srgbClr val="000000"/>
          </a:solidFill>
          <a:prstDash val="solid"/>
        </a:ln>
      </c:sp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Lift chart (validation dataset)</a:t>
            </a:r>
          </a:p>
        </c:rich>
      </c:tx>
      <c:overlay val="0"/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Cumulative Readmit when sorted using predicted values</c:v>
          </c:tx>
          <c:spPr>
            <a:ln w="6350"/>
          </c:spPr>
          <c:marker>
            <c:symbol val="none"/>
          </c:marker>
          <c:xVal>
            <c:numRef>
              <c:f>CT_ValidationLiftChart!$AZ$4:$AZ$1243</c:f>
              <c:numCache>
                <c:formatCode>General</c:formatCode>
                <c:ptCount val="12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  <c:pt idx="1200">
                  <c:v>1201</c:v>
                </c:pt>
                <c:pt idx="1201">
                  <c:v>1202</c:v>
                </c:pt>
                <c:pt idx="1202">
                  <c:v>1203</c:v>
                </c:pt>
                <c:pt idx="1203">
                  <c:v>1204</c:v>
                </c:pt>
                <c:pt idx="1204">
                  <c:v>1205</c:v>
                </c:pt>
                <c:pt idx="1205">
                  <c:v>1206</c:v>
                </c:pt>
                <c:pt idx="1206">
                  <c:v>1207</c:v>
                </c:pt>
                <c:pt idx="1207">
                  <c:v>1208</c:v>
                </c:pt>
                <c:pt idx="1208">
                  <c:v>1209</c:v>
                </c:pt>
                <c:pt idx="1209">
                  <c:v>1210</c:v>
                </c:pt>
                <c:pt idx="1210">
                  <c:v>1211</c:v>
                </c:pt>
                <c:pt idx="1211">
                  <c:v>1212</c:v>
                </c:pt>
                <c:pt idx="1212">
                  <c:v>1213</c:v>
                </c:pt>
                <c:pt idx="1213">
                  <c:v>1214</c:v>
                </c:pt>
                <c:pt idx="1214">
                  <c:v>1215</c:v>
                </c:pt>
                <c:pt idx="1215">
                  <c:v>1216</c:v>
                </c:pt>
                <c:pt idx="1216">
                  <c:v>1217</c:v>
                </c:pt>
                <c:pt idx="1217">
                  <c:v>1218</c:v>
                </c:pt>
                <c:pt idx="1218">
                  <c:v>1219</c:v>
                </c:pt>
                <c:pt idx="1219">
                  <c:v>1220</c:v>
                </c:pt>
                <c:pt idx="1220">
                  <c:v>1221</c:v>
                </c:pt>
                <c:pt idx="1221">
                  <c:v>1222</c:v>
                </c:pt>
                <c:pt idx="1222">
                  <c:v>1223</c:v>
                </c:pt>
                <c:pt idx="1223">
                  <c:v>1224</c:v>
                </c:pt>
                <c:pt idx="1224">
                  <c:v>1225</c:v>
                </c:pt>
                <c:pt idx="1225">
                  <c:v>1226</c:v>
                </c:pt>
                <c:pt idx="1226">
                  <c:v>1227</c:v>
                </c:pt>
                <c:pt idx="1227">
                  <c:v>1228</c:v>
                </c:pt>
                <c:pt idx="1228">
                  <c:v>1229</c:v>
                </c:pt>
                <c:pt idx="1229">
                  <c:v>1230</c:v>
                </c:pt>
                <c:pt idx="1230">
                  <c:v>1231</c:v>
                </c:pt>
                <c:pt idx="1231">
                  <c:v>1232</c:v>
                </c:pt>
                <c:pt idx="1232">
                  <c:v>1233</c:v>
                </c:pt>
                <c:pt idx="1233">
                  <c:v>1234</c:v>
                </c:pt>
                <c:pt idx="1234">
                  <c:v>1235</c:v>
                </c:pt>
                <c:pt idx="1235">
                  <c:v>1236</c:v>
                </c:pt>
                <c:pt idx="1236">
                  <c:v>1237</c:v>
                </c:pt>
                <c:pt idx="1237">
                  <c:v>1238</c:v>
                </c:pt>
                <c:pt idx="1238">
                  <c:v>1239</c:v>
                </c:pt>
                <c:pt idx="1239">
                  <c:v>1240</c:v>
                </c:pt>
              </c:numCache>
            </c:numRef>
          </c:xVal>
          <c:yVal>
            <c:numRef>
              <c:f>CT_ValidationLiftChart!$BC$4:$BC$1243</c:f>
              <c:numCache>
                <c:formatCode>General</c:formatCode>
                <c:ptCount val="12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112</c:v>
                </c:pt>
                <c:pt idx="114">
                  <c:v>113</c:v>
                </c:pt>
                <c:pt idx="115">
                  <c:v>114</c:v>
                </c:pt>
                <c:pt idx="116">
                  <c:v>115</c:v>
                </c:pt>
                <c:pt idx="117">
                  <c:v>116</c:v>
                </c:pt>
                <c:pt idx="118">
                  <c:v>117</c:v>
                </c:pt>
                <c:pt idx="119">
                  <c:v>118</c:v>
                </c:pt>
                <c:pt idx="120">
                  <c:v>119</c:v>
                </c:pt>
                <c:pt idx="121">
                  <c:v>120</c:v>
                </c:pt>
                <c:pt idx="122">
                  <c:v>121</c:v>
                </c:pt>
                <c:pt idx="123">
                  <c:v>122</c:v>
                </c:pt>
                <c:pt idx="124">
                  <c:v>123</c:v>
                </c:pt>
                <c:pt idx="125">
                  <c:v>124</c:v>
                </c:pt>
                <c:pt idx="126">
                  <c:v>125</c:v>
                </c:pt>
                <c:pt idx="127">
                  <c:v>126</c:v>
                </c:pt>
                <c:pt idx="128">
                  <c:v>127</c:v>
                </c:pt>
                <c:pt idx="129">
                  <c:v>128</c:v>
                </c:pt>
                <c:pt idx="130">
                  <c:v>129</c:v>
                </c:pt>
                <c:pt idx="131">
                  <c:v>130</c:v>
                </c:pt>
                <c:pt idx="132">
                  <c:v>131</c:v>
                </c:pt>
                <c:pt idx="133">
                  <c:v>132</c:v>
                </c:pt>
                <c:pt idx="134">
                  <c:v>133</c:v>
                </c:pt>
                <c:pt idx="135">
                  <c:v>134</c:v>
                </c:pt>
                <c:pt idx="136">
                  <c:v>135</c:v>
                </c:pt>
                <c:pt idx="137">
                  <c:v>136</c:v>
                </c:pt>
                <c:pt idx="138">
                  <c:v>137</c:v>
                </c:pt>
                <c:pt idx="139">
                  <c:v>138</c:v>
                </c:pt>
                <c:pt idx="140">
                  <c:v>139</c:v>
                </c:pt>
                <c:pt idx="141">
                  <c:v>140</c:v>
                </c:pt>
                <c:pt idx="142">
                  <c:v>141</c:v>
                </c:pt>
                <c:pt idx="143">
                  <c:v>142</c:v>
                </c:pt>
                <c:pt idx="144">
                  <c:v>143</c:v>
                </c:pt>
                <c:pt idx="145">
                  <c:v>144</c:v>
                </c:pt>
                <c:pt idx="146">
                  <c:v>145</c:v>
                </c:pt>
                <c:pt idx="147">
                  <c:v>146</c:v>
                </c:pt>
                <c:pt idx="148">
                  <c:v>147</c:v>
                </c:pt>
                <c:pt idx="149">
                  <c:v>148</c:v>
                </c:pt>
                <c:pt idx="150">
                  <c:v>149</c:v>
                </c:pt>
                <c:pt idx="151">
                  <c:v>150</c:v>
                </c:pt>
                <c:pt idx="152">
                  <c:v>151</c:v>
                </c:pt>
                <c:pt idx="153">
                  <c:v>152</c:v>
                </c:pt>
                <c:pt idx="154">
                  <c:v>153</c:v>
                </c:pt>
                <c:pt idx="155">
                  <c:v>154</c:v>
                </c:pt>
                <c:pt idx="156">
                  <c:v>155</c:v>
                </c:pt>
                <c:pt idx="157">
                  <c:v>156</c:v>
                </c:pt>
                <c:pt idx="158">
                  <c:v>157</c:v>
                </c:pt>
                <c:pt idx="159">
                  <c:v>158</c:v>
                </c:pt>
                <c:pt idx="160">
                  <c:v>159</c:v>
                </c:pt>
                <c:pt idx="161">
                  <c:v>160</c:v>
                </c:pt>
                <c:pt idx="162">
                  <c:v>161</c:v>
                </c:pt>
                <c:pt idx="163">
                  <c:v>162</c:v>
                </c:pt>
                <c:pt idx="164">
                  <c:v>163</c:v>
                </c:pt>
                <c:pt idx="165">
                  <c:v>164</c:v>
                </c:pt>
                <c:pt idx="166">
                  <c:v>165</c:v>
                </c:pt>
                <c:pt idx="167">
                  <c:v>166</c:v>
                </c:pt>
                <c:pt idx="168">
                  <c:v>167</c:v>
                </c:pt>
                <c:pt idx="169">
                  <c:v>168</c:v>
                </c:pt>
                <c:pt idx="170">
                  <c:v>169</c:v>
                </c:pt>
                <c:pt idx="171">
                  <c:v>170</c:v>
                </c:pt>
                <c:pt idx="172">
                  <c:v>171</c:v>
                </c:pt>
                <c:pt idx="173">
                  <c:v>172</c:v>
                </c:pt>
                <c:pt idx="174">
                  <c:v>173</c:v>
                </c:pt>
                <c:pt idx="175">
                  <c:v>174</c:v>
                </c:pt>
                <c:pt idx="176">
                  <c:v>174</c:v>
                </c:pt>
                <c:pt idx="177">
                  <c:v>175</c:v>
                </c:pt>
                <c:pt idx="178">
                  <c:v>176</c:v>
                </c:pt>
                <c:pt idx="179">
                  <c:v>177</c:v>
                </c:pt>
                <c:pt idx="180">
                  <c:v>178</c:v>
                </c:pt>
                <c:pt idx="181">
                  <c:v>179</c:v>
                </c:pt>
                <c:pt idx="182">
                  <c:v>180</c:v>
                </c:pt>
                <c:pt idx="183">
                  <c:v>181</c:v>
                </c:pt>
                <c:pt idx="184">
                  <c:v>182</c:v>
                </c:pt>
                <c:pt idx="185">
                  <c:v>183</c:v>
                </c:pt>
                <c:pt idx="186">
                  <c:v>184</c:v>
                </c:pt>
                <c:pt idx="187">
                  <c:v>185</c:v>
                </c:pt>
                <c:pt idx="188">
                  <c:v>186</c:v>
                </c:pt>
                <c:pt idx="189">
                  <c:v>187</c:v>
                </c:pt>
                <c:pt idx="190">
                  <c:v>188</c:v>
                </c:pt>
                <c:pt idx="191">
                  <c:v>189</c:v>
                </c:pt>
                <c:pt idx="192">
                  <c:v>190</c:v>
                </c:pt>
                <c:pt idx="193">
                  <c:v>191</c:v>
                </c:pt>
                <c:pt idx="194">
                  <c:v>192</c:v>
                </c:pt>
                <c:pt idx="195">
                  <c:v>193</c:v>
                </c:pt>
                <c:pt idx="196">
                  <c:v>194</c:v>
                </c:pt>
                <c:pt idx="197">
                  <c:v>195</c:v>
                </c:pt>
                <c:pt idx="198">
                  <c:v>196</c:v>
                </c:pt>
                <c:pt idx="199">
                  <c:v>196</c:v>
                </c:pt>
                <c:pt idx="200">
                  <c:v>197</c:v>
                </c:pt>
                <c:pt idx="201">
                  <c:v>198</c:v>
                </c:pt>
                <c:pt idx="202">
                  <c:v>199</c:v>
                </c:pt>
                <c:pt idx="203">
                  <c:v>200</c:v>
                </c:pt>
                <c:pt idx="204">
                  <c:v>201</c:v>
                </c:pt>
                <c:pt idx="205">
                  <c:v>202</c:v>
                </c:pt>
                <c:pt idx="206">
                  <c:v>203</c:v>
                </c:pt>
                <c:pt idx="207">
                  <c:v>204</c:v>
                </c:pt>
                <c:pt idx="208">
                  <c:v>204</c:v>
                </c:pt>
                <c:pt idx="209">
                  <c:v>205</c:v>
                </c:pt>
                <c:pt idx="210">
                  <c:v>206</c:v>
                </c:pt>
                <c:pt idx="211">
                  <c:v>206</c:v>
                </c:pt>
                <c:pt idx="212">
                  <c:v>206</c:v>
                </c:pt>
                <c:pt idx="213">
                  <c:v>207</c:v>
                </c:pt>
                <c:pt idx="214">
                  <c:v>208</c:v>
                </c:pt>
                <c:pt idx="215">
                  <c:v>209</c:v>
                </c:pt>
                <c:pt idx="216">
                  <c:v>210</c:v>
                </c:pt>
                <c:pt idx="217">
                  <c:v>211</c:v>
                </c:pt>
                <c:pt idx="218">
                  <c:v>212</c:v>
                </c:pt>
                <c:pt idx="219">
                  <c:v>213</c:v>
                </c:pt>
                <c:pt idx="220">
                  <c:v>214</c:v>
                </c:pt>
                <c:pt idx="221">
                  <c:v>214</c:v>
                </c:pt>
                <c:pt idx="222">
                  <c:v>215</c:v>
                </c:pt>
                <c:pt idx="223">
                  <c:v>215</c:v>
                </c:pt>
                <c:pt idx="224">
                  <c:v>215</c:v>
                </c:pt>
                <c:pt idx="225">
                  <c:v>216</c:v>
                </c:pt>
                <c:pt idx="226">
                  <c:v>217</c:v>
                </c:pt>
                <c:pt idx="227">
                  <c:v>218</c:v>
                </c:pt>
                <c:pt idx="228">
                  <c:v>219</c:v>
                </c:pt>
                <c:pt idx="229">
                  <c:v>219</c:v>
                </c:pt>
                <c:pt idx="230">
                  <c:v>220</c:v>
                </c:pt>
                <c:pt idx="231">
                  <c:v>221</c:v>
                </c:pt>
                <c:pt idx="232">
                  <c:v>222</c:v>
                </c:pt>
                <c:pt idx="233">
                  <c:v>223</c:v>
                </c:pt>
                <c:pt idx="234">
                  <c:v>223</c:v>
                </c:pt>
                <c:pt idx="235">
                  <c:v>223</c:v>
                </c:pt>
                <c:pt idx="236">
                  <c:v>224</c:v>
                </c:pt>
                <c:pt idx="237">
                  <c:v>224</c:v>
                </c:pt>
                <c:pt idx="238">
                  <c:v>225</c:v>
                </c:pt>
                <c:pt idx="239">
                  <c:v>225</c:v>
                </c:pt>
                <c:pt idx="240">
                  <c:v>225</c:v>
                </c:pt>
                <c:pt idx="241">
                  <c:v>225</c:v>
                </c:pt>
                <c:pt idx="242">
                  <c:v>225</c:v>
                </c:pt>
                <c:pt idx="243">
                  <c:v>226</c:v>
                </c:pt>
                <c:pt idx="244">
                  <c:v>227</c:v>
                </c:pt>
                <c:pt idx="245">
                  <c:v>228</c:v>
                </c:pt>
                <c:pt idx="246">
                  <c:v>229</c:v>
                </c:pt>
                <c:pt idx="247">
                  <c:v>229</c:v>
                </c:pt>
                <c:pt idx="248">
                  <c:v>230</c:v>
                </c:pt>
                <c:pt idx="249">
                  <c:v>230</c:v>
                </c:pt>
                <c:pt idx="250">
                  <c:v>231</c:v>
                </c:pt>
                <c:pt idx="251">
                  <c:v>232</c:v>
                </c:pt>
                <c:pt idx="252">
                  <c:v>233</c:v>
                </c:pt>
                <c:pt idx="253">
                  <c:v>234</c:v>
                </c:pt>
                <c:pt idx="254">
                  <c:v>235</c:v>
                </c:pt>
                <c:pt idx="255">
                  <c:v>236</c:v>
                </c:pt>
                <c:pt idx="256">
                  <c:v>237</c:v>
                </c:pt>
                <c:pt idx="257">
                  <c:v>237</c:v>
                </c:pt>
                <c:pt idx="258">
                  <c:v>237</c:v>
                </c:pt>
                <c:pt idx="259">
                  <c:v>238</c:v>
                </c:pt>
                <c:pt idx="260">
                  <c:v>239</c:v>
                </c:pt>
                <c:pt idx="261">
                  <c:v>240</c:v>
                </c:pt>
                <c:pt idx="262">
                  <c:v>241</c:v>
                </c:pt>
                <c:pt idx="263">
                  <c:v>241</c:v>
                </c:pt>
                <c:pt idx="264">
                  <c:v>242</c:v>
                </c:pt>
                <c:pt idx="265">
                  <c:v>243</c:v>
                </c:pt>
                <c:pt idx="266">
                  <c:v>243</c:v>
                </c:pt>
                <c:pt idx="267">
                  <c:v>243</c:v>
                </c:pt>
                <c:pt idx="268">
                  <c:v>243</c:v>
                </c:pt>
                <c:pt idx="269">
                  <c:v>243</c:v>
                </c:pt>
                <c:pt idx="270">
                  <c:v>243</c:v>
                </c:pt>
                <c:pt idx="271">
                  <c:v>243</c:v>
                </c:pt>
                <c:pt idx="272">
                  <c:v>243</c:v>
                </c:pt>
                <c:pt idx="273">
                  <c:v>243</c:v>
                </c:pt>
                <c:pt idx="274">
                  <c:v>243</c:v>
                </c:pt>
                <c:pt idx="275">
                  <c:v>244</c:v>
                </c:pt>
                <c:pt idx="276">
                  <c:v>244</c:v>
                </c:pt>
                <c:pt idx="277">
                  <c:v>244</c:v>
                </c:pt>
                <c:pt idx="278">
                  <c:v>244</c:v>
                </c:pt>
                <c:pt idx="279">
                  <c:v>244</c:v>
                </c:pt>
                <c:pt idx="280">
                  <c:v>245</c:v>
                </c:pt>
                <c:pt idx="281">
                  <c:v>245</c:v>
                </c:pt>
                <c:pt idx="282">
                  <c:v>246</c:v>
                </c:pt>
                <c:pt idx="283">
                  <c:v>246</c:v>
                </c:pt>
                <c:pt idx="284">
                  <c:v>247</c:v>
                </c:pt>
                <c:pt idx="285">
                  <c:v>248</c:v>
                </c:pt>
                <c:pt idx="286">
                  <c:v>248</c:v>
                </c:pt>
                <c:pt idx="287">
                  <c:v>249</c:v>
                </c:pt>
                <c:pt idx="288">
                  <c:v>250</c:v>
                </c:pt>
                <c:pt idx="289">
                  <c:v>251</c:v>
                </c:pt>
                <c:pt idx="290">
                  <c:v>251</c:v>
                </c:pt>
                <c:pt idx="291">
                  <c:v>252</c:v>
                </c:pt>
                <c:pt idx="292">
                  <c:v>252</c:v>
                </c:pt>
                <c:pt idx="293">
                  <c:v>253</c:v>
                </c:pt>
                <c:pt idx="294">
                  <c:v>254</c:v>
                </c:pt>
                <c:pt idx="295">
                  <c:v>255</c:v>
                </c:pt>
                <c:pt idx="296">
                  <c:v>256</c:v>
                </c:pt>
                <c:pt idx="297">
                  <c:v>257</c:v>
                </c:pt>
                <c:pt idx="298">
                  <c:v>258</c:v>
                </c:pt>
                <c:pt idx="299">
                  <c:v>259</c:v>
                </c:pt>
                <c:pt idx="300">
                  <c:v>260</c:v>
                </c:pt>
                <c:pt idx="301">
                  <c:v>261</c:v>
                </c:pt>
                <c:pt idx="302">
                  <c:v>261</c:v>
                </c:pt>
                <c:pt idx="303">
                  <c:v>262</c:v>
                </c:pt>
                <c:pt idx="304">
                  <c:v>262</c:v>
                </c:pt>
                <c:pt idx="305">
                  <c:v>263</c:v>
                </c:pt>
                <c:pt idx="306">
                  <c:v>264</c:v>
                </c:pt>
                <c:pt idx="307">
                  <c:v>264</c:v>
                </c:pt>
                <c:pt idx="308">
                  <c:v>265</c:v>
                </c:pt>
                <c:pt idx="309">
                  <c:v>265</c:v>
                </c:pt>
                <c:pt idx="310">
                  <c:v>266</c:v>
                </c:pt>
                <c:pt idx="311">
                  <c:v>267</c:v>
                </c:pt>
                <c:pt idx="312">
                  <c:v>268</c:v>
                </c:pt>
                <c:pt idx="313">
                  <c:v>269</c:v>
                </c:pt>
                <c:pt idx="314">
                  <c:v>269</c:v>
                </c:pt>
                <c:pt idx="315">
                  <c:v>270</c:v>
                </c:pt>
                <c:pt idx="316">
                  <c:v>271</c:v>
                </c:pt>
                <c:pt idx="317">
                  <c:v>272</c:v>
                </c:pt>
                <c:pt idx="318">
                  <c:v>272</c:v>
                </c:pt>
                <c:pt idx="319">
                  <c:v>273</c:v>
                </c:pt>
                <c:pt idx="320">
                  <c:v>274</c:v>
                </c:pt>
                <c:pt idx="321">
                  <c:v>275</c:v>
                </c:pt>
                <c:pt idx="322">
                  <c:v>275</c:v>
                </c:pt>
                <c:pt idx="323">
                  <c:v>276</c:v>
                </c:pt>
                <c:pt idx="324">
                  <c:v>276</c:v>
                </c:pt>
                <c:pt idx="325">
                  <c:v>276</c:v>
                </c:pt>
                <c:pt idx="326">
                  <c:v>277</c:v>
                </c:pt>
                <c:pt idx="327">
                  <c:v>278</c:v>
                </c:pt>
                <c:pt idx="328">
                  <c:v>278</c:v>
                </c:pt>
                <c:pt idx="329">
                  <c:v>278</c:v>
                </c:pt>
                <c:pt idx="330">
                  <c:v>278</c:v>
                </c:pt>
                <c:pt idx="331">
                  <c:v>278</c:v>
                </c:pt>
                <c:pt idx="332">
                  <c:v>279</c:v>
                </c:pt>
                <c:pt idx="333">
                  <c:v>280</c:v>
                </c:pt>
                <c:pt idx="334">
                  <c:v>281</c:v>
                </c:pt>
                <c:pt idx="335">
                  <c:v>281</c:v>
                </c:pt>
                <c:pt idx="336">
                  <c:v>282</c:v>
                </c:pt>
                <c:pt idx="337">
                  <c:v>282</c:v>
                </c:pt>
                <c:pt idx="338">
                  <c:v>283</c:v>
                </c:pt>
                <c:pt idx="339">
                  <c:v>283</c:v>
                </c:pt>
                <c:pt idx="340">
                  <c:v>283</c:v>
                </c:pt>
                <c:pt idx="341">
                  <c:v>284</c:v>
                </c:pt>
                <c:pt idx="342">
                  <c:v>285</c:v>
                </c:pt>
                <c:pt idx="343">
                  <c:v>285</c:v>
                </c:pt>
                <c:pt idx="344">
                  <c:v>285</c:v>
                </c:pt>
                <c:pt idx="345">
                  <c:v>286</c:v>
                </c:pt>
                <c:pt idx="346">
                  <c:v>287</c:v>
                </c:pt>
                <c:pt idx="347">
                  <c:v>287</c:v>
                </c:pt>
                <c:pt idx="348">
                  <c:v>287</c:v>
                </c:pt>
                <c:pt idx="349">
                  <c:v>287</c:v>
                </c:pt>
                <c:pt idx="350">
                  <c:v>288</c:v>
                </c:pt>
                <c:pt idx="351">
                  <c:v>289</c:v>
                </c:pt>
                <c:pt idx="352">
                  <c:v>289</c:v>
                </c:pt>
                <c:pt idx="353">
                  <c:v>290</c:v>
                </c:pt>
                <c:pt idx="354">
                  <c:v>290</c:v>
                </c:pt>
                <c:pt idx="355">
                  <c:v>291</c:v>
                </c:pt>
                <c:pt idx="356">
                  <c:v>291</c:v>
                </c:pt>
                <c:pt idx="357">
                  <c:v>292</c:v>
                </c:pt>
                <c:pt idx="358">
                  <c:v>292</c:v>
                </c:pt>
                <c:pt idx="359">
                  <c:v>293</c:v>
                </c:pt>
                <c:pt idx="360">
                  <c:v>293</c:v>
                </c:pt>
                <c:pt idx="361">
                  <c:v>293</c:v>
                </c:pt>
                <c:pt idx="362">
                  <c:v>293</c:v>
                </c:pt>
                <c:pt idx="363">
                  <c:v>294</c:v>
                </c:pt>
                <c:pt idx="364">
                  <c:v>294</c:v>
                </c:pt>
                <c:pt idx="365">
                  <c:v>295</c:v>
                </c:pt>
                <c:pt idx="366">
                  <c:v>295</c:v>
                </c:pt>
                <c:pt idx="367">
                  <c:v>295</c:v>
                </c:pt>
                <c:pt idx="368">
                  <c:v>296</c:v>
                </c:pt>
                <c:pt idx="369">
                  <c:v>297</c:v>
                </c:pt>
                <c:pt idx="370">
                  <c:v>297</c:v>
                </c:pt>
                <c:pt idx="371">
                  <c:v>297</c:v>
                </c:pt>
                <c:pt idx="372">
                  <c:v>297</c:v>
                </c:pt>
                <c:pt idx="373">
                  <c:v>298</c:v>
                </c:pt>
                <c:pt idx="374">
                  <c:v>299</c:v>
                </c:pt>
                <c:pt idx="375">
                  <c:v>300</c:v>
                </c:pt>
                <c:pt idx="376">
                  <c:v>300</c:v>
                </c:pt>
                <c:pt idx="377">
                  <c:v>301</c:v>
                </c:pt>
                <c:pt idx="378">
                  <c:v>302</c:v>
                </c:pt>
                <c:pt idx="379">
                  <c:v>302</c:v>
                </c:pt>
                <c:pt idx="380">
                  <c:v>303</c:v>
                </c:pt>
                <c:pt idx="381">
                  <c:v>303</c:v>
                </c:pt>
                <c:pt idx="382">
                  <c:v>303</c:v>
                </c:pt>
                <c:pt idx="383">
                  <c:v>303</c:v>
                </c:pt>
                <c:pt idx="384">
                  <c:v>303</c:v>
                </c:pt>
                <c:pt idx="385">
                  <c:v>304</c:v>
                </c:pt>
                <c:pt idx="386">
                  <c:v>304</c:v>
                </c:pt>
                <c:pt idx="387">
                  <c:v>305</c:v>
                </c:pt>
                <c:pt idx="388">
                  <c:v>306</c:v>
                </c:pt>
                <c:pt idx="389">
                  <c:v>306</c:v>
                </c:pt>
                <c:pt idx="390">
                  <c:v>307</c:v>
                </c:pt>
                <c:pt idx="391">
                  <c:v>308</c:v>
                </c:pt>
                <c:pt idx="392">
                  <c:v>308</c:v>
                </c:pt>
                <c:pt idx="393">
                  <c:v>308</c:v>
                </c:pt>
                <c:pt idx="394">
                  <c:v>308</c:v>
                </c:pt>
                <c:pt idx="395">
                  <c:v>308</c:v>
                </c:pt>
                <c:pt idx="396">
                  <c:v>309</c:v>
                </c:pt>
                <c:pt idx="397">
                  <c:v>310</c:v>
                </c:pt>
                <c:pt idx="398">
                  <c:v>311</c:v>
                </c:pt>
                <c:pt idx="399">
                  <c:v>311</c:v>
                </c:pt>
                <c:pt idx="400">
                  <c:v>312</c:v>
                </c:pt>
                <c:pt idx="401">
                  <c:v>312</c:v>
                </c:pt>
                <c:pt idx="402">
                  <c:v>313</c:v>
                </c:pt>
                <c:pt idx="403">
                  <c:v>313</c:v>
                </c:pt>
                <c:pt idx="404">
                  <c:v>313</c:v>
                </c:pt>
                <c:pt idx="405">
                  <c:v>313</c:v>
                </c:pt>
                <c:pt idx="406">
                  <c:v>314</c:v>
                </c:pt>
                <c:pt idx="407">
                  <c:v>315</c:v>
                </c:pt>
                <c:pt idx="408">
                  <c:v>315</c:v>
                </c:pt>
                <c:pt idx="409">
                  <c:v>316</c:v>
                </c:pt>
                <c:pt idx="410">
                  <c:v>316</c:v>
                </c:pt>
                <c:pt idx="411">
                  <c:v>317</c:v>
                </c:pt>
                <c:pt idx="412">
                  <c:v>317</c:v>
                </c:pt>
                <c:pt idx="413">
                  <c:v>317</c:v>
                </c:pt>
                <c:pt idx="414">
                  <c:v>317</c:v>
                </c:pt>
                <c:pt idx="415">
                  <c:v>317</c:v>
                </c:pt>
                <c:pt idx="416">
                  <c:v>317</c:v>
                </c:pt>
                <c:pt idx="417">
                  <c:v>317</c:v>
                </c:pt>
                <c:pt idx="418">
                  <c:v>317</c:v>
                </c:pt>
                <c:pt idx="419">
                  <c:v>317</c:v>
                </c:pt>
                <c:pt idx="420">
                  <c:v>317</c:v>
                </c:pt>
                <c:pt idx="421">
                  <c:v>317</c:v>
                </c:pt>
                <c:pt idx="422">
                  <c:v>317</c:v>
                </c:pt>
                <c:pt idx="423">
                  <c:v>317</c:v>
                </c:pt>
                <c:pt idx="424">
                  <c:v>317</c:v>
                </c:pt>
                <c:pt idx="425">
                  <c:v>318</c:v>
                </c:pt>
                <c:pt idx="426">
                  <c:v>318</c:v>
                </c:pt>
                <c:pt idx="427">
                  <c:v>319</c:v>
                </c:pt>
                <c:pt idx="428">
                  <c:v>320</c:v>
                </c:pt>
                <c:pt idx="429">
                  <c:v>320</c:v>
                </c:pt>
                <c:pt idx="430">
                  <c:v>320</c:v>
                </c:pt>
                <c:pt idx="431">
                  <c:v>320</c:v>
                </c:pt>
                <c:pt idx="432">
                  <c:v>320</c:v>
                </c:pt>
                <c:pt idx="433">
                  <c:v>320</c:v>
                </c:pt>
                <c:pt idx="434">
                  <c:v>321</c:v>
                </c:pt>
                <c:pt idx="435">
                  <c:v>321</c:v>
                </c:pt>
                <c:pt idx="436">
                  <c:v>321</c:v>
                </c:pt>
                <c:pt idx="437">
                  <c:v>321</c:v>
                </c:pt>
                <c:pt idx="438">
                  <c:v>321</c:v>
                </c:pt>
                <c:pt idx="439">
                  <c:v>321</c:v>
                </c:pt>
                <c:pt idx="440">
                  <c:v>321</c:v>
                </c:pt>
                <c:pt idx="441">
                  <c:v>321</c:v>
                </c:pt>
                <c:pt idx="442">
                  <c:v>321</c:v>
                </c:pt>
                <c:pt idx="443">
                  <c:v>321</c:v>
                </c:pt>
                <c:pt idx="444">
                  <c:v>321</c:v>
                </c:pt>
                <c:pt idx="445">
                  <c:v>321</c:v>
                </c:pt>
                <c:pt idx="446">
                  <c:v>321</c:v>
                </c:pt>
                <c:pt idx="447">
                  <c:v>321</c:v>
                </c:pt>
                <c:pt idx="448">
                  <c:v>322</c:v>
                </c:pt>
                <c:pt idx="449">
                  <c:v>322</c:v>
                </c:pt>
                <c:pt idx="450">
                  <c:v>322</c:v>
                </c:pt>
                <c:pt idx="451">
                  <c:v>323</c:v>
                </c:pt>
                <c:pt idx="452">
                  <c:v>323</c:v>
                </c:pt>
                <c:pt idx="453">
                  <c:v>323</c:v>
                </c:pt>
                <c:pt idx="454">
                  <c:v>323</c:v>
                </c:pt>
                <c:pt idx="455">
                  <c:v>323</c:v>
                </c:pt>
                <c:pt idx="456">
                  <c:v>323</c:v>
                </c:pt>
                <c:pt idx="457">
                  <c:v>323</c:v>
                </c:pt>
                <c:pt idx="458">
                  <c:v>323</c:v>
                </c:pt>
                <c:pt idx="459">
                  <c:v>323</c:v>
                </c:pt>
                <c:pt idx="460">
                  <c:v>323</c:v>
                </c:pt>
                <c:pt idx="461">
                  <c:v>324</c:v>
                </c:pt>
                <c:pt idx="462">
                  <c:v>324</c:v>
                </c:pt>
                <c:pt idx="463">
                  <c:v>324</c:v>
                </c:pt>
                <c:pt idx="464">
                  <c:v>325</c:v>
                </c:pt>
                <c:pt idx="465">
                  <c:v>325</c:v>
                </c:pt>
                <c:pt idx="466">
                  <c:v>325</c:v>
                </c:pt>
                <c:pt idx="467">
                  <c:v>325</c:v>
                </c:pt>
                <c:pt idx="468">
                  <c:v>325</c:v>
                </c:pt>
                <c:pt idx="469">
                  <c:v>325</c:v>
                </c:pt>
                <c:pt idx="470">
                  <c:v>326</c:v>
                </c:pt>
                <c:pt idx="471">
                  <c:v>327</c:v>
                </c:pt>
                <c:pt idx="472">
                  <c:v>327</c:v>
                </c:pt>
                <c:pt idx="473">
                  <c:v>327</c:v>
                </c:pt>
                <c:pt idx="474">
                  <c:v>327</c:v>
                </c:pt>
                <c:pt idx="475">
                  <c:v>327</c:v>
                </c:pt>
                <c:pt idx="476">
                  <c:v>327</c:v>
                </c:pt>
                <c:pt idx="477">
                  <c:v>327</c:v>
                </c:pt>
                <c:pt idx="478">
                  <c:v>327</c:v>
                </c:pt>
                <c:pt idx="479">
                  <c:v>327</c:v>
                </c:pt>
                <c:pt idx="480">
                  <c:v>327</c:v>
                </c:pt>
                <c:pt idx="481">
                  <c:v>327</c:v>
                </c:pt>
                <c:pt idx="482">
                  <c:v>327</c:v>
                </c:pt>
                <c:pt idx="483">
                  <c:v>328</c:v>
                </c:pt>
                <c:pt idx="484">
                  <c:v>328</c:v>
                </c:pt>
                <c:pt idx="485">
                  <c:v>328</c:v>
                </c:pt>
                <c:pt idx="486">
                  <c:v>329</c:v>
                </c:pt>
                <c:pt idx="487">
                  <c:v>329</c:v>
                </c:pt>
                <c:pt idx="488">
                  <c:v>329</c:v>
                </c:pt>
                <c:pt idx="489">
                  <c:v>329</c:v>
                </c:pt>
                <c:pt idx="490">
                  <c:v>329</c:v>
                </c:pt>
                <c:pt idx="491">
                  <c:v>329</c:v>
                </c:pt>
                <c:pt idx="492">
                  <c:v>329</c:v>
                </c:pt>
                <c:pt idx="493">
                  <c:v>329</c:v>
                </c:pt>
                <c:pt idx="494">
                  <c:v>329</c:v>
                </c:pt>
                <c:pt idx="495">
                  <c:v>329</c:v>
                </c:pt>
                <c:pt idx="496">
                  <c:v>329</c:v>
                </c:pt>
                <c:pt idx="497">
                  <c:v>329</c:v>
                </c:pt>
                <c:pt idx="498">
                  <c:v>330</c:v>
                </c:pt>
                <c:pt idx="499">
                  <c:v>330</c:v>
                </c:pt>
                <c:pt idx="500">
                  <c:v>330</c:v>
                </c:pt>
                <c:pt idx="501">
                  <c:v>330</c:v>
                </c:pt>
                <c:pt idx="502">
                  <c:v>330</c:v>
                </c:pt>
                <c:pt idx="503">
                  <c:v>330</c:v>
                </c:pt>
                <c:pt idx="504">
                  <c:v>330</c:v>
                </c:pt>
                <c:pt idx="505">
                  <c:v>330</c:v>
                </c:pt>
                <c:pt idx="506">
                  <c:v>331</c:v>
                </c:pt>
                <c:pt idx="507">
                  <c:v>331</c:v>
                </c:pt>
                <c:pt idx="508">
                  <c:v>331</c:v>
                </c:pt>
                <c:pt idx="509">
                  <c:v>331</c:v>
                </c:pt>
                <c:pt idx="510">
                  <c:v>332</c:v>
                </c:pt>
                <c:pt idx="511">
                  <c:v>332</c:v>
                </c:pt>
                <c:pt idx="512">
                  <c:v>332</c:v>
                </c:pt>
                <c:pt idx="513">
                  <c:v>332</c:v>
                </c:pt>
                <c:pt idx="514">
                  <c:v>332</c:v>
                </c:pt>
                <c:pt idx="515">
                  <c:v>332</c:v>
                </c:pt>
                <c:pt idx="516">
                  <c:v>332</c:v>
                </c:pt>
                <c:pt idx="517">
                  <c:v>332</c:v>
                </c:pt>
                <c:pt idx="518">
                  <c:v>332</c:v>
                </c:pt>
                <c:pt idx="519">
                  <c:v>332</c:v>
                </c:pt>
                <c:pt idx="520">
                  <c:v>332</c:v>
                </c:pt>
                <c:pt idx="521">
                  <c:v>332</c:v>
                </c:pt>
                <c:pt idx="522">
                  <c:v>332</c:v>
                </c:pt>
                <c:pt idx="523">
                  <c:v>333</c:v>
                </c:pt>
                <c:pt idx="524">
                  <c:v>333</c:v>
                </c:pt>
                <c:pt idx="525">
                  <c:v>333</c:v>
                </c:pt>
                <c:pt idx="526">
                  <c:v>333</c:v>
                </c:pt>
                <c:pt idx="527">
                  <c:v>333</c:v>
                </c:pt>
                <c:pt idx="528">
                  <c:v>333</c:v>
                </c:pt>
                <c:pt idx="529">
                  <c:v>333</c:v>
                </c:pt>
                <c:pt idx="530">
                  <c:v>333</c:v>
                </c:pt>
                <c:pt idx="531">
                  <c:v>333</c:v>
                </c:pt>
                <c:pt idx="532">
                  <c:v>333</c:v>
                </c:pt>
                <c:pt idx="533">
                  <c:v>333</c:v>
                </c:pt>
                <c:pt idx="534">
                  <c:v>333</c:v>
                </c:pt>
                <c:pt idx="535">
                  <c:v>333</c:v>
                </c:pt>
                <c:pt idx="536">
                  <c:v>333</c:v>
                </c:pt>
                <c:pt idx="537">
                  <c:v>333</c:v>
                </c:pt>
                <c:pt idx="538">
                  <c:v>333</c:v>
                </c:pt>
                <c:pt idx="539">
                  <c:v>333</c:v>
                </c:pt>
                <c:pt idx="540">
                  <c:v>333</c:v>
                </c:pt>
                <c:pt idx="541">
                  <c:v>333</c:v>
                </c:pt>
                <c:pt idx="542">
                  <c:v>333</c:v>
                </c:pt>
                <c:pt idx="543">
                  <c:v>333</c:v>
                </c:pt>
                <c:pt idx="544">
                  <c:v>333</c:v>
                </c:pt>
                <c:pt idx="545">
                  <c:v>333</c:v>
                </c:pt>
                <c:pt idx="546">
                  <c:v>333</c:v>
                </c:pt>
                <c:pt idx="547">
                  <c:v>333</c:v>
                </c:pt>
                <c:pt idx="548">
                  <c:v>333</c:v>
                </c:pt>
                <c:pt idx="549">
                  <c:v>333</c:v>
                </c:pt>
                <c:pt idx="550">
                  <c:v>333</c:v>
                </c:pt>
                <c:pt idx="551">
                  <c:v>333</c:v>
                </c:pt>
                <c:pt idx="552">
                  <c:v>333</c:v>
                </c:pt>
                <c:pt idx="553">
                  <c:v>333</c:v>
                </c:pt>
                <c:pt idx="554">
                  <c:v>333</c:v>
                </c:pt>
                <c:pt idx="555">
                  <c:v>333</c:v>
                </c:pt>
                <c:pt idx="556">
                  <c:v>333</c:v>
                </c:pt>
                <c:pt idx="557">
                  <c:v>333</c:v>
                </c:pt>
                <c:pt idx="558">
                  <c:v>333</c:v>
                </c:pt>
                <c:pt idx="559">
                  <c:v>333</c:v>
                </c:pt>
                <c:pt idx="560">
                  <c:v>333</c:v>
                </c:pt>
                <c:pt idx="561">
                  <c:v>333</c:v>
                </c:pt>
                <c:pt idx="562">
                  <c:v>333</c:v>
                </c:pt>
                <c:pt idx="563">
                  <c:v>333</c:v>
                </c:pt>
                <c:pt idx="564">
                  <c:v>333</c:v>
                </c:pt>
                <c:pt idx="565">
                  <c:v>333</c:v>
                </c:pt>
                <c:pt idx="566">
                  <c:v>333</c:v>
                </c:pt>
                <c:pt idx="567">
                  <c:v>333</c:v>
                </c:pt>
                <c:pt idx="568">
                  <c:v>333</c:v>
                </c:pt>
                <c:pt idx="569">
                  <c:v>333</c:v>
                </c:pt>
                <c:pt idx="570">
                  <c:v>333</c:v>
                </c:pt>
                <c:pt idx="571">
                  <c:v>333</c:v>
                </c:pt>
                <c:pt idx="572">
                  <c:v>333</c:v>
                </c:pt>
                <c:pt idx="573">
                  <c:v>333</c:v>
                </c:pt>
                <c:pt idx="574">
                  <c:v>333</c:v>
                </c:pt>
                <c:pt idx="575">
                  <c:v>333</c:v>
                </c:pt>
                <c:pt idx="576">
                  <c:v>333</c:v>
                </c:pt>
                <c:pt idx="577">
                  <c:v>333</c:v>
                </c:pt>
                <c:pt idx="578">
                  <c:v>333</c:v>
                </c:pt>
                <c:pt idx="579">
                  <c:v>333</c:v>
                </c:pt>
                <c:pt idx="580">
                  <c:v>333</c:v>
                </c:pt>
                <c:pt idx="581">
                  <c:v>333</c:v>
                </c:pt>
                <c:pt idx="582">
                  <c:v>333</c:v>
                </c:pt>
                <c:pt idx="583">
                  <c:v>333</c:v>
                </c:pt>
                <c:pt idx="584">
                  <c:v>333</c:v>
                </c:pt>
                <c:pt idx="585">
                  <c:v>333</c:v>
                </c:pt>
                <c:pt idx="586">
                  <c:v>333</c:v>
                </c:pt>
                <c:pt idx="587">
                  <c:v>333</c:v>
                </c:pt>
                <c:pt idx="588">
                  <c:v>333</c:v>
                </c:pt>
                <c:pt idx="589">
                  <c:v>333</c:v>
                </c:pt>
                <c:pt idx="590">
                  <c:v>333</c:v>
                </c:pt>
                <c:pt idx="591">
                  <c:v>333</c:v>
                </c:pt>
                <c:pt idx="592">
                  <c:v>333</c:v>
                </c:pt>
                <c:pt idx="593">
                  <c:v>333</c:v>
                </c:pt>
                <c:pt idx="594">
                  <c:v>333</c:v>
                </c:pt>
                <c:pt idx="595">
                  <c:v>333</c:v>
                </c:pt>
                <c:pt idx="596">
                  <c:v>333</c:v>
                </c:pt>
                <c:pt idx="597">
                  <c:v>333</c:v>
                </c:pt>
                <c:pt idx="598">
                  <c:v>333</c:v>
                </c:pt>
                <c:pt idx="599">
                  <c:v>333</c:v>
                </c:pt>
                <c:pt idx="600">
                  <c:v>333</c:v>
                </c:pt>
                <c:pt idx="601">
                  <c:v>333</c:v>
                </c:pt>
                <c:pt idx="602">
                  <c:v>333</c:v>
                </c:pt>
                <c:pt idx="603">
                  <c:v>333</c:v>
                </c:pt>
                <c:pt idx="604">
                  <c:v>333</c:v>
                </c:pt>
                <c:pt idx="605">
                  <c:v>333</c:v>
                </c:pt>
                <c:pt idx="606">
                  <c:v>333</c:v>
                </c:pt>
                <c:pt idx="607">
                  <c:v>333</c:v>
                </c:pt>
                <c:pt idx="608">
                  <c:v>333</c:v>
                </c:pt>
                <c:pt idx="609">
                  <c:v>333</c:v>
                </c:pt>
                <c:pt idx="610">
                  <c:v>333</c:v>
                </c:pt>
                <c:pt idx="611">
                  <c:v>333</c:v>
                </c:pt>
                <c:pt idx="612">
                  <c:v>333</c:v>
                </c:pt>
                <c:pt idx="613">
                  <c:v>333</c:v>
                </c:pt>
                <c:pt idx="614">
                  <c:v>333</c:v>
                </c:pt>
                <c:pt idx="615">
                  <c:v>333</c:v>
                </c:pt>
                <c:pt idx="616">
                  <c:v>333</c:v>
                </c:pt>
                <c:pt idx="617">
                  <c:v>333</c:v>
                </c:pt>
                <c:pt idx="618">
                  <c:v>333</c:v>
                </c:pt>
                <c:pt idx="619">
                  <c:v>333</c:v>
                </c:pt>
                <c:pt idx="620">
                  <c:v>333</c:v>
                </c:pt>
                <c:pt idx="621">
                  <c:v>333</c:v>
                </c:pt>
                <c:pt idx="622">
                  <c:v>333</c:v>
                </c:pt>
                <c:pt idx="623">
                  <c:v>333</c:v>
                </c:pt>
                <c:pt idx="624">
                  <c:v>333</c:v>
                </c:pt>
                <c:pt idx="625">
                  <c:v>334</c:v>
                </c:pt>
                <c:pt idx="626">
                  <c:v>334</c:v>
                </c:pt>
                <c:pt idx="627">
                  <c:v>334</c:v>
                </c:pt>
                <c:pt idx="628">
                  <c:v>334</c:v>
                </c:pt>
                <c:pt idx="629">
                  <c:v>334</c:v>
                </c:pt>
                <c:pt idx="630">
                  <c:v>334</c:v>
                </c:pt>
                <c:pt idx="631">
                  <c:v>334</c:v>
                </c:pt>
                <c:pt idx="632">
                  <c:v>334</c:v>
                </c:pt>
                <c:pt idx="633">
                  <c:v>334</c:v>
                </c:pt>
                <c:pt idx="634">
                  <c:v>334</c:v>
                </c:pt>
                <c:pt idx="635">
                  <c:v>334</c:v>
                </c:pt>
                <c:pt idx="636">
                  <c:v>334</c:v>
                </c:pt>
                <c:pt idx="637">
                  <c:v>334</c:v>
                </c:pt>
                <c:pt idx="638">
                  <c:v>334</c:v>
                </c:pt>
                <c:pt idx="639">
                  <c:v>334</c:v>
                </c:pt>
                <c:pt idx="640">
                  <c:v>334</c:v>
                </c:pt>
                <c:pt idx="641">
                  <c:v>334</c:v>
                </c:pt>
                <c:pt idx="642">
                  <c:v>334</c:v>
                </c:pt>
                <c:pt idx="643">
                  <c:v>334</c:v>
                </c:pt>
                <c:pt idx="644">
                  <c:v>334</c:v>
                </c:pt>
                <c:pt idx="645">
                  <c:v>334</c:v>
                </c:pt>
                <c:pt idx="646">
                  <c:v>334</c:v>
                </c:pt>
                <c:pt idx="647">
                  <c:v>334</c:v>
                </c:pt>
                <c:pt idx="648">
                  <c:v>334</c:v>
                </c:pt>
                <c:pt idx="649">
                  <c:v>334</c:v>
                </c:pt>
                <c:pt idx="650">
                  <c:v>334</c:v>
                </c:pt>
                <c:pt idx="651">
                  <c:v>334</c:v>
                </c:pt>
                <c:pt idx="652">
                  <c:v>334</c:v>
                </c:pt>
                <c:pt idx="653">
                  <c:v>334</c:v>
                </c:pt>
                <c:pt idx="654">
                  <c:v>334</c:v>
                </c:pt>
                <c:pt idx="655">
                  <c:v>334</c:v>
                </c:pt>
                <c:pt idx="656">
                  <c:v>334</c:v>
                </c:pt>
                <c:pt idx="657">
                  <c:v>334</c:v>
                </c:pt>
                <c:pt idx="658">
                  <c:v>334</c:v>
                </c:pt>
                <c:pt idx="659">
                  <c:v>334</c:v>
                </c:pt>
                <c:pt idx="660">
                  <c:v>334</c:v>
                </c:pt>
                <c:pt idx="661">
                  <c:v>334</c:v>
                </c:pt>
                <c:pt idx="662">
                  <c:v>334</c:v>
                </c:pt>
                <c:pt idx="663">
                  <c:v>334</c:v>
                </c:pt>
                <c:pt idx="664">
                  <c:v>334</c:v>
                </c:pt>
                <c:pt idx="665">
                  <c:v>334</c:v>
                </c:pt>
                <c:pt idx="666">
                  <c:v>334</c:v>
                </c:pt>
                <c:pt idx="667">
                  <c:v>334</c:v>
                </c:pt>
                <c:pt idx="668">
                  <c:v>334</c:v>
                </c:pt>
                <c:pt idx="669">
                  <c:v>334</c:v>
                </c:pt>
                <c:pt idx="670">
                  <c:v>334</c:v>
                </c:pt>
                <c:pt idx="671">
                  <c:v>334</c:v>
                </c:pt>
                <c:pt idx="672">
                  <c:v>334</c:v>
                </c:pt>
                <c:pt idx="673">
                  <c:v>335</c:v>
                </c:pt>
                <c:pt idx="674">
                  <c:v>335</c:v>
                </c:pt>
                <c:pt idx="675">
                  <c:v>335</c:v>
                </c:pt>
                <c:pt idx="676">
                  <c:v>335</c:v>
                </c:pt>
                <c:pt idx="677">
                  <c:v>335</c:v>
                </c:pt>
                <c:pt idx="678">
                  <c:v>335</c:v>
                </c:pt>
                <c:pt idx="679">
                  <c:v>335</c:v>
                </c:pt>
                <c:pt idx="680">
                  <c:v>335</c:v>
                </c:pt>
                <c:pt idx="681">
                  <c:v>335</c:v>
                </c:pt>
                <c:pt idx="682">
                  <c:v>335</c:v>
                </c:pt>
                <c:pt idx="683">
                  <c:v>335</c:v>
                </c:pt>
                <c:pt idx="684">
                  <c:v>335</c:v>
                </c:pt>
                <c:pt idx="685">
                  <c:v>335</c:v>
                </c:pt>
                <c:pt idx="686">
                  <c:v>335</c:v>
                </c:pt>
                <c:pt idx="687">
                  <c:v>335</c:v>
                </c:pt>
                <c:pt idx="688">
                  <c:v>335</c:v>
                </c:pt>
                <c:pt idx="689">
                  <c:v>335</c:v>
                </c:pt>
                <c:pt idx="690">
                  <c:v>335</c:v>
                </c:pt>
                <c:pt idx="691">
                  <c:v>336</c:v>
                </c:pt>
                <c:pt idx="692">
                  <c:v>336</c:v>
                </c:pt>
                <c:pt idx="693">
                  <c:v>336</c:v>
                </c:pt>
                <c:pt idx="694">
                  <c:v>336</c:v>
                </c:pt>
                <c:pt idx="695">
                  <c:v>336</c:v>
                </c:pt>
                <c:pt idx="696">
                  <c:v>336</c:v>
                </c:pt>
                <c:pt idx="697">
                  <c:v>336</c:v>
                </c:pt>
                <c:pt idx="698">
                  <c:v>336</c:v>
                </c:pt>
                <c:pt idx="699">
                  <c:v>336</c:v>
                </c:pt>
                <c:pt idx="700">
                  <c:v>336</c:v>
                </c:pt>
                <c:pt idx="701">
                  <c:v>336</c:v>
                </c:pt>
                <c:pt idx="702">
                  <c:v>336</c:v>
                </c:pt>
                <c:pt idx="703">
                  <c:v>336</c:v>
                </c:pt>
                <c:pt idx="704">
                  <c:v>336</c:v>
                </c:pt>
                <c:pt idx="705">
                  <c:v>336</c:v>
                </c:pt>
                <c:pt idx="706">
                  <c:v>337</c:v>
                </c:pt>
                <c:pt idx="707">
                  <c:v>337</c:v>
                </c:pt>
                <c:pt idx="708">
                  <c:v>337</c:v>
                </c:pt>
                <c:pt idx="709">
                  <c:v>337</c:v>
                </c:pt>
                <c:pt idx="710">
                  <c:v>337</c:v>
                </c:pt>
                <c:pt idx="711">
                  <c:v>337</c:v>
                </c:pt>
                <c:pt idx="712">
                  <c:v>337</c:v>
                </c:pt>
                <c:pt idx="713">
                  <c:v>337</c:v>
                </c:pt>
                <c:pt idx="714">
                  <c:v>337</c:v>
                </c:pt>
                <c:pt idx="715">
                  <c:v>337</c:v>
                </c:pt>
                <c:pt idx="716">
                  <c:v>337</c:v>
                </c:pt>
                <c:pt idx="717">
                  <c:v>337</c:v>
                </c:pt>
                <c:pt idx="718">
                  <c:v>337</c:v>
                </c:pt>
                <c:pt idx="719">
                  <c:v>337</c:v>
                </c:pt>
                <c:pt idx="720">
                  <c:v>337</c:v>
                </c:pt>
                <c:pt idx="721">
                  <c:v>337</c:v>
                </c:pt>
                <c:pt idx="722">
                  <c:v>337</c:v>
                </c:pt>
                <c:pt idx="723">
                  <c:v>337</c:v>
                </c:pt>
                <c:pt idx="724">
                  <c:v>337</c:v>
                </c:pt>
                <c:pt idx="725">
                  <c:v>337</c:v>
                </c:pt>
                <c:pt idx="726">
                  <c:v>337</c:v>
                </c:pt>
                <c:pt idx="727">
                  <c:v>337</c:v>
                </c:pt>
                <c:pt idx="728">
                  <c:v>337</c:v>
                </c:pt>
                <c:pt idx="729">
                  <c:v>337</c:v>
                </c:pt>
                <c:pt idx="730">
                  <c:v>337</c:v>
                </c:pt>
                <c:pt idx="731">
                  <c:v>337</c:v>
                </c:pt>
                <c:pt idx="732">
                  <c:v>337</c:v>
                </c:pt>
                <c:pt idx="733">
                  <c:v>337</c:v>
                </c:pt>
                <c:pt idx="734">
                  <c:v>337</c:v>
                </c:pt>
                <c:pt idx="735">
                  <c:v>337</c:v>
                </c:pt>
                <c:pt idx="736">
                  <c:v>337</c:v>
                </c:pt>
                <c:pt idx="737">
                  <c:v>337</c:v>
                </c:pt>
                <c:pt idx="738">
                  <c:v>337</c:v>
                </c:pt>
                <c:pt idx="739">
                  <c:v>337</c:v>
                </c:pt>
                <c:pt idx="740">
                  <c:v>337</c:v>
                </c:pt>
                <c:pt idx="741">
                  <c:v>337</c:v>
                </c:pt>
                <c:pt idx="742">
                  <c:v>337</c:v>
                </c:pt>
                <c:pt idx="743">
                  <c:v>337</c:v>
                </c:pt>
                <c:pt idx="744">
                  <c:v>337</c:v>
                </c:pt>
                <c:pt idx="745">
                  <c:v>337</c:v>
                </c:pt>
                <c:pt idx="746">
                  <c:v>337</c:v>
                </c:pt>
                <c:pt idx="747">
                  <c:v>337</c:v>
                </c:pt>
                <c:pt idx="748">
                  <c:v>337</c:v>
                </c:pt>
                <c:pt idx="749">
                  <c:v>337</c:v>
                </c:pt>
                <c:pt idx="750">
                  <c:v>337</c:v>
                </c:pt>
                <c:pt idx="751">
                  <c:v>337</c:v>
                </c:pt>
                <c:pt idx="752">
                  <c:v>337</c:v>
                </c:pt>
                <c:pt idx="753">
                  <c:v>338</c:v>
                </c:pt>
                <c:pt idx="754">
                  <c:v>338</c:v>
                </c:pt>
                <c:pt idx="755">
                  <c:v>338</c:v>
                </c:pt>
                <c:pt idx="756">
                  <c:v>338</c:v>
                </c:pt>
                <c:pt idx="757">
                  <c:v>338</c:v>
                </c:pt>
                <c:pt idx="758">
                  <c:v>338</c:v>
                </c:pt>
                <c:pt idx="759">
                  <c:v>338</c:v>
                </c:pt>
                <c:pt idx="760">
                  <c:v>338</c:v>
                </c:pt>
                <c:pt idx="761">
                  <c:v>338</c:v>
                </c:pt>
                <c:pt idx="762">
                  <c:v>338</c:v>
                </c:pt>
                <c:pt idx="763">
                  <c:v>338</c:v>
                </c:pt>
                <c:pt idx="764">
                  <c:v>338</c:v>
                </c:pt>
                <c:pt idx="765">
                  <c:v>338</c:v>
                </c:pt>
                <c:pt idx="766">
                  <c:v>338</c:v>
                </c:pt>
                <c:pt idx="767">
                  <c:v>338</c:v>
                </c:pt>
                <c:pt idx="768">
                  <c:v>338</c:v>
                </c:pt>
                <c:pt idx="769">
                  <c:v>338</c:v>
                </c:pt>
                <c:pt idx="770">
                  <c:v>338</c:v>
                </c:pt>
                <c:pt idx="771">
                  <c:v>338</c:v>
                </c:pt>
                <c:pt idx="772">
                  <c:v>338</c:v>
                </c:pt>
                <c:pt idx="773">
                  <c:v>338</c:v>
                </c:pt>
                <c:pt idx="774">
                  <c:v>338</c:v>
                </c:pt>
                <c:pt idx="775">
                  <c:v>338</c:v>
                </c:pt>
                <c:pt idx="776">
                  <c:v>338</c:v>
                </c:pt>
                <c:pt idx="777">
                  <c:v>338</c:v>
                </c:pt>
                <c:pt idx="778">
                  <c:v>338</c:v>
                </c:pt>
                <c:pt idx="779">
                  <c:v>338</c:v>
                </c:pt>
                <c:pt idx="780">
                  <c:v>339</c:v>
                </c:pt>
                <c:pt idx="781">
                  <c:v>339</c:v>
                </c:pt>
                <c:pt idx="782">
                  <c:v>340</c:v>
                </c:pt>
                <c:pt idx="783">
                  <c:v>340</c:v>
                </c:pt>
                <c:pt idx="784">
                  <c:v>340</c:v>
                </c:pt>
                <c:pt idx="785">
                  <c:v>340</c:v>
                </c:pt>
                <c:pt idx="786">
                  <c:v>340</c:v>
                </c:pt>
                <c:pt idx="787">
                  <c:v>340</c:v>
                </c:pt>
                <c:pt idx="788">
                  <c:v>340</c:v>
                </c:pt>
                <c:pt idx="789">
                  <c:v>340</c:v>
                </c:pt>
                <c:pt idx="790">
                  <c:v>340</c:v>
                </c:pt>
                <c:pt idx="791">
                  <c:v>340</c:v>
                </c:pt>
                <c:pt idx="792">
                  <c:v>340</c:v>
                </c:pt>
                <c:pt idx="793">
                  <c:v>340</c:v>
                </c:pt>
                <c:pt idx="794">
                  <c:v>340</c:v>
                </c:pt>
                <c:pt idx="795">
                  <c:v>340</c:v>
                </c:pt>
                <c:pt idx="796">
                  <c:v>340</c:v>
                </c:pt>
                <c:pt idx="797">
                  <c:v>340</c:v>
                </c:pt>
                <c:pt idx="798">
                  <c:v>340</c:v>
                </c:pt>
                <c:pt idx="799">
                  <c:v>340</c:v>
                </c:pt>
                <c:pt idx="800">
                  <c:v>340</c:v>
                </c:pt>
                <c:pt idx="801">
                  <c:v>340</c:v>
                </c:pt>
                <c:pt idx="802">
                  <c:v>340</c:v>
                </c:pt>
                <c:pt idx="803">
                  <c:v>340</c:v>
                </c:pt>
                <c:pt idx="804">
                  <c:v>340</c:v>
                </c:pt>
                <c:pt idx="805">
                  <c:v>340</c:v>
                </c:pt>
                <c:pt idx="806">
                  <c:v>340</c:v>
                </c:pt>
                <c:pt idx="807">
                  <c:v>340</c:v>
                </c:pt>
                <c:pt idx="808">
                  <c:v>340</c:v>
                </c:pt>
                <c:pt idx="809">
                  <c:v>340</c:v>
                </c:pt>
                <c:pt idx="810">
                  <c:v>340</c:v>
                </c:pt>
                <c:pt idx="811">
                  <c:v>340</c:v>
                </c:pt>
                <c:pt idx="812">
                  <c:v>340</c:v>
                </c:pt>
                <c:pt idx="813">
                  <c:v>340</c:v>
                </c:pt>
                <c:pt idx="814">
                  <c:v>340</c:v>
                </c:pt>
                <c:pt idx="815">
                  <c:v>340</c:v>
                </c:pt>
                <c:pt idx="816">
                  <c:v>340</c:v>
                </c:pt>
                <c:pt idx="817">
                  <c:v>340</c:v>
                </c:pt>
                <c:pt idx="818">
                  <c:v>340</c:v>
                </c:pt>
                <c:pt idx="819">
                  <c:v>340</c:v>
                </c:pt>
                <c:pt idx="820">
                  <c:v>340</c:v>
                </c:pt>
                <c:pt idx="821">
                  <c:v>340</c:v>
                </c:pt>
                <c:pt idx="822">
                  <c:v>340</c:v>
                </c:pt>
                <c:pt idx="823">
                  <c:v>340</c:v>
                </c:pt>
                <c:pt idx="824">
                  <c:v>340</c:v>
                </c:pt>
                <c:pt idx="825">
                  <c:v>340</c:v>
                </c:pt>
                <c:pt idx="826">
                  <c:v>340</c:v>
                </c:pt>
                <c:pt idx="827">
                  <c:v>340</c:v>
                </c:pt>
                <c:pt idx="828">
                  <c:v>340</c:v>
                </c:pt>
                <c:pt idx="829">
                  <c:v>340</c:v>
                </c:pt>
                <c:pt idx="830">
                  <c:v>341</c:v>
                </c:pt>
                <c:pt idx="831">
                  <c:v>341</c:v>
                </c:pt>
                <c:pt idx="832">
                  <c:v>341</c:v>
                </c:pt>
                <c:pt idx="833">
                  <c:v>341</c:v>
                </c:pt>
                <c:pt idx="834">
                  <c:v>341</c:v>
                </c:pt>
                <c:pt idx="835">
                  <c:v>341</c:v>
                </c:pt>
                <c:pt idx="836">
                  <c:v>341</c:v>
                </c:pt>
                <c:pt idx="837">
                  <c:v>341</c:v>
                </c:pt>
                <c:pt idx="838">
                  <c:v>341</c:v>
                </c:pt>
                <c:pt idx="839">
                  <c:v>341</c:v>
                </c:pt>
                <c:pt idx="840">
                  <c:v>341</c:v>
                </c:pt>
                <c:pt idx="841">
                  <c:v>341</c:v>
                </c:pt>
                <c:pt idx="842">
                  <c:v>341</c:v>
                </c:pt>
                <c:pt idx="843">
                  <c:v>341</c:v>
                </c:pt>
                <c:pt idx="844">
                  <c:v>341</c:v>
                </c:pt>
                <c:pt idx="845">
                  <c:v>341</c:v>
                </c:pt>
                <c:pt idx="846">
                  <c:v>341</c:v>
                </c:pt>
                <c:pt idx="847">
                  <c:v>341</c:v>
                </c:pt>
                <c:pt idx="848">
                  <c:v>342</c:v>
                </c:pt>
                <c:pt idx="849">
                  <c:v>342</c:v>
                </c:pt>
                <c:pt idx="850">
                  <c:v>342</c:v>
                </c:pt>
                <c:pt idx="851">
                  <c:v>342</c:v>
                </c:pt>
                <c:pt idx="852">
                  <c:v>342</c:v>
                </c:pt>
                <c:pt idx="853">
                  <c:v>342</c:v>
                </c:pt>
                <c:pt idx="854">
                  <c:v>342</c:v>
                </c:pt>
                <c:pt idx="855">
                  <c:v>342</c:v>
                </c:pt>
                <c:pt idx="856">
                  <c:v>342</c:v>
                </c:pt>
                <c:pt idx="857">
                  <c:v>342</c:v>
                </c:pt>
                <c:pt idx="858">
                  <c:v>342</c:v>
                </c:pt>
                <c:pt idx="859">
                  <c:v>342</c:v>
                </c:pt>
                <c:pt idx="860">
                  <c:v>342</c:v>
                </c:pt>
                <c:pt idx="861">
                  <c:v>342</c:v>
                </c:pt>
                <c:pt idx="862">
                  <c:v>342</c:v>
                </c:pt>
                <c:pt idx="863">
                  <c:v>342</c:v>
                </c:pt>
                <c:pt idx="864">
                  <c:v>342</c:v>
                </c:pt>
                <c:pt idx="865">
                  <c:v>342</c:v>
                </c:pt>
                <c:pt idx="866">
                  <c:v>342</c:v>
                </c:pt>
                <c:pt idx="867">
                  <c:v>342</c:v>
                </c:pt>
                <c:pt idx="868">
                  <c:v>342</c:v>
                </c:pt>
                <c:pt idx="869">
                  <c:v>342</c:v>
                </c:pt>
                <c:pt idx="870">
                  <c:v>342</c:v>
                </c:pt>
                <c:pt idx="871">
                  <c:v>342</c:v>
                </c:pt>
                <c:pt idx="872">
                  <c:v>342</c:v>
                </c:pt>
                <c:pt idx="873">
                  <c:v>342</c:v>
                </c:pt>
                <c:pt idx="874">
                  <c:v>342</c:v>
                </c:pt>
                <c:pt idx="875">
                  <c:v>342</c:v>
                </c:pt>
                <c:pt idx="876">
                  <c:v>342</c:v>
                </c:pt>
                <c:pt idx="877">
                  <c:v>342</c:v>
                </c:pt>
                <c:pt idx="878">
                  <c:v>342</c:v>
                </c:pt>
                <c:pt idx="879">
                  <c:v>342</c:v>
                </c:pt>
                <c:pt idx="880">
                  <c:v>342</c:v>
                </c:pt>
                <c:pt idx="881">
                  <c:v>342</c:v>
                </c:pt>
                <c:pt idx="882">
                  <c:v>342</c:v>
                </c:pt>
                <c:pt idx="883">
                  <c:v>342</c:v>
                </c:pt>
                <c:pt idx="884">
                  <c:v>342</c:v>
                </c:pt>
                <c:pt idx="885">
                  <c:v>342</c:v>
                </c:pt>
                <c:pt idx="886">
                  <c:v>342</c:v>
                </c:pt>
                <c:pt idx="887">
                  <c:v>342</c:v>
                </c:pt>
                <c:pt idx="888">
                  <c:v>342</c:v>
                </c:pt>
                <c:pt idx="889">
                  <c:v>342</c:v>
                </c:pt>
                <c:pt idx="890">
                  <c:v>342</c:v>
                </c:pt>
                <c:pt idx="891">
                  <c:v>342</c:v>
                </c:pt>
                <c:pt idx="892">
                  <c:v>342</c:v>
                </c:pt>
                <c:pt idx="893">
                  <c:v>342</c:v>
                </c:pt>
                <c:pt idx="894">
                  <c:v>342</c:v>
                </c:pt>
                <c:pt idx="895">
                  <c:v>342</c:v>
                </c:pt>
                <c:pt idx="896">
                  <c:v>342</c:v>
                </c:pt>
                <c:pt idx="897">
                  <c:v>342</c:v>
                </c:pt>
                <c:pt idx="898">
                  <c:v>342</c:v>
                </c:pt>
                <c:pt idx="899">
                  <c:v>342</c:v>
                </c:pt>
                <c:pt idx="900">
                  <c:v>342</c:v>
                </c:pt>
                <c:pt idx="901">
                  <c:v>342</c:v>
                </c:pt>
                <c:pt idx="902">
                  <c:v>342</c:v>
                </c:pt>
                <c:pt idx="903">
                  <c:v>342</c:v>
                </c:pt>
                <c:pt idx="904">
                  <c:v>342</c:v>
                </c:pt>
                <c:pt idx="905">
                  <c:v>342</c:v>
                </c:pt>
                <c:pt idx="906">
                  <c:v>342</c:v>
                </c:pt>
                <c:pt idx="907">
                  <c:v>342</c:v>
                </c:pt>
                <c:pt idx="908">
                  <c:v>342</c:v>
                </c:pt>
                <c:pt idx="909">
                  <c:v>342</c:v>
                </c:pt>
                <c:pt idx="910">
                  <c:v>342</c:v>
                </c:pt>
                <c:pt idx="911">
                  <c:v>342</c:v>
                </c:pt>
                <c:pt idx="912">
                  <c:v>342</c:v>
                </c:pt>
                <c:pt idx="913">
                  <c:v>342</c:v>
                </c:pt>
                <c:pt idx="914">
                  <c:v>342</c:v>
                </c:pt>
                <c:pt idx="915">
                  <c:v>342</c:v>
                </c:pt>
                <c:pt idx="916">
                  <c:v>342</c:v>
                </c:pt>
                <c:pt idx="917">
                  <c:v>342</c:v>
                </c:pt>
                <c:pt idx="918">
                  <c:v>342</c:v>
                </c:pt>
                <c:pt idx="919">
                  <c:v>342</c:v>
                </c:pt>
                <c:pt idx="920">
                  <c:v>342</c:v>
                </c:pt>
                <c:pt idx="921">
                  <c:v>342</c:v>
                </c:pt>
                <c:pt idx="922">
                  <c:v>342</c:v>
                </c:pt>
                <c:pt idx="923">
                  <c:v>342</c:v>
                </c:pt>
                <c:pt idx="924">
                  <c:v>342</c:v>
                </c:pt>
                <c:pt idx="925">
                  <c:v>342</c:v>
                </c:pt>
                <c:pt idx="926">
                  <c:v>342</c:v>
                </c:pt>
                <c:pt idx="927">
                  <c:v>342</c:v>
                </c:pt>
                <c:pt idx="928">
                  <c:v>342</c:v>
                </c:pt>
                <c:pt idx="929">
                  <c:v>342</c:v>
                </c:pt>
                <c:pt idx="930">
                  <c:v>342</c:v>
                </c:pt>
                <c:pt idx="931">
                  <c:v>342</c:v>
                </c:pt>
                <c:pt idx="932">
                  <c:v>342</c:v>
                </c:pt>
                <c:pt idx="933">
                  <c:v>342</c:v>
                </c:pt>
                <c:pt idx="934">
                  <c:v>342</c:v>
                </c:pt>
                <c:pt idx="935">
                  <c:v>342</c:v>
                </c:pt>
                <c:pt idx="936">
                  <c:v>342</c:v>
                </c:pt>
                <c:pt idx="937">
                  <c:v>342</c:v>
                </c:pt>
                <c:pt idx="938">
                  <c:v>342</c:v>
                </c:pt>
                <c:pt idx="939">
                  <c:v>342</c:v>
                </c:pt>
                <c:pt idx="940">
                  <c:v>342</c:v>
                </c:pt>
                <c:pt idx="941">
                  <c:v>342</c:v>
                </c:pt>
                <c:pt idx="942">
                  <c:v>342</c:v>
                </c:pt>
                <c:pt idx="943">
                  <c:v>342</c:v>
                </c:pt>
                <c:pt idx="944">
                  <c:v>342</c:v>
                </c:pt>
                <c:pt idx="945">
                  <c:v>342</c:v>
                </c:pt>
                <c:pt idx="946">
                  <c:v>342</c:v>
                </c:pt>
                <c:pt idx="947">
                  <c:v>342</c:v>
                </c:pt>
                <c:pt idx="948">
                  <c:v>342</c:v>
                </c:pt>
                <c:pt idx="949">
                  <c:v>342</c:v>
                </c:pt>
                <c:pt idx="950">
                  <c:v>342</c:v>
                </c:pt>
                <c:pt idx="951">
                  <c:v>342</c:v>
                </c:pt>
                <c:pt idx="952">
                  <c:v>342</c:v>
                </c:pt>
                <c:pt idx="953">
                  <c:v>342</c:v>
                </c:pt>
                <c:pt idx="954">
                  <c:v>342</c:v>
                </c:pt>
                <c:pt idx="955">
                  <c:v>342</c:v>
                </c:pt>
                <c:pt idx="956">
                  <c:v>342</c:v>
                </c:pt>
                <c:pt idx="957">
                  <c:v>342</c:v>
                </c:pt>
                <c:pt idx="958">
                  <c:v>342</c:v>
                </c:pt>
                <c:pt idx="959">
                  <c:v>342</c:v>
                </c:pt>
                <c:pt idx="960">
                  <c:v>342</c:v>
                </c:pt>
                <c:pt idx="961">
                  <c:v>342</c:v>
                </c:pt>
                <c:pt idx="962">
                  <c:v>342</c:v>
                </c:pt>
                <c:pt idx="963">
                  <c:v>342</c:v>
                </c:pt>
                <c:pt idx="964">
                  <c:v>342</c:v>
                </c:pt>
                <c:pt idx="965">
                  <c:v>342</c:v>
                </c:pt>
                <c:pt idx="966">
                  <c:v>342</c:v>
                </c:pt>
                <c:pt idx="967">
                  <c:v>342</c:v>
                </c:pt>
                <c:pt idx="968">
                  <c:v>342</c:v>
                </c:pt>
                <c:pt idx="969">
                  <c:v>342</c:v>
                </c:pt>
                <c:pt idx="970">
                  <c:v>342</c:v>
                </c:pt>
                <c:pt idx="971">
                  <c:v>342</c:v>
                </c:pt>
                <c:pt idx="972">
                  <c:v>342</c:v>
                </c:pt>
                <c:pt idx="973">
                  <c:v>342</c:v>
                </c:pt>
                <c:pt idx="974">
                  <c:v>342</c:v>
                </c:pt>
                <c:pt idx="975">
                  <c:v>342</c:v>
                </c:pt>
                <c:pt idx="976">
                  <c:v>342</c:v>
                </c:pt>
                <c:pt idx="977">
                  <c:v>342</c:v>
                </c:pt>
                <c:pt idx="978">
                  <c:v>342</c:v>
                </c:pt>
                <c:pt idx="979">
                  <c:v>342</c:v>
                </c:pt>
                <c:pt idx="980">
                  <c:v>342</c:v>
                </c:pt>
                <c:pt idx="981">
                  <c:v>342</c:v>
                </c:pt>
                <c:pt idx="982">
                  <c:v>342</c:v>
                </c:pt>
                <c:pt idx="983">
                  <c:v>342</c:v>
                </c:pt>
                <c:pt idx="984">
                  <c:v>342</c:v>
                </c:pt>
                <c:pt idx="985">
                  <c:v>342</c:v>
                </c:pt>
                <c:pt idx="986">
                  <c:v>342</c:v>
                </c:pt>
                <c:pt idx="987">
                  <c:v>342</c:v>
                </c:pt>
                <c:pt idx="988">
                  <c:v>342</c:v>
                </c:pt>
                <c:pt idx="989">
                  <c:v>342</c:v>
                </c:pt>
                <c:pt idx="990">
                  <c:v>342</c:v>
                </c:pt>
                <c:pt idx="991">
                  <c:v>342</c:v>
                </c:pt>
                <c:pt idx="992">
                  <c:v>342</c:v>
                </c:pt>
                <c:pt idx="993">
                  <c:v>342</c:v>
                </c:pt>
                <c:pt idx="994">
                  <c:v>342</c:v>
                </c:pt>
                <c:pt idx="995">
                  <c:v>342</c:v>
                </c:pt>
                <c:pt idx="996">
                  <c:v>342</c:v>
                </c:pt>
                <c:pt idx="997">
                  <c:v>342</c:v>
                </c:pt>
                <c:pt idx="998">
                  <c:v>342</c:v>
                </c:pt>
                <c:pt idx="999">
                  <c:v>342</c:v>
                </c:pt>
                <c:pt idx="1000">
                  <c:v>342</c:v>
                </c:pt>
                <c:pt idx="1001">
                  <c:v>342</c:v>
                </c:pt>
                <c:pt idx="1002">
                  <c:v>342</c:v>
                </c:pt>
                <c:pt idx="1003">
                  <c:v>342</c:v>
                </c:pt>
                <c:pt idx="1004">
                  <c:v>342</c:v>
                </c:pt>
                <c:pt idx="1005">
                  <c:v>342</c:v>
                </c:pt>
                <c:pt idx="1006">
                  <c:v>342</c:v>
                </c:pt>
                <c:pt idx="1007">
                  <c:v>342</c:v>
                </c:pt>
                <c:pt idx="1008">
                  <c:v>342</c:v>
                </c:pt>
                <c:pt idx="1009">
                  <c:v>342</c:v>
                </c:pt>
                <c:pt idx="1010">
                  <c:v>342</c:v>
                </c:pt>
                <c:pt idx="1011">
                  <c:v>342</c:v>
                </c:pt>
                <c:pt idx="1012">
                  <c:v>342</c:v>
                </c:pt>
                <c:pt idx="1013">
                  <c:v>342</c:v>
                </c:pt>
                <c:pt idx="1014">
                  <c:v>342</c:v>
                </c:pt>
                <c:pt idx="1015">
                  <c:v>342</c:v>
                </c:pt>
                <c:pt idx="1016">
                  <c:v>342</c:v>
                </c:pt>
                <c:pt idx="1017">
                  <c:v>342</c:v>
                </c:pt>
                <c:pt idx="1018">
                  <c:v>342</c:v>
                </c:pt>
                <c:pt idx="1019">
                  <c:v>342</c:v>
                </c:pt>
                <c:pt idx="1020">
                  <c:v>342</c:v>
                </c:pt>
                <c:pt idx="1021">
                  <c:v>342</c:v>
                </c:pt>
                <c:pt idx="1022">
                  <c:v>342</c:v>
                </c:pt>
                <c:pt idx="1023">
                  <c:v>342</c:v>
                </c:pt>
                <c:pt idx="1024">
                  <c:v>342</c:v>
                </c:pt>
                <c:pt idx="1025">
                  <c:v>342</c:v>
                </c:pt>
                <c:pt idx="1026">
                  <c:v>342</c:v>
                </c:pt>
                <c:pt idx="1027">
                  <c:v>342</c:v>
                </c:pt>
                <c:pt idx="1028">
                  <c:v>342</c:v>
                </c:pt>
                <c:pt idx="1029">
                  <c:v>342</c:v>
                </c:pt>
                <c:pt idx="1030">
                  <c:v>342</c:v>
                </c:pt>
                <c:pt idx="1031">
                  <c:v>342</c:v>
                </c:pt>
                <c:pt idx="1032">
                  <c:v>342</c:v>
                </c:pt>
                <c:pt idx="1033">
                  <c:v>342</c:v>
                </c:pt>
                <c:pt idx="1034">
                  <c:v>342</c:v>
                </c:pt>
                <c:pt idx="1035">
                  <c:v>342</c:v>
                </c:pt>
                <c:pt idx="1036">
                  <c:v>342</c:v>
                </c:pt>
                <c:pt idx="1037">
                  <c:v>342</c:v>
                </c:pt>
                <c:pt idx="1038">
                  <c:v>342</c:v>
                </c:pt>
                <c:pt idx="1039">
                  <c:v>342</c:v>
                </c:pt>
                <c:pt idx="1040">
                  <c:v>342</c:v>
                </c:pt>
                <c:pt idx="1041">
                  <c:v>342</c:v>
                </c:pt>
                <c:pt idx="1042">
                  <c:v>342</c:v>
                </c:pt>
                <c:pt idx="1043">
                  <c:v>342</c:v>
                </c:pt>
                <c:pt idx="1044">
                  <c:v>342</c:v>
                </c:pt>
                <c:pt idx="1045">
                  <c:v>342</c:v>
                </c:pt>
                <c:pt idx="1046">
                  <c:v>342</c:v>
                </c:pt>
                <c:pt idx="1047">
                  <c:v>342</c:v>
                </c:pt>
                <c:pt idx="1048">
                  <c:v>342</c:v>
                </c:pt>
                <c:pt idx="1049">
                  <c:v>342</c:v>
                </c:pt>
                <c:pt idx="1050">
                  <c:v>342</c:v>
                </c:pt>
                <c:pt idx="1051">
                  <c:v>342</c:v>
                </c:pt>
                <c:pt idx="1052">
                  <c:v>342</c:v>
                </c:pt>
                <c:pt idx="1053">
                  <c:v>342</c:v>
                </c:pt>
                <c:pt idx="1054">
                  <c:v>342</c:v>
                </c:pt>
                <c:pt idx="1055">
                  <c:v>342</c:v>
                </c:pt>
                <c:pt idx="1056">
                  <c:v>342</c:v>
                </c:pt>
                <c:pt idx="1057">
                  <c:v>342</c:v>
                </c:pt>
                <c:pt idx="1058">
                  <c:v>342</c:v>
                </c:pt>
                <c:pt idx="1059">
                  <c:v>342</c:v>
                </c:pt>
                <c:pt idx="1060">
                  <c:v>342</c:v>
                </c:pt>
                <c:pt idx="1061">
                  <c:v>342</c:v>
                </c:pt>
                <c:pt idx="1062">
                  <c:v>342</c:v>
                </c:pt>
                <c:pt idx="1063">
                  <c:v>342</c:v>
                </c:pt>
                <c:pt idx="1064">
                  <c:v>342</c:v>
                </c:pt>
                <c:pt idx="1065">
                  <c:v>342</c:v>
                </c:pt>
                <c:pt idx="1066">
                  <c:v>342</c:v>
                </c:pt>
                <c:pt idx="1067">
                  <c:v>342</c:v>
                </c:pt>
                <c:pt idx="1068">
                  <c:v>342</c:v>
                </c:pt>
                <c:pt idx="1069">
                  <c:v>342</c:v>
                </c:pt>
                <c:pt idx="1070">
                  <c:v>342</c:v>
                </c:pt>
                <c:pt idx="1071">
                  <c:v>342</c:v>
                </c:pt>
                <c:pt idx="1072">
                  <c:v>342</c:v>
                </c:pt>
                <c:pt idx="1073">
                  <c:v>342</c:v>
                </c:pt>
                <c:pt idx="1074">
                  <c:v>342</c:v>
                </c:pt>
                <c:pt idx="1075">
                  <c:v>342</c:v>
                </c:pt>
                <c:pt idx="1076">
                  <c:v>342</c:v>
                </c:pt>
                <c:pt idx="1077">
                  <c:v>342</c:v>
                </c:pt>
                <c:pt idx="1078">
                  <c:v>342</c:v>
                </c:pt>
                <c:pt idx="1079">
                  <c:v>342</c:v>
                </c:pt>
                <c:pt idx="1080">
                  <c:v>342</c:v>
                </c:pt>
                <c:pt idx="1081">
                  <c:v>342</c:v>
                </c:pt>
                <c:pt idx="1082">
                  <c:v>342</c:v>
                </c:pt>
                <c:pt idx="1083">
                  <c:v>342</c:v>
                </c:pt>
                <c:pt idx="1084">
                  <c:v>342</c:v>
                </c:pt>
                <c:pt idx="1085">
                  <c:v>342</c:v>
                </c:pt>
                <c:pt idx="1086">
                  <c:v>342</c:v>
                </c:pt>
                <c:pt idx="1087">
                  <c:v>342</c:v>
                </c:pt>
                <c:pt idx="1088">
                  <c:v>342</c:v>
                </c:pt>
                <c:pt idx="1089">
                  <c:v>342</c:v>
                </c:pt>
                <c:pt idx="1090">
                  <c:v>342</c:v>
                </c:pt>
                <c:pt idx="1091">
                  <c:v>342</c:v>
                </c:pt>
                <c:pt idx="1092">
                  <c:v>342</c:v>
                </c:pt>
                <c:pt idx="1093">
                  <c:v>342</c:v>
                </c:pt>
                <c:pt idx="1094">
                  <c:v>342</c:v>
                </c:pt>
                <c:pt idx="1095">
                  <c:v>342</c:v>
                </c:pt>
                <c:pt idx="1096">
                  <c:v>342</c:v>
                </c:pt>
                <c:pt idx="1097">
                  <c:v>342</c:v>
                </c:pt>
                <c:pt idx="1098">
                  <c:v>342</c:v>
                </c:pt>
                <c:pt idx="1099">
                  <c:v>342</c:v>
                </c:pt>
                <c:pt idx="1100">
                  <c:v>342</c:v>
                </c:pt>
                <c:pt idx="1101">
                  <c:v>342</c:v>
                </c:pt>
                <c:pt idx="1102">
                  <c:v>342</c:v>
                </c:pt>
                <c:pt idx="1103">
                  <c:v>342</c:v>
                </c:pt>
                <c:pt idx="1104">
                  <c:v>342</c:v>
                </c:pt>
                <c:pt idx="1105">
                  <c:v>342</c:v>
                </c:pt>
                <c:pt idx="1106">
                  <c:v>342</c:v>
                </c:pt>
                <c:pt idx="1107">
                  <c:v>342</c:v>
                </c:pt>
                <c:pt idx="1108">
                  <c:v>342</c:v>
                </c:pt>
                <c:pt idx="1109">
                  <c:v>342</c:v>
                </c:pt>
                <c:pt idx="1110">
                  <c:v>342</c:v>
                </c:pt>
                <c:pt idx="1111">
                  <c:v>342</c:v>
                </c:pt>
                <c:pt idx="1112">
                  <c:v>342</c:v>
                </c:pt>
                <c:pt idx="1113">
                  <c:v>342</c:v>
                </c:pt>
                <c:pt idx="1114">
                  <c:v>342</c:v>
                </c:pt>
                <c:pt idx="1115">
                  <c:v>342</c:v>
                </c:pt>
                <c:pt idx="1116">
                  <c:v>342</c:v>
                </c:pt>
                <c:pt idx="1117">
                  <c:v>342</c:v>
                </c:pt>
                <c:pt idx="1118">
                  <c:v>342</c:v>
                </c:pt>
                <c:pt idx="1119">
                  <c:v>342</c:v>
                </c:pt>
                <c:pt idx="1120">
                  <c:v>342</c:v>
                </c:pt>
                <c:pt idx="1121">
                  <c:v>342</c:v>
                </c:pt>
                <c:pt idx="1122">
                  <c:v>342</c:v>
                </c:pt>
                <c:pt idx="1123">
                  <c:v>342</c:v>
                </c:pt>
                <c:pt idx="1124">
                  <c:v>342</c:v>
                </c:pt>
                <c:pt idx="1125">
                  <c:v>342</c:v>
                </c:pt>
                <c:pt idx="1126">
                  <c:v>342</c:v>
                </c:pt>
                <c:pt idx="1127">
                  <c:v>342</c:v>
                </c:pt>
                <c:pt idx="1128">
                  <c:v>342</c:v>
                </c:pt>
                <c:pt idx="1129">
                  <c:v>342</c:v>
                </c:pt>
                <c:pt idx="1130">
                  <c:v>342</c:v>
                </c:pt>
                <c:pt idx="1131">
                  <c:v>342</c:v>
                </c:pt>
                <c:pt idx="1132">
                  <c:v>342</c:v>
                </c:pt>
                <c:pt idx="1133">
                  <c:v>342</c:v>
                </c:pt>
                <c:pt idx="1134">
                  <c:v>342</c:v>
                </c:pt>
                <c:pt idx="1135">
                  <c:v>342</c:v>
                </c:pt>
                <c:pt idx="1136">
                  <c:v>342</c:v>
                </c:pt>
                <c:pt idx="1137">
                  <c:v>342</c:v>
                </c:pt>
                <c:pt idx="1138">
                  <c:v>342</c:v>
                </c:pt>
                <c:pt idx="1139">
                  <c:v>342</c:v>
                </c:pt>
                <c:pt idx="1140">
                  <c:v>342</c:v>
                </c:pt>
                <c:pt idx="1141">
                  <c:v>342</c:v>
                </c:pt>
                <c:pt idx="1142">
                  <c:v>342</c:v>
                </c:pt>
                <c:pt idx="1143">
                  <c:v>342</c:v>
                </c:pt>
                <c:pt idx="1144">
                  <c:v>342</c:v>
                </c:pt>
                <c:pt idx="1145">
                  <c:v>342</c:v>
                </c:pt>
                <c:pt idx="1146">
                  <c:v>342</c:v>
                </c:pt>
                <c:pt idx="1147">
                  <c:v>342</c:v>
                </c:pt>
                <c:pt idx="1148">
                  <c:v>342</c:v>
                </c:pt>
                <c:pt idx="1149">
                  <c:v>342</c:v>
                </c:pt>
                <c:pt idx="1150">
                  <c:v>342</c:v>
                </c:pt>
                <c:pt idx="1151">
                  <c:v>342</c:v>
                </c:pt>
                <c:pt idx="1152">
                  <c:v>342</c:v>
                </c:pt>
                <c:pt idx="1153">
                  <c:v>342</c:v>
                </c:pt>
                <c:pt idx="1154">
                  <c:v>342</c:v>
                </c:pt>
                <c:pt idx="1155">
                  <c:v>342</c:v>
                </c:pt>
                <c:pt idx="1156">
                  <c:v>342</c:v>
                </c:pt>
                <c:pt idx="1157">
                  <c:v>342</c:v>
                </c:pt>
                <c:pt idx="1158">
                  <c:v>342</c:v>
                </c:pt>
                <c:pt idx="1159">
                  <c:v>342</c:v>
                </c:pt>
                <c:pt idx="1160">
                  <c:v>342</c:v>
                </c:pt>
                <c:pt idx="1161">
                  <c:v>342</c:v>
                </c:pt>
                <c:pt idx="1162">
                  <c:v>342</c:v>
                </c:pt>
                <c:pt idx="1163">
                  <c:v>342</c:v>
                </c:pt>
                <c:pt idx="1164">
                  <c:v>342</c:v>
                </c:pt>
                <c:pt idx="1165">
                  <c:v>342</c:v>
                </c:pt>
                <c:pt idx="1166">
                  <c:v>342</c:v>
                </c:pt>
                <c:pt idx="1167">
                  <c:v>342</c:v>
                </c:pt>
                <c:pt idx="1168">
                  <c:v>342</c:v>
                </c:pt>
                <c:pt idx="1169">
                  <c:v>342</c:v>
                </c:pt>
                <c:pt idx="1170">
                  <c:v>342</c:v>
                </c:pt>
                <c:pt idx="1171">
                  <c:v>342</c:v>
                </c:pt>
                <c:pt idx="1172">
                  <c:v>342</c:v>
                </c:pt>
                <c:pt idx="1173">
                  <c:v>342</c:v>
                </c:pt>
                <c:pt idx="1174">
                  <c:v>342</c:v>
                </c:pt>
                <c:pt idx="1175">
                  <c:v>342</c:v>
                </c:pt>
                <c:pt idx="1176">
                  <c:v>342</c:v>
                </c:pt>
                <c:pt idx="1177">
                  <c:v>342</c:v>
                </c:pt>
                <c:pt idx="1178">
                  <c:v>342</c:v>
                </c:pt>
                <c:pt idx="1179">
                  <c:v>342</c:v>
                </c:pt>
                <c:pt idx="1180">
                  <c:v>342</c:v>
                </c:pt>
                <c:pt idx="1181">
                  <c:v>342</c:v>
                </c:pt>
                <c:pt idx="1182">
                  <c:v>342</c:v>
                </c:pt>
                <c:pt idx="1183">
                  <c:v>342</c:v>
                </c:pt>
                <c:pt idx="1184">
                  <c:v>342</c:v>
                </c:pt>
                <c:pt idx="1185">
                  <c:v>342</c:v>
                </c:pt>
                <c:pt idx="1186">
                  <c:v>342</c:v>
                </c:pt>
                <c:pt idx="1187">
                  <c:v>342</c:v>
                </c:pt>
                <c:pt idx="1188">
                  <c:v>342</c:v>
                </c:pt>
                <c:pt idx="1189">
                  <c:v>342</c:v>
                </c:pt>
                <c:pt idx="1190">
                  <c:v>342</c:v>
                </c:pt>
                <c:pt idx="1191">
                  <c:v>342</c:v>
                </c:pt>
                <c:pt idx="1192">
                  <c:v>342</c:v>
                </c:pt>
                <c:pt idx="1193">
                  <c:v>342</c:v>
                </c:pt>
                <c:pt idx="1194">
                  <c:v>342</c:v>
                </c:pt>
                <c:pt idx="1195">
                  <c:v>342</c:v>
                </c:pt>
                <c:pt idx="1196">
                  <c:v>342</c:v>
                </c:pt>
                <c:pt idx="1197">
                  <c:v>342</c:v>
                </c:pt>
                <c:pt idx="1198">
                  <c:v>342</c:v>
                </c:pt>
                <c:pt idx="1199">
                  <c:v>342</c:v>
                </c:pt>
                <c:pt idx="1200">
                  <c:v>342</c:v>
                </c:pt>
                <c:pt idx="1201">
                  <c:v>342</c:v>
                </c:pt>
                <c:pt idx="1202">
                  <c:v>342</c:v>
                </c:pt>
                <c:pt idx="1203">
                  <c:v>342</c:v>
                </c:pt>
                <c:pt idx="1204">
                  <c:v>342</c:v>
                </c:pt>
                <c:pt idx="1205">
                  <c:v>342</c:v>
                </c:pt>
                <c:pt idx="1206">
                  <c:v>342</c:v>
                </c:pt>
                <c:pt idx="1207">
                  <c:v>342</c:v>
                </c:pt>
                <c:pt idx="1208">
                  <c:v>342</c:v>
                </c:pt>
                <c:pt idx="1209">
                  <c:v>342</c:v>
                </c:pt>
                <c:pt idx="1210">
                  <c:v>342</c:v>
                </c:pt>
                <c:pt idx="1211">
                  <c:v>342</c:v>
                </c:pt>
                <c:pt idx="1212">
                  <c:v>342</c:v>
                </c:pt>
                <c:pt idx="1213">
                  <c:v>342</c:v>
                </c:pt>
                <c:pt idx="1214">
                  <c:v>342</c:v>
                </c:pt>
                <c:pt idx="1215">
                  <c:v>342</c:v>
                </c:pt>
                <c:pt idx="1216">
                  <c:v>342</c:v>
                </c:pt>
                <c:pt idx="1217">
                  <c:v>342</c:v>
                </c:pt>
                <c:pt idx="1218">
                  <c:v>342</c:v>
                </c:pt>
                <c:pt idx="1219">
                  <c:v>342</c:v>
                </c:pt>
                <c:pt idx="1220">
                  <c:v>342</c:v>
                </c:pt>
                <c:pt idx="1221">
                  <c:v>342</c:v>
                </c:pt>
                <c:pt idx="1222">
                  <c:v>342</c:v>
                </c:pt>
                <c:pt idx="1223">
                  <c:v>342</c:v>
                </c:pt>
                <c:pt idx="1224">
                  <c:v>342</c:v>
                </c:pt>
                <c:pt idx="1225">
                  <c:v>342</c:v>
                </c:pt>
                <c:pt idx="1226">
                  <c:v>342</c:v>
                </c:pt>
                <c:pt idx="1227">
                  <c:v>342</c:v>
                </c:pt>
                <c:pt idx="1228">
                  <c:v>342</c:v>
                </c:pt>
                <c:pt idx="1229">
                  <c:v>342</c:v>
                </c:pt>
                <c:pt idx="1230">
                  <c:v>342</c:v>
                </c:pt>
                <c:pt idx="1231">
                  <c:v>342</c:v>
                </c:pt>
                <c:pt idx="1232">
                  <c:v>342</c:v>
                </c:pt>
                <c:pt idx="1233">
                  <c:v>342</c:v>
                </c:pt>
                <c:pt idx="1234">
                  <c:v>342</c:v>
                </c:pt>
                <c:pt idx="1235">
                  <c:v>342</c:v>
                </c:pt>
                <c:pt idx="1236">
                  <c:v>342</c:v>
                </c:pt>
                <c:pt idx="1237">
                  <c:v>342</c:v>
                </c:pt>
                <c:pt idx="1238">
                  <c:v>342</c:v>
                </c:pt>
                <c:pt idx="1239">
                  <c:v>342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931-4FAE-852D-D8F887EBF8CE}"/>
            </c:ext>
          </c:extLst>
        </c:ser>
        <c:ser>
          <c:idx val="1"/>
          <c:order val="1"/>
          <c:tx>
            <c:v>Cumulative Readmit using average</c:v>
          </c:tx>
          <c:spPr>
            <a:ln w="6350"/>
          </c:spPr>
          <c:marker>
            <c:symbol val="none"/>
          </c:marker>
          <c:xVal>
            <c:numRef>
              <c:f>CT_ValidationLiftChart!$AZ$4:$AZ$1243</c:f>
              <c:numCache>
                <c:formatCode>General</c:formatCode>
                <c:ptCount val="12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  <c:pt idx="1200">
                  <c:v>1201</c:v>
                </c:pt>
                <c:pt idx="1201">
                  <c:v>1202</c:v>
                </c:pt>
                <c:pt idx="1202">
                  <c:v>1203</c:v>
                </c:pt>
                <c:pt idx="1203">
                  <c:v>1204</c:v>
                </c:pt>
                <c:pt idx="1204">
                  <c:v>1205</c:v>
                </c:pt>
                <c:pt idx="1205">
                  <c:v>1206</c:v>
                </c:pt>
                <c:pt idx="1206">
                  <c:v>1207</c:v>
                </c:pt>
                <c:pt idx="1207">
                  <c:v>1208</c:v>
                </c:pt>
                <c:pt idx="1208">
                  <c:v>1209</c:v>
                </c:pt>
                <c:pt idx="1209">
                  <c:v>1210</c:v>
                </c:pt>
                <c:pt idx="1210">
                  <c:v>1211</c:v>
                </c:pt>
                <c:pt idx="1211">
                  <c:v>1212</c:v>
                </c:pt>
                <c:pt idx="1212">
                  <c:v>1213</c:v>
                </c:pt>
                <c:pt idx="1213">
                  <c:v>1214</c:v>
                </c:pt>
                <c:pt idx="1214">
                  <c:v>1215</c:v>
                </c:pt>
                <c:pt idx="1215">
                  <c:v>1216</c:v>
                </c:pt>
                <c:pt idx="1216">
                  <c:v>1217</c:v>
                </c:pt>
                <c:pt idx="1217">
                  <c:v>1218</c:v>
                </c:pt>
                <c:pt idx="1218">
                  <c:v>1219</c:v>
                </c:pt>
                <c:pt idx="1219">
                  <c:v>1220</c:v>
                </c:pt>
                <c:pt idx="1220">
                  <c:v>1221</c:v>
                </c:pt>
                <c:pt idx="1221">
                  <c:v>1222</c:v>
                </c:pt>
                <c:pt idx="1222">
                  <c:v>1223</c:v>
                </c:pt>
                <c:pt idx="1223">
                  <c:v>1224</c:v>
                </c:pt>
                <c:pt idx="1224">
                  <c:v>1225</c:v>
                </c:pt>
                <c:pt idx="1225">
                  <c:v>1226</c:v>
                </c:pt>
                <c:pt idx="1226">
                  <c:v>1227</c:v>
                </c:pt>
                <c:pt idx="1227">
                  <c:v>1228</c:v>
                </c:pt>
                <c:pt idx="1228">
                  <c:v>1229</c:v>
                </c:pt>
                <c:pt idx="1229">
                  <c:v>1230</c:v>
                </c:pt>
                <c:pt idx="1230">
                  <c:v>1231</c:v>
                </c:pt>
                <c:pt idx="1231">
                  <c:v>1232</c:v>
                </c:pt>
                <c:pt idx="1232">
                  <c:v>1233</c:v>
                </c:pt>
                <c:pt idx="1233">
                  <c:v>1234</c:v>
                </c:pt>
                <c:pt idx="1234">
                  <c:v>1235</c:v>
                </c:pt>
                <c:pt idx="1235">
                  <c:v>1236</c:v>
                </c:pt>
                <c:pt idx="1236">
                  <c:v>1237</c:v>
                </c:pt>
                <c:pt idx="1237">
                  <c:v>1238</c:v>
                </c:pt>
                <c:pt idx="1238">
                  <c:v>1239</c:v>
                </c:pt>
                <c:pt idx="1239">
                  <c:v>1240</c:v>
                </c:pt>
              </c:numCache>
            </c:numRef>
          </c:xVal>
          <c:yVal>
            <c:numRef>
              <c:f>CT_ValidationLiftChart!$BD$4:$BD$1243</c:f>
              <c:numCache>
                <c:formatCode>General</c:formatCode>
                <c:ptCount val="1240"/>
                <c:pt idx="0">
                  <c:v>0.27580645161290324</c:v>
                </c:pt>
                <c:pt idx="1">
                  <c:v>0.55161290322580647</c:v>
                </c:pt>
                <c:pt idx="2">
                  <c:v>0.82741935483870965</c:v>
                </c:pt>
                <c:pt idx="3">
                  <c:v>1.1032258064516129</c:v>
                </c:pt>
                <c:pt idx="4">
                  <c:v>1.3790322580645162</c:v>
                </c:pt>
                <c:pt idx="5">
                  <c:v>1.6548387096774193</c:v>
                </c:pt>
                <c:pt idx="6">
                  <c:v>1.9306451612903226</c:v>
                </c:pt>
                <c:pt idx="7">
                  <c:v>2.2064516129032259</c:v>
                </c:pt>
                <c:pt idx="8">
                  <c:v>2.4822580645161292</c:v>
                </c:pt>
                <c:pt idx="9">
                  <c:v>2.7580645161290325</c:v>
                </c:pt>
                <c:pt idx="10">
                  <c:v>3.0338709677419358</c:v>
                </c:pt>
                <c:pt idx="11">
                  <c:v>3.3096774193548386</c:v>
                </c:pt>
                <c:pt idx="12">
                  <c:v>3.5854838709677419</c:v>
                </c:pt>
                <c:pt idx="13">
                  <c:v>3.8612903225806452</c:v>
                </c:pt>
                <c:pt idx="14">
                  <c:v>4.1370967741935489</c:v>
                </c:pt>
                <c:pt idx="15">
                  <c:v>4.4129032258064518</c:v>
                </c:pt>
                <c:pt idx="16">
                  <c:v>4.6887096774193546</c:v>
                </c:pt>
                <c:pt idx="17">
                  <c:v>4.9645161290322584</c:v>
                </c:pt>
                <c:pt idx="18">
                  <c:v>5.2403225806451612</c:v>
                </c:pt>
                <c:pt idx="19">
                  <c:v>5.5161290322580649</c:v>
                </c:pt>
                <c:pt idx="20">
                  <c:v>5.7919354838709678</c:v>
                </c:pt>
                <c:pt idx="21">
                  <c:v>6.0677419354838715</c:v>
                </c:pt>
                <c:pt idx="22">
                  <c:v>6.3435483870967744</c:v>
                </c:pt>
                <c:pt idx="23">
                  <c:v>6.6193548387096772</c:v>
                </c:pt>
                <c:pt idx="24">
                  <c:v>6.895161290322581</c:v>
                </c:pt>
                <c:pt idx="25">
                  <c:v>7.1709677419354838</c:v>
                </c:pt>
                <c:pt idx="26">
                  <c:v>7.4467741935483875</c:v>
                </c:pt>
                <c:pt idx="27">
                  <c:v>7.7225806451612904</c:v>
                </c:pt>
                <c:pt idx="28">
                  <c:v>7.9983870967741941</c:v>
                </c:pt>
                <c:pt idx="29">
                  <c:v>8.2741935483870979</c:v>
                </c:pt>
                <c:pt idx="30">
                  <c:v>8.5500000000000007</c:v>
                </c:pt>
                <c:pt idx="31">
                  <c:v>8.8258064516129036</c:v>
                </c:pt>
                <c:pt idx="32">
                  <c:v>9.1016129032258064</c:v>
                </c:pt>
                <c:pt idx="33">
                  <c:v>9.3774193548387093</c:v>
                </c:pt>
                <c:pt idx="34">
                  <c:v>9.6532258064516139</c:v>
                </c:pt>
                <c:pt idx="35">
                  <c:v>9.9290322580645167</c:v>
                </c:pt>
                <c:pt idx="36">
                  <c:v>10.20483870967742</c:v>
                </c:pt>
                <c:pt idx="37">
                  <c:v>10.480645161290322</c:v>
                </c:pt>
                <c:pt idx="38">
                  <c:v>10.756451612903227</c:v>
                </c:pt>
                <c:pt idx="39">
                  <c:v>11.03225806451613</c:v>
                </c:pt>
                <c:pt idx="40">
                  <c:v>11.308064516129033</c:v>
                </c:pt>
                <c:pt idx="41">
                  <c:v>11.583870967741936</c:v>
                </c:pt>
                <c:pt idx="42">
                  <c:v>11.859677419354838</c:v>
                </c:pt>
                <c:pt idx="43">
                  <c:v>12.135483870967743</c:v>
                </c:pt>
                <c:pt idx="44">
                  <c:v>12.411290322580646</c:v>
                </c:pt>
                <c:pt idx="45">
                  <c:v>12.687096774193549</c:v>
                </c:pt>
                <c:pt idx="46">
                  <c:v>12.962903225806452</c:v>
                </c:pt>
                <c:pt idx="47">
                  <c:v>13.238709677419354</c:v>
                </c:pt>
                <c:pt idx="48">
                  <c:v>13.514516129032259</c:v>
                </c:pt>
                <c:pt idx="49">
                  <c:v>13.790322580645162</c:v>
                </c:pt>
                <c:pt idx="50">
                  <c:v>14.066129032258065</c:v>
                </c:pt>
                <c:pt idx="51">
                  <c:v>14.341935483870968</c:v>
                </c:pt>
                <c:pt idx="52">
                  <c:v>14.617741935483872</c:v>
                </c:pt>
                <c:pt idx="53">
                  <c:v>14.893548387096775</c:v>
                </c:pt>
                <c:pt idx="54">
                  <c:v>15.169354838709678</c:v>
                </c:pt>
                <c:pt idx="55">
                  <c:v>15.445161290322581</c:v>
                </c:pt>
                <c:pt idx="56">
                  <c:v>15.720967741935484</c:v>
                </c:pt>
                <c:pt idx="57">
                  <c:v>15.996774193548388</c:v>
                </c:pt>
                <c:pt idx="58">
                  <c:v>16.272580645161291</c:v>
                </c:pt>
                <c:pt idx="59">
                  <c:v>16.548387096774196</c:v>
                </c:pt>
                <c:pt idx="60">
                  <c:v>16.824193548387097</c:v>
                </c:pt>
                <c:pt idx="61">
                  <c:v>17.100000000000001</c:v>
                </c:pt>
                <c:pt idx="62">
                  <c:v>17.375806451612902</c:v>
                </c:pt>
                <c:pt idx="63">
                  <c:v>17.651612903225807</c:v>
                </c:pt>
                <c:pt idx="64">
                  <c:v>17.927419354838712</c:v>
                </c:pt>
                <c:pt idx="65">
                  <c:v>18.203225806451613</c:v>
                </c:pt>
                <c:pt idx="66">
                  <c:v>18.479032258064517</c:v>
                </c:pt>
                <c:pt idx="67">
                  <c:v>18.754838709677419</c:v>
                </c:pt>
                <c:pt idx="68">
                  <c:v>19.030645161290323</c:v>
                </c:pt>
                <c:pt idx="69">
                  <c:v>19.306451612903228</c:v>
                </c:pt>
                <c:pt idx="70">
                  <c:v>19.582258064516129</c:v>
                </c:pt>
                <c:pt idx="71">
                  <c:v>19.858064516129033</c:v>
                </c:pt>
                <c:pt idx="72">
                  <c:v>20.133870967741935</c:v>
                </c:pt>
                <c:pt idx="73">
                  <c:v>20.409677419354839</c:v>
                </c:pt>
                <c:pt idx="74">
                  <c:v>20.685483870967744</c:v>
                </c:pt>
                <c:pt idx="75">
                  <c:v>20.961290322580645</c:v>
                </c:pt>
                <c:pt idx="76">
                  <c:v>21.237096774193549</c:v>
                </c:pt>
                <c:pt idx="77">
                  <c:v>21.512903225806454</c:v>
                </c:pt>
                <c:pt idx="78">
                  <c:v>21.788709677419355</c:v>
                </c:pt>
                <c:pt idx="79">
                  <c:v>22.06451612903226</c:v>
                </c:pt>
                <c:pt idx="80">
                  <c:v>22.340322580645161</c:v>
                </c:pt>
                <c:pt idx="81">
                  <c:v>22.616129032258065</c:v>
                </c:pt>
                <c:pt idx="82">
                  <c:v>22.89193548387097</c:v>
                </c:pt>
                <c:pt idx="83">
                  <c:v>23.167741935483871</c:v>
                </c:pt>
                <c:pt idx="84">
                  <c:v>23.443548387096776</c:v>
                </c:pt>
                <c:pt idx="85">
                  <c:v>23.719354838709677</c:v>
                </c:pt>
                <c:pt idx="86">
                  <c:v>23.995161290322581</c:v>
                </c:pt>
                <c:pt idx="87">
                  <c:v>24.270967741935486</c:v>
                </c:pt>
                <c:pt idx="88">
                  <c:v>24.546774193548387</c:v>
                </c:pt>
                <c:pt idx="89">
                  <c:v>24.822580645161292</c:v>
                </c:pt>
                <c:pt idx="90">
                  <c:v>25.098387096774193</c:v>
                </c:pt>
                <c:pt idx="91">
                  <c:v>25.374193548387098</c:v>
                </c:pt>
                <c:pt idx="92">
                  <c:v>25.650000000000002</c:v>
                </c:pt>
                <c:pt idx="93">
                  <c:v>25.925806451612903</c:v>
                </c:pt>
                <c:pt idx="94">
                  <c:v>26.201612903225808</c:v>
                </c:pt>
                <c:pt idx="95">
                  <c:v>26.477419354838709</c:v>
                </c:pt>
                <c:pt idx="96">
                  <c:v>26.753225806451614</c:v>
                </c:pt>
                <c:pt idx="97">
                  <c:v>27.029032258064518</c:v>
                </c:pt>
                <c:pt idx="98">
                  <c:v>27.304838709677419</c:v>
                </c:pt>
                <c:pt idx="99">
                  <c:v>27.580645161290324</c:v>
                </c:pt>
                <c:pt idx="100">
                  <c:v>27.856451612903228</c:v>
                </c:pt>
                <c:pt idx="101">
                  <c:v>28.13225806451613</c:v>
                </c:pt>
                <c:pt idx="102">
                  <c:v>28.408064516129034</c:v>
                </c:pt>
                <c:pt idx="103">
                  <c:v>28.683870967741935</c:v>
                </c:pt>
                <c:pt idx="104">
                  <c:v>28.95967741935484</c:v>
                </c:pt>
                <c:pt idx="105">
                  <c:v>29.235483870967744</c:v>
                </c:pt>
                <c:pt idx="106">
                  <c:v>29.511290322580646</c:v>
                </c:pt>
                <c:pt idx="107">
                  <c:v>29.78709677419355</c:v>
                </c:pt>
                <c:pt idx="108">
                  <c:v>30.062903225806451</c:v>
                </c:pt>
                <c:pt idx="109">
                  <c:v>30.338709677419356</c:v>
                </c:pt>
                <c:pt idx="110">
                  <c:v>30.61451612903226</c:v>
                </c:pt>
                <c:pt idx="111">
                  <c:v>30.890322580645162</c:v>
                </c:pt>
                <c:pt idx="112">
                  <c:v>31.166129032258066</c:v>
                </c:pt>
                <c:pt idx="113">
                  <c:v>31.441935483870967</c:v>
                </c:pt>
                <c:pt idx="114">
                  <c:v>31.717741935483872</c:v>
                </c:pt>
                <c:pt idx="115">
                  <c:v>31.993548387096777</c:v>
                </c:pt>
                <c:pt idx="116">
                  <c:v>32.269354838709681</c:v>
                </c:pt>
                <c:pt idx="117">
                  <c:v>32.545161290322582</c:v>
                </c:pt>
                <c:pt idx="118">
                  <c:v>32.820967741935483</c:v>
                </c:pt>
                <c:pt idx="119">
                  <c:v>33.096774193548391</c:v>
                </c:pt>
                <c:pt idx="120">
                  <c:v>33.372580645161293</c:v>
                </c:pt>
                <c:pt idx="121">
                  <c:v>33.648387096774194</c:v>
                </c:pt>
                <c:pt idx="122">
                  <c:v>33.924193548387095</c:v>
                </c:pt>
                <c:pt idx="123">
                  <c:v>34.200000000000003</c:v>
                </c:pt>
                <c:pt idx="124">
                  <c:v>34.475806451612904</c:v>
                </c:pt>
                <c:pt idx="125">
                  <c:v>34.751612903225805</c:v>
                </c:pt>
                <c:pt idx="126">
                  <c:v>35.027419354838713</c:v>
                </c:pt>
                <c:pt idx="127">
                  <c:v>35.303225806451614</c:v>
                </c:pt>
                <c:pt idx="128">
                  <c:v>35.579032258064515</c:v>
                </c:pt>
                <c:pt idx="129">
                  <c:v>35.854838709677423</c:v>
                </c:pt>
                <c:pt idx="130">
                  <c:v>36.130645161290325</c:v>
                </c:pt>
                <c:pt idx="131">
                  <c:v>36.406451612903226</c:v>
                </c:pt>
                <c:pt idx="132">
                  <c:v>36.682258064516134</c:v>
                </c:pt>
                <c:pt idx="133">
                  <c:v>36.958064516129035</c:v>
                </c:pt>
                <c:pt idx="134">
                  <c:v>37.233870967741936</c:v>
                </c:pt>
                <c:pt idx="135">
                  <c:v>37.509677419354837</c:v>
                </c:pt>
                <c:pt idx="136">
                  <c:v>37.785483870967745</c:v>
                </c:pt>
                <c:pt idx="137">
                  <c:v>38.061290322580646</c:v>
                </c:pt>
                <c:pt idx="138">
                  <c:v>38.337096774193547</c:v>
                </c:pt>
                <c:pt idx="139">
                  <c:v>38.612903225806456</c:v>
                </c:pt>
                <c:pt idx="140">
                  <c:v>38.888709677419357</c:v>
                </c:pt>
                <c:pt idx="141">
                  <c:v>39.164516129032258</c:v>
                </c:pt>
                <c:pt idx="142">
                  <c:v>39.440322580645166</c:v>
                </c:pt>
                <c:pt idx="143">
                  <c:v>39.716129032258067</c:v>
                </c:pt>
                <c:pt idx="144">
                  <c:v>39.991935483870968</c:v>
                </c:pt>
                <c:pt idx="145">
                  <c:v>40.267741935483869</c:v>
                </c:pt>
                <c:pt idx="146">
                  <c:v>40.543548387096777</c:v>
                </c:pt>
                <c:pt idx="147">
                  <c:v>40.819354838709678</c:v>
                </c:pt>
                <c:pt idx="148">
                  <c:v>41.095161290322579</c:v>
                </c:pt>
                <c:pt idx="149">
                  <c:v>41.370967741935488</c:v>
                </c:pt>
                <c:pt idx="150">
                  <c:v>41.646774193548389</c:v>
                </c:pt>
                <c:pt idx="151">
                  <c:v>41.92258064516129</c:v>
                </c:pt>
                <c:pt idx="152">
                  <c:v>42.198387096774198</c:v>
                </c:pt>
                <c:pt idx="153">
                  <c:v>42.474193548387099</c:v>
                </c:pt>
                <c:pt idx="154">
                  <c:v>42.75</c:v>
                </c:pt>
                <c:pt idx="155">
                  <c:v>43.025806451612908</c:v>
                </c:pt>
                <c:pt idx="156">
                  <c:v>43.301612903225809</c:v>
                </c:pt>
                <c:pt idx="157">
                  <c:v>43.57741935483871</c:v>
                </c:pt>
                <c:pt idx="158">
                  <c:v>43.853225806451611</c:v>
                </c:pt>
                <c:pt idx="159">
                  <c:v>44.12903225806452</c:v>
                </c:pt>
                <c:pt idx="160">
                  <c:v>44.404838709677421</c:v>
                </c:pt>
                <c:pt idx="161">
                  <c:v>44.680645161290322</c:v>
                </c:pt>
                <c:pt idx="162">
                  <c:v>44.95645161290323</c:v>
                </c:pt>
                <c:pt idx="163">
                  <c:v>45.232258064516131</c:v>
                </c:pt>
                <c:pt idx="164">
                  <c:v>45.508064516129032</c:v>
                </c:pt>
                <c:pt idx="165">
                  <c:v>45.78387096774194</c:v>
                </c:pt>
                <c:pt idx="166">
                  <c:v>46.059677419354841</c:v>
                </c:pt>
                <c:pt idx="167">
                  <c:v>46.335483870967742</c:v>
                </c:pt>
                <c:pt idx="168">
                  <c:v>46.611290322580643</c:v>
                </c:pt>
                <c:pt idx="169">
                  <c:v>46.887096774193552</c:v>
                </c:pt>
                <c:pt idx="170">
                  <c:v>47.162903225806453</c:v>
                </c:pt>
                <c:pt idx="171">
                  <c:v>47.438709677419354</c:v>
                </c:pt>
                <c:pt idx="172">
                  <c:v>47.714516129032262</c:v>
                </c:pt>
                <c:pt idx="173">
                  <c:v>47.990322580645163</c:v>
                </c:pt>
                <c:pt idx="174">
                  <c:v>48.266129032258064</c:v>
                </c:pt>
                <c:pt idx="175">
                  <c:v>48.541935483870972</c:v>
                </c:pt>
                <c:pt idx="176">
                  <c:v>48.817741935483873</c:v>
                </c:pt>
                <c:pt idx="177">
                  <c:v>49.093548387096774</c:v>
                </c:pt>
                <c:pt idx="178">
                  <c:v>49.369354838709683</c:v>
                </c:pt>
                <c:pt idx="179">
                  <c:v>49.645161290322584</c:v>
                </c:pt>
                <c:pt idx="180">
                  <c:v>49.920967741935485</c:v>
                </c:pt>
                <c:pt idx="181">
                  <c:v>50.196774193548386</c:v>
                </c:pt>
                <c:pt idx="182">
                  <c:v>50.472580645161294</c:v>
                </c:pt>
                <c:pt idx="183">
                  <c:v>50.748387096774195</c:v>
                </c:pt>
                <c:pt idx="184">
                  <c:v>51.024193548387096</c:v>
                </c:pt>
                <c:pt idx="185">
                  <c:v>51.300000000000004</c:v>
                </c:pt>
                <c:pt idx="186">
                  <c:v>51.575806451612905</c:v>
                </c:pt>
                <c:pt idx="187">
                  <c:v>51.851612903225806</c:v>
                </c:pt>
                <c:pt idx="188">
                  <c:v>52.127419354838715</c:v>
                </c:pt>
                <c:pt idx="189">
                  <c:v>52.403225806451616</c:v>
                </c:pt>
                <c:pt idx="190">
                  <c:v>52.679032258064517</c:v>
                </c:pt>
                <c:pt idx="191">
                  <c:v>52.954838709677418</c:v>
                </c:pt>
                <c:pt idx="192">
                  <c:v>53.230645161290326</c:v>
                </c:pt>
                <c:pt idx="193">
                  <c:v>53.506451612903227</c:v>
                </c:pt>
                <c:pt idx="194">
                  <c:v>53.782258064516128</c:v>
                </c:pt>
                <c:pt idx="195">
                  <c:v>54.058064516129036</c:v>
                </c:pt>
                <c:pt idx="196">
                  <c:v>54.333870967741937</c:v>
                </c:pt>
                <c:pt idx="197">
                  <c:v>54.609677419354838</c:v>
                </c:pt>
                <c:pt idx="198">
                  <c:v>54.885483870967747</c:v>
                </c:pt>
                <c:pt idx="199">
                  <c:v>55.161290322580648</c:v>
                </c:pt>
                <c:pt idx="200">
                  <c:v>55.437096774193549</c:v>
                </c:pt>
                <c:pt idx="201">
                  <c:v>55.712903225806457</c:v>
                </c:pt>
                <c:pt idx="202">
                  <c:v>55.988709677419358</c:v>
                </c:pt>
                <c:pt idx="203">
                  <c:v>56.264516129032259</c:v>
                </c:pt>
                <c:pt idx="204">
                  <c:v>56.54032258064516</c:v>
                </c:pt>
                <c:pt idx="205">
                  <c:v>56.816129032258068</c:v>
                </c:pt>
                <c:pt idx="206">
                  <c:v>57.091935483870969</c:v>
                </c:pt>
                <c:pt idx="207">
                  <c:v>57.36774193548387</c:v>
                </c:pt>
                <c:pt idx="208">
                  <c:v>57.643548387096779</c:v>
                </c:pt>
                <c:pt idx="209">
                  <c:v>57.91935483870968</c:v>
                </c:pt>
                <c:pt idx="210">
                  <c:v>58.195161290322581</c:v>
                </c:pt>
                <c:pt idx="211">
                  <c:v>58.470967741935489</c:v>
                </c:pt>
                <c:pt idx="212">
                  <c:v>58.74677419354839</c:v>
                </c:pt>
                <c:pt idx="213">
                  <c:v>59.022580645161291</c:v>
                </c:pt>
                <c:pt idx="214">
                  <c:v>59.298387096774199</c:v>
                </c:pt>
                <c:pt idx="215">
                  <c:v>59.5741935483871</c:v>
                </c:pt>
                <c:pt idx="216">
                  <c:v>59.85</c:v>
                </c:pt>
                <c:pt idx="217">
                  <c:v>60.125806451612902</c:v>
                </c:pt>
                <c:pt idx="218">
                  <c:v>60.401612903225811</c:v>
                </c:pt>
                <c:pt idx="219">
                  <c:v>60.677419354838712</c:v>
                </c:pt>
                <c:pt idx="220">
                  <c:v>60.953225806451613</c:v>
                </c:pt>
                <c:pt idx="221">
                  <c:v>61.229032258064521</c:v>
                </c:pt>
                <c:pt idx="222">
                  <c:v>61.504838709677422</c:v>
                </c:pt>
                <c:pt idx="223">
                  <c:v>61.780645161290323</c:v>
                </c:pt>
                <c:pt idx="224">
                  <c:v>62.056451612903231</c:v>
                </c:pt>
                <c:pt idx="225">
                  <c:v>62.332258064516132</c:v>
                </c:pt>
                <c:pt idx="226">
                  <c:v>62.608064516129033</c:v>
                </c:pt>
                <c:pt idx="227">
                  <c:v>62.883870967741935</c:v>
                </c:pt>
                <c:pt idx="228">
                  <c:v>63.159677419354843</c:v>
                </c:pt>
                <c:pt idx="229">
                  <c:v>63.435483870967744</c:v>
                </c:pt>
                <c:pt idx="230">
                  <c:v>63.711290322580645</c:v>
                </c:pt>
                <c:pt idx="231">
                  <c:v>63.987096774193553</c:v>
                </c:pt>
                <c:pt idx="232">
                  <c:v>64.262903225806454</c:v>
                </c:pt>
                <c:pt idx="233">
                  <c:v>64.538709677419362</c:v>
                </c:pt>
                <c:pt idx="234">
                  <c:v>64.814516129032256</c:v>
                </c:pt>
                <c:pt idx="235">
                  <c:v>65.090322580645164</c:v>
                </c:pt>
                <c:pt idx="236">
                  <c:v>65.366129032258073</c:v>
                </c:pt>
                <c:pt idx="237">
                  <c:v>65.641935483870967</c:v>
                </c:pt>
                <c:pt idx="238">
                  <c:v>65.917741935483875</c:v>
                </c:pt>
                <c:pt idx="239">
                  <c:v>66.193548387096783</c:v>
                </c:pt>
                <c:pt idx="240">
                  <c:v>66.469354838709677</c:v>
                </c:pt>
                <c:pt idx="241">
                  <c:v>66.745161290322585</c:v>
                </c:pt>
                <c:pt idx="242">
                  <c:v>67.020967741935493</c:v>
                </c:pt>
                <c:pt idx="243">
                  <c:v>67.296774193548387</c:v>
                </c:pt>
                <c:pt idx="244">
                  <c:v>67.572580645161295</c:v>
                </c:pt>
                <c:pt idx="245">
                  <c:v>67.848387096774189</c:v>
                </c:pt>
                <c:pt idx="246">
                  <c:v>68.124193548387098</c:v>
                </c:pt>
                <c:pt idx="247">
                  <c:v>68.400000000000006</c:v>
                </c:pt>
                <c:pt idx="248">
                  <c:v>68.6758064516129</c:v>
                </c:pt>
                <c:pt idx="249">
                  <c:v>68.951612903225808</c:v>
                </c:pt>
                <c:pt idx="250">
                  <c:v>69.227419354838716</c:v>
                </c:pt>
                <c:pt idx="251">
                  <c:v>69.50322580645161</c:v>
                </c:pt>
                <c:pt idx="252">
                  <c:v>69.779032258064518</c:v>
                </c:pt>
                <c:pt idx="253">
                  <c:v>70.054838709677426</c:v>
                </c:pt>
                <c:pt idx="254">
                  <c:v>70.33064516129032</c:v>
                </c:pt>
                <c:pt idx="255">
                  <c:v>70.606451612903228</c:v>
                </c:pt>
                <c:pt idx="256">
                  <c:v>70.882258064516137</c:v>
                </c:pt>
                <c:pt idx="257">
                  <c:v>71.158064516129031</c:v>
                </c:pt>
                <c:pt idx="258">
                  <c:v>71.433870967741939</c:v>
                </c:pt>
                <c:pt idx="259">
                  <c:v>71.709677419354847</c:v>
                </c:pt>
                <c:pt idx="260">
                  <c:v>71.985483870967741</c:v>
                </c:pt>
                <c:pt idx="261">
                  <c:v>72.261290322580649</c:v>
                </c:pt>
                <c:pt idx="262">
                  <c:v>72.537096774193557</c:v>
                </c:pt>
                <c:pt idx="263">
                  <c:v>72.812903225806451</c:v>
                </c:pt>
                <c:pt idx="264">
                  <c:v>73.088709677419359</c:v>
                </c:pt>
                <c:pt idx="265">
                  <c:v>73.364516129032268</c:v>
                </c:pt>
                <c:pt idx="266">
                  <c:v>73.640322580645162</c:v>
                </c:pt>
                <c:pt idx="267">
                  <c:v>73.91612903225807</c:v>
                </c:pt>
                <c:pt idx="268">
                  <c:v>74.191935483870964</c:v>
                </c:pt>
                <c:pt idx="269">
                  <c:v>74.467741935483872</c:v>
                </c:pt>
                <c:pt idx="270">
                  <c:v>74.74354838709678</c:v>
                </c:pt>
                <c:pt idx="271">
                  <c:v>75.019354838709674</c:v>
                </c:pt>
                <c:pt idx="272">
                  <c:v>75.295161290322582</c:v>
                </c:pt>
                <c:pt idx="273">
                  <c:v>75.57096774193549</c:v>
                </c:pt>
                <c:pt idx="274">
                  <c:v>75.846774193548384</c:v>
                </c:pt>
                <c:pt idx="275">
                  <c:v>76.122580645161293</c:v>
                </c:pt>
                <c:pt idx="276">
                  <c:v>76.398387096774201</c:v>
                </c:pt>
                <c:pt idx="277">
                  <c:v>76.674193548387095</c:v>
                </c:pt>
                <c:pt idx="278">
                  <c:v>76.95</c:v>
                </c:pt>
                <c:pt idx="279">
                  <c:v>77.225806451612911</c:v>
                </c:pt>
                <c:pt idx="280">
                  <c:v>77.501612903225805</c:v>
                </c:pt>
                <c:pt idx="281">
                  <c:v>77.777419354838713</c:v>
                </c:pt>
                <c:pt idx="282">
                  <c:v>78.053225806451621</c:v>
                </c:pt>
                <c:pt idx="283">
                  <c:v>78.329032258064515</c:v>
                </c:pt>
                <c:pt idx="284">
                  <c:v>78.604838709677423</c:v>
                </c:pt>
                <c:pt idx="285">
                  <c:v>78.880645161290332</c:v>
                </c:pt>
                <c:pt idx="286">
                  <c:v>79.156451612903226</c:v>
                </c:pt>
                <c:pt idx="287">
                  <c:v>79.432258064516134</c:v>
                </c:pt>
                <c:pt idx="288">
                  <c:v>79.708064516129042</c:v>
                </c:pt>
                <c:pt idx="289">
                  <c:v>79.983870967741936</c:v>
                </c:pt>
                <c:pt idx="290">
                  <c:v>80.259677419354844</c:v>
                </c:pt>
                <c:pt idx="291">
                  <c:v>80.535483870967738</c:v>
                </c:pt>
                <c:pt idx="292">
                  <c:v>80.811290322580646</c:v>
                </c:pt>
                <c:pt idx="293">
                  <c:v>81.087096774193554</c:v>
                </c:pt>
                <c:pt idx="294">
                  <c:v>81.362903225806448</c:v>
                </c:pt>
                <c:pt idx="295">
                  <c:v>81.638709677419357</c:v>
                </c:pt>
                <c:pt idx="296">
                  <c:v>81.914516129032265</c:v>
                </c:pt>
                <c:pt idx="297">
                  <c:v>82.190322580645159</c:v>
                </c:pt>
                <c:pt idx="298">
                  <c:v>82.466129032258067</c:v>
                </c:pt>
                <c:pt idx="299">
                  <c:v>82.741935483870975</c:v>
                </c:pt>
                <c:pt idx="300">
                  <c:v>83.017741935483869</c:v>
                </c:pt>
                <c:pt idx="301">
                  <c:v>83.293548387096777</c:v>
                </c:pt>
                <c:pt idx="302">
                  <c:v>83.569354838709685</c:v>
                </c:pt>
                <c:pt idx="303">
                  <c:v>83.845161290322579</c:v>
                </c:pt>
                <c:pt idx="304">
                  <c:v>84.120967741935488</c:v>
                </c:pt>
                <c:pt idx="305">
                  <c:v>84.396774193548396</c:v>
                </c:pt>
                <c:pt idx="306">
                  <c:v>84.67258064516129</c:v>
                </c:pt>
                <c:pt idx="307">
                  <c:v>84.948387096774198</c:v>
                </c:pt>
                <c:pt idx="308">
                  <c:v>85.224193548387106</c:v>
                </c:pt>
                <c:pt idx="309">
                  <c:v>85.5</c:v>
                </c:pt>
                <c:pt idx="310">
                  <c:v>85.775806451612908</c:v>
                </c:pt>
                <c:pt idx="311">
                  <c:v>86.051612903225816</c:v>
                </c:pt>
                <c:pt idx="312">
                  <c:v>86.32741935483871</c:v>
                </c:pt>
                <c:pt idx="313">
                  <c:v>86.603225806451618</c:v>
                </c:pt>
                <c:pt idx="314">
                  <c:v>86.879032258064512</c:v>
                </c:pt>
                <c:pt idx="315">
                  <c:v>87.154838709677421</c:v>
                </c:pt>
                <c:pt idx="316">
                  <c:v>87.430645161290329</c:v>
                </c:pt>
                <c:pt idx="317">
                  <c:v>87.706451612903223</c:v>
                </c:pt>
                <c:pt idx="318">
                  <c:v>87.982258064516131</c:v>
                </c:pt>
                <c:pt idx="319">
                  <c:v>88.258064516129039</c:v>
                </c:pt>
                <c:pt idx="320">
                  <c:v>88.533870967741933</c:v>
                </c:pt>
                <c:pt idx="321">
                  <c:v>88.809677419354841</c:v>
                </c:pt>
                <c:pt idx="322">
                  <c:v>89.085483870967749</c:v>
                </c:pt>
                <c:pt idx="323">
                  <c:v>89.361290322580643</c:v>
                </c:pt>
                <c:pt idx="324">
                  <c:v>89.637096774193552</c:v>
                </c:pt>
                <c:pt idx="325">
                  <c:v>89.91290322580646</c:v>
                </c:pt>
                <c:pt idx="326">
                  <c:v>90.188709677419354</c:v>
                </c:pt>
                <c:pt idx="327">
                  <c:v>90.464516129032262</c:v>
                </c:pt>
                <c:pt idx="328">
                  <c:v>90.74032258064517</c:v>
                </c:pt>
                <c:pt idx="329">
                  <c:v>91.016129032258064</c:v>
                </c:pt>
                <c:pt idx="330">
                  <c:v>91.291935483870972</c:v>
                </c:pt>
                <c:pt idx="331">
                  <c:v>91.56774193548388</c:v>
                </c:pt>
                <c:pt idx="332">
                  <c:v>91.843548387096774</c:v>
                </c:pt>
                <c:pt idx="333">
                  <c:v>92.119354838709683</c:v>
                </c:pt>
                <c:pt idx="334">
                  <c:v>92.395161290322591</c:v>
                </c:pt>
                <c:pt idx="335">
                  <c:v>92.670967741935485</c:v>
                </c:pt>
                <c:pt idx="336">
                  <c:v>92.946774193548393</c:v>
                </c:pt>
                <c:pt idx="337">
                  <c:v>93.222580645161287</c:v>
                </c:pt>
                <c:pt idx="338">
                  <c:v>93.498387096774195</c:v>
                </c:pt>
                <c:pt idx="339">
                  <c:v>93.774193548387103</c:v>
                </c:pt>
                <c:pt idx="340">
                  <c:v>94.05</c:v>
                </c:pt>
                <c:pt idx="341">
                  <c:v>94.325806451612905</c:v>
                </c:pt>
                <c:pt idx="342">
                  <c:v>94.601612903225814</c:v>
                </c:pt>
                <c:pt idx="343">
                  <c:v>94.877419354838707</c:v>
                </c:pt>
                <c:pt idx="344">
                  <c:v>95.153225806451616</c:v>
                </c:pt>
                <c:pt idx="345">
                  <c:v>95.429032258064524</c:v>
                </c:pt>
                <c:pt idx="346">
                  <c:v>95.704838709677418</c:v>
                </c:pt>
                <c:pt idx="347">
                  <c:v>95.980645161290326</c:v>
                </c:pt>
                <c:pt idx="348">
                  <c:v>96.256451612903234</c:v>
                </c:pt>
                <c:pt idx="349">
                  <c:v>96.532258064516128</c:v>
                </c:pt>
                <c:pt idx="350">
                  <c:v>96.808064516129036</c:v>
                </c:pt>
                <c:pt idx="351">
                  <c:v>97.083870967741944</c:v>
                </c:pt>
                <c:pt idx="352">
                  <c:v>97.359677419354838</c:v>
                </c:pt>
                <c:pt idx="353">
                  <c:v>97.635483870967747</c:v>
                </c:pt>
                <c:pt idx="354">
                  <c:v>97.911290322580655</c:v>
                </c:pt>
                <c:pt idx="355">
                  <c:v>98.187096774193549</c:v>
                </c:pt>
                <c:pt idx="356">
                  <c:v>98.462903225806457</c:v>
                </c:pt>
                <c:pt idx="357">
                  <c:v>98.738709677419365</c:v>
                </c:pt>
                <c:pt idx="358">
                  <c:v>99.014516129032259</c:v>
                </c:pt>
                <c:pt idx="359">
                  <c:v>99.290322580645167</c:v>
                </c:pt>
                <c:pt idx="360">
                  <c:v>99.566129032258061</c:v>
                </c:pt>
                <c:pt idx="361">
                  <c:v>99.841935483870969</c:v>
                </c:pt>
                <c:pt idx="362">
                  <c:v>100.11774193548388</c:v>
                </c:pt>
                <c:pt idx="363">
                  <c:v>100.39354838709677</c:v>
                </c:pt>
                <c:pt idx="364">
                  <c:v>100.66935483870968</c:v>
                </c:pt>
                <c:pt idx="365">
                  <c:v>100.94516129032259</c:v>
                </c:pt>
                <c:pt idx="366">
                  <c:v>101.22096774193548</c:v>
                </c:pt>
                <c:pt idx="367">
                  <c:v>101.49677419354839</c:v>
                </c:pt>
                <c:pt idx="368">
                  <c:v>101.7725806451613</c:v>
                </c:pt>
                <c:pt idx="369">
                  <c:v>102.04838709677419</c:v>
                </c:pt>
                <c:pt idx="370">
                  <c:v>102.3241935483871</c:v>
                </c:pt>
                <c:pt idx="371">
                  <c:v>102.60000000000001</c:v>
                </c:pt>
                <c:pt idx="372">
                  <c:v>102.8758064516129</c:v>
                </c:pt>
                <c:pt idx="373">
                  <c:v>103.15161290322581</c:v>
                </c:pt>
                <c:pt idx="374">
                  <c:v>103.42741935483872</c:v>
                </c:pt>
                <c:pt idx="375">
                  <c:v>103.70322580645161</c:v>
                </c:pt>
                <c:pt idx="376">
                  <c:v>103.97903225806452</c:v>
                </c:pt>
                <c:pt idx="377">
                  <c:v>104.25483870967743</c:v>
                </c:pt>
                <c:pt idx="378">
                  <c:v>104.53064516129032</c:v>
                </c:pt>
                <c:pt idx="379">
                  <c:v>104.80645161290323</c:v>
                </c:pt>
                <c:pt idx="380">
                  <c:v>105.08225806451614</c:v>
                </c:pt>
                <c:pt idx="381">
                  <c:v>105.35806451612903</c:v>
                </c:pt>
                <c:pt idx="382">
                  <c:v>105.63387096774194</c:v>
                </c:pt>
                <c:pt idx="383">
                  <c:v>105.90967741935484</c:v>
                </c:pt>
                <c:pt idx="384">
                  <c:v>106.18548387096774</c:v>
                </c:pt>
                <c:pt idx="385">
                  <c:v>106.46129032258065</c:v>
                </c:pt>
                <c:pt idx="386">
                  <c:v>106.73709677419355</c:v>
                </c:pt>
                <c:pt idx="387">
                  <c:v>107.01290322580645</c:v>
                </c:pt>
                <c:pt idx="388">
                  <c:v>107.28870967741936</c:v>
                </c:pt>
                <c:pt idx="389">
                  <c:v>107.56451612903226</c:v>
                </c:pt>
                <c:pt idx="390">
                  <c:v>107.84032258064516</c:v>
                </c:pt>
                <c:pt idx="391">
                  <c:v>108.11612903225807</c:v>
                </c:pt>
                <c:pt idx="392">
                  <c:v>108.39193548387097</c:v>
                </c:pt>
                <c:pt idx="393">
                  <c:v>108.66774193548387</c:v>
                </c:pt>
                <c:pt idx="394">
                  <c:v>108.94354838709678</c:v>
                </c:pt>
                <c:pt idx="395">
                  <c:v>109.21935483870968</c:v>
                </c:pt>
                <c:pt idx="396">
                  <c:v>109.49516129032259</c:v>
                </c:pt>
                <c:pt idx="397">
                  <c:v>109.77096774193549</c:v>
                </c:pt>
                <c:pt idx="398">
                  <c:v>110.04677419354839</c:v>
                </c:pt>
                <c:pt idx="399">
                  <c:v>110.3225806451613</c:v>
                </c:pt>
                <c:pt idx="400">
                  <c:v>110.5983870967742</c:v>
                </c:pt>
                <c:pt idx="401">
                  <c:v>110.8741935483871</c:v>
                </c:pt>
                <c:pt idx="402">
                  <c:v>111.15</c:v>
                </c:pt>
                <c:pt idx="403">
                  <c:v>111.42580645161291</c:v>
                </c:pt>
                <c:pt idx="404">
                  <c:v>111.70161290322581</c:v>
                </c:pt>
                <c:pt idx="405">
                  <c:v>111.97741935483872</c:v>
                </c:pt>
                <c:pt idx="406">
                  <c:v>112.25322580645162</c:v>
                </c:pt>
                <c:pt idx="407">
                  <c:v>112.52903225806452</c:v>
                </c:pt>
                <c:pt idx="408">
                  <c:v>112.80483870967743</c:v>
                </c:pt>
                <c:pt idx="409">
                  <c:v>113.08064516129032</c:v>
                </c:pt>
                <c:pt idx="410">
                  <c:v>113.35645161290323</c:v>
                </c:pt>
                <c:pt idx="411">
                  <c:v>113.63225806451614</c:v>
                </c:pt>
                <c:pt idx="412">
                  <c:v>113.90806451612903</c:v>
                </c:pt>
                <c:pt idx="413">
                  <c:v>114.18387096774194</c:v>
                </c:pt>
                <c:pt idx="414">
                  <c:v>114.45967741935485</c:v>
                </c:pt>
                <c:pt idx="415">
                  <c:v>114.73548387096774</c:v>
                </c:pt>
                <c:pt idx="416">
                  <c:v>115.01129032258065</c:v>
                </c:pt>
                <c:pt idx="417">
                  <c:v>115.28709677419356</c:v>
                </c:pt>
                <c:pt idx="418">
                  <c:v>115.56290322580645</c:v>
                </c:pt>
                <c:pt idx="419">
                  <c:v>115.83870967741936</c:v>
                </c:pt>
                <c:pt idx="420">
                  <c:v>116.11451612903227</c:v>
                </c:pt>
                <c:pt idx="421">
                  <c:v>116.39032258064516</c:v>
                </c:pt>
                <c:pt idx="422">
                  <c:v>116.66612903225807</c:v>
                </c:pt>
                <c:pt idx="423">
                  <c:v>116.94193548387098</c:v>
                </c:pt>
                <c:pt idx="424">
                  <c:v>117.21774193548387</c:v>
                </c:pt>
                <c:pt idx="425">
                  <c:v>117.49354838709678</c:v>
                </c:pt>
                <c:pt idx="426">
                  <c:v>117.76935483870969</c:v>
                </c:pt>
                <c:pt idx="427">
                  <c:v>118.04516129032258</c:v>
                </c:pt>
                <c:pt idx="428">
                  <c:v>118.32096774193549</c:v>
                </c:pt>
                <c:pt idx="429">
                  <c:v>118.5967741935484</c:v>
                </c:pt>
                <c:pt idx="430">
                  <c:v>118.87258064516129</c:v>
                </c:pt>
                <c:pt idx="431">
                  <c:v>119.1483870967742</c:v>
                </c:pt>
                <c:pt idx="432">
                  <c:v>119.42419354838709</c:v>
                </c:pt>
                <c:pt idx="433">
                  <c:v>119.7</c:v>
                </c:pt>
                <c:pt idx="434">
                  <c:v>119.97580645161291</c:v>
                </c:pt>
                <c:pt idx="435">
                  <c:v>120.2516129032258</c:v>
                </c:pt>
                <c:pt idx="436">
                  <c:v>120.52741935483871</c:v>
                </c:pt>
                <c:pt idx="437">
                  <c:v>120.80322580645162</c:v>
                </c:pt>
                <c:pt idx="438">
                  <c:v>121.07903225806452</c:v>
                </c:pt>
                <c:pt idx="439">
                  <c:v>121.35483870967742</c:v>
                </c:pt>
                <c:pt idx="440">
                  <c:v>121.63064516129033</c:v>
                </c:pt>
                <c:pt idx="441">
                  <c:v>121.90645161290323</c:v>
                </c:pt>
                <c:pt idx="442">
                  <c:v>122.18225806451613</c:v>
                </c:pt>
                <c:pt idx="443">
                  <c:v>122.45806451612904</c:v>
                </c:pt>
                <c:pt idx="444">
                  <c:v>122.73387096774194</c:v>
                </c:pt>
                <c:pt idx="445">
                  <c:v>123.00967741935484</c:v>
                </c:pt>
                <c:pt idx="446">
                  <c:v>123.28548387096775</c:v>
                </c:pt>
                <c:pt idx="447">
                  <c:v>123.56129032258065</c:v>
                </c:pt>
                <c:pt idx="448">
                  <c:v>123.83709677419355</c:v>
                </c:pt>
                <c:pt idx="449">
                  <c:v>124.11290322580646</c:v>
                </c:pt>
                <c:pt idx="450">
                  <c:v>124.38870967741936</c:v>
                </c:pt>
                <c:pt idx="451">
                  <c:v>124.66451612903226</c:v>
                </c:pt>
                <c:pt idx="452">
                  <c:v>124.94032258064517</c:v>
                </c:pt>
                <c:pt idx="453">
                  <c:v>125.21612903225807</c:v>
                </c:pt>
                <c:pt idx="454">
                  <c:v>125.49193548387098</c:v>
                </c:pt>
                <c:pt idx="455">
                  <c:v>125.76774193548387</c:v>
                </c:pt>
                <c:pt idx="456">
                  <c:v>126.04354838709678</c:v>
                </c:pt>
                <c:pt idx="457">
                  <c:v>126.31935483870969</c:v>
                </c:pt>
                <c:pt idx="458">
                  <c:v>126.59516129032258</c:v>
                </c:pt>
                <c:pt idx="459">
                  <c:v>126.87096774193549</c:v>
                </c:pt>
                <c:pt idx="460">
                  <c:v>127.1467741935484</c:v>
                </c:pt>
                <c:pt idx="461">
                  <c:v>127.42258064516129</c:v>
                </c:pt>
                <c:pt idx="462">
                  <c:v>127.6983870967742</c:v>
                </c:pt>
                <c:pt idx="463">
                  <c:v>127.97419354838711</c:v>
                </c:pt>
                <c:pt idx="464">
                  <c:v>128.25</c:v>
                </c:pt>
                <c:pt idx="465">
                  <c:v>128.52580645161291</c:v>
                </c:pt>
                <c:pt idx="466">
                  <c:v>128.80161290322582</c:v>
                </c:pt>
                <c:pt idx="467">
                  <c:v>129.07741935483872</c:v>
                </c:pt>
                <c:pt idx="468">
                  <c:v>129.3532258064516</c:v>
                </c:pt>
                <c:pt idx="469">
                  <c:v>129.62903225806451</c:v>
                </c:pt>
                <c:pt idx="470">
                  <c:v>129.90483870967742</c:v>
                </c:pt>
                <c:pt idx="471">
                  <c:v>130.18064516129033</c:v>
                </c:pt>
                <c:pt idx="472">
                  <c:v>130.45645161290324</c:v>
                </c:pt>
                <c:pt idx="473">
                  <c:v>130.73225806451615</c:v>
                </c:pt>
                <c:pt idx="474">
                  <c:v>131.00806451612902</c:v>
                </c:pt>
                <c:pt idx="475">
                  <c:v>131.28387096774193</c:v>
                </c:pt>
                <c:pt idx="476">
                  <c:v>131.55967741935484</c:v>
                </c:pt>
                <c:pt idx="477">
                  <c:v>131.83548387096775</c:v>
                </c:pt>
                <c:pt idx="478">
                  <c:v>132.11129032258066</c:v>
                </c:pt>
                <c:pt idx="479">
                  <c:v>132.38709677419357</c:v>
                </c:pt>
                <c:pt idx="480">
                  <c:v>132.66290322580645</c:v>
                </c:pt>
                <c:pt idx="481">
                  <c:v>132.93870967741935</c:v>
                </c:pt>
                <c:pt idx="482">
                  <c:v>133.21451612903226</c:v>
                </c:pt>
                <c:pt idx="483">
                  <c:v>133.49032258064517</c:v>
                </c:pt>
                <c:pt idx="484">
                  <c:v>133.76612903225808</c:v>
                </c:pt>
                <c:pt idx="485">
                  <c:v>134.04193548387099</c:v>
                </c:pt>
                <c:pt idx="486">
                  <c:v>134.31774193548387</c:v>
                </c:pt>
                <c:pt idx="487">
                  <c:v>134.59354838709677</c:v>
                </c:pt>
                <c:pt idx="488">
                  <c:v>134.86935483870968</c:v>
                </c:pt>
                <c:pt idx="489">
                  <c:v>135.14516129032259</c:v>
                </c:pt>
                <c:pt idx="490">
                  <c:v>135.4209677419355</c:v>
                </c:pt>
                <c:pt idx="491">
                  <c:v>135.69677419354838</c:v>
                </c:pt>
                <c:pt idx="492">
                  <c:v>135.97258064516129</c:v>
                </c:pt>
                <c:pt idx="493">
                  <c:v>136.2483870967742</c:v>
                </c:pt>
                <c:pt idx="494">
                  <c:v>136.5241935483871</c:v>
                </c:pt>
                <c:pt idx="495">
                  <c:v>136.80000000000001</c:v>
                </c:pt>
                <c:pt idx="496">
                  <c:v>137.07580645161292</c:v>
                </c:pt>
                <c:pt idx="497">
                  <c:v>137.3516129032258</c:v>
                </c:pt>
                <c:pt idx="498">
                  <c:v>137.62741935483871</c:v>
                </c:pt>
                <c:pt idx="499">
                  <c:v>137.90322580645162</c:v>
                </c:pt>
                <c:pt idx="500">
                  <c:v>138.17903225806452</c:v>
                </c:pt>
                <c:pt idx="501">
                  <c:v>138.45483870967743</c:v>
                </c:pt>
                <c:pt idx="502">
                  <c:v>138.73064516129034</c:v>
                </c:pt>
                <c:pt idx="503">
                  <c:v>139.00645161290322</c:v>
                </c:pt>
                <c:pt idx="504">
                  <c:v>139.28225806451613</c:v>
                </c:pt>
                <c:pt idx="505">
                  <c:v>139.55806451612904</c:v>
                </c:pt>
                <c:pt idx="506">
                  <c:v>139.83387096774194</c:v>
                </c:pt>
                <c:pt idx="507">
                  <c:v>140.10967741935485</c:v>
                </c:pt>
                <c:pt idx="508">
                  <c:v>140.38548387096776</c:v>
                </c:pt>
                <c:pt idx="509">
                  <c:v>140.66129032258064</c:v>
                </c:pt>
                <c:pt idx="510">
                  <c:v>140.93709677419355</c:v>
                </c:pt>
                <c:pt idx="511">
                  <c:v>141.21290322580646</c:v>
                </c:pt>
                <c:pt idx="512">
                  <c:v>141.48870967741937</c:v>
                </c:pt>
                <c:pt idx="513">
                  <c:v>141.76451612903227</c:v>
                </c:pt>
                <c:pt idx="514">
                  <c:v>142.04032258064515</c:v>
                </c:pt>
                <c:pt idx="515">
                  <c:v>142.31612903225806</c:v>
                </c:pt>
                <c:pt idx="516">
                  <c:v>142.59193548387097</c:v>
                </c:pt>
                <c:pt idx="517">
                  <c:v>142.86774193548388</c:v>
                </c:pt>
                <c:pt idx="518">
                  <c:v>143.14354838709679</c:v>
                </c:pt>
                <c:pt idx="519">
                  <c:v>143.41935483870969</c:v>
                </c:pt>
                <c:pt idx="520">
                  <c:v>143.69516129032257</c:v>
                </c:pt>
                <c:pt idx="521">
                  <c:v>143.97096774193548</c:v>
                </c:pt>
                <c:pt idx="522">
                  <c:v>144.24677419354839</c:v>
                </c:pt>
                <c:pt idx="523">
                  <c:v>144.5225806451613</c:v>
                </c:pt>
                <c:pt idx="524">
                  <c:v>144.79838709677421</c:v>
                </c:pt>
                <c:pt idx="525">
                  <c:v>145.07419354838711</c:v>
                </c:pt>
                <c:pt idx="526">
                  <c:v>145.35</c:v>
                </c:pt>
                <c:pt idx="527">
                  <c:v>145.6258064516129</c:v>
                </c:pt>
                <c:pt idx="528">
                  <c:v>145.90161290322581</c:v>
                </c:pt>
                <c:pt idx="529">
                  <c:v>146.17741935483872</c:v>
                </c:pt>
                <c:pt idx="530">
                  <c:v>146.45322580645163</c:v>
                </c:pt>
                <c:pt idx="531">
                  <c:v>146.72903225806454</c:v>
                </c:pt>
                <c:pt idx="532">
                  <c:v>147.00483870967741</c:v>
                </c:pt>
                <c:pt idx="533">
                  <c:v>147.28064516129032</c:v>
                </c:pt>
                <c:pt idx="534">
                  <c:v>147.55645161290323</c:v>
                </c:pt>
                <c:pt idx="535">
                  <c:v>147.83225806451614</c:v>
                </c:pt>
                <c:pt idx="536">
                  <c:v>148.10806451612905</c:v>
                </c:pt>
                <c:pt idx="537">
                  <c:v>148.38387096774193</c:v>
                </c:pt>
                <c:pt idx="538">
                  <c:v>148.65967741935484</c:v>
                </c:pt>
                <c:pt idx="539">
                  <c:v>148.93548387096774</c:v>
                </c:pt>
                <c:pt idx="540">
                  <c:v>149.21129032258065</c:v>
                </c:pt>
                <c:pt idx="541">
                  <c:v>149.48709677419356</c:v>
                </c:pt>
                <c:pt idx="542">
                  <c:v>149.76290322580647</c:v>
                </c:pt>
                <c:pt idx="543">
                  <c:v>150.03870967741935</c:v>
                </c:pt>
                <c:pt idx="544">
                  <c:v>150.31451612903226</c:v>
                </c:pt>
                <c:pt idx="545">
                  <c:v>150.59032258064516</c:v>
                </c:pt>
                <c:pt idx="546">
                  <c:v>150.86612903225807</c:v>
                </c:pt>
                <c:pt idx="547">
                  <c:v>151.14193548387098</c:v>
                </c:pt>
                <c:pt idx="548">
                  <c:v>151.41774193548389</c:v>
                </c:pt>
                <c:pt idx="549">
                  <c:v>151.69354838709677</c:v>
                </c:pt>
                <c:pt idx="550">
                  <c:v>151.96935483870968</c:v>
                </c:pt>
                <c:pt idx="551">
                  <c:v>152.24516129032259</c:v>
                </c:pt>
                <c:pt idx="552">
                  <c:v>152.52096774193549</c:v>
                </c:pt>
                <c:pt idx="553">
                  <c:v>152.7967741935484</c:v>
                </c:pt>
                <c:pt idx="554">
                  <c:v>153.07258064516131</c:v>
                </c:pt>
                <c:pt idx="555">
                  <c:v>153.34838709677419</c:v>
                </c:pt>
                <c:pt idx="556">
                  <c:v>153.6241935483871</c:v>
                </c:pt>
                <c:pt idx="557">
                  <c:v>153.9</c:v>
                </c:pt>
                <c:pt idx="558">
                  <c:v>154.17580645161291</c:v>
                </c:pt>
                <c:pt idx="559">
                  <c:v>154.45161290322582</c:v>
                </c:pt>
                <c:pt idx="560">
                  <c:v>154.7274193548387</c:v>
                </c:pt>
                <c:pt idx="561">
                  <c:v>155.00322580645161</c:v>
                </c:pt>
                <c:pt idx="562">
                  <c:v>155.27903225806452</c:v>
                </c:pt>
                <c:pt idx="563">
                  <c:v>155.55483870967743</c:v>
                </c:pt>
                <c:pt idx="564">
                  <c:v>155.83064516129033</c:v>
                </c:pt>
                <c:pt idx="565">
                  <c:v>156.10645161290324</c:v>
                </c:pt>
                <c:pt idx="566">
                  <c:v>156.38225806451612</c:v>
                </c:pt>
                <c:pt idx="567">
                  <c:v>156.65806451612903</c:v>
                </c:pt>
                <c:pt idx="568">
                  <c:v>156.93387096774194</c:v>
                </c:pt>
                <c:pt idx="569">
                  <c:v>157.20967741935485</c:v>
                </c:pt>
                <c:pt idx="570">
                  <c:v>157.48548387096776</c:v>
                </c:pt>
                <c:pt idx="571">
                  <c:v>157.76129032258066</c:v>
                </c:pt>
                <c:pt idx="572">
                  <c:v>158.03709677419354</c:v>
                </c:pt>
                <c:pt idx="573">
                  <c:v>158.31290322580645</c:v>
                </c:pt>
                <c:pt idx="574">
                  <c:v>158.58870967741936</c:v>
                </c:pt>
                <c:pt idx="575">
                  <c:v>158.86451612903227</c:v>
                </c:pt>
                <c:pt idx="576">
                  <c:v>159.14032258064518</c:v>
                </c:pt>
                <c:pt idx="577">
                  <c:v>159.41612903225808</c:v>
                </c:pt>
                <c:pt idx="578">
                  <c:v>159.69193548387096</c:v>
                </c:pt>
                <c:pt idx="579">
                  <c:v>159.96774193548387</c:v>
                </c:pt>
                <c:pt idx="580">
                  <c:v>160.24354838709678</c:v>
                </c:pt>
                <c:pt idx="581">
                  <c:v>160.51935483870969</c:v>
                </c:pt>
                <c:pt idx="582">
                  <c:v>160.7951612903226</c:v>
                </c:pt>
                <c:pt idx="583">
                  <c:v>161.07096774193548</c:v>
                </c:pt>
                <c:pt idx="584">
                  <c:v>161.34677419354838</c:v>
                </c:pt>
                <c:pt idx="585">
                  <c:v>161.62258064516129</c:v>
                </c:pt>
                <c:pt idx="586">
                  <c:v>161.8983870967742</c:v>
                </c:pt>
                <c:pt idx="587">
                  <c:v>162.17419354838711</c:v>
                </c:pt>
                <c:pt idx="588">
                  <c:v>162.45000000000002</c:v>
                </c:pt>
                <c:pt idx="589">
                  <c:v>162.7258064516129</c:v>
                </c:pt>
                <c:pt idx="590">
                  <c:v>163.0016129032258</c:v>
                </c:pt>
                <c:pt idx="591">
                  <c:v>163.27741935483871</c:v>
                </c:pt>
                <c:pt idx="592">
                  <c:v>163.55322580645162</c:v>
                </c:pt>
                <c:pt idx="593">
                  <c:v>163.82903225806453</c:v>
                </c:pt>
                <c:pt idx="594">
                  <c:v>164.10483870967744</c:v>
                </c:pt>
                <c:pt idx="595">
                  <c:v>164.38064516129032</c:v>
                </c:pt>
                <c:pt idx="596">
                  <c:v>164.65645161290323</c:v>
                </c:pt>
                <c:pt idx="597">
                  <c:v>164.93225806451613</c:v>
                </c:pt>
                <c:pt idx="598">
                  <c:v>165.20806451612904</c:v>
                </c:pt>
                <c:pt idx="599">
                  <c:v>165.48387096774195</c:v>
                </c:pt>
                <c:pt idx="600">
                  <c:v>165.75967741935486</c:v>
                </c:pt>
                <c:pt idx="601">
                  <c:v>166.03548387096774</c:v>
                </c:pt>
                <c:pt idx="602">
                  <c:v>166.31129032258065</c:v>
                </c:pt>
                <c:pt idx="603">
                  <c:v>166.58709677419355</c:v>
                </c:pt>
                <c:pt idx="604">
                  <c:v>166.86290322580646</c:v>
                </c:pt>
                <c:pt idx="605">
                  <c:v>167.13870967741937</c:v>
                </c:pt>
                <c:pt idx="606">
                  <c:v>167.41451612903225</c:v>
                </c:pt>
                <c:pt idx="607">
                  <c:v>167.69032258064516</c:v>
                </c:pt>
                <c:pt idx="608">
                  <c:v>167.96612903225807</c:v>
                </c:pt>
                <c:pt idx="609">
                  <c:v>168.24193548387098</c:v>
                </c:pt>
                <c:pt idx="610">
                  <c:v>168.51774193548388</c:v>
                </c:pt>
                <c:pt idx="611">
                  <c:v>168.79354838709679</c:v>
                </c:pt>
                <c:pt idx="612">
                  <c:v>169.06935483870967</c:v>
                </c:pt>
                <c:pt idx="613">
                  <c:v>169.34516129032258</c:v>
                </c:pt>
                <c:pt idx="614">
                  <c:v>169.62096774193549</c:v>
                </c:pt>
                <c:pt idx="615">
                  <c:v>169.8967741935484</c:v>
                </c:pt>
                <c:pt idx="616">
                  <c:v>170.1725806451613</c:v>
                </c:pt>
                <c:pt idx="617">
                  <c:v>170.44838709677421</c:v>
                </c:pt>
                <c:pt idx="618">
                  <c:v>170.72419354838709</c:v>
                </c:pt>
                <c:pt idx="619">
                  <c:v>171</c:v>
                </c:pt>
                <c:pt idx="620">
                  <c:v>171.27580645161291</c:v>
                </c:pt>
                <c:pt idx="621">
                  <c:v>171.55161290322582</c:v>
                </c:pt>
                <c:pt idx="622">
                  <c:v>171.82741935483872</c:v>
                </c:pt>
                <c:pt idx="623">
                  <c:v>172.10322580645163</c:v>
                </c:pt>
                <c:pt idx="624">
                  <c:v>172.37903225806451</c:v>
                </c:pt>
                <c:pt idx="625">
                  <c:v>172.65483870967742</c:v>
                </c:pt>
                <c:pt idx="626">
                  <c:v>172.93064516129033</c:v>
                </c:pt>
                <c:pt idx="627">
                  <c:v>173.20645161290324</c:v>
                </c:pt>
                <c:pt idx="628">
                  <c:v>173.48225806451615</c:v>
                </c:pt>
                <c:pt idx="629">
                  <c:v>173.75806451612902</c:v>
                </c:pt>
                <c:pt idx="630">
                  <c:v>174.03387096774193</c:v>
                </c:pt>
                <c:pt idx="631">
                  <c:v>174.30967741935484</c:v>
                </c:pt>
                <c:pt idx="632">
                  <c:v>174.58548387096775</c:v>
                </c:pt>
                <c:pt idx="633">
                  <c:v>174.86129032258066</c:v>
                </c:pt>
                <c:pt idx="634">
                  <c:v>175.13709677419357</c:v>
                </c:pt>
                <c:pt idx="635">
                  <c:v>175.41290322580645</c:v>
                </c:pt>
                <c:pt idx="636">
                  <c:v>175.68870967741935</c:v>
                </c:pt>
                <c:pt idx="637">
                  <c:v>175.96451612903226</c:v>
                </c:pt>
                <c:pt idx="638">
                  <c:v>176.24032258064517</c:v>
                </c:pt>
                <c:pt idx="639">
                  <c:v>176.51612903225808</c:v>
                </c:pt>
                <c:pt idx="640">
                  <c:v>176.79193548387099</c:v>
                </c:pt>
                <c:pt idx="641">
                  <c:v>177.06774193548387</c:v>
                </c:pt>
                <c:pt idx="642">
                  <c:v>177.34354838709677</c:v>
                </c:pt>
                <c:pt idx="643">
                  <c:v>177.61935483870968</c:v>
                </c:pt>
                <c:pt idx="644">
                  <c:v>177.89516129032259</c:v>
                </c:pt>
                <c:pt idx="645">
                  <c:v>178.1709677419355</c:v>
                </c:pt>
                <c:pt idx="646">
                  <c:v>178.44677419354841</c:v>
                </c:pt>
                <c:pt idx="647">
                  <c:v>178.72258064516129</c:v>
                </c:pt>
                <c:pt idx="648">
                  <c:v>178.9983870967742</c:v>
                </c:pt>
                <c:pt idx="649">
                  <c:v>179.2741935483871</c:v>
                </c:pt>
                <c:pt idx="650">
                  <c:v>179.55</c:v>
                </c:pt>
                <c:pt idx="651">
                  <c:v>179.82580645161292</c:v>
                </c:pt>
                <c:pt idx="652">
                  <c:v>180.1016129032258</c:v>
                </c:pt>
                <c:pt idx="653">
                  <c:v>180.37741935483871</c:v>
                </c:pt>
                <c:pt idx="654">
                  <c:v>180.65322580645162</c:v>
                </c:pt>
                <c:pt idx="655">
                  <c:v>180.92903225806452</c:v>
                </c:pt>
                <c:pt idx="656">
                  <c:v>181.20483870967743</c:v>
                </c:pt>
                <c:pt idx="657">
                  <c:v>181.48064516129034</c:v>
                </c:pt>
                <c:pt idx="658">
                  <c:v>181.75645161290322</c:v>
                </c:pt>
                <c:pt idx="659">
                  <c:v>182.03225806451613</c:v>
                </c:pt>
                <c:pt idx="660">
                  <c:v>182.30806451612904</c:v>
                </c:pt>
                <c:pt idx="661">
                  <c:v>182.58387096774194</c:v>
                </c:pt>
                <c:pt idx="662">
                  <c:v>182.85967741935485</c:v>
                </c:pt>
                <c:pt idx="663">
                  <c:v>183.13548387096776</c:v>
                </c:pt>
                <c:pt idx="664">
                  <c:v>183.41129032258064</c:v>
                </c:pt>
                <c:pt idx="665">
                  <c:v>183.68709677419355</c:v>
                </c:pt>
                <c:pt idx="666">
                  <c:v>183.96290322580646</c:v>
                </c:pt>
                <c:pt idx="667">
                  <c:v>184.23870967741937</c:v>
                </c:pt>
                <c:pt idx="668">
                  <c:v>184.51451612903227</c:v>
                </c:pt>
                <c:pt idx="669">
                  <c:v>184.79032258064518</c:v>
                </c:pt>
                <c:pt idx="670">
                  <c:v>185.06612903225806</c:v>
                </c:pt>
                <c:pt idx="671">
                  <c:v>185.34193548387097</c:v>
                </c:pt>
                <c:pt idx="672">
                  <c:v>185.61774193548388</c:v>
                </c:pt>
                <c:pt idx="673">
                  <c:v>185.89354838709679</c:v>
                </c:pt>
                <c:pt idx="674">
                  <c:v>186.16935483870969</c:v>
                </c:pt>
                <c:pt idx="675">
                  <c:v>186.44516129032257</c:v>
                </c:pt>
                <c:pt idx="676">
                  <c:v>186.72096774193548</c:v>
                </c:pt>
                <c:pt idx="677">
                  <c:v>186.99677419354839</c:v>
                </c:pt>
                <c:pt idx="678">
                  <c:v>187.2725806451613</c:v>
                </c:pt>
                <c:pt idx="679">
                  <c:v>187.54838709677421</c:v>
                </c:pt>
                <c:pt idx="680">
                  <c:v>187.82419354838711</c:v>
                </c:pt>
                <c:pt idx="681">
                  <c:v>188.1</c:v>
                </c:pt>
                <c:pt idx="682">
                  <c:v>188.3758064516129</c:v>
                </c:pt>
                <c:pt idx="683">
                  <c:v>188.65161290322581</c:v>
                </c:pt>
                <c:pt idx="684">
                  <c:v>188.92741935483872</c:v>
                </c:pt>
                <c:pt idx="685">
                  <c:v>189.20322580645163</c:v>
                </c:pt>
                <c:pt idx="686">
                  <c:v>189.47903225806454</c:v>
                </c:pt>
                <c:pt idx="687">
                  <c:v>189.75483870967741</c:v>
                </c:pt>
                <c:pt idx="688">
                  <c:v>190.03064516129032</c:v>
                </c:pt>
                <c:pt idx="689">
                  <c:v>190.30645161290323</c:v>
                </c:pt>
                <c:pt idx="690">
                  <c:v>190.58225806451614</c:v>
                </c:pt>
                <c:pt idx="691">
                  <c:v>190.85806451612905</c:v>
                </c:pt>
                <c:pt idx="692">
                  <c:v>191.13387096774196</c:v>
                </c:pt>
                <c:pt idx="693">
                  <c:v>191.40967741935484</c:v>
                </c:pt>
                <c:pt idx="694">
                  <c:v>191.68548387096774</c:v>
                </c:pt>
                <c:pt idx="695">
                  <c:v>191.96129032258065</c:v>
                </c:pt>
                <c:pt idx="696">
                  <c:v>192.23709677419356</c:v>
                </c:pt>
                <c:pt idx="697">
                  <c:v>192.51290322580647</c:v>
                </c:pt>
                <c:pt idx="698">
                  <c:v>192.78870967741935</c:v>
                </c:pt>
                <c:pt idx="699">
                  <c:v>193.06451612903226</c:v>
                </c:pt>
                <c:pt idx="700">
                  <c:v>193.34032258064516</c:v>
                </c:pt>
                <c:pt idx="701">
                  <c:v>193.61612903225807</c:v>
                </c:pt>
                <c:pt idx="702">
                  <c:v>193.89193548387098</c:v>
                </c:pt>
                <c:pt idx="703">
                  <c:v>194.16774193548389</c:v>
                </c:pt>
                <c:pt idx="704">
                  <c:v>194.44354838709677</c:v>
                </c:pt>
                <c:pt idx="705">
                  <c:v>194.71935483870968</c:v>
                </c:pt>
                <c:pt idx="706">
                  <c:v>194.99516129032259</c:v>
                </c:pt>
                <c:pt idx="707">
                  <c:v>195.27096774193549</c:v>
                </c:pt>
                <c:pt idx="708">
                  <c:v>195.5467741935484</c:v>
                </c:pt>
                <c:pt idx="709">
                  <c:v>195.82258064516131</c:v>
                </c:pt>
                <c:pt idx="710">
                  <c:v>196.09838709677419</c:v>
                </c:pt>
                <c:pt idx="711">
                  <c:v>196.3741935483871</c:v>
                </c:pt>
                <c:pt idx="712">
                  <c:v>196.65</c:v>
                </c:pt>
                <c:pt idx="713">
                  <c:v>196.92580645161291</c:v>
                </c:pt>
                <c:pt idx="714">
                  <c:v>197.20161290322582</c:v>
                </c:pt>
                <c:pt idx="715">
                  <c:v>197.47741935483873</c:v>
                </c:pt>
                <c:pt idx="716">
                  <c:v>197.75322580645161</c:v>
                </c:pt>
                <c:pt idx="717">
                  <c:v>198.02903225806452</c:v>
                </c:pt>
                <c:pt idx="718">
                  <c:v>198.30483870967743</c:v>
                </c:pt>
                <c:pt idx="719">
                  <c:v>198.58064516129033</c:v>
                </c:pt>
                <c:pt idx="720">
                  <c:v>198.85645161290324</c:v>
                </c:pt>
                <c:pt idx="721">
                  <c:v>199.13225806451612</c:v>
                </c:pt>
                <c:pt idx="722">
                  <c:v>199.40806451612903</c:v>
                </c:pt>
                <c:pt idx="723">
                  <c:v>199.68387096774194</c:v>
                </c:pt>
                <c:pt idx="724">
                  <c:v>199.95967741935485</c:v>
                </c:pt>
                <c:pt idx="725">
                  <c:v>200.23548387096776</c:v>
                </c:pt>
                <c:pt idx="726">
                  <c:v>200.51129032258066</c:v>
                </c:pt>
                <c:pt idx="727">
                  <c:v>200.78709677419354</c:v>
                </c:pt>
                <c:pt idx="728">
                  <c:v>201.06290322580645</c:v>
                </c:pt>
                <c:pt idx="729">
                  <c:v>201.33870967741936</c:v>
                </c:pt>
                <c:pt idx="730">
                  <c:v>201.61451612903227</c:v>
                </c:pt>
                <c:pt idx="731">
                  <c:v>201.89032258064518</c:v>
                </c:pt>
                <c:pt idx="732">
                  <c:v>202.16612903225808</c:v>
                </c:pt>
                <c:pt idx="733">
                  <c:v>202.44193548387096</c:v>
                </c:pt>
                <c:pt idx="734">
                  <c:v>202.71774193548387</c:v>
                </c:pt>
                <c:pt idx="735">
                  <c:v>202.99354838709678</c:v>
                </c:pt>
                <c:pt idx="736">
                  <c:v>203.26935483870969</c:v>
                </c:pt>
                <c:pt idx="737">
                  <c:v>203.5451612903226</c:v>
                </c:pt>
                <c:pt idx="738">
                  <c:v>203.8209677419355</c:v>
                </c:pt>
                <c:pt idx="739">
                  <c:v>204.09677419354838</c:v>
                </c:pt>
                <c:pt idx="740">
                  <c:v>204.37258064516129</c:v>
                </c:pt>
                <c:pt idx="741">
                  <c:v>204.6483870967742</c:v>
                </c:pt>
                <c:pt idx="742">
                  <c:v>204.92419354838711</c:v>
                </c:pt>
                <c:pt idx="743">
                  <c:v>205.20000000000002</c:v>
                </c:pt>
                <c:pt idx="744">
                  <c:v>205.4758064516129</c:v>
                </c:pt>
                <c:pt idx="745">
                  <c:v>205.7516129032258</c:v>
                </c:pt>
                <c:pt idx="746">
                  <c:v>206.02741935483871</c:v>
                </c:pt>
                <c:pt idx="747">
                  <c:v>206.30322580645162</c:v>
                </c:pt>
                <c:pt idx="748">
                  <c:v>206.57903225806453</c:v>
                </c:pt>
                <c:pt idx="749">
                  <c:v>206.85483870967744</c:v>
                </c:pt>
                <c:pt idx="750">
                  <c:v>207.13064516129032</c:v>
                </c:pt>
                <c:pt idx="751">
                  <c:v>207.40645161290323</c:v>
                </c:pt>
                <c:pt idx="752">
                  <c:v>207.68225806451613</c:v>
                </c:pt>
                <c:pt idx="753">
                  <c:v>207.95806451612904</c:v>
                </c:pt>
                <c:pt idx="754">
                  <c:v>208.23387096774195</c:v>
                </c:pt>
                <c:pt idx="755">
                  <c:v>208.50967741935486</c:v>
                </c:pt>
                <c:pt idx="756">
                  <c:v>208.78548387096774</c:v>
                </c:pt>
                <c:pt idx="757">
                  <c:v>209.06129032258065</c:v>
                </c:pt>
                <c:pt idx="758">
                  <c:v>209.33709677419355</c:v>
                </c:pt>
                <c:pt idx="759">
                  <c:v>209.61290322580646</c:v>
                </c:pt>
                <c:pt idx="760">
                  <c:v>209.88870967741937</c:v>
                </c:pt>
                <c:pt idx="761">
                  <c:v>210.16451612903228</c:v>
                </c:pt>
                <c:pt idx="762">
                  <c:v>210.44032258064516</c:v>
                </c:pt>
                <c:pt idx="763">
                  <c:v>210.71612903225807</c:v>
                </c:pt>
                <c:pt idx="764">
                  <c:v>210.99193548387098</c:v>
                </c:pt>
                <c:pt idx="765">
                  <c:v>211.26774193548388</c:v>
                </c:pt>
                <c:pt idx="766">
                  <c:v>211.54354838709679</c:v>
                </c:pt>
                <c:pt idx="767">
                  <c:v>211.81935483870967</c:v>
                </c:pt>
                <c:pt idx="768">
                  <c:v>212.09516129032258</c:v>
                </c:pt>
                <c:pt idx="769">
                  <c:v>212.37096774193549</c:v>
                </c:pt>
                <c:pt idx="770">
                  <c:v>212.6467741935484</c:v>
                </c:pt>
                <c:pt idx="771">
                  <c:v>212.9225806451613</c:v>
                </c:pt>
                <c:pt idx="772">
                  <c:v>213.19838709677421</c:v>
                </c:pt>
                <c:pt idx="773">
                  <c:v>213.47419354838709</c:v>
                </c:pt>
                <c:pt idx="774">
                  <c:v>213.75</c:v>
                </c:pt>
                <c:pt idx="775">
                  <c:v>214.02580645161291</c:v>
                </c:pt>
                <c:pt idx="776">
                  <c:v>214.30161290322582</c:v>
                </c:pt>
                <c:pt idx="777">
                  <c:v>214.57741935483872</c:v>
                </c:pt>
                <c:pt idx="778">
                  <c:v>214.85322580645163</c:v>
                </c:pt>
                <c:pt idx="779">
                  <c:v>215.12903225806451</c:v>
                </c:pt>
                <c:pt idx="780">
                  <c:v>215.40483870967742</c:v>
                </c:pt>
                <c:pt idx="781">
                  <c:v>215.68064516129033</c:v>
                </c:pt>
                <c:pt idx="782">
                  <c:v>215.95645161290324</c:v>
                </c:pt>
                <c:pt idx="783">
                  <c:v>216.23225806451615</c:v>
                </c:pt>
                <c:pt idx="784">
                  <c:v>216.50806451612905</c:v>
                </c:pt>
                <c:pt idx="785">
                  <c:v>216.78387096774193</c:v>
                </c:pt>
                <c:pt idx="786">
                  <c:v>217.05967741935484</c:v>
                </c:pt>
                <c:pt idx="787">
                  <c:v>217.33548387096775</c:v>
                </c:pt>
                <c:pt idx="788">
                  <c:v>217.61129032258066</c:v>
                </c:pt>
                <c:pt idx="789">
                  <c:v>217.88709677419357</c:v>
                </c:pt>
                <c:pt idx="790">
                  <c:v>218.16290322580647</c:v>
                </c:pt>
                <c:pt idx="791">
                  <c:v>218.43870967741935</c:v>
                </c:pt>
                <c:pt idx="792">
                  <c:v>218.71451612903226</c:v>
                </c:pt>
                <c:pt idx="793">
                  <c:v>218.99032258064517</c:v>
                </c:pt>
                <c:pt idx="794">
                  <c:v>219.26612903225808</c:v>
                </c:pt>
                <c:pt idx="795">
                  <c:v>219.54193548387099</c:v>
                </c:pt>
                <c:pt idx="796">
                  <c:v>219.81774193548387</c:v>
                </c:pt>
                <c:pt idx="797">
                  <c:v>220.09354838709677</c:v>
                </c:pt>
                <c:pt idx="798">
                  <c:v>220.36935483870968</c:v>
                </c:pt>
                <c:pt idx="799">
                  <c:v>220.64516129032259</c:v>
                </c:pt>
                <c:pt idx="800">
                  <c:v>220.9209677419355</c:v>
                </c:pt>
                <c:pt idx="801">
                  <c:v>221.19677419354841</c:v>
                </c:pt>
                <c:pt idx="802">
                  <c:v>221.47258064516129</c:v>
                </c:pt>
                <c:pt idx="803">
                  <c:v>221.7483870967742</c:v>
                </c:pt>
                <c:pt idx="804">
                  <c:v>222.0241935483871</c:v>
                </c:pt>
                <c:pt idx="805">
                  <c:v>222.3</c:v>
                </c:pt>
                <c:pt idx="806">
                  <c:v>222.57580645161292</c:v>
                </c:pt>
                <c:pt idx="807">
                  <c:v>222.85161290322583</c:v>
                </c:pt>
                <c:pt idx="808">
                  <c:v>223.12741935483871</c:v>
                </c:pt>
                <c:pt idx="809">
                  <c:v>223.40322580645162</c:v>
                </c:pt>
                <c:pt idx="810">
                  <c:v>223.67903225806452</c:v>
                </c:pt>
                <c:pt idx="811">
                  <c:v>223.95483870967743</c:v>
                </c:pt>
                <c:pt idx="812">
                  <c:v>224.23064516129034</c:v>
                </c:pt>
                <c:pt idx="813">
                  <c:v>224.50645161290325</c:v>
                </c:pt>
                <c:pt idx="814">
                  <c:v>224.78225806451613</c:v>
                </c:pt>
                <c:pt idx="815">
                  <c:v>225.05806451612904</c:v>
                </c:pt>
                <c:pt idx="816">
                  <c:v>225.33387096774194</c:v>
                </c:pt>
                <c:pt idx="817">
                  <c:v>225.60967741935485</c:v>
                </c:pt>
                <c:pt idx="818">
                  <c:v>225.88548387096776</c:v>
                </c:pt>
                <c:pt idx="819">
                  <c:v>226.16129032258064</c:v>
                </c:pt>
                <c:pt idx="820">
                  <c:v>226.43709677419355</c:v>
                </c:pt>
                <c:pt idx="821">
                  <c:v>226.71290322580646</c:v>
                </c:pt>
                <c:pt idx="822">
                  <c:v>226.98870967741937</c:v>
                </c:pt>
                <c:pt idx="823">
                  <c:v>227.26451612903227</c:v>
                </c:pt>
                <c:pt idx="824">
                  <c:v>227.54032258064518</c:v>
                </c:pt>
                <c:pt idx="825">
                  <c:v>227.81612903225806</c:v>
                </c:pt>
                <c:pt idx="826">
                  <c:v>228.09193548387097</c:v>
                </c:pt>
                <c:pt idx="827">
                  <c:v>228.36774193548388</c:v>
                </c:pt>
                <c:pt idx="828">
                  <c:v>228.64354838709679</c:v>
                </c:pt>
                <c:pt idx="829">
                  <c:v>228.91935483870969</c:v>
                </c:pt>
                <c:pt idx="830">
                  <c:v>229.1951612903226</c:v>
                </c:pt>
                <c:pt idx="831">
                  <c:v>229.47096774193548</c:v>
                </c:pt>
                <c:pt idx="832">
                  <c:v>229.74677419354839</c:v>
                </c:pt>
                <c:pt idx="833">
                  <c:v>230.0225806451613</c:v>
                </c:pt>
                <c:pt idx="834">
                  <c:v>230.29838709677421</c:v>
                </c:pt>
                <c:pt idx="835">
                  <c:v>230.57419354838711</c:v>
                </c:pt>
                <c:pt idx="836">
                  <c:v>230.85000000000002</c:v>
                </c:pt>
                <c:pt idx="837">
                  <c:v>231.1258064516129</c:v>
                </c:pt>
                <c:pt idx="838">
                  <c:v>231.40161290322581</c:v>
                </c:pt>
                <c:pt idx="839">
                  <c:v>231.67741935483872</c:v>
                </c:pt>
                <c:pt idx="840">
                  <c:v>231.95322580645163</c:v>
                </c:pt>
                <c:pt idx="841">
                  <c:v>232.22903225806454</c:v>
                </c:pt>
                <c:pt idx="842">
                  <c:v>232.50483870967741</c:v>
                </c:pt>
                <c:pt idx="843">
                  <c:v>232.78064516129032</c:v>
                </c:pt>
                <c:pt idx="844">
                  <c:v>233.05645161290323</c:v>
                </c:pt>
                <c:pt idx="845">
                  <c:v>233.33225806451614</c:v>
                </c:pt>
                <c:pt idx="846">
                  <c:v>233.60806451612905</c:v>
                </c:pt>
                <c:pt idx="847">
                  <c:v>233.88387096774196</c:v>
                </c:pt>
                <c:pt idx="848">
                  <c:v>234.15967741935484</c:v>
                </c:pt>
                <c:pt idx="849">
                  <c:v>234.43548387096774</c:v>
                </c:pt>
                <c:pt idx="850">
                  <c:v>234.71129032258065</c:v>
                </c:pt>
                <c:pt idx="851">
                  <c:v>234.98709677419356</c:v>
                </c:pt>
                <c:pt idx="852">
                  <c:v>235.26290322580647</c:v>
                </c:pt>
                <c:pt idx="853">
                  <c:v>235.53870967741938</c:v>
                </c:pt>
                <c:pt idx="854">
                  <c:v>235.81451612903226</c:v>
                </c:pt>
                <c:pt idx="855">
                  <c:v>236.09032258064516</c:v>
                </c:pt>
                <c:pt idx="856">
                  <c:v>236.36612903225807</c:v>
                </c:pt>
                <c:pt idx="857">
                  <c:v>236.64193548387098</c:v>
                </c:pt>
                <c:pt idx="858">
                  <c:v>236.91774193548389</c:v>
                </c:pt>
                <c:pt idx="859">
                  <c:v>237.1935483870968</c:v>
                </c:pt>
                <c:pt idx="860">
                  <c:v>237.46935483870968</c:v>
                </c:pt>
                <c:pt idx="861">
                  <c:v>237.74516129032259</c:v>
                </c:pt>
                <c:pt idx="862">
                  <c:v>238.02096774193549</c:v>
                </c:pt>
                <c:pt idx="863">
                  <c:v>238.2967741935484</c:v>
                </c:pt>
                <c:pt idx="864">
                  <c:v>238.57258064516131</c:v>
                </c:pt>
                <c:pt idx="865">
                  <c:v>238.84838709677419</c:v>
                </c:pt>
                <c:pt idx="866">
                  <c:v>239.1241935483871</c:v>
                </c:pt>
                <c:pt idx="867">
                  <c:v>239.4</c:v>
                </c:pt>
                <c:pt idx="868">
                  <c:v>239.67580645161291</c:v>
                </c:pt>
                <c:pt idx="869">
                  <c:v>239.95161290322582</c:v>
                </c:pt>
                <c:pt idx="870">
                  <c:v>240.22741935483873</c:v>
                </c:pt>
                <c:pt idx="871">
                  <c:v>240.50322580645161</c:v>
                </c:pt>
                <c:pt idx="872">
                  <c:v>240.77903225806452</c:v>
                </c:pt>
                <c:pt idx="873">
                  <c:v>241.05483870967743</c:v>
                </c:pt>
                <c:pt idx="874">
                  <c:v>241.33064516129033</c:v>
                </c:pt>
                <c:pt idx="875">
                  <c:v>241.60645161290324</c:v>
                </c:pt>
                <c:pt idx="876">
                  <c:v>241.88225806451615</c:v>
                </c:pt>
                <c:pt idx="877">
                  <c:v>242.15806451612903</c:v>
                </c:pt>
                <c:pt idx="878">
                  <c:v>242.43387096774194</c:v>
                </c:pt>
                <c:pt idx="879">
                  <c:v>242.70967741935485</c:v>
                </c:pt>
                <c:pt idx="880">
                  <c:v>242.98548387096776</c:v>
                </c:pt>
                <c:pt idx="881">
                  <c:v>243.26129032258066</c:v>
                </c:pt>
                <c:pt idx="882">
                  <c:v>243.53709677419357</c:v>
                </c:pt>
                <c:pt idx="883">
                  <c:v>243.81290322580645</c:v>
                </c:pt>
                <c:pt idx="884">
                  <c:v>244.08870967741936</c:v>
                </c:pt>
                <c:pt idx="885">
                  <c:v>244.36451612903227</c:v>
                </c:pt>
                <c:pt idx="886">
                  <c:v>244.64032258064518</c:v>
                </c:pt>
                <c:pt idx="887">
                  <c:v>244.91612903225808</c:v>
                </c:pt>
                <c:pt idx="888">
                  <c:v>245.19193548387096</c:v>
                </c:pt>
                <c:pt idx="889">
                  <c:v>245.46774193548387</c:v>
                </c:pt>
                <c:pt idx="890">
                  <c:v>245.74354838709678</c:v>
                </c:pt>
                <c:pt idx="891">
                  <c:v>246.01935483870969</c:v>
                </c:pt>
                <c:pt idx="892">
                  <c:v>246.2951612903226</c:v>
                </c:pt>
                <c:pt idx="893">
                  <c:v>246.5709677419355</c:v>
                </c:pt>
                <c:pt idx="894">
                  <c:v>246.84677419354838</c:v>
                </c:pt>
                <c:pt idx="895">
                  <c:v>247.12258064516129</c:v>
                </c:pt>
                <c:pt idx="896">
                  <c:v>247.3983870967742</c:v>
                </c:pt>
                <c:pt idx="897">
                  <c:v>247.67419354838711</c:v>
                </c:pt>
                <c:pt idx="898">
                  <c:v>247.95000000000002</c:v>
                </c:pt>
                <c:pt idx="899">
                  <c:v>248.22580645161293</c:v>
                </c:pt>
                <c:pt idx="900">
                  <c:v>248.5016129032258</c:v>
                </c:pt>
                <c:pt idx="901">
                  <c:v>248.77741935483871</c:v>
                </c:pt>
                <c:pt idx="902">
                  <c:v>249.05322580645162</c:v>
                </c:pt>
                <c:pt idx="903">
                  <c:v>249.32903225806453</c:v>
                </c:pt>
                <c:pt idx="904">
                  <c:v>249.60483870967744</c:v>
                </c:pt>
                <c:pt idx="905">
                  <c:v>249.88064516129035</c:v>
                </c:pt>
                <c:pt idx="906">
                  <c:v>250.15645161290323</c:v>
                </c:pt>
                <c:pt idx="907">
                  <c:v>250.43225806451613</c:v>
                </c:pt>
                <c:pt idx="908">
                  <c:v>250.70806451612904</c:v>
                </c:pt>
                <c:pt idx="909">
                  <c:v>250.98387096774195</c:v>
                </c:pt>
                <c:pt idx="910">
                  <c:v>251.25967741935486</c:v>
                </c:pt>
                <c:pt idx="911">
                  <c:v>251.53548387096774</c:v>
                </c:pt>
                <c:pt idx="912">
                  <c:v>251.81129032258065</c:v>
                </c:pt>
                <c:pt idx="913">
                  <c:v>252.08709677419355</c:v>
                </c:pt>
                <c:pt idx="914">
                  <c:v>252.36290322580646</c:v>
                </c:pt>
                <c:pt idx="915">
                  <c:v>252.63870967741937</c:v>
                </c:pt>
                <c:pt idx="916">
                  <c:v>252.91451612903228</c:v>
                </c:pt>
                <c:pt idx="917">
                  <c:v>253.19032258064516</c:v>
                </c:pt>
                <c:pt idx="918">
                  <c:v>253.46612903225807</c:v>
                </c:pt>
                <c:pt idx="919">
                  <c:v>253.74193548387098</c:v>
                </c:pt>
                <c:pt idx="920">
                  <c:v>254.01774193548388</c:v>
                </c:pt>
                <c:pt idx="921">
                  <c:v>254.29354838709679</c:v>
                </c:pt>
                <c:pt idx="922">
                  <c:v>254.5693548387097</c:v>
                </c:pt>
                <c:pt idx="923">
                  <c:v>254.84516129032258</c:v>
                </c:pt>
                <c:pt idx="924">
                  <c:v>255.12096774193549</c:v>
                </c:pt>
                <c:pt idx="925">
                  <c:v>255.3967741935484</c:v>
                </c:pt>
                <c:pt idx="926">
                  <c:v>255.6725806451613</c:v>
                </c:pt>
                <c:pt idx="927">
                  <c:v>255.94838709677421</c:v>
                </c:pt>
                <c:pt idx="928">
                  <c:v>256.22419354838712</c:v>
                </c:pt>
                <c:pt idx="929">
                  <c:v>256.5</c:v>
                </c:pt>
                <c:pt idx="930">
                  <c:v>256.77580645161294</c:v>
                </c:pt>
                <c:pt idx="931">
                  <c:v>257.05161290322582</c:v>
                </c:pt>
                <c:pt idx="932">
                  <c:v>257.3274193548387</c:v>
                </c:pt>
                <c:pt idx="933">
                  <c:v>257.60322580645163</c:v>
                </c:pt>
                <c:pt idx="934">
                  <c:v>257.87903225806451</c:v>
                </c:pt>
                <c:pt idx="935">
                  <c:v>258.15483870967745</c:v>
                </c:pt>
                <c:pt idx="936">
                  <c:v>258.43064516129033</c:v>
                </c:pt>
                <c:pt idx="937">
                  <c:v>258.70645161290321</c:v>
                </c:pt>
                <c:pt idx="938">
                  <c:v>258.98225806451615</c:v>
                </c:pt>
                <c:pt idx="939">
                  <c:v>259.25806451612902</c:v>
                </c:pt>
                <c:pt idx="940">
                  <c:v>259.53387096774196</c:v>
                </c:pt>
                <c:pt idx="941">
                  <c:v>259.80967741935484</c:v>
                </c:pt>
                <c:pt idx="942">
                  <c:v>260.08548387096778</c:v>
                </c:pt>
                <c:pt idx="943">
                  <c:v>260.36129032258066</c:v>
                </c:pt>
                <c:pt idx="944">
                  <c:v>260.63709677419354</c:v>
                </c:pt>
                <c:pt idx="945">
                  <c:v>260.91290322580647</c:v>
                </c:pt>
                <c:pt idx="946">
                  <c:v>261.18870967741935</c:v>
                </c:pt>
                <c:pt idx="947">
                  <c:v>261.46451612903229</c:v>
                </c:pt>
                <c:pt idx="948">
                  <c:v>261.74032258064517</c:v>
                </c:pt>
                <c:pt idx="949">
                  <c:v>262.01612903225805</c:v>
                </c:pt>
                <c:pt idx="950">
                  <c:v>262.29193548387099</c:v>
                </c:pt>
                <c:pt idx="951">
                  <c:v>262.56774193548387</c:v>
                </c:pt>
                <c:pt idx="952">
                  <c:v>262.8435483870968</c:v>
                </c:pt>
                <c:pt idx="953">
                  <c:v>263.11935483870968</c:v>
                </c:pt>
                <c:pt idx="954">
                  <c:v>263.39516129032256</c:v>
                </c:pt>
                <c:pt idx="955">
                  <c:v>263.6709677419355</c:v>
                </c:pt>
                <c:pt idx="956">
                  <c:v>263.94677419354838</c:v>
                </c:pt>
                <c:pt idx="957">
                  <c:v>264.22258064516132</c:v>
                </c:pt>
                <c:pt idx="958">
                  <c:v>264.4983870967742</c:v>
                </c:pt>
                <c:pt idx="959">
                  <c:v>264.77419354838713</c:v>
                </c:pt>
                <c:pt idx="960">
                  <c:v>265.05</c:v>
                </c:pt>
                <c:pt idx="961">
                  <c:v>265.32580645161289</c:v>
                </c:pt>
                <c:pt idx="962">
                  <c:v>265.60161290322583</c:v>
                </c:pt>
                <c:pt idx="963">
                  <c:v>265.87741935483871</c:v>
                </c:pt>
                <c:pt idx="964">
                  <c:v>266.15322580645164</c:v>
                </c:pt>
                <c:pt idx="965">
                  <c:v>266.42903225806452</c:v>
                </c:pt>
                <c:pt idx="966">
                  <c:v>266.7048387096774</c:v>
                </c:pt>
                <c:pt idx="967">
                  <c:v>266.98064516129034</c:v>
                </c:pt>
                <c:pt idx="968">
                  <c:v>267.25645161290322</c:v>
                </c:pt>
                <c:pt idx="969">
                  <c:v>267.53225806451616</c:v>
                </c:pt>
                <c:pt idx="970">
                  <c:v>267.80806451612904</c:v>
                </c:pt>
                <c:pt idx="971">
                  <c:v>268.08387096774197</c:v>
                </c:pt>
                <c:pt idx="972">
                  <c:v>268.35967741935485</c:v>
                </c:pt>
                <c:pt idx="973">
                  <c:v>268.63548387096773</c:v>
                </c:pt>
                <c:pt idx="974">
                  <c:v>268.91129032258067</c:v>
                </c:pt>
                <c:pt idx="975">
                  <c:v>269.18709677419355</c:v>
                </c:pt>
                <c:pt idx="976">
                  <c:v>269.46290322580649</c:v>
                </c:pt>
                <c:pt idx="977">
                  <c:v>269.73870967741937</c:v>
                </c:pt>
                <c:pt idx="978">
                  <c:v>270.01451612903224</c:v>
                </c:pt>
                <c:pt idx="979">
                  <c:v>270.29032258064518</c:v>
                </c:pt>
                <c:pt idx="980">
                  <c:v>270.56612903225806</c:v>
                </c:pt>
                <c:pt idx="981">
                  <c:v>270.841935483871</c:v>
                </c:pt>
                <c:pt idx="982">
                  <c:v>271.11774193548388</c:v>
                </c:pt>
                <c:pt idx="983">
                  <c:v>271.39354838709676</c:v>
                </c:pt>
                <c:pt idx="984">
                  <c:v>271.66935483870969</c:v>
                </c:pt>
                <c:pt idx="985">
                  <c:v>271.94516129032257</c:v>
                </c:pt>
                <c:pt idx="986">
                  <c:v>272.22096774193551</c:v>
                </c:pt>
                <c:pt idx="987">
                  <c:v>272.49677419354839</c:v>
                </c:pt>
                <c:pt idx="988">
                  <c:v>272.77258064516133</c:v>
                </c:pt>
                <c:pt idx="989">
                  <c:v>273.04838709677421</c:v>
                </c:pt>
                <c:pt idx="990">
                  <c:v>273.32419354838709</c:v>
                </c:pt>
                <c:pt idx="991">
                  <c:v>273.60000000000002</c:v>
                </c:pt>
                <c:pt idx="992">
                  <c:v>273.8758064516129</c:v>
                </c:pt>
                <c:pt idx="993">
                  <c:v>274.15161290322584</c:v>
                </c:pt>
                <c:pt idx="994">
                  <c:v>274.42741935483872</c:v>
                </c:pt>
                <c:pt idx="995">
                  <c:v>274.7032258064516</c:v>
                </c:pt>
                <c:pt idx="996">
                  <c:v>274.97903225806454</c:v>
                </c:pt>
                <c:pt idx="997">
                  <c:v>275.25483870967741</c:v>
                </c:pt>
                <c:pt idx="998">
                  <c:v>275.53064516129035</c:v>
                </c:pt>
                <c:pt idx="999">
                  <c:v>275.80645161290323</c:v>
                </c:pt>
                <c:pt idx="1000">
                  <c:v>276.08225806451611</c:v>
                </c:pt>
                <c:pt idx="1001">
                  <c:v>276.35806451612905</c:v>
                </c:pt>
                <c:pt idx="1002">
                  <c:v>276.63387096774193</c:v>
                </c:pt>
                <c:pt idx="1003">
                  <c:v>276.90967741935486</c:v>
                </c:pt>
                <c:pt idx="1004">
                  <c:v>277.18548387096774</c:v>
                </c:pt>
                <c:pt idx="1005">
                  <c:v>277.46129032258068</c:v>
                </c:pt>
                <c:pt idx="1006">
                  <c:v>277.73709677419356</c:v>
                </c:pt>
                <c:pt idx="1007">
                  <c:v>278.01290322580644</c:v>
                </c:pt>
                <c:pt idx="1008">
                  <c:v>278.28870967741938</c:v>
                </c:pt>
                <c:pt idx="1009">
                  <c:v>278.56451612903226</c:v>
                </c:pt>
                <c:pt idx="1010">
                  <c:v>278.84032258064519</c:v>
                </c:pt>
                <c:pt idx="1011">
                  <c:v>279.11612903225807</c:v>
                </c:pt>
                <c:pt idx="1012">
                  <c:v>279.39193548387095</c:v>
                </c:pt>
                <c:pt idx="1013">
                  <c:v>279.66774193548389</c:v>
                </c:pt>
                <c:pt idx="1014">
                  <c:v>279.94354838709677</c:v>
                </c:pt>
                <c:pt idx="1015">
                  <c:v>280.21935483870971</c:v>
                </c:pt>
                <c:pt idx="1016">
                  <c:v>280.49516129032259</c:v>
                </c:pt>
                <c:pt idx="1017">
                  <c:v>280.77096774193552</c:v>
                </c:pt>
                <c:pt idx="1018">
                  <c:v>281.0467741935484</c:v>
                </c:pt>
                <c:pt idx="1019">
                  <c:v>281.32258064516128</c:v>
                </c:pt>
                <c:pt idx="1020">
                  <c:v>281.59838709677422</c:v>
                </c:pt>
                <c:pt idx="1021">
                  <c:v>281.8741935483871</c:v>
                </c:pt>
                <c:pt idx="1022">
                  <c:v>282.15000000000003</c:v>
                </c:pt>
                <c:pt idx="1023">
                  <c:v>282.42580645161291</c:v>
                </c:pt>
                <c:pt idx="1024">
                  <c:v>282.70161290322579</c:v>
                </c:pt>
                <c:pt idx="1025">
                  <c:v>282.97741935483873</c:v>
                </c:pt>
                <c:pt idx="1026">
                  <c:v>283.25322580645161</c:v>
                </c:pt>
                <c:pt idx="1027">
                  <c:v>283.52903225806455</c:v>
                </c:pt>
                <c:pt idx="1028">
                  <c:v>283.80483870967743</c:v>
                </c:pt>
                <c:pt idx="1029">
                  <c:v>284.08064516129031</c:v>
                </c:pt>
                <c:pt idx="1030">
                  <c:v>284.35645161290324</c:v>
                </c:pt>
                <c:pt idx="1031">
                  <c:v>284.63225806451612</c:v>
                </c:pt>
                <c:pt idx="1032">
                  <c:v>284.90806451612906</c:v>
                </c:pt>
                <c:pt idx="1033">
                  <c:v>285.18387096774194</c:v>
                </c:pt>
                <c:pt idx="1034">
                  <c:v>285.45967741935488</c:v>
                </c:pt>
                <c:pt idx="1035">
                  <c:v>285.73548387096776</c:v>
                </c:pt>
                <c:pt idx="1036">
                  <c:v>286.01129032258063</c:v>
                </c:pt>
                <c:pt idx="1037">
                  <c:v>286.28709677419357</c:v>
                </c:pt>
                <c:pt idx="1038">
                  <c:v>286.56290322580645</c:v>
                </c:pt>
                <c:pt idx="1039">
                  <c:v>286.83870967741939</c:v>
                </c:pt>
                <c:pt idx="1040">
                  <c:v>287.11451612903227</c:v>
                </c:pt>
                <c:pt idx="1041">
                  <c:v>287.39032258064515</c:v>
                </c:pt>
                <c:pt idx="1042">
                  <c:v>287.66612903225808</c:v>
                </c:pt>
                <c:pt idx="1043">
                  <c:v>287.94193548387096</c:v>
                </c:pt>
                <c:pt idx="1044">
                  <c:v>288.2177419354839</c:v>
                </c:pt>
                <c:pt idx="1045">
                  <c:v>288.49354838709678</c:v>
                </c:pt>
                <c:pt idx="1046">
                  <c:v>288.76935483870972</c:v>
                </c:pt>
                <c:pt idx="1047">
                  <c:v>289.0451612903226</c:v>
                </c:pt>
                <c:pt idx="1048">
                  <c:v>289.32096774193548</c:v>
                </c:pt>
                <c:pt idx="1049">
                  <c:v>289.59677419354841</c:v>
                </c:pt>
                <c:pt idx="1050">
                  <c:v>289.87258064516129</c:v>
                </c:pt>
                <c:pt idx="1051">
                  <c:v>290.14838709677423</c:v>
                </c:pt>
                <c:pt idx="1052">
                  <c:v>290.42419354838711</c:v>
                </c:pt>
                <c:pt idx="1053">
                  <c:v>290.7</c:v>
                </c:pt>
                <c:pt idx="1054">
                  <c:v>290.97580645161293</c:v>
                </c:pt>
                <c:pt idx="1055">
                  <c:v>291.2516129032258</c:v>
                </c:pt>
                <c:pt idx="1056">
                  <c:v>291.52741935483874</c:v>
                </c:pt>
                <c:pt idx="1057">
                  <c:v>291.80322580645162</c:v>
                </c:pt>
                <c:pt idx="1058">
                  <c:v>292.0790322580645</c:v>
                </c:pt>
                <c:pt idx="1059">
                  <c:v>292.35483870967744</c:v>
                </c:pt>
                <c:pt idx="1060">
                  <c:v>292.63064516129032</c:v>
                </c:pt>
                <c:pt idx="1061">
                  <c:v>292.90645161290325</c:v>
                </c:pt>
                <c:pt idx="1062">
                  <c:v>293.18225806451613</c:v>
                </c:pt>
                <c:pt idx="1063">
                  <c:v>293.45806451612907</c:v>
                </c:pt>
                <c:pt idx="1064">
                  <c:v>293.73387096774195</c:v>
                </c:pt>
                <c:pt idx="1065">
                  <c:v>294.00967741935483</c:v>
                </c:pt>
                <c:pt idx="1066">
                  <c:v>294.28548387096777</c:v>
                </c:pt>
                <c:pt idx="1067">
                  <c:v>294.56129032258065</c:v>
                </c:pt>
                <c:pt idx="1068">
                  <c:v>294.83709677419358</c:v>
                </c:pt>
                <c:pt idx="1069">
                  <c:v>295.11290322580646</c:v>
                </c:pt>
                <c:pt idx="1070">
                  <c:v>295.38870967741934</c:v>
                </c:pt>
                <c:pt idx="1071">
                  <c:v>295.66451612903228</c:v>
                </c:pt>
                <c:pt idx="1072">
                  <c:v>295.94032258064516</c:v>
                </c:pt>
                <c:pt idx="1073">
                  <c:v>296.2161290322581</c:v>
                </c:pt>
                <c:pt idx="1074">
                  <c:v>296.49193548387098</c:v>
                </c:pt>
                <c:pt idx="1075">
                  <c:v>296.76774193548385</c:v>
                </c:pt>
                <c:pt idx="1076">
                  <c:v>297.04354838709679</c:v>
                </c:pt>
                <c:pt idx="1077">
                  <c:v>297.31935483870967</c:v>
                </c:pt>
                <c:pt idx="1078">
                  <c:v>297.59516129032261</c:v>
                </c:pt>
                <c:pt idx="1079">
                  <c:v>297.87096774193549</c:v>
                </c:pt>
                <c:pt idx="1080">
                  <c:v>298.14677419354842</c:v>
                </c:pt>
                <c:pt idx="1081">
                  <c:v>298.4225806451613</c:v>
                </c:pt>
                <c:pt idx="1082">
                  <c:v>298.69838709677418</c:v>
                </c:pt>
                <c:pt idx="1083">
                  <c:v>298.97419354838712</c:v>
                </c:pt>
                <c:pt idx="1084">
                  <c:v>299.25</c:v>
                </c:pt>
                <c:pt idx="1085">
                  <c:v>299.52580645161294</c:v>
                </c:pt>
                <c:pt idx="1086">
                  <c:v>299.80161290322582</c:v>
                </c:pt>
                <c:pt idx="1087">
                  <c:v>300.0774193548387</c:v>
                </c:pt>
                <c:pt idx="1088">
                  <c:v>300.35322580645163</c:v>
                </c:pt>
                <c:pt idx="1089">
                  <c:v>300.62903225806451</c:v>
                </c:pt>
                <c:pt idx="1090">
                  <c:v>300.90483870967745</c:v>
                </c:pt>
                <c:pt idx="1091">
                  <c:v>301.18064516129033</c:v>
                </c:pt>
                <c:pt idx="1092">
                  <c:v>301.45645161290327</c:v>
                </c:pt>
                <c:pt idx="1093">
                  <c:v>301.73225806451615</c:v>
                </c:pt>
                <c:pt idx="1094">
                  <c:v>302.00806451612902</c:v>
                </c:pt>
                <c:pt idx="1095">
                  <c:v>302.28387096774196</c:v>
                </c:pt>
                <c:pt idx="1096">
                  <c:v>302.55967741935484</c:v>
                </c:pt>
                <c:pt idx="1097">
                  <c:v>302.83548387096778</c:v>
                </c:pt>
                <c:pt idx="1098">
                  <c:v>303.11129032258066</c:v>
                </c:pt>
                <c:pt idx="1099">
                  <c:v>303.38709677419354</c:v>
                </c:pt>
                <c:pt idx="1100">
                  <c:v>303.66290322580647</c:v>
                </c:pt>
                <c:pt idx="1101">
                  <c:v>303.93870967741935</c:v>
                </c:pt>
                <c:pt idx="1102">
                  <c:v>304.21451612903229</c:v>
                </c:pt>
                <c:pt idx="1103">
                  <c:v>304.49032258064517</c:v>
                </c:pt>
                <c:pt idx="1104">
                  <c:v>304.76612903225805</c:v>
                </c:pt>
                <c:pt idx="1105">
                  <c:v>305.04193548387099</c:v>
                </c:pt>
                <c:pt idx="1106">
                  <c:v>305.31774193548387</c:v>
                </c:pt>
                <c:pt idx="1107">
                  <c:v>305.5935483870968</c:v>
                </c:pt>
                <c:pt idx="1108">
                  <c:v>305.86935483870968</c:v>
                </c:pt>
                <c:pt idx="1109">
                  <c:v>306.14516129032262</c:v>
                </c:pt>
                <c:pt idx="1110">
                  <c:v>306.4209677419355</c:v>
                </c:pt>
                <c:pt idx="1111">
                  <c:v>306.69677419354838</c:v>
                </c:pt>
                <c:pt idx="1112">
                  <c:v>306.97258064516132</c:v>
                </c:pt>
                <c:pt idx="1113">
                  <c:v>307.2483870967742</c:v>
                </c:pt>
                <c:pt idx="1114">
                  <c:v>307.52419354838713</c:v>
                </c:pt>
                <c:pt idx="1115">
                  <c:v>307.8</c:v>
                </c:pt>
                <c:pt idx="1116">
                  <c:v>308.07580645161289</c:v>
                </c:pt>
                <c:pt idx="1117">
                  <c:v>308.35161290322583</c:v>
                </c:pt>
                <c:pt idx="1118">
                  <c:v>308.62741935483871</c:v>
                </c:pt>
                <c:pt idx="1119">
                  <c:v>308.90322580645164</c:v>
                </c:pt>
                <c:pt idx="1120">
                  <c:v>309.17903225806452</c:v>
                </c:pt>
                <c:pt idx="1121">
                  <c:v>309.4548387096774</c:v>
                </c:pt>
                <c:pt idx="1122">
                  <c:v>309.73064516129034</c:v>
                </c:pt>
                <c:pt idx="1123">
                  <c:v>310.00645161290322</c:v>
                </c:pt>
                <c:pt idx="1124">
                  <c:v>310.28225806451616</c:v>
                </c:pt>
                <c:pt idx="1125">
                  <c:v>310.55806451612904</c:v>
                </c:pt>
                <c:pt idx="1126">
                  <c:v>310.83387096774197</c:v>
                </c:pt>
                <c:pt idx="1127">
                  <c:v>311.10967741935485</c:v>
                </c:pt>
                <c:pt idx="1128">
                  <c:v>311.38548387096773</c:v>
                </c:pt>
                <c:pt idx="1129">
                  <c:v>311.66129032258067</c:v>
                </c:pt>
                <c:pt idx="1130">
                  <c:v>311.93709677419355</c:v>
                </c:pt>
                <c:pt idx="1131">
                  <c:v>312.21290322580649</c:v>
                </c:pt>
                <c:pt idx="1132">
                  <c:v>312.48870967741937</c:v>
                </c:pt>
                <c:pt idx="1133">
                  <c:v>312.76451612903224</c:v>
                </c:pt>
                <c:pt idx="1134">
                  <c:v>313.04032258064518</c:v>
                </c:pt>
                <c:pt idx="1135">
                  <c:v>313.31612903225806</c:v>
                </c:pt>
                <c:pt idx="1136">
                  <c:v>313.591935483871</c:v>
                </c:pt>
                <c:pt idx="1137">
                  <c:v>313.86774193548388</c:v>
                </c:pt>
                <c:pt idx="1138">
                  <c:v>314.14354838709681</c:v>
                </c:pt>
                <c:pt idx="1139">
                  <c:v>314.41935483870969</c:v>
                </c:pt>
                <c:pt idx="1140">
                  <c:v>314.69516129032257</c:v>
                </c:pt>
                <c:pt idx="1141">
                  <c:v>314.97096774193551</c:v>
                </c:pt>
                <c:pt idx="1142">
                  <c:v>315.24677419354839</c:v>
                </c:pt>
                <c:pt idx="1143">
                  <c:v>315.52258064516133</c:v>
                </c:pt>
                <c:pt idx="1144">
                  <c:v>315.79838709677421</c:v>
                </c:pt>
                <c:pt idx="1145">
                  <c:v>316.07419354838709</c:v>
                </c:pt>
                <c:pt idx="1146">
                  <c:v>316.35000000000002</c:v>
                </c:pt>
                <c:pt idx="1147">
                  <c:v>316.6258064516129</c:v>
                </c:pt>
                <c:pt idx="1148">
                  <c:v>316.90161290322584</c:v>
                </c:pt>
                <c:pt idx="1149">
                  <c:v>317.17741935483872</c:v>
                </c:pt>
                <c:pt idx="1150">
                  <c:v>317.4532258064516</c:v>
                </c:pt>
                <c:pt idx="1151">
                  <c:v>317.72903225806454</c:v>
                </c:pt>
                <c:pt idx="1152">
                  <c:v>318.00483870967741</c:v>
                </c:pt>
                <c:pt idx="1153">
                  <c:v>318.28064516129035</c:v>
                </c:pt>
                <c:pt idx="1154">
                  <c:v>318.55645161290323</c:v>
                </c:pt>
                <c:pt idx="1155">
                  <c:v>318.83225806451617</c:v>
                </c:pt>
                <c:pt idx="1156">
                  <c:v>319.10806451612905</c:v>
                </c:pt>
                <c:pt idx="1157">
                  <c:v>319.38387096774193</c:v>
                </c:pt>
                <c:pt idx="1158">
                  <c:v>319.65967741935486</c:v>
                </c:pt>
                <c:pt idx="1159">
                  <c:v>319.93548387096774</c:v>
                </c:pt>
                <c:pt idx="1160">
                  <c:v>320.21129032258068</c:v>
                </c:pt>
                <c:pt idx="1161">
                  <c:v>320.48709677419356</c:v>
                </c:pt>
                <c:pt idx="1162">
                  <c:v>320.76290322580644</c:v>
                </c:pt>
                <c:pt idx="1163">
                  <c:v>321.03870967741938</c:v>
                </c:pt>
                <c:pt idx="1164">
                  <c:v>321.31451612903226</c:v>
                </c:pt>
                <c:pt idx="1165">
                  <c:v>321.59032258064519</c:v>
                </c:pt>
                <c:pt idx="1166">
                  <c:v>321.86612903225807</c:v>
                </c:pt>
                <c:pt idx="1167">
                  <c:v>322.14193548387095</c:v>
                </c:pt>
                <c:pt idx="1168">
                  <c:v>322.41774193548389</c:v>
                </c:pt>
                <c:pt idx="1169">
                  <c:v>322.69354838709677</c:v>
                </c:pt>
                <c:pt idx="1170">
                  <c:v>322.96935483870971</c:v>
                </c:pt>
                <c:pt idx="1171">
                  <c:v>323.24516129032259</c:v>
                </c:pt>
                <c:pt idx="1172">
                  <c:v>323.52096774193552</c:v>
                </c:pt>
                <c:pt idx="1173">
                  <c:v>323.7967741935484</c:v>
                </c:pt>
                <c:pt idx="1174">
                  <c:v>324.07258064516128</c:v>
                </c:pt>
                <c:pt idx="1175">
                  <c:v>324.34838709677422</c:v>
                </c:pt>
                <c:pt idx="1176">
                  <c:v>324.6241935483871</c:v>
                </c:pt>
                <c:pt idx="1177">
                  <c:v>324.90000000000003</c:v>
                </c:pt>
                <c:pt idx="1178">
                  <c:v>325.17580645161291</c:v>
                </c:pt>
                <c:pt idx="1179">
                  <c:v>325.45161290322579</c:v>
                </c:pt>
                <c:pt idx="1180">
                  <c:v>325.72741935483873</c:v>
                </c:pt>
                <c:pt idx="1181">
                  <c:v>326.00322580645161</c:v>
                </c:pt>
                <c:pt idx="1182">
                  <c:v>326.27903225806455</c:v>
                </c:pt>
                <c:pt idx="1183">
                  <c:v>326.55483870967743</c:v>
                </c:pt>
                <c:pt idx="1184">
                  <c:v>326.83064516129036</c:v>
                </c:pt>
                <c:pt idx="1185">
                  <c:v>327.10645161290324</c:v>
                </c:pt>
                <c:pt idx="1186">
                  <c:v>327.38225806451612</c:v>
                </c:pt>
                <c:pt idx="1187">
                  <c:v>327.65806451612906</c:v>
                </c:pt>
                <c:pt idx="1188">
                  <c:v>327.93387096774194</c:v>
                </c:pt>
                <c:pt idx="1189">
                  <c:v>328.20967741935488</c:v>
                </c:pt>
                <c:pt idx="1190">
                  <c:v>328.48548387096776</c:v>
                </c:pt>
                <c:pt idx="1191">
                  <c:v>328.76129032258063</c:v>
                </c:pt>
                <c:pt idx="1192">
                  <c:v>329.03709677419357</c:v>
                </c:pt>
                <c:pt idx="1193">
                  <c:v>329.31290322580645</c:v>
                </c:pt>
                <c:pt idx="1194">
                  <c:v>329.58870967741939</c:v>
                </c:pt>
                <c:pt idx="1195">
                  <c:v>329.86451612903227</c:v>
                </c:pt>
                <c:pt idx="1196">
                  <c:v>330.14032258064515</c:v>
                </c:pt>
                <c:pt idx="1197">
                  <c:v>330.41612903225808</c:v>
                </c:pt>
                <c:pt idx="1198">
                  <c:v>330.69193548387096</c:v>
                </c:pt>
                <c:pt idx="1199">
                  <c:v>330.9677419354839</c:v>
                </c:pt>
                <c:pt idx="1200">
                  <c:v>331.24354838709678</c:v>
                </c:pt>
                <c:pt idx="1201">
                  <c:v>331.51935483870972</c:v>
                </c:pt>
                <c:pt idx="1202">
                  <c:v>331.7951612903226</c:v>
                </c:pt>
                <c:pt idx="1203">
                  <c:v>332.07096774193548</c:v>
                </c:pt>
                <c:pt idx="1204">
                  <c:v>332.34677419354841</c:v>
                </c:pt>
                <c:pt idx="1205">
                  <c:v>332.62258064516129</c:v>
                </c:pt>
                <c:pt idx="1206">
                  <c:v>332.89838709677423</c:v>
                </c:pt>
                <c:pt idx="1207">
                  <c:v>333.17419354838711</c:v>
                </c:pt>
                <c:pt idx="1208">
                  <c:v>333.45</c:v>
                </c:pt>
                <c:pt idx="1209">
                  <c:v>333.72580645161293</c:v>
                </c:pt>
                <c:pt idx="1210">
                  <c:v>334.0016129032258</c:v>
                </c:pt>
                <c:pt idx="1211">
                  <c:v>334.27741935483874</c:v>
                </c:pt>
                <c:pt idx="1212">
                  <c:v>334.55322580645162</c:v>
                </c:pt>
                <c:pt idx="1213">
                  <c:v>334.8290322580645</c:v>
                </c:pt>
                <c:pt idx="1214">
                  <c:v>335.10483870967744</c:v>
                </c:pt>
                <c:pt idx="1215">
                  <c:v>335.38064516129032</c:v>
                </c:pt>
                <c:pt idx="1216">
                  <c:v>335.65645161290325</c:v>
                </c:pt>
                <c:pt idx="1217">
                  <c:v>335.93225806451613</c:v>
                </c:pt>
                <c:pt idx="1218">
                  <c:v>336.20806451612907</c:v>
                </c:pt>
                <c:pt idx="1219">
                  <c:v>336.48387096774195</c:v>
                </c:pt>
                <c:pt idx="1220">
                  <c:v>336.75967741935483</c:v>
                </c:pt>
                <c:pt idx="1221">
                  <c:v>337.03548387096777</c:v>
                </c:pt>
                <c:pt idx="1222">
                  <c:v>337.31129032258065</c:v>
                </c:pt>
                <c:pt idx="1223">
                  <c:v>337.58709677419358</c:v>
                </c:pt>
                <c:pt idx="1224">
                  <c:v>337.86290322580646</c:v>
                </c:pt>
                <c:pt idx="1225">
                  <c:v>338.13870967741934</c:v>
                </c:pt>
                <c:pt idx="1226">
                  <c:v>338.41451612903228</c:v>
                </c:pt>
                <c:pt idx="1227">
                  <c:v>338.69032258064516</c:v>
                </c:pt>
                <c:pt idx="1228">
                  <c:v>338.9661290322581</c:v>
                </c:pt>
                <c:pt idx="1229">
                  <c:v>339.24193548387098</c:v>
                </c:pt>
                <c:pt idx="1230">
                  <c:v>339.51774193548391</c:v>
                </c:pt>
                <c:pt idx="1231">
                  <c:v>339.79354838709679</c:v>
                </c:pt>
                <c:pt idx="1232">
                  <c:v>340.06935483870967</c:v>
                </c:pt>
                <c:pt idx="1233">
                  <c:v>340.34516129032261</c:v>
                </c:pt>
                <c:pt idx="1234">
                  <c:v>340.62096774193549</c:v>
                </c:pt>
                <c:pt idx="1235">
                  <c:v>340.89677419354842</c:v>
                </c:pt>
                <c:pt idx="1236">
                  <c:v>341.1725806451613</c:v>
                </c:pt>
                <c:pt idx="1237">
                  <c:v>341.44838709677418</c:v>
                </c:pt>
                <c:pt idx="1238">
                  <c:v>341.72419354838712</c:v>
                </c:pt>
                <c:pt idx="1239">
                  <c:v>342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3931-4FAE-852D-D8F887EBF8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22494736"/>
        <c:axId val="1523031264"/>
      </c:scatterChart>
      <c:valAx>
        <c:axId val="15224947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# Cases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523031264"/>
        <c:crosses val="autoZero"/>
        <c:crossBetween val="midCat"/>
      </c:valAx>
      <c:valAx>
        <c:axId val="1523031264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Cumulative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522494736"/>
        <c:crosses val="autoZero"/>
        <c:crossBetween val="midCat"/>
      </c:valAx>
      <c:spPr>
        <a:noFill/>
        <a:ln w="25400">
          <a:noFill/>
        </a:ln>
      </c:spPr>
    </c:plotArea>
    <c:legend>
      <c:legendPos val="r"/>
      <c:overlay val="0"/>
      <c:spPr>
        <a:ln>
          <a:solidFill>
            <a:srgbClr val="000000"/>
          </a:solidFill>
          <a:prstDash val="solid"/>
        </a:ln>
      </c:sp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Decile-wise lift chart (validation dataset)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numRef>
              <c:f>CT_ValidationLiftChart!$BE$4:$BE$13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CT_ValidationLiftChart!$BF$4:$BF$13</c:f>
              <c:numCache>
                <c:formatCode>General</c:formatCode>
                <c:ptCount val="10"/>
                <c:pt idx="0">
                  <c:v>3.5672514619883038</c:v>
                </c:pt>
                <c:pt idx="1">
                  <c:v>3.1286549707602336</c:v>
                </c:pt>
                <c:pt idx="2">
                  <c:v>1.9883040935672514</c:v>
                </c:pt>
                <c:pt idx="3">
                  <c:v>0.93567251461988299</c:v>
                </c:pt>
                <c:pt idx="4">
                  <c:v>0.11695906432748537</c:v>
                </c:pt>
                <c:pt idx="5">
                  <c:v>0.11695906432748537</c:v>
                </c:pt>
                <c:pt idx="6">
                  <c:v>0.14619883040935672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8D5-48A9-89BC-EA82B60E96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22494736"/>
        <c:axId val="1524164000"/>
      </c:barChart>
      <c:catAx>
        <c:axId val="15224947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Deciles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524164000"/>
        <c:crosses val="autoZero"/>
        <c:auto val="1"/>
        <c:lblAlgn val="ctr"/>
        <c:lblOffset val="100"/>
        <c:noMultiLvlLbl val="0"/>
      </c:catAx>
      <c:valAx>
        <c:axId val="15241640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Decile mean / Global mean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522494736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overlay val="0"/>
      <c:spPr>
        <a:ln>
          <a:solidFill>
            <a:srgbClr val="000000"/>
          </a:solidFill>
          <a:prstDash val="solid"/>
        </a:ln>
      </c:sp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ROC Curve, AUC = 0.964124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CT Classifier</c:v>
          </c:tx>
          <c:spPr>
            <a:ln w="6350"/>
          </c:spPr>
          <c:marker>
            <c:symbol val="none"/>
          </c:marker>
          <c:xVal>
            <c:numRef>
              <c:f>CT_ValidationLiftChart!$BZ$2:$BZ$21</c:f>
              <c:numCache>
                <c:formatCode>General</c:formatCode>
                <c:ptCount val="20"/>
                <c:pt idx="0">
                  <c:v>0</c:v>
                </c:pt>
                <c:pt idx="1">
                  <c:v>4.4543429844097994E-3</c:v>
                </c:pt>
                <c:pt idx="2">
                  <c:v>8.9086859688195987E-3</c:v>
                </c:pt>
                <c:pt idx="3">
                  <c:v>1.2249443207126948E-2</c:v>
                </c:pt>
                <c:pt idx="4">
                  <c:v>1.7817371937639197E-2</c:v>
                </c:pt>
                <c:pt idx="5">
                  <c:v>2.5612472160356347E-2</c:v>
                </c:pt>
                <c:pt idx="6">
                  <c:v>4.0089086859688199E-2</c:v>
                </c:pt>
                <c:pt idx="7">
                  <c:v>4.3429844097995544E-2</c:v>
                </c:pt>
                <c:pt idx="8">
                  <c:v>5.0111358574610243E-2</c:v>
                </c:pt>
                <c:pt idx="9">
                  <c:v>6.0133630289532294E-2</c:v>
                </c:pt>
                <c:pt idx="10">
                  <c:v>6.4587973273942098E-2</c:v>
                </c:pt>
                <c:pt idx="11">
                  <c:v>8.2405345211581285E-2</c:v>
                </c:pt>
                <c:pt idx="12">
                  <c:v>0.10356347438752785</c:v>
                </c:pt>
                <c:pt idx="13">
                  <c:v>0.10467706013363029</c:v>
                </c:pt>
                <c:pt idx="14">
                  <c:v>0.15144766146993319</c:v>
                </c:pt>
                <c:pt idx="15">
                  <c:v>0.17594654788418709</c:v>
                </c:pt>
                <c:pt idx="16">
                  <c:v>0.24610244988864144</c:v>
                </c:pt>
                <c:pt idx="17">
                  <c:v>0.5657015590200446</c:v>
                </c:pt>
                <c:pt idx="18">
                  <c:v>0.84966592427616927</c:v>
                </c:pt>
                <c:pt idx="19">
                  <c:v>1</c:v>
                </c:pt>
              </c:numCache>
            </c:numRef>
          </c:xVal>
          <c:yVal>
            <c:numRef>
              <c:f>CT_ValidationLiftChart!$CA$2:$CA$21</c:f>
              <c:numCache>
                <c:formatCode>General</c:formatCode>
                <c:ptCount val="20"/>
                <c:pt idx="0">
                  <c:v>0</c:v>
                </c:pt>
                <c:pt idx="1">
                  <c:v>0.59649122807017541</c:v>
                </c:pt>
                <c:pt idx="2">
                  <c:v>0.62865497076023391</c:v>
                </c:pt>
                <c:pt idx="3">
                  <c:v>0.65204678362573099</c:v>
                </c:pt>
                <c:pt idx="4">
                  <c:v>0.65789473684210531</c:v>
                </c:pt>
                <c:pt idx="5">
                  <c:v>0.71052631578947367</c:v>
                </c:pt>
                <c:pt idx="6">
                  <c:v>0.71345029239766078</c:v>
                </c:pt>
                <c:pt idx="7">
                  <c:v>0.73099415204678364</c:v>
                </c:pt>
                <c:pt idx="8">
                  <c:v>0.77485380116959068</c:v>
                </c:pt>
                <c:pt idx="9">
                  <c:v>0.81578947368421051</c:v>
                </c:pt>
                <c:pt idx="10">
                  <c:v>0.83040935672514615</c:v>
                </c:pt>
                <c:pt idx="11">
                  <c:v>0.86842105263157898</c:v>
                </c:pt>
                <c:pt idx="12">
                  <c:v>0.91812865497076024</c:v>
                </c:pt>
                <c:pt idx="13">
                  <c:v>0.92397660818713445</c:v>
                </c:pt>
                <c:pt idx="14">
                  <c:v>0.94444444444444442</c:v>
                </c:pt>
                <c:pt idx="15">
                  <c:v>0.95906432748538006</c:v>
                </c:pt>
                <c:pt idx="16">
                  <c:v>0.97368421052631582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16D-484A-B364-9FE10677B051}"/>
            </c:ext>
          </c:extLst>
        </c:ser>
        <c:ser>
          <c:idx val="1"/>
          <c:order val="1"/>
          <c:tx>
            <c:v>Random Classifier</c:v>
          </c:tx>
          <c:spPr>
            <a:ln w="6350"/>
          </c:spPr>
          <c:marker>
            <c:symbol val="none"/>
          </c:marker>
          <c:xVal>
            <c:numRef>
              <c:f>CT_ValidationLiftChart!$BZ$2:$BZ$21</c:f>
              <c:numCache>
                <c:formatCode>General</c:formatCode>
                <c:ptCount val="20"/>
                <c:pt idx="0">
                  <c:v>0</c:v>
                </c:pt>
                <c:pt idx="1">
                  <c:v>4.4543429844097994E-3</c:v>
                </c:pt>
                <c:pt idx="2">
                  <c:v>8.9086859688195987E-3</c:v>
                </c:pt>
                <c:pt idx="3">
                  <c:v>1.2249443207126948E-2</c:v>
                </c:pt>
                <c:pt idx="4">
                  <c:v>1.7817371937639197E-2</c:v>
                </c:pt>
                <c:pt idx="5">
                  <c:v>2.5612472160356347E-2</c:v>
                </c:pt>
                <c:pt idx="6">
                  <c:v>4.0089086859688199E-2</c:v>
                </c:pt>
                <c:pt idx="7">
                  <c:v>4.3429844097995544E-2</c:v>
                </c:pt>
                <c:pt idx="8">
                  <c:v>5.0111358574610243E-2</c:v>
                </c:pt>
                <c:pt idx="9">
                  <c:v>6.0133630289532294E-2</c:v>
                </c:pt>
                <c:pt idx="10">
                  <c:v>6.4587973273942098E-2</c:v>
                </c:pt>
                <c:pt idx="11">
                  <c:v>8.2405345211581285E-2</c:v>
                </c:pt>
                <c:pt idx="12">
                  <c:v>0.10356347438752785</c:v>
                </c:pt>
                <c:pt idx="13">
                  <c:v>0.10467706013363029</c:v>
                </c:pt>
                <c:pt idx="14">
                  <c:v>0.15144766146993319</c:v>
                </c:pt>
                <c:pt idx="15">
                  <c:v>0.17594654788418709</c:v>
                </c:pt>
                <c:pt idx="16">
                  <c:v>0.24610244988864144</c:v>
                </c:pt>
                <c:pt idx="17">
                  <c:v>0.5657015590200446</c:v>
                </c:pt>
                <c:pt idx="18">
                  <c:v>0.84966592427616927</c:v>
                </c:pt>
                <c:pt idx="19">
                  <c:v>1</c:v>
                </c:pt>
              </c:numCache>
            </c:numRef>
          </c:xVal>
          <c:yVal>
            <c:numRef>
              <c:f>CT_ValidationLiftChart!$CB$2:$CB$21</c:f>
              <c:numCache>
                <c:formatCode>General</c:formatCode>
                <c:ptCount val="20"/>
                <c:pt idx="0">
                  <c:v>0</c:v>
                </c:pt>
                <c:pt idx="1">
                  <c:v>4.4543429844097994E-3</c:v>
                </c:pt>
                <c:pt idx="2">
                  <c:v>8.9086859688195987E-3</c:v>
                </c:pt>
                <c:pt idx="3">
                  <c:v>1.2249443207126948E-2</c:v>
                </c:pt>
                <c:pt idx="4">
                  <c:v>1.7817371937639197E-2</c:v>
                </c:pt>
                <c:pt idx="5">
                  <c:v>2.5612472160356347E-2</c:v>
                </c:pt>
                <c:pt idx="6">
                  <c:v>4.0089086859688199E-2</c:v>
                </c:pt>
                <c:pt idx="7">
                  <c:v>4.3429844097995544E-2</c:v>
                </c:pt>
                <c:pt idx="8">
                  <c:v>5.0111358574610243E-2</c:v>
                </c:pt>
                <c:pt idx="9">
                  <c:v>6.0133630289532294E-2</c:v>
                </c:pt>
                <c:pt idx="10">
                  <c:v>6.4587973273942098E-2</c:v>
                </c:pt>
                <c:pt idx="11">
                  <c:v>8.2405345211581285E-2</c:v>
                </c:pt>
                <c:pt idx="12">
                  <c:v>0.10356347438752785</c:v>
                </c:pt>
                <c:pt idx="13">
                  <c:v>0.10467706013363029</c:v>
                </c:pt>
                <c:pt idx="14">
                  <c:v>0.15144766146993319</c:v>
                </c:pt>
                <c:pt idx="15">
                  <c:v>0.17594654788418709</c:v>
                </c:pt>
                <c:pt idx="16">
                  <c:v>0.24610244988864144</c:v>
                </c:pt>
                <c:pt idx="17">
                  <c:v>0.5657015590200446</c:v>
                </c:pt>
                <c:pt idx="18">
                  <c:v>0.84966592427616927</c:v>
                </c:pt>
                <c:pt idx="1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16D-484A-B364-9FE10677B0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22496816"/>
        <c:axId val="1524216768"/>
      </c:scatterChart>
      <c:valAx>
        <c:axId val="15224968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1 - Specificity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524216768"/>
        <c:crosses val="autoZero"/>
        <c:crossBetween val="midCat"/>
      </c:valAx>
      <c:valAx>
        <c:axId val="1524216768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Sensitivity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522496816"/>
        <c:crosses val="autoZero"/>
        <c:crossBetween val="midCat"/>
      </c:valAx>
      <c:spPr>
        <a:noFill/>
        <a:ln w="25400">
          <a:noFill/>
        </a:ln>
      </c:spPr>
    </c:plotArea>
    <c:legend>
      <c:legendPos val="r"/>
      <c:overlay val="0"/>
      <c:spPr>
        <a:ln>
          <a:solidFill>
            <a:srgbClr val="000000"/>
          </a:solidFill>
          <a:prstDash val="solid"/>
        </a:ln>
      </c:sp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52388</xdr:colOff>
      <xdr:row>9</xdr:row>
      <xdr:rowOff>133350</xdr:rowOff>
    </xdr:from>
    <xdr:to>
      <xdr:col>9</xdr:col>
      <xdr:colOff>204788</xdr:colOff>
      <xdr:row>11</xdr:row>
      <xdr:rowOff>133350</xdr:rowOff>
    </xdr:to>
    <xdr:sp macro="" textlink="">
      <xdr:nvSpPr>
        <xdr:cNvPr id="2" name="Oval 1">
          <a:hlinkClick xmlns:r="http://schemas.openxmlformats.org/officeDocument/2006/relationships" r:id="" tooltip="Go left if Race &lt; 0.50"/>
          <a:extLst>
            <a:ext uri="{FF2B5EF4-FFF2-40B4-BE49-F238E27FC236}">
              <a16:creationId xmlns:a16="http://schemas.microsoft.com/office/drawing/2014/main" id="{0BEB328D-EFAC-40DD-90C7-FC0ACF5F425B}"/>
            </a:ext>
          </a:extLst>
        </xdr:cNvPr>
        <xdr:cNvSpPr/>
      </xdr:nvSpPr>
      <xdr:spPr>
        <a:xfrm>
          <a:off x="4929188" y="1905000"/>
          <a:ext cx="762000" cy="381000"/>
        </a:xfrm>
        <a:prstGeom prst="ellipse">
          <a:avLst/>
        </a:prstGeom>
        <a:solidFill>
          <a:srgbClr val="4F81BD"/>
        </a:solidFill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800" b="0" i="0"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</a:rPr>
            <a:t>0.50</a:t>
          </a:r>
        </a:p>
      </xdr:txBody>
    </xdr:sp>
    <xdr:clientData/>
  </xdr:twoCellAnchor>
  <xdr:twoCellAnchor>
    <xdr:from>
      <xdr:col>8</xdr:col>
      <xdr:colOff>52388</xdr:colOff>
      <xdr:row>9</xdr:row>
      <xdr:rowOff>6350</xdr:rowOff>
    </xdr:from>
    <xdr:to>
      <xdr:col>9</xdr:col>
      <xdr:colOff>204788</xdr:colOff>
      <xdr:row>9</xdr:row>
      <xdr:rowOff>133350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C69304BB-2A96-4BA2-A292-9A6BDCA0815F}"/>
            </a:ext>
          </a:extLst>
        </xdr:cNvPr>
        <xdr:cNvSpPr txBox="1"/>
      </xdr:nvSpPr>
      <xdr:spPr>
        <a:xfrm>
          <a:off x="4929188" y="1778000"/>
          <a:ext cx="762000" cy="127000"/>
        </a:xfrm>
        <a:prstGeom prst="rect">
          <a:avLst/>
        </a:prstGeom>
        <a:solidFill>
          <a:schemeClr val="lt1"/>
        </a:solidFill>
        <a:ln w="9525" cmpd="sng">
          <a:noFill/>
        </a:ln>
        <a:effectLst/>
        <a:extLs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lang="en-US" sz="800" b="0" i="0">
              <a:solidFill>
                <a:srgbClr xmlns:mc="http://schemas.openxmlformats.org/markup-compatibility/2006" xmlns:a14="http://schemas.microsoft.com/office/drawing/2010/main" val="FF0000" mc:Ignorable="a14" a14:legacySpreadsheetColorIndex="10"/>
              </a:solidFill>
            </a:rPr>
            <a:t>Race</a:t>
          </a:r>
        </a:p>
      </xdr:txBody>
    </xdr:sp>
    <xdr:clientData/>
  </xdr:twoCellAnchor>
  <xdr:twoCellAnchor>
    <xdr:from>
      <xdr:col>7</xdr:col>
      <xdr:colOff>217488</xdr:colOff>
      <xdr:row>13</xdr:row>
      <xdr:rowOff>133350</xdr:rowOff>
    </xdr:from>
    <xdr:to>
      <xdr:col>8</xdr:col>
      <xdr:colOff>369888</xdr:colOff>
      <xdr:row>15</xdr:row>
      <xdr:rowOff>133350</xdr:rowOff>
    </xdr:to>
    <xdr:sp macro="" textlink="">
      <xdr:nvSpPr>
        <xdr:cNvPr id="4" name="Oval 3">
          <a:hlinkClick xmlns:r="http://schemas.openxmlformats.org/officeDocument/2006/relationships" r:id="" tooltip="Go left if Age &lt; 73.50"/>
          <a:extLst>
            <a:ext uri="{FF2B5EF4-FFF2-40B4-BE49-F238E27FC236}">
              <a16:creationId xmlns:a16="http://schemas.microsoft.com/office/drawing/2014/main" id="{32428A60-99BF-4BEA-B295-5DB72B17BB95}"/>
            </a:ext>
          </a:extLst>
        </xdr:cNvPr>
        <xdr:cNvSpPr/>
      </xdr:nvSpPr>
      <xdr:spPr>
        <a:xfrm>
          <a:off x="4484688" y="2667000"/>
          <a:ext cx="762000" cy="381000"/>
        </a:xfrm>
        <a:prstGeom prst="ellipse">
          <a:avLst/>
        </a:prstGeom>
        <a:solidFill>
          <a:srgbClr val="4F81BD"/>
        </a:solidFill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800" b="0" i="0"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</a:rPr>
            <a:t>73.50</a:t>
          </a:r>
        </a:p>
      </xdr:txBody>
    </xdr:sp>
    <xdr:clientData/>
  </xdr:twoCellAnchor>
  <xdr:twoCellAnchor>
    <xdr:from>
      <xdr:col>7</xdr:col>
      <xdr:colOff>217488</xdr:colOff>
      <xdr:row>13</xdr:row>
      <xdr:rowOff>6350</xdr:rowOff>
    </xdr:from>
    <xdr:to>
      <xdr:col>8</xdr:col>
      <xdr:colOff>369888</xdr:colOff>
      <xdr:row>13</xdr:row>
      <xdr:rowOff>133350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C13AD8B0-D305-4E5E-8DAC-B8872F10EEFD}"/>
            </a:ext>
          </a:extLst>
        </xdr:cNvPr>
        <xdr:cNvSpPr txBox="1"/>
      </xdr:nvSpPr>
      <xdr:spPr>
        <a:xfrm>
          <a:off x="4484688" y="2540000"/>
          <a:ext cx="762000" cy="127000"/>
        </a:xfrm>
        <a:prstGeom prst="rect">
          <a:avLst/>
        </a:prstGeom>
        <a:solidFill>
          <a:schemeClr val="lt1"/>
        </a:solidFill>
        <a:ln w="9525" cmpd="sng">
          <a:noFill/>
        </a:ln>
        <a:effectLst/>
        <a:extLs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lang="en-US" sz="800" b="0" i="0">
              <a:solidFill>
                <a:srgbClr xmlns:mc="http://schemas.openxmlformats.org/markup-compatibility/2006" xmlns:a14="http://schemas.microsoft.com/office/drawing/2010/main" val="FF0000" mc:Ignorable="a14" a14:legacySpreadsheetColorIndex="10"/>
              </a:solidFill>
            </a:rPr>
            <a:t>Age</a:t>
          </a:r>
        </a:p>
      </xdr:txBody>
    </xdr:sp>
    <xdr:clientData/>
  </xdr:twoCellAnchor>
  <xdr:twoCellAnchor>
    <xdr:from>
      <xdr:col>7</xdr:col>
      <xdr:colOff>598488</xdr:colOff>
      <xdr:row>12</xdr:row>
      <xdr:rowOff>6350</xdr:rowOff>
    </xdr:from>
    <xdr:to>
      <xdr:col>9</xdr:col>
      <xdr:colOff>395288</xdr:colOff>
      <xdr:row>12</xdr:row>
      <xdr:rowOff>133350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DD854604-D67F-49D0-AF6E-732B89CAA49A}"/>
            </a:ext>
          </a:extLst>
        </xdr:cNvPr>
        <xdr:cNvSpPr txBox="1"/>
      </xdr:nvSpPr>
      <xdr:spPr>
        <a:xfrm>
          <a:off x="4865688" y="2349500"/>
          <a:ext cx="1016000" cy="127000"/>
        </a:xfrm>
        <a:prstGeom prst="rect">
          <a:avLst/>
        </a:prstGeom>
        <a:solidFill>
          <a:schemeClr val="lt1"/>
        </a:solidFill>
        <a:ln w="9525" cmpd="sng">
          <a:noFill/>
        </a:ln>
        <a:effectLst/>
        <a:extLs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l"/>
          <a:r>
            <a:rPr lang="en-US" sz="800" b="0" i="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</a:rPr>
            <a:t>1039</a:t>
          </a:r>
        </a:p>
      </xdr:txBody>
    </xdr:sp>
    <xdr:clientData/>
  </xdr:twoCellAnchor>
  <xdr:twoCellAnchor>
    <xdr:from>
      <xdr:col>8</xdr:col>
      <xdr:colOff>496888</xdr:colOff>
      <xdr:row>13</xdr:row>
      <xdr:rowOff>133350</xdr:rowOff>
    </xdr:from>
    <xdr:to>
      <xdr:col>10</xdr:col>
      <xdr:colOff>39688</xdr:colOff>
      <xdr:row>15</xdr:row>
      <xdr:rowOff>133350</xdr:rowOff>
    </xdr:to>
    <xdr:sp macro="" textlink="">
      <xdr:nvSpPr>
        <xdr:cNvPr id="7" name="Rectangle 6">
          <a:hlinkClick xmlns:r="http://schemas.openxmlformats.org/officeDocument/2006/relationships" r:id="" tooltip="Terminal"/>
          <a:extLst>
            <a:ext uri="{FF2B5EF4-FFF2-40B4-BE49-F238E27FC236}">
              <a16:creationId xmlns:a16="http://schemas.microsoft.com/office/drawing/2014/main" id="{86292A6E-185F-4BEA-9391-2B61613A08FA}"/>
            </a:ext>
          </a:extLst>
        </xdr:cNvPr>
        <xdr:cNvSpPr/>
      </xdr:nvSpPr>
      <xdr:spPr>
        <a:xfrm>
          <a:off x="5373688" y="2667000"/>
          <a:ext cx="762000" cy="381000"/>
        </a:xfrm>
        <a:prstGeom prst="rect">
          <a:avLst/>
        </a:prstGeom>
        <a:solidFill>
          <a:srgbClr val="148014"/>
        </a:solidFill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800" b="0" i="0"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</a:rPr>
            <a:t>1</a:t>
          </a:r>
        </a:p>
      </xdr:txBody>
    </xdr:sp>
    <xdr:clientData/>
  </xdr:twoCellAnchor>
  <xdr:twoCellAnchor>
    <xdr:from>
      <xdr:col>8</xdr:col>
      <xdr:colOff>496888</xdr:colOff>
      <xdr:row>12</xdr:row>
      <xdr:rowOff>6350</xdr:rowOff>
    </xdr:from>
    <xdr:to>
      <xdr:col>10</xdr:col>
      <xdr:colOff>293688</xdr:colOff>
      <xdr:row>12</xdr:row>
      <xdr:rowOff>133350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BEB441C5-8D81-40C3-B401-DF5CFBAD72C9}"/>
            </a:ext>
          </a:extLst>
        </xdr:cNvPr>
        <xdr:cNvSpPr txBox="1"/>
      </xdr:nvSpPr>
      <xdr:spPr>
        <a:xfrm>
          <a:off x="5373688" y="2349500"/>
          <a:ext cx="1016000" cy="127000"/>
        </a:xfrm>
        <a:prstGeom prst="rect">
          <a:avLst/>
        </a:prstGeom>
        <a:solidFill>
          <a:schemeClr val="lt1"/>
        </a:solidFill>
        <a:ln w="9525" cmpd="sng">
          <a:noFill/>
        </a:ln>
        <a:effectLst/>
        <a:extLs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l"/>
          <a:r>
            <a:rPr lang="en-US" sz="800" b="0" i="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</a:rPr>
            <a:t>201</a:t>
          </a:r>
        </a:p>
      </xdr:txBody>
    </xdr:sp>
    <xdr:clientData/>
  </xdr:twoCellAnchor>
  <xdr:twoCellAnchor>
    <xdr:from>
      <xdr:col>5</xdr:col>
      <xdr:colOff>381000</xdr:colOff>
      <xdr:row>17</xdr:row>
      <xdr:rowOff>133350</xdr:rowOff>
    </xdr:from>
    <xdr:to>
      <xdr:col>6</xdr:col>
      <xdr:colOff>533400</xdr:colOff>
      <xdr:row>19</xdr:row>
      <xdr:rowOff>133350</xdr:rowOff>
    </xdr:to>
    <xdr:sp macro="" textlink="">
      <xdr:nvSpPr>
        <xdr:cNvPr id="9" name="Oval 8">
          <a:hlinkClick xmlns:r="http://schemas.openxmlformats.org/officeDocument/2006/relationships" r:id="" tooltip="Go left if Lengthofstay &lt; 45.50"/>
          <a:extLst>
            <a:ext uri="{FF2B5EF4-FFF2-40B4-BE49-F238E27FC236}">
              <a16:creationId xmlns:a16="http://schemas.microsoft.com/office/drawing/2014/main" id="{7B4F2265-0800-425D-9512-9C9189D5AFA0}"/>
            </a:ext>
          </a:extLst>
        </xdr:cNvPr>
        <xdr:cNvSpPr/>
      </xdr:nvSpPr>
      <xdr:spPr>
        <a:xfrm>
          <a:off x="3429000" y="3429000"/>
          <a:ext cx="762000" cy="381000"/>
        </a:xfrm>
        <a:prstGeom prst="ellipse">
          <a:avLst/>
        </a:prstGeom>
        <a:solidFill>
          <a:srgbClr val="4F81BD"/>
        </a:solidFill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800" b="0" i="0"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</a:rPr>
            <a:t>45.50</a:t>
          </a:r>
        </a:p>
      </xdr:txBody>
    </xdr:sp>
    <xdr:clientData/>
  </xdr:twoCellAnchor>
  <xdr:twoCellAnchor>
    <xdr:from>
      <xdr:col>5</xdr:col>
      <xdr:colOff>381000</xdr:colOff>
      <xdr:row>17</xdr:row>
      <xdr:rowOff>6350</xdr:rowOff>
    </xdr:from>
    <xdr:to>
      <xdr:col>6</xdr:col>
      <xdr:colOff>533400</xdr:colOff>
      <xdr:row>17</xdr:row>
      <xdr:rowOff>133350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2AC20DE0-5BF9-4632-B0FD-7876B9982A31}"/>
            </a:ext>
          </a:extLst>
        </xdr:cNvPr>
        <xdr:cNvSpPr txBox="1"/>
      </xdr:nvSpPr>
      <xdr:spPr>
        <a:xfrm>
          <a:off x="3429000" y="3302000"/>
          <a:ext cx="762000" cy="127000"/>
        </a:xfrm>
        <a:prstGeom prst="rect">
          <a:avLst/>
        </a:prstGeom>
        <a:solidFill>
          <a:schemeClr val="lt1"/>
        </a:solidFill>
        <a:ln w="9525" cmpd="sng">
          <a:noFill/>
        </a:ln>
        <a:effectLst/>
        <a:extLs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lang="en-US" sz="800" b="0" i="0">
              <a:solidFill>
                <a:srgbClr xmlns:mc="http://schemas.openxmlformats.org/markup-compatibility/2006" xmlns:a14="http://schemas.microsoft.com/office/drawing/2010/main" val="FF0000" mc:Ignorable="a14" a14:legacySpreadsheetColorIndex="10"/>
              </a:solidFill>
            </a:rPr>
            <a:t>Lengthofstay</a:t>
          </a:r>
        </a:p>
      </xdr:txBody>
    </xdr:sp>
    <xdr:clientData/>
  </xdr:twoCellAnchor>
  <xdr:twoCellAnchor>
    <xdr:from>
      <xdr:col>6</xdr:col>
      <xdr:colOff>152400</xdr:colOff>
      <xdr:row>16</xdr:row>
      <xdr:rowOff>6350</xdr:rowOff>
    </xdr:from>
    <xdr:to>
      <xdr:col>7</xdr:col>
      <xdr:colOff>558800</xdr:colOff>
      <xdr:row>16</xdr:row>
      <xdr:rowOff>133350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C538A72E-3BA9-476B-9736-1ECBF2C6BC2E}"/>
            </a:ext>
          </a:extLst>
        </xdr:cNvPr>
        <xdr:cNvSpPr txBox="1"/>
      </xdr:nvSpPr>
      <xdr:spPr>
        <a:xfrm>
          <a:off x="3810000" y="3111500"/>
          <a:ext cx="1016000" cy="127000"/>
        </a:xfrm>
        <a:prstGeom prst="rect">
          <a:avLst/>
        </a:prstGeom>
        <a:solidFill>
          <a:schemeClr val="lt1"/>
        </a:solidFill>
        <a:ln w="9525" cmpd="sng">
          <a:noFill/>
        </a:ln>
        <a:effectLst/>
        <a:extLs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l"/>
          <a:r>
            <a:rPr lang="en-US" sz="800" b="0" i="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</a:rPr>
            <a:t>846</a:t>
          </a:r>
        </a:p>
      </xdr:txBody>
    </xdr:sp>
    <xdr:clientData/>
  </xdr:twoCellAnchor>
  <xdr:twoCellAnchor>
    <xdr:from>
      <xdr:col>9</xdr:col>
      <xdr:colOff>53975</xdr:colOff>
      <xdr:row>17</xdr:row>
      <xdr:rowOff>133350</xdr:rowOff>
    </xdr:from>
    <xdr:to>
      <xdr:col>10</xdr:col>
      <xdr:colOff>206375</xdr:colOff>
      <xdr:row>19</xdr:row>
      <xdr:rowOff>133350</xdr:rowOff>
    </xdr:to>
    <xdr:sp macro="" textlink="">
      <xdr:nvSpPr>
        <xdr:cNvPr id="12" name="Oval 11">
          <a:hlinkClick xmlns:r="http://schemas.openxmlformats.org/officeDocument/2006/relationships" r:id="" tooltip="Go left if Age &lt; 74.50"/>
          <a:extLst>
            <a:ext uri="{FF2B5EF4-FFF2-40B4-BE49-F238E27FC236}">
              <a16:creationId xmlns:a16="http://schemas.microsoft.com/office/drawing/2014/main" id="{51001E07-71F0-41D1-8370-AE59D4A81E3B}"/>
            </a:ext>
          </a:extLst>
        </xdr:cNvPr>
        <xdr:cNvSpPr/>
      </xdr:nvSpPr>
      <xdr:spPr>
        <a:xfrm>
          <a:off x="5540375" y="3429000"/>
          <a:ext cx="762000" cy="381000"/>
        </a:xfrm>
        <a:prstGeom prst="ellipse">
          <a:avLst/>
        </a:prstGeom>
        <a:solidFill>
          <a:srgbClr val="4F81BD"/>
        </a:solidFill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800" b="0" i="0"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</a:rPr>
            <a:t>74.50</a:t>
          </a:r>
        </a:p>
      </xdr:txBody>
    </xdr:sp>
    <xdr:clientData/>
  </xdr:twoCellAnchor>
  <xdr:twoCellAnchor>
    <xdr:from>
      <xdr:col>9</xdr:col>
      <xdr:colOff>53975</xdr:colOff>
      <xdr:row>17</xdr:row>
      <xdr:rowOff>6350</xdr:rowOff>
    </xdr:from>
    <xdr:to>
      <xdr:col>10</xdr:col>
      <xdr:colOff>206375</xdr:colOff>
      <xdr:row>17</xdr:row>
      <xdr:rowOff>133350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0C645B44-056E-43CE-93BA-E1D7D746710D}"/>
            </a:ext>
          </a:extLst>
        </xdr:cNvPr>
        <xdr:cNvSpPr txBox="1"/>
      </xdr:nvSpPr>
      <xdr:spPr>
        <a:xfrm>
          <a:off x="5540375" y="3302000"/>
          <a:ext cx="762000" cy="127000"/>
        </a:xfrm>
        <a:prstGeom prst="rect">
          <a:avLst/>
        </a:prstGeom>
        <a:solidFill>
          <a:schemeClr val="lt1"/>
        </a:solidFill>
        <a:ln w="9525" cmpd="sng">
          <a:noFill/>
        </a:ln>
        <a:effectLst/>
        <a:extLs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lang="en-US" sz="800" b="0" i="0">
              <a:solidFill>
                <a:srgbClr xmlns:mc="http://schemas.openxmlformats.org/markup-compatibility/2006" xmlns:a14="http://schemas.microsoft.com/office/drawing/2010/main" val="FF0000" mc:Ignorable="a14" a14:legacySpreadsheetColorIndex="10"/>
              </a:solidFill>
            </a:rPr>
            <a:t>Age</a:t>
          </a:r>
        </a:p>
      </xdr:txBody>
    </xdr:sp>
    <xdr:clientData/>
  </xdr:twoCellAnchor>
  <xdr:twoCellAnchor>
    <xdr:from>
      <xdr:col>9</xdr:col>
      <xdr:colOff>53975</xdr:colOff>
      <xdr:row>16</xdr:row>
      <xdr:rowOff>6350</xdr:rowOff>
    </xdr:from>
    <xdr:to>
      <xdr:col>10</xdr:col>
      <xdr:colOff>460375</xdr:colOff>
      <xdr:row>16</xdr:row>
      <xdr:rowOff>133350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7AC3FEC5-5C6C-47BA-8815-16DF8D331F28}"/>
            </a:ext>
          </a:extLst>
        </xdr:cNvPr>
        <xdr:cNvSpPr txBox="1"/>
      </xdr:nvSpPr>
      <xdr:spPr>
        <a:xfrm>
          <a:off x="5540375" y="3111500"/>
          <a:ext cx="1016000" cy="127000"/>
        </a:xfrm>
        <a:prstGeom prst="rect">
          <a:avLst/>
        </a:prstGeom>
        <a:solidFill>
          <a:schemeClr val="lt1"/>
        </a:solidFill>
        <a:ln w="9525" cmpd="sng">
          <a:noFill/>
        </a:ln>
        <a:effectLst/>
        <a:extLs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l"/>
          <a:r>
            <a:rPr lang="en-US" sz="800" b="0" i="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</a:rPr>
            <a:t>193</a:t>
          </a:r>
        </a:p>
      </xdr:txBody>
    </xdr:sp>
    <xdr:clientData/>
  </xdr:twoCellAnchor>
  <xdr:twoCellAnchor>
    <xdr:from>
      <xdr:col>4</xdr:col>
      <xdr:colOff>546100</xdr:colOff>
      <xdr:row>21</xdr:row>
      <xdr:rowOff>133350</xdr:rowOff>
    </xdr:from>
    <xdr:to>
      <xdr:col>6</xdr:col>
      <xdr:colOff>88900</xdr:colOff>
      <xdr:row>23</xdr:row>
      <xdr:rowOff>133350</xdr:rowOff>
    </xdr:to>
    <xdr:sp macro="" textlink="">
      <xdr:nvSpPr>
        <xdr:cNvPr id="15" name="Oval 14">
          <a:hlinkClick xmlns:r="http://schemas.openxmlformats.org/officeDocument/2006/relationships" r:id="" tooltip="Go left if Age &lt; 53.50"/>
          <a:extLst>
            <a:ext uri="{FF2B5EF4-FFF2-40B4-BE49-F238E27FC236}">
              <a16:creationId xmlns:a16="http://schemas.microsoft.com/office/drawing/2014/main" id="{FB88B18B-8C63-4630-B2D5-DB075AA263D8}"/>
            </a:ext>
          </a:extLst>
        </xdr:cNvPr>
        <xdr:cNvSpPr/>
      </xdr:nvSpPr>
      <xdr:spPr>
        <a:xfrm>
          <a:off x="2984500" y="4191000"/>
          <a:ext cx="762000" cy="381000"/>
        </a:xfrm>
        <a:prstGeom prst="ellipse">
          <a:avLst/>
        </a:prstGeom>
        <a:solidFill>
          <a:srgbClr val="4F81BD"/>
        </a:solidFill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800" b="0" i="0"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</a:rPr>
            <a:t>53.50</a:t>
          </a:r>
        </a:p>
      </xdr:txBody>
    </xdr:sp>
    <xdr:clientData/>
  </xdr:twoCellAnchor>
  <xdr:twoCellAnchor>
    <xdr:from>
      <xdr:col>4</xdr:col>
      <xdr:colOff>546100</xdr:colOff>
      <xdr:row>21</xdr:row>
      <xdr:rowOff>6350</xdr:rowOff>
    </xdr:from>
    <xdr:to>
      <xdr:col>6</xdr:col>
      <xdr:colOff>88900</xdr:colOff>
      <xdr:row>21</xdr:row>
      <xdr:rowOff>133350</xdr:rowOff>
    </xdr:to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3A2EDB63-FA83-49B3-8A33-D3003E422F51}"/>
            </a:ext>
          </a:extLst>
        </xdr:cNvPr>
        <xdr:cNvSpPr txBox="1"/>
      </xdr:nvSpPr>
      <xdr:spPr>
        <a:xfrm>
          <a:off x="2984500" y="4064000"/>
          <a:ext cx="762000" cy="127000"/>
        </a:xfrm>
        <a:prstGeom prst="rect">
          <a:avLst/>
        </a:prstGeom>
        <a:solidFill>
          <a:schemeClr val="lt1"/>
        </a:solidFill>
        <a:ln w="9525" cmpd="sng">
          <a:noFill/>
        </a:ln>
        <a:effectLst/>
        <a:extLs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lang="en-US" sz="800" b="0" i="0">
              <a:solidFill>
                <a:srgbClr xmlns:mc="http://schemas.openxmlformats.org/markup-compatibility/2006" xmlns:a14="http://schemas.microsoft.com/office/drawing/2010/main" val="FF0000" mc:Ignorable="a14" a14:legacySpreadsheetColorIndex="10"/>
              </a:solidFill>
            </a:rPr>
            <a:t>Age</a:t>
          </a:r>
        </a:p>
      </xdr:txBody>
    </xdr:sp>
    <xdr:clientData/>
  </xdr:twoCellAnchor>
  <xdr:twoCellAnchor>
    <xdr:from>
      <xdr:col>5</xdr:col>
      <xdr:colOff>317500</xdr:colOff>
      <xdr:row>20</xdr:row>
      <xdr:rowOff>6350</xdr:rowOff>
    </xdr:from>
    <xdr:to>
      <xdr:col>7</xdr:col>
      <xdr:colOff>114300</xdr:colOff>
      <xdr:row>20</xdr:row>
      <xdr:rowOff>133350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5037721D-E9B4-4270-BC94-A9C09EA534C3}"/>
            </a:ext>
          </a:extLst>
        </xdr:cNvPr>
        <xdr:cNvSpPr txBox="1"/>
      </xdr:nvSpPr>
      <xdr:spPr>
        <a:xfrm>
          <a:off x="3365500" y="3873500"/>
          <a:ext cx="1016000" cy="127000"/>
        </a:xfrm>
        <a:prstGeom prst="rect">
          <a:avLst/>
        </a:prstGeom>
        <a:solidFill>
          <a:schemeClr val="lt1"/>
        </a:solidFill>
        <a:ln w="9525" cmpd="sng">
          <a:noFill/>
        </a:ln>
        <a:effectLst/>
        <a:extLs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l"/>
          <a:r>
            <a:rPr lang="en-US" sz="800" b="0" i="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</a:rPr>
            <a:t>842</a:t>
          </a:r>
        </a:p>
      </xdr:txBody>
    </xdr:sp>
    <xdr:clientData/>
  </xdr:twoCellAnchor>
  <xdr:twoCellAnchor>
    <xdr:from>
      <xdr:col>6</xdr:col>
      <xdr:colOff>215900</xdr:colOff>
      <xdr:row>21</xdr:row>
      <xdr:rowOff>133350</xdr:rowOff>
    </xdr:from>
    <xdr:to>
      <xdr:col>7</xdr:col>
      <xdr:colOff>368300</xdr:colOff>
      <xdr:row>23</xdr:row>
      <xdr:rowOff>133350</xdr:rowOff>
    </xdr:to>
    <xdr:sp macro="" textlink="">
      <xdr:nvSpPr>
        <xdr:cNvPr id="18" name="Rectangle 17">
          <a:hlinkClick xmlns:r="http://schemas.openxmlformats.org/officeDocument/2006/relationships" r:id="" tooltip="Terminal"/>
          <a:extLst>
            <a:ext uri="{FF2B5EF4-FFF2-40B4-BE49-F238E27FC236}">
              <a16:creationId xmlns:a16="http://schemas.microsoft.com/office/drawing/2014/main" id="{E5750C33-B2AB-4BF5-9D61-3C0965351C3A}"/>
            </a:ext>
          </a:extLst>
        </xdr:cNvPr>
        <xdr:cNvSpPr/>
      </xdr:nvSpPr>
      <xdr:spPr>
        <a:xfrm>
          <a:off x="3873500" y="4191000"/>
          <a:ext cx="762000" cy="381000"/>
        </a:xfrm>
        <a:prstGeom prst="rect">
          <a:avLst/>
        </a:prstGeom>
        <a:solidFill>
          <a:srgbClr val="148014"/>
        </a:solidFill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800" b="0" i="0"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</a:rPr>
            <a:t>1</a:t>
          </a:r>
        </a:p>
      </xdr:txBody>
    </xdr:sp>
    <xdr:clientData/>
  </xdr:twoCellAnchor>
  <xdr:twoCellAnchor>
    <xdr:from>
      <xdr:col>6</xdr:col>
      <xdr:colOff>215900</xdr:colOff>
      <xdr:row>20</xdr:row>
      <xdr:rowOff>6350</xdr:rowOff>
    </xdr:from>
    <xdr:to>
      <xdr:col>8</xdr:col>
      <xdr:colOff>12700</xdr:colOff>
      <xdr:row>20</xdr:row>
      <xdr:rowOff>133350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31689724-024C-482F-B949-40E422457709}"/>
            </a:ext>
          </a:extLst>
        </xdr:cNvPr>
        <xdr:cNvSpPr txBox="1"/>
      </xdr:nvSpPr>
      <xdr:spPr>
        <a:xfrm>
          <a:off x="3873500" y="3873500"/>
          <a:ext cx="1016000" cy="127000"/>
        </a:xfrm>
        <a:prstGeom prst="rect">
          <a:avLst/>
        </a:prstGeom>
        <a:solidFill>
          <a:schemeClr val="lt1"/>
        </a:solidFill>
        <a:ln w="9525" cmpd="sng">
          <a:noFill/>
        </a:ln>
        <a:effectLst/>
        <a:extLs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l"/>
          <a:r>
            <a:rPr lang="en-US" sz="800" b="0" i="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</a:rPr>
            <a:t>4</a:t>
          </a:r>
        </a:p>
      </xdr:txBody>
    </xdr:sp>
    <xdr:clientData/>
  </xdr:twoCellAnchor>
  <xdr:twoCellAnchor>
    <xdr:from>
      <xdr:col>7</xdr:col>
      <xdr:colOff>495300</xdr:colOff>
      <xdr:row>21</xdr:row>
      <xdr:rowOff>133350</xdr:rowOff>
    </xdr:from>
    <xdr:to>
      <xdr:col>9</xdr:col>
      <xdr:colOff>38100</xdr:colOff>
      <xdr:row>23</xdr:row>
      <xdr:rowOff>133350</xdr:rowOff>
    </xdr:to>
    <xdr:sp macro="" textlink="">
      <xdr:nvSpPr>
        <xdr:cNvPr id="20" name="Rectangle 19">
          <a:hlinkClick xmlns:r="http://schemas.openxmlformats.org/officeDocument/2006/relationships" r:id="" tooltip="Terminal"/>
          <a:extLst>
            <a:ext uri="{FF2B5EF4-FFF2-40B4-BE49-F238E27FC236}">
              <a16:creationId xmlns:a16="http://schemas.microsoft.com/office/drawing/2014/main" id="{FD746C75-78F9-48D2-ADAF-F8FD765D3CEC}"/>
            </a:ext>
          </a:extLst>
        </xdr:cNvPr>
        <xdr:cNvSpPr/>
      </xdr:nvSpPr>
      <xdr:spPr>
        <a:xfrm>
          <a:off x="4762500" y="4191000"/>
          <a:ext cx="762000" cy="381000"/>
        </a:xfrm>
        <a:prstGeom prst="rect">
          <a:avLst/>
        </a:prstGeom>
        <a:solidFill>
          <a:srgbClr val="148014"/>
        </a:solidFill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800" b="0" i="0"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</a:rPr>
            <a:t>1</a:t>
          </a:r>
        </a:p>
      </xdr:txBody>
    </xdr:sp>
    <xdr:clientData/>
  </xdr:twoCellAnchor>
  <xdr:twoCellAnchor>
    <xdr:from>
      <xdr:col>8</xdr:col>
      <xdr:colOff>266700</xdr:colOff>
      <xdr:row>20</xdr:row>
      <xdr:rowOff>6350</xdr:rowOff>
    </xdr:from>
    <xdr:to>
      <xdr:col>10</xdr:col>
      <xdr:colOff>63500</xdr:colOff>
      <xdr:row>20</xdr:row>
      <xdr:rowOff>133350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6C0F1B14-33E6-4DF5-8844-7CD122D10F04}"/>
            </a:ext>
          </a:extLst>
        </xdr:cNvPr>
        <xdr:cNvSpPr txBox="1"/>
      </xdr:nvSpPr>
      <xdr:spPr>
        <a:xfrm>
          <a:off x="5143500" y="3873500"/>
          <a:ext cx="1016000" cy="127000"/>
        </a:xfrm>
        <a:prstGeom prst="rect">
          <a:avLst/>
        </a:prstGeom>
        <a:solidFill>
          <a:schemeClr val="lt1"/>
        </a:solidFill>
        <a:ln w="9525" cmpd="sng">
          <a:noFill/>
        </a:ln>
        <a:effectLst/>
        <a:extLs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l"/>
          <a:r>
            <a:rPr lang="en-US" sz="800" b="0" i="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</a:rPr>
            <a:t>11</a:t>
          </a:r>
        </a:p>
      </xdr:txBody>
    </xdr:sp>
    <xdr:clientData/>
  </xdr:twoCellAnchor>
  <xdr:twoCellAnchor>
    <xdr:from>
      <xdr:col>10</xdr:col>
      <xdr:colOff>222250</xdr:colOff>
      <xdr:row>21</xdr:row>
      <xdr:rowOff>133350</xdr:rowOff>
    </xdr:from>
    <xdr:to>
      <xdr:col>11</xdr:col>
      <xdr:colOff>374650</xdr:colOff>
      <xdr:row>23</xdr:row>
      <xdr:rowOff>133350</xdr:rowOff>
    </xdr:to>
    <xdr:sp macro="" textlink="">
      <xdr:nvSpPr>
        <xdr:cNvPr id="22" name="Oval 21">
          <a:hlinkClick xmlns:r="http://schemas.openxmlformats.org/officeDocument/2006/relationships" r:id="" tooltip="Go left if Age &lt; 79.50"/>
          <a:extLst>
            <a:ext uri="{FF2B5EF4-FFF2-40B4-BE49-F238E27FC236}">
              <a16:creationId xmlns:a16="http://schemas.microsoft.com/office/drawing/2014/main" id="{C0357920-F7DA-4BDE-B8EC-62689918B90C}"/>
            </a:ext>
          </a:extLst>
        </xdr:cNvPr>
        <xdr:cNvSpPr/>
      </xdr:nvSpPr>
      <xdr:spPr>
        <a:xfrm>
          <a:off x="6318250" y="4191000"/>
          <a:ext cx="762000" cy="381000"/>
        </a:xfrm>
        <a:prstGeom prst="ellipse">
          <a:avLst/>
        </a:prstGeom>
        <a:solidFill>
          <a:srgbClr val="4F81BD"/>
        </a:solidFill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800" b="0" i="0"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</a:rPr>
            <a:t>79.50</a:t>
          </a:r>
        </a:p>
      </xdr:txBody>
    </xdr:sp>
    <xdr:clientData/>
  </xdr:twoCellAnchor>
  <xdr:twoCellAnchor>
    <xdr:from>
      <xdr:col>10</xdr:col>
      <xdr:colOff>222250</xdr:colOff>
      <xdr:row>21</xdr:row>
      <xdr:rowOff>6350</xdr:rowOff>
    </xdr:from>
    <xdr:to>
      <xdr:col>11</xdr:col>
      <xdr:colOff>374650</xdr:colOff>
      <xdr:row>21</xdr:row>
      <xdr:rowOff>133350</xdr:rowOff>
    </xdr:to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C6CA241D-DEA4-4EAE-9AAD-71F5C533C9D2}"/>
            </a:ext>
          </a:extLst>
        </xdr:cNvPr>
        <xdr:cNvSpPr txBox="1"/>
      </xdr:nvSpPr>
      <xdr:spPr>
        <a:xfrm>
          <a:off x="6318250" y="4064000"/>
          <a:ext cx="762000" cy="127000"/>
        </a:xfrm>
        <a:prstGeom prst="rect">
          <a:avLst/>
        </a:prstGeom>
        <a:solidFill>
          <a:schemeClr val="lt1"/>
        </a:solidFill>
        <a:ln w="9525" cmpd="sng">
          <a:noFill/>
        </a:ln>
        <a:effectLst/>
        <a:extLs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lang="en-US" sz="800" b="0" i="0">
              <a:solidFill>
                <a:srgbClr xmlns:mc="http://schemas.openxmlformats.org/markup-compatibility/2006" xmlns:a14="http://schemas.microsoft.com/office/drawing/2010/main" val="FF0000" mc:Ignorable="a14" a14:legacySpreadsheetColorIndex="10"/>
              </a:solidFill>
            </a:rPr>
            <a:t>Age</a:t>
          </a:r>
        </a:p>
      </xdr:txBody>
    </xdr:sp>
    <xdr:clientData/>
  </xdr:twoCellAnchor>
  <xdr:twoCellAnchor>
    <xdr:from>
      <xdr:col>10</xdr:col>
      <xdr:colOff>222250</xdr:colOff>
      <xdr:row>20</xdr:row>
      <xdr:rowOff>6350</xdr:rowOff>
    </xdr:from>
    <xdr:to>
      <xdr:col>12</xdr:col>
      <xdr:colOff>19050</xdr:colOff>
      <xdr:row>20</xdr:row>
      <xdr:rowOff>133350</xdr:rowOff>
    </xdr:to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B399C11E-167F-49C7-AF5E-24A91CE6150F}"/>
            </a:ext>
          </a:extLst>
        </xdr:cNvPr>
        <xdr:cNvSpPr txBox="1"/>
      </xdr:nvSpPr>
      <xdr:spPr>
        <a:xfrm>
          <a:off x="6318250" y="3873500"/>
          <a:ext cx="1016000" cy="127000"/>
        </a:xfrm>
        <a:prstGeom prst="rect">
          <a:avLst/>
        </a:prstGeom>
        <a:solidFill>
          <a:schemeClr val="lt1"/>
        </a:solidFill>
        <a:ln w="9525" cmpd="sng">
          <a:noFill/>
        </a:ln>
        <a:effectLst/>
        <a:extLs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l"/>
          <a:r>
            <a:rPr lang="en-US" sz="800" b="0" i="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</a:rPr>
            <a:t>182</a:t>
          </a:r>
        </a:p>
      </xdr:txBody>
    </xdr:sp>
    <xdr:clientData/>
  </xdr:twoCellAnchor>
  <xdr:twoCellAnchor>
    <xdr:from>
      <xdr:col>4</xdr:col>
      <xdr:colOff>101600</xdr:colOff>
      <xdr:row>25</xdr:row>
      <xdr:rowOff>133350</xdr:rowOff>
    </xdr:from>
    <xdr:to>
      <xdr:col>5</xdr:col>
      <xdr:colOff>254000</xdr:colOff>
      <xdr:row>27</xdr:row>
      <xdr:rowOff>133350</xdr:rowOff>
    </xdr:to>
    <xdr:sp macro="" textlink="">
      <xdr:nvSpPr>
        <xdr:cNvPr id="25" name="Oval 24">
          <a:hlinkClick xmlns:r="http://schemas.openxmlformats.org/officeDocument/2006/relationships" r:id="" tooltip="Go left if Age &lt; 52.50"/>
          <a:extLst>
            <a:ext uri="{FF2B5EF4-FFF2-40B4-BE49-F238E27FC236}">
              <a16:creationId xmlns:a16="http://schemas.microsoft.com/office/drawing/2014/main" id="{F1FB2183-4DD8-43B3-A2FD-53C679EBF203}"/>
            </a:ext>
          </a:extLst>
        </xdr:cNvPr>
        <xdr:cNvSpPr/>
      </xdr:nvSpPr>
      <xdr:spPr>
        <a:xfrm>
          <a:off x="2540000" y="4953000"/>
          <a:ext cx="762000" cy="381000"/>
        </a:xfrm>
        <a:prstGeom prst="ellipse">
          <a:avLst/>
        </a:prstGeom>
        <a:solidFill>
          <a:srgbClr val="4F81BD"/>
        </a:solidFill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800" b="0" i="0"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</a:rPr>
            <a:t>52.50</a:t>
          </a:r>
        </a:p>
      </xdr:txBody>
    </xdr:sp>
    <xdr:clientData/>
  </xdr:twoCellAnchor>
  <xdr:twoCellAnchor>
    <xdr:from>
      <xdr:col>4</xdr:col>
      <xdr:colOff>101600</xdr:colOff>
      <xdr:row>25</xdr:row>
      <xdr:rowOff>6350</xdr:rowOff>
    </xdr:from>
    <xdr:to>
      <xdr:col>5</xdr:col>
      <xdr:colOff>254000</xdr:colOff>
      <xdr:row>25</xdr:row>
      <xdr:rowOff>133350</xdr:rowOff>
    </xdr:to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C7863F80-7248-4CB4-9C8B-1121B355E8AC}"/>
            </a:ext>
          </a:extLst>
        </xdr:cNvPr>
        <xdr:cNvSpPr txBox="1"/>
      </xdr:nvSpPr>
      <xdr:spPr>
        <a:xfrm>
          <a:off x="2540000" y="4826000"/>
          <a:ext cx="762000" cy="127000"/>
        </a:xfrm>
        <a:prstGeom prst="rect">
          <a:avLst/>
        </a:prstGeom>
        <a:solidFill>
          <a:schemeClr val="lt1"/>
        </a:solidFill>
        <a:ln w="9525" cmpd="sng">
          <a:noFill/>
        </a:ln>
        <a:effectLst/>
        <a:extLs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lang="en-US" sz="800" b="0" i="0">
              <a:solidFill>
                <a:srgbClr xmlns:mc="http://schemas.openxmlformats.org/markup-compatibility/2006" xmlns:a14="http://schemas.microsoft.com/office/drawing/2010/main" val="FF0000" mc:Ignorable="a14" a14:legacySpreadsheetColorIndex="10"/>
              </a:solidFill>
            </a:rPr>
            <a:t>Age</a:t>
          </a:r>
        </a:p>
      </xdr:txBody>
    </xdr:sp>
    <xdr:clientData/>
  </xdr:twoCellAnchor>
  <xdr:twoCellAnchor>
    <xdr:from>
      <xdr:col>4</xdr:col>
      <xdr:colOff>482600</xdr:colOff>
      <xdr:row>24</xdr:row>
      <xdr:rowOff>6350</xdr:rowOff>
    </xdr:from>
    <xdr:to>
      <xdr:col>6</xdr:col>
      <xdr:colOff>279400</xdr:colOff>
      <xdr:row>24</xdr:row>
      <xdr:rowOff>133350</xdr:rowOff>
    </xdr:to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30B239E1-EAA4-4659-80E0-A31F30BCF5E9}"/>
            </a:ext>
          </a:extLst>
        </xdr:cNvPr>
        <xdr:cNvSpPr txBox="1"/>
      </xdr:nvSpPr>
      <xdr:spPr>
        <a:xfrm>
          <a:off x="2921000" y="4635500"/>
          <a:ext cx="1016000" cy="127000"/>
        </a:xfrm>
        <a:prstGeom prst="rect">
          <a:avLst/>
        </a:prstGeom>
        <a:solidFill>
          <a:schemeClr val="lt1"/>
        </a:solidFill>
        <a:ln w="9525" cmpd="sng">
          <a:noFill/>
        </a:ln>
        <a:effectLst/>
        <a:extLs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l"/>
          <a:r>
            <a:rPr lang="en-US" sz="800" b="0" i="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</a:rPr>
            <a:t>587</a:t>
          </a:r>
        </a:p>
      </xdr:txBody>
    </xdr:sp>
    <xdr:clientData/>
  </xdr:twoCellAnchor>
  <xdr:twoCellAnchor>
    <xdr:from>
      <xdr:col>5</xdr:col>
      <xdr:colOff>381000</xdr:colOff>
      <xdr:row>25</xdr:row>
      <xdr:rowOff>133350</xdr:rowOff>
    </xdr:from>
    <xdr:to>
      <xdr:col>6</xdr:col>
      <xdr:colOff>533400</xdr:colOff>
      <xdr:row>27</xdr:row>
      <xdr:rowOff>133350</xdr:rowOff>
    </xdr:to>
    <xdr:sp macro="" textlink="">
      <xdr:nvSpPr>
        <xdr:cNvPr id="28" name="Rectangle 27">
          <a:hlinkClick xmlns:r="http://schemas.openxmlformats.org/officeDocument/2006/relationships" r:id="" tooltip="Terminal"/>
          <a:extLst>
            <a:ext uri="{FF2B5EF4-FFF2-40B4-BE49-F238E27FC236}">
              <a16:creationId xmlns:a16="http://schemas.microsoft.com/office/drawing/2014/main" id="{AB437163-7451-44F8-BE52-82F0322A193C}"/>
            </a:ext>
          </a:extLst>
        </xdr:cNvPr>
        <xdr:cNvSpPr/>
      </xdr:nvSpPr>
      <xdr:spPr>
        <a:xfrm>
          <a:off x="3429000" y="4953000"/>
          <a:ext cx="762000" cy="381000"/>
        </a:xfrm>
        <a:prstGeom prst="rect">
          <a:avLst/>
        </a:prstGeom>
        <a:solidFill>
          <a:srgbClr val="148014"/>
        </a:solidFill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800" b="0" i="0"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</a:rPr>
            <a:t>0</a:t>
          </a:r>
        </a:p>
      </xdr:txBody>
    </xdr:sp>
    <xdr:clientData/>
  </xdr:twoCellAnchor>
  <xdr:twoCellAnchor>
    <xdr:from>
      <xdr:col>5</xdr:col>
      <xdr:colOff>381000</xdr:colOff>
      <xdr:row>24</xdr:row>
      <xdr:rowOff>6350</xdr:rowOff>
    </xdr:from>
    <xdr:to>
      <xdr:col>7</xdr:col>
      <xdr:colOff>177800</xdr:colOff>
      <xdr:row>24</xdr:row>
      <xdr:rowOff>133350</xdr:rowOff>
    </xdr:to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BE1805B4-74C2-45EA-998A-61BB33FEDD25}"/>
            </a:ext>
          </a:extLst>
        </xdr:cNvPr>
        <xdr:cNvSpPr txBox="1"/>
      </xdr:nvSpPr>
      <xdr:spPr>
        <a:xfrm>
          <a:off x="3429000" y="4635500"/>
          <a:ext cx="1016000" cy="127000"/>
        </a:xfrm>
        <a:prstGeom prst="rect">
          <a:avLst/>
        </a:prstGeom>
        <a:solidFill>
          <a:schemeClr val="lt1"/>
        </a:solidFill>
        <a:ln w="9525" cmpd="sng">
          <a:noFill/>
        </a:ln>
        <a:effectLst/>
        <a:extLs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l"/>
          <a:r>
            <a:rPr lang="en-US" sz="800" b="0" i="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</a:rPr>
            <a:t>255</a:t>
          </a:r>
        </a:p>
      </xdr:txBody>
    </xdr:sp>
    <xdr:clientData/>
  </xdr:twoCellAnchor>
  <xdr:twoCellAnchor>
    <xdr:from>
      <xdr:col>8</xdr:col>
      <xdr:colOff>330200</xdr:colOff>
      <xdr:row>25</xdr:row>
      <xdr:rowOff>133350</xdr:rowOff>
    </xdr:from>
    <xdr:to>
      <xdr:col>9</xdr:col>
      <xdr:colOff>482600</xdr:colOff>
      <xdr:row>27</xdr:row>
      <xdr:rowOff>133350</xdr:rowOff>
    </xdr:to>
    <xdr:sp macro="" textlink="">
      <xdr:nvSpPr>
        <xdr:cNvPr id="30" name="Oval 29">
          <a:hlinkClick xmlns:r="http://schemas.openxmlformats.org/officeDocument/2006/relationships" r:id="" tooltip="Go left if Age &lt; 75.50"/>
          <a:extLst>
            <a:ext uri="{FF2B5EF4-FFF2-40B4-BE49-F238E27FC236}">
              <a16:creationId xmlns:a16="http://schemas.microsoft.com/office/drawing/2014/main" id="{88FD0E59-6065-4793-80D3-03B5AF353167}"/>
            </a:ext>
          </a:extLst>
        </xdr:cNvPr>
        <xdr:cNvSpPr/>
      </xdr:nvSpPr>
      <xdr:spPr>
        <a:xfrm>
          <a:off x="5207000" y="4953000"/>
          <a:ext cx="762000" cy="381000"/>
        </a:xfrm>
        <a:prstGeom prst="ellipse">
          <a:avLst/>
        </a:prstGeom>
        <a:solidFill>
          <a:srgbClr val="4F81BD"/>
        </a:solidFill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800" b="0" i="0"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</a:rPr>
            <a:t>75.50</a:t>
          </a:r>
        </a:p>
      </xdr:txBody>
    </xdr:sp>
    <xdr:clientData/>
  </xdr:twoCellAnchor>
  <xdr:twoCellAnchor>
    <xdr:from>
      <xdr:col>8</xdr:col>
      <xdr:colOff>330200</xdr:colOff>
      <xdr:row>25</xdr:row>
      <xdr:rowOff>6350</xdr:rowOff>
    </xdr:from>
    <xdr:to>
      <xdr:col>9</xdr:col>
      <xdr:colOff>482600</xdr:colOff>
      <xdr:row>25</xdr:row>
      <xdr:rowOff>133350</xdr:rowOff>
    </xdr:to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D882E566-4117-4CBC-B233-7541B430382D}"/>
            </a:ext>
          </a:extLst>
        </xdr:cNvPr>
        <xdr:cNvSpPr txBox="1"/>
      </xdr:nvSpPr>
      <xdr:spPr>
        <a:xfrm>
          <a:off x="5207000" y="4826000"/>
          <a:ext cx="762000" cy="127000"/>
        </a:xfrm>
        <a:prstGeom prst="rect">
          <a:avLst/>
        </a:prstGeom>
        <a:solidFill>
          <a:schemeClr val="lt1"/>
        </a:solidFill>
        <a:ln w="9525" cmpd="sng">
          <a:noFill/>
        </a:ln>
        <a:effectLst/>
        <a:extLs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lang="en-US" sz="800" b="0" i="0">
              <a:solidFill>
                <a:srgbClr xmlns:mc="http://schemas.openxmlformats.org/markup-compatibility/2006" xmlns:a14="http://schemas.microsoft.com/office/drawing/2010/main" val="FF0000" mc:Ignorable="a14" a14:legacySpreadsheetColorIndex="10"/>
              </a:solidFill>
            </a:rPr>
            <a:t>Age</a:t>
          </a:r>
        </a:p>
      </xdr:txBody>
    </xdr:sp>
    <xdr:clientData/>
  </xdr:twoCellAnchor>
  <xdr:twoCellAnchor>
    <xdr:from>
      <xdr:col>9</xdr:col>
      <xdr:colOff>101600</xdr:colOff>
      <xdr:row>24</xdr:row>
      <xdr:rowOff>6350</xdr:rowOff>
    </xdr:from>
    <xdr:to>
      <xdr:col>10</xdr:col>
      <xdr:colOff>508000</xdr:colOff>
      <xdr:row>24</xdr:row>
      <xdr:rowOff>133350</xdr:rowOff>
    </xdr:to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0A0A329A-DDF7-4FF0-BDF2-08F0319036F6}"/>
            </a:ext>
          </a:extLst>
        </xdr:cNvPr>
        <xdr:cNvSpPr txBox="1"/>
      </xdr:nvSpPr>
      <xdr:spPr>
        <a:xfrm>
          <a:off x="5588000" y="4635500"/>
          <a:ext cx="1016000" cy="127000"/>
        </a:xfrm>
        <a:prstGeom prst="rect">
          <a:avLst/>
        </a:prstGeom>
        <a:solidFill>
          <a:schemeClr val="lt1"/>
        </a:solidFill>
        <a:ln w="9525" cmpd="sng">
          <a:noFill/>
        </a:ln>
        <a:effectLst/>
        <a:extLs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l"/>
          <a:r>
            <a:rPr lang="en-US" sz="800" b="0" i="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</a:rPr>
            <a:t>58</a:t>
          </a:r>
        </a:p>
      </xdr:txBody>
    </xdr:sp>
    <xdr:clientData/>
  </xdr:twoCellAnchor>
  <xdr:twoCellAnchor>
    <xdr:from>
      <xdr:col>12</xdr:col>
      <xdr:colOff>114300</xdr:colOff>
      <xdr:row>25</xdr:row>
      <xdr:rowOff>133350</xdr:rowOff>
    </xdr:from>
    <xdr:to>
      <xdr:col>13</xdr:col>
      <xdr:colOff>266700</xdr:colOff>
      <xdr:row>27</xdr:row>
      <xdr:rowOff>133350</xdr:rowOff>
    </xdr:to>
    <xdr:sp macro="" textlink="">
      <xdr:nvSpPr>
        <xdr:cNvPr id="33" name="Oval 32">
          <a:hlinkClick xmlns:r="http://schemas.openxmlformats.org/officeDocument/2006/relationships" r:id="" tooltip="Go left if Totalcharges &lt; 12715.50"/>
          <a:extLst>
            <a:ext uri="{FF2B5EF4-FFF2-40B4-BE49-F238E27FC236}">
              <a16:creationId xmlns:a16="http://schemas.microsoft.com/office/drawing/2014/main" id="{881B0E4D-203E-45CC-9CBB-36CF4A3D3361}"/>
            </a:ext>
          </a:extLst>
        </xdr:cNvPr>
        <xdr:cNvSpPr/>
      </xdr:nvSpPr>
      <xdr:spPr>
        <a:xfrm>
          <a:off x="7429500" y="4953000"/>
          <a:ext cx="762000" cy="381000"/>
        </a:xfrm>
        <a:prstGeom prst="ellipse">
          <a:avLst/>
        </a:prstGeom>
        <a:solidFill>
          <a:srgbClr val="4F81BD"/>
        </a:solidFill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800" b="0" i="0"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</a:rPr>
            <a:t>12715.50</a:t>
          </a:r>
        </a:p>
      </xdr:txBody>
    </xdr:sp>
    <xdr:clientData/>
  </xdr:twoCellAnchor>
  <xdr:twoCellAnchor>
    <xdr:from>
      <xdr:col>12</xdr:col>
      <xdr:colOff>114300</xdr:colOff>
      <xdr:row>25</xdr:row>
      <xdr:rowOff>6350</xdr:rowOff>
    </xdr:from>
    <xdr:to>
      <xdr:col>13</xdr:col>
      <xdr:colOff>266700</xdr:colOff>
      <xdr:row>25</xdr:row>
      <xdr:rowOff>133350</xdr:rowOff>
    </xdr:to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9D79366E-D603-4C88-A3C3-8CDB60538C80}"/>
            </a:ext>
          </a:extLst>
        </xdr:cNvPr>
        <xdr:cNvSpPr txBox="1"/>
      </xdr:nvSpPr>
      <xdr:spPr>
        <a:xfrm>
          <a:off x="7429500" y="4826000"/>
          <a:ext cx="762000" cy="127000"/>
        </a:xfrm>
        <a:prstGeom prst="rect">
          <a:avLst/>
        </a:prstGeom>
        <a:solidFill>
          <a:schemeClr val="lt1"/>
        </a:solidFill>
        <a:ln w="9525" cmpd="sng">
          <a:noFill/>
        </a:ln>
        <a:effectLst/>
        <a:extLs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lang="en-US" sz="800" b="0" i="0">
              <a:solidFill>
                <a:srgbClr xmlns:mc="http://schemas.openxmlformats.org/markup-compatibility/2006" xmlns:a14="http://schemas.microsoft.com/office/drawing/2010/main" val="FF0000" mc:Ignorable="a14" a14:legacySpreadsheetColorIndex="10"/>
              </a:solidFill>
            </a:rPr>
            <a:t>Totalcharges</a:t>
          </a:r>
        </a:p>
      </xdr:txBody>
    </xdr:sp>
    <xdr:clientData/>
  </xdr:twoCellAnchor>
  <xdr:twoCellAnchor>
    <xdr:from>
      <xdr:col>12</xdr:col>
      <xdr:colOff>114300</xdr:colOff>
      <xdr:row>24</xdr:row>
      <xdr:rowOff>6350</xdr:rowOff>
    </xdr:from>
    <xdr:to>
      <xdr:col>13</xdr:col>
      <xdr:colOff>520700</xdr:colOff>
      <xdr:row>24</xdr:row>
      <xdr:rowOff>133350</xdr:rowOff>
    </xdr:to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9665969A-4707-44FA-9E2C-21FAD16A5956}"/>
            </a:ext>
          </a:extLst>
        </xdr:cNvPr>
        <xdr:cNvSpPr txBox="1"/>
      </xdr:nvSpPr>
      <xdr:spPr>
        <a:xfrm>
          <a:off x="7429500" y="4635500"/>
          <a:ext cx="1016000" cy="127000"/>
        </a:xfrm>
        <a:prstGeom prst="rect">
          <a:avLst/>
        </a:prstGeom>
        <a:solidFill>
          <a:schemeClr val="lt1"/>
        </a:solidFill>
        <a:ln w="9525" cmpd="sng">
          <a:noFill/>
        </a:ln>
        <a:effectLst/>
        <a:extLs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l"/>
          <a:r>
            <a:rPr lang="en-US" sz="800" b="0" i="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</a:rPr>
            <a:t>124</a:t>
          </a:r>
        </a:p>
      </xdr:txBody>
    </xdr:sp>
    <xdr:clientData/>
  </xdr:twoCellAnchor>
  <xdr:twoCellAnchor>
    <xdr:from>
      <xdr:col>3</xdr:col>
      <xdr:colOff>266700</xdr:colOff>
      <xdr:row>29</xdr:row>
      <xdr:rowOff>133350</xdr:rowOff>
    </xdr:from>
    <xdr:to>
      <xdr:col>4</xdr:col>
      <xdr:colOff>419100</xdr:colOff>
      <xdr:row>31</xdr:row>
      <xdr:rowOff>133350</xdr:rowOff>
    </xdr:to>
    <xdr:sp macro="" textlink="">
      <xdr:nvSpPr>
        <xdr:cNvPr id="36" name="Oval 35">
          <a:hlinkClick xmlns:r="http://schemas.openxmlformats.org/officeDocument/2006/relationships" r:id="" tooltip="Go left if Age &lt; 27.50"/>
          <a:extLst>
            <a:ext uri="{FF2B5EF4-FFF2-40B4-BE49-F238E27FC236}">
              <a16:creationId xmlns:a16="http://schemas.microsoft.com/office/drawing/2014/main" id="{33401F1C-E9F2-4722-A1A6-06B8F4309DA8}"/>
            </a:ext>
          </a:extLst>
        </xdr:cNvPr>
        <xdr:cNvSpPr/>
      </xdr:nvSpPr>
      <xdr:spPr>
        <a:xfrm>
          <a:off x="2095500" y="5715000"/>
          <a:ext cx="762000" cy="381000"/>
        </a:xfrm>
        <a:prstGeom prst="ellipse">
          <a:avLst/>
        </a:prstGeom>
        <a:solidFill>
          <a:srgbClr val="4F81BD"/>
        </a:solidFill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800" b="0" i="0"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</a:rPr>
            <a:t>27.50</a:t>
          </a:r>
        </a:p>
      </xdr:txBody>
    </xdr:sp>
    <xdr:clientData/>
  </xdr:twoCellAnchor>
  <xdr:twoCellAnchor>
    <xdr:from>
      <xdr:col>3</xdr:col>
      <xdr:colOff>266700</xdr:colOff>
      <xdr:row>29</xdr:row>
      <xdr:rowOff>6350</xdr:rowOff>
    </xdr:from>
    <xdr:to>
      <xdr:col>4</xdr:col>
      <xdr:colOff>419100</xdr:colOff>
      <xdr:row>29</xdr:row>
      <xdr:rowOff>133350</xdr:rowOff>
    </xdr:to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0A897CE9-CE3D-407D-885D-E890EAF0DDE3}"/>
            </a:ext>
          </a:extLst>
        </xdr:cNvPr>
        <xdr:cNvSpPr txBox="1"/>
      </xdr:nvSpPr>
      <xdr:spPr>
        <a:xfrm>
          <a:off x="2095500" y="5588000"/>
          <a:ext cx="762000" cy="127000"/>
        </a:xfrm>
        <a:prstGeom prst="rect">
          <a:avLst/>
        </a:prstGeom>
        <a:solidFill>
          <a:schemeClr val="lt1"/>
        </a:solidFill>
        <a:ln w="9525" cmpd="sng">
          <a:noFill/>
        </a:ln>
        <a:effectLst/>
        <a:extLs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lang="en-US" sz="800" b="0" i="0">
              <a:solidFill>
                <a:srgbClr xmlns:mc="http://schemas.openxmlformats.org/markup-compatibility/2006" xmlns:a14="http://schemas.microsoft.com/office/drawing/2010/main" val="FF0000" mc:Ignorable="a14" a14:legacySpreadsheetColorIndex="10"/>
              </a:solidFill>
            </a:rPr>
            <a:t>Age</a:t>
          </a:r>
        </a:p>
      </xdr:txBody>
    </xdr:sp>
    <xdr:clientData/>
  </xdr:twoCellAnchor>
  <xdr:twoCellAnchor>
    <xdr:from>
      <xdr:col>4</xdr:col>
      <xdr:colOff>38100</xdr:colOff>
      <xdr:row>28</xdr:row>
      <xdr:rowOff>6350</xdr:rowOff>
    </xdr:from>
    <xdr:to>
      <xdr:col>5</xdr:col>
      <xdr:colOff>444500</xdr:colOff>
      <xdr:row>28</xdr:row>
      <xdr:rowOff>133350</xdr:rowOff>
    </xdr:to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7B40EA64-8D3B-4129-9D44-C7A6E295E7FB}"/>
            </a:ext>
          </a:extLst>
        </xdr:cNvPr>
        <xdr:cNvSpPr txBox="1"/>
      </xdr:nvSpPr>
      <xdr:spPr>
        <a:xfrm>
          <a:off x="2476500" y="5397500"/>
          <a:ext cx="1016000" cy="127000"/>
        </a:xfrm>
        <a:prstGeom prst="rect">
          <a:avLst/>
        </a:prstGeom>
        <a:solidFill>
          <a:schemeClr val="lt1"/>
        </a:solidFill>
        <a:ln w="9525" cmpd="sng">
          <a:noFill/>
        </a:ln>
        <a:effectLst/>
        <a:extLs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l"/>
          <a:r>
            <a:rPr lang="en-US" sz="800" b="0" i="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</a:rPr>
            <a:t>572</a:t>
          </a:r>
        </a:p>
      </xdr:txBody>
    </xdr:sp>
    <xdr:clientData/>
  </xdr:twoCellAnchor>
  <xdr:twoCellAnchor>
    <xdr:from>
      <xdr:col>4</xdr:col>
      <xdr:colOff>546100</xdr:colOff>
      <xdr:row>29</xdr:row>
      <xdr:rowOff>133350</xdr:rowOff>
    </xdr:from>
    <xdr:to>
      <xdr:col>6</xdr:col>
      <xdr:colOff>88900</xdr:colOff>
      <xdr:row>31</xdr:row>
      <xdr:rowOff>133350</xdr:rowOff>
    </xdr:to>
    <xdr:sp macro="" textlink="">
      <xdr:nvSpPr>
        <xdr:cNvPr id="39" name="Rectangle 38">
          <a:hlinkClick xmlns:r="http://schemas.openxmlformats.org/officeDocument/2006/relationships" r:id="" tooltip="Terminal"/>
          <a:extLst>
            <a:ext uri="{FF2B5EF4-FFF2-40B4-BE49-F238E27FC236}">
              <a16:creationId xmlns:a16="http://schemas.microsoft.com/office/drawing/2014/main" id="{2B397B80-5DA5-4742-A59E-CCD06249C426}"/>
            </a:ext>
          </a:extLst>
        </xdr:cNvPr>
        <xdr:cNvSpPr/>
      </xdr:nvSpPr>
      <xdr:spPr>
        <a:xfrm>
          <a:off x="2984500" y="5715000"/>
          <a:ext cx="762000" cy="381000"/>
        </a:xfrm>
        <a:prstGeom prst="rect">
          <a:avLst/>
        </a:prstGeom>
        <a:solidFill>
          <a:srgbClr val="148014"/>
        </a:solidFill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800" b="0" i="0"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</a:rPr>
            <a:t>1</a:t>
          </a:r>
        </a:p>
      </xdr:txBody>
    </xdr:sp>
    <xdr:clientData/>
  </xdr:twoCellAnchor>
  <xdr:twoCellAnchor>
    <xdr:from>
      <xdr:col>4</xdr:col>
      <xdr:colOff>546100</xdr:colOff>
      <xdr:row>28</xdr:row>
      <xdr:rowOff>6350</xdr:rowOff>
    </xdr:from>
    <xdr:to>
      <xdr:col>6</xdr:col>
      <xdr:colOff>342900</xdr:colOff>
      <xdr:row>28</xdr:row>
      <xdr:rowOff>133350</xdr:rowOff>
    </xdr:to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AC12CF8B-FCF2-42EC-A5BE-448768B5568C}"/>
            </a:ext>
          </a:extLst>
        </xdr:cNvPr>
        <xdr:cNvSpPr txBox="1"/>
      </xdr:nvSpPr>
      <xdr:spPr>
        <a:xfrm>
          <a:off x="2984500" y="5397500"/>
          <a:ext cx="1016000" cy="127000"/>
        </a:xfrm>
        <a:prstGeom prst="rect">
          <a:avLst/>
        </a:prstGeom>
        <a:solidFill>
          <a:schemeClr val="lt1"/>
        </a:solidFill>
        <a:ln w="9525" cmpd="sng">
          <a:noFill/>
        </a:ln>
        <a:effectLst/>
        <a:extLs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l"/>
          <a:r>
            <a:rPr lang="en-US" sz="800" b="0" i="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</a:rPr>
            <a:t>15</a:t>
          </a:r>
        </a:p>
      </xdr:txBody>
    </xdr:sp>
    <xdr:clientData/>
  </xdr:twoCellAnchor>
  <xdr:twoCellAnchor>
    <xdr:from>
      <xdr:col>7</xdr:col>
      <xdr:colOff>495300</xdr:colOff>
      <xdr:row>29</xdr:row>
      <xdr:rowOff>133350</xdr:rowOff>
    </xdr:from>
    <xdr:to>
      <xdr:col>9</xdr:col>
      <xdr:colOff>38100</xdr:colOff>
      <xdr:row>31</xdr:row>
      <xdr:rowOff>133350</xdr:rowOff>
    </xdr:to>
    <xdr:sp macro="" textlink="">
      <xdr:nvSpPr>
        <xdr:cNvPr id="41" name="Rectangle 40">
          <a:hlinkClick xmlns:r="http://schemas.openxmlformats.org/officeDocument/2006/relationships" r:id="" tooltip="Terminal"/>
          <a:extLst>
            <a:ext uri="{FF2B5EF4-FFF2-40B4-BE49-F238E27FC236}">
              <a16:creationId xmlns:a16="http://schemas.microsoft.com/office/drawing/2014/main" id="{1B1A5EC7-1724-480C-90F0-2BAA700EDD89}"/>
            </a:ext>
          </a:extLst>
        </xdr:cNvPr>
        <xdr:cNvSpPr/>
      </xdr:nvSpPr>
      <xdr:spPr>
        <a:xfrm>
          <a:off x="4762500" y="5715000"/>
          <a:ext cx="762000" cy="381000"/>
        </a:xfrm>
        <a:prstGeom prst="rect">
          <a:avLst/>
        </a:prstGeom>
        <a:solidFill>
          <a:srgbClr val="148014"/>
        </a:solidFill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800" b="0" i="0"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</a:rPr>
            <a:t>1</a:t>
          </a:r>
        </a:p>
      </xdr:txBody>
    </xdr:sp>
    <xdr:clientData/>
  </xdr:twoCellAnchor>
  <xdr:twoCellAnchor>
    <xdr:from>
      <xdr:col>8</xdr:col>
      <xdr:colOff>266700</xdr:colOff>
      <xdr:row>28</xdr:row>
      <xdr:rowOff>6350</xdr:rowOff>
    </xdr:from>
    <xdr:to>
      <xdr:col>10</xdr:col>
      <xdr:colOff>63500</xdr:colOff>
      <xdr:row>28</xdr:row>
      <xdr:rowOff>133350</xdr:rowOff>
    </xdr:to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626FC9A5-8259-4061-B064-8F0DBC53CF9D}"/>
            </a:ext>
          </a:extLst>
        </xdr:cNvPr>
        <xdr:cNvSpPr txBox="1"/>
      </xdr:nvSpPr>
      <xdr:spPr>
        <a:xfrm>
          <a:off x="5143500" y="5397500"/>
          <a:ext cx="1016000" cy="127000"/>
        </a:xfrm>
        <a:prstGeom prst="rect">
          <a:avLst/>
        </a:prstGeom>
        <a:solidFill>
          <a:schemeClr val="lt1"/>
        </a:solidFill>
        <a:ln w="9525" cmpd="sng">
          <a:noFill/>
        </a:ln>
        <a:effectLst/>
        <a:extLs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l"/>
          <a:r>
            <a:rPr lang="en-US" sz="800" b="0" i="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</a:rPr>
            <a:t>9</a:t>
          </a:r>
        </a:p>
      </xdr:txBody>
    </xdr:sp>
    <xdr:clientData/>
  </xdr:twoCellAnchor>
  <xdr:twoCellAnchor>
    <xdr:from>
      <xdr:col>9</xdr:col>
      <xdr:colOff>165100</xdr:colOff>
      <xdr:row>29</xdr:row>
      <xdr:rowOff>133350</xdr:rowOff>
    </xdr:from>
    <xdr:to>
      <xdr:col>10</xdr:col>
      <xdr:colOff>317500</xdr:colOff>
      <xdr:row>31</xdr:row>
      <xdr:rowOff>133350</xdr:rowOff>
    </xdr:to>
    <xdr:sp macro="" textlink="">
      <xdr:nvSpPr>
        <xdr:cNvPr id="43" name="Rectangle 42">
          <a:hlinkClick xmlns:r="http://schemas.openxmlformats.org/officeDocument/2006/relationships" r:id="" tooltip="Terminal"/>
          <a:extLst>
            <a:ext uri="{FF2B5EF4-FFF2-40B4-BE49-F238E27FC236}">
              <a16:creationId xmlns:a16="http://schemas.microsoft.com/office/drawing/2014/main" id="{D2568965-31FE-4E35-B8AE-BDA1207CE423}"/>
            </a:ext>
          </a:extLst>
        </xdr:cNvPr>
        <xdr:cNvSpPr/>
      </xdr:nvSpPr>
      <xdr:spPr>
        <a:xfrm>
          <a:off x="5651500" y="5715000"/>
          <a:ext cx="762000" cy="381000"/>
        </a:xfrm>
        <a:prstGeom prst="rect">
          <a:avLst/>
        </a:prstGeom>
        <a:solidFill>
          <a:srgbClr val="148014"/>
        </a:solidFill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800" b="0" i="0"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</a:rPr>
            <a:t>0</a:t>
          </a:r>
        </a:p>
      </xdr:txBody>
    </xdr:sp>
    <xdr:clientData/>
  </xdr:twoCellAnchor>
  <xdr:twoCellAnchor>
    <xdr:from>
      <xdr:col>9</xdr:col>
      <xdr:colOff>165100</xdr:colOff>
      <xdr:row>28</xdr:row>
      <xdr:rowOff>6350</xdr:rowOff>
    </xdr:from>
    <xdr:to>
      <xdr:col>10</xdr:col>
      <xdr:colOff>571500</xdr:colOff>
      <xdr:row>28</xdr:row>
      <xdr:rowOff>133350</xdr:rowOff>
    </xdr:to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BCA5643F-B486-4E4F-B931-C218980D8CD7}"/>
            </a:ext>
          </a:extLst>
        </xdr:cNvPr>
        <xdr:cNvSpPr txBox="1"/>
      </xdr:nvSpPr>
      <xdr:spPr>
        <a:xfrm>
          <a:off x="5651500" y="5397500"/>
          <a:ext cx="1016000" cy="127000"/>
        </a:xfrm>
        <a:prstGeom prst="rect">
          <a:avLst/>
        </a:prstGeom>
        <a:solidFill>
          <a:schemeClr val="lt1"/>
        </a:solidFill>
        <a:ln w="9525" cmpd="sng">
          <a:noFill/>
        </a:ln>
        <a:effectLst/>
        <a:extLs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l"/>
          <a:r>
            <a:rPr lang="en-US" sz="800" b="0" i="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</a:rPr>
            <a:t>49</a:t>
          </a:r>
        </a:p>
      </xdr:txBody>
    </xdr:sp>
    <xdr:clientData/>
  </xdr:twoCellAnchor>
  <xdr:twoCellAnchor>
    <xdr:from>
      <xdr:col>10</xdr:col>
      <xdr:colOff>444500</xdr:colOff>
      <xdr:row>29</xdr:row>
      <xdr:rowOff>133350</xdr:rowOff>
    </xdr:from>
    <xdr:to>
      <xdr:col>11</xdr:col>
      <xdr:colOff>596900</xdr:colOff>
      <xdr:row>31</xdr:row>
      <xdr:rowOff>133350</xdr:rowOff>
    </xdr:to>
    <xdr:sp macro="" textlink="">
      <xdr:nvSpPr>
        <xdr:cNvPr id="45" name="Oval 44">
          <a:hlinkClick xmlns:r="http://schemas.openxmlformats.org/officeDocument/2006/relationships" r:id="" tooltip="Go left if Totalcharges &lt; 6145.50"/>
          <a:extLst>
            <a:ext uri="{FF2B5EF4-FFF2-40B4-BE49-F238E27FC236}">
              <a16:creationId xmlns:a16="http://schemas.microsoft.com/office/drawing/2014/main" id="{EDBC4AFD-A28F-4A77-8EC6-271E23CF7DF1}"/>
            </a:ext>
          </a:extLst>
        </xdr:cNvPr>
        <xdr:cNvSpPr/>
      </xdr:nvSpPr>
      <xdr:spPr>
        <a:xfrm>
          <a:off x="6540500" y="5715000"/>
          <a:ext cx="762000" cy="381000"/>
        </a:xfrm>
        <a:prstGeom prst="ellipse">
          <a:avLst/>
        </a:prstGeom>
        <a:solidFill>
          <a:srgbClr val="4F81BD"/>
        </a:solidFill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800" b="0" i="0"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</a:rPr>
            <a:t>6145.50</a:t>
          </a:r>
        </a:p>
      </xdr:txBody>
    </xdr:sp>
    <xdr:clientData/>
  </xdr:twoCellAnchor>
  <xdr:twoCellAnchor>
    <xdr:from>
      <xdr:col>10</xdr:col>
      <xdr:colOff>444500</xdr:colOff>
      <xdr:row>29</xdr:row>
      <xdr:rowOff>6350</xdr:rowOff>
    </xdr:from>
    <xdr:to>
      <xdr:col>11</xdr:col>
      <xdr:colOff>596900</xdr:colOff>
      <xdr:row>29</xdr:row>
      <xdr:rowOff>133350</xdr:rowOff>
    </xdr:to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1F8386D8-91E2-4E37-962D-EEB4AF03EA04}"/>
            </a:ext>
          </a:extLst>
        </xdr:cNvPr>
        <xdr:cNvSpPr txBox="1"/>
      </xdr:nvSpPr>
      <xdr:spPr>
        <a:xfrm>
          <a:off x="6540500" y="5588000"/>
          <a:ext cx="762000" cy="127000"/>
        </a:xfrm>
        <a:prstGeom prst="rect">
          <a:avLst/>
        </a:prstGeom>
        <a:solidFill>
          <a:schemeClr val="lt1"/>
        </a:solidFill>
        <a:ln w="9525" cmpd="sng">
          <a:noFill/>
        </a:ln>
        <a:effectLst/>
        <a:extLs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lang="en-US" sz="800" b="0" i="0">
              <a:solidFill>
                <a:srgbClr xmlns:mc="http://schemas.openxmlformats.org/markup-compatibility/2006" xmlns:a14="http://schemas.microsoft.com/office/drawing/2010/main" val="FF0000" mc:Ignorable="a14" a14:legacySpreadsheetColorIndex="10"/>
              </a:solidFill>
            </a:rPr>
            <a:t>Totalcharges</a:t>
          </a:r>
        </a:p>
      </xdr:txBody>
    </xdr:sp>
    <xdr:clientData/>
  </xdr:twoCellAnchor>
  <xdr:twoCellAnchor>
    <xdr:from>
      <xdr:col>11</xdr:col>
      <xdr:colOff>215900</xdr:colOff>
      <xdr:row>28</xdr:row>
      <xdr:rowOff>6350</xdr:rowOff>
    </xdr:from>
    <xdr:to>
      <xdr:col>13</xdr:col>
      <xdr:colOff>12700</xdr:colOff>
      <xdr:row>28</xdr:row>
      <xdr:rowOff>133350</xdr:rowOff>
    </xdr:to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8D17D0B0-F9A2-4EF9-BBF5-0AB6A144CCA3}"/>
            </a:ext>
          </a:extLst>
        </xdr:cNvPr>
        <xdr:cNvSpPr txBox="1"/>
      </xdr:nvSpPr>
      <xdr:spPr>
        <a:xfrm>
          <a:off x="6921500" y="5397500"/>
          <a:ext cx="1016000" cy="127000"/>
        </a:xfrm>
        <a:prstGeom prst="rect">
          <a:avLst/>
        </a:prstGeom>
        <a:solidFill>
          <a:schemeClr val="lt1"/>
        </a:solidFill>
        <a:ln w="9525" cmpd="sng">
          <a:noFill/>
        </a:ln>
        <a:effectLst/>
        <a:extLs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l"/>
          <a:r>
            <a:rPr lang="en-US" sz="800" b="0" i="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</a:rPr>
            <a:t>46</a:t>
          </a:r>
        </a:p>
      </xdr:txBody>
    </xdr:sp>
    <xdr:clientData/>
  </xdr:twoCellAnchor>
  <xdr:twoCellAnchor>
    <xdr:from>
      <xdr:col>13</xdr:col>
      <xdr:colOff>393700</xdr:colOff>
      <xdr:row>29</xdr:row>
      <xdr:rowOff>133350</xdr:rowOff>
    </xdr:from>
    <xdr:to>
      <xdr:col>14</xdr:col>
      <xdr:colOff>412750</xdr:colOff>
      <xdr:row>31</xdr:row>
      <xdr:rowOff>133350</xdr:rowOff>
    </xdr:to>
    <xdr:sp macro="" textlink="">
      <xdr:nvSpPr>
        <xdr:cNvPr id="48" name="Oval 47">
          <a:hlinkClick xmlns:r="http://schemas.openxmlformats.org/officeDocument/2006/relationships" r:id="" tooltip="Go left if Nchronic &lt; 3.50"/>
          <a:extLst>
            <a:ext uri="{FF2B5EF4-FFF2-40B4-BE49-F238E27FC236}">
              <a16:creationId xmlns:a16="http://schemas.microsoft.com/office/drawing/2014/main" id="{A57DBC86-6C0C-4D66-BFC6-DEEFE39A75CA}"/>
            </a:ext>
          </a:extLst>
        </xdr:cNvPr>
        <xdr:cNvSpPr/>
      </xdr:nvSpPr>
      <xdr:spPr>
        <a:xfrm>
          <a:off x="8318500" y="5715000"/>
          <a:ext cx="762000" cy="381000"/>
        </a:xfrm>
        <a:prstGeom prst="ellipse">
          <a:avLst/>
        </a:prstGeom>
        <a:solidFill>
          <a:srgbClr val="4F81BD"/>
        </a:solidFill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800" b="0" i="0"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</a:rPr>
            <a:t>3.50</a:t>
          </a:r>
        </a:p>
      </xdr:txBody>
    </xdr:sp>
    <xdr:clientData/>
  </xdr:twoCellAnchor>
  <xdr:twoCellAnchor>
    <xdr:from>
      <xdr:col>13</xdr:col>
      <xdr:colOff>393700</xdr:colOff>
      <xdr:row>29</xdr:row>
      <xdr:rowOff>6350</xdr:rowOff>
    </xdr:from>
    <xdr:to>
      <xdr:col>14</xdr:col>
      <xdr:colOff>412750</xdr:colOff>
      <xdr:row>29</xdr:row>
      <xdr:rowOff>133350</xdr:rowOff>
    </xdr:to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F1096B9D-F418-437C-9F39-40649930313B}"/>
            </a:ext>
          </a:extLst>
        </xdr:cNvPr>
        <xdr:cNvSpPr txBox="1"/>
      </xdr:nvSpPr>
      <xdr:spPr>
        <a:xfrm>
          <a:off x="8318500" y="5588000"/>
          <a:ext cx="762000" cy="127000"/>
        </a:xfrm>
        <a:prstGeom prst="rect">
          <a:avLst/>
        </a:prstGeom>
        <a:solidFill>
          <a:schemeClr val="lt1"/>
        </a:solidFill>
        <a:ln w="9525" cmpd="sng">
          <a:noFill/>
        </a:ln>
        <a:effectLst/>
        <a:extLs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lang="en-US" sz="800" b="0" i="0">
              <a:solidFill>
                <a:srgbClr xmlns:mc="http://schemas.openxmlformats.org/markup-compatibility/2006" xmlns:a14="http://schemas.microsoft.com/office/drawing/2010/main" val="FF0000" mc:Ignorable="a14" a14:legacySpreadsheetColorIndex="10"/>
              </a:solidFill>
            </a:rPr>
            <a:t>Nchronic</a:t>
          </a:r>
        </a:p>
      </xdr:txBody>
    </xdr:sp>
    <xdr:clientData/>
  </xdr:twoCellAnchor>
  <xdr:twoCellAnchor>
    <xdr:from>
      <xdr:col>13</xdr:col>
      <xdr:colOff>393700</xdr:colOff>
      <xdr:row>28</xdr:row>
      <xdr:rowOff>6350</xdr:rowOff>
    </xdr:from>
    <xdr:to>
      <xdr:col>15</xdr:col>
      <xdr:colOff>57150</xdr:colOff>
      <xdr:row>28</xdr:row>
      <xdr:rowOff>133350</xdr:rowOff>
    </xdr:to>
    <xdr:sp macro="" textlink="">
      <xdr:nvSpPr>
        <xdr:cNvPr id="50" name="TextBox 49">
          <a:extLst>
            <a:ext uri="{FF2B5EF4-FFF2-40B4-BE49-F238E27FC236}">
              <a16:creationId xmlns:a16="http://schemas.microsoft.com/office/drawing/2014/main" id="{489ECFFF-2DC6-46D2-A752-FA97F5540E0D}"/>
            </a:ext>
          </a:extLst>
        </xdr:cNvPr>
        <xdr:cNvSpPr txBox="1"/>
      </xdr:nvSpPr>
      <xdr:spPr>
        <a:xfrm>
          <a:off x="8318500" y="5397500"/>
          <a:ext cx="1016000" cy="127000"/>
        </a:xfrm>
        <a:prstGeom prst="rect">
          <a:avLst/>
        </a:prstGeom>
        <a:solidFill>
          <a:schemeClr val="lt1"/>
        </a:solidFill>
        <a:ln w="9525" cmpd="sng">
          <a:noFill/>
        </a:ln>
        <a:effectLst/>
        <a:extLs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l"/>
          <a:r>
            <a:rPr lang="en-US" sz="800" b="0" i="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</a:rPr>
            <a:t>78</a:t>
          </a:r>
        </a:p>
      </xdr:txBody>
    </xdr:sp>
    <xdr:clientData/>
  </xdr:twoCellAnchor>
  <xdr:twoCellAnchor>
    <xdr:from>
      <xdr:col>1</xdr:col>
      <xdr:colOff>596900</xdr:colOff>
      <xdr:row>33</xdr:row>
      <xdr:rowOff>133350</xdr:rowOff>
    </xdr:from>
    <xdr:to>
      <xdr:col>3</xdr:col>
      <xdr:colOff>139700</xdr:colOff>
      <xdr:row>35</xdr:row>
      <xdr:rowOff>133350</xdr:rowOff>
    </xdr:to>
    <xdr:sp macro="" textlink="">
      <xdr:nvSpPr>
        <xdr:cNvPr id="51" name="Oval 50">
          <a:hlinkClick xmlns:r="http://schemas.openxmlformats.org/officeDocument/2006/relationships" r:id="" tooltip="Go left if Totalcharges &lt; 36388.00"/>
          <a:extLst>
            <a:ext uri="{FF2B5EF4-FFF2-40B4-BE49-F238E27FC236}">
              <a16:creationId xmlns:a16="http://schemas.microsoft.com/office/drawing/2014/main" id="{2E3836BC-F622-4604-B4D1-826BF4A61DF3}"/>
            </a:ext>
          </a:extLst>
        </xdr:cNvPr>
        <xdr:cNvSpPr/>
      </xdr:nvSpPr>
      <xdr:spPr>
        <a:xfrm>
          <a:off x="1206500" y="6477000"/>
          <a:ext cx="762000" cy="381000"/>
        </a:xfrm>
        <a:prstGeom prst="ellipse">
          <a:avLst/>
        </a:prstGeom>
        <a:solidFill>
          <a:srgbClr val="4F81BD"/>
        </a:solidFill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800" b="0" i="0"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</a:rPr>
            <a:t>36388.00</a:t>
          </a:r>
        </a:p>
      </xdr:txBody>
    </xdr:sp>
    <xdr:clientData/>
  </xdr:twoCellAnchor>
  <xdr:twoCellAnchor>
    <xdr:from>
      <xdr:col>1</xdr:col>
      <xdr:colOff>596900</xdr:colOff>
      <xdr:row>33</xdr:row>
      <xdr:rowOff>6350</xdr:rowOff>
    </xdr:from>
    <xdr:to>
      <xdr:col>3</xdr:col>
      <xdr:colOff>139700</xdr:colOff>
      <xdr:row>33</xdr:row>
      <xdr:rowOff>133350</xdr:rowOff>
    </xdr:to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0CCE2C74-5AEB-4F63-86FB-78997C72123F}"/>
            </a:ext>
          </a:extLst>
        </xdr:cNvPr>
        <xdr:cNvSpPr txBox="1"/>
      </xdr:nvSpPr>
      <xdr:spPr>
        <a:xfrm>
          <a:off x="1206500" y="6350000"/>
          <a:ext cx="762000" cy="127000"/>
        </a:xfrm>
        <a:prstGeom prst="rect">
          <a:avLst/>
        </a:prstGeom>
        <a:solidFill>
          <a:schemeClr val="lt1"/>
        </a:solidFill>
        <a:ln w="9525" cmpd="sng">
          <a:noFill/>
        </a:ln>
        <a:effectLst/>
        <a:extLs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lang="en-US" sz="800" b="0" i="0">
              <a:solidFill>
                <a:srgbClr xmlns:mc="http://schemas.openxmlformats.org/markup-compatibility/2006" xmlns:a14="http://schemas.microsoft.com/office/drawing/2010/main" val="FF0000" mc:Ignorable="a14" a14:legacySpreadsheetColorIndex="10"/>
              </a:solidFill>
            </a:rPr>
            <a:t>Totalcharges</a:t>
          </a:r>
        </a:p>
      </xdr:txBody>
    </xdr:sp>
    <xdr:clientData/>
  </xdr:twoCellAnchor>
  <xdr:twoCellAnchor>
    <xdr:from>
      <xdr:col>2</xdr:col>
      <xdr:colOff>368300</xdr:colOff>
      <xdr:row>32</xdr:row>
      <xdr:rowOff>6350</xdr:rowOff>
    </xdr:from>
    <xdr:to>
      <xdr:col>4</xdr:col>
      <xdr:colOff>165100</xdr:colOff>
      <xdr:row>32</xdr:row>
      <xdr:rowOff>133350</xdr:rowOff>
    </xdr:to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4F412330-0AF9-45B1-AF77-77E711102B08}"/>
            </a:ext>
          </a:extLst>
        </xdr:cNvPr>
        <xdr:cNvSpPr txBox="1"/>
      </xdr:nvSpPr>
      <xdr:spPr>
        <a:xfrm>
          <a:off x="1587500" y="6159500"/>
          <a:ext cx="1016000" cy="127000"/>
        </a:xfrm>
        <a:prstGeom prst="rect">
          <a:avLst/>
        </a:prstGeom>
        <a:solidFill>
          <a:schemeClr val="lt1"/>
        </a:solidFill>
        <a:ln w="9525" cmpd="sng">
          <a:noFill/>
        </a:ln>
        <a:effectLst/>
        <a:extLs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l"/>
          <a:r>
            <a:rPr lang="en-US" sz="800" b="0" i="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</a:rPr>
            <a:t>303</a:t>
          </a:r>
        </a:p>
      </xdr:txBody>
    </xdr:sp>
    <xdr:clientData/>
  </xdr:twoCellAnchor>
  <xdr:twoCellAnchor>
    <xdr:from>
      <xdr:col>4</xdr:col>
      <xdr:colOff>546100</xdr:colOff>
      <xdr:row>33</xdr:row>
      <xdr:rowOff>133350</xdr:rowOff>
    </xdr:from>
    <xdr:to>
      <xdr:col>6</xdr:col>
      <xdr:colOff>88900</xdr:colOff>
      <xdr:row>35</xdr:row>
      <xdr:rowOff>133350</xdr:rowOff>
    </xdr:to>
    <xdr:sp macro="" textlink="">
      <xdr:nvSpPr>
        <xdr:cNvPr id="54" name="Oval 53">
          <a:hlinkClick xmlns:r="http://schemas.openxmlformats.org/officeDocument/2006/relationships" r:id="" tooltip="Go left if Age &lt; 28.50"/>
          <a:extLst>
            <a:ext uri="{FF2B5EF4-FFF2-40B4-BE49-F238E27FC236}">
              <a16:creationId xmlns:a16="http://schemas.microsoft.com/office/drawing/2014/main" id="{8544EFFE-AAC2-4328-870D-F8562797A592}"/>
            </a:ext>
          </a:extLst>
        </xdr:cNvPr>
        <xdr:cNvSpPr/>
      </xdr:nvSpPr>
      <xdr:spPr>
        <a:xfrm>
          <a:off x="2984500" y="6477000"/>
          <a:ext cx="762000" cy="381000"/>
        </a:xfrm>
        <a:prstGeom prst="ellipse">
          <a:avLst/>
        </a:prstGeom>
        <a:solidFill>
          <a:srgbClr val="4F81BD"/>
        </a:solidFill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800" b="0" i="0"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</a:rPr>
            <a:t>28.50</a:t>
          </a:r>
        </a:p>
      </xdr:txBody>
    </xdr:sp>
    <xdr:clientData/>
  </xdr:twoCellAnchor>
  <xdr:twoCellAnchor>
    <xdr:from>
      <xdr:col>4</xdr:col>
      <xdr:colOff>546100</xdr:colOff>
      <xdr:row>33</xdr:row>
      <xdr:rowOff>6350</xdr:rowOff>
    </xdr:from>
    <xdr:to>
      <xdr:col>6</xdr:col>
      <xdr:colOff>88900</xdr:colOff>
      <xdr:row>33</xdr:row>
      <xdr:rowOff>133350</xdr:rowOff>
    </xdr:to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04D18B68-4518-457D-A06F-A5CE3D2F6490}"/>
            </a:ext>
          </a:extLst>
        </xdr:cNvPr>
        <xdr:cNvSpPr txBox="1"/>
      </xdr:nvSpPr>
      <xdr:spPr>
        <a:xfrm>
          <a:off x="2984500" y="6350000"/>
          <a:ext cx="762000" cy="127000"/>
        </a:xfrm>
        <a:prstGeom prst="rect">
          <a:avLst/>
        </a:prstGeom>
        <a:solidFill>
          <a:schemeClr val="lt1"/>
        </a:solidFill>
        <a:ln w="9525" cmpd="sng">
          <a:noFill/>
        </a:ln>
        <a:effectLst/>
        <a:extLs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lang="en-US" sz="800" b="0" i="0">
              <a:solidFill>
                <a:srgbClr xmlns:mc="http://schemas.openxmlformats.org/markup-compatibility/2006" xmlns:a14="http://schemas.microsoft.com/office/drawing/2010/main" val="FF0000" mc:Ignorable="a14" a14:legacySpreadsheetColorIndex="10"/>
              </a:solidFill>
            </a:rPr>
            <a:t>Age</a:t>
          </a:r>
        </a:p>
      </xdr:txBody>
    </xdr:sp>
    <xdr:clientData/>
  </xdr:twoCellAnchor>
  <xdr:twoCellAnchor>
    <xdr:from>
      <xdr:col>4</xdr:col>
      <xdr:colOff>546100</xdr:colOff>
      <xdr:row>32</xdr:row>
      <xdr:rowOff>6350</xdr:rowOff>
    </xdr:from>
    <xdr:to>
      <xdr:col>6</xdr:col>
      <xdr:colOff>342900</xdr:colOff>
      <xdr:row>32</xdr:row>
      <xdr:rowOff>133350</xdr:rowOff>
    </xdr:to>
    <xdr:sp macro="" textlink="">
      <xdr:nvSpPr>
        <xdr:cNvPr id="56" name="TextBox 55">
          <a:extLst>
            <a:ext uri="{FF2B5EF4-FFF2-40B4-BE49-F238E27FC236}">
              <a16:creationId xmlns:a16="http://schemas.microsoft.com/office/drawing/2014/main" id="{184ADC0F-14FE-435C-9624-8D62AC6A5A80}"/>
            </a:ext>
          </a:extLst>
        </xdr:cNvPr>
        <xdr:cNvSpPr txBox="1"/>
      </xdr:nvSpPr>
      <xdr:spPr>
        <a:xfrm>
          <a:off x="2984500" y="6159500"/>
          <a:ext cx="1016000" cy="127000"/>
        </a:xfrm>
        <a:prstGeom prst="rect">
          <a:avLst/>
        </a:prstGeom>
        <a:solidFill>
          <a:schemeClr val="lt1"/>
        </a:solidFill>
        <a:ln w="9525" cmpd="sng">
          <a:noFill/>
        </a:ln>
        <a:effectLst/>
        <a:extLs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l"/>
          <a:r>
            <a:rPr lang="en-US" sz="800" b="0" i="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</a:rPr>
            <a:t>269</a:t>
          </a:r>
        </a:p>
      </xdr:txBody>
    </xdr:sp>
    <xdr:clientData/>
  </xdr:twoCellAnchor>
  <xdr:twoCellAnchor>
    <xdr:from>
      <xdr:col>10</xdr:col>
      <xdr:colOff>0</xdr:colOff>
      <xdr:row>33</xdr:row>
      <xdr:rowOff>133350</xdr:rowOff>
    </xdr:from>
    <xdr:to>
      <xdr:col>11</xdr:col>
      <xdr:colOff>152400</xdr:colOff>
      <xdr:row>35</xdr:row>
      <xdr:rowOff>133350</xdr:rowOff>
    </xdr:to>
    <xdr:sp macro="" textlink="">
      <xdr:nvSpPr>
        <xdr:cNvPr id="57" name="Rectangle 56">
          <a:hlinkClick xmlns:r="http://schemas.openxmlformats.org/officeDocument/2006/relationships" r:id="" tooltip="Terminal"/>
          <a:extLst>
            <a:ext uri="{FF2B5EF4-FFF2-40B4-BE49-F238E27FC236}">
              <a16:creationId xmlns:a16="http://schemas.microsoft.com/office/drawing/2014/main" id="{B92EC1AC-398A-450B-ABC9-F5BBA158B03F}"/>
            </a:ext>
          </a:extLst>
        </xdr:cNvPr>
        <xdr:cNvSpPr/>
      </xdr:nvSpPr>
      <xdr:spPr>
        <a:xfrm>
          <a:off x="6096000" y="6477000"/>
          <a:ext cx="762000" cy="381000"/>
        </a:xfrm>
        <a:prstGeom prst="rect">
          <a:avLst/>
        </a:prstGeom>
        <a:solidFill>
          <a:srgbClr val="148014"/>
        </a:solidFill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800" b="0" i="0"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</a:rPr>
            <a:t>1</a:t>
          </a:r>
        </a:p>
      </xdr:txBody>
    </xdr:sp>
    <xdr:clientData/>
  </xdr:twoCellAnchor>
  <xdr:twoCellAnchor>
    <xdr:from>
      <xdr:col>10</xdr:col>
      <xdr:colOff>381000</xdr:colOff>
      <xdr:row>32</xdr:row>
      <xdr:rowOff>6350</xdr:rowOff>
    </xdr:from>
    <xdr:to>
      <xdr:col>12</xdr:col>
      <xdr:colOff>177800</xdr:colOff>
      <xdr:row>32</xdr:row>
      <xdr:rowOff>133350</xdr:rowOff>
    </xdr:to>
    <xdr:sp macro="" textlink="">
      <xdr:nvSpPr>
        <xdr:cNvPr id="58" name="TextBox 57">
          <a:extLst>
            <a:ext uri="{FF2B5EF4-FFF2-40B4-BE49-F238E27FC236}">
              <a16:creationId xmlns:a16="http://schemas.microsoft.com/office/drawing/2014/main" id="{B6E814E0-8032-4834-B540-162C6ADF20E7}"/>
            </a:ext>
          </a:extLst>
        </xdr:cNvPr>
        <xdr:cNvSpPr txBox="1"/>
      </xdr:nvSpPr>
      <xdr:spPr>
        <a:xfrm>
          <a:off x="6477000" y="6159500"/>
          <a:ext cx="1016000" cy="127000"/>
        </a:xfrm>
        <a:prstGeom prst="rect">
          <a:avLst/>
        </a:prstGeom>
        <a:solidFill>
          <a:schemeClr val="lt1"/>
        </a:solidFill>
        <a:ln w="9525" cmpd="sng">
          <a:noFill/>
        </a:ln>
        <a:effectLst/>
        <a:extLs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l"/>
          <a:r>
            <a:rPr lang="en-US" sz="800" b="0" i="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</a:rPr>
            <a:t>10</a:t>
          </a:r>
        </a:p>
      </xdr:txBody>
    </xdr:sp>
    <xdr:clientData/>
  </xdr:twoCellAnchor>
  <xdr:twoCellAnchor>
    <xdr:from>
      <xdr:col>11</xdr:col>
      <xdr:colOff>279400</xdr:colOff>
      <xdr:row>33</xdr:row>
      <xdr:rowOff>133350</xdr:rowOff>
    </xdr:from>
    <xdr:to>
      <xdr:col>12</xdr:col>
      <xdr:colOff>431800</xdr:colOff>
      <xdr:row>35</xdr:row>
      <xdr:rowOff>133350</xdr:rowOff>
    </xdr:to>
    <xdr:sp macro="" textlink="">
      <xdr:nvSpPr>
        <xdr:cNvPr id="59" name="Rectangle 58">
          <a:hlinkClick xmlns:r="http://schemas.openxmlformats.org/officeDocument/2006/relationships" r:id="" tooltip="Terminal"/>
          <a:extLst>
            <a:ext uri="{FF2B5EF4-FFF2-40B4-BE49-F238E27FC236}">
              <a16:creationId xmlns:a16="http://schemas.microsoft.com/office/drawing/2014/main" id="{1D714527-CEB5-4E2C-968F-E2C0D91FF1DF}"/>
            </a:ext>
          </a:extLst>
        </xdr:cNvPr>
        <xdr:cNvSpPr/>
      </xdr:nvSpPr>
      <xdr:spPr>
        <a:xfrm>
          <a:off x="6985000" y="6477000"/>
          <a:ext cx="762000" cy="381000"/>
        </a:xfrm>
        <a:prstGeom prst="rect">
          <a:avLst/>
        </a:prstGeom>
        <a:solidFill>
          <a:srgbClr val="148014"/>
        </a:solidFill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800" b="0" i="0"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</a:rPr>
            <a:t>0</a:t>
          </a:r>
        </a:p>
      </xdr:txBody>
    </xdr:sp>
    <xdr:clientData/>
  </xdr:twoCellAnchor>
  <xdr:twoCellAnchor>
    <xdr:from>
      <xdr:col>11</xdr:col>
      <xdr:colOff>279400</xdr:colOff>
      <xdr:row>32</xdr:row>
      <xdr:rowOff>6350</xdr:rowOff>
    </xdr:from>
    <xdr:to>
      <xdr:col>13</xdr:col>
      <xdr:colOff>76200</xdr:colOff>
      <xdr:row>32</xdr:row>
      <xdr:rowOff>133350</xdr:rowOff>
    </xdr:to>
    <xdr:sp macro="" textlink="">
      <xdr:nvSpPr>
        <xdr:cNvPr id="60" name="TextBox 59">
          <a:extLst>
            <a:ext uri="{FF2B5EF4-FFF2-40B4-BE49-F238E27FC236}">
              <a16:creationId xmlns:a16="http://schemas.microsoft.com/office/drawing/2014/main" id="{FE0B0316-F9ED-4F34-BD7D-044D196E4B0E}"/>
            </a:ext>
          </a:extLst>
        </xdr:cNvPr>
        <xdr:cNvSpPr txBox="1"/>
      </xdr:nvSpPr>
      <xdr:spPr>
        <a:xfrm>
          <a:off x="6985000" y="6159500"/>
          <a:ext cx="1016000" cy="127000"/>
        </a:xfrm>
        <a:prstGeom prst="rect">
          <a:avLst/>
        </a:prstGeom>
        <a:solidFill>
          <a:schemeClr val="lt1"/>
        </a:solidFill>
        <a:ln w="9525" cmpd="sng">
          <a:noFill/>
        </a:ln>
        <a:effectLst/>
        <a:extLs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l"/>
          <a:r>
            <a:rPr lang="en-US" sz="800" b="0" i="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</a:rPr>
            <a:t>36</a:t>
          </a:r>
        </a:p>
      </xdr:txBody>
    </xdr:sp>
    <xdr:clientData/>
  </xdr:twoCellAnchor>
  <xdr:twoCellAnchor>
    <xdr:from>
      <xdr:col>12</xdr:col>
      <xdr:colOff>558800</xdr:colOff>
      <xdr:row>33</xdr:row>
      <xdr:rowOff>133350</xdr:rowOff>
    </xdr:from>
    <xdr:to>
      <xdr:col>13</xdr:col>
      <xdr:colOff>711200</xdr:colOff>
      <xdr:row>35</xdr:row>
      <xdr:rowOff>133350</xdr:rowOff>
    </xdr:to>
    <xdr:sp macro="" textlink="">
      <xdr:nvSpPr>
        <xdr:cNvPr id="61" name="Rectangle 60">
          <a:hlinkClick xmlns:r="http://schemas.openxmlformats.org/officeDocument/2006/relationships" r:id="" tooltip="Terminal"/>
          <a:extLst>
            <a:ext uri="{FF2B5EF4-FFF2-40B4-BE49-F238E27FC236}">
              <a16:creationId xmlns:a16="http://schemas.microsoft.com/office/drawing/2014/main" id="{0E6C8660-EEBA-44E2-8ED6-2010E113F401}"/>
            </a:ext>
          </a:extLst>
        </xdr:cNvPr>
        <xdr:cNvSpPr/>
      </xdr:nvSpPr>
      <xdr:spPr>
        <a:xfrm>
          <a:off x="7874000" y="6477000"/>
          <a:ext cx="762000" cy="381000"/>
        </a:xfrm>
        <a:prstGeom prst="rect">
          <a:avLst/>
        </a:prstGeom>
        <a:solidFill>
          <a:srgbClr val="148014"/>
        </a:solidFill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800" b="0" i="0"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</a:rPr>
            <a:t>0</a:t>
          </a:r>
        </a:p>
      </xdr:txBody>
    </xdr:sp>
    <xdr:clientData/>
  </xdr:twoCellAnchor>
  <xdr:twoCellAnchor>
    <xdr:from>
      <xdr:col>13</xdr:col>
      <xdr:colOff>330200</xdr:colOff>
      <xdr:row>32</xdr:row>
      <xdr:rowOff>6350</xdr:rowOff>
    </xdr:from>
    <xdr:to>
      <xdr:col>14</xdr:col>
      <xdr:colOff>603250</xdr:colOff>
      <xdr:row>32</xdr:row>
      <xdr:rowOff>133350</xdr:rowOff>
    </xdr:to>
    <xdr:sp macro="" textlink="">
      <xdr:nvSpPr>
        <xdr:cNvPr id="62" name="TextBox 61">
          <a:extLst>
            <a:ext uri="{FF2B5EF4-FFF2-40B4-BE49-F238E27FC236}">
              <a16:creationId xmlns:a16="http://schemas.microsoft.com/office/drawing/2014/main" id="{75A32718-8544-49E1-ACCE-7B4A1B45CD79}"/>
            </a:ext>
          </a:extLst>
        </xdr:cNvPr>
        <xdr:cNvSpPr txBox="1"/>
      </xdr:nvSpPr>
      <xdr:spPr>
        <a:xfrm>
          <a:off x="8255000" y="6159500"/>
          <a:ext cx="1016000" cy="127000"/>
        </a:xfrm>
        <a:prstGeom prst="rect">
          <a:avLst/>
        </a:prstGeom>
        <a:solidFill>
          <a:schemeClr val="lt1"/>
        </a:solidFill>
        <a:ln w="9525" cmpd="sng">
          <a:noFill/>
        </a:ln>
        <a:effectLst/>
        <a:extLs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l"/>
          <a:r>
            <a:rPr lang="en-US" sz="800" b="0" i="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</a:rPr>
            <a:t>29</a:t>
          </a:r>
        </a:p>
      </xdr:txBody>
    </xdr:sp>
    <xdr:clientData/>
  </xdr:twoCellAnchor>
  <xdr:twoCellAnchor>
    <xdr:from>
      <xdr:col>14</xdr:col>
      <xdr:colOff>95250</xdr:colOff>
      <xdr:row>33</xdr:row>
      <xdr:rowOff>133350</xdr:rowOff>
    </xdr:from>
    <xdr:to>
      <xdr:col>15</xdr:col>
      <xdr:colOff>247650</xdr:colOff>
      <xdr:row>35</xdr:row>
      <xdr:rowOff>133350</xdr:rowOff>
    </xdr:to>
    <xdr:sp macro="" textlink="">
      <xdr:nvSpPr>
        <xdr:cNvPr id="63" name="Oval 62">
          <a:hlinkClick xmlns:r="http://schemas.openxmlformats.org/officeDocument/2006/relationships" r:id="" tooltip="Go left if Totalcharges &lt; 14127.50"/>
          <a:extLst>
            <a:ext uri="{FF2B5EF4-FFF2-40B4-BE49-F238E27FC236}">
              <a16:creationId xmlns:a16="http://schemas.microsoft.com/office/drawing/2014/main" id="{A263CD5A-2C9D-4117-BE01-C7349E8AF140}"/>
            </a:ext>
          </a:extLst>
        </xdr:cNvPr>
        <xdr:cNvSpPr/>
      </xdr:nvSpPr>
      <xdr:spPr>
        <a:xfrm>
          <a:off x="8763000" y="6477000"/>
          <a:ext cx="762000" cy="381000"/>
        </a:xfrm>
        <a:prstGeom prst="ellipse">
          <a:avLst/>
        </a:prstGeom>
        <a:solidFill>
          <a:srgbClr val="4F81BD"/>
        </a:solidFill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800" b="0" i="0"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</a:rPr>
            <a:t>14127.50</a:t>
          </a:r>
        </a:p>
      </xdr:txBody>
    </xdr:sp>
    <xdr:clientData/>
  </xdr:twoCellAnchor>
  <xdr:twoCellAnchor>
    <xdr:from>
      <xdr:col>14</xdr:col>
      <xdr:colOff>95250</xdr:colOff>
      <xdr:row>33</xdr:row>
      <xdr:rowOff>6350</xdr:rowOff>
    </xdr:from>
    <xdr:to>
      <xdr:col>15</xdr:col>
      <xdr:colOff>247650</xdr:colOff>
      <xdr:row>33</xdr:row>
      <xdr:rowOff>133350</xdr:rowOff>
    </xdr:to>
    <xdr:sp macro="" textlink="">
      <xdr:nvSpPr>
        <xdr:cNvPr id="64" name="TextBox 63">
          <a:extLst>
            <a:ext uri="{FF2B5EF4-FFF2-40B4-BE49-F238E27FC236}">
              <a16:creationId xmlns:a16="http://schemas.microsoft.com/office/drawing/2014/main" id="{4DFF1715-A068-42E5-BEDD-955FC6D36683}"/>
            </a:ext>
          </a:extLst>
        </xdr:cNvPr>
        <xdr:cNvSpPr txBox="1"/>
      </xdr:nvSpPr>
      <xdr:spPr>
        <a:xfrm>
          <a:off x="8763000" y="6350000"/>
          <a:ext cx="762000" cy="127000"/>
        </a:xfrm>
        <a:prstGeom prst="rect">
          <a:avLst/>
        </a:prstGeom>
        <a:solidFill>
          <a:schemeClr val="lt1"/>
        </a:solidFill>
        <a:ln w="9525" cmpd="sng">
          <a:noFill/>
        </a:ln>
        <a:effectLst/>
        <a:extLs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lang="en-US" sz="800" b="0" i="0">
              <a:solidFill>
                <a:srgbClr xmlns:mc="http://schemas.openxmlformats.org/markup-compatibility/2006" xmlns:a14="http://schemas.microsoft.com/office/drawing/2010/main" val="FF0000" mc:Ignorable="a14" a14:legacySpreadsheetColorIndex="10"/>
              </a:solidFill>
            </a:rPr>
            <a:t>Totalcharges</a:t>
          </a:r>
        </a:p>
      </xdr:txBody>
    </xdr:sp>
    <xdr:clientData/>
  </xdr:twoCellAnchor>
  <xdr:twoCellAnchor>
    <xdr:from>
      <xdr:col>14</xdr:col>
      <xdr:colOff>95250</xdr:colOff>
      <xdr:row>32</xdr:row>
      <xdr:rowOff>6350</xdr:rowOff>
    </xdr:from>
    <xdr:to>
      <xdr:col>15</xdr:col>
      <xdr:colOff>501650</xdr:colOff>
      <xdr:row>32</xdr:row>
      <xdr:rowOff>133350</xdr:rowOff>
    </xdr:to>
    <xdr:sp macro="" textlink="">
      <xdr:nvSpPr>
        <xdr:cNvPr id="65" name="TextBox 64">
          <a:extLst>
            <a:ext uri="{FF2B5EF4-FFF2-40B4-BE49-F238E27FC236}">
              <a16:creationId xmlns:a16="http://schemas.microsoft.com/office/drawing/2014/main" id="{C98749D8-C350-48BD-A834-9C626DF67029}"/>
            </a:ext>
          </a:extLst>
        </xdr:cNvPr>
        <xdr:cNvSpPr txBox="1"/>
      </xdr:nvSpPr>
      <xdr:spPr>
        <a:xfrm>
          <a:off x="8763000" y="6159500"/>
          <a:ext cx="1016000" cy="127000"/>
        </a:xfrm>
        <a:prstGeom prst="rect">
          <a:avLst/>
        </a:prstGeom>
        <a:solidFill>
          <a:schemeClr val="lt1"/>
        </a:solidFill>
        <a:ln w="9525" cmpd="sng">
          <a:noFill/>
        </a:ln>
        <a:effectLst/>
        <a:extLs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l"/>
          <a:r>
            <a:rPr lang="en-US" sz="800" b="0" i="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</a:rPr>
            <a:t>49</a:t>
          </a:r>
        </a:p>
      </xdr:txBody>
    </xdr:sp>
    <xdr:clientData/>
  </xdr:twoCellAnchor>
  <xdr:twoCellAnchor>
    <xdr:from>
      <xdr:col>1</xdr:col>
      <xdr:colOff>152400</xdr:colOff>
      <xdr:row>37</xdr:row>
      <xdr:rowOff>133350</xdr:rowOff>
    </xdr:from>
    <xdr:to>
      <xdr:col>2</xdr:col>
      <xdr:colOff>304800</xdr:colOff>
      <xdr:row>39</xdr:row>
      <xdr:rowOff>133350</xdr:rowOff>
    </xdr:to>
    <xdr:sp macro="" textlink="">
      <xdr:nvSpPr>
        <xdr:cNvPr id="66" name="Rectangle 65">
          <a:hlinkClick xmlns:r="http://schemas.openxmlformats.org/officeDocument/2006/relationships" r:id="" tooltip="Terminal"/>
          <a:extLst>
            <a:ext uri="{FF2B5EF4-FFF2-40B4-BE49-F238E27FC236}">
              <a16:creationId xmlns:a16="http://schemas.microsoft.com/office/drawing/2014/main" id="{5679E1DA-3C22-4796-80C3-230CB4B2B4A6}"/>
            </a:ext>
          </a:extLst>
        </xdr:cNvPr>
        <xdr:cNvSpPr/>
      </xdr:nvSpPr>
      <xdr:spPr>
        <a:xfrm>
          <a:off x="762000" y="7239000"/>
          <a:ext cx="762000" cy="381000"/>
        </a:xfrm>
        <a:prstGeom prst="rect">
          <a:avLst/>
        </a:prstGeom>
        <a:solidFill>
          <a:srgbClr val="148014"/>
        </a:solidFill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800" b="0" i="0"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</a:rPr>
            <a:t>0</a:t>
          </a:r>
        </a:p>
      </xdr:txBody>
    </xdr:sp>
    <xdr:clientData/>
  </xdr:twoCellAnchor>
  <xdr:twoCellAnchor>
    <xdr:from>
      <xdr:col>1</xdr:col>
      <xdr:colOff>533400</xdr:colOff>
      <xdr:row>36</xdr:row>
      <xdr:rowOff>6350</xdr:rowOff>
    </xdr:from>
    <xdr:to>
      <xdr:col>3</xdr:col>
      <xdr:colOff>330200</xdr:colOff>
      <xdr:row>36</xdr:row>
      <xdr:rowOff>133350</xdr:rowOff>
    </xdr:to>
    <xdr:sp macro="" textlink="">
      <xdr:nvSpPr>
        <xdr:cNvPr id="67" name="TextBox 66">
          <a:extLst>
            <a:ext uri="{FF2B5EF4-FFF2-40B4-BE49-F238E27FC236}">
              <a16:creationId xmlns:a16="http://schemas.microsoft.com/office/drawing/2014/main" id="{9377472E-2F77-44A4-8EA2-9741810966FF}"/>
            </a:ext>
          </a:extLst>
        </xdr:cNvPr>
        <xdr:cNvSpPr txBox="1"/>
      </xdr:nvSpPr>
      <xdr:spPr>
        <a:xfrm>
          <a:off x="1143000" y="6921500"/>
          <a:ext cx="1016000" cy="127000"/>
        </a:xfrm>
        <a:prstGeom prst="rect">
          <a:avLst/>
        </a:prstGeom>
        <a:solidFill>
          <a:schemeClr val="lt1"/>
        </a:solidFill>
        <a:ln w="9525" cmpd="sng">
          <a:noFill/>
        </a:ln>
        <a:effectLst/>
        <a:extLs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l"/>
          <a:r>
            <a:rPr lang="en-US" sz="800" b="0" i="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</a:rPr>
            <a:t>296</a:t>
          </a:r>
        </a:p>
      </xdr:txBody>
    </xdr:sp>
    <xdr:clientData/>
  </xdr:twoCellAnchor>
  <xdr:twoCellAnchor>
    <xdr:from>
      <xdr:col>2</xdr:col>
      <xdr:colOff>431800</xdr:colOff>
      <xdr:row>37</xdr:row>
      <xdr:rowOff>133350</xdr:rowOff>
    </xdr:from>
    <xdr:to>
      <xdr:col>3</xdr:col>
      <xdr:colOff>584200</xdr:colOff>
      <xdr:row>39</xdr:row>
      <xdr:rowOff>133350</xdr:rowOff>
    </xdr:to>
    <xdr:sp macro="" textlink="">
      <xdr:nvSpPr>
        <xdr:cNvPr id="68" name="Rectangle 67">
          <a:hlinkClick xmlns:r="http://schemas.openxmlformats.org/officeDocument/2006/relationships" r:id="" tooltip="Terminal"/>
          <a:extLst>
            <a:ext uri="{FF2B5EF4-FFF2-40B4-BE49-F238E27FC236}">
              <a16:creationId xmlns:a16="http://schemas.microsoft.com/office/drawing/2014/main" id="{CAED604F-1D29-4550-8AE0-745BC98C8B65}"/>
            </a:ext>
          </a:extLst>
        </xdr:cNvPr>
        <xdr:cNvSpPr/>
      </xdr:nvSpPr>
      <xdr:spPr>
        <a:xfrm>
          <a:off x="1651000" y="7239000"/>
          <a:ext cx="762000" cy="381000"/>
        </a:xfrm>
        <a:prstGeom prst="rect">
          <a:avLst/>
        </a:prstGeom>
        <a:solidFill>
          <a:srgbClr val="148014"/>
        </a:solidFill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800" b="0" i="0"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</a:rPr>
            <a:t>1</a:t>
          </a:r>
        </a:p>
      </xdr:txBody>
    </xdr:sp>
    <xdr:clientData/>
  </xdr:twoCellAnchor>
  <xdr:twoCellAnchor>
    <xdr:from>
      <xdr:col>2</xdr:col>
      <xdr:colOff>431800</xdr:colOff>
      <xdr:row>36</xdr:row>
      <xdr:rowOff>6350</xdr:rowOff>
    </xdr:from>
    <xdr:to>
      <xdr:col>4</xdr:col>
      <xdr:colOff>228600</xdr:colOff>
      <xdr:row>36</xdr:row>
      <xdr:rowOff>133350</xdr:rowOff>
    </xdr:to>
    <xdr:sp macro="" textlink="">
      <xdr:nvSpPr>
        <xdr:cNvPr id="69" name="TextBox 68">
          <a:extLst>
            <a:ext uri="{FF2B5EF4-FFF2-40B4-BE49-F238E27FC236}">
              <a16:creationId xmlns:a16="http://schemas.microsoft.com/office/drawing/2014/main" id="{ACF5808F-7D70-47B2-90A6-2E9B2BC908F5}"/>
            </a:ext>
          </a:extLst>
        </xdr:cNvPr>
        <xdr:cNvSpPr txBox="1"/>
      </xdr:nvSpPr>
      <xdr:spPr>
        <a:xfrm>
          <a:off x="1651000" y="6921500"/>
          <a:ext cx="1016000" cy="127000"/>
        </a:xfrm>
        <a:prstGeom prst="rect">
          <a:avLst/>
        </a:prstGeom>
        <a:solidFill>
          <a:schemeClr val="lt1"/>
        </a:solidFill>
        <a:ln w="9525" cmpd="sng">
          <a:noFill/>
        </a:ln>
        <a:effectLst/>
        <a:extLs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l"/>
          <a:r>
            <a:rPr lang="en-US" sz="800" b="0" i="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</a:rPr>
            <a:t>7</a:t>
          </a:r>
        </a:p>
      </xdr:txBody>
    </xdr:sp>
    <xdr:clientData/>
  </xdr:twoCellAnchor>
  <xdr:twoCellAnchor>
    <xdr:from>
      <xdr:col>4</xdr:col>
      <xdr:colOff>101600</xdr:colOff>
      <xdr:row>37</xdr:row>
      <xdr:rowOff>133350</xdr:rowOff>
    </xdr:from>
    <xdr:to>
      <xdr:col>5</xdr:col>
      <xdr:colOff>254000</xdr:colOff>
      <xdr:row>39</xdr:row>
      <xdr:rowOff>133350</xdr:rowOff>
    </xdr:to>
    <xdr:sp macro="" textlink="">
      <xdr:nvSpPr>
        <xdr:cNvPr id="70" name="Rectangle 69">
          <a:hlinkClick xmlns:r="http://schemas.openxmlformats.org/officeDocument/2006/relationships" r:id="" tooltip="Terminal"/>
          <a:extLst>
            <a:ext uri="{FF2B5EF4-FFF2-40B4-BE49-F238E27FC236}">
              <a16:creationId xmlns:a16="http://schemas.microsoft.com/office/drawing/2014/main" id="{18A04B84-F6F2-459C-92AA-AA41D7D11165}"/>
            </a:ext>
          </a:extLst>
        </xdr:cNvPr>
        <xdr:cNvSpPr/>
      </xdr:nvSpPr>
      <xdr:spPr>
        <a:xfrm>
          <a:off x="2540000" y="7239000"/>
          <a:ext cx="762000" cy="381000"/>
        </a:xfrm>
        <a:prstGeom prst="rect">
          <a:avLst/>
        </a:prstGeom>
        <a:solidFill>
          <a:srgbClr val="148014"/>
        </a:solidFill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800" b="0" i="0"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</a:rPr>
            <a:t>1</a:t>
          </a:r>
        </a:p>
      </xdr:txBody>
    </xdr:sp>
    <xdr:clientData/>
  </xdr:twoCellAnchor>
  <xdr:twoCellAnchor>
    <xdr:from>
      <xdr:col>4</xdr:col>
      <xdr:colOff>482600</xdr:colOff>
      <xdr:row>36</xdr:row>
      <xdr:rowOff>6350</xdr:rowOff>
    </xdr:from>
    <xdr:to>
      <xdr:col>6</xdr:col>
      <xdr:colOff>279400</xdr:colOff>
      <xdr:row>36</xdr:row>
      <xdr:rowOff>133350</xdr:rowOff>
    </xdr:to>
    <xdr:sp macro="" textlink="">
      <xdr:nvSpPr>
        <xdr:cNvPr id="71" name="TextBox 70">
          <a:extLst>
            <a:ext uri="{FF2B5EF4-FFF2-40B4-BE49-F238E27FC236}">
              <a16:creationId xmlns:a16="http://schemas.microsoft.com/office/drawing/2014/main" id="{9BEEF416-418A-4865-9AA2-DEC43AAD1363}"/>
            </a:ext>
          </a:extLst>
        </xdr:cNvPr>
        <xdr:cNvSpPr txBox="1"/>
      </xdr:nvSpPr>
      <xdr:spPr>
        <a:xfrm>
          <a:off x="2921000" y="6921500"/>
          <a:ext cx="1016000" cy="127000"/>
        </a:xfrm>
        <a:prstGeom prst="rect">
          <a:avLst/>
        </a:prstGeom>
        <a:solidFill>
          <a:schemeClr val="lt1"/>
        </a:solidFill>
        <a:ln w="9525" cmpd="sng">
          <a:noFill/>
        </a:ln>
        <a:effectLst/>
        <a:extLs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l"/>
          <a:r>
            <a:rPr lang="en-US" sz="800" b="0" i="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</a:rPr>
            <a:t>21</a:t>
          </a:r>
        </a:p>
      </xdr:txBody>
    </xdr:sp>
    <xdr:clientData/>
  </xdr:twoCellAnchor>
  <xdr:twoCellAnchor>
    <xdr:from>
      <xdr:col>5</xdr:col>
      <xdr:colOff>381000</xdr:colOff>
      <xdr:row>37</xdr:row>
      <xdr:rowOff>133350</xdr:rowOff>
    </xdr:from>
    <xdr:to>
      <xdr:col>6</xdr:col>
      <xdr:colOff>533400</xdr:colOff>
      <xdr:row>39</xdr:row>
      <xdr:rowOff>133350</xdr:rowOff>
    </xdr:to>
    <xdr:sp macro="" textlink="">
      <xdr:nvSpPr>
        <xdr:cNvPr id="72" name="Rectangle 71">
          <a:hlinkClick xmlns:r="http://schemas.openxmlformats.org/officeDocument/2006/relationships" r:id="" tooltip="Subtree"/>
          <a:extLst>
            <a:ext uri="{FF2B5EF4-FFF2-40B4-BE49-F238E27FC236}">
              <a16:creationId xmlns:a16="http://schemas.microsoft.com/office/drawing/2014/main" id="{B5C5C0C3-FDEF-4375-B667-13BD0E4AF7A6}"/>
            </a:ext>
          </a:extLst>
        </xdr:cNvPr>
        <xdr:cNvSpPr/>
      </xdr:nvSpPr>
      <xdr:spPr>
        <a:xfrm>
          <a:off x="3429000" y="7239000"/>
          <a:ext cx="762000" cy="381000"/>
        </a:xfrm>
        <a:prstGeom prst="rect">
          <a:avLst/>
        </a:prstGeom>
        <a:solidFill>
          <a:srgbClr val="801414"/>
        </a:solidFill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800" b="0" i="0"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</a:rPr>
            <a:t>0</a:t>
          </a:r>
        </a:p>
      </xdr:txBody>
    </xdr:sp>
    <xdr:clientData/>
  </xdr:twoCellAnchor>
  <xdr:twoCellAnchor>
    <xdr:from>
      <xdr:col>5</xdr:col>
      <xdr:colOff>381000</xdr:colOff>
      <xdr:row>36</xdr:row>
      <xdr:rowOff>6350</xdr:rowOff>
    </xdr:from>
    <xdr:to>
      <xdr:col>7</xdr:col>
      <xdr:colOff>177800</xdr:colOff>
      <xdr:row>36</xdr:row>
      <xdr:rowOff>133350</xdr:rowOff>
    </xdr:to>
    <xdr:sp macro="" textlink="">
      <xdr:nvSpPr>
        <xdr:cNvPr id="73" name="TextBox 72">
          <a:extLst>
            <a:ext uri="{FF2B5EF4-FFF2-40B4-BE49-F238E27FC236}">
              <a16:creationId xmlns:a16="http://schemas.microsoft.com/office/drawing/2014/main" id="{EBB3E1C9-597A-4FC0-9A0A-7B028BE13D7A}"/>
            </a:ext>
          </a:extLst>
        </xdr:cNvPr>
        <xdr:cNvSpPr txBox="1"/>
      </xdr:nvSpPr>
      <xdr:spPr>
        <a:xfrm>
          <a:off x="3429000" y="6921500"/>
          <a:ext cx="1016000" cy="127000"/>
        </a:xfrm>
        <a:prstGeom prst="rect">
          <a:avLst/>
        </a:prstGeom>
        <a:solidFill>
          <a:schemeClr val="lt1"/>
        </a:solidFill>
        <a:ln w="9525" cmpd="sng">
          <a:noFill/>
        </a:ln>
        <a:effectLst/>
        <a:extLs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l"/>
          <a:r>
            <a:rPr lang="en-US" sz="800" b="0" i="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</a:rPr>
            <a:t>248</a:t>
          </a:r>
        </a:p>
      </xdr:txBody>
    </xdr:sp>
    <xdr:clientData/>
  </xdr:twoCellAnchor>
  <xdr:twoCellAnchor>
    <xdr:from>
      <xdr:col>13</xdr:col>
      <xdr:colOff>393700</xdr:colOff>
      <xdr:row>37</xdr:row>
      <xdr:rowOff>133350</xdr:rowOff>
    </xdr:from>
    <xdr:to>
      <xdr:col>14</xdr:col>
      <xdr:colOff>412750</xdr:colOff>
      <xdr:row>39</xdr:row>
      <xdr:rowOff>133350</xdr:rowOff>
    </xdr:to>
    <xdr:sp macro="" textlink="">
      <xdr:nvSpPr>
        <xdr:cNvPr id="74" name="Rectangle 73">
          <a:hlinkClick xmlns:r="http://schemas.openxmlformats.org/officeDocument/2006/relationships" r:id="" tooltip="Terminal"/>
          <a:extLst>
            <a:ext uri="{FF2B5EF4-FFF2-40B4-BE49-F238E27FC236}">
              <a16:creationId xmlns:a16="http://schemas.microsoft.com/office/drawing/2014/main" id="{3871C68A-968A-4389-8EF7-20DD18D6F100}"/>
            </a:ext>
          </a:extLst>
        </xdr:cNvPr>
        <xdr:cNvSpPr/>
      </xdr:nvSpPr>
      <xdr:spPr>
        <a:xfrm>
          <a:off x="8318500" y="7239000"/>
          <a:ext cx="762000" cy="381000"/>
        </a:xfrm>
        <a:prstGeom prst="rect">
          <a:avLst/>
        </a:prstGeom>
        <a:solidFill>
          <a:srgbClr val="148014"/>
        </a:solidFill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800" b="0" i="0"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</a:rPr>
            <a:t>1</a:t>
          </a:r>
        </a:p>
      </xdr:txBody>
    </xdr:sp>
    <xdr:clientData/>
  </xdr:twoCellAnchor>
  <xdr:twoCellAnchor>
    <xdr:from>
      <xdr:col>14</xdr:col>
      <xdr:colOff>31750</xdr:colOff>
      <xdr:row>36</xdr:row>
      <xdr:rowOff>6350</xdr:rowOff>
    </xdr:from>
    <xdr:to>
      <xdr:col>15</xdr:col>
      <xdr:colOff>438150</xdr:colOff>
      <xdr:row>36</xdr:row>
      <xdr:rowOff>133350</xdr:rowOff>
    </xdr:to>
    <xdr:sp macro="" textlink="">
      <xdr:nvSpPr>
        <xdr:cNvPr id="75" name="TextBox 74">
          <a:extLst>
            <a:ext uri="{FF2B5EF4-FFF2-40B4-BE49-F238E27FC236}">
              <a16:creationId xmlns:a16="http://schemas.microsoft.com/office/drawing/2014/main" id="{05F702FA-F2C7-4BA6-875D-AD65A575CBE9}"/>
            </a:ext>
          </a:extLst>
        </xdr:cNvPr>
        <xdr:cNvSpPr txBox="1"/>
      </xdr:nvSpPr>
      <xdr:spPr>
        <a:xfrm>
          <a:off x="8699500" y="6921500"/>
          <a:ext cx="1016000" cy="127000"/>
        </a:xfrm>
        <a:prstGeom prst="rect">
          <a:avLst/>
        </a:prstGeom>
        <a:solidFill>
          <a:schemeClr val="lt1"/>
        </a:solidFill>
        <a:ln w="9525" cmpd="sng">
          <a:noFill/>
        </a:ln>
        <a:effectLst/>
        <a:extLs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l"/>
          <a:r>
            <a:rPr lang="en-US" sz="800" b="0" i="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</a:rPr>
            <a:t>7</a:t>
          </a:r>
        </a:p>
      </xdr:txBody>
    </xdr:sp>
    <xdr:clientData/>
  </xdr:twoCellAnchor>
  <xdr:twoCellAnchor>
    <xdr:from>
      <xdr:col>14</xdr:col>
      <xdr:colOff>539750</xdr:colOff>
      <xdr:row>37</xdr:row>
      <xdr:rowOff>133350</xdr:rowOff>
    </xdr:from>
    <xdr:to>
      <xdr:col>16</xdr:col>
      <xdr:colOff>82550</xdr:colOff>
      <xdr:row>39</xdr:row>
      <xdr:rowOff>133350</xdr:rowOff>
    </xdr:to>
    <xdr:sp macro="" textlink="">
      <xdr:nvSpPr>
        <xdr:cNvPr id="76" name="Rectangle 75">
          <a:hlinkClick xmlns:r="http://schemas.openxmlformats.org/officeDocument/2006/relationships" r:id="" tooltip="Subtree"/>
          <a:extLst>
            <a:ext uri="{FF2B5EF4-FFF2-40B4-BE49-F238E27FC236}">
              <a16:creationId xmlns:a16="http://schemas.microsoft.com/office/drawing/2014/main" id="{0054CAB7-266B-463A-B14D-E15FEFF1E203}"/>
            </a:ext>
          </a:extLst>
        </xdr:cNvPr>
        <xdr:cNvSpPr/>
      </xdr:nvSpPr>
      <xdr:spPr>
        <a:xfrm>
          <a:off x="9207500" y="7239000"/>
          <a:ext cx="762000" cy="381000"/>
        </a:xfrm>
        <a:prstGeom prst="rect">
          <a:avLst/>
        </a:prstGeom>
        <a:solidFill>
          <a:srgbClr val="801414"/>
        </a:solidFill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800" b="0" i="0"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</a:rPr>
            <a:t>1</a:t>
          </a:r>
        </a:p>
      </xdr:txBody>
    </xdr:sp>
    <xdr:clientData/>
  </xdr:twoCellAnchor>
  <xdr:twoCellAnchor>
    <xdr:from>
      <xdr:col>14</xdr:col>
      <xdr:colOff>539750</xdr:colOff>
      <xdr:row>36</xdr:row>
      <xdr:rowOff>6350</xdr:rowOff>
    </xdr:from>
    <xdr:to>
      <xdr:col>16</xdr:col>
      <xdr:colOff>336550</xdr:colOff>
      <xdr:row>36</xdr:row>
      <xdr:rowOff>133350</xdr:rowOff>
    </xdr:to>
    <xdr:sp macro="" textlink="">
      <xdr:nvSpPr>
        <xdr:cNvPr id="77" name="TextBox 76">
          <a:extLst>
            <a:ext uri="{FF2B5EF4-FFF2-40B4-BE49-F238E27FC236}">
              <a16:creationId xmlns:a16="http://schemas.microsoft.com/office/drawing/2014/main" id="{474F2A57-A46F-489D-8979-8DD1DE8F078A}"/>
            </a:ext>
          </a:extLst>
        </xdr:cNvPr>
        <xdr:cNvSpPr txBox="1"/>
      </xdr:nvSpPr>
      <xdr:spPr>
        <a:xfrm>
          <a:off x="9207500" y="6921500"/>
          <a:ext cx="1016000" cy="127000"/>
        </a:xfrm>
        <a:prstGeom prst="rect">
          <a:avLst/>
        </a:prstGeom>
        <a:solidFill>
          <a:schemeClr val="lt1"/>
        </a:solidFill>
        <a:ln w="9525" cmpd="sng">
          <a:noFill/>
        </a:ln>
        <a:effectLst/>
        <a:extLs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l"/>
          <a:r>
            <a:rPr lang="en-US" sz="800" b="0" i="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</a:rPr>
            <a:t>42</a:t>
          </a:r>
        </a:p>
      </xdr:txBody>
    </xdr:sp>
    <xdr:clientData/>
  </xdr:twoCellAnchor>
  <xdr:twoCellAnchor>
    <xdr:from>
      <xdr:col>7</xdr:col>
      <xdr:colOff>598488</xdr:colOff>
      <xdr:row>12</xdr:row>
      <xdr:rowOff>133350</xdr:rowOff>
    </xdr:from>
    <xdr:to>
      <xdr:col>7</xdr:col>
      <xdr:colOff>598488</xdr:colOff>
      <xdr:row>13</xdr:row>
      <xdr:rowOff>6350</xdr:rowOff>
    </xdr:to>
    <xdr:cxnSp macro="">
      <xdr:nvCxnSpPr>
        <xdr:cNvPr id="78" name="Straight Arrow Connector 77">
          <a:extLst>
            <a:ext uri="{FF2B5EF4-FFF2-40B4-BE49-F238E27FC236}">
              <a16:creationId xmlns:a16="http://schemas.microsoft.com/office/drawing/2014/main" id="{70B066A6-BFDB-452D-8C3C-E379E71CAFD5}"/>
            </a:ext>
          </a:extLst>
        </xdr:cNvPr>
        <xdr:cNvCxnSpPr/>
      </xdr:nvCxnSpPr>
      <xdr:spPr>
        <a:xfrm flipV="1">
          <a:off x="4865688" y="2476500"/>
          <a:ext cx="0" cy="63500"/>
        </a:xfrm>
        <a:prstGeom prst="straightConnector1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598488</xdr:colOff>
      <xdr:row>12</xdr:row>
      <xdr:rowOff>133350</xdr:rowOff>
    </xdr:from>
    <xdr:to>
      <xdr:col>8</xdr:col>
      <xdr:colOff>433388</xdr:colOff>
      <xdr:row>12</xdr:row>
      <xdr:rowOff>133350</xdr:rowOff>
    </xdr:to>
    <xdr:cxnSp macro="">
      <xdr:nvCxnSpPr>
        <xdr:cNvPr id="79" name="Straight Arrow Connector 78">
          <a:extLst>
            <a:ext uri="{FF2B5EF4-FFF2-40B4-BE49-F238E27FC236}">
              <a16:creationId xmlns:a16="http://schemas.microsoft.com/office/drawing/2014/main" id="{60B1194F-DAF8-4181-8558-8CAF9A66D730}"/>
            </a:ext>
          </a:extLst>
        </xdr:cNvPr>
        <xdr:cNvCxnSpPr/>
      </xdr:nvCxnSpPr>
      <xdr:spPr>
        <a:xfrm>
          <a:off x="4865688" y="2476500"/>
          <a:ext cx="444500" cy="0"/>
        </a:xfrm>
        <a:prstGeom prst="straightConnector1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433388</xdr:colOff>
      <xdr:row>11</xdr:row>
      <xdr:rowOff>133350</xdr:rowOff>
    </xdr:from>
    <xdr:to>
      <xdr:col>8</xdr:col>
      <xdr:colOff>433388</xdr:colOff>
      <xdr:row>12</xdr:row>
      <xdr:rowOff>133350</xdr:rowOff>
    </xdr:to>
    <xdr:cxnSp macro="">
      <xdr:nvCxnSpPr>
        <xdr:cNvPr id="80" name="Straight Arrow Connector 79">
          <a:extLst>
            <a:ext uri="{FF2B5EF4-FFF2-40B4-BE49-F238E27FC236}">
              <a16:creationId xmlns:a16="http://schemas.microsoft.com/office/drawing/2014/main" id="{05B5023F-1574-478A-BE81-B35D77C58509}"/>
            </a:ext>
          </a:extLst>
        </xdr:cNvPr>
        <xdr:cNvCxnSpPr/>
      </xdr:nvCxnSpPr>
      <xdr:spPr>
        <a:xfrm flipV="1">
          <a:off x="5310188" y="2286000"/>
          <a:ext cx="0" cy="190500"/>
        </a:xfrm>
        <a:prstGeom prst="straightConnector1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268288</xdr:colOff>
      <xdr:row>12</xdr:row>
      <xdr:rowOff>133350</xdr:rowOff>
    </xdr:from>
    <xdr:to>
      <xdr:col>9</xdr:col>
      <xdr:colOff>268288</xdr:colOff>
      <xdr:row>13</xdr:row>
      <xdr:rowOff>133350</xdr:rowOff>
    </xdr:to>
    <xdr:cxnSp macro="">
      <xdr:nvCxnSpPr>
        <xdr:cNvPr id="81" name="Straight Arrow Connector 80">
          <a:extLst>
            <a:ext uri="{FF2B5EF4-FFF2-40B4-BE49-F238E27FC236}">
              <a16:creationId xmlns:a16="http://schemas.microsoft.com/office/drawing/2014/main" id="{76191916-0A41-4776-978F-8F645AE97CFB}"/>
            </a:ext>
          </a:extLst>
        </xdr:cNvPr>
        <xdr:cNvCxnSpPr/>
      </xdr:nvCxnSpPr>
      <xdr:spPr>
        <a:xfrm flipV="1">
          <a:off x="5754688" y="2476500"/>
          <a:ext cx="0" cy="190500"/>
        </a:xfrm>
        <a:prstGeom prst="straightConnector1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433388</xdr:colOff>
      <xdr:row>12</xdr:row>
      <xdr:rowOff>133350</xdr:rowOff>
    </xdr:from>
    <xdr:to>
      <xdr:col>9</xdr:col>
      <xdr:colOff>268288</xdr:colOff>
      <xdr:row>12</xdr:row>
      <xdr:rowOff>133350</xdr:rowOff>
    </xdr:to>
    <xdr:cxnSp macro="">
      <xdr:nvCxnSpPr>
        <xdr:cNvPr id="82" name="Straight Arrow Connector 81">
          <a:extLst>
            <a:ext uri="{FF2B5EF4-FFF2-40B4-BE49-F238E27FC236}">
              <a16:creationId xmlns:a16="http://schemas.microsoft.com/office/drawing/2014/main" id="{910B9F5B-A908-49F2-91CA-5ECF2CE88333}"/>
            </a:ext>
          </a:extLst>
        </xdr:cNvPr>
        <xdr:cNvCxnSpPr/>
      </xdr:nvCxnSpPr>
      <xdr:spPr>
        <a:xfrm flipH="1">
          <a:off x="5310188" y="2476500"/>
          <a:ext cx="444500" cy="0"/>
        </a:xfrm>
        <a:prstGeom prst="straightConnector1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433388</xdr:colOff>
      <xdr:row>11</xdr:row>
      <xdr:rowOff>133350</xdr:rowOff>
    </xdr:from>
    <xdr:to>
      <xdr:col>8</xdr:col>
      <xdr:colOff>433388</xdr:colOff>
      <xdr:row>12</xdr:row>
      <xdr:rowOff>133350</xdr:rowOff>
    </xdr:to>
    <xdr:cxnSp macro="">
      <xdr:nvCxnSpPr>
        <xdr:cNvPr id="83" name="Straight Arrow Connector 82">
          <a:extLst>
            <a:ext uri="{FF2B5EF4-FFF2-40B4-BE49-F238E27FC236}">
              <a16:creationId xmlns:a16="http://schemas.microsoft.com/office/drawing/2014/main" id="{4D7CFFAC-5E5C-4044-BC58-3A5EEA8B356A}"/>
            </a:ext>
          </a:extLst>
        </xdr:cNvPr>
        <xdr:cNvCxnSpPr/>
      </xdr:nvCxnSpPr>
      <xdr:spPr>
        <a:xfrm flipV="1">
          <a:off x="5310188" y="2286000"/>
          <a:ext cx="0" cy="190500"/>
        </a:xfrm>
        <a:prstGeom prst="straightConnector1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152400</xdr:colOff>
      <xdr:row>16</xdr:row>
      <xdr:rowOff>133350</xdr:rowOff>
    </xdr:from>
    <xdr:to>
      <xdr:col>6</xdr:col>
      <xdr:colOff>152400</xdr:colOff>
      <xdr:row>17</xdr:row>
      <xdr:rowOff>6350</xdr:rowOff>
    </xdr:to>
    <xdr:cxnSp macro="">
      <xdr:nvCxnSpPr>
        <xdr:cNvPr id="84" name="Straight Arrow Connector 83">
          <a:extLst>
            <a:ext uri="{FF2B5EF4-FFF2-40B4-BE49-F238E27FC236}">
              <a16:creationId xmlns:a16="http://schemas.microsoft.com/office/drawing/2014/main" id="{55BDAFF5-8071-4604-A061-2193DFB093EE}"/>
            </a:ext>
          </a:extLst>
        </xdr:cNvPr>
        <xdr:cNvCxnSpPr/>
      </xdr:nvCxnSpPr>
      <xdr:spPr>
        <a:xfrm flipV="1">
          <a:off x="3810000" y="3238500"/>
          <a:ext cx="0" cy="63500"/>
        </a:xfrm>
        <a:prstGeom prst="straightConnector1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152400</xdr:colOff>
      <xdr:row>16</xdr:row>
      <xdr:rowOff>133350</xdr:rowOff>
    </xdr:from>
    <xdr:to>
      <xdr:col>7</xdr:col>
      <xdr:colOff>598488</xdr:colOff>
      <xdr:row>16</xdr:row>
      <xdr:rowOff>133350</xdr:rowOff>
    </xdr:to>
    <xdr:cxnSp macro="">
      <xdr:nvCxnSpPr>
        <xdr:cNvPr id="85" name="Straight Arrow Connector 84">
          <a:extLst>
            <a:ext uri="{FF2B5EF4-FFF2-40B4-BE49-F238E27FC236}">
              <a16:creationId xmlns:a16="http://schemas.microsoft.com/office/drawing/2014/main" id="{4B4D701C-2F30-4487-ADCC-EB6BE7D62E0E}"/>
            </a:ext>
          </a:extLst>
        </xdr:cNvPr>
        <xdr:cNvCxnSpPr/>
      </xdr:nvCxnSpPr>
      <xdr:spPr>
        <a:xfrm>
          <a:off x="3810000" y="3238500"/>
          <a:ext cx="1055688" cy="0"/>
        </a:xfrm>
        <a:prstGeom prst="straightConnector1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598488</xdr:colOff>
      <xdr:row>15</xdr:row>
      <xdr:rowOff>133350</xdr:rowOff>
    </xdr:from>
    <xdr:to>
      <xdr:col>7</xdr:col>
      <xdr:colOff>598488</xdr:colOff>
      <xdr:row>16</xdr:row>
      <xdr:rowOff>133350</xdr:rowOff>
    </xdr:to>
    <xdr:cxnSp macro="">
      <xdr:nvCxnSpPr>
        <xdr:cNvPr id="86" name="Straight Arrow Connector 85">
          <a:extLst>
            <a:ext uri="{FF2B5EF4-FFF2-40B4-BE49-F238E27FC236}">
              <a16:creationId xmlns:a16="http://schemas.microsoft.com/office/drawing/2014/main" id="{326E138C-00D7-413A-98B2-D18541C00FD4}"/>
            </a:ext>
          </a:extLst>
        </xdr:cNvPr>
        <xdr:cNvCxnSpPr/>
      </xdr:nvCxnSpPr>
      <xdr:spPr>
        <a:xfrm flipV="1">
          <a:off x="4865688" y="3048000"/>
          <a:ext cx="0" cy="190500"/>
        </a:xfrm>
        <a:prstGeom prst="straightConnector1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434975</xdr:colOff>
      <xdr:row>16</xdr:row>
      <xdr:rowOff>133350</xdr:rowOff>
    </xdr:from>
    <xdr:to>
      <xdr:col>9</xdr:col>
      <xdr:colOff>434975</xdr:colOff>
      <xdr:row>17</xdr:row>
      <xdr:rowOff>6350</xdr:rowOff>
    </xdr:to>
    <xdr:cxnSp macro="">
      <xdr:nvCxnSpPr>
        <xdr:cNvPr id="87" name="Straight Arrow Connector 86">
          <a:extLst>
            <a:ext uri="{FF2B5EF4-FFF2-40B4-BE49-F238E27FC236}">
              <a16:creationId xmlns:a16="http://schemas.microsoft.com/office/drawing/2014/main" id="{EEB71E8C-0C10-4999-8052-045D5CBBEC64}"/>
            </a:ext>
          </a:extLst>
        </xdr:cNvPr>
        <xdr:cNvCxnSpPr/>
      </xdr:nvCxnSpPr>
      <xdr:spPr>
        <a:xfrm flipV="1">
          <a:off x="5921375" y="3238500"/>
          <a:ext cx="0" cy="63500"/>
        </a:xfrm>
        <a:prstGeom prst="straightConnector1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598488</xdr:colOff>
      <xdr:row>16</xdr:row>
      <xdr:rowOff>133350</xdr:rowOff>
    </xdr:from>
    <xdr:to>
      <xdr:col>9</xdr:col>
      <xdr:colOff>434975</xdr:colOff>
      <xdr:row>16</xdr:row>
      <xdr:rowOff>133350</xdr:rowOff>
    </xdr:to>
    <xdr:cxnSp macro="">
      <xdr:nvCxnSpPr>
        <xdr:cNvPr id="88" name="Straight Arrow Connector 87">
          <a:extLst>
            <a:ext uri="{FF2B5EF4-FFF2-40B4-BE49-F238E27FC236}">
              <a16:creationId xmlns:a16="http://schemas.microsoft.com/office/drawing/2014/main" id="{4CDB07BA-0D0F-4559-8316-4F228D213947}"/>
            </a:ext>
          </a:extLst>
        </xdr:cNvPr>
        <xdr:cNvCxnSpPr/>
      </xdr:nvCxnSpPr>
      <xdr:spPr>
        <a:xfrm flipH="1">
          <a:off x="4865688" y="3238500"/>
          <a:ext cx="1055687" cy="0"/>
        </a:xfrm>
        <a:prstGeom prst="straightConnector1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598488</xdr:colOff>
      <xdr:row>15</xdr:row>
      <xdr:rowOff>133350</xdr:rowOff>
    </xdr:from>
    <xdr:to>
      <xdr:col>7</xdr:col>
      <xdr:colOff>598488</xdr:colOff>
      <xdr:row>16</xdr:row>
      <xdr:rowOff>133350</xdr:rowOff>
    </xdr:to>
    <xdr:cxnSp macro="">
      <xdr:nvCxnSpPr>
        <xdr:cNvPr id="89" name="Straight Arrow Connector 88">
          <a:extLst>
            <a:ext uri="{FF2B5EF4-FFF2-40B4-BE49-F238E27FC236}">
              <a16:creationId xmlns:a16="http://schemas.microsoft.com/office/drawing/2014/main" id="{D87B41C3-434B-4093-9E7C-056A581C7E1B}"/>
            </a:ext>
          </a:extLst>
        </xdr:cNvPr>
        <xdr:cNvCxnSpPr/>
      </xdr:nvCxnSpPr>
      <xdr:spPr>
        <a:xfrm flipV="1">
          <a:off x="4865688" y="3048000"/>
          <a:ext cx="0" cy="190500"/>
        </a:xfrm>
        <a:prstGeom prst="straightConnector1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317500</xdr:colOff>
      <xdr:row>20</xdr:row>
      <xdr:rowOff>133350</xdr:rowOff>
    </xdr:from>
    <xdr:to>
      <xdr:col>5</xdr:col>
      <xdr:colOff>317500</xdr:colOff>
      <xdr:row>21</xdr:row>
      <xdr:rowOff>6350</xdr:rowOff>
    </xdr:to>
    <xdr:cxnSp macro="">
      <xdr:nvCxnSpPr>
        <xdr:cNvPr id="90" name="Straight Arrow Connector 89">
          <a:extLst>
            <a:ext uri="{FF2B5EF4-FFF2-40B4-BE49-F238E27FC236}">
              <a16:creationId xmlns:a16="http://schemas.microsoft.com/office/drawing/2014/main" id="{16A270E5-A6FD-4BBF-8AD7-AC5E037C63C3}"/>
            </a:ext>
          </a:extLst>
        </xdr:cNvPr>
        <xdr:cNvCxnSpPr/>
      </xdr:nvCxnSpPr>
      <xdr:spPr>
        <a:xfrm flipV="1">
          <a:off x="3365500" y="4000500"/>
          <a:ext cx="0" cy="63500"/>
        </a:xfrm>
        <a:prstGeom prst="straightConnector1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317500</xdr:colOff>
      <xdr:row>20</xdr:row>
      <xdr:rowOff>133350</xdr:rowOff>
    </xdr:from>
    <xdr:to>
      <xdr:col>6</xdr:col>
      <xdr:colOff>152400</xdr:colOff>
      <xdr:row>20</xdr:row>
      <xdr:rowOff>133350</xdr:rowOff>
    </xdr:to>
    <xdr:cxnSp macro="">
      <xdr:nvCxnSpPr>
        <xdr:cNvPr id="91" name="Straight Arrow Connector 90">
          <a:extLst>
            <a:ext uri="{FF2B5EF4-FFF2-40B4-BE49-F238E27FC236}">
              <a16:creationId xmlns:a16="http://schemas.microsoft.com/office/drawing/2014/main" id="{C880228A-CAC7-41E5-ACB4-8FD8F9C76882}"/>
            </a:ext>
          </a:extLst>
        </xdr:cNvPr>
        <xdr:cNvCxnSpPr/>
      </xdr:nvCxnSpPr>
      <xdr:spPr>
        <a:xfrm>
          <a:off x="3365500" y="4000500"/>
          <a:ext cx="444500" cy="0"/>
        </a:xfrm>
        <a:prstGeom prst="straightConnector1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152400</xdr:colOff>
      <xdr:row>19</xdr:row>
      <xdr:rowOff>133350</xdr:rowOff>
    </xdr:from>
    <xdr:to>
      <xdr:col>6</xdr:col>
      <xdr:colOff>152400</xdr:colOff>
      <xdr:row>20</xdr:row>
      <xdr:rowOff>133350</xdr:rowOff>
    </xdr:to>
    <xdr:cxnSp macro="">
      <xdr:nvCxnSpPr>
        <xdr:cNvPr id="92" name="Straight Arrow Connector 91">
          <a:extLst>
            <a:ext uri="{FF2B5EF4-FFF2-40B4-BE49-F238E27FC236}">
              <a16:creationId xmlns:a16="http://schemas.microsoft.com/office/drawing/2014/main" id="{A4FF368B-A4D0-488D-8837-DE1E69DA184E}"/>
            </a:ext>
          </a:extLst>
        </xdr:cNvPr>
        <xdr:cNvCxnSpPr/>
      </xdr:nvCxnSpPr>
      <xdr:spPr>
        <a:xfrm flipV="1">
          <a:off x="3810000" y="3810000"/>
          <a:ext cx="0" cy="190500"/>
        </a:xfrm>
        <a:prstGeom prst="straightConnector1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596900</xdr:colOff>
      <xdr:row>20</xdr:row>
      <xdr:rowOff>133350</xdr:rowOff>
    </xdr:from>
    <xdr:to>
      <xdr:col>6</xdr:col>
      <xdr:colOff>596900</xdr:colOff>
      <xdr:row>21</xdr:row>
      <xdr:rowOff>133350</xdr:rowOff>
    </xdr:to>
    <xdr:cxnSp macro="">
      <xdr:nvCxnSpPr>
        <xdr:cNvPr id="93" name="Straight Arrow Connector 92">
          <a:extLst>
            <a:ext uri="{FF2B5EF4-FFF2-40B4-BE49-F238E27FC236}">
              <a16:creationId xmlns:a16="http://schemas.microsoft.com/office/drawing/2014/main" id="{6DBAA6A0-C510-4640-B33B-B61943C68762}"/>
            </a:ext>
          </a:extLst>
        </xdr:cNvPr>
        <xdr:cNvCxnSpPr/>
      </xdr:nvCxnSpPr>
      <xdr:spPr>
        <a:xfrm flipV="1">
          <a:off x="4254500" y="4000500"/>
          <a:ext cx="0" cy="190500"/>
        </a:xfrm>
        <a:prstGeom prst="straightConnector1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152400</xdr:colOff>
      <xdr:row>20</xdr:row>
      <xdr:rowOff>133350</xdr:rowOff>
    </xdr:from>
    <xdr:to>
      <xdr:col>6</xdr:col>
      <xdr:colOff>596900</xdr:colOff>
      <xdr:row>20</xdr:row>
      <xdr:rowOff>133350</xdr:rowOff>
    </xdr:to>
    <xdr:cxnSp macro="">
      <xdr:nvCxnSpPr>
        <xdr:cNvPr id="94" name="Straight Arrow Connector 93">
          <a:extLst>
            <a:ext uri="{FF2B5EF4-FFF2-40B4-BE49-F238E27FC236}">
              <a16:creationId xmlns:a16="http://schemas.microsoft.com/office/drawing/2014/main" id="{395D973B-6AE8-4C51-ADAC-A1BFF6793EA0}"/>
            </a:ext>
          </a:extLst>
        </xdr:cNvPr>
        <xdr:cNvCxnSpPr/>
      </xdr:nvCxnSpPr>
      <xdr:spPr>
        <a:xfrm flipH="1">
          <a:off x="3810000" y="4000500"/>
          <a:ext cx="444500" cy="0"/>
        </a:xfrm>
        <a:prstGeom prst="straightConnector1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152400</xdr:colOff>
      <xdr:row>19</xdr:row>
      <xdr:rowOff>133350</xdr:rowOff>
    </xdr:from>
    <xdr:to>
      <xdr:col>6</xdr:col>
      <xdr:colOff>152400</xdr:colOff>
      <xdr:row>20</xdr:row>
      <xdr:rowOff>133350</xdr:rowOff>
    </xdr:to>
    <xdr:cxnSp macro="">
      <xdr:nvCxnSpPr>
        <xdr:cNvPr id="95" name="Straight Arrow Connector 94">
          <a:extLst>
            <a:ext uri="{FF2B5EF4-FFF2-40B4-BE49-F238E27FC236}">
              <a16:creationId xmlns:a16="http://schemas.microsoft.com/office/drawing/2014/main" id="{6076B132-CC7D-4BA7-9101-580142F314A9}"/>
            </a:ext>
          </a:extLst>
        </xdr:cNvPr>
        <xdr:cNvCxnSpPr/>
      </xdr:nvCxnSpPr>
      <xdr:spPr>
        <a:xfrm flipV="1">
          <a:off x="3810000" y="3810000"/>
          <a:ext cx="0" cy="190500"/>
        </a:xfrm>
        <a:prstGeom prst="straightConnector1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266700</xdr:colOff>
      <xdr:row>20</xdr:row>
      <xdr:rowOff>133350</xdr:rowOff>
    </xdr:from>
    <xdr:to>
      <xdr:col>8</xdr:col>
      <xdr:colOff>266700</xdr:colOff>
      <xdr:row>21</xdr:row>
      <xdr:rowOff>133350</xdr:rowOff>
    </xdr:to>
    <xdr:cxnSp macro="">
      <xdr:nvCxnSpPr>
        <xdr:cNvPr id="96" name="Straight Arrow Connector 95">
          <a:extLst>
            <a:ext uri="{FF2B5EF4-FFF2-40B4-BE49-F238E27FC236}">
              <a16:creationId xmlns:a16="http://schemas.microsoft.com/office/drawing/2014/main" id="{AA1D9C5E-6ED3-4DE2-83A7-949D721906F8}"/>
            </a:ext>
          </a:extLst>
        </xdr:cNvPr>
        <xdr:cNvCxnSpPr/>
      </xdr:nvCxnSpPr>
      <xdr:spPr>
        <a:xfrm flipV="1">
          <a:off x="5143500" y="4000500"/>
          <a:ext cx="0" cy="190500"/>
        </a:xfrm>
        <a:prstGeom prst="straightConnector1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266700</xdr:colOff>
      <xdr:row>20</xdr:row>
      <xdr:rowOff>133350</xdr:rowOff>
    </xdr:from>
    <xdr:to>
      <xdr:col>9</xdr:col>
      <xdr:colOff>434975</xdr:colOff>
      <xdr:row>20</xdr:row>
      <xdr:rowOff>133350</xdr:rowOff>
    </xdr:to>
    <xdr:cxnSp macro="">
      <xdr:nvCxnSpPr>
        <xdr:cNvPr id="97" name="Straight Arrow Connector 96">
          <a:extLst>
            <a:ext uri="{FF2B5EF4-FFF2-40B4-BE49-F238E27FC236}">
              <a16:creationId xmlns:a16="http://schemas.microsoft.com/office/drawing/2014/main" id="{5167BA4E-4B82-4F0C-B279-F0B4D2B6C5B8}"/>
            </a:ext>
          </a:extLst>
        </xdr:cNvPr>
        <xdr:cNvCxnSpPr/>
      </xdr:nvCxnSpPr>
      <xdr:spPr>
        <a:xfrm>
          <a:off x="5143500" y="4000500"/>
          <a:ext cx="777875" cy="0"/>
        </a:xfrm>
        <a:prstGeom prst="straightConnector1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434975</xdr:colOff>
      <xdr:row>19</xdr:row>
      <xdr:rowOff>133350</xdr:rowOff>
    </xdr:from>
    <xdr:to>
      <xdr:col>9</xdr:col>
      <xdr:colOff>434975</xdr:colOff>
      <xdr:row>20</xdr:row>
      <xdr:rowOff>133350</xdr:rowOff>
    </xdr:to>
    <xdr:cxnSp macro="">
      <xdr:nvCxnSpPr>
        <xdr:cNvPr id="98" name="Straight Arrow Connector 97">
          <a:extLst>
            <a:ext uri="{FF2B5EF4-FFF2-40B4-BE49-F238E27FC236}">
              <a16:creationId xmlns:a16="http://schemas.microsoft.com/office/drawing/2014/main" id="{64B41142-CC98-4B06-A30D-008996D4451F}"/>
            </a:ext>
          </a:extLst>
        </xdr:cNvPr>
        <xdr:cNvCxnSpPr/>
      </xdr:nvCxnSpPr>
      <xdr:spPr>
        <a:xfrm flipV="1">
          <a:off x="5921375" y="3810000"/>
          <a:ext cx="0" cy="190500"/>
        </a:xfrm>
        <a:prstGeom prst="straightConnector1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603250</xdr:colOff>
      <xdr:row>20</xdr:row>
      <xdr:rowOff>133350</xdr:rowOff>
    </xdr:from>
    <xdr:to>
      <xdr:col>10</xdr:col>
      <xdr:colOff>603250</xdr:colOff>
      <xdr:row>21</xdr:row>
      <xdr:rowOff>6350</xdr:rowOff>
    </xdr:to>
    <xdr:cxnSp macro="">
      <xdr:nvCxnSpPr>
        <xdr:cNvPr id="99" name="Straight Arrow Connector 98">
          <a:extLst>
            <a:ext uri="{FF2B5EF4-FFF2-40B4-BE49-F238E27FC236}">
              <a16:creationId xmlns:a16="http://schemas.microsoft.com/office/drawing/2014/main" id="{6EA07E78-FDCD-4BEF-8C11-5FC776DB55DE}"/>
            </a:ext>
          </a:extLst>
        </xdr:cNvPr>
        <xdr:cNvCxnSpPr/>
      </xdr:nvCxnSpPr>
      <xdr:spPr>
        <a:xfrm flipV="1">
          <a:off x="6699250" y="4000500"/>
          <a:ext cx="0" cy="63500"/>
        </a:xfrm>
        <a:prstGeom prst="straightConnector1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434975</xdr:colOff>
      <xdr:row>20</xdr:row>
      <xdr:rowOff>133350</xdr:rowOff>
    </xdr:from>
    <xdr:to>
      <xdr:col>10</xdr:col>
      <xdr:colOff>603250</xdr:colOff>
      <xdr:row>20</xdr:row>
      <xdr:rowOff>133350</xdr:rowOff>
    </xdr:to>
    <xdr:cxnSp macro="">
      <xdr:nvCxnSpPr>
        <xdr:cNvPr id="100" name="Straight Arrow Connector 99">
          <a:extLst>
            <a:ext uri="{FF2B5EF4-FFF2-40B4-BE49-F238E27FC236}">
              <a16:creationId xmlns:a16="http://schemas.microsoft.com/office/drawing/2014/main" id="{0B9DF65F-5FBF-42AE-BD62-AB2867E0AB4D}"/>
            </a:ext>
          </a:extLst>
        </xdr:cNvPr>
        <xdr:cNvCxnSpPr/>
      </xdr:nvCxnSpPr>
      <xdr:spPr>
        <a:xfrm flipH="1">
          <a:off x="5921375" y="4000500"/>
          <a:ext cx="777875" cy="0"/>
        </a:xfrm>
        <a:prstGeom prst="straightConnector1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434975</xdr:colOff>
      <xdr:row>19</xdr:row>
      <xdr:rowOff>133350</xdr:rowOff>
    </xdr:from>
    <xdr:to>
      <xdr:col>9</xdr:col>
      <xdr:colOff>434975</xdr:colOff>
      <xdr:row>20</xdr:row>
      <xdr:rowOff>133350</xdr:rowOff>
    </xdr:to>
    <xdr:cxnSp macro="">
      <xdr:nvCxnSpPr>
        <xdr:cNvPr id="101" name="Straight Arrow Connector 100">
          <a:extLst>
            <a:ext uri="{FF2B5EF4-FFF2-40B4-BE49-F238E27FC236}">
              <a16:creationId xmlns:a16="http://schemas.microsoft.com/office/drawing/2014/main" id="{A5D2AAF8-7F41-413C-901F-1A3D6770927B}"/>
            </a:ext>
          </a:extLst>
        </xdr:cNvPr>
        <xdr:cNvCxnSpPr/>
      </xdr:nvCxnSpPr>
      <xdr:spPr>
        <a:xfrm flipV="1">
          <a:off x="5921375" y="3810000"/>
          <a:ext cx="0" cy="190500"/>
        </a:xfrm>
        <a:prstGeom prst="straightConnector1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482600</xdr:colOff>
      <xdr:row>24</xdr:row>
      <xdr:rowOff>133350</xdr:rowOff>
    </xdr:from>
    <xdr:to>
      <xdr:col>4</xdr:col>
      <xdr:colOff>482600</xdr:colOff>
      <xdr:row>25</xdr:row>
      <xdr:rowOff>6350</xdr:rowOff>
    </xdr:to>
    <xdr:cxnSp macro="">
      <xdr:nvCxnSpPr>
        <xdr:cNvPr id="102" name="Straight Arrow Connector 101">
          <a:extLst>
            <a:ext uri="{FF2B5EF4-FFF2-40B4-BE49-F238E27FC236}">
              <a16:creationId xmlns:a16="http://schemas.microsoft.com/office/drawing/2014/main" id="{1EE31460-A506-4601-AC8A-11D7093BA0A1}"/>
            </a:ext>
          </a:extLst>
        </xdr:cNvPr>
        <xdr:cNvCxnSpPr/>
      </xdr:nvCxnSpPr>
      <xdr:spPr>
        <a:xfrm flipV="1">
          <a:off x="2921000" y="4762500"/>
          <a:ext cx="0" cy="63500"/>
        </a:xfrm>
        <a:prstGeom prst="straightConnector1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482600</xdr:colOff>
      <xdr:row>24</xdr:row>
      <xdr:rowOff>133350</xdr:rowOff>
    </xdr:from>
    <xdr:to>
      <xdr:col>5</xdr:col>
      <xdr:colOff>317500</xdr:colOff>
      <xdr:row>24</xdr:row>
      <xdr:rowOff>133350</xdr:rowOff>
    </xdr:to>
    <xdr:cxnSp macro="">
      <xdr:nvCxnSpPr>
        <xdr:cNvPr id="103" name="Straight Arrow Connector 102">
          <a:extLst>
            <a:ext uri="{FF2B5EF4-FFF2-40B4-BE49-F238E27FC236}">
              <a16:creationId xmlns:a16="http://schemas.microsoft.com/office/drawing/2014/main" id="{2BB657D1-4777-4F6F-BB44-260F87997E9F}"/>
            </a:ext>
          </a:extLst>
        </xdr:cNvPr>
        <xdr:cNvCxnSpPr/>
      </xdr:nvCxnSpPr>
      <xdr:spPr>
        <a:xfrm>
          <a:off x="2921000" y="4762500"/>
          <a:ext cx="444500" cy="0"/>
        </a:xfrm>
        <a:prstGeom prst="straightConnector1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317500</xdr:colOff>
      <xdr:row>23</xdr:row>
      <xdr:rowOff>133350</xdr:rowOff>
    </xdr:from>
    <xdr:to>
      <xdr:col>5</xdr:col>
      <xdr:colOff>317500</xdr:colOff>
      <xdr:row>24</xdr:row>
      <xdr:rowOff>133350</xdr:rowOff>
    </xdr:to>
    <xdr:cxnSp macro="">
      <xdr:nvCxnSpPr>
        <xdr:cNvPr id="104" name="Straight Arrow Connector 103">
          <a:extLst>
            <a:ext uri="{FF2B5EF4-FFF2-40B4-BE49-F238E27FC236}">
              <a16:creationId xmlns:a16="http://schemas.microsoft.com/office/drawing/2014/main" id="{A0F5A649-F6BC-42BD-BAE3-10DA4AC02880}"/>
            </a:ext>
          </a:extLst>
        </xdr:cNvPr>
        <xdr:cNvCxnSpPr/>
      </xdr:nvCxnSpPr>
      <xdr:spPr>
        <a:xfrm flipV="1">
          <a:off x="3365500" y="4572000"/>
          <a:ext cx="0" cy="190500"/>
        </a:xfrm>
        <a:prstGeom prst="straightConnector1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152400</xdr:colOff>
      <xdr:row>24</xdr:row>
      <xdr:rowOff>133350</xdr:rowOff>
    </xdr:from>
    <xdr:to>
      <xdr:col>6</xdr:col>
      <xdr:colOff>152400</xdr:colOff>
      <xdr:row>25</xdr:row>
      <xdr:rowOff>133350</xdr:rowOff>
    </xdr:to>
    <xdr:cxnSp macro="">
      <xdr:nvCxnSpPr>
        <xdr:cNvPr id="105" name="Straight Arrow Connector 104">
          <a:extLst>
            <a:ext uri="{FF2B5EF4-FFF2-40B4-BE49-F238E27FC236}">
              <a16:creationId xmlns:a16="http://schemas.microsoft.com/office/drawing/2014/main" id="{09E58480-6DFB-4F10-9EF6-3B37463A2668}"/>
            </a:ext>
          </a:extLst>
        </xdr:cNvPr>
        <xdr:cNvCxnSpPr/>
      </xdr:nvCxnSpPr>
      <xdr:spPr>
        <a:xfrm flipV="1">
          <a:off x="3810000" y="4762500"/>
          <a:ext cx="0" cy="190500"/>
        </a:xfrm>
        <a:prstGeom prst="straightConnector1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317500</xdr:colOff>
      <xdr:row>24</xdr:row>
      <xdr:rowOff>133350</xdr:rowOff>
    </xdr:from>
    <xdr:to>
      <xdr:col>6</xdr:col>
      <xdr:colOff>152400</xdr:colOff>
      <xdr:row>24</xdr:row>
      <xdr:rowOff>133350</xdr:rowOff>
    </xdr:to>
    <xdr:cxnSp macro="">
      <xdr:nvCxnSpPr>
        <xdr:cNvPr id="106" name="Straight Arrow Connector 105">
          <a:extLst>
            <a:ext uri="{FF2B5EF4-FFF2-40B4-BE49-F238E27FC236}">
              <a16:creationId xmlns:a16="http://schemas.microsoft.com/office/drawing/2014/main" id="{F7448DC6-3CEC-4AD4-84CD-C34CEF9B25CB}"/>
            </a:ext>
          </a:extLst>
        </xdr:cNvPr>
        <xdr:cNvCxnSpPr/>
      </xdr:nvCxnSpPr>
      <xdr:spPr>
        <a:xfrm flipH="1">
          <a:off x="3365500" y="4762500"/>
          <a:ext cx="444500" cy="0"/>
        </a:xfrm>
        <a:prstGeom prst="straightConnector1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317500</xdr:colOff>
      <xdr:row>23</xdr:row>
      <xdr:rowOff>133350</xdr:rowOff>
    </xdr:from>
    <xdr:to>
      <xdr:col>5</xdr:col>
      <xdr:colOff>317500</xdr:colOff>
      <xdr:row>24</xdr:row>
      <xdr:rowOff>133350</xdr:rowOff>
    </xdr:to>
    <xdr:cxnSp macro="">
      <xdr:nvCxnSpPr>
        <xdr:cNvPr id="107" name="Straight Arrow Connector 106">
          <a:extLst>
            <a:ext uri="{FF2B5EF4-FFF2-40B4-BE49-F238E27FC236}">
              <a16:creationId xmlns:a16="http://schemas.microsoft.com/office/drawing/2014/main" id="{A6491939-0BBE-4EA2-9FAB-0BD1775BD571}"/>
            </a:ext>
          </a:extLst>
        </xdr:cNvPr>
        <xdr:cNvCxnSpPr/>
      </xdr:nvCxnSpPr>
      <xdr:spPr>
        <a:xfrm flipV="1">
          <a:off x="3365500" y="4572000"/>
          <a:ext cx="0" cy="190500"/>
        </a:xfrm>
        <a:prstGeom prst="straightConnector1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101600</xdr:colOff>
      <xdr:row>24</xdr:row>
      <xdr:rowOff>133350</xdr:rowOff>
    </xdr:from>
    <xdr:to>
      <xdr:col>9</xdr:col>
      <xdr:colOff>101600</xdr:colOff>
      <xdr:row>25</xdr:row>
      <xdr:rowOff>6350</xdr:rowOff>
    </xdr:to>
    <xdr:cxnSp macro="">
      <xdr:nvCxnSpPr>
        <xdr:cNvPr id="108" name="Straight Arrow Connector 107">
          <a:extLst>
            <a:ext uri="{FF2B5EF4-FFF2-40B4-BE49-F238E27FC236}">
              <a16:creationId xmlns:a16="http://schemas.microsoft.com/office/drawing/2014/main" id="{A7CE1C41-BB5A-4FC5-BFE2-21502F6E9816}"/>
            </a:ext>
          </a:extLst>
        </xdr:cNvPr>
        <xdr:cNvCxnSpPr/>
      </xdr:nvCxnSpPr>
      <xdr:spPr>
        <a:xfrm flipV="1">
          <a:off x="5588000" y="4762500"/>
          <a:ext cx="0" cy="63500"/>
        </a:xfrm>
        <a:prstGeom prst="straightConnector1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101600</xdr:colOff>
      <xdr:row>24</xdr:row>
      <xdr:rowOff>133350</xdr:rowOff>
    </xdr:from>
    <xdr:to>
      <xdr:col>10</xdr:col>
      <xdr:colOff>603250</xdr:colOff>
      <xdr:row>24</xdr:row>
      <xdr:rowOff>133350</xdr:rowOff>
    </xdr:to>
    <xdr:cxnSp macro="">
      <xdr:nvCxnSpPr>
        <xdr:cNvPr id="109" name="Straight Arrow Connector 108">
          <a:extLst>
            <a:ext uri="{FF2B5EF4-FFF2-40B4-BE49-F238E27FC236}">
              <a16:creationId xmlns:a16="http://schemas.microsoft.com/office/drawing/2014/main" id="{334B2CC7-A76E-4240-8287-BC7D145115B9}"/>
            </a:ext>
          </a:extLst>
        </xdr:cNvPr>
        <xdr:cNvCxnSpPr/>
      </xdr:nvCxnSpPr>
      <xdr:spPr>
        <a:xfrm>
          <a:off x="5588000" y="4762500"/>
          <a:ext cx="1111250" cy="0"/>
        </a:xfrm>
        <a:prstGeom prst="straightConnector1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603250</xdr:colOff>
      <xdr:row>23</xdr:row>
      <xdr:rowOff>133350</xdr:rowOff>
    </xdr:from>
    <xdr:to>
      <xdr:col>10</xdr:col>
      <xdr:colOff>603250</xdr:colOff>
      <xdr:row>24</xdr:row>
      <xdr:rowOff>133350</xdr:rowOff>
    </xdr:to>
    <xdr:cxnSp macro="">
      <xdr:nvCxnSpPr>
        <xdr:cNvPr id="110" name="Straight Arrow Connector 109">
          <a:extLst>
            <a:ext uri="{FF2B5EF4-FFF2-40B4-BE49-F238E27FC236}">
              <a16:creationId xmlns:a16="http://schemas.microsoft.com/office/drawing/2014/main" id="{7F0C3885-0C94-4583-BADB-1A9CD712E368}"/>
            </a:ext>
          </a:extLst>
        </xdr:cNvPr>
        <xdr:cNvCxnSpPr/>
      </xdr:nvCxnSpPr>
      <xdr:spPr>
        <a:xfrm flipV="1">
          <a:off x="6699250" y="4572000"/>
          <a:ext cx="0" cy="190500"/>
        </a:xfrm>
        <a:prstGeom prst="straightConnector1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495300</xdr:colOff>
      <xdr:row>24</xdr:row>
      <xdr:rowOff>133350</xdr:rowOff>
    </xdr:from>
    <xdr:to>
      <xdr:col>12</xdr:col>
      <xdr:colOff>495300</xdr:colOff>
      <xdr:row>25</xdr:row>
      <xdr:rowOff>6350</xdr:rowOff>
    </xdr:to>
    <xdr:cxnSp macro="">
      <xdr:nvCxnSpPr>
        <xdr:cNvPr id="111" name="Straight Arrow Connector 110">
          <a:extLst>
            <a:ext uri="{FF2B5EF4-FFF2-40B4-BE49-F238E27FC236}">
              <a16:creationId xmlns:a16="http://schemas.microsoft.com/office/drawing/2014/main" id="{37B44930-CA41-43FC-B08C-60CBE45BF7ED}"/>
            </a:ext>
          </a:extLst>
        </xdr:cNvPr>
        <xdr:cNvCxnSpPr/>
      </xdr:nvCxnSpPr>
      <xdr:spPr>
        <a:xfrm flipV="1">
          <a:off x="7810500" y="4762500"/>
          <a:ext cx="0" cy="63500"/>
        </a:xfrm>
        <a:prstGeom prst="straightConnector1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603250</xdr:colOff>
      <xdr:row>24</xdr:row>
      <xdr:rowOff>133350</xdr:rowOff>
    </xdr:from>
    <xdr:to>
      <xdr:col>12</xdr:col>
      <xdr:colOff>495300</xdr:colOff>
      <xdr:row>24</xdr:row>
      <xdr:rowOff>133350</xdr:rowOff>
    </xdr:to>
    <xdr:cxnSp macro="">
      <xdr:nvCxnSpPr>
        <xdr:cNvPr id="112" name="Straight Arrow Connector 111">
          <a:extLst>
            <a:ext uri="{FF2B5EF4-FFF2-40B4-BE49-F238E27FC236}">
              <a16:creationId xmlns:a16="http://schemas.microsoft.com/office/drawing/2014/main" id="{80CB4604-67B6-41A9-9D96-0700A0897FB8}"/>
            </a:ext>
          </a:extLst>
        </xdr:cNvPr>
        <xdr:cNvCxnSpPr/>
      </xdr:nvCxnSpPr>
      <xdr:spPr>
        <a:xfrm flipH="1">
          <a:off x="6699250" y="4762500"/>
          <a:ext cx="1111250" cy="0"/>
        </a:xfrm>
        <a:prstGeom prst="straightConnector1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603250</xdr:colOff>
      <xdr:row>23</xdr:row>
      <xdr:rowOff>133350</xdr:rowOff>
    </xdr:from>
    <xdr:to>
      <xdr:col>10</xdr:col>
      <xdr:colOff>603250</xdr:colOff>
      <xdr:row>24</xdr:row>
      <xdr:rowOff>133350</xdr:rowOff>
    </xdr:to>
    <xdr:cxnSp macro="">
      <xdr:nvCxnSpPr>
        <xdr:cNvPr id="113" name="Straight Arrow Connector 112">
          <a:extLst>
            <a:ext uri="{FF2B5EF4-FFF2-40B4-BE49-F238E27FC236}">
              <a16:creationId xmlns:a16="http://schemas.microsoft.com/office/drawing/2014/main" id="{ED2E048A-F17B-4401-8D34-0BF79931FBA9}"/>
            </a:ext>
          </a:extLst>
        </xdr:cNvPr>
        <xdr:cNvCxnSpPr/>
      </xdr:nvCxnSpPr>
      <xdr:spPr>
        <a:xfrm flipV="1">
          <a:off x="6699250" y="4572000"/>
          <a:ext cx="0" cy="190500"/>
        </a:xfrm>
        <a:prstGeom prst="straightConnector1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38100</xdr:colOff>
      <xdr:row>28</xdr:row>
      <xdr:rowOff>133350</xdr:rowOff>
    </xdr:from>
    <xdr:to>
      <xdr:col>4</xdr:col>
      <xdr:colOff>38100</xdr:colOff>
      <xdr:row>29</xdr:row>
      <xdr:rowOff>6350</xdr:rowOff>
    </xdr:to>
    <xdr:cxnSp macro="">
      <xdr:nvCxnSpPr>
        <xdr:cNvPr id="114" name="Straight Arrow Connector 113">
          <a:extLst>
            <a:ext uri="{FF2B5EF4-FFF2-40B4-BE49-F238E27FC236}">
              <a16:creationId xmlns:a16="http://schemas.microsoft.com/office/drawing/2014/main" id="{95073C20-1271-4B49-B1DA-B77F9948708F}"/>
            </a:ext>
          </a:extLst>
        </xdr:cNvPr>
        <xdr:cNvCxnSpPr/>
      </xdr:nvCxnSpPr>
      <xdr:spPr>
        <a:xfrm flipV="1">
          <a:off x="2476500" y="5524500"/>
          <a:ext cx="0" cy="63500"/>
        </a:xfrm>
        <a:prstGeom prst="straightConnector1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38100</xdr:colOff>
      <xdr:row>28</xdr:row>
      <xdr:rowOff>133350</xdr:rowOff>
    </xdr:from>
    <xdr:to>
      <xdr:col>4</xdr:col>
      <xdr:colOff>482600</xdr:colOff>
      <xdr:row>28</xdr:row>
      <xdr:rowOff>133350</xdr:rowOff>
    </xdr:to>
    <xdr:cxnSp macro="">
      <xdr:nvCxnSpPr>
        <xdr:cNvPr id="115" name="Straight Arrow Connector 114">
          <a:extLst>
            <a:ext uri="{FF2B5EF4-FFF2-40B4-BE49-F238E27FC236}">
              <a16:creationId xmlns:a16="http://schemas.microsoft.com/office/drawing/2014/main" id="{AA7DF6B7-0E02-4B3F-98C4-A9B6C58800C7}"/>
            </a:ext>
          </a:extLst>
        </xdr:cNvPr>
        <xdr:cNvCxnSpPr/>
      </xdr:nvCxnSpPr>
      <xdr:spPr>
        <a:xfrm>
          <a:off x="2476500" y="5524500"/>
          <a:ext cx="444500" cy="0"/>
        </a:xfrm>
        <a:prstGeom prst="straightConnector1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482600</xdr:colOff>
      <xdr:row>27</xdr:row>
      <xdr:rowOff>133350</xdr:rowOff>
    </xdr:from>
    <xdr:to>
      <xdr:col>4</xdr:col>
      <xdr:colOff>482600</xdr:colOff>
      <xdr:row>28</xdr:row>
      <xdr:rowOff>133350</xdr:rowOff>
    </xdr:to>
    <xdr:cxnSp macro="">
      <xdr:nvCxnSpPr>
        <xdr:cNvPr id="116" name="Straight Arrow Connector 115">
          <a:extLst>
            <a:ext uri="{FF2B5EF4-FFF2-40B4-BE49-F238E27FC236}">
              <a16:creationId xmlns:a16="http://schemas.microsoft.com/office/drawing/2014/main" id="{7125CC85-4A53-4452-9377-62647AB05DCC}"/>
            </a:ext>
          </a:extLst>
        </xdr:cNvPr>
        <xdr:cNvCxnSpPr/>
      </xdr:nvCxnSpPr>
      <xdr:spPr>
        <a:xfrm flipV="1">
          <a:off x="2921000" y="5334000"/>
          <a:ext cx="0" cy="190500"/>
        </a:xfrm>
        <a:prstGeom prst="straightConnector1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317500</xdr:colOff>
      <xdr:row>28</xdr:row>
      <xdr:rowOff>133350</xdr:rowOff>
    </xdr:from>
    <xdr:to>
      <xdr:col>5</xdr:col>
      <xdr:colOff>317500</xdr:colOff>
      <xdr:row>29</xdr:row>
      <xdr:rowOff>133350</xdr:rowOff>
    </xdr:to>
    <xdr:cxnSp macro="">
      <xdr:nvCxnSpPr>
        <xdr:cNvPr id="117" name="Straight Arrow Connector 116">
          <a:extLst>
            <a:ext uri="{FF2B5EF4-FFF2-40B4-BE49-F238E27FC236}">
              <a16:creationId xmlns:a16="http://schemas.microsoft.com/office/drawing/2014/main" id="{4F0CB0B6-C3D3-4C07-B812-F44FBA1210A3}"/>
            </a:ext>
          </a:extLst>
        </xdr:cNvPr>
        <xdr:cNvCxnSpPr/>
      </xdr:nvCxnSpPr>
      <xdr:spPr>
        <a:xfrm flipV="1">
          <a:off x="3365500" y="5524500"/>
          <a:ext cx="0" cy="190500"/>
        </a:xfrm>
        <a:prstGeom prst="straightConnector1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482600</xdr:colOff>
      <xdr:row>28</xdr:row>
      <xdr:rowOff>133350</xdr:rowOff>
    </xdr:from>
    <xdr:to>
      <xdr:col>5</xdr:col>
      <xdr:colOff>317500</xdr:colOff>
      <xdr:row>28</xdr:row>
      <xdr:rowOff>133350</xdr:rowOff>
    </xdr:to>
    <xdr:cxnSp macro="">
      <xdr:nvCxnSpPr>
        <xdr:cNvPr id="118" name="Straight Arrow Connector 117">
          <a:extLst>
            <a:ext uri="{FF2B5EF4-FFF2-40B4-BE49-F238E27FC236}">
              <a16:creationId xmlns:a16="http://schemas.microsoft.com/office/drawing/2014/main" id="{38E51950-47CC-490F-BECC-643DC776C224}"/>
            </a:ext>
          </a:extLst>
        </xdr:cNvPr>
        <xdr:cNvCxnSpPr/>
      </xdr:nvCxnSpPr>
      <xdr:spPr>
        <a:xfrm flipH="1">
          <a:off x="2921000" y="5524500"/>
          <a:ext cx="444500" cy="0"/>
        </a:xfrm>
        <a:prstGeom prst="straightConnector1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482600</xdr:colOff>
      <xdr:row>27</xdr:row>
      <xdr:rowOff>133350</xdr:rowOff>
    </xdr:from>
    <xdr:to>
      <xdr:col>4</xdr:col>
      <xdr:colOff>482600</xdr:colOff>
      <xdr:row>28</xdr:row>
      <xdr:rowOff>133350</xdr:rowOff>
    </xdr:to>
    <xdr:cxnSp macro="">
      <xdr:nvCxnSpPr>
        <xdr:cNvPr id="119" name="Straight Arrow Connector 118">
          <a:extLst>
            <a:ext uri="{FF2B5EF4-FFF2-40B4-BE49-F238E27FC236}">
              <a16:creationId xmlns:a16="http://schemas.microsoft.com/office/drawing/2014/main" id="{0D3C1824-DCBB-49C1-B8A2-7367AF35FFB2}"/>
            </a:ext>
          </a:extLst>
        </xdr:cNvPr>
        <xdr:cNvCxnSpPr/>
      </xdr:nvCxnSpPr>
      <xdr:spPr>
        <a:xfrm flipV="1">
          <a:off x="2921000" y="5334000"/>
          <a:ext cx="0" cy="190500"/>
        </a:xfrm>
        <a:prstGeom prst="straightConnector1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266700</xdr:colOff>
      <xdr:row>28</xdr:row>
      <xdr:rowOff>133350</xdr:rowOff>
    </xdr:from>
    <xdr:to>
      <xdr:col>8</xdr:col>
      <xdr:colOff>266700</xdr:colOff>
      <xdr:row>29</xdr:row>
      <xdr:rowOff>133350</xdr:rowOff>
    </xdr:to>
    <xdr:cxnSp macro="">
      <xdr:nvCxnSpPr>
        <xdr:cNvPr id="120" name="Straight Arrow Connector 119">
          <a:extLst>
            <a:ext uri="{FF2B5EF4-FFF2-40B4-BE49-F238E27FC236}">
              <a16:creationId xmlns:a16="http://schemas.microsoft.com/office/drawing/2014/main" id="{2ADB5498-47DD-4E9E-906D-EE6017D4ABEE}"/>
            </a:ext>
          </a:extLst>
        </xdr:cNvPr>
        <xdr:cNvCxnSpPr/>
      </xdr:nvCxnSpPr>
      <xdr:spPr>
        <a:xfrm flipV="1">
          <a:off x="5143500" y="5524500"/>
          <a:ext cx="0" cy="190500"/>
        </a:xfrm>
        <a:prstGeom prst="straightConnector1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266700</xdr:colOff>
      <xdr:row>28</xdr:row>
      <xdr:rowOff>133350</xdr:rowOff>
    </xdr:from>
    <xdr:to>
      <xdr:col>9</xdr:col>
      <xdr:colOff>101600</xdr:colOff>
      <xdr:row>28</xdr:row>
      <xdr:rowOff>133350</xdr:rowOff>
    </xdr:to>
    <xdr:cxnSp macro="">
      <xdr:nvCxnSpPr>
        <xdr:cNvPr id="121" name="Straight Arrow Connector 120">
          <a:extLst>
            <a:ext uri="{FF2B5EF4-FFF2-40B4-BE49-F238E27FC236}">
              <a16:creationId xmlns:a16="http://schemas.microsoft.com/office/drawing/2014/main" id="{AABF988A-8557-4F82-8AC7-D62AFF28DCAC}"/>
            </a:ext>
          </a:extLst>
        </xdr:cNvPr>
        <xdr:cNvCxnSpPr/>
      </xdr:nvCxnSpPr>
      <xdr:spPr>
        <a:xfrm>
          <a:off x="5143500" y="5524500"/>
          <a:ext cx="444500" cy="0"/>
        </a:xfrm>
        <a:prstGeom prst="straightConnector1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101600</xdr:colOff>
      <xdr:row>27</xdr:row>
      <xdr:rowOff>133350</xdr:rowOff>
    </xdr:from>
    <xdr:to>
      <xdr:col>9</xdr:col>
      <xdr:colOff>101600</xdr:colOff>
      <xdr:row>28</xdr:row>
      <xdr:rowOff>133350</xdr:rowOff>
    </xdr:to>
    <xdr:cxnSp macro="">
      <xdr:nvCxnSpPr>
        <xdr:cNvPr id="122" name="Straight Arrow Connector 121">
          <a:extLst>
            <a:ext uri="{FF2B5EF4-FFF2-40B4-BE49-F238E27FC236}">
              <a16:creationId xmlns:a16="http://schemas.microsoft.com/office/drawing/2014/main" id="{8C08470C-0A38-4C0A-8DDB-55B69226C13C}"/>
            </a:ext>
          </a:extLst>
        </xdr:cNvPr>
        <xdr:cNvCxnSpPr/>
      </xdr:nvCxnSpPr>
      <xdr:spPr>
        <a:xfrm flipV="1">
          <a:off x="5588000" y="5334000"/>
          <a:ext cx="0" cy="190500"/>
        </a:xfrm>
        <a:prstGeom prst="straightConnector1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546100</xdr:colOff>
      <xdr:row>28</xdr:row>
      <xdr:rowOff>133350</xdr:rowOff>
    </xdr:from>
    <xdr:to>
      <xdr:col>9</xdr:col>
      <xdr:colOff>546100</xdr:colOff>
      <xdr:row>29</xdr:row>
      <xdr:rowOff>133350</xdr:rowOff>
    </xdr:to>
    <xdr:cxnSp macro="">
      <xdr:nvCxnSpPr>
        <xdr:cNvPr id="123" name="Straight Arrow Connector 122">
          <a:extLst>
            <a:ext uri="{FF2B5EF4-FFF2-40B4-BE49-F238E27FC236}">
              <a16:creationId xmlns:a16="http://schemas.microsoft.com/office/drawing/2014/main" id="{7B5B74C5-7EC8-47FD-985E-1D9A04CF2FC5}"/>
            </a:ext>
          </a:extLst>
        </xdr:cNvPr>
        <xdr:cNvCxnSpPr/>
      </xdr:nvCxnSpPr>
      <xdr:spPr>
        <a:xfrm flipV="1">
          <a:off x="6032500" y="5524500"/>
          <a:ext cx="0" cy="190500"/>
        </a:xfrm>
        <a:prstGeom prst="straightConnector1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101600</xdr:colOff>
      <xdr:row>28</xdr:row>
      <xdr:rowOff>133350</xdr:rowOff>
    </xdr:from>
    <xdr:to>
      <xdr:col>9</xdr:col>
      <xdr:colOff>546100</xdr:colOff>
      <xdr:row>28</xdr:row>
      <xdr:rowOff>133350</xdr:rowOff>
    </xdr:to>
    <xdr:cxnSp macro="">
      <xdr:nvCxnSpPr>
        <xdr:cNvPr id="124" name="Straight Arrow Connector 123">
          <a:extLst>
            <a:ext uri="{FF2B5EF4-FFF2-40B4-BE49-F238E27FC236}">
              <a16:creationId xmlns:a16="http://schemas.microsoft.com/office/drawing/2014/main" id="{B897652F-37E5-4BF0-8B2C-6A8C6DA91622}"/>
            </a:ext>
          </a:extLst>
        </xdr:cNvPr>
        <xdr:cNvCxnSpPr/>
      </xdr:nvCxnSpPr>
      <xdr:spPr>
        <a:xfrm flipH="1">
          <a:off x="5588000" y="5524500"/>
          <a:ext cx="444500" cy="0"/>
        </a:xfrm>
        <a:prstGeom prst="straightConnector1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101600</xdr:colOff>
      <xdr:row>27</xdr:row>
      <xdr:rowOff>133350</xdr:rowOff>
    </xdr:from>
    <xdr:to>
      <xdr:col>9</xdr:col>
      <xdr:colOff>101600</xdr:colOff>
      <xdr:row>28</xdr:row>
      <xdr:rowOff>133350</xdr:rowOff>
    </xdr:to>
    <xdr:cxnSp macro="">
      <xdr:nvCxnSpPr>
        <xdr:cNvPr id="125" name="Straight Arrow Connector 124">
          <a:extLst>
            <a:ext uri="{FF2B5EF4-FFF2-40B4-BE49-F238E27FC236}">
              <a16:creationId xmlns:a16="http://schemas.microsoft.com/office/drawing/2014/main" id="{D8CD7CC8-4945-4E4F-8A3A-DE4431C68782}"/>
            </a:ext>
          </a:extLst>
        </xdr:cNvPr>
        <xdr:cNvCxnSpPr/>
      </xdr:nvCxnSpPr>
      <xdr:spPr>
        <a:xfrm flipV="1">
          <a:off x="5588000" y="5334000"/>
          <a:ext cx="0" cy="190500"/>
        </a:xfrm>
        <a:prstGeom prst="straightConnector1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215900</xdr:colOff>
      <xdr:row>28</xdr:row>
      <xdr:rowOff>133350</xdr:rowOff>
    </xdr:from>
    <xdr:to>
      <xdr:col>11</xdr:col>
      <xdr:colOff>215900</xdr:colOff>
      <xdr:row>29</xdr:row>
      <xdr:rowOff>6350</xdr:rowOff>
    </xdr:to>
    <xdr:cxnSp macro="">
      <xdr:nvCxnSpPr>
        <xdr:cNvPr id="126" name="Straight Arrow Connector 125">
          <a:extLst>
            <a:ext uri="{FF2B5EF4-FFF2-40B4-BE49-F238E27FC236}">
              <a16:creationId xmlns:a16="http://schemas.microsoft.com/office/drawing/2014/main" id="{42EE97EA-4F86-4AFD-8886-216E4540696A}"/>
            </a:ext>
          </a:extLst>
        </xdr:cNvPr>
        <xdr:cNvCxnSpPr/>
      </xdr:nvCxnSpPr>
      <xdr:spPr>
        <a:xfrm flipV="1">
          <a:off x="6921500" y="5524500"/>
          <a:ext cx="0" cy="63500"/>
        </a:xfrm>
        <a:prstGeom prst="straightConnector1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215900</xdr:colOff>
      <xdr:row>28</xdr:row>
      <xdr:rowOff>133350</xdr:rowOff>
    </xdr:from>
    <xdr:to>
      <xdr:col>12</xdr:col>
      <xdr:colOff>495300</xdr:colOff>
      <xdr:row>28</xdr:row>
      <xdr:rowOff>133350</xdr:rowOff>
    </xdr:to>
    <xdr:cxnSp macro="">
      <xdr:nvCxnSpPr>
        <xdr:cNvPr id="127" name="Straight Arrow Connector 126">
          <a:extLst>
            <a:ext uri="{FF2B5EF4-FFF2-40B4-BE49-F238E27FC236}">
              <a16:creationId xmlns:a16="http://schemas.microsoft.com/office/drawing/2014/main" id="{E9850983-CD0B-4E4A-A10E-64002D0B8867}"/>
            </a:ext>
          </a:extLst>
        </xdr:cNvPr>
        <xdr:cNvCxnSpPr/>
      </xdr:nvCxnSpPr>
      <xdr:spPr>
        <a:xfrm>
          <a:off x="6921500" y="5524500"/>
          <a:ext cx="889000" cy="0"/>
        </a:xfrm>
        <a:prstGeom prst="straightConnector1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495300</xdr:colOff>
      <xdr:row>27</xdr:row>
      <xdr:rowOff>133350</xdr:rowOff>
    </xdr:from>
    <xdr:to>
      <xdr:col>12</xdr:col>
      <xdr:colOff>495300</xdr:colOff>
      <xdr:row>28</xdr:row>
      <xdr:rowOff>133350</xdr:rowOff>
    </xdr:to>
    <xdr:cxnSp macro="">
      <xdr:nvCxnSpPr>
        <xdr:cNvPr id="128" name="Straight Arrow Connector 127">
          <a:extLst>
            <a:ext uri="{FF2B5EF4-FFF2-40B4-BE49-F238E27FC236}">
              <a16:creationId xmlns:a16="http://schemas.microsoft.com/office/drawing/2014/main" id="{45B315F1-80CB-42D9-A973-01598A112906}"/>
            </a:ext>
          </a:extLst>
        </xdr:cNvPr>
        <xdr:cNvCxnSpPr/>
      </xdr:nvCxnSpPr>
      <xdr:spPr>
        <a:xfrm flipV="1">
          <a:off x="7810500" y="5334000"/>
          <a:ext cx="0" cy="190500"/>
        </a:xfrm>
        <a:prstGeom prst="straightConnector1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31750</xdr:colOff>
      <xdr:row>28</xdr:row>
      <xdr:rowOff>133350</xdr:rowOff>
    </xdr:from>
    <xdr:to>
      <xdr:col>14</xdr:col>
      <xdr:colOff>31750</xdr:colOff>
      <xdr:row>29</xdr:row>
      <xdr:rowOff>6350</xdr:rowOff>
    </xdr:to>
    <xdr:cxnSp macro="">
      <xdr:nvCxnSpPr>
        <xdr:cNvPr id="129" name="Straight Arrow Connector 128">
          <a:extLst>
            <a:ext uri="{FF2B5EF4-FFF2-40B4-BE49-F238E27FC236}">
              <a16:creationId xmlns:a16="http://schemas.microsoft.com/office/drawing/2014/main" id="{78DC4DAB-A174-4C52-B7DF-C503E36E421C}"/>
            </a:ext>
          </a:extLst>
        </xdr:cNvPr>
        <xdr:cNvCxnSpPr/>
      </xdr:nvCxnSpPr>
      <xdr:spPr>
        <a:xfrm flipV="1">
          <a:off x="8699500" y="5524500"/>
          <a:ext cx="0" cy="63500"/>
        </a:xfrm>
        <a:prstGeom prst="straightConnector1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495300</xdr:colOff>
      <xdr:row>28</xdr:row>
      <xdr:rowOff>133350</xdr:rowOff>
    </xdr:from>
    <xdr:to>
      <xdr:col>14</xdr:col>
      <xdr:colOff>31750</xdr:colOff>
      <xdr:row>28</xdr:row>
      <xdr:rowOff>133350</xdr:rowOff>
    </xdr:to>
    <xdr:cxnSp macro="">
      <xdr:nvCxnSpPr>
        <xdr:cNvPr id="130" name="Straight Arrow Connector 129">
          <a:extLst>
            <a:ext uri="{FF2B5EF4-FFF2-40B4-BE49-F238E27FC236}">
              <a16:creationId xmlns:a16="http://schemas.microsoft.com/office/drawing/2014/main" id="{4635B0F0-7BA4-40A4-8F52-9B368A13DE40}"/>
            </a:ext>
          </a:extLst>
        </xdr:cNvPr>
        <xdr:cNvCxnSpPr/>
      </xdr:nvCxnSpPr>
      <xdr:spPr>
        <a:xfrm flipH="1">
          <a:off x="7810500" y="5524500"/>
          <a:ext cx="889000" cy="0"/>
        </a:xfrm>
        <a:prstGeom prst="straightConnector1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495300</xdr:colOff>
      <xdr:row>27</xdr:row>
      <xdr:rowOff>133350</xdr:rowOff>
    </xdr:from>
    <xdr:to>
      <xdr:col>12</xdr:col>
      <xdr:colOff>495300</xdr:colOff>
      <xdr:row>28</xdr:row>
      <xdr:rowOff>133350</xdr:rowOff>
    </xdr:to>
    <xdr:cxnSp macro="">
      <xdr:nvCxnSpPr>
        <xdr:cNvPr id="131" name="Straight Arrow Connector 130">
          <a:extLst>
            <a:ext uri="{FF2B5EF4-FFF2-40B4-BE49-F238E27FC236}">
              <a16:creationId xmlns:a16="http://schemas.microsoft.com/office/drawing/2014/main" id="{29E45E3B-8F48-412E-93E8-27A01F75497F}"/>
            </a:ext>
          </a:extLst>
        </xdr:cNvPr>
        <xdr:cNvCxnSpPr/>
      </xdr:nvCxnSpPr>
      <xdr:spPr>
        <a:xfrm flipV="1">
          <a:off x="7810500" y="5334000"/>
          <a:ext cx="0" cy="190500"/>
        </a:xfrm>
        <a:prstGeom prst="straightConnector1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368300</xdr:colOff>
      <xdr:row>32</xdr:row>
      <xdr:rowOff>133350</xdr:rowOff>
    </xdr:from>
    <xdr:to>
      <xdr:col>2</xdr:col>
      <xdr:colOff>368300</xdr:colOff>
      <xdr:row>33</xdr:row>
      <xdr:rowOff>6350</xdr:rowOff>
    </xdr:to>
    <xdr:cxnSp macro="">
      <xdr:nvCxnSpPr>
        <xdr:cNvPr id="132" name="Straight Arrow Connector 131">
          <a:extLst>
            <a:ext uri="{FF2B5EF4-FFF2-40B4-BE49-F238E27FC236}">
              <a16:creationId xmlns:a16="http://schemas.microsoft.com/office/drawing/2014/main" id="{17B21E29-8DA2-4115-99E8-1682E5200ECD}"/>
            </a:ext>
          </a:extLst>
        </xdr:cNvPr>
        <xdr:cNvCxnSpPr/>
      </xdr:nvCxnSpPr>
      <xdr:spPr>
        <a:xfrm flipV="1">
          <a:off x="1587500" y="6286500"/>
          <a:ext cx="0" cy="63500"/>
        </a:xfrm>
        <a:prstGeom prst="straightConnector1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368300</xdr:colOff>
      <xdr:row>32</xdr:row>
      <xdr:rowOff>133350</xdr:rowOff>
    </xdr:from>
    <xdr:to>
      <xdr:col>4</xdr:col>
      <xdr:colOff>38100</xdr:colOff>
      <xdr:row>32</xdr:row>
      <xdr:rowOff>133350</xdr:rowOff>
    </xdr:to>
    <xdr:cxnSp macro="">
      <xdr:nvCxnSpPr>
        <xdr:cNvPr id="133" name="Straight Arrow Connector 132">
          <a:extLst>
            <a:ext uri="{FF2B5EF4-FFF2-40B4-BE49-F238E27FC236}">
              <a16:creationId xmlns:a16="http://schemas.microsoft.com/office/drawing/2014/main" id="{A8AECE68-E62A-4570-8020-7D9E14B0FD3D}"/>
            </a:ext>
          </a:extLst>
        </xdr:cNvPr>
        <xdr:cNvCxnSpPr/>
      </xdr:nvCxnSpPr>
      <xdr:spPr>
        <a:xfrm>
          <a:off x="1587500" y="6286500"/>
          <a:ext cx="889000" cy="0"/>
        </a:xfrm>
        <a:prstGeom prst="straightConnector1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38100</xdr:colOff>
      <xdr:row>31</xdr:row>
      <xdr:rowOff>133350</xdr:rowOff>
    </xdr:from>
    <xdr:to>
      <xdr:col>4</xdr:col>
      <xdr:colOff>38100</xdr:colOff>
      <xdr:row>32</xdr:row>
      <xdr:rowOff>133350</xdr:rowOff>
    </xdr:to>
    <xdr:cxnSp macro="">
      <xdr:nvCxnSpPr>
        <xdr:cNvPr id="134" name="Straight Arrow Connector 133">
          <a:extLst>
            <a:ext uri="{FF2B5EF4-FFF2-40B4-BE49-F238E27FC236}">
              <a16:creationId xmlns:a16="http://schemas.microsoft.com/office/drawing/2014/main" id="{C4F4FB9C-55B3-4242-90E2-44259F81F4F1}"/>
            </a:ext>
          </a:extLst>
        </xdr:cNvPr>
        <xdr:cNvCxnSpPr/>
      </xdr:nvCxnSpPr>
      <xdr:spPr>
        <a:xfrm flipV="1">
          <a:off x="2476500" y="6096000"/>
          <a:ext cx="0" cy="190500"/>
        </a:xfrm>
        <a:prstGeom prst="straightConnector1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317500</xdr:colOff>
      <xdr:row>32</xdr:row>
      <xdr:rowOff>133350</xdr:rowOff>
    </xdr:from>
    <xdr:to>
      <xdr:col>5</xdr:col>
      <xdr:colOff>317500</xdr:colOff>
      <xdr:row>33</xdr:row>
      <xdr:rowOff>6350</xdr:rowOff>
    </xdr:to>
    <xdr:cxnSp macro="">
      <xdr:nvCxnSpPr>
        <xdr:cNvPr id="135" name="Straight Arrow Connector 134">
          <a:extLst>
            <a:ext uri="{FF2B5EF4-FFF2-40B4-BE49-F238E27FC236}">
              <a16:creationId xmlns:a16="http://schemas.microsoft.com/office/drawing/2014/main" id="{843333EA-5AC8-4364-B7D0-D650A27A0B8C}"/>
            </a:ext>
          </a:extLst>
        </xdr:cNvPr>
        <xdr:cNvCxnSpPr/>
      </xdr:nvCxnSpPr>
      <xdr:spPr>
        <a:xfrm flipV="1">
          <a:off x="3365500" y="6286500"/>
          <a:ext cx="0" cy="63500"/>
        </a:xfrm>
        <a:prstGeom prst="straightConnector1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38100</xdr:colOff>
      <xdr:row>32</xdr:row>
      <xdr:rowOff>133350</xdr:rowOff>
    </xdr:from>
    <xdr:to>
      <xdr:col>5</xdr:col>
      <xdr:colOff>317500</xdr:colOff>
      <xdr:row>32</xdr:row>
      <xdr:rowOff>133350</xdr:rowOff>
    </xdr:to>
    <xdr:cxnSp macro="">
      <xdr:nvCxnSpPr>
        <xdr:cNvPr id="136" name="Straight Arrow Connector 135">
          <a:extLst>
            <a:ext uri="{FF2B5EF4-FFF2-40B4-BE49-F238E27FC236}">
              <a16:creationId xmlns:a16="http://schemas.microsoft.com/office/drawing/2014/main" id="{3790D185-8789-48E9-B688-28037E36D1AF}"/>
            </a:ext>
          </a:extLst>
        </xdr:cNvPr>
        <xdr:cNvCxnSpPr/>
      </xdr:nvCxnSpPr>
      <xdr:spPr>
        <a:xfrm flipH="1">
          <a:off x="2476500" y="6286500"/>
          <a:ext cx="889000" cy="0"/>
        </a:xfrm>
        <a:prstGeom prst="straightConnector1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38100</xdr:colOff>
      <xdr:row>31</xdr:row>
      <xdr:rowOff>133350</xdr:rowOff>
    </xdr:from>
    <xdr:to>
      <xdr:col>4</xdr:col>
      <xdr:colOff>38100</xdr:colOff>
      <xdr:row>32</xdr:row>
      <xdr:rowOff>133350</xdr:rowOff>
    </xdr:to>
    <xdr:cxnSp macro="">
      <xdr:nvCxnSpPr>
        <xdr:cNvPr id="137" name="Straight Arrow Connector 136">
          <a:extLst>
            <a:ext uri="{FF2B5EF4-FFF2-40B4-BE49-F238E27FC236}">
              <a16:creationId xmlns:a16="http://schemas.microsoft.com/office/drawing/2014/main" id="{750BBD88-430C-4289-9CFF-1B7CE5112397}"/>
            </a:ext>
          </a:extLst>
        </xdr:cNvPr>
        <xdr:cNvCxnSpPr/>
      </xdr:nvCxnSpPr>
      <xdr:spPr>
        <a:xfrm flipV="1">
          <a:off x="2476500" y="6096000"/>
          <a:ext cx="0" cy="190500"/>
        </a:xfrm>
        <a:prstGeom prst="straightConnector1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381000</xdr:colOff>
      <xdr:row>32</xdr:row>
      <xdr:rowOff>133350</xdr:rowOff>
    </xdr:from>
    <xdr:to>
      <xdr:col>10</xdr:col>
      <xdr:colOff>381000</xdr:colOff>
      <xdr:row>33</xdr:row>
      <xdr:rowOff>133350</xdr:rowOff>
    </xdr:to>
    <xdr:cxnSp macro="">
      <xdr:nvCxnSpPr>
        <xdr:cNvPr id="138" name="Straight Arrow Connector 137">
          <a:extLst>
            <a:ext uri="{FF2B5EF4-FFF2-40B4-BE49-F238E27FC236}">
              <a16:creationId xmlns:a16="http://schemas.microsoft.com/office/drawing/2014/main" id="{9C73B5B8-19B4-46A6-B306-8639138112D8}"/>
            </a:ext>
          </a:extLst>
        </xdr:cNvPr>
        <xdr:cNvCxnSpPr/>
      </xdr:nvCxnSpPr>
      <xdr:spPr>
        <a:xfrm flipV="1">
          <a:off x="6477000" y="6286500"/>
          <a:ext cx="0" cy="190500"/>
        </a:xfrm>
        <a:prstGeom prst="straightConnector1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381000</xdr:colOff>
      <xdr:row>32</xdr:row>
      <xdr:rowOff>133350</xdr:rowOff>
    </xdr:from>
    <xdr:to>
      <xdr:col>11</xdr:col>
      <xdr:colOff>215900</xdr:colOff>
      <xdr:row>32</xdr:row>
      <xdr:rowOff>133350</xdr:rowOff>
    </xdr:to>
    <xdr:cxnSp macro="">
      <xdr:nvCxnSpPr>
        <xdr:cNvPr id="139" name="Straight Arrow Connector 138">
          <a:extLst>
            <a:ext uri="{FF2B5EF4-FFF2-40B4-BE49-F238E27FC236}">
              <a16:creationId xmlns:a16="http://schemas.microsoft.com/office/drawing/2014/main" id="{20DDB4DC-536E-4154-B8B5-0FB374D0673F}"/>
            </a:ext>
          </a:extLst>
        </xdr:cNvPr>
        <xdr:cNvCxnSpPr/>
      </xdr:nvCxnSpPr>
      <xdr:spPr>
        <a:xfrm>
          <a:off x="6477000" y="6286500"/>
          <a:ext cx="444500" cy="0"/>
        </a:xfrm>
        <a:prstGeom prst="straightConnector1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215900</xdr:colOff>
      <xdr:row>31</xdr:row>
      <xdr:rowOff>133350</xdr:rowOff>
    </xdr:from>
    <xdr:to>
      <xdr:col>11</xdr:col>
      <xdr:colOff>215900</xdr:colOff>
      <xdr:row>32</xdr:row>
      <xdr:rowOff>133350</xdr:rowOff>
    </xdr:to>
    <xdr:cxnSp macro="">
      <xdr:nvCxnSpPr>
        <xdr:cNvPr id="140" name="Straight Arrow Connector 139">
          <a:extLst>
            <a:ext uri="{FF2B5EF4-FFF2-40B4-BE49-F238E27FC236}">
              <a16:creationId xmlns:a16="http://schemas.microsoft.com/office/drawing/2014/main" id="{F28CAD7A-9D58-4587-92B5-6622ED644CB1}"/>
            </a:ext>
          </a:extLst>
        </xdr:cNvPr>
        <xdr:cNvCxnSpPr/>
      </xdr:nvCxnSpPr>
      <xdr:spPr>
        <a:xfrm flipV="1">
          <a:off x="6921500" y="6096000"/>
          <a:ext cx="0" cy="190500"/>
        </a:xfrm>
        <a:prstGeom prst="straightConnector1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50800</xdr:colOff>
      <xdr:row>32</xdr:row>
      <xdr:rowOff>133350</xdr:rowOff>
    </xdr:from>
    <xdr:to>
      <xdr:col>12</xdr:col>
      <xdr:colOff>50800</xdr:colOff>
      <xdr:row>33</xdr:row>
      <xdr:rowOff>133350</xdr:rowOff>
    </xdr:to>
    <xdr:cxnSp macro="">
      <xdr:nvCxnSpPr>
        <xdr:cNvPr id="141" name="Straight Arrow Connector 140">
          <a:extLst>
            <a:ext uri="{FF2B5EF4-FFF2-40B4-BE49-F238E27FC236}">
              <a16:creationId xmlns:a16="http://schemas.microsoft.com/office/drawing/2014/main" id="{5E60B67C-3987-43E3-98B5-8383695845D0}"/>
            </a:ext>
          </a:extLst>
        </xdr:cNvPr>
        <xdr:cNvCxnSpPr/>
      </xdr:nvCxnSpPr>
      <xdr:spPr>
        <a:xfrm flipV="1">
          <a:off x="7366000" y="6286500"/>
          <a:ext cx="0" cy="190500"/>
        </a:xfrm>
        <a:prstGeom prst="straightConnector1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215900</xdr:colOff>
      <xdr:row>32</xdr:row>
      <xdr:rowOff>133350</xdr:rowOff>
    </xdr:from>
    <xdr:to>
      <xdr:col>12</xdr:col>
      <xdr:colOff>50800</xdr:colOff>
      <xdr:row>32</xdr:row>
      <xdr:rowOff>133350</xdr:rowOff>
    </xdr:to>
    <xdr:cxnSp macro="">
      <xdr:nvCxnSpPr>
        <xdr:cNvPr id="142" name="Straight Arrow Connector 141">
          <a:extLst>
            <a:ext uri="{FF2B5EF4-FFF2-40B4-BE49-F238E27FC236}">
              <a16:creationId xmlns:a16="http://schemas.microsoft.com/office/drawing/2014/main" id="{A32A076D-28AD-4373-85E8-732FD759AD54}"/>
            </a:ext>
          </a:extLst>
        </xdr:cNvPr>
        <xdr:cNvCxnSpPr/>
      </xdr:nvCxnSpPr>
      <xdr:spPr>
        <a:xfrm flipH="1">
          <a:off x="6921500" y="6286500"/>
          <a:ext cx="444500" cy="0"/>
        </a:xfrm>
        <a:prstGeom prst="straightConnector1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215900</xdr:colOff>
      <xdr:row>31</xdr:row>
      <xdr:rowOff>133350</xdr:rowOff>
    </xdr:from>
    <xdr:to>
      <xdr:col>11</xdr:col>
      <xdr:colOff>215900</xdr:colOff>
      <xdr:row>32</xdr:row>
      <xdr:rowOff>133350</xdr:rowOff>
    </xdr:to>
    <xdr:cxnSp macro="">
      <xdr:nvCxnSpPr>
        <xdr:cNvPr id="143" name="Straight Arrow Connector 142">
          <a:extLst>
            <a:ext uri="{FF2B5EF4-FFF2-40B4-BE49-F238E27FC236}">
              <a16:creationId xmlns:a16="http://schemas.microsoft.com/office/drawing/2014/main" id="{A1166D23-BCD5-4523-8033-BE9D3646C5E3}"/>
            </a:ext>
          </a:extLst>
        </xdr:cNvPr>
        <xdr:cNvCxnSpPr/>
      </xdr:nvCxnSpPr>
      <xdr:spPr>
        <a:xfrm flipV="1">
          <a:off x="6921500" y="6096000"/>
          <a:ext cx="0" cy="190500"/>
        </a:xfrm>
        <a:prstGeom prst="straightConnector1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330200</xdr:colOff>
      <xdr:row>32</xdr:row>
      <xdr:rowOff>133350</xdr:rowOff>
    </xdr:from>
    <xdr:to>
      <xdr:col>13</xdr:col>
      <xdr:colOff>330200</xdr:colOff>
      <xdr:row>33</xdr:row>
      <xdr:rowOff>133350</xdr:rowOff>
    </xdr:to>
    <xdr:cxnSp macro="">
      <xdr:nvCxnSpPr>
        <xdr:cNvPr id="144" name="Straight Arrow Connector 143">
          <a:extLst>
            <a:ext uri="{FF2B5EF4-FFF2-40B4-BE49-F238E27FC236}">
              <a16:creationId xmlns:a16="http://schemas.microsoft.com/office/drawing/2014/main" id="{C542ED63-F2E6-43C0-B2BE-19DF1D8569A0}"/>
            </a:ext>
          </a:extLst>
        </xdr:cNvPr>
        <xdr:cNvCxnSpPr/>
      </xdr:nvCxnSpPr>
      <xdr:spPr>
        <a:xfrm flipV="1">
          <a:off x="8255000" y="6286500"/>
          <a:ext cx="0" cy="190500"/>
        </a:xfrm>
        <a:prstGeom prst="straightConnector1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330200</xdr:colOff>
      <xdr:row>32</xdr:row>
      <xdr:rowOff>133350</xdr:rowOff>
    </xdr:from>
    <xdr:to>
      <xdr:col>14</xdr:col>
      <xdr:colOff>31750</xdr:colOff>
      <xdr:row>32</xdr:row>
      <xdr:rowOff>133350</xdr:rowOff>
    </xdr:to>
    <xdr:cxnSp macro="">
      <xdr:nvCxnSpPr>
        <xdr:cNvPr id="145" name="Straight Arrow Connector 144">
          <a:extLst>
            <a:ext uri="{FF2B5EF4-FFF2-40B4-BE49-F238E27FC236}">
              <a16:creationId xmlns:a16="http://schemas.microsoft.com/office/drawing/2014/main" id="{F6EC70A5-45DB-43D4-8792-04D176BD16F4}"/>
            </a:ext>
          </a:extLst>
        </xdr:cNvPr>
        <xdr:cNvCxnSpPr/>
      </xdr:nvCxnSpPr>
      <xdr:spPr>
        <a:xfrm>
          <a:off x="8255000" y="6286500"/>
          <a:ext cx="444500" cy="0"/>
        </a:xfrm>
        <a:prstGeom prst="straightConnector1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31750</xdr:colOff>
      <xdr:row>31</xdr:row>
      <xdr:rowOff>133350</xdr:rowOff>
    </xdr:from>
    <xdr:to>
      <xdr:col>14</xdr:col>
      <xdr:colOff>31750</xdr:colOff>
      <xdr:row>32</xdr:row>
      <xdr:rowOff>133350</xdr:rowOff>
    </xdr:to>
    <xdr:cxnSp macro="">
      <xdr:nvCxnSpPr>
        <xdr:cNvPr id="146" name="Straight Arrow Connector 145">
          <a:extLst>
            <a:ext uri="{FF2B5EF4-FFF2-40B4-BE49-F238E27FC236}">
              <a16:creationId xmlns:a16="http://schemas.microsoft.com/office/drawing/2014/main" id="{387ED1D7-F5AF-44BE-BC12-1E0931176501}"/>
            </a:ext>
          </a:extLst>
        </xdr:cNvPr>
        <xdr:cNvCxnSpPr/>
      </xdr:nvCxnSpPr>
      <xdr:spPr>
        <a:xfrm flipV="1">
          <a:off x="8699500" y="6096000"/>
          <a:ext cx="0" cy="190500"/>
        </a:xfrm>
        <a:prstGeom prst="straightConnector1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476250</xdr:colOff>
      <xdr:row>32</xdr:row>
      <xdr:rowOff>133350</xdr:rowOff>
    </xdr:from>
    <xdr:to>
      <xdr:col>14</xdr:col>
      <xdr:colOff>476250</xdr:colOff>
      <xdr:row>33</xdr:row>
      <xdr:rowOff>6350</xdr:rowOff>
    </xdr:to>
    <xdr:cxnSp macro="">
      <xdr:nvCxnSpPr>
        <xdr:cNvPr id="147" name="Straight Arrow Connector 146">
          <a:extLst>
            <a:ext uri="{FF2B5EF4-FFF2-40B4-BE49-F238E27FC236}">
              <a16:creationId xmlns:a16="http://schemas.microsoft.com/office/drawing/2014/main" id="{3E809EA3-DE03-4D06-929F-4C91B54E3996}"/>
            </a:ext>
          </a:extLst>
        </xdr:cNvPr>
        <xdr:cNvCxnSpPr/>
      </xdr:nvCxnSpPr>
      <xdr:spPr>
        <a:xfrm flipV="1">
          <a:off x="9144000" y="6286500"/>
          <a:ext cx="0" cy="63500"/>
        </a:xfrm>
        <a:prstGeom prst="straightConnector1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31750</xdr:colOff>
      <xdr:row>32</xdr:row>
      <xdr:rowOff>133350</xdr:rowOff>
    </xdr:from>
    <xdr:to>
      <xdr:col>14</xdr:col>
      <xdr:colOff>476250</xdr:colOff>
      <xdr:row>32</xdr:row>
      <xdr:rowOff>133350</xdr:rowOff>
    </xdr:to>
    <xdr:cxnSp macro="">
      <xdr:nvCxnSpPr>
        <xdr:cNvPr id="148" name="Straight Arrow Connector 147">
          <a:extLst>
            <a:ext uri="{FF2B5EF4-FFF2-40B4-BE49-F238E27FC236}">
              <a16:creationId xmlns:a16="http://schemas.microsoft.com/office/drawing/2014/main" id="{EEF11CDC-8988-4426-AD4F-7DC4E7628428}"/>
            </a:ext>
          </a:extLst>
        </xdr:cNvPr>
        <xdr:cNvCxnSpPr/>
      </xdr:nvCxnSpPr>
      <xdr:spPr>
        <a:xfrm flipH="1">
          <a:off x="8699500" y="6286500"/>
          <a:ext cx="444500" cy="0"/>
        </a:xfrm>
        <a:prstGeom prst="straightConnector1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31750</xdr:colOff>
      <xdr:row>31</xdr:row>
      <xdr:rowOff>133350</xdr:rowOff>
    </xdr:from>
    <xdr:to>
      <xdr:col>14</xdr:col>
      <xdr:colOff>31750</xdr:colOff>
      <xdr:row>32</xdr:row>
      <xdr:rowOff>133350</xdr:rowOff>
    </xdr:to>
    <xdr:cxnSp macro="">
      <xdr:nvCxnSpPr>
        <xdr:cNvPr id="149" name="Straight Arrow Connector 148">
          <a:extLst>
            <a:ext uri="{FF2B5EF4-FFF2-40B4-BE49-F238E27FC236}">
              <a16:creationId xmlns:a16="http://schemas.microsoft.com/office/drawing/2014/main" id="{0C097329-FF56-4C64-925F-B7C7DCBA34D8}"/>
            </a:ext>
          </a:extLst>
        </xdr:cNvPr>
        <xdr:cNvCxnSpPr/>
      </xdr:nvCxnSpPr>
      <xdr:spPr>
        <a:xfrm flipV="1">
          <a:off x="8699500" y="6096000"/>
          <a:ext cx="0" cy="190500"/>
        </a:xfrm>
        <a:prstGeom prst="straightConnector1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533400</xdr:colOff>
      <xdr:row>36</xdr:row>
      <xdr:rowOff>133350</xdr:rowOff>
    </xdr:from>
    <xdr:to>
      <xdr:col>1</xdr:col>
      <xdr:colOff>533400</xdr:colOff>
      <xdr:row>37</xdr:row>
      <xdr:rowOff>133350</xdr:rowOff>
    </xdr:to>
    <xdr:cxnSp macro="">
      <xdr:nvCxnSpPr>
        <xdr:cNvPr id="150" name="Straight Arrow Connector 149">
          <a:extLst>
            <a:ext uri="{FF2B5EF4-FFF2-40B4-BE49-F238E27FC236}">
              <a16:creationId xmlns:a16="http://schemas.microsoft.com/office/drawing/2014/main" id="{1358638D-25BC-4645-BFFF-79D34AAB3C51}"/>
            </a:ext>
          </a:extLst>
        </xdr:cNvPr>
        <xdr:cNvCxnSpPr/>
      </xdr:nvCxnSpPr>
      <xdr:spPr>
        <a:xfrm flipV="1">
          <a:off x="1143000" y="7048500"/>
          <a:ext cx="0" cy="190500"/>
        </a:xfrm>
        <a:prstGeom prst="straightConnector1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533400</xdr:colOff>
      <xdr:row>36</xdr:row>
      <xdr:rowOff>133350</xdr:rowOff>
    </xdr:from>
    <xdr:to>
      <xdr:col>2</xdr:col>
      <xdr:colOff>368300</xdr:colOff>
      <xdr:row>36</xdr:row>
      <xdr:rowOff>133350</xdr:rowOff>
    </xdr:to>
    <xdr:cxnSp macro="">
      <xdr:nvCxnSpPr>
        <xdr:cNvPr id="151" name="Straight Arrow Connector 150">
          <a:extLst>
            <a:ext uri="{FF2B5EF4-FFF2-40B4-BE49-F238E27FC236}">
              <a16:creationId xmlns:a16="http://schemas.microsoft.com/office/drawing/2014/main" id="{C9D6A3AF-2760-4253-A5AC-8FA92E947FC9}"/>
            </a:ext>
          </a:extLst>
        </xdr:cNvPr>
        <xdr:cNvCxnSpPr/>
      </xdr:nvCxnSpPr>
      <xdr:spPr>
        <a:xfrm>
          <a:off x="1143000" y="7048500"/>
          <a:ext cx="444500" cy="0"/>
        </a:xfrm>
        <a:prstGeom prst="straightConnector1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368300</xdr:colOff>
      <xdr:row>35</xdr:row>
      <xdr:rowOff>133350</xdr:rowOff>
    </xdr:from>
    <xdr:to>
      <xdr:col>2</xdr:col>
      <xdr:colOff>368300</xdr:colOff>
      <xdr:row>36</xdr:row>
      <xdr:rowOff>133350</xdr:rowOff>
    </xdr:to>
    <xdr:cxnSp macro="">
      <xdr:nvCxnSpPr>
        <xdr:cNvPr id="152" name="Straight Arrow Connector 151">
          <a:extLst>
            <a:ext uri="{FF2B5EF4-FFF2-40B4-BE49-F238E27FC236}">
              <a16:creationId xmlns:a16="http://schemas.microsoft.com/office/drawing/2014/main" id="{A82E939E-7FFC-4AC2-B636-1D50994925EB}"/>
            </a:ext>
          </a:extLst>
        </xdr:cNvPr>
        <xdr:cNvCxnSpPr/>
      </xdr:nvCxnSpPr>
      <xdr:spPr>
        <a:xfrm flipV="1">
          <a:off x="1587500" y="6858000"/>
          <a:ext cx="0" cy="190500"/>
        </a:xfrm>
        <a:prstGeom prst="straightConnector1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203200</xdr:colOff>
      <xdr:row>36</xdr:row>
      <xdr:rowOff>133350</xdr:rowOff>
    </xdr:from>
    <xdr:to>
      <xdr:col>3</xdr:col>
      <xdr:colOff>203200</xdr:colOff>
      <xdr:row>37</xdr:row>
      <xdr:rowOff>133350</xdr:rowOff>
    </xdr:to>
    <xdr:cxnSp macro="">
      <xdr:nvCxnSpPr>
        <xdr:cNvPr id="153" name="Straight Arrow Connector 152">
          <a:extLst>
            <a:ext uri="{FF2B5EF4-FFF2-40B4-BE49-F238E27FC236}">
              <a16:creationId xmlns:a16="http://schemas.microsoft.com/office/drawing/2014/main" id="{7188F292-6B95-4833-A450-36FC6DC69E99}"/>
            </a:ext>
          </a:extLst>
        </xdr:cNvPr>
        <xdr:cNvCxnSpPr/>
      </xdr:nvCxnSpPr>
      <xdr:spPr>
        <a:xfrm flipV="1">
          <a:off x="2032000" y="7048500"/>
          <a:ext cx="0" cy="190500"/>
        </a:xfrm>
        <a:prstGeom prst="straightConnector1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368300</xdr:colOff>
      <xdr:row>36</xdr:row>
      <xdr:rowOff>133350</xdr:rowOff>
    </xdr:from>
    <xdr:to>
      <xdr:col>3</xdr:col>
      <xdr:colOff>203200</xdr:colOff>
      <xdr:row>36</xdr:row>
      <xdr:rowOff>133350</xdr:rowOff>
    </xdr:to>
    <xdr:cxnSp macro="">
      <xdr:nvCxnSpPr>
        <xdr:cNvPr id="154" name="Straight Arrow Connector 153">
          <a:extLst>
            <a:ext uri="{FF2B5EF4-FFF2-40B4-BE49-F238E27FC236}">
              <a16:creationId xmlns:a16="http://schemas.microsoft.com/office/drawing/2014/main" id="{19B62F57-8016-44A7-BFA3-13F710241E77}"/>
            </a:ext>
          </a:extLst>
        </xdr:cNvPr>
        <xdr:cNvCxnSpPr/>
      </xdr:nvCxnSpPr>
      <xdr:spPr>
        <a:xfrm flipH="1">
          <a:off x="1587500" y="7048500"/>
          <a:ext cx="444500" cy="0"/>
        </a:xfrm>
        <a:prstGeom prst="straightConnector1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368300</xdr:colOff>
      <xdr:row>35</xdr:row>
      <xdr:rowOff>133350</xdr:rowOff>
    </xdr:from>
    <xdr:to>
      <xdr:col>2</xdr:col>
      <xdr:colOff>368300</xdr:colOff>
      <xdr:row>36</xdr:row>
      <xdr:rowOff>133350</xdr:rowOff>
    </xdr:to>
    <xdr:cxnSp macro="">
      <xdr:nvCxnSpPr>
        <xdr:cNvPr id="155" name="Straight Arrow Connector 154">
          <a:extLst>
            <a:ext uri="{FF2B5EF4-FFF2-40B4-BE49-F238E27FC236}">
              <a16:creationId xmlns:a16="http://schemas.microsoft.com/office/drawing/2014/main" id="{B4D2E31F-2820-401B-997A-863A89932D85}"/>
            </a:ext>
          </a:extLst>
        </xdr:cNvPr>
        <xdr:cNvCxnSpPr/>
      </xdr:nvCxnSpPr>
      <xdr:spPr>
        <a:xfrm flipV="1">
          <a:off x="1587500" y="6858000"/>
          <a:ext cx="0" cy="190500"/>
        </a:xfrm>
        <a:prstGeom prst="straightConnector1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482600</xdr:colOff>
      <xdr:row>36</xdr:row>
      <xdr:rowOff>133350</xdr:rowOff>
    </xdr:from>
    <xdr:to>
      <xdr:col>4</xdr:col>
      <xdr:colOff>482600</xdr:colOff>
      <xdr:row>37</xdr:row>
      <xdr:rowOff>133350</xdr:rowOff>
    </xdr:to>
    <xdr:cxnSp macro="">
      <xdr:nvCxnSpPr>
        <xdr:cNvPr id="156" name="Straight Arrow Connector 155">
          <a:extLst>
            <a:ext uri="{FF2B5EF4-FFF2-40B4-BE49-F238E27FC236}">
              <a16:creationId xmlns:a16="http://schemas.microsoft.com/office/drawing/2014/main" id="{BEE29683-3763-42FA-B005-BDE4B52680D8}"/>
            </a:ext>
          </a:extLst>
        </xdr:cNvPr>
        <xdr:cNvCxnSpPr/>
      </xdr:nvCxnSpPr>
      <xdr:spPr>
        <a:xfrm flipV="1">
          <a:off x="2921000" y="7048500"/>
          <a:ext cx="0" cy="190500"/>
        </a:xfrm>
        <a:prstGeom prst="straightConnector1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482600</xdr:colOff>
      <xdr:row>36</xdr:row>
      <xdr:rowOff>133350</xdr:rowOff>
    </xdr:from>
    <xdr:to>
      <xdr:col>5</xdr:col>
      <xdr:colOff>317500</xdr:colOff>
      <xdr:row>36</xdr:row>
      <xdr:rowOff>133350</xdr:rowOff>
    </xdr:to>
    <xdr:cxnSp macro="">
      <xdr:nvCxnSpPr>
        <xdr:cNvPr id="157" name="Straight Arrow Connector 156">
          <a:extLst>
            <a:ext uri="{FF2B5EF4-FFF2-40B4-BE49-F238E27FC236}">
              <a16:creationId xmlns:a16="http://schemas.microsoft.com/office/drawing/2014/main" id="{255A2975-74E4-413C-B7BC-C3101F51FA28}"/>
            </a:ext>
          </a:extLst>
        </xdr:cNvPr>
        <xdr:cNvCxnSpPr/>
      </xdr:nvCxnSpPr>
      <xdr:spPr>
        <a:xfrm>
          <a:off x="2921000" y="7048500"/>
          <a:ext cx="444500" cy="0"/>
        </a:xfrm>
        <a:prstGeom prst="straightConnector1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317500</xdr:colOff>
      <xdr:row>35</xdr:row>
      <xdr:rowOff>133350</xdr:rowOff>
    </xdr:from>
    <xdr:to>
      <xdr:col>5</xdr:col>
      <xdr:colOff>317500</xdr:colOff>
      <xdr:row>36</xdr:row>
      <xdr:rowOff>133350</xdr:rowOff>
    </xdr:to>
    <xdr:cxnSp macro="">
      <xdr:nvCxnSpPr>
        <xdr:cNvPr id="158" name="Straight Arrow Connector 157">
          <a:extLst>
            <a:ext uri="{FF2B5EF4-FFF2-40B4-BE49-F238E27FC236}">
              <a16:creationId xmlns:a16="http://schemas.microsoft.com/office/drawing/2014/main" id="{412988E6-EEF2-47E6-BFBA-734A633C35A4}"/>
            </a:ext>
          </a:extLst>
        </xdr:cNvPr>
        <xdr:cNvCxnSpPr/>
      </xdr:nvCxnSpPr>
      <xdr:spPr>
        <a:xfrm flipV="1">
          <a:off x="3365500" y="6858000"/>
          <a:ext cx="0" cy="190500"/>
        </a:xfrm>
        <a:prstGeom prst="straightConnector1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152400</xdr:colOff>
      <xdr:row>36</xdr:row>
      <xdr:rowOff>133350</xdr:rowOff>
    </xdr:from>
    <xdr:to>
      <xdr:col>6</xdr:col>
      <xdr:colOff>152400</xdr:colOff>
      <xdr:row>37</xdr:row>
      <xdr:rowOff>133350</xdr:rowOff>
    </xdr:to>
    <xdr:cxnSp macro="">
      <xdr:nvCxnSpPr>
        <xdr:cNvPr id="159" name="Straight Arrow Connector 158">
          <a:extLst>
            <a:ext uri="{FF2B5EF4-FFF2-40B4-BE49-F238E27FC236}">
              <a16:creationId xmlns:a16="http://schemas.microsoft.com/office/drawing/2014/main" id="{F61D402A-45B0-4926-BBFE-5CB1B482E5F2}"/>
            </a:ext>
          </a:extLst>
        </xdr:cNvPr>
        <xdr:cNvCxnSpPr/>
      </xdr:nvCxnSpPr>
      <xdr:spPr>
        <a:xfrm flipV="1">
          <a:off x="3810000" y="7048500"/>
          <a:ext cx="0" cy="190500"/>
        </a:xfrm>
        <a:prstGeom prst="straightConnector1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317500</xdr:colOff>
      <xdr:row>36</xdr:row>
      <xdr:rowOff>133350</xdr:rowOff>
    </xdr:from>
    <xdr:to>
      <xdr:col>6</xdr:col>
      <xdr:colOff>152400</xdr:colOff>
      <xdr:row>36</xdr:row>
      <xdr:rowOff>133350</xdr:rowOff>
    </xdr:to>
    <xdr:cxnSp macro="">
      <xdr:nvCxnSpPr>
        <xdr:cNvPr id="160" name="Straight Arrow Connector 159">
          <a:extLst>
            <a:ext uri="{FF2B5EF4-FFF2-40B4-BE49-F238E27FC236}">
              <a16:creationId xmlns:a16="http://schemas.microsoft.com/office/drawing/2014/main" id="{8655B23C-68B9-44B6-88AE-9199AED5E081}"/>
            </a:ext>
          </a:extLst>
        </xdr:cNvPr>
        <xdr:cNvCxnSpPr/>
      </xdr:nvCxnSpPr>
      <xdr:spPr>
        <a:xfrm flipH="1">
          <a:off x="3365500" y="7048500"/>
          <a:ext cx="444500" cy="0"/>
        </a:xfrm>
        <a:prstGeom prst="straightConnector1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317500</xdr:colOff>
      <xdr:row>35</xdr:row>
      <xdr:rowOff>133350</xdr:rowOff>
    </xdr:from>
    <xdr:to>
      <xdr:col>5</xdr:col>
      <xdr:colOff>317500</xdr:colOff>
      <xdr:row>36</xdr:row>
      <xdr:rowOff>133350</xdr:rowOff>
    </xdr:to>
    <xdr:cxnSp macro="">
      <xdr:nvCxnSpPr>
        <xdr:cNvPr id="161" name="Straight Arrow Connector 160">
          <a:extLst>
            <a:ext uri="{FF2B5EF4-FFF2-40B4-BE49-F238E27FC236}">
              <a16:creationId xmlns:a16="http://schemas.microsoft.com/office/drawing/2014/main" id="{FF345EAF-CC05-4B93-A5B1-959CACE3BE48}"/>
            </a:ext>
          </a:extLst>
        </xdr:cNvPr>
        <xdr:cNvCxnSpPr/>
      </xdr:nvCxnSpPr>
      <xdr:spPr>
        <a:xfrm flipV="1">
          <a:off x="3365500" y="6858000"/>
          <a:ext cx="0" cy="190500"/>
        </a:xfrm>
        <a:prstGeom prst="straightConnector1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31750</xdr:colOff>
      <xdr:row>36</xdr:row>
      <xdr:rowOff>133350</xdr:rowOff>
    </xdr:from>
    <xdr:to>
      <xdr:col>14</xdr:col>
      <xdr:colOff>31750</xdr:colOff>
      <xdr:row>37</xdr:row>
      <xdr:rowOff>133350</xdr:rowOff>
    </xdr:to>
    <xdr:cxnSp macro="">
      <xdr:nvCxnSpPr>
        <xdr:cNvPr id="162" name="Straight Arrow Connector 161">
          <a:extLst>
            <a:ext uri="{FF2B5EF4-FFF2-40B4-BE49-F238E27FC236}">
              <a16:creationId xmlns:a16="http://schemas.microsoft.com/office/drawing/2014/main" id="{E0875D28-E77B-4942-AF03-7DED4875E1D9}"/>
            </a:ext>
          </a:extLst>
        </xdr:cNvPr>
        <xdr:cNvCxnSpPr/>
      </xdr:nvCxnSpPr>
      <xdr:spPr>
        <a:xfrm flipV="1">
          <a:off x="8699500" y="7048500"/>
          <a:ext cx="0" cy="190500"/>
        </a:xfrm>
        <a:prstGeom prst="straightConnector1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31750</xdr:colOff>
      <xdr:row>36</xdr:row>
      <xdr:rowOff>133350</xdr:rowOff>
    </xdr:from>
    <xdr:to>
      <xdr:col>14</xdr:col>
      <xdr:colOff>476250</xdr:colOff>
      <xdr:row>36</xdr:row>
      <xdr:rowOff>133350</xdr:rowOff>
    </xdr:to>
    <xdr:cxnSp macro="">
      <xdr:nvCxnSpPr>
        <xdr:cNvPr id="163" name="Straight Arrow Connector 162">
          <a:extLst>
            <a:ext uri="{FF2B5EF4-FFF2-40B4-BE49-F238E27FC236}">
              <a16:creationId xmlns:a16="http://schemas.microsoft.com/office/drawing/2014/main" id="{E793AF91-571E-4C63-A8BC-2BE64BEA03E4}"/>
            </a:ext>
          </a:extLst>
        </xdr:cNvPr>
        <xdr:cNvCxnSpPr/>
      </xdr:nvCxnSpPr>
      <xdr:spPr>
        <a:xfrm>
          <a:off x="8699500" y="7048500"/>
          <a:ext cx="444500" cy="0"/>
        </a:xfrm>
        <a:prstGeom prst="straightConnector1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476250</xdr:colOff>
      <xdr:row>35</xdr:row>
      <xdr:rowOff>133350</xdr:rowOff>
    </xdr:from>
    <xdr:to>
      <xdr:col>14</xdr:col>
      <xdr:colOff>476250</xdr:colOff>
      <xdr:row>36</xdr:row>
      <xdr:rowOff>133350</xdr:rowOff>
    </xdr:to>
    <xdr:cxnSp macro="">
      <xdr:nvCxnSpPr>
        <xdr:cNvPr id="164" name="Straight Arrow Connector 163">
          <a:extLst>
            <a:ext uri="{FF2B5EF4-FFF2-40B4-BE49-F238E27FC236}">
              <a16:creationId xmlns:a16="http://schemas.microsoft.com/office/drawing/2014/main" id="{CA8A97B3-7A63-4D37-AD99-BF0A83AE8F15}"/>
            </a:ext>
          </a:extLst>
        </xdr:cNvPr>
        <xdr:cNvCxnSpPr/>
      </xdr:nvCxnSpPr>
      <xdr:spPr>
        <a:xfrm flipV="1">
          <a:off x="9144000" y="6858000"/>
          <a:ext cx="0" cy="190500"/>
        </a:xfrm>
        <a:prstGeom prst="straightConnector1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311150</xdr:colOff>
      <xdr:row>36</xdr:row>
      <xdr:rowOff>133350</xdr:rowOff>
    </xdr:from>
    <xdr:to>
      <xdr:col>15</xdr:col>
      <xdr:colOff>311150</xdr:colOff>
      <xdr:row>37</xdr:row>
      <xdr:rowOff>133350</xdr:rowOff>
    </xdr:to>
    <xdr:cxnSp macro="">
      <xdr:nvCxnSpPr>
        <xdr:cNvPr id="165" name="Straight Arrow Connector 164">
          <a:extLst>
            <a:ext uri="{FF2B5EF4-FFF2-40B4-BE49-F238E27FC236}">
              <a16:creationId xmlns:a16="http://schemas.microsoft.com/office/drawing/2014/main" id="{55583C38-2946-4008-B0B9-D53CCB10DC25}"/>
            </a:ext>
          </a:extLst>
        </xdr:cNvPr>
        <xdr:cNvCxnSpPr/>
      </xdr:nvCxnSpPr>
      <xdr:spPr>
        <a:xfrm flipV="1">
          <a:off x="9588500" y="7048500"/>
          <a:ext cx="0" cy="190500"/>
        </a:xfrm>
        <a:prstGeom prst="straightConnector1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476250</xdr:colOff>
      <xdr:row>36</xdr:row>
      <xdr:rowOff>133350</xdr:rowOff>
    </xdr:from>
    <xdr:to>
      <xdr:col>15</xdr:col>
      <xdr:colOff>311150</xdr:colOff>
      <xdr:row>36</xdr:row>
      <xdr:rowOff>133350</xdr:rowOff>
    </xdr:to>
    <xdr:cxnSp macro="">
      <xdr:nvCxnSpPr>
        <xdr:cNvPr id="166" name="Straight Arrow Connector 165">
          <a:extLst>
            <a:ext uri="{FF2B5EF4-FFF2-40B4-BE49-F238E27FC236}">
              <a16:creationId xmlns:a16="http://schemas.microsoft.com/office/drawing/2014/main" id="{734592AE-029D-49B4-8133-E7B7E505035A}"/>
            </a:ext>
          </a:extLst>
        </xdr:cNvPr>
        <xdr:cNvCxnSpPr/>
      </xdr:nvCxnSpPr>
      <xdr:spPr>
        <a:xfrm flipH="1">
          <a:off x="9144000" y="7048500"/>
          <a:ext cx="444500" cy="0"/>
        </a:xfrm>
        <a:prstGeom prst="straightConnector1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476250</xdr:colOff>
      <xdr:row>35</xdr:row>
      <xdr:rowOff>133350</xdr:rowOff>
    </xdr:from>
    <xdr:to>
      <xdr:col>14</xdr:col>
      <xdr:colOff>476250</xdr:colOff>
      <xdr:row>36</xdr:row>
      <xdr:rowOff>133350</xdr:rowOff>
    </xdr:to>
    <xdr:cxnSp macro="">
      <xdr:nvCxnSpPr>
        <xdr:cNvPr id="167" name="Straight Arrow Connector 166">
          <a:extLst>
            <a:ext uri="{FF2B5EF4-FFF2-40B4-BE49-F238E27FC236}">
              <a16:creationId xmlns:a16="http://schemas.microsoft.com/office/drawing/2014/main" id="{E2216CB0-8B9E-4FDD-A6DD-AA1D3A7E091A}"/>
            </a:ext>
          </a:extLst>
        </xdr:cNvPr>
        <xdr:cNvCxnSpPr/>
      </xdr:nvCxnSpPr>
      <xdr:spPr>
        <a:xfrm flipV="1">
          <a:off x="9144000" y="6858000"/>
          <a:ext cx="0" cy="190500"/>
        </a:xfrm>
        <a:prstGeom prst="straightConnector1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304006</xdr:colOff>
      <xdr:row>9</xdr:row>
      <xdr:rowOff>133350</xdr:rowOff>
    </xdr:from>
    <xdr:to>
      <xdr:col>10</xdr:col>
      <xdr:colOff>456406</xdr:colOff>
      <xdr:row>11</xdr:row>
      <xdr:rowOff>133350</xdr:rowOff>
    </xdr:to>
    <xdr:sp macro="" textlink="">
      <xdr:nvSpPr>
        <xdr:cNvPr id="2" name="Oval 1">
          <a:hlinkClick xmlns:r="http://schemas.openxmlformats.org/officeDocument/2006/relationships" r:id="" tooltip="Go left if Race &lt; 0.50"/>
          <a:extLst>
            <a:ext uri="{FF2B5EF4-FFF2-40B4-BE49-F238E27FC236}">
              <a16:creationId xmlns:a16="http://schemas.microsoft.com/office/drawing/2014/main" id="{A61988D1-2C2B-4EDA-B224-4D090813ED4B}"/>
            </a:ext>
          </a:extLst>
        </xdr:cNvPr>
        <xdr:cNvSpPr/>
      </xdr:nvSpPr>
      <xdr:spPr>
        <a:xfrm>
          <a:off x="5790406" y="1905000"/>
          <a:ext cx="762000" cy="381000"/>
        </a:xfrm>
        <a:prstGeom prst="ellipse">
          <a:avLst/>
        </a:prstGeom>
        <a:solidFill>
          <a:srgbClr val="4F81BD"/>
        </a:solidFill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800" b="0" i="0"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</a:rPr>
            <a:t>0.50</a:t>
          </a:r>
        </a:p>
      </xdr:txBody>
    </xdr:sp>
    <xdr:clientData/>
  </xdr:twoCellAnchor>
  <xdr:twoCellAnchor>
    <xdr:from>
      <xdr:col>9</xdr:col>
      <xdr:colOff>304006</xdr:colOff>
      <xdr:row>9</xdr:row>
      <xdr:rowOff>6350</xdr:rowOff>
    </xdr:from>
    <xdr:to>
      <xdr:col>10</xdr:col>
      <xdr:colOff>456406</xdr:colOff>
      <xdr:row>9</xdr:row>
      <xdr:rowOff>133350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FD047D04-7ADA-4366-8692-67F5DAD4987D}"/>
            </a:ext>
          </a:extLst>
        </xdr:cNvPr>
        <xdr:cNvSpPr txBox="1"/>
      </xdr:nvSpPr>
      <xdr:spPr>
        <a:xfrm>
          <a:off x="5790406" y="1778000"/>
          <a:ext cx="762000" cy="127000"/>
        </a:xfrm>
        <a:prstGeom prst="rect">
          <a:avLst/>
        </a:prstGeom>
        <a:solidFill>
          <a:schemeClr val="lt1"/>
        </a:solidFill>
        <a:ln w="9525" cmpd="sng">
          <a:noFill/>
        </a:ln>
        <a:effectLst/>
        <a:extLs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lang="en-US" sz="800" b="0" i="0">
              <a:solidFill>
                <a:srgbClr xmlns:mc="http://schemas.openxmlformats.org/markup-compatibility/2006" xmlns:a14="http://schemas.microsoft.com/office/drawing/2010/main" val="FF0000" mc:Ignorable="a14" a14:legacySpreadsheetColorIndex="10"/>
              </a:solidFill>
            </a:rPr>
            <a:t>Race</a:t>
          </a:r>
        </a:p>
      </xdr:txBody>
    </xdr:sp>
    <xdr:clientData/>
  </xdr:twoCellAnchor>
  <xdr:twoCellAnchor>
    <xdr:from>
      <xdr:col>8</xdr:col>
      <xdr:colOff>469106</xdr:colOff>
      <xdr:row>13</xdr:row>
      <xdr:rowOff>133350</xdr:rowOff>
    </xdr:from>
    <xdr:to>
      <xdr:col>10</xdr:col>
      <xdr:colOff>11906</xdr:colOff>
      <xdr:row>15</xdr:row>
      <xdr:rowOff>133350</xdr:rowOff>
    </xdr:to>
    <xdr:sp macro="" textlink="">
      <xdr:nvSpPr>
        <xdr:cNvPr id="4" name="Oval 3">
          <a:hlinkClick xmlns:r="http://schemas.openxmlformats.org/officeDocument/2006/relationships" r:id="" tooltip="Go left if Age &lt; 73.50"/>
          <a:extLst>
            <a:ext uri="{FF2B5EF4-FFF2-40B4-BE49-F238E27FC236}">
              <a16:creationId xmlns:a16="http://schemas.microsoft.com/office/drawing/2014/main" id="{FFAC816F-2B3D-4281-8AD7-36877388C88F}"/>
            </a:ext>
          </a:extLst>
        </xdr:cNvPr>
        <xdr:cNvSpPr/>
      </xdr:nvSpPr>
      <xdr:spPr>
        <a:xfrm>
          <a:off x="5345906" y="2667000"/>
          <a:ext cx="762000" cy="381000"/>
        </a:xfrm>
        <a:prstGeom prst="ellipse">
          <a:avLst/>
        </a:prstGeom>
        <a:solidFill>
          <a:srgbClr val="4F81BD"/>
        </a:solidFill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800" b="0" i="0"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</a:rPr>
            <a:t>73.50</a:t>
          </a:r>
        </a:p>
      </xdr:txBody>
    </xdr:sp>
    <xdr:clientData/>
  </xdr:twoCellAnchor>
  <xdr:twoCellAnchor>
    <xdr:from>
      <xdr:col>8</xdr:col>
      <xdr:colOff>469106</xdr:colOff>
      <xdr:row>13</xdr:row>
      <xdr:rowOff>6350</xdr:rowOff>
    </xdr:from>
    <xdr:to>
      <xdr:col>10</xdr:col>
      <xdr:colOff>11906</xdr:colOff>
      <xdr:row>13</xdr:row>
      <xdr:rowOff>133350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AD6973D2-26A6-4EA2-913B-E3A5479BC48C}"/>
            </a:ext>
          </a:extLst>
        </xdr:cNvPr>
        <xdr:cNvSpPr txBox="1"/>
      </xdr:nvSpPr>
      <xdr:spPr>
        <a:xfrm>
          <a:off x="5345906" y="2540000"/>
          <a:ext cx="762000" cy="127000"/>
        </a:xfrm>
        <a:prstGeom prst="rect">
          <a:avLst/>
        </a:prstGeom>
        <a:solidFill>
          <a:schemeClr val="lt1"/>
        </a:solidFill>
        <a:ln w="9525" cmpd="sng">
          <a:noFill/>
        </a:ln>
        <a:effectLst/>
        <a:extLs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lang="en-US" sz="800" b="0" i="0">
              <a:solidFill>
                <a:srgbClr xmlns:mc="http://schemas.openxmlformats.org/markup-compatibility/2006" xmlns:a14="http://schemas.microsoft.com/office/drawing/2010/main" val="FF0000" mc:Ignorable="a14" a14:legacySpreadsheetColorIndex="10"/>
              </a:solidFill>
            </a:rPr>
            <a:t>Age</a:t>
          </a:r>
        </a:p>
      </xdr:txBody>
    </xdr:sp>
    <xdr:clientData/>
  </xdr:twoCellAnchor>
  <xdr:twoCellAnchor>
    <xdr:from>
      <xdr:col>9</xdr:col>
      <xdr:colOff>240506</xdr:colOff>
      <xdr:row>12</xdr:row>
      <xdr:rowOff>6350</xdr:rowOff>
    </xdr:from>
    <xdr:to>
      <xdr:col>11</xdr:col>
      <xdr:colOff>37306</xdr:colOff>
      <xdr:row>12</xdr:row>
      <xdr:rowOff>133350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A883D4B7-EEB3-458F-92B0-DAB1A4B4CFFC}"/>
            </a:ext>
          </a:extLst>
        </xdr:cNvPr>
        <xdr:cNvSpPr txBox="1"/>
      </xdr:nvSpPr>
      <xdr:spPr>
        <a:xfrm>
          <a:off x="5726906" y="2349500"/>
          <a:ext cx="1016000" cy="127000"/>
        </a:xfrm>
        <a:prstGeom prst="rect">
          <a:avLst/>
        </a:prstGeom>
        <a:solidFill>
          <a:schemeClr val="lt1"/>
        </a:solidFill>
        <a:ln w="9525" cmpd="sng">
          <a:noFill/>
        </a:ln>
        <a:effectLst/>
        <a:extLs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l"/>
          <a:r>
            <a:rPr lang="en-US" sz="800" b="0" i="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</a:rPr>
            <a:t>1543</a:t>
          </a:r>
        </a:p>
      </xdr:txBody>
    </xdr:sp>
    <xdr:clientData/>
  </xdr:twoCellAnchor>
  <xdr:twoCellAnchor>
    <xdr:from>
      <xdr:col>10</xdr:col>
      <xdr:colOff>138906</xdr:colOff>
      <xdr:row>13</xdr:row>
      <xdr:rowOff>133350</xdr:rowOff>
    </xdr:from>
    <xdr:to>
      <xdr:col>11</xdr:col>
      <xdr:colOff>291306</xdr:colOff>
      <xdr:row>15</xdr:row>
      <xdr:rowOff>133350</xdr:rowOff>
    </xdr:to>
    <xdr:sp macro="" textlink="">
      <xdr:nvSpPr>
        <xdr:cNvPr id="7" name="Rectangle 6">
          <a:hlinkClick xmlns:r="http://schemas.openxmlformats.org/officeDocument/2006/relationships" r:id="" tooltip="Terminal"/>
          <a:extLst>
            <a:ext uri="{FF2B5EF4-FFF2-40B4-BE49-F238E27FC236}">
              <a16:creationId xmlns:a16="http://schemas.microsoft.com/office/drawing/2014/main" id="{A23A39EA-7341-4786-B26C-681B20224159}"/>
            </a:ext>
          </a:extLst>
        </xdr:cNvPr>
        <xdr:cNvSpPr/>
      </xdr:nvSpPr>
      <xdr:spPr>
        <a:xfrm>
          <a:off x="6234906" y="2667000"/>
          <a:ext cx="762000" cy="381000"/>
        </a:xfrm>
        <a:prstGeom prst="rect">
          <a:avLst/>
        </a:prstGeom>
        <a:solidFill>
          <a:srgbClr val="148014"/>
        </a:solidFill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800" b="0" i="0"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</a:rPr>
            <a:t>1</a:t>
          </a:r>
        </a:p>
      </xdr:txBody>
    </xdr:sp>
    <xdr:clientData/>
  </xdr:twoCellAnchor>
  <xdr:twoCellAnchor>
    <xdr:from>
      <xdr:col>10</xdr:col>
      <xdr:colOff>138906</xdr:colOff>
      <xdr:row>12</xdr:row>
      <xdr:rowOff>6350</xdr:rowOff>
    </xdr:from>
    <xdr:to>
      <xdr:col>11</xdr:col>
      <xdr:colOff>545306</xdr:colOff>
      <xdr:row>12</xdr:row>
      <xdr:rowOff>133350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916A5A61-242F-4E51-A6D1-195D514654DD}"/>
            </a:ext>
          </a:extLst>
        </xdr:cNvPr>
        <xdr:cNvSpPr txBox="1"/>
      </xdr:nvSpPr>
      <xdr:spPr>
        <a:xfrm>
          <a:off x="6234906" y="2349500"/>
          <a:ext cx="1016000" cy="127000"/>
        </a:xfrm>
        <a:prstGeom prst="rect">
          <a:avLst/>
        </a:prstGeom>
        <a:solidFill>
          <a:schemeClr val="lt1"/>
        </a:solidFill>
        <a:ln w="9525" cmpd="sng">
          <a:noFill/>
        </a:ln>
        <a:effectLst/>
        <a:extLs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l"/>
          <a:r>
            <a:rPr lang="en-US" sz="800" b="0" i="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</a:rPr>
            <a:t>317</a:t>
          </a:r>
        </a:p>
      </xdr:txBody>
    </xdr:sp>
    <xdr:clientData/>
  </xdr:twoCellAnchor>
  <xdr:twoCellAnchor>
    <xdr:from>
      <xdr:col>6</xdr:col>
      <xdr:colOff>215900</xdr:colOff>
      <xdr:row>17</xdr:row>
      <xdr:rowOff>133350</xdr:rowOff>
    </xdr:from>
    <xdr:to>
      <xdr:col>7</xdr:col>
      <xdr:colOff>368300</xdr:colOff>
      <xdr:row>19</xdr:row>
      <xdr:rowOff>133350</xdr:rowOff>
    </xdr:to>
    <xdr:sp macro="" textlink="">
      <xdr:nvSpPr>
        <xdr:cNvPr id="9" name="Oval 8">
          <a:hlinkClick xmlns:r="http://schemas.openxmlformats.org/officeDocument/2006/relationships" r:id="" tooltip="Go left if Lengthofstay &lt; 45.50"/>
          <a:extLst>
            <a:ext uri="{FF2B5EF4-FFF2-40B4-BE49-F238E27FC236}">
              <a16:creationId xmlns:a16="http://schemas.microsoft.com/office/drawing/2014/main" id="{8FC5A33E-FB79-4C61-BA9C-4B8D1B6DBE21}"/>
            </a:ext>
          </a:extLst>
        </xdr:cNvPr>
        <xdr:cNvSpPr/>
      </xdr:nvSpPr>
      <xdr:spPr>
        <a:xfrm>
          <a:off x="3873500" y="3429000"/>
          <a:ext cx="762000" cy="381000"/>
        </a:xfrm>
        <a:prstGeom prst="ellipse">
          <a:avLst/>
        </a:prstGeom>
        <a:solidFill>
          <a:srgbClr val="4F81BD"/>
        </a:solidFill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800" b="0" i="0"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</a:rPr>
            <a:t>45.50</a:t>
          </a:r>
        </a:p>
      </xdr:txBody>
    </xdr:sp>
    <xdr:clientData/>
  </xdr:twoCellAnchor>
  <xdr:twoCellAnchor>
    <xdr:from>
      <xdr:col>6</xdr:col>
      <xdr:colOff>215900</xdr:colOff>
      <xdr:row>17</xdr:row>
      <xdr:rowOff>6350</xdr:rowOff>
    </xdr:from>
    <xdr:to>
      <xdr:col>7</xdr:col>
      <xdr:colOff>368300</xdr:colOff>
      <xdr:row>17</xdr:row>
      <xdr:rowOff>133350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EEA5F681-26DA-44C5-8377-7DD8E13125EB}"/>
            </a:ext>
          </a:extLst>
        </xdr:cNvPr>
        <xdr:cNvSpPr txBox="1"/>
      </xdr:nvSpPr>
      <xdr:spPr>
        <a:xfrm>
          <a:off x="3873500" y="3302000"/>
          <a:ext cx="762000" cy="127000"/>
        </a:xfrm>
        <a:prstGeom prst="rect">
          <a:avLst/>
        </a:prstGeom>
        <a:solidFill>
          <a:schemeClr val="lt1"/>
        </a:solidFill>
        <a:ln w="9525" cmpd="sng">
          <a:noFill/>
        </a:ln>
        <a:effectLst/>
        <a:extLs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lang="en-US" sz="800" b="0" i="0">
              <a:solidFill>
                <a:srgbClr xmlns:mc="http://schemas.openxmlformats.org/markup-compatibility/2006" xmlns:a14="http://schemas.microsoft.com/office/drawing/2010/main" val="FF0000" mc:Ignorable="a14" a14:legacySpreadsheetColorIndex="10"/>
              </a:solidFill>
            </a:rPr>
            <a:t>Lengthofstay</a:t>
          </a:r>
        </a:p>
      </xdr:txBody>
    </xdr:sp>
    <xdr:clientData/>
  </xdr:twoCellAnchor>
  <xdr:twoCellAnchor>
    <xdr:from>
      <xdr:col>6</xdr:col>
      <xdr:colOff>596900</xdr:colOff>
      <xdr:row>16</xdr:row>
      <xdr:rowOff>6350</xdr:rowOff>
    </xdr:from>
    <xdr:to>
      <xdr:col>8</xdr:col>
      <xdr:colOff>393700</xdr:colOff>
      <xdr:row>16</xdr:row>
      <xdr:rowOff>133350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54EF2225-870B-4FE1-8585-7227C94AEBDC}"/>
            </a:ext>
          </a:extLst>
        </xdr:cNvPr>
        <xdr:cNvSpPr txBox="1"/>
      </xdr:nvSpPr>
      <xdr:spPr>
        <a:xfrm>
          <a:off x="4254500" y="3111500"/>
          <a:ext cx="1016000" cy="127000"/>
        </a:xfrm>
        <a:prstGeom prst="rect">
          <a:avLst/>
        </a:prstGeom>
        <a:solidFill>
          <a:schemeClr val="lt1"/>
        </a:solidFill>
        <a:ln w="9525" cmpd="sng">
          <a:noFill/>
        </a:ln>
        <a:effectLst/>
        <a:extLs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l"/>
          <a:r>
            <a:rPr lang="en-US" sz="800" b="0" i="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</a:rPr>
            <a:t>1261</a:t>
          </a:r>
        </a:p>
      </xdr:txBody>
    </xdr:sp>
    <xdr:clientData/>
  </xdr:twoCellAnchor>
  <xdr:twoCellAnchor>
    <xdr:from>
      <xdr:col>11</xdr:col>
      <xdr:colOff>112713</xdr:colOff>
      <xdr:row>17</xdr:row>
      <xdr:rowOff>133350</xdr:rowOff>
    </xdr:from>
    <xdr:to>
      <xdr:col>12</xdr:col>
      <xdr:colOff>265113</xdr:colOff>
      <xdr:row>19</xdr:row>
      <xdr:rowOff>133350</xdr:rowOff>
    </xdr:to>
    <xdr:sp macro="" textlink="">
      <xdr:nvSpPr>
        <xdr:cNvPr id="12" name="Oval 11">
          <a:hlinkClick xmlns:r="http://schemas.openxmlformats.org/officeDocument/2006/relationships" r:id="" tooltip="Go left if Age &lt; 74.50"/>
          <a:extLst>
            <a:ext uri="{FF2B5EF4-FFF2-40B4-BE49-F238E27FC236}">
              <a16:creationId xmlns:a16="http://schemas.microsoft.com/office/drawing/2014/main" id="{65A8A062-6D7E-4765-AA69-7EB16ED50407}"/>
            </a:ext>
          </a:extLst>
        </xdr:cNvPr>
        <xdr:cNvSpPr/>
      </xdr:nvSpPr>
      <xdr:spPr>
        <a:xfrm>
          <a:off x="6818313" y="3429000"/>
          <a:ext cx="762000" cy="381000"/>
        </a:xfrm>
        <a:prstGeom prst="ellipse">
          <a:avLst/>
        </a:prstGeom>
        <a:solidFill>
          <a:srgbClr val="4F81BD"/>
        </a:solidFill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800" b="0" i="0"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</a:rPr>
            <a:t>74.50</a:t>
          </a:r>
        </a:p>
      </xdr:txBody>
    </xdr:sp>
    <xdr:clientData/>
  </xdr:twoCellAnchor>
  <xdr:twoCellAnchor>
    <xdr:from>
      <xdr:col>11</xdr:col>
      <xdr:colOff>112713</xdr:colOff>
      <xdr:row>17</xdr:row>
      <xdr:rowOff>6350</xdr:rowOff>
    </xdr:from>
    <xdr:to>
      <xdr:col>12</xdr:col>
      <xdr:colOff>265113</xdr:colOff>
      <xdr:row>17</xdr:row>
      <xdr:rowOff>133350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A6747AE4-48BF-4888-948A-292ADDF144DF}"/>
            </a:ext>
          </a:extLst>
        </xdr:cNvPr>
        <xdr:cNvSpPr txBox="1"/>
      </xdr:nvSpPr>
      <xdr:spPr>
        <a:xfrm>
          <a:off x="6818313" y="3302000"/>
          <a:ext cx="762000" cy="127000"/>
        </a:xfrm>
        <a:prstGeom prst="rect">
          <a:avLst/>
        </a:prstGeom>
        <a:solidFill>
          <a:schemeClr val="lt1"/>
        </a:solidFill>
        <a:ln w="9525" cmpd="sng">
          <a:noFill/>
        </a:ln>
        <a:effectLst/>
        <a:extLs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lang="en-US" sz="800" b="0" i="0">
              <a:solidFill>
                <a:srgbClr xmlns:mc="http://schemas.openxmlformats.org/markup-compatibility/2006" xmlns:a14="http://schemas.microsoft.com/office/drawing/2010/main" val="FF0000" mc:Ignorable="a14" a14:legacySpreadsheetColorIndex="10"/>
              </a:solidFill>
            </a:rPr>
            <a:t>Age</a:t>
          </a:r>
        </a:p>
      </xdr:txBody>
    </xdr:sp>
    <xdr:clientData/>
  </xdr:twoCellAnchor>
  <xdr:twoCellAnchor>
    <xdr:from>
      <xdr:col>11</xdr:col>
      <xdr:colOff>112713</xdr:colOff>
      <xdr:row>16</xdr:row>
      <xdr:rowOff>6350</xdr:rowOff>
    </xdr:from>
    <xdr:to>
      <xdr:col>12</xdr:col>
      <xdr:colOff>519113</xdr:colOff>
      <xdr:row>16</xdr:row>
      <xdr:rowOff>133350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4A930231-8DA5-485C-A601-2C667B9241BA}"/>
            </a:ext>
          </a:extLst>
        </xdr:cNvPr>
        <xdr:cNvSpPr txBox="1"/>
      </xdr:nvSpPr>
      <xdr:spPr>
        <a:xfrm>
          <a:off x="6818313" y="3111500"/>
          <a:ext cx="1016000" cy="127000"/>
        </a:xfrm>
        <a:prstGeom prst="rect">
          <a:avLst/>
        </a:prstGeom>
        <a:solidFill>
          <a:schemeClr val="lt1"/>
        </a:solidFill>
        <a:ln w="9525" cmpd="sng">
          <a:noFill/>
        </a:ln>
        <a:effectLst/>
        <a:extLs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l"/>
          <a:r>
            <a:rPr lang="en-US" sz="800" b="0" i="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</a:rPr>
            <a:t>282</a:t>
          </a:r>
        </a:p>
      </xdr:txBody>
    </xdr:sp>
    <xdr:clientData/>
  </xdr:twoCellAnchor>
  <xdr:twoCellAnchor>
    <xdr:from>
      <xdr:col>5</xdr:col>
      <xdr:colOff>381000</xdr:colOff>
      <xdr:row>21</xdr:row>
      <xdr:rowOff>133350</xdr:rowOff>
    </xdr:from>
    <xdr:to>
      <xdr:col>6</xdr:col>
      <xdr:colOff>533400</xdr:colOff>
      <xdr:row>23</xdr:row>
      <xdr:rowOff>133350</xdr:rowOff>
    </xdr:to>
    <xdr:sp macro="" textlink="">
      <xdr:nvSpPr>
        <xdr:cNvPr id="15" name="Oval 14">
          <a:hlinkClick xmlns:r="http://schemas.openxmlformats.org/officeDocument/2006/relationships" r:id="" tooltip="Go left if Age &lt; 53.50"/>
          <a:extLst>
            <a:ext uri="{FF2B5EF4-FFF2-40B4-BE49-F238E27FC236}">
              <a16:creationId xmlns:a16="http://schemas.microsoft.com/office/drawing/2014/main" id="{8DA6009D-0486-4B6B-B3A4-BA50FBCEFC68}"/>
            </a:ext>
          </a:extLst>
        </xdr:cNvPr>
        <xdr:cNvSpPr/>
      </xdr:nvSpPr>
      <xdr:spPr>
        <a:xfrm>
          <a:off x="3429000" y="4191000"/>
          <a:ext cx="762000" cy="381000"/>
        </a:xfrm>
        <a:prstGeom prst="ellipse">
          <a:avLst/>
        </a:prstGeom>
        <a:solidFill>
          <a:srgbClr val="4F81BD"/>
        </a:solidFill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800" b="0" i="0"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</a:rPr>
            <a:t>53.50</a:t>
          </a:r>
        </a:p>
      </xdr:txBody>
    </xdr:sp>
    <xdr:clientData/>
  </xdr:twoCellAnchor>
  <xdr:twoCellAnchor>
    <xdr:from>
      <xdr:col>5</xdr:col>
      <xdr:colOff>381000</xdr:colOff>
      <xdr:row>21</xdr:row>
      <xdr:rowOff>6350</xdr:rowOff>
    </xdr:from>
    <xdr:to>
      <xdr:col>6</xdr:col>
      <xdr:colOff>533400</xdr:colOff>
      <xdr:row>21</xdr:row>
      <xdr:rowOff>133350</xdr:rowOff>
    </xdr:to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57DD213A-29CB-4504-84FC-208F9BE714D4}"/>
            </a:ext>
          </a:extLst>
        </xdr:cNvPr>
        <xdr:cNvSpPr txBox="1"/>
      </xdr:nvSpPr>
      <xdr:spPr>
        <a:xfrm>
          <a:off x="3429000" y="4064000"/>
          <a:ext cx="762000" cy="127000"/>
        </a:xfrm>
        <a:prstGeom prst="rect">
          <a:avLst/>
        </a:prstGeom>
        <a:solidFill>
          <a:schemeClr val="lt1"/>
        </a:solidFill>
        <a:ln w="9525" cmpd="sng">
          <a:noFill/>
        </a:ln>
        <a:effectLst/>
        <a:extLs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lang="en-US" sz="800" b="0" i="0">
              <a:solidFill>
                <a:srgbClr xmlns:mc="http://schemas.openxmlformats.org/markup-compatibility/2006" xmlns:a14="http://schemas.microsoft.com/office/drawing/2010/main" val="FF0000" mc:Ignorable="a14" a14:legacySpreadsheetColorIndex="10"/>
              </a:solidFill>
            </a:rPr>
            <a:t>Age</a:t>
          </a:r>
        </a:p>
      </xdr:txBody>
    </xdr:sp>
    <xdr:clientData/>
  </xdr:twoCellAnchor>
  <xdr:twoCellAnchor>
    <xdr:from>
      <xdr:col>6</xdr:col>
      <xdr:colOff>152400</xdr:colOff>
      <xdr:row>20</xdr:row>
      <xdr:rowOff>6350</xdr:rowOff>
    </xdr:from>
    <xdr:to>
      <xdr:col>7</xdr:col>
      <xdr:colOff>558800</xdr:colOff>
      <xdr:row>20</xdr:row>
      <xdr:rowOff>133350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6F0CE2DE-EE97-4001-BAC5-0252DA5CB318}"/>
            </a:ext>
          </a:extLst>
        </xdr:cNvPr>
        <xdr:cNvSpPr txBox="1"/>
      </xdr:nvSpPr>
      <xdr:spPr>
        <a:xfrm>
          <a:off x="3810000" y="3873500"/>
          <a:ext cx="1016000" cy="127000"/>
        </a:xfrm>
        <a:prstGeom prst="rect">
          <a:avLst/>
        </a:prstGeom>
        <a:solidFill>
          <a:schemeClr val="lt1"/>
        </a:solidFill>
        <a:ln w="9525" cmpd="sng">
          <a:noFill/>
        </a:ln>
        <a:effectLst/>
        <a:extLs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l"/>
          <a:r>
            <a:rPr lang="en-US" sz="800" b="0" i="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</a:rPr>
            <a:t>1250</a:t>
          </a:r>
        </a:p>
      </xdr:txBody>
    </xdr:sp>
    <xdr:clientData/>
  </xdr:twoCellAnchor>
  <xdr:twoCellAnchor>
    <xdr:from>
      <xdr:col>7</xdr:col>
      <xdr:colOff>50800</xdr:colOff>
      <xdr:row>21</xdr:row>
      <xdr:rowOff>133350</xdr:rowOff>
    </xdr:from>
    <xdr:to>
      <xdr:col>8</xdr:col>
      <xdr:colOff>203200</xdr:colOff>
      <xdr:row>23</xdr:row>
      <xdr:rowOff>133350</xdr:rowOff>
    </xdr:to>
    <xdr:sp macro="" textlink="">
      <xdr:nvSpPr>
        <xdr:cNvPr id="18" name="Rectangle 17">
          <a:hlinkClick xmlns:r="http://schemas.openxmlformats.org/officeDocument/2006/relationships" r:id="" tooltip="Terminal"/>
          <a:extLst>
            <a:ext uri="{FF2B5EF4-FFF2-40B4-BE49-F238E27FC236}">
              <a16:creationId xmlns:a16="http://schemas.microsoft.com/office/drawing/2014/main" id="{96B64D63-7AB4-4DD4-A2BB-DA4103ECAE92}"/>
            </a:ext>
          </a:extLst>
        </xdr:cNvPr>
        <xdr:cNvSpPr/>
      </xdr:nvSpPr>
      <xdr:spPr>
        <a:xfrm>
          <a:off x="4318000" y="4191000"/>
          <a:ext cx="762000" cy="381000"/>
        </a:xfrm>
        <a:prstGeom prst="rect">
          <a:avLst/>
        </a:prstGeom>
        <a:solidFill>
          <a:srgbClr val="148014"/>
        </a:solidFill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800" b="0" i="0"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</a:rPr>
            <a:t>1</a:t>
          </a:r>
        </a:p>
      </xdr:txBody>
    </xdr:sp>
    <xdr:clientData/>
  </xdr:twoCellAnchor>
  <xdr:twoCellAnchor>
    <xdr:from>
      <xdr:col>7</xdr:col>
      <xdr:colOff>50800</xdr:colOff>
      <xdr:row>20</xdr:row>
      <xdr:rowOff>6350</xdr:rowOff>
    </xdr:from>
    <xdr:to>
      <xdr:col>8</xdr:col>
      <xdr:colOff>457200</xdr:colOff>
      <xdr:row>20</xdr:row>
      <xdr:rowOff>133350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44D33C9A-51AB-4835-A620-398313219851}"/>
            </a:ext>
          </a:extLst>
        </xdr:cNvPr>
        <xdr:cNvSpPr txBox="1"/>
      </xdr:nvSpPr>
      <xdr:spPr>
        <a:xfrm>
          <a:off x="4318000" y="3873500"/>
          <a:ext cx="1016000" cy="127000"/>
        </a:xfrm>
        <a:prstGeom prst="rect">
          <a:avLst/>
        </a:prstGeom>
        <a:solidFill>
          <a:schemeClr val="lt1"/>
        </a:solidFill>
        <a:ln w="9525" cmpd="sng">
          <a:noFill/>
        </a:ln>
        <a:effectLst/>
        <a:extLs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l"/>
          <a:r>
            <a:rPr lang="en-US" sz="800" b="0" i="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</a:rPr>
            <a:t>11</a:t>
          </a:r>
        </a:p>
      </xdr:txBody>
    </xdr:sp>
    <xdr:clientData/>
  </xdr:twoCellAnchor>
  <xdr:twoCellAnchor>
    <xdr:from>
      <xdr:col>9</xdr:col>
      <xdr:colOff>165100</xdr:colOff>
      <xdr:row>21</xdr:row>
      <xdr:rowOff>133350</xdr:rowOff>
    </xdr:from>
    <xdr:to>
      <xdr:col>10</xdr:col>
      <xdr:colOff>317500</xdr:colOff>
      <xdr:row>23</xdr:row>
      <xdr:rowOff>133350</xdr:rowOff>
    </xdr:to>
    <xdr:sp macro="" textlink="">
      <xdr:nvSpPr>
        <xdr:cNvPr id="20" name="Rectangle 19">
          <a:hlinkClick xmlns:r="http://schemas.openxmlformats.org/officeDocument/2006/relationships" r:id="" tooltip="Terminal"/>
          <a:extLst>
            <a:ext uri="{FF2B5EF4-FFF2-40B4-BE49-F238E27FC236}">
              <a16:creationId xmlns:a16="http://schemas.microsoft.com/office/drawing/2014/main" id="{809A015A-69B9-430E-B43B-AD005C2B5EFB}"/>
            </a:ext>
          </a:extLst>
        </xdr:cNvPr>
        <xdr:cNvSpPr/>
      </xdr:nvSpPr>
      <xdr:spPr>
        <a:xfrm>
          <a:off x="5651500" y="4191000"/>
          <a:ext cx="762000" cy="381000"/>
        </a:xfrm>
        <a:prstGeom prst="rect">
          <a:avLst/>
        </a:prstGeom>
        <a:solidFill>
          <a:srgbClr val="148014"/>
        </a:solidFill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800" b="0" i="0"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</a:rPr>
            <a:t>1</a:t>
          </a:r>
        </a:p>
      </xdr:txBody>
    </xdr:sp>
    <xdr:clientData/>
  </xdr:twoCellAnchor>
  <xdr:twoCellAnchor>
    <xdr:from>
      <xdr:col>9</xdr:col>
      <xdr:colOff>546100</xdr:colOff>
      <xdr:row>20</xdr:row>
      <xdr:rowOff>6350</xdr:rowOff>
    </xdr:from>
    <xdr:to>
      <xdr:col>11</xdr:col>
      <xdr:colOff>342900</xdr:colOff>
      <xdr:row>20</xdr:row>
      <xdr:rowOff>133350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0D7431EA-DF1C-43DD-80CB-0058DE2308CA}"/>
            </a:ext>
          </a:extLst>
        </xdr:cNvPr>
        <xdr:cNvSpPr txBox="1"/>
      </xdr:nvSpPr>
      <xdr:spPr>
        <a:xfrm>
          <a:off x="6032500" y="3873500"/>
          <a:ext cx="1016000" cy="127000"/>
        </a:xfrm>
        <a:prstGeom prst="rect">
          <a:avLst/>
        </a:prstGeom>
        <a:solidFill>
          <a:schemeClr val="lt1"/>
        </a:solidFill>
        <a:ln w="9525" cmpd="sng">
          <a:noFill/>
        </a:ln>
        <a:effectLst/>
        <a:extLs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l"/>
          <a:r>
            <a:rPr lang="en-US" sz="800" b="0" i="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</a:rPr>
            <a:t>10</a:t>
          </a:r>
        </a:p>
      </xdr:txBody>
    </xdr:sp>
    <xdr:clientData/>
  </xdr:twoCellAnchor>
  <xdr:twoCellAnchor>
    <xdr:from>
      <xdr:col>13</xdr:col>
      <xdr:colOff>60325</xdr:colOff>
      <xdr:row>21</xdr:row>
      <xdr:rowOff>133350</xdr:rowOff>
    </xdr:from>
    <xdr:to>
      <xdr:col>14</xdr:col>
      <xdr:colOff>79375</xdr:colOff>
      <xdr:row>23</xdr:row>
      <xdr:rowOff>133350</xdr:rowOff>
    </xdr:to>
    <xdr:sp macro="" textlink="">
      <xdr:nvSpPr>
        <xdr:cNvPr id="22" name="Oval 21">
          <a:hlinkClick xmlns:r="http://schemas.openxmlformats.org/officeDocument/2006/relationships" r:id="" tooltip="Go left if Age &lt; 79.50"/>
          <a:extLst>
            <a:ext uri="{FF2B5EF4-FFF2-40B4-BE49-F238E27FC236}">
              <a16:creationId xmlns:a16="http://schemas.microsoft.com/office/drawing/2014/main" id="{EEB51CFB-AC3D-4065-876D-105F77862627}"/>
            </a:ext>
          </a:extLst>
        </xdr:cNvPr>
        <xdr:cNvSpPr/>
      </xdr:nvSpPr>
      <xdr:spPr>
        <a:xfrm>
          <a:off x="7985125" y="4191000"/>
          <a:ext cx="762000" cy="381000"/>
        </a:xfrm>
        <a:prstGeom prst="ellipse">
          <a:avLst/>
        </a:prstGeom>
        <a:solidFill>
          <a:srgbClr val="4F81BD"/>
        </a:solidFill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800" b="0" i="0"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</a:rPr>
            <a:t>79.50</a:t>
          </a:r>
        </a:p>
      </xdr:txBody>
    </xdr:sp>
    <xdr:clientData/>
  </xdr:twoCellAnchor>
  <xdr:twoCellAnchor>
    <xdr:from>
      <xdr:col>13</xdr:col>
      <xdr:colOff>60325</xdr:colOff>
      <xdr:row>21</xdr:row>
      <xdr:rowOff>6350</xdr:rowOff>
    </xdr:from>
    <xdr:to>
      <xdr:col>14</xdr:col>
      <xdr:colOff>79375</xdr:colOff>
      <xdr:row>21</xdr:row>
      <xdr:rowOff>133350</xdr:rowOff>
    </xdr:to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8DFACB46-5487-4A81-BE5E-C2F0FE9DF4D0}"/>
            </a:ext>
          </a:extLst>
        </xdr:cNvPr>
        <xdr:cNvSpPr txBox="1"/>
      </xdr:nvSpPr>
      <xdr:spPr>
        <a:xfrm>
          <a:off x="7985125" y="4064000"/>
          <a:ext cx="762000" cy="127000"/>
        </a:xfrm>
        <a:prstGeom prst="rect">
          <a:avLst/>
        </a:prstGeom>
        <a:solidFill>
          <a:schemeClr val="lt1"/>
        </a:solidFill>
        <a:ln w="9525" cmpd="sng">
          <a:noFill/>
        </a:ln>
        <a:effectLst/>
        <a:extLs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lang="en-US" sz="800" b="0" i="0">
              <a:solidFill>
                <a:srgbClr xmlns:mc="http://schemas.openxmlformats.org/markup-compatibility/2006" xmlns:a14="http://schemas.microsoft.com/office/drawing/2010/main" val="FF0000" mc:Ignorable="a14" a14:legacySpreadsheetColorIndex="10"/>
              </a:solidFill>
            </a:rPr>
            <a:t>Age</a:t>
          </a:r>
        </a:p>
      </xdr:txBody>
    </xdr:sp>
    <xdr:clientData/>
  </xdr:twoCellAnchor>
  <xdr:twoCellAnchor>
    <xdr:from>
      <xdr:col>13</xdr:col>
      <xdr:colOff>60325</xdr:colOff>
      <xdr:row>20</xdr:row>
      <xdr:rowOff>6350</xdr:rowOff>
    </xdr:from>
    <xdr:to>
      <xdr:col>14</xdr:col>
      <xdr:colOff>333375</xdr:colOff>
      <xdr:row>20</xdr:row>
      <xdr:rowOff>133350</xdr:rowOff>
    </xdr:to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2E19A127-AAA7-4F22-AFDD-4E271DF1415E}"/>
            </a:ext>
          </a:extLst>
        </xdr:cNvPr>
        <xdr:cNvSpPr txBox="1"/>
      </xdr:nvSpPr>
      <xdr:spPr>
        <a:xfrm>
          <a:off x="7985125" y="3873500"/>
          <a:ext cx="1016000" cy="127000"/>
        </a:xfrm>
        <a:prstGeom prst="rect">
          <a:avLst/>
        </a:prstGeom>
        <a:solidFill>
          <a:schemeClr val="lt1"/>
        </a:solidFill>
        <a:ln w="9525" cmpd="sng">
          <a:noFill/>
        </a:ln>
        <a:effectLst/>
        <a:extLs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l"/>
          <a:r>
            <a:rPr lang="en-US" sz="800" b="0" i="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</a:rPr>
            <a:t>272</a:t>
          </a:r>
        </a:p>
      </xdr:txBody>
    </xdr:sp>
    <xdr:clientData/>
  </xdr:twoCellAnchor>
  <xdr:twoCellAnchor>
    <xdr:from>
      <xdr:col>4</xdr:col>
      <xdr:colOff>101600</xdr:colOff>
      <xdr:row>25</xdr:row>
      <xdr:rowOff>133350</xdr:rowOff>
    </xdr:from>
    <xdr:to>
      <xdr:col>5</xdr:col>
      <xdr:colOff>254000</xdr:colOff>
      <xdr:row>27</xdr:row>
      <xdr:rowOff>133350</xdr:rowOff>
    </xdr:to>
    <xdr:sp macro="" textlink="">
      <xdr:nvSpPr>
        <xdr:cNvPr id="25" name="Oval 24">
          <a:hlinkClick xmlns:r="http://schemas.openxmlformats.org/officeDocument/2006/relationships" r:id="" tooltip="Go left if Age &lt; 52.50"/>
          <a:extLst>
            <a:ext uri="{FF2B5EF4-FFF2-40B4-BE49-F238E27FC236}">
              <a16:creationId xmlns:a16="http://schemas.microsoft.com/office/drawing/2014/main" id="{41E19DA5-1A04-4381-B384-39D9943E7A3D}"/>
            </a:ext>
          </a:extLst>
        </xdr:cNvPr>
        <xdr:cNvSpPr/>
      </xdr:nvSpPr>
      <xdr:spPr>
        <a:xfrm>
          <a:off x="2540000" y="4953000"/>
          <a:ext cx="762000" cy="381000"/>
        </a:xfrm>
        <a:prstGeom prst="ellipse">
          <a:avLst/>
        </a:prstGeom>
        <a:solidFill>
          <a:srgbClr val="4F81BD"/>
        </a:solidFill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800" b="0" i="0"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</a:rPr>
            <a:t>52.50</a:t>
          </a:r>
        </a:p>
      </xdr:txBody>
    </xdr:sp>
    <xdr:clientData/>
  </xdr:twoCellAnchor>
  <xdr:twoCellAnchor>
    <xdr:from>
      <xdr:col>4</xdr:col>
      <xdr:colOff>101600</xdr:colOff>
      <xdr:row>25</xdr:row>
      <xdr:rowOff>6350</xdr:rowOff>
    </xdr:from>
    <xdr:to>
      <xdr:col>5</xdr:col>
      <xdr:colOff>254000</xdr:colOff>
      <xdr:row>25</xdr:row>
      <xdr:rowOff>133350</xdr:rowOff>
    </xdr:to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4AEFFFCF-CBE7-4440-BF1F-4E88A9510348}"/>
            </a:ext>
          </a:extLst>
        </xdr:cNvPr>
        <xdr:cNvSpPr txBox="1"/>
      </xdr:nvSpPr>
      <xdr:spPr>
        <a:xfrm>
          <a:off x="2540000" y="4826000"/>
          <a:ext cx="762000" cy="127000"/>
        </a:xfrm>
        <a:prstGeom prst="rect">
          <a:avLst/>
        </a:prstGeom>
        <a:solidFill>
          <a:schemeClr val="lt1"/>
        </a:solidFill>
        <a:ln w="9525" cmpd="sng">
          <a:noFill/>
        </a:ln>
        <a:effectLst/>
        <a:extLs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lang="en-US" sz="800" b="0" i="0">
              <a:solidFill>
                <a:srgbClr xmlns:mc="http://schemas.openxmlformats.org/markup-compatibility/2006" xmlns:a14="http://schemas.microsoft.com/office/drawing/2010/main" val="FF0000" mc:Ignorable="a14" a14:legacySpreadsheetColorIndex="10"/>
              </a:solidFill>
            </a:rPr>
            <a:t>Age</a:t>
          </a:r>
        </a:p>
      </xdr:txBody>
    </xdr:sp>
    <xdr:clientData/>
  </xdr:twoCellAnchor>
  <xdr:twoCellAnchor>
    <xdr:from>
      <xdr:col>4</xdr:col>
      <xdr:colOff>482600</xdr:colOff>
      <xdr:row>24</xdr:row>
      <xdr:rowOff>6350</xdr:rowOff>
    </xdr:from>
    <xdr:to>
      <xdr:col>6</xdr:col>
      <xdr:colOff>279400</xdr:colOff>
      <xdr:row>24</xdr:row>
      <xdr:rowOff>133350</xdr:rowOff>
    </xdr:to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55798610-C3D3-49DC-9DAC-356E694058F6}"/>
            </a:ext>
          </a:extLst>
        </xdr:cNvPr>
        <xdr:cNvSpPr txBox="1"/>
      </xdr:nvSpPr>
      <xdr:spPr>
        <a:xfrm>
          <a:off x="2921000" y="4635500"/>
          <a:ext cx="1016000" cy="127000"/>
        </a:xfrm>
        <a:prstGeom prst="rect">
          <a:avLst/>
        </a:prstGeom>
        <a:solidFill>
          <a:schemeClr val="lt1"/>
        </a:solidFill>
        <a:ln w="9525" cmpd="sng">
          <a:noFill/>
        </a:ln>
        <a:effectLst/>
        <a:extLs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l"/>
          <a:r>
            <a:rPr lang="en-US" sz="800" b="0" i="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</a:rPr>
            <a:t>850</a:t>
          </a:r>
        </a:p>
      </xdr:txBody>
    </xdr:sp>
    <xdr:clientData/>
  </xdr:twoCellAnchor>
  <xdr:twoCellAnchor>
    <xdr:from>
      <xdr:col>7</xdr:col>
      <xdr:colOff>50800</xdr:colOff>
      <xdr:row>25</xdr:row>
      <xdr:rowOff>133350</xdr:rowOff>
    </xdr:from>
    <xdr:to>
      <xdr:col>8</xdr:col>
      <xdr:colOff>203200</xdr:colOff>
      <xdr:row>27</xdr:row>
      <xdr:rowOff>133350</xdr:rowOff>
    </xdr:to>
    <xdr:sp macro="" textlink="">
      <xdr:nvSpPr>
        <xdr:cNvPr id="28" name="Oval 27">
          <a:hlinkClick xmlns:r="http://schemas.openxmlformats.org/officeDocument/2006/relationships" r:id="" tooltip="Go left if Age &lt; 54.50"/>
          <a:extLst>
            <a:ext uri="{FF2B5EF4-FFF2-40B4-BE49-F238E27FC236}">
              <a16:creationId xmlns:a16="http://schemas.microsoft.com/office/drawing/2014/main" id="{8AF659E3-7654-4906-969C-03335F08744F}"/>
            </a:ext>
          </a:extLst>
        </xdr:cNvPr>
        <xdr:cNvSpPr/>
      </xdr:nvSpPr>
      <xdr:spPr>
        <a:xfrm>
          <a:off x="4318000" y="4953000"/>
          <a:ext cx="762000" cy="381000"/>
        </a:xfrm>
        <a:prstGeom prst="ellipse">
          <a:avLst/>
        </a:prstGeom>
        <a:solidFill>
          <a:srgbClr val="4F81BD"/>
        </a:solidFill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800" b="0" i="0"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</a:rPr>
            <a:t>54.50</a:t>
          </a:r>
        </a:p>
      </xdr:txBody>
    </xdr:sp>
    <xdr:clientData/>
  </xdr:twoCellAnchor>
  <xdr:twoCellAnchor>
    <xdr:from>
      <xdr:col>7</xdr:col>
      <xdr:colOff>50800</xdr:colOff>
      <xdr:row>25</xdr:row>
      <xdr:rowOff>6350</xdr:rowOff>
    </xdr:from>
    <xdr:to>
      <xdr:col>8</xdr:col>
      <xdr:colOff>203200</xdr:colOff>
      <xdr:row>25</xdr:row>
      <xdr:rowOff>133350</xdr:rowOff>
    </xdr:to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03C88CCE-2541-4883-94A8-D4784C340D7A}"/>
            </a:ext>
          </a:extLst>
        </xdr:cNvPr>
        <xdr:cNvSpPr txBox="1"/>
      </xdr:nvSpPr>
      <xdr:spPr>
        <a:xfrm>
          <a:off x="4318000" y="4826000"/>
          <a:ext cx="762000" cy="127000"/>
        </a:xfrm>
        <a:prstGeom prst="rect">
          <a:avLst/>
        </a:prstGeom>
        <a:solidFill>
          <a:schemeClr val="lt1"/>
        </a:solidFill>
        <a:ln w="9525" cmpd="sng">
          <a:noFill/>
        </a:ln>
        <a:effectLst/>
        <a:extLs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lang="en-US" sz="800" b="0" i="0">
              <a:solidFill>
                <a:srgbClr xmlns:mc="http://schemas.openxmlformats.org/markup-compatibility/2006" xmlns:a14="http://schemas.microsoft.com/office/drawing/2010/main" val="FF0000" mc:Ignorable="a14" a14:legacySpreadsheetColorIndex="10"/>
              </a:solidFill>
            </a:rPr>
            <a:t>Age</a:t>
          </a:r>
        </a:p>
      </xdr:txBody>
    </xdr:sp>
    <xdr:clientData/>
  </xdr:twoCellAnchor>
  <xdr:twoCellAnchor>
    <xdr:from>
      <xdr:col>7</xdr:col>
      <xdr:colOff>50800</xdr:colOff>
      <xdr:row>24</xdr:row>
      <xdr:rowOff>6350</xdr:rowOff>
    </xdr:from>
    <xdr:to>
      <xdr:col>8</xdr:col>
      <xdr:colOff>457200</xdr:colOff>
      <xdr:row>24</xdr:row>
      <xdr:rowOff>133350</xdr:rowOff>
    </xdr:to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2EF9E847-35C4-4487-A272-9B1CFDD212C8}"/>
            </a:ext>
          </a:extLst>
        </xdr:cNvPr>
        <xdr:cNvSpPr txBox="1"/>
      </xdr:nvSpPr>
      <xdr:spPr>
        <a:xfrm>
          <a:off x="4318000" y="4635500"/>
          <a:ext cx="1016000" cy="127000"/>
        </a:xfrm>
        <a:prstGeom prst="rect">
          <a:avLst/>
        </a:prstGeom>
        <a:solidFill>
          <a:schemeClr val="lt1"/>
        </a:solidFill>
        <a:ln w="9525" cmpd="sng">
          <a:noFill/>
        </a:ln>
        <a:effectLst/>
        <a:extLs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l"/>
          <a:r>
            <a:rPr lang="en-US" sz="800" b="0" i="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</a:rPr>
            <a:t>400</a:t>
          </a:r>
        </a:p>
      </xdr:txBody>
    </xdr:sp>
    <xdr:clientData/>
  </xdr:twoCellAnchor>
  <xdr:twoCellAnchor>
    <xdr:from>
      <xdr:col>10</xdr:col>
      <xdr:colOff>0</xdr:colOff>
      <xdr:row>25</xdr:row>
      <xdr:rowOff>133350</xdr:rowOff>
    </xdr:from>
    <xdr:to>
      <xdr:col>11</xdr:col>
      <xdr:colOff>152400</xdr:colOff>
      <xdr:row>27</xdr:row>
      <xdr:rowOff>133350</xdr:rowOff>
    </xdr:to>
    <xdr:sp macro="" textlink="">
      <xdr:nvSpPr>
        <xdr:cNvPr id="31" name="Oval 30">
          <a:hlinkClick xmlns:r="http://schemas.openxmlformats.org/officeDocument/2006/relationships" r:id="" tooltip="Go left if Age &lt; 75.50"/>
          <a:extLst>
            <a:ext uri="{FF2B5EF4-FFF2-40B4-BE49-F238E27FC236}">
              <a16:creationId xmlns:a16="http://schemas.microsoft.com/office/drawing/2014/main" id="{311200BB-EC03-40EC-A637-DE791BAE10BA}"/>
            </a:ext>
          </a:extLst>
        </xdr:cNvPr>
        <xdr:cNvSpPr/>
      </xdr:nvSpPr>
      <xdr:spPr>
        <a:xfrm>
          <a:off x="6096000" y="4953000"/>
          <a:ext cx="762000" cy="381000"/>
        </a:xfrm>
        <a:prstGeom prst="ellipse">
          <a:avLst/>
        </a:prstGeom>
        <a:solidFill>
          <a:srgbClr val="4F81BD"/>
        </a:solidFill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800" b="0" i="0"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</a:rPr>
            <a:t>75.50</a:t>
          </a:r>
        </a:p>
      </xdr:txBody>
    </xdr:sp>
    <xdr:clientData/>
  </xdr:twoCellAnchor>
  <xdr:twoCellAnchor>
    <xdr:from>
      <xdr:col>10</xdr:col>
      <xdr:colOff>0</xdr:colOff>
      <xdr:row>25</xdr:row>
      <xdr:rowOff>6350</xdr:rowOff>
    </xdr:from>
    <xdr:to>
      <xdr:col>11</xdr:col>
      <xdr:colOff>152400</xdr:colOff>
      <xdr:row>25</xdr:row>
      <xdr:rowOff>133350</xdr:rowOff>
    </xdr:to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6794AB72-80BE-4700-B0F5-B419CD613029}"/>
            </a:ext>
          </a:extLst>
        </xdr:cNvPr>
        <xdr:cNvSpPr txBox="1"/>
      </xdr:nvSpPr>
      <xdr:spPr>
        <a:xfrm>
          <a:off x="6096000" y="4826000"/>
          <a:ext cx="762000" cy="127000"/>
        </a:xfrm>
        <a:prstGeom prst="rect">
          <a:avLst/>
        </a:prstGeom>
        <a:solidFill>
          <a:schemeClr val="lt1"/>
        </a:solidFill>
        <a:ln w="9525" cmpd="sng">
          <a:noFill/>
        </a:ln>
        <a:effectLst/>
        <a:extLs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lang="en-US" sz="800" b="0" i="0">
              <a:solidFill>
                <a:srgbClr xmlns:mc="http://schemas.openxmlformats.org/markup-compatibility/2006" xmlns:a14="http://schemas.microsoft.com/office/drawing/2010/main" val="FF0000" mc:Ignorable="a14" a14:legacySpreadsheetColorIndex="10"/>
              </a:solidFill>
            </a:rPr>
            <a:t>Age</a:t>
          </a:r>
        </a:p>
      </xdr:txBody>
    </xdr:sp>
    <xdr:clientData/>
  </xdr:twoCellAnchor>
  <xdr:twoCellAnchor>
    <xdr:from>
      <xdr:col>10</xdr:col>
      <xdr:colOff>381000</xdr:colOff>
      <xdr:row>24</xdr:row>
      <xdr:rowOff>6350</xdr:rowOff>
    </xdr:from>
    <xdr:to>
      <xdr:col>12</xdr:col>
      <xdr:colOff>177800</xdr:colOff>
      <xdr:row>24</xdr:row>
      <xdr:rowOff>133350</xdr:rowOff>
    </xdr:to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1D597A9C-8FF1-455D-AC03-C8485B2FF07C}"/>
            </a:ext>
          </a:extLst>
        </xdr:cNvPr>
        <xdr:cNvSpPr txBox="1"/>
      </xdr:nvSpPr>
      <xdr:spPr>
        <a:xfrm>
          <a:off x="6477000" y="4635500"/>
          <a:ext cx="1016000" cy="127000"/>
        </a:xfrm>
        <a:prstGeom prst="rect">
          <a:avLst/>
        </a:prstGeom>
        <a:solidFill>
          <a:schemeClr val="lt1"/>
        </a:solidFill>
        <a:ln w="9525" cmpd="sng">
          <a:noFill/>
        </a:ln>
        <a:effectLst/>
        <a:extLs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l"/>
          <a:r>
            <a:rPr lang="en-US" sz="800" b="0" i="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</a:rPr>
            <a:t>86</a:t>
          </a:r>
        </a:p>
      </xdr:txBody>
    </xdr:sp>
    <xdr:clientData/>
  </xdr:twoCellAnchor>
  <xdr:twoCellAnchor>
    <xdr:from>
      <xdr:col>15</xdr:col>
      <xdr:colOff>596900</xdr:colOff>
      <xdr:row>25</xdr:row>
      <xdr:rowOff>133350</xdr:rowOff>
    </xdr:from>
    <xdr:to>
      <xdr:col>17</xdr:col>
      <xdr:colOff>139700</xdr:colOff>
      <xdr:row>27</xdr:row>
      <xdr:rowOff>133350</xdr:rowOff>
    </xdr:to>
    <xdr:sp macro="" textlink="">
      <xdr:nvSpPr>
        <xdr:cNvPr id="34" name="Oval 33">
          <a:hlinkClick xmlns:r="http://schemas.openxmlformats.org/officeDocument/2006/relationships" r:id="" tooltip="Go left if Totalcharges &lt; 12715.50"/>
          <a:extLst>
            <a:ext uri="{FF2B5EF4-FFF2-40B4-BE49-F238E27FC236}">
              <a16:creationId xmlns:a16="http://schemas.microsoft.com/office/drawing/2014/main" id="{210565A7-6475-4068-AEB5-D93F4A2A5994}"/>
            </a:ext>
          </a:extLst>
        </xdr:cNvPr>
        <xdr:cNvSpPr/>
      </xdr:nvSpPr>
      <xdr:spPr>
        <a:xfrm>
          <a:off x="9874250" y="4953000"/>
          <a:ext cx="762000" cy="381000"/>
        </a:xfrm>
        <a:prstGeom prst="ellipse">
          <a:avLst/>
        </a:prstGeom>
        <a:solidFill>
          <a:srgbClr val="4F81BD"/>
        </a:solidFill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800" b="0" i="0"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</a:rPr>
            <a:t>12715.50</a:t>
          </a:r>
        </a:p>
      </xdr:txBody>
    </xdr:sp>
    <xdr:clientData/>
  </xdr:twoCellAnchor>
  <xdr:twoCellAnchor>
    <xdr:from>
      <xdr:col>15</xdr:col>
      <xdr:colOff>596900</xdr:colOff>
      <xdr:row>25</xdr:row>
      <xdr:rowOff>6350</xdr:rowOff>
    </xdr:from>
    <xdr:to>
      <xdr:col>17</xdr:col>
      <xdr:colOff>139700</xdr:colOff>
      <xdr:row>25</xdr:row>
      <xdr:rowOff>133350</xdr:rowOff>
    </xdr:to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7EE0F67F-7AD5-4BCD-998D-9C6A66A7D858}"/>
            </a:ext>
          </a:extLst>
        </xdr:cNvPr>
        <xdr:cNvSpPr txBox="1"/>
      </xdr:nvSpPr>
      <xdr:spPr>
        <a:xfrm>
          <a:off x="9874250" y="4826000"/>
          <a:ext cx="762000" cy="127000"/>
        </a:xfrm>
        <a:prstGeom prst="rect">
          <a:avLst/>
        </a:prstGeom>
        <a:solidFill>
          <a:schemeClr val="lt1"/>
        </a:solidFill>
        <a:ln w="9525" cmpd="sng">
          <a:noFill/>
        </a:ln>
        <a:effectLst/>
        <a:extLs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lang="en-US" sz="800" b="0" i="0">
              <a:solidFill>
                <a:srgbClr xmlns:mc="http://schemas.openxmlformats.org/markup-compatibility/2006" xmlns:a14="http://schemas.microsoft.com/office/drawing/2010/main" val="FF0000" mc:Ignorable="a14" a14:legacySpreadsheetColorIndex="10"/>
              </a:solidFill>
            </a:rPr>
            <a:t>Totalcharges</a:t>
          </a:r>
        </a:p>
      </xdr:txBody>
    </xdr:sp>
    <xdr:clientData/>
  </xdr:twoCellAnchor>
  <xdr:twoCellAnchor>
    <xdr:from>
      <xdr:col>15</xdr:col>
      <xdr:colOff>596900</xdr:colOff>
      <xdr:row>24</xdr:row>
      <xdr:rowOff>6350</xdr:rowOff>
    </xdr:from>
    <xdr:to>
      <xdr:col>17</xdr:col>
      <xdr:colOff>393700</xdr:colOff>
      <xdr:row>24</xdr:row>
      <xdr:rowOff>133350</xdr:rowOff>
    </xdr:to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87107E39-FC2C-4BC6-8D85-48AD275CFCBC}"/>
            </a:ext>
          </a:extLst>
        </xdr:cNvPr>
        <xdr:cNvSpPr txBox="1"/>
      </xdr:nvSpPr>
      <xdr:spPr>
        <a:xfrm>
          <a:off x="9874250" y="4635500"/>
          <a:ext cx="1016000" cy="127000"/>
        </a:xfrm>
        <a:prstGeom prst="rect">
          <a:avLst/>
        </a:prstGeom>
        <a:solidFill>
          <a:schemeClr val="lt1"/>
        </a:solidFill>
        <a:ln w="9525" cmpd="sng">
          <a:noFill/>
        </a:ln>
        <a:effectLst/>
        <a:extLs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l"/>
          <a:r>
            <a:rPr lang="en-US" sz="800" b="0" i="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</a:rPr>
            <a:t>186</a:t>
          </a:r>
        </a:p>
      </xdr:txBody>
    </xdr:sp>
    <xdr:clientData/>
  </xdr:twoCellAnchor>
  <xdr:twoCellAnchor>
    <xdr:from>
      <xdr:col>3</xdr:col>
      <xdr:colOff>266700</xdr:colOff>
      <xdr:row>29</xdr:row>
      <xdr:rowOff>133350</xdr:rowOff>
    </xdr:from>
    <xdr:to>
      <xdr:col>4</xdr:col>
      <xdr:colOff>419100</xdr:colOff>
      <xdr:row>31</xdr:row>
      <xdr:rowOff>133350</xdr:rowOff>
    </xdr:to>
    <xdr:sp macro="" textlink="">
      <xdr:nvSpPr>
        <xdr:cNvPr id="37" name="Oval 36">
          <a:hlinkClick xmlns:r="http://schemas.openxmlformats.org/officeDocument/2006/relationships" r:id="" tooltip="Go left if Age &lt; 27.50"/>
          <a:extLst>
            <a:ext uri="{FF2B5EF4-FFF2-40B4-BE49-F238E27FC236}">
              <a16:creationId xmlns:a16="http://schemas.microsoft.com/office/drawing/2014/main" id="{77F540F0-024E-41B4-9866-62E9BB3BD9F5}"/>
            </a:ext>
          </a:extLst>
        </xdr:cNvPr>
        <xdr:cNvSpPr/>
      </xdr:nvSpPr>
      <xdr:spPr>
        <a:xfrm>
          <a:off x="2095500" y="5715000"/>
          <a:ext cx="762000" cy="381000"/>
        </a:xfrm>
        <a:prstGeom prst="ellipse">
          <a:avLst/>
        </a:prstGeom>
        <a:solidFill>
          <a:srgbClr val="4F81BD"/>
        </a:solidFill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800" b="0" i="0"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</a:rPr>
            <a:t>27.50</a:t>
          </a:r>
        </a:p>
      </xdr:txBody>
    </xdr:sp>
    <xdr:clientData/>
  </xdr:twoCellAnchor>
  <xdr:twoCellAnchor>
    <xdr:from>
      <xdr:col>3</xdr:col>
      <xdr:colOff>266700</xdr:colOff>
      <xdr:row>29</xdr:row>
      <xdr:rowOff>6350</xdr:rowOff>
    </xdr:from>
    <xdr:to>
      <xdr:col>4</xdr:col>
      <xdr:colOff>419100</xdr:colOff>
      <xdr:row>29</xdr:row>
      <xdr:rowOff>133350</xdr:rowOff>
    </xdr:to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41778D74-FFBC-4E21-A992-E020011C9461}"/>
            </a:ext>
          </a:extLst>
        </xdr:cNvPr>
        <xdr:cNvSpPr txBox="1"/>
      </xdr:nvSpPr>
      <xdr:spPr>
        <a:xfrm>
          <a:off x="2095500" y="5588000"/>
          <a:ext cx="762000" cy="127000"/>
        </a:xfrm>
        <a:prstGeom prst="rect">
          <a:avLst/>
        </a:prstGeom>
        <a:solidFill>
          <a:schemeClr val="lt1"/>
        </a:solidFill>
        <a:ln w="9525" cmpd="sng">
          <a:noFill/>
        </a:ln>
        <a:effectLst/>
        <a:extLs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lang="en-US" sz="800" b="0" i="0">
              <a:solidFill>
                <a:srgbClr xmlns:mc="http://schemas.openxmlformats.org/markup-compatibility/2006" xmlns:a14="http://schemas.microsoft.com/office/drawing/2010/main" val="FF0000" mc:Ignorable="a14" a14:legacySpreadsheetColorIndex="10"/>
              </a:solidFill>
            </a:rPr>
            <a:t>Age</a:t>
          </a:r>
        </a:p>
      </xdr:txBody>
    </xdr:sp>
    <xdr:clientData/>
  </xdr:twoCellAnchor>
  <xdr:twoCellAnchor>
    <xdr:from>
      <xdr:col>4</xdr:col>
      <xdr:colOff>38100</xdr:colOff>
      <xdr:row>28</xdr:row>
      <xdr:rowOff>6350</xdr:rowOff>
    </xdr:from>
    <xdr:to>
      <xdr:col>5</xdr:col>
      <xdr:colOff>444500</xdr:colOff>
      <xdr:row>28</xdr:row>
      <xdr:rowOff>133350</xdr:rowOff>
    </xdr:to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FC8B011D-361D-4AED-92D7-6E142ADAD81B}"/>
            </a:ext>
          </a:extLst>
        </xdr:cNvPr>
        <xdr:cNvSpPr txBox="1"/>
      </xdr:nvSpPr>
      <xdr:spPr>
        <a:xfrm>
          <a:off x="2476500" y="5397500"/>
          <a:ext cx="1016000" cy="127000"/>
        </a:xfrm>
        <a:prstGeom prst="rect">
          <a:avLst/>
        </a:prstGeom>
        <a:solidFill>
          <a:schemeClr val="lt1"/>
        </a:solidFill>
        <a:ln w="9525" cmpd="sng">
          <a:noFill/>
        </a:ln>
        <a:effectLst/>
        <a:extLs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l"/>
          <a:r>
            <a:rPr lang="en-US" sz="800" b="0" i="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</a:rPr>
            <a:t>829</a:t>
          </a:r>
        </a:p>
      </xdr:txBody>
    </xdr:sp>
    <xdr:clientData/>
  </xdr:twoCellAnchor>
  <xdr:twoCellAnchor>
    <xdr:from>
      <xdr:col>4</xdr:col>
      <xdr:colOff>546100</xdr:colOff>
      <xdr:row>29</xdr:row>
      <xdr:rowOff>133350</xdr:rowOff>
    </xdr:from>
    <xdr:to>
      <xdr:col>6</xdr:col>
      <xdr:colOff>88900</xdr:colOff>
      <xdr:row>31</xdr:row>
      <xdr:rowOff>133350</xdr:rowOff>
    </xdr:to>
    <xdr:sp macro="" textlink="">
      <xdr:nvSpPr>
        <xdr:cNvPr id="40" name="Rectangle 39">
          <a:hlinkClick xmlns:r="http://schemas.openxmlformats.org/officeDocument/2006/relationships" r:id="" tooltip="Terminal"/>
          <a:extLst>
            <a:ext uri="{FF2B5EF4-FFF2-40B4-BE49-F238E27FC236}">
              <a16:creationId xmlns:a16="http://schemas.microsoft.com/office/drawing/2014/main" id="{2F044CD9-7391-463B-AD72-7C47B2504F07}"/>
            </a:ext>
          </a:extLst>
        </xdr:cNvPr>
        <xdr:cNvSpPr/>
      </xdr:nvSpPr>
      <xdr:spPr>
        <a:xfrm>
          <a:off x="2984500" y="5715000"/>
          <a:ext cx="762000" cy="381000"/>
        </a:xfrm>
        <a:prstGeom prst="rect">
          <a:avLst/>
        </a:prstGeom>
        <a:solidFill>
          <a:srgbClr val="148014"/>
        </a:solidFill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800" b="0" i="0"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</a:rPr>
            <a:t>1</a:t>
          </a:r>
        </a:p>
      </xdr:txBody>
    </xdr:sp>
    <xdr:clientData/>
  </xdr:twoCellAnchor>
  <xdr:twoCellAnchor>
    <xdr:from>
      <xdr:col>4</xdr:col>
      <xdr:colOff>546100</xdr:colOff>
      <xdr:row>28</xdr:row>
      <xdr:rowOff>6350</xdr:rowOff>
    </xdr:from>
    <xdr:to>
      <xdr:col>6</xdr:col>
      <xdr:colOff>342900</xdr:colOff>
      <xdr:row>28</xdr:row>
      <xdr:rowOff>133350</xdr:rowOff>
    </xdr:to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143DE2B4-8543-4BBB-8C0C-5E81F9CA5904}"/>
            </a:ext>
          </a:extLst>
        </xdr:cNvPr>
        <xdr:cNvSpPr txBox="1"/>
      </xdr:nvSpPr>
      <xdr:spPr>
        <a:xfrm>
          <a:off x="2984500" y="5397500"/>
          <a:ext cx="1016000" cy="127000"/>
        </a:xfrm>
        <a:prstGeom prst="rect">
          <a:avLst/>
        </a:prstGeom>
        <a:solidFill>
          <a:schemeClr val="lt1"/>
        </a:solidFill>
        <a:ln w="9525" cmpd="sng">
          <a:noFill/>
        </a:ln>
        <a:effectLst/>
        <a:extLs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l"/>
          <a:r>
            <a:rPr lang="en-US" sz="800" b="0" i="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</a:rPr>
            <a:t>21</a:t>
          </a:r>
        </a:p>
      </xdr:txBody>
    </xdr:sp>
    <xdr:clientData/>
  </xdr:twoCellAnchor>
  <xdr:twoCellAnchor>
    <xdr:from>
      <xdr:col>6</xdr:col>
      <xdr:colOff>215900</xdr:colOff>
      <xdr:row>29</xdr:row>
      <xdr:rowOff>133350</xdr:rowOff>
    </xdr:from>
    <xdr:to>
      <xdr:col>7</xdr:col>
      <xdr:colOff>368300</xdr:colOff>
      <xdr:row>31</xdr:row>
      <xdr:rowOff>133350</xdr:rowOff>
    </xdr:to>
    <xdr:sp macro="" textlink="">
      <xdr:nvSpPr>
        <xdr:cNvPr id="42" name="Rectangle 41">
          <a:hlinkClick xmlns:r="http://schemas.openxmlformats.org/officeDocument/2006/relationships" r:id="" tooltip="Terminal"/>
          <a:extLst>
            <a:ext uri="{FF2B5EF4-FFF2-40B4-BE49-F238E27FC236}">
              <a16:creationId xmlns:a16="http://schemas.microsoft.com/office/drawing/2014/main" id="{5C53576C-4589-43E6-BA64-C33BA92519EA}"/>
            </a:ext>
          </a:extLst>
        </xdr:cNvPr>
        <xdr:cNvSpPr/>
      </xdr:nvSpPr>
      <xdr:spPr>
        <a:xfrm>
          <a:off x="3873500" y="5715000"/>
          <a:ext cx="762000" cy="381000"/>
        </a:xfrm>
        <a:prstGeom prst="rect">
          <a:avLst/>
        </a:prstGeom>
        <a:solidFill>
          <a:srgbClr val="148014"/>
        </a:solidFill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800" b="0" i="0"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</a:rPr>
            <a:t>0</a:t>
          </a:r>
        </a:p>
      </xdr:txBody>
    </xdr:sp>
    <xdr:clientData/>
  </xdr:twoCellAnchor>
  <xdr:twoCellAnchor>
    <xdr:from>
      <xdr:col>6</xdr:col>
      <xdr:colOff>596900</xdr:colOff>
      <xdr:row>28</xdr:row>
      <xdr:rowOff>6350</xdr:rowOff>
    </xdr:from>
    <xdr:to>
      <xdr:col>8</xdr:col>
      <xdr:colOff>393700</xdr:colOff>
      <xdr:row>28</xdr:row>
      <xdr:rowOff>133350</xdr:rowOff>
    </xdr:to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93F6DA4C-3BEF-4482-9F35-103E26000A9F}"/>
            </a:ext>
          </a:extLst>
        </xdr:cNvPr>
        <xdr:cNvSpPr txBox="1"/>
      </xdr:nvSpPr>
      <xdr:spPr>
        <a:xfrm>
          <a:off x="4254500" y="5397500"/>
          <a:ext cx="1016000" cy="127000"/>
        </a:xfrm>
        <a:prstGeom prst="rect">
          <a:avLst/>
        </a:prstGeom>
        <a:solidFill>
          <a:schemeClr val="lt1"/>
        </a:solidFill>
        <a:ln w="9525" cmpd="sng">
          <a:noFill/>
        </a:ln>
        <a:effectLst/>
        <a:extLs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l"/>
          <a:r>
            <a:rPr lang="en-US" sz="800" b="0" i="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</a:rPr>
            <a:t>25</a:t>
          </a:r>
        </a:p>
      </xdr:txBody>
    </xdr:sp>
    <xdr:clientData/>
  </xdr:twoCellAnchor>
  <xdr:twoCellAnchor>
    <xdr:from>
      <xdr:col>7</xdr:col>
      <xdr:colOff>495300</xdr:colOff>
      <xdr:row>29</xdr:row>
      <xdr:rowOff>133350</xdr:rowOff>
    </xdr:from>
    <xdr:to>
      <xdr:col>9</xdr:col>
      <xdr:colOff>38100</xdr:colOff>
      <xdr:row>31</xdr:row>
      <xdr:rowOff>133350</xdr:rowOff>
    </xdr:to>
    <xdr:sp macro="" textlink="">
      <xdr:nvSpPr>
        <xdr:cNvPr id="44" name="Rectangle 43">
          <a:hlinkClick xmlns:r="http://schemas.openxmlformats.org/officeDocument/2006/relationships" r:id="" tooltip="Terminal"/>
          <a:extLst>
            <a:ext uri="{FF2B5EF4-FFF2-40B4-BE49-F238E27FC236}">
              <a16:creationId xmlns:a16="http://schemas.microsoft.com/office/drawing/2014/main" id="{52FFE6F3-F265-4C3F-8CE5-5DA0E321FF43}"/>
            </a:ext>
          </a:extLst>
        </xdr:cNvPr>
        <xdr:cNvSpPr/>
      </xdr:nvSpPr>
      <xdr:spPr>
        <a:xfrm>
          <a:off x="4762500" y="5715000"/>
          <a:ext cx="762000" cy="381000"/>
        </a:xfrm>
        <a:prstGeom prst="rect">
          <a:avLst/>
        </a:prstGeom>
        <a:solidFill>
          <a:srgbClr val="148014"/>
        </a:solidFill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800" b="0" i="0"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</a:rPr>
            <a:t>0</a:t>
          </a:r>
        </a:p>
      </xdr:txBody>
    </xdr:sp>
    <xdr:clientData/>
  </xdr:twoCellAnchor>
  <xdr:twoCellAnchor>
    <xdr:from>
      <xdr:col>7</xdr:col>
      <xdr:colOff>495300</xdr:colOff>
      <xdr:row>28</xdr:row>
      <xdr:rowOff>6350</xdr:rowOff>
    </xdr:from>
    <xdr:to>
      <xdr:col>9</xdr:col>
      <xdr:colOff>292100</xdr:colOff>
      <xdr:row>28</xdr:row>
      <xdr:rowOff>133350</xdr:rowOff>
    </xdr:to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4F73A496-E11F-406D-A267-668EC9EB1127}"/>
            </a:ext>
          </a:extLst>
        </xdr:cNvPr>
        <xdr:cNvSpPr txBox="1"/>
      </xdr:nvSpPr>
      <xdr:spPr>
        <a:xfrm>
          <a:off x="4762500" y="5397500"/>
          <a:ext cx="1016000" cy="127000"/>
        </a:xfrm>
        <a:prstGeom prst="rect">
          <a:avLst/>
        </a:prstGeom>
        <a:solidFill>
          <a:schemeClr val="lt1"/>
        </a:solidFill>
        <a:ln w="9525" cmpd="sng">
          <a:noFill/>
        </a:ln>
        <a:effectLst/>
        <a:extLs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l"/>
          <a:r>
            <a:rPr lang="en-US" sz="800" b="0" i="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</a:rPr>
            <a:t>375</a:t>
          </a:r>
        </a:p>
      </xdr:txBody>
    </xdr:sp>
    <xdr:clientData/>
  </xdr:twoCellAnchor>
  <xdr:twoCellAnchor>
    <xdr:from>
      <xdr:col>9</xdr:col>
      <xdr:colOff>165100</xdr:colOff>
      <xdr:row>29</xdr:row>
      <xdr:rowOff>133350</xdr:rowOff>
    </xdr:from>
    <xdr:to>
      <xdr:col>10</xdr:col>
      <xdr:colOff>317500</xdr:colOff>
      <xdr:row>31</xdr:row>
      <xdr:rowOff>133350</xdr:rowOff>
    </xdr:to>
    <xdr:sp macro="" textlink="">
      <xdr:nvSpPr>
        <xdr:cNvPr id="46" name="Rectangle 45">
          <a:hlinkClick xmlns:r="http://schemas.openxmlformats.org/officeDocument/2006/relationships" r:id="" tooltip="Terminal"/>
          <a:extLst>
            <a:ext uri="{FF2B5EF4-FFF2-40B4-BE49-F238E27FC236}">
              <a16:creationId xmlns:a16="http://schemas.microsoft.com/office/drawing/2014/main" id="{646960E6-5DC4-4368-969D-FFF23082238B}"/>
            </a:ext>
          </a:extLst>
        </xdr:cNvPr>
        <xdr:cNvSpPr/>
      </xdr:nvSpPr>
      <xdr:spPr>
        <a:xfrm>
          <a:off x="5651500" y="5715000"/>
          <a:ext cx="762000" cy="381000"/>
        </a:xfrm>
        <a:prstGeom prst="rect">
          <a:avLst/>
        </a:prstGeom>
        <a:solidFill>
          <a:srgbClr val="148014"/>
        </a:solidFill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800" b="0" i="0"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</a:rPr>
            <a:t>1</a:t>
          </a:r>
        </a:p>
      </xdr:txBody>
    </xdr:sp>
    <xdr:clientData/>
  </xdr:twoCellAnchor>
  <xdr:twoCellAnchor>
    <xdr:from>
      <xdr:col>9</xdr:col>
      <xdr:colOff>546100</xdr:colOff>
      <xdr:row>28</xdr:row>
      <xdr:rowOff>6350</xdr:rowOff>
    </xdr:from>
    <xdr:to>
      <xdr:col>11</xdr:col>
      <xdr:colOff>342900</xdr:colOff>
      <xdr:row>28</xdr:row>
      <xdr:rowOff>133350</xdr:rowOff>
    </xdr:to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85A6A1B7-CBE9-40F1-AE6F-DD148D468C36}"/>
            </a:ext>
          </a:extLst>
        </xdr:cNvPr>
        <xdr:cNvSpPr txBox="1"/>
      </xdr:nvSpPr>
      <xdr:spPr>
        <a:xfrm>
          <a:off x="6032500" y="5397500"/>
          <a:ext cx="1016000" cy="127000"/>
        </a:xfrm>
        <a:prstGeom prst="rect">
          <a:avLst/>
        </a:prstGeom>
        <a:solidFill>
          <a:schemeClr val="lt1"/>
        </a:solidFill>
        <a:ln w="9525" cmpd="sng">
          <a:noFill/>
        </a:ln>
        <a:effectLst/>
        <a:extLs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l"/>
          <a:r>
            <a:rPr lang="en-US" sz="800" b="0" i="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</a:rPr>
            <a:t>16</a:t>
          </a:r>
        </a:p>
      </xdr:txBody>
    </xdr:sp>
    <xdr:clientData/>
  </xdr:twoCellAnchor>
  <xdr:twoCellAnchor>
    <xdr:from>
      <xdr:col>10</xdr:col>
      <xdr:colOff>444500</xdr:colOff>
      <xdr:row>29</xdr:row>
      <xdr:rowOff>133350</xdr:rowOff>
    </xdr:from>
    <xdr:to>
      <xdr:col>11</xdr:col>
      <xdr:colOff>596900</xdr:colOff>
      <xdr:row>31</xdr:row>
      <xdr:rowOff>133350</xdr:rowOff>
    </xdr:to>
    <xdr:sp macro="" textlink="">
      <xdr:nvSpPr>
        <xdr:cNvPr id="48" name="Oval 47">
          <a:hlinkClick xmlns:r="http://schemas.openxmlformats.org/officeDocument/2006/relationships" r:id="" tooltip="Go left if Age &lt; 78.50"/>
          <a:extLst>
            <a:ext uri="{FF2B5EF4-FFF2-40B4-BE49-F238E27FC236}">
              <a16:creationId xmlns:a16="http://schemas.microsoft.com/office/drawing/2014/main" id="{7793A3EF-907B-450B-8750-2F67B828B528}"/>
            </a:ext>
          </a:extLst>
        </xdr:cNvPr>
        <xdr:cNvSpPr/>
      </xdr:nvSpPr>
      <xdr:spPr>
        <a:xfrm>
          <a:off x="6540500" y="5715000"/>
          <a:ext cx="762000" cy="381000"/>
        </a:xfrm>
        <a:prstGeom prst="ellipse">
          <a:avLst/>
        </a:prstGeom>
        <a:solidFill>
          <a:srgbClr val="4F81BD"/>
        </a:solidFill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800" b="0" i="0"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</a:rPr>
            <a:t>78.50</a:t>
          </a:r>
        </a:p>
      </xdr:txBody>
    </xdr:sp>
    <xdr:clientData/>
  </xdr:twoCellAnchor>
  <xdr:twoCellAnchor>
    <xdr:from>
      <xdr:col>10</xdr:col>
      <xdr:colOff>444500</xdr:colOff>
      <xdr:row>29</xdr:row>
      <xdr:rowOff>6350</xdr:rowOff>
    </xdr:from>
    <xdr:to>
      <xdr:col>11</xdr:col>
      <xdr:colOff>596900</xdr:colOff>
      <xdr:row>29</xdr:row>
      <xdr:rowOff>133350</xdr:rowOff>
    </xdr:to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FF929C76-3DDE-41B2-A0E0-DF6042D4D9EC}"/>
            </a:ext>
          </a:extLst>
        </xdr:cNvPr>
        <xdr:cNvSpPr txBox="1"/>
      </xdr:nvSpPr>
      <xdr:spPr>
        <a:xfrm>
          <a:off x="6540500" y="5588000"/>
          <a:ext cx="762000" cy="127000"/>
        </a:xfrm>
        <a:prstGeom prst="rect">
          <a:avLst/>
        </a:prstGeom>
        <a:solidFill>
          <a:schemeClr val="lt1"/>
        </a:solidFill>
        <a:ln w="9525" cmpd="sng">
          <a:noFill/>
        </a:ln>
        <a:effectLst/>
        <a:extLs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lang="en-US" sz="800" b="0" i="0">
              <a:solidFill>
                <a:srgbClr xmlns:mc="http://schemas.openxmlformats.org/markup-compatibility/2006" xmlns:a14="http://schemas.microsoft.com/office/drawing/2010/main" val="FF0000" mc:Ignorable="a14" a14:legacySpreadsheetColorIndex="10"/>
              </a:solidFill>
            </a:rPr>
            <a:t>Age</a:t>
          </a:r>
        </a:p>
      </xdr:txBody>
    </xdr:sp>
    <xdr:clientData/>
  </xdr:twoCellAnchor>
  <xdr:twoCellAnchor>
    <xdr:from>
      <xdr:col>10</xdr:col>
      <xdr:colOff>444500</xdr:colOff>
      <xdr:row>28</xdr:row>
      <xdr:rowOff>6350</xdr:rowOff>
    </xdr:from>
    <xdr:to>
      <xdr:col>12</xdr:col>
      <xdr:colOff>241300</xdr:colOff>
      <xdr:row>28</xdr:row>
      <xdr:rowOff>133350</xdr:rowOff>
    </xdr:to>
    <xdr:sp macro="" textlink="">
      <xdr:nvSpPr>
        <xdr:cNvPr id="50" name="TextBox 49">
          <a:extLst>
            <a:ext uri="{FF2B5EF4-FFF2-40B4-BE49-F238E27FC236}">
              <a16:creationId xmlns:a16="http://schemas.microsoft.com/office/drawing/2014/main" id="{5DB2995C-A4C5-4253-9ADE-68B9318754B1}"/>
            </a:ext>
          </a:extLst>
        </xdr:cNvPr>
        <xdr:cNvSpPr txBox="1"/>
      </xdr:nvSpPr>
      <xdr:spPr>
        <a:xfrm>
          <a:off x="6540500" y="5397500"/>
          <a:ext cx="1016000" cy="127000"/>
        </a:xfrm>
        <a:prstGeom prst="rect">
          <a:avLst/>
        </a:prstGeom>
        <a:solidFill>
          <a:schemeClr val="lt1"/>
        </a:solidFill>
        <a:ln w="9525" cmpd="sng">
          <a:noFill/>
        </a:ln>
        <a:effectLst/>
        <a:extLs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l"/>
          <a:r>
            <a:rPr lang="en-US" sz="800" b="0" i="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</a:rPr>
            <a:t>70</a:t>
          </a:r>
        </a:p>
      </xdr:txBody>
    </xdr:sp>
    <xdr:clientData/>
  </xdr:twoCellAnchor>
  <xdr:twoCellAnchor>
    <xdr:from>
      <xdr:col>13</xdr:col>
      <xdr:colOff>393700</xdr:colOff>
      <xdr:row>29</xdr:row>
      <xdr:rowOff>133350</xdr:rowOff>
    </xdr:from>
    <xdr:to>
      <xdr:col>14</xdr:col>
      <xdr:colOff>412750</xdr:colOff>
      <xdr:row>31</xdr:row>
      <xdr:rowOff>133350</xdr:rowOff>
    </xdr:to>
    <xdr:sp macro="" textlink="">
      <xdr:nvSpPr>
        <xdr:cNvPr id="51" name="Oval 50">
          <a:hlinkClick xmlns:r="http://schemas.openxmlformats.org/officeDocument/2006/relationships" r:id="" tooltip="Go left if Totalcharges &lt; 6145.50"/>
          <a:extLst>
            <a:ext uri="{FF2B5EF4-FFF2-40B4-BE49-F238E27FC236}">
              <a16:creationId xmlns:a16="http://schemas.microsoft.com/office/drawing/2014/main" id="{3C293FD0-050A-4D41-946F-C248522D122C}"/>
            </a:ext>
          </a:extLst>
        </xdr:cNvPr>
        <xdr:cNvSpPr/>
      </xdr:nvSpPr>
      <xdr:spPr>
        <a:xfrm>
          <a:off x="8318500" y="5715000"/>
          <a:ext cx="762000" cy="381000"/>
        </a:xfrm>
        <a:prstGeom prst="ellipse">
          <a:avLst/>
        </a:prstGeom>
        <a:solidFill>
          <a:srgbClr val="4F81BD"/>
        </a:solidFill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800" b="0" i="0"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</a:rPr>
            <a:t>6145.50</a:t>
          </a:r>
        </a:p>
      </xdr:txBody>
    </xdr:sp>
    <xdr:clientData/>
  </xdr:twoCellAnchor>
  <xdr:twoCellAnchor>
    <xdr:from>
      <xdr:col>13</xdr:col>
      <xdr:colOff>393700</xdr:colOff>
      <xdr:row>29</xdr:row>
      <xdr:rowOff>6350</xdr:rowOff>
    </xdr:from>
    <xdr:to>
      <xdr:col>14</xdr:col>
      <xdr:colOff>412750</xdr:colOff>
      <xdr:row>29</xdr:row>
      <xdr:rowOff>133350</xdr:rowOff>
    </xdr:to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422607C0-F55E-453D-A3B6-5ED2A8A6A7CF}"/>
            </a:ext>
          </a:extLst>
        </xdr:cNvPr>
        <xdr:cNvSpPr txBox="1"/>
      </xdr:nvSpPr>
      <xdr:spPr>
        <a:xfrm>
          <a:off x="8318500" y="5588000"/>
          <a:ext cx="762000" cy="127000"/>
        </a:xfrm>
        <a:prstGeom prst="rect">
          <a:avLst/>
        </a:prstGeom>
        <a:solidFill>
          <a:schemeClr val="lt1"/>
        </a:solidFill>
        <a:ln w="9525" cmpd="sng">
          <a:noFill/>
        </a:ln>
        <a:effectLst/>
        <a:extLs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lang="en-US" sz="800" b="0" i="0">
              <a:solidFill>
                <a:srgbClr xmlns:mc="http://schemas.openxmlformats.org/markup-compatibility/2006" xmlns:a14="http://schemas.microsoft.com/office/drawing/2010/main" val="FF0000" mc:Ignorable="a14" a14:legacySpreadsheetColorIndex="10"/>
              </a:solidFill>
            </a:rPr>
            <a:t>Totalcharges</a:t>
          </a:r>
        </a:p>
      </xdr:txBody>
    </xdr:sp>
    <xdr:clientData/>
  </xdr:twoCellAnchor>
  <xdr:twoCellAnchor>
    <xdr:from>
      <xdr:col>14</xdr:col>
      <xdr:colOff>31750</xdr:colOff>
      <xdr:row>28</xdr:row>
      <xdr:rowOff>6350</xdr:rowOff>
    </xdr:from>
    <xdr:to>
      <xdr:col>15</xdr:col>
      <xdr:colOff>438150</xdr:colOff>
      <xdr:row>28</xdr:row>
      <xdr:rowOff>133350</xdr:rowOff>
    </xdr:to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383E331A-FA19-493D-BDAE-8A61AE8DFBFC}"/>
            </a:ext>
          </a:extLst>
        </xdr:cNvPr>
        <xdr:cNvSpPr txBox="1"/>
      </xdr:nvSpPr>
      <xdr:spPr>
        <a:xfrm>
          <a:off x="8699500" y="5397500"/>
          <a:ext cx="1016000" cy="127000"/>
        </a:xfrm>
        <a:prstGeom prst="rect">
          <a:avLst/>
        </a:prstGeom>
        <a:solidFill>
          <a:schemeClr val="lt1"/>
        </a:solidFill>
        <a:ln w="9525" cmpd="sng">
          <a:noFill/>
        </a:ln>
        <a:effectLst/>
        <a:extLs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l"/>
          <a:r>
            <a:rPr lang="en-US" sz="800" b="0" i="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</a:rPr>
            <a:t>86</a:t>
          </a:r>
        </a:p>
      </xdr:txBody>
    </xdr:sp>
    <xdr:clientData/>
  </xdr:twoCellAnchor>
  <xdr:twoCellAnchor>
    <xdr:from>
      <xdr:col>18</xdr:col>
      <xdr:colOff>323850</xdr:colOff>
      <xdr:row>29</xdr:row>
      <xdr:rowOff>133350</xdr:rowOff>
    </xdr:from>
    <xdr:to>
      <xdr:col>19</xdr:col>
      <xdr:colOff>476250</xdr:colOff>
      <xdr:row>31</xdr:row>
      <xdr:rowOff>133350</xdr:rowOff>
    </xdr:to>
    <xdr:sp macro="" textlink="">
      <xdr:nvSpPr>
        <xdr:cNvPr id="54" name="Oval 53">
          <a:hlinkClick xmlns:r="http://schemas.openxmlformats.org/officeDocument/2006/relationships" r:id="" tooltip="Go left if Nchronic &lt; 3.50"/>
          <a:extLst>
            <a:ext uri="{FF2B5EF4-FFF2-40B4-BE49-F238E27FC236}">
              <a16:creationId xmlns:a16="http://schemas.microsoft.com/office/drawing/2014/main" id="{9196DAA3-FA3E-4C76-8C03-58A0CAD0DDFD}"/>
            </a:ext>
          </a:extLst>
        </xdr:cNvPr>
        <xdr:cNvSpPr/>
      </xdr:nvSpPr>
      <xdr:spPr>
        <a:xfrm>
          <a:off x="11430000" y="5715000"/>
          <a:ext cx="762000" cy="381000"/>
        </a:xfrm>
        <a:prstGeom prst="ellipse">
          <a:avLst/>
        </a:prstGeom>
        <a:solidFill>
          <a:srgbClr val="4F81BD"/>
        </a:solidFill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800" b="0" i="0"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</a:rPr>
            <a:t>3.50</a:t>
          </a:r>
        </a:p>
      </xdr:txBody>
    </xdr:sp>
    <xdr:clientData/>
  </xdr:twoCellAnchor>
  <xdr:twoCellAnchor>
    <xdr:from>
      <xdr:col>18</xdr:col>
      <xdr:colOff>323850</xdr:colOff>
      <xdr:row>29</xdr:row>
      <xdr:rowOff>6350</xdr:rowOff>
    </xdr:from>
    <xdr:to>
      <xdr:col>19</xdr:col>
      <xdr:colOff>476250</xdr:colOff>
      <xdr:row>29</xdr:row>
      <xdr:rowOff>133350</xdr:rowOff>
    </xdr:to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55B8CDFC-60AD-4A5B-B812-2CEE59A2E39A}"/>
            </a:ext>
          </a:extLst>
        </xdr:cNvPr>
        <xdr:cNvSpPr txBox="1"/>
      </xdr:nvSpPr>
      <xdr:spPr>
        <a:xfrm>
          <a:off x="11430000" y="5588000"/>
          <a:ext cx="762000" cy="127000"/>
        </a:xfrm>
        <a:prstGeom prst="rect">
          <a:avLst/>
        </a:prstGeom>
        <a:solidFill>
          <a:schemeClr val="lt1"/>
        </a:solidFill>
        <a:ln w="9525" cmpd="sng">
          <a:noFill/>
        </a:ln>
        <a:effectLst/>
        <a:extLs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lang="en-US" sz="800" b="0" i="0">
              <a:solidFill>
                <a:srgbClr xmlns:mc="http://schemas.openxmlformats.org/markup-compatibility/2006" xmlns:a14="http://schemas.microsoft.com/office/drawing/2010/main" val="FF0000" mc:Ignorable="a14" a14:legacySpreadsheetColorIndex="10"/>
              </a:solidFill>
            </a:rPr>
            <a:t>Nchronic</a:t>
          </a:r>
        </a:p>
      </xdr:txBody>
    </xdr:sp>
    <xdr:clientData/>
  </xdr:twoCellAnchor>
  <xdr:twoCellAnchor>
    <xdr:from>
      <xdr:col>18</xdr:col>
      <xdr:colOff>323850</xdr:colOff>
      <xdr:row>28</xdr:row>
      <xdr:rowOff>6350</xdr:rowOff>
    </xdr:from>
    <xdr:to>
      <xdr:col>20</xdr:col>
      <xdr:colOff>120650</xdr:colOff>
      <xdr:row>28</xdr:row>
      <xdr:rowOff>133350</xdr:rowOff>
    </xdr:to>
    <xdr:sp macro="" textlink="">
      <xdr:nvSpPr>
        <xdr:cNvPr id="56" name="TextBox 55">
          <a:extLst>
            <a:ext uri="{FF2B5EF4-FFF2-40B4-BE49-F238E27FC236}">
              <a16:creationId xmlns:a16="http://schemas.microsoft.com/office/drawing/2014/main" id="{B8581ECA-FECF-4BEC-9D28-F2A775C4C217}"/>
            </a:ext>
          </a:extLst>
        </xdr:cNvPr>
        <xdr:cNvSpPr txBox="1"/>
      </xdr:nvSpPr>
      <xdr:spPr>
        <a:xfrm>
          <a:off x="11430000" y="5397500"/>
          <a:ext cx="1016000" cy="127000"/>
        </a:xfrm>
        <a:prstGeom prst="rect">
          <a:avLst/>
        </a:prstGeom>
        <a:solidFill>
          <a:schemeClr val="lt1"/>
        </a:solidFill>
        <a:ln w="9525" cmpd="sng">
          <a:noFill/>
        </a:ln>
        <a:effectLst/>
        <a:extLs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l"/>
          <a:r>
            <a:rPr lang="en-US" sz="800" b="0" i="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</a:rPr>
            <a:t>100</a:t>
          </a:r>
        </a:p>
      </xdr:txBody>
    </xdr:sp>
    <xdr:clientData/>
  </xdr:twoCellAnchor>
  <xdr:twoCellAnchor>
    <xdr:from>
      <xdr:col>1</xdr:col>
      <xdr:colOff>596900</xdr:colOff>
      <xdr:row>33</xdr:row>
      <xdr:rowOff>133350</xdr:rowOff>
    </xdr:from>
    <xdr:to>
      <xdr:col>3</xdr:col>
      <xdr:colOff>139700</xdr:colOff>
      <xdr:row>35</xdr:row>
      <xdr:rowOff>133350</xdr:rowOff>
    </xdr:to>
    <xdr:sp macro="" textlink="">
      <xdr:nvSpPr>
        <xdr:cNvPr id="57" name="Oval 56">
          <a:hlinkClick xmlns:r="http://schemas.openxmlformats.org/officeDocument/2006/relationships" r:id="" tooltip="Go left if Totalcharges &lt; 36388.00"/>
          <a:extLst>
            <a:ext uri="{FF2B5EF4-FFF2-40B4-BE49-F238E27FC236}">
              <a16:creationId xmlns:a16="http://schemas.microsoft.com/office/drawing/2014/main" id="{CE3D1BFC-6483-42EB-B25C-A94D960A1757}"/>
            </a:ext>
          </a:extLst>
        </xdr:cNvPr>
        <xdr:cNvSpPr/>
      </xdr:nvSpPr>
      <xdr:spPr>
        <a:xfrm>
          <a:off x="1206500" y="6477000"/>
          <a:ext cx="762000" cy="381000"/>
        </a:xfrm>
        <a:prstGeom prst="ellipse">
          <a:avLst/>
        </a:prstGeom>
        <a:solidFill>
          <a:srgbClr val="4F81BD"/>
        </a:solidFill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800" b="0" i="0"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</a:rPr>
            <a:t>36388.00</a:t>
          </a:r>
        </a:p>
      </xdr:txBody>
    </xdr:sp>
    <xdr:clientData/>
  </xdr:twoCellAnchor>
  <xdr:twoCellAnchor>
    <xdr:from>
      <xdr:col>1</xdr:col>
      <xdr:colOff>596900</xdr:colOff>
      <xdr:row>33</xdr:row>
      <xdr:rowOff>6350</xdr:rowOff>
    </xdr:from>
    <xdr:to>
      <xdr:col>3</xdr:col>
      <xdr:colOff>139700</xdr:colOff>
      <xdr:row>33</xdr:row>
      <xdr:rowOff>133350</xdr:rowOff>
    </xdr:to>
    <xdr:sp macro="" textlink="">
      <xdr:nvSpPr>
        <xdr:cNvPr id="58" name="TextBox 57">
          <a:extLst>
            <a:ext uri="{FF2B5EF4-FFF2-40B4-BE49-F238E27FC236}">
              <a16:creationId xmlns:a16="http://schemas.microsoft.com/office/drawing/2014/main" id="{82906FDC-80E3-4DA9-A1EE-D6CF03C724C6}"/>
            </a:ext>
          </a:extLst>
        </xdr:cNvPr>
        <xdr:cNvSpPr txBox="1"/>
      </xdr:nvSpPr>
      <xdr:spPr>
        <a:xfrm>
          <a:off x="1206500" y="6350000"/>
          <a:ext cx="762000" cy="127000"/>
        </a:xfrm>
        <a:prstGeom prst="rect">
          <a:avLst/>
        </a:prstGeom>
        <a:solidFill>
          <a:schemeClr val="lt1"/>
        </a:solidFill>
        <a:ln w="9525" cmpd="sng">
          <a:noFill/>
        </a:ln>
        <a:effectLst/>
        <a:extLs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lang="en-US" sz="800" b="0" i="0">
              <a:solidFill>
                <a:srgbClr xmlns:mc="http://schemas.openxmlformats.org/markup-compatibility/2006" xmlns:a14="http://schemas.microsoft.com/office/drawing/2010/main" val="FF0000" mc:Ignorable="a14" a14:legacySpreadsheetColorIndex="10"/>
              </a:solidFill>
            </a:rPr>
            <a:t>Totalcharges</a:t>
          </a:r>
        </a:p>
      </xdr:txBody>
    </xdr:sp>
    <xdr:clientData/>
  </xdr:twoCellAnchor>
  <xdr:twoCellAnchor>
    <xdr:from>
      <xdr:col>2</xdr:col>
      <xdr:colOff>368300</xdr:colOff>
      <xdr:row>32</xdr:row>
      <xdr:rowOff>6350</xdr:rowOff>
    </xdr:from>
    <xdr:to>
      <xdr:col>4</xdr:col>
      <xdr:colOff>165100</xdr:colOff>
      <xdr:row>32</xdr:row>
      <xdr:rowOff>133350</xdr:rowOff>
    </xdr:to>
    <xdr:sp macro="" textlink="">
      <xdr:nvSpPr>
        <xdr:cNvPr id="59" name="TextBox 58">
          <a:extLst>
            <a:ext uri="{FF2B5EF4-FFF2-40B4-BE49-F238E27FC236}">
              <a16:creationId xmlns:a16="http://schemas.microsoft.com/office/drawing/2014/main" id="{285F2809-0B59-4259-A074-8F4B22C43618}"/>
            </a:ext>
          </a:extLst>
        </xdr:cNvPr>
        <xdr:cNvSpPr txBox="1"/>
      </xdr:nvSpPr>
      <xdr:spPr>
        <a:xfrm>
          <a:off x="1587500" y="6159500"/>
          <a:ext cx="1016000" cy="127000"/>
        </a:xfrm>
        <a:prstGeom prst="rect">
          <a:avLst/>
        </a:prstGeom>
        <a:solidFill>
          <a:schemeClr val="lt1"/>
        </a:solidFill>
        <a:ln w="9525" cmpd="sng">
          <a:noFill/>
        </a:ln>
        <a:effectLst/>
        <a:extLs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l"/>
          <a:r>
            <a:rPr lang="en-US" sz="800" b="0" i="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</a:rPr>
            <a:t>481</a:t>
          </a:r>
        </a:p>
      </xdr:txBody>
    </xdr:sp>
    <xdr:clientData/>
  </xdr:twoCellAnchor>
  <xdr:twoCellAnchor>
    <xdr:from>
      <xdr:col>4</xdr:col>
      <xdr:colOff>546100</xdr:colOff>
      <xdr:row>33</xdr:row>
      <xdr:rowOff>133350</xdr:rowOff>
    </xdr:from>
    <xdr:to>
      <xdr:col>6</xdr:col>
      <xdr:colOff>88900</xdr:colOff>
      <xdr:row>35</xdr:row>
      <xdr:rowOff>133350</xdr:rowOff>
    </xdr:to>
    <xdr:sp macro="" textlink="">
      <xdr:nvSpPr>
        <xdr:cNvPr id="60" name="Oval 59">
          <a:hlinkClick xmlns:r="http://schemas.openxmlformats.org/officeDocument/2006/relationships" r:id="" tooltip="Go left if Age &lt; 28.50"/>
          <a:extLst>
            <a:ext uri="{FF2B5EF4-FFF2-40B4-BE49-F238E27FC236}">
              <a16:creationId xmlns:a16="http://schemas.microsoft.com/office/drawing/2014/main" id="{374CED8C-72CB-4FB9-A63E-15D7C145FD53}"/>
            </a:ext>
          </a:extLst>
        </xdr:cNvPr>
        <xdr:cNvSpPr/>
      </xdr:nvSpPr>
      <xdr:spPr>
        <a:xfrm>
          <a:off x="2984500" y="6477000"/>
          <a:ext cx="762000" cy="381000"/>
        </a:xfrm>
        <a:prstGeom prst="ellipse">
          <a:avLst/>
        </a:prstGeom>
        <a:solidFill>
          <a:srgbClr val="4F81BD"/>
        </a:solidFill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800" b="0" i="0"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</a:rPr>
            <a:t>28.50</a:t>
          </a:r>
        </a:p>
      </xdr:txBody>
    </xdr:sp>
    <xdr:clientData/>
  </xdr:twoCellAnchor>
  <xdr:twoCellAnchor>
    <xdr:from>
      <xdr:col>4</xdr:col>
      <xdr:colOff>546100</xdr:colOff>
      <xdr:row>33</xdr:row>
      <xdr:rowOff>6350</xdr:rowOff>
    </xdr:from>
    <xdr:to>
      <xdr:col>6</xdr:col>
      <xdr:colOff>88900</xdr:colOff>
      <xdr:row>33</xdr:row>
      <xdr:rowOff>133350</xdr:rowOff>
    </xdr:to>
    <xdr:sp macro="" textlink="">
      <xdr:nvSpPr>
        <xdr:cNvPr id="61" name="TextBox 60">
          <a:extLst>
            <a:ext uri="{FF2B5EF4-FFF2-40B4-BE49-F238E27FC236}">
              <a16:creationId xmlns:a16="http://schemas.microsoft.com/office/drawing/2014/main" id="{69A6DE88-A742-4A84-9F52-AAABD60F668E}"/>
            </a:ext>
          </a:extLst>
        </xdr:cNvPr>
        <xdr:cNvSpPr txBox="1"/>
      </xdr:nvSpPr>
      <xdr:spPr>
        <a:xfrm>
          <a:off x="2984500" y="6350000"/>
          <a:ext cx="762000" cy="127000"/>
        </a:xfrm>
        <a:prstGeom prst="rect">
          <a:avLst/>
        </a:prstGeom>
        <a:solidFill>
          <a:schemeClr val="lt1"/>
        </a:solidFill>
        <a:ln w="9525" cmpd="sng">
          <a:noFill/>
        </a:ln>
        <a:effectLst/>
        <a:extLs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lang="en-US" sz="800" b="0" i="0">
              <a:solidFill>
                <a:srgbClr xmlns:mc="http://schemas.openxmlformats.org/markup-compatibility/2006" xmlns:a14="http://schemas.microsoft.com/office/drawing/2010/main" val="FF0000" mc:Ignorable="a14" a14:legacySpreadsheetColorIndex="10"/>
              </a:solidFill>
            </a:rPr>
            <a:t>Age</a:t>
          </a:r>
        </a:p>
      </xdr:txBody>
    </xdr:sp>
    <xdr:clientData/>
  </xdr:twoCellAnchor>
  <xdr:twoCellAnchor>
    <xdr:from>
      <xdr:col>4</xdr:col>
      <xdr:colOff>546100</xdr:colOff>
      <xdr:row>32</xdr:row>
      <xdr:rowOff>6350</xdr:rowOff>
    </xdr:from>
    <xdr:to>
      <xdr:col>6</xdr:col>
      <xdr:colOff>342900</xdr:colOff>
      <xdr:row>32</xdr:row>
      <xdr:rowOff>133350</xdr:rowOff>
    </xdr:to>
    <xdr:sp macro="" textlink="">
      <xdr:nvSpPr>
        <xdr:cNvPr id="62" name="TextBox 61">
          <a:extLst>
            <a:ext uri="{FF2B5EF4-FFF2-40B4-BE49-F238E27FC236}">
              <a16:creationId xmlns:a16="http://schemas.microsoft.com/office/drawing/2014/main" id="{16AE6A2F-6662-4E5F-8F8B-CB3643FFF06D}"/>
            </a:ext>
          </a:extLst>
        </xdr:cNvPr>
        <xdr:cNvSpPr txBox="1"/>
      </xdr:nvSpPr>
      <xdr:spPr>
        <a:xfrm>
          <a:off x="2984500" y="6159500"/>
          <a:ext cx="1016000" cy="127000"/>
        </a:xfrm>
        <a:prstGeom prst="rect">
          <a:avLst/>
        </a:prstGeom>
        <a:solidFill>
          <a:schemeClr val="lt1"/>
        </a:solidFill>
        <a:ln w="9525" cmpd="sng">
          <a:noFill/>
        </a:ln>
        <a:effectLst/>
        <a:extLs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l"/>
          <a:r>
            <a:rPr lang="en-US" sz="800" b="0" i="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</a:rPr>
            <a:t>348</a:t>
          </a:r>
        </a:p>
      </xdr:txBody>
    </xdr:sp>
    <xdr:clientData/>
  </xdr:twoCellAnchor>
  <xdr:twoCellAnchor>
    <xdr:from>
      <xdr:col>10</xdr:col>
      <xdr:colOff>0</xdr:colOff>
      <xdr:row>33</xdr:row>
      <xdr:rowOff>133350</xdr:rowOff>
    </xdr:from>
    <xdr:to>
      <xdr:col>11</xdr:col>
      <xdr:colOff>152400</xdr:colOff>
      <xdr:row>35</xdr:row>
      <xdr:rowOff>133350</xdr:rowOff>
    </xdr:to>
    <xdr:sp macro="" textlink="">
      <xdr:nvSpPr>
        <xdr:cNvPr id="63" name="Oval 62">
          <a:hlinkClick xmlns:r="http://schemas.openxmlformats.org/officeDocument/2006/relationships" r:id="" tooltip="Go left if Age &lt; 77.50"/>
          <a:extLst>
            <a:ext uri="{FF2B5EF4-FFF2-40B4-BE49-F238E27FC236}">
              <a16:creationId xmlns:a16="http://schemas.microsoft.com/office/drawing/2014/main" id="{FBC1E255-F8DE-472F-9280-D932D409CB5E}"/>
            </a:ext>
          </a:extLst>
        </xdr:cNvPr>
        <xdr:cNvSpPr/>
      </xdr:nvSpPr>
      <xdr:spPr>
        <a:xfrm>
          <a:off x="6096000" y="6477000"/>
          <a:ext cx="762000" cy="381000"/>
        </a:xfrm>
        <a:prstGeom prst="ellipse">
          <a:avLst/>
        </a:prstGeom>
        <a:solidFill>
          <a:srgbClr val="4F81BD"/>
        </a:solidFill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800" b="0" i="0"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</a:rPr>
            <a:t>77.50</a:t>
          </a:r>
        </a:p>
      </xdr:txBody>
    </xdr:sp>
    <xdr:clientData/>
  </xdr:twoCellAnchor>
  <xdr:twoCellAnchor>
    <xdr:from>
      <xdr:col>10</xdr:col>
      <xdr:colOff>0</xdr:colOff>
      <xdr:row>33</xdr:row>
      <xdr:rowOff>6350</xdr:rowOff>
    </xdr:from>
    <xdr:to>
      <xdr:col>11</xdr:col>
      <xdr:colOff>152400</xdr:colOff>
      <xdr:row>33</xdr:row>
      <xdr:rowOff>133350</xdr:rowOff>
    </xdr:to>
    <xdr:sp macro="" textlink="">
      <xdr:nvSpPr>
        <xdr:cNvPr id="64" name="TextBox 63">
          <a:extLst>
            <a:ext uri="{FF2B5EF4-FFF2-40B4-BE49-F238E27FC236}">
              <a16:creationId xmlns:a16="http://schemas.microsoft.com/office/drawing/2014/main" id="{C893B907-B414-4D62-909A-C636FDF06CF3}"/>
            </a:ext>
          </a:extLst>
        </xdr:cNvPr>
        <xdr:cNvSpPr txBox="1"/>
      </xdr:nvSpPr>
      <xdr:spPr>
        <a:xfrm>
          <a:off x="6096000" y="6350000"/>
          <a:ext cx="762000" cy="127000"/>
        </a:xfrm>
        <a:prstGeom prst="rect">
          <a:avLst/>
        </a:prstGeom>
        <a:solidFill>
          <a:schemeClr val="lt1"/>
        </a:solidFill>
        <a:ln w="9525" cmpd="sng">
          <a:noFill/>
        </a:ln>
        <a:effectLst/>
        <a:extLs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lang="en-US" sz="800" b="0" i="0">
              <a:solidFill>
                <a:srgbClr xmlns:mc="http://schemas.openxmlformats.org/markup-compatibility/2006" xmlns:a14="http://schemas.microsoft.com/office/drawing/2010/main" val="FF0000" mc:Ignorable="a14" a14:legacySpreadsheetColorIndex="10"/>
              </a:solidFill>
            </a:rPr>
            <a:t>Age</a:t>
          </a:r>
        </a:p>
      </xdr:txBody>
    </xdr:sp>
    <xdr:clientData/>
  </xdr:twoCellAnchor>
  <xdr:twoCellAnchor>
    <xdr:from>
      <xdr:col>10</xdr:col>
      <xdr:colOff>381000</xdr:colOff>
      <xdr:row>32</xdr:row>
      <xdr:rowOff>6350</xdr:rowOff>
    </xdr:from>
    <xdr:to>
      <xdr:col>12</xdr:col>
      <xdr:colOff>177800</xdr:colOff>
      <xdr:row>32</xdr:row>
      <xdr:rowOff>133350</xdr:rowOff>
    </xdr:to>
    <xdr:sp macro="" textlink="">
      <xdr:nvSpPr>
        <xdr:cNvPr id="65" name="TextBox 64">
          <a:extLst>
            <a:ext uri="{FF2B5EF4-FFF2-40B4-BE49-F238E27FC236}">
              <a16:creationId xmlns:a16="http://schemas.microsoft.com/office/drawing/2014/main" id="{9335FCBE-27D8-4636-B2A8-0BB46C0CE302}"/>
            </a:ext>
          </a:extLst>
        </xdr:cNvPr>
        <xdr:cNvSpPr txBox="1"/>
      </xdr:nvSpPr>
      <xdr:spPr>
        <a:xfrm>
          <a:off x="6477000" y="6159500"/>
          <a:ext cx="1016000" cy="127000"/>
        </a:xfrm>
        <a:prstGeom prst="rect">
          <a:avLst/>
        </a:prstGeom>
        <a:solidFill>
          <a:schemeClr val="lt1"/>
        </a:solidFill>
        <a:ln w="9525" cmpd="sng">
          <a:noFill/>
        </a:ln>
        <a:effectLst/>
        <a:extLs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l"/>
          <a:r>
            <a:rPr lang="en-US" sz="800" b="0" i="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</a:rPr>
            <a:t>55</a:t>
          </a:r>
        </a:p>
      </xdr:txBody>
    </xdr:sp>
    <xdr:clientData/>
  </xdr:twoCellAnchor>
  <xdr:twoCellAnchor>
    <xdr:from>
      <xdr:col>11</xdr:col>
      <xdr:colOff>279400</xdr:colOff>
      <xdr:row>33</xdr:row>
      <xdr:rowOff>133350</xdr:rowOff>
    </xdr:from>
    <xdr:to>
      <xdr:col>12</xdr:col>
      <xdr:colOff>431800</xdr:colOff>
      <xdr:row>35</xdr:row>
      <xdr:rowOff>133350</xdr:rowOff>
    </xdr:to>
    <xdr:sp macro="" textlink="">
      <xdr:nvSpPr>
        <xdr:cNvPr id="66" name="Rectangle 65">
          <a:hlinkClick xmlns:r="http://schemas.openxmlformats.org/officeDocument/2006/relationships" r:id="" tooltip="Terminal"/>
          <a:extLst>
            <a:ext uri="{FF2B5EF4-FFF2-40B4-BE49-F238E27FC236}">
              <a16:creationId xmlns:a16="http://schemas.microsoft.com/office/drawing/2014/main" id="{4E47F466-7F3A-4EB4-86F4-CB80C23255A0}"/>
            </a:ext>
          </a:extLst>
        </xdr:cNvPr>
        <xdr:cNvSpPr/>
      </xdr:nvSpPr>
      <xdr:spPr>
        <a:xfrm>
          <a:off x="6985000" y="6477000"/>
          <a:ext cx="762000" cy="381000"/>
        </a:xfrm>
        <a:prstGeom prst="rect">
          <a:avLst/>
        </a:prstGeom>
        <a:solidFill>
          <a:srgbClr val="148014"/>
        </a:solidFill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800" b="0" i="0"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</a:rPr>
            <a:t>0</a:t>
          </a:r>
        </a:p>
      </xdr:txBody>
    </xdr:sp>
    <xdr:clientData/>
  </xdr:twoCellAnchor>
  <xdr:twoCellAnchor>
    <xdr:from>
      <xdr:col>11</xdr:col>
      <xdr:colOff>279400</xdr:colOff>
      <xdr:row>32</xdr:row>
      <xdr:rowOff>6350</xdr:rowOff>
    </xdr:from>
    <xdr:to>
      <xdr:col>13</xdr:col>
      <xdr:colOff>76200</xdr:colOff>
      <xdr:row>32</xdr:row>
      <xdr:rowOff>133350</xdr:rowOff>
    </xdr:to>
    <xdr:sp macro="" textlink="">
      <xdr:nvSpPr>
        <xdr:cNvPr id="67" name="TextBox 66">
          <a:extLst>
            <a:ext uri="{FF2B5EF4-FFF2-40B4-BE49-F238E27FC236}">
              <a16:creationId xmlns:a16="http://schemas.microsoft.com/office/drawing/2014/main" id="{46AB229B-473D-4DFA-B67E-A58D9075CCBB}"/>
            </a:ext>
          </a:extLst>
        </xdr:cNvPr>
        <xdr:cNvSpPr txBox="1"/>
      </xdr:nvSpPr>
      <xdr:spPr>
        <a:xfrm>
          <a:off x="6985000" y="6159500"/>
          <a:ext cx="1016000" cy="127000"/>
        </a:xfrm>
        <a:prstGeom prst="rect">
          <a:avLst/>
        </a:prstGeom>
        <a:solidFill>
          <a:schemeClr val="lt1"/>
        </a:solidFill>
        <a:ln w="9525" cmpd="sng">
          <a:noFill/>
        </a:ln>
        <a:effectLst/>
        <a:extLs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l"/>
          <a:r>
            <a:rPr lang="en-US" sz="800" b="0" i="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</a:rPr>
            <a:t>15</a:t>
          </a:r>
        </a:p>
      </xdr:txBody>
    </xdr:sp>
    <xdr:clientData/>
  </xdr:twoCellAnchor>
  <xdr:twoCellAnchor>
    <xdr:from>
      <xdr:col>12</xdr:col>
      <xdr:colOff>558800</xdr:colOff>
      <xdr:row>33</xdr:row>
      <xdr:rowOff>133350</xdr:rowOff>
    </xdr:from>
    <xdr:to>
      <xdr:col>13</xdr:col>
      <xdr:colOff>711200</xdr:colOff>
      <xdr:row>35</xdr:row>
      <xdr:rowOff>133350</xdr:rowOff>
    </xdr:to>
    <xdr:sp macro="" textlink="">
      <xdr:nvSpPr>
        <xdr:cNvPr id="68" name="Rectangle 67">
          <a:hlinkClick xmlns:r="http://schemas.openxmlformats.org/officeDocument/2006/relationships" r:id="" tooltip="Terminal"/>
          <a:extLst>
            <a:ext uri="{FF2B5EF4-FFF2-40B4-BE49-F238E27FC236}">
              <a16:creationId xmlns:a16="http://schemas.microsoft.com/office/drawing/2014/main" id="{23007CEF-7968-417E-A652-BDED71D70388}"/>
            </a:ext>
          </a:extLst>
        </xdr:cNvPr>
        <xdr:cNvSpPr/>
      </xdr:nvSpPr>
      <xdr:spPr>
        <a:xfrm>
          <a:off x="7874000" y="6477000"/>
          <a:ext cx="762000" cy="381000"/>
        </a:xfrm>
        <a:prstGeom prst="rect">
          <a:avLst/>
        </a:prstGeom>
        <a:solidFill>
          <a:srgbClr val="148014"/>
        </a:solidFill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800" b="0" i="0"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</a:rPr>
            <a:t>1</a:t>
          </a:r>
        </a:p>
      </xdr:txBody>
    </xdr:sp>
    <xdr:clientData/>
  </xdr:twoCellAnchor>
  <xdr:twoCellAnchor>
    <xdr:from>
      <xdr:col>13</xdr:col>
      <xdr:colOff>330200</xdr:colOff>
      <xdr:row>32</xdr:row>
      <xdr:rowOff>6350</xdr:rowOff>
    </xdr:from>
    <xdr:to>
      <xdr:col>14</xdr:col>
      <xdr:colOff>603250</xdr:colOff>
      <xdr:row>32</xdr:row>
      <xdr:rowOff>133350</xdr:rowOff>
    </xdr:to>
    <xdr:sp macro="" textlink="">
      <xdr:nvSpPr>
        <xdr:cNvPr id="69" name="TextBox 68">
          <a:extLst>
            <a:ext uri="{FF2B5EF4-FFF2-40B4-BE49-F238E27FC236}">
              <a16:creationId xmlns:a16="http://schemas.microsoft.com/office/drawing/2014/main" id="{25DAD00C-B310-4A14-A4AA-1DDFE9E61F1E}"/>
            </a:ext>
          </a:extLst>
        </xdr:cNvPr>
        <xdr:cNvSpPr txBox="1"/>
      </xdr:nvSpPr>
      <xdr:spPr>
        <a:xfrm>
          <a:off x="8255000" y="6159500"/>
          <a:ext cx="1016000" cy="127000"/>
        </a:xfrm>
        <a:prstGeom prst="rect">
          <a:avLst/>
        </a:prstGeom>
        <a:solidFill>
          <a:schemeClr val="lt1"/>
        </a:solidFill>
        <a:ln w="9525" cmpd="sng">
          <a:noFill/>
        </a:ln>
        <a:effectLst/>
        <a:extLs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l"/>
          <a:r>
            <a:rPr lang="en-US" sz="800" b="0" i="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</a:rPr>
            <a:t>11</a:t>
          </a:r>
        </a:p>
      </xdr:txBody>
    </xdr:sp>
    <xdr:clientData/>
  </xdr:twoCellAnchor>
  <xdr:twoCellAnchor>
    <xdr:from>
      <xdr:col>14</xdr:col>
      <xdr:colOff>95250</xdr:colOff>
      <xdr:row>33</xdr:row>
      <xdr:rowOff>133350</xdr:rowOff>
    </xdr:from>
    <xdr:to>
      <xdr:col>15</xdr:col>
      <xdr:colOff>247650</xdr:colOff>
      <xdr:row>35</xdr:row>
      <xdr:rowOff>133350</xdr:rowOff>
    </xdr:to>
    <xdr:sp macro="" textlink="">
      <xdr:nvSpPr>
        <xdr:cNvPr id="70" name="Oval 69">
          <a:hlinkClick xmlns:r="http://schemas.openxmlformats.org/officeDocument/2006/relationships" r:id="" tooltip="Go left if Nchronic &lt; 4.50"/>
          <a:extLst>
            <a:ext uri="{FF2B5EF4-FFF2-40B4-BE49-F238E27FC236}">
              <a16:creationId xmlns:a16="http://schemas.microsoft.com/office/drawing/2014/main" id="{724B0811-F374-4147-B08E-CFD840899D54}"/>
            </a:ext>
          </a:extLst>
        </xdr:cNvPr>
        <xdr:cNvSpPr/>
      </xdr:nvSpPr>
      <xdr:spPr>
        <a:xfrm>
          <a:off x="8763000" y="6477000"/>
          <a:ext cx="762000" cy="381000"/>
        </a:xfrm>
        <a:prstGeom prst="ellipse">
          <a:avLst/>
        </a:prstGeom>
        <a:solidFill>
          <a:srgbClr val="4F81BD"/>
        </a:solidFill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800" b="0" i="0"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</a:rPr>
            <a:t>4.50</a:t>
          </a:r>
        </a:p>
      </xdr:txBody>
    </xdr:sp>
    <xdr:clientData/>
  </xdr:twoCellAnchor>
  <xdr:twoCellAnchor>
    <xdr:from>
      <xdr:col>14</xdr:col>
      <xdr:colOff>95250</xdr:colOff>
      <xdr:row>33</xdr:row>
      <xdr:rowOff>6350</xdr:rowOff>
    </xdr:from>
    <xdr:to>
      <xdr:col>15</xdr:col>
      <xdr:colOff>247650</xdr:colOff>
      <xdr:row>33</xdr:row>
      <xdr:rowOff>133350</xdr:rowOff>
    </xdr:to>
    <xdr:sp macro="" textlink="">
      <xdr:nvSpPr>
        <xdr:cNvPr id="71" name="TextBox 70">
          <a:extLst>
            <a:ext uri="{FF2B5EF4-FFF2-40B4-BE49-F238E27FC236}">
              <a16:creationId xmlns:a16="http://schemas.microsoft.com/office/drawing/2014/main" id="{DE6D7367-4BE3-46E5-8CF8-43CF34E6FB55}"/>
            </a:ext>
          </a:extLst>
        </xdr:cNvPr>
        <xdr:cNvSpPr txBox="1"/>
      </xdr:nvSpPr>
      <xdr:spPr>
        <a:xfrm>
          <a:off x="8763000" y="6350000"/>
          <a:ext cx="762000" cy="127000"/>
        </a:xfrm>
        <a:prstGeom prst="rect">
          <a:avLst/>
        </a:prstGeom>
        <a:solidFill>
          <a:schemeClr val="lt1"/>
        </a:solidFill>
        <a:ln w="9525" cmpd="sng">
          <a:noFill/>
        </a:ln>
        <a:effectLst/>
        <a:extLs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lang="en-US" sz="800" b="0" i="0">
              <a:solidFill>
                <a:srgbClr xmlns:mc="http://schemas.openxmlformats.org/markup-compatibility/2006" xmlns:a14="http://schemas.microsoft.com/office/drawing/2010/main" val="FF0000" mc:Ignorable="a14" a14:legacySpreadsheetColorIndex="10"/>
              </a:solidFill>
            </a:rPr>
            <a:t>Nchronic</a:t>
          </a:r>
        </a:p>
      </xdr:txBody>
    </xdr:sp>
    <xdr:clientData/>
  </xdr:twoCellAnchor>
  <xdr:twoCellAnchor>
    <xdr:from>
      <xdr:col>14</xdr:col>
      <xdr:colOff>95250</xdr:colOff>
      <xdr:row>32</xdr:row>
      <xdr:rowOff>6350</xdr:rowOff>
    </xdr:from>
    <xdr:to>
      <xdr:col>15</xdr:col>
      <xdr:colOff>501650</xdr:colOff>
      <xdr:row>32</xdr:row>
      <xdr:rowOff>133350</xdr:rowOff>
    </xdr:to>
    <xdr:sp macro="" textlink="">
      <xdr:nvSpPr>
        <xdr:cNvPr id="72" name="TextBox 71">
          <a:extLst>
            <a:ext uri="{FF2B5EF4-FFF2-40B4-BE49-F238E27FC236}">
              <a16:creationId xmlns:a16="http://schemas.microsoft.com/office/drawing/2014/main" id="{C96E8B54-460C-4774-8A1E-0147E9D2DF6C}"/>
            </a:ext>
          </a:extLst>
        </xdr:cNvPr>
        <xdr:cNvSpPr txBox="1"/>
      </xdr:nvSpPr>
      <xdr:spPr>
        <a:xfrm>
          <a:off x="8763000" y="6159500"/>
          <a:ext cx="1016000" cy="127000"/>
        </a:xfrm>
        <a:prstGeom prst="rect">
          <a:avLst/>
        </a:prstGeom>
        <a:solidFill>
          <a:schemeClr val="lt1"/>
        </a:solidFill>
        <a:ln w="9525" cmpd="sng">
          <a:noFill/>
        </a:ln>
        <a:effectLst/>
        <a:extLs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l"/>
          <a:r>
            <a:rPr lang="en-US" sz="800" b="0" i="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</a:rPr>
            <a:t>75</a:t>
          </a:r>
        </a:p>
      </xdr:txBody>
    </xdr:sp>
    <xdr:clientData/>
  </xdr:twoCellAnchor>
  <xdr:twoCellAnchor>
    <xdr:from>
      <xdr:col>17</xdr:col>
      <xdr:colOff>44450</xdr:colOff>
      <xdr:row>33</xdr:row>
      <xdr:rowOff>133350</xdr:rowOff>
    </xdr:from>
    <xdr:to>
      <xdr:col>18</xdr:col>
      <xdr:colOff>196850</xdr:colOff>
      <xdr:row>35</xdr:row>
      <xdr:rowOff>133350</xdr:rowOff>
    </xdr:to>
    <xdr:sp macro="" textlink="">
      <xdr:nvSpPr>
        <xdr:cNvPr id="73" name="Oval 72">
          <a:hlinkClick xmlns:r="http://schemas.openxmlformats.org/officeDocument/2006/relationships" r:id="" tooltip="Go left if Age &lt; 83.50"/>
          <a:extLst>
            <a:ext uri="{FF2B5EF4-FFF2-40B4-BE49-F238E27FC236}">
              <a16:creationId xmlns:a16="http://schemas.microsoft.com/office/drawing/2014/main" id="{308C4F60-6920-4F88-81DD-2BEEE8A13CB0}"/>
            </a:ext>
          </a:extLst>
        </xdr:cNvPr>
        <xdr:cNvSpPr/>
      </xdr:nvSpPr>
      <xdr:spPr>
        <a:xfrm>
          <a:off x="10541000" y="6477000"/>
          <a:ext cx="762000" cy="381000"/>
        </a:xfrm>
        <a:prstGeom prst="ellipse">
          <a:avLst/>
        </a:prstGeom>
        <a:solidFill>
          <a:srgbClr val="4F81BD"/>
        </a:solidFill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800" b="0" i="0"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</a:rPr>
            <a:t>83.50</a:t>
          </a:r>
        </a:p>
      </xdr:txBody>
    </xdr:sp>
    <xdr:clientData/>
  </xdr:twoCellAnchor>
  <xdr:twoCellAnchor>
    <xdr:from>
      <xdr:col>17</xdr:col>
      <xdr:colOff>44450</xdr:colOff>
      <xdr:row>33</xdr:row>
      <xdr:rowOff>6350</xdr:rowOff>
    </xdr:from>
    <xdr:to>
      <xdr:col>18</xdr:col>
      <xdr:colOff>196850</xdr:colOff>
      <xdr:row>33</xdr:row>
      <xdr:rowOff>133350</xdr:rowOff>
    </xdr:to>
    <xdr:sp macro="" textlink="">
      <xdr:nvSpPr>
        <xdr:cNvPr id="74" name="TextBox 73">
          <a:extLst>
            <a:ext uri="{FF2B5EF4-FFF2-40B4-BE49-F238E27FC236}">
              <a16:creationId xmlns:a16="http://schemas.microsoft.com/office/drawing/2014/main" id="{19773995-14BA-4248-ACF0-A986FC442736}"/>
            </a:ext>
          </a:extLst>
        </xdr:cNvPr>
        <xdr:cNvSpPr txBox="1"/>
      </xdr:nvSpPr>
      <xdr:spPr>
        <a:xfrm>
          <a:off x="10541000" y="6350000"/>
          <a:ext cx="762000" cy="127000"/>
        </a:xfrm>
        <a:prstGeom prst="rect">
          <a:avLst/>
        </a:prstGeom>
        <a:solidFill>
          <a:schemeClr val="lt1"/>
        </a:solidFill>
        <a:ln w="9525" cmpd="sng">
          <a:noFill/>
        </a:ln>
        <a:effectLst/>
        <a:extLs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lang="en-US" sz="800" b="0" i="0">
              <a:solidFill>
                <a:srgbClr xmlns:mc="http://schemas.openxmlformats.org/markup-compatibility/2006" xmlns:a14="http://schemas.microsoft.com/office/drawing/2010/main" val="FF0000" mc:Ignorable="a14" a14:legacySpreadsheetColorIndex="10"/>
              </a:solidFill>
            </a:rPr>
            <a:t>Age</a:t>
          </a:r>
        </a:p>
      </xdr:txBody>
    </xdr:sp>
    <xdr:clientData/>
  </xdr:twoCellAnchor>
  <xdr:twoCellAnchor>
    <xdr:from>
      <xdr:col>17</xdr:col>
      <xdr:colOff>425450</xdr:colOff>
      <xdr:row>32</xdr:row>
      <xdr:rowOff>6350</xdr:rowOff>
    </xdr:from>
    <xdr:to>
      <xdr:col>19</xdr:col>
      <xdr:colOff>222250</xdr:colOff>
      <xdr:row>32</xdr:row>
      <xdr:rowOff>133350</xdr:rowOff>
    </xdr:to>
    <xdr:sp macro="" textlink="">
      <xdr:nvSpPr>
        <xdr:cNvPr id="75" name="TextBox 74">
          <a:extLst>
            <a:ext uri="{FF2B5EF4-FFF2-40B4-BE49-F238E27FC236}">
              <a16:creationId xmlns:a16="http://schemas.microsoft.com/office/drawing/2014/main" id="{0C27172A-A936-47B1-BBA8-F5A69D59F27B}"/>
            </a:ext>
          </a:extLst>
        </xdr:cNvPr>
        <xdr:cNvSpPr txBox="1"/>
      </xdr:nvSpPr>
      <xdr:spPr>
        <a:xfrm>
          <a:off x="10922000" y="6159500"/>
          <a:ext cx="1016000" cy="127000"/>
        </a:xfrm>
        <a:prstGeom prst="rect">
          <a:avLst/>
        </a:prstGeom>
        <a:solidFill>
          <a:schemeClr val="lt1"/>
        </a:solidFill>
        <a:ln w="9525" cmpd="sng">
          <a:noFill/>
        </a:ln>
        <a:effectLst/>
        <a:extLs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l"/>
          <a:r>
            <a:rPr lang="en-US" sz="800" b="0" i="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</a:rPr>
            <a:t>40</a:t>
          </a:r>
        </a:p>
      </xdr:txBody>
    </xdr:sp>
    <xdr:clientData/>
  </xdr:twoCellAnchor>
  <xdr:twoCellAnchor>
    <xdr:from>
      <xdr:col>19</xdr:col>
      <xdr:colOff>603250</xdr:colOff>
      <xdr:row>33</xdr:row>
      <xdr:rowOff>133350</xdr:rowOff>
    </xdr:from>
    <xdr:to>
      <xdr:col>21</xdr:col>
      <xdr:colOff>146050</xdr:colOff>
      <xdr:row>35</xdr:row>
      <xdr:rowOff>133350</xdr:rowOff>
    </xdr:to>
    <xdr:sp macro="" textlink="">
      <xdr:nvSpPr>
        <xdr:cNvPr id="76" name="Oval 75">
          <a:hlinkClick xmlns:r="http://schemas.openxmlformats.org/officeDocument/2006/relationships" r:id="" tooltip="Go left if Totalcharges &lt; 14127.50"/>
          <a:extLst>
            <a:ext uri="{FF2B5EF4-FFF2-40B4-BE49-F238E27FC236}">
              <a16:creationId xmlns:a16="http://schemas.microsoft.com/office/drawing/2014/main" id="{10BD76FB-A1CC-4F61-B5D6-82EC80A863D4}"/>
            </a:ext>
          </a:extLst>
        </xdr:cNvPr>
        <xdr:cNvSpPr/>
      </xdr:nvSpPr>
      <xdr:spPr>
        <a:xfrm>
          <a:off x="12319000" y="6477000"/>
          <a:ext cx="762000" cy="381000"/>
        </a:xfrm>
        <a:prstGeom prst="ellipse">
          <a:avLst/>
        </a:prstGeom>
        <a:solidFill>
          <a:srgbClr val="4F81BD"/>
        </a:solidFill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800" b="0" i="0"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</a:rPr>
            <a:t>14127.50</a:t>
          </a:r>
        </a:p>
      </xdr:txBody>
    </xdr:sp>
    <xdr:clientData/>
  </xdr:twoCellAnchor>
  <xdr:twoCellAnchor>
    <xdr:from>
      <xdr:col>19</xdr:col>
      <xdr:colOff>603250</xdr:colOff>
      <xdr:row>33</xdr:row>
      <xdr:rowOff>6350</xdr:rowOff>
    </xdr:from>
    <xdr:to>
      <xdr:col>21</xdr:col>
      <xdr:colOff>146050</xdr:colOff>
      <xdr:row>33</xdr:row>
      <xdr:rowOff>133350</xdr:rowOff>
    </xdr:to>
    <xdr:sp macro="" textlink="">
      <xdr:nvSpPr>
        <xdr:cNvPr id="77" name="TextBox 76">
          <a:extLst>
            <a:ext uri="{FF2B5EF4-FFF2-40B4-BE49-F238E27FC236}">
              <a16:creationId xmlns:a16="http://schemas.microsoft.com/office/drawing/2014/main" id="{D239742B-B00B-487D-854F-4F02497972FA}"/>
            </a:ext>
          </a:extLst>
        </xdr:cNvPr>
        <xdr:cNvSpPr txBox="1"/>
      </xdr:nvSpPr>
      <xdr:spPr>
        <a:xfrm>
          <a:off x="12319000" y="6350000"/>
          <a:ext cx="762000" cy="127000"/>
        </a:xfrm>
        <a:prstGeom prst="rect">
          <a:avLst/>
        </a:prstGeom>
        <a:solidFill>
          <a:schemeClr val="lt1"/>
        </a:solidFill>
        <a:ln w="9525" cmpd="sng">
          <a:noFill/>
        </a:ln>
        <a:effectLst/>
        <a:extLs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lang="en-US" sz="800" b="0" i="0">
              <a:solidFill>
                <a:srgbClr xmlns:mc="http://schemas.openxmlformats.org/markup-compatibility/2006" xmlns:a14="http://schemas.microsoft.com/office/drawing/2010/main" val="FF0000" mc:Ignorable="a14" a14:legacySpreadsheetColorIndex="10"/>
              </a:solidFill>
            </a:rPr>
            <a:t>Totalcharges</a:t>
          </a:r>
        </a:p>
      </xdr:txBody>
    </xdr:sp>
    <xdr:clientData/>
  </xdr:twoCellAnchor>
  <xdr:twoCellAnchor>
    <xdr:from>
      <xdr:col>19</xdr:col>
      <xdr:colOff>603250</xdr:colOff>
      <xdr:row>32</xdr:row>
      <xdr:rowOff>6350</xdr:rowOff>
    </xdr:from>
    <xdr:to>
      <xdr:col>21</xdr:col>
      <xdr:colOff>400050</xdr:colOff>
      <xdr:row>32</xdr:row>
      <xdr:rowOff>133350</xdr:rowOff>
    </xdr:to>
    <xdr:sp macro="" textlink="">
      <xdr:nvSpPr>
        <xdr:cNvPr id="78" name="TextBox 77">
          <a:extLst>
            <a:ext uri="{FF2B5EF4-FFF2-40B4-BE49-F238E27FC236}">
              <a16:creationId xmlns:a16="http://schemas.microsoft.com/office/drawing/2014/main" id="{7AA274E5-DAA1-4244-B45C-27B8A7E34899}"/>
            </a:ext>
          </a:extLst>
        </xdr:cNvPr>
        <xdr:cNvSpPr txBox="1"/>
      </xdr:nvSpPr>
      <xdr:spPr>
        <a:xfrm>
          <a:off x="12319000" y="6159500"/>
          <a:ext cx="1016000" cy="127000"/>
        </a:xfrm>
        <a:prstGeom prst="rect">
          <a:avLst/>
        </a:prstGeom>
        <a:solidFill>
          <a:schemeClr val="lt1"/>
        </a:solidFill>
        <a:ln w="9525" cmpd="sng">
          <a:noFill/>
        </a:ln>
        <a:effectLst/>
        <a:extLs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l"/>
          <a:r>
            <a:rPr lang="en-US" sz="800" b="0" i="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</a:rPr>
            <a:t>60</a:t>
          </a:r>
        </a:p>
      </xdr:txBody>
    </xdr:sp>
    <xdr:clientData/>
  </xdr:twoCellAnchor>
  <xdr:twoCellAnchor>
    <xdr:from>
      <xdr:col>1</xdr:col>
      <xdr:colOff>152400</xdr:colOff>
      <xdr:row>37</xdr:row>
      <xdr:rowOff>133350</xdr:rowOff>
    </xdr:from>
    <xdr:to>
      <xdr:col>2</xdr:col>
      <xdr:colOff>304800</xdr:colOff>
      <xdr:row>39</xdr:row>
      <xdr:rowOff>133350</xdr:rowOff>
    </xdr:to>
    <xdr:sp macro="" textlink="">
      <xdr:nvSpPr>
        <xdr:cNvPr id="79" name="Rectangle 78">
          <a:hlinkClick xmlns:r="http://schemas.openxmlformats.org/officeDocument/2006/relationships" r:id="" tooltip="Subtree"/>
          <a:extLst>
            <a:ext uri="{FF2B5EF4-FFF2-40B4-BE49-F238E27FC236}">
              <a16:creationId xmlns:a16="http://schemas.microsoft.com/office/drawing/2014/main" id="{0F4B7DEF-B60A-4A89-9005-FC09BE6C2D77}"/>
            </a:ext>
          </a:extLst>
        </xdr:cNvPr>
        <xdr:cNvSpPr/>
      </xdr:nvSpPr>
      <xdr:spPr>
        <a:xfrm>
          <a:off x="762000" y="7239000"/>
          <a:ext cx="762000" cy="381000"/>
        </a:xfrm>
        <a:prstGeom prst="rect">
          <a:avLst/>
        </a:prstGeom>
        <a:solidFill>
          <a:srgbClr val="801414"/>
        </a:solidFill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800" b="0" i="0"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</a:rPr>
            <a:t>0</a:t>
          </a:r>
        </a:p>
      </xdr:txBody>
    </xdr:sp>
    <xdr:clientData/>
  </xdr:twoCellAnchor>
  <xdr:twoCellAnchor>
    <xdr:from>
      <xdr:col>1</xdr:col>
      <xdr:colOff>533400</xdr:colOff>
      <xdr:row>36</xdr:row>
      <xdr:rowOff>6350</xdr:rowOff>
    </xdr:from>
    <xdr:to>
      <xdr:col>3</xdr:col>
      <xdr:colOff>330200</xdr:colOff>
      <xdr:row>36</xdr:row>
      <xdr:rowOff>133350</xdr:rowOff>
    </xdr:to>
    <xdr:sp macro="" textlink="">
      <xdr:nvSpPr>
        <xdr:cNvPr id="80" name="TextBox 79">
          <a:extLst>
            <a:ext uri="{FF2B5EF4-FFF2-40B4-BE49-F238E27FC236}">
              <a16:creationId xmlns:a16="http://schemas.microsoft.com/office/drawing/2014/main" id="{73097826-6B19-4097-8D83-95F43E3EEBA5}"/>
            </a:ext>
          </a:extLst>
        </xdr:cNvPr>
        <xdr:cNvSpPr txBox="1"/>
      </xdr:nvSpPr>
      <xdr:spPr>
        <a:xfrm>
          <a:off x="1143000" y="6921500"/>
          <a:ext cx="1016000" cy="127000"/>
        </a:xfrm>
        <a:prstGeom prst="rect">
          <a:avLst/>
        </a:prstGeom>
        <a:solidFill>
          <a:schemeClr val="lt1"/>
        </a:solidFill>
        <a:ln w="9525" cmpd="sng">
          <a:noFill/>
        </a:ln>
        <a:effectLst/>
        <a:extLs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l"/>
          <a:r>
            <a:rPr lang="en-US" sz="800" b="0" i="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</a:rPr>
            <a:t>475</a:t>
          </a:r>
        </a:p>
      </xdr:txBody>
    </xdr:sp>
    <xdr:clientData/>
  </xdr:twoCellAnchor>
  <xdr:twoCellAnchor>
    <xdr:from>
      <xdr:col>2</xdr:col>
      <xdr:colOff>431800</xdr:colOff>
      <xdr:row>37</xdr:row>
      <xdr:rowOff>133350</xdr:rowOff>
    </xdr:from>
    <xdr:to>
      <xdr:col>3</xdr:col>
      <xdr:colOff>584200</xdr:colOff>
      <xdr:row>39</xdr:row>
      <xdr:rowOff>133350</xdr:rowOff>
    </xdr:to>
    <xdr:sp macro="" textlink="">
      <xdr:nvSpPr>
        <xdr:cNvPr id="81" name="Rectangle 80">
          <a:hlinkClick xmlns:r="http://schemas.openxmlformats.org/officeDocument/2006/relationships" r:id="" tooltip="Terminal"/>
          <a:extLst>
            <a:ext uri="{FF2B5EF4-FFF2-40B4-BE49-F238E27FC236}">
              <a16:creationId xmlns:a16="http://schemas.microsoft.com/office/drawing/2014/main" id="{E7C996D3-B64D-48D8-8236-4A30332FCF60}"/>
            </a:ext>
          </a:extLst>
        </xdr:cNvPr>
        <xdr:cNvSpPr/>
      </xdr:nvSpPr>
      <xdr:spPr>
        <a:xfrm>
          <a:off x="1651000" y="7239000"/>
          <a:ext cx="762000" cy="381000"/>
        </a:xfrm>
        <a:prstGeom prst="rect">
          <a:avLst/>
        </a:prstGeom>
        <a:solidFill>
          <a:srgbClr val="148014"/>
        </a:solidFill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800" b="0" i="0"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</a:rPr>
            <a:t>1</a:t>
          </a:r>
        </a:p>
      </xdr:txBody>
    </xdr:sp>
    <xdr:clientData/>
  </xdr:twoCellAnchor>
  <xdr:twoCellAnchor>
    <xdr:from>
      <xdr:col>2</xdr:col>
      <xdr:colOff>431800</xdr:colOff>
      <xdr:row>36</xdr:row>
      <xdr:rowOff>6350</xdr:rowOff>
    </xdr:from>
    <xdr:to>
      <xdr:col>4</xdr:col>
      <xdr:colOff>228600</xdr:colOff>
      <xdr:row>36</xdr:row>
      <xdr:rowOff>133350</xdr:rowOff>
    </xdr:to>
    <xdr:sp macro="" textlink="">
      <xdr:nvSpPr>
        <xdr:cNvPr id="82" name="TextBox 81">
          <a:extLst>
            <a:ext uri="{FF2B5EF4-FFF2-40B4-BE49-F238E27FC236}">
              <a16:creationId xmlns:a16="http://schemas.microsoft.com/office/drawing/2014/main" id="{1F8155F1-2E38-4D79-980D-0289304DB2BC}"/>
            </a:ext>
          </a:extLst>
        </xdr:cNvPr>
        <xdr:cNvSpPr txBox="1"/>
      </xdr:nvSpPr>
      <xdr:spPr>
        <a:xfrm>
          <a:off x="1651000" y="6921500"/>
          <a:ext cx="1016000" cy="127000"/>
        </a:xfrm>
        <a:prstGeom prst="rect">
          <a:avLst/>
        </a:prstGeom>
        <a:solidFill>
          <a:schemeClr val="lt1"/>
        </a:solidFill>
        <a:ln w="9525" cmpd="sng">
          <a:noFill/>
        </a:ln>
        <a:effectLst/>
        <a:extLs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l"/>
          <a:r>
            <a:rPr lang="en-US" sz="800" b="0" i="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</a:rPr>
            <a:t>6</a:t>
          </a:r>
        </a:p>
      </xdr:txBody>
    </xdr:sp>
    <xdr:clientData/>
  </xdr:twoCellAnchor>
  <xdr:twoCellAnchor>
    <xdr:from>
      <xdr:col>4</xdr:col>
      <xdr:colOff>101600</xdr:colOff>
      <xdr:row>37</xdr:row>
      <xdr:rowOff>133350</xdr:rowOff>
    </xdr:from>
    <xdr:to>
      <xdr:col>5</xdr:col>
      <xdr:colOff>254000</xdr:colOff>
      <xdr:row>39</xdr:row>
      <xdr:rowOff>133350</xdr:rowOff>
    </xdr:to>
    <xdr:sp macro="" textlink="">
      <xdr:nvSpPr>
        <xdr:cNvPr id="83" name="Rectangle 82">
          <a:hlinkClick xmlns:r="http://schemas.openxmlformats.org/officeDocument/2006/relationships" r:id="" tooltip="Terminal"/>
          <a:extLst>
            <a:ext uri="{FF2B5EF4-FFF2-40B4-BE49-F238E27FC236}">
              <a16:creationId xmlns:a16="http://schemas.microsoft.com/office/drawing/2014/main" id="{969239CD-9825-4E4A-A4DE-7C1AE1DDA900}"/>
            </a:ext>
          </a:extLst>
        </xdr:cNvPr>
        <xdr:cNvSpPr/>
      </xdr:nvSpPr>
      <xdr:spPr>
        <a:xfrm>
          <a:off x="2540000" y="7239000"/>
          <a:ext cx="762000" cy="381000"/>
        </a:xfrm>
        <a:prstGeom prst="rect">
          <a:avLst/>
        </a:prstGeom>
        <a:solidFill>
          <a:srgbClr val="148014"/>
        </a:solidFill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800" b="0" i="0"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</a:rPr>
            <a:t>1</a:t>
          </a:r>
        </a:p>
      </xdr:txBody>
    </xdr:sp>
    <xdr:clientData/>
  </xdr:twoCellAnchor>
  <xdr:twoCellAnchor>
    <xdr:from>
      <xdr:col>4</xdr:col>
      <xdr:colOff>482600</xdr:colOff>
      <xdr:row>36</xdr:row>
      <xdr:rowOff>6350</xdr:rowOff>
    </xdr:from>
    <xdr:to>
      <xdr:col>6</xdr:col>
      <xdr:colOff>279400</xdr:colOff>
      <xdr:row>36</xdr:row>
      <xdr:rowOff>133350</xdr:rowOff>
    </xdr:to>
    <xdr:sp macro="" textlink="">
      <xdr:nvSpPr>
        <xdr:cNvPr id="84" name="TextBox 83">
          <a:extLst>
            <a:ext uri="{FF2B5EF4-FFF2-40B4-BE49-F238E27FC236}">
              <a16:creationId xmlns:a16="http://schemas.microsoft.com/office/drawing/2014/main" id="{56E1E547-DB54-482C-809E-F160985D0FE4}"/>
            </a:ext>
          </a:extLst>
        </xdr:cNvPr>
        <xdr:cNvSpPr txBox="1"/>
      </xdr:nvSpPr>
      <xdr:spPr>
        <a:xfrm>
          <a:off x="2921000" y="6921500"/>
          <a:ext cx="1016000" cy="127000"/>
        </a:xfrm>
        <a:prstGeom prst="rect">
          <a:avLst/>
        </a:prstGeom>
        <a:solidFill>
          <a:schemeClr val="lt1"/>
        </a:solidFill>
        <a:ln w="9525" cmpd="sng">
          <a:noFill/>
        </a:ln>
        <a:effectLst/>
        <a:extLs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l"/>
          <a:r>
            <a:rPr lang="en-US" sz="800" b="0" i="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</a:rPr>
            <a:t>22</a:t>
          </a:r>
        </a:p>
      </xdr:txBody>
    </xdr:sp>
    <xdr:clientData/>
  </xdr:twoCellAnchor>
  <xdr:twoCellAnchor>
    <xdr:from>
      <xdr:col>5</xdr:col>
      <xdr:colOff>381000</xdr:colOff>
      <xdr:row>37</xdr:row>
      <xdr:rowOff>133350</xdr:rowOff>
    </xdr:from>
    <xdr:to>
      <xdr:col>6</xdr:col>
      <xdr:colOff>533400</xdr:colOff>
      <xdr:row>39</xdr:row>
      <xdr:rowOff>133350</xdr:rowOff>
    </xdr:to>
    <xdr:sp macro="" textlink="">
      <xdr:nvSpPr>
        <xdr:cNvPr id="85" name="Rectangle 84">
          <a:hlinkClick xmlns:r="http://schemas.openxmlformats.org/officeDocument/2006/relationships" r:id="" tooltip="Subtree"/>
          <a:extLst>
            <a:ext uri="{FF2B5EF4-FFF2-40B4-BE49-F238E27FC236}">
              <a16:creationId xmlns:a16="http://schemas.microsoft.com/office/drawing/2014/main" id="{0975D622-EA9D-4945-847F-50E1429D348B}"/>
            </a:ext>
          </a:extLst>
        </xdr:cNvPr>
        <xdr:cNvSpPr/>
      </xdr:nvSpPr>
      <xdr:spPr>
        <a:xfrm>
          <a:off x="3429000" y="7239000"/>
          <a:ext cx="762000" cy="381000"/>
        </a:xfrm>
        <a:prstGeom prst="rect">
          <a:avLst/>
        </a:prstGeom>
        <a:solidFill>
          <a:srgbClr val="801414"/>
        </a:solidFill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800" b="0" i="0"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</a:rPr>
            <a:t>0</a:t>
          </a:r>
        </a:p>
      </xdr:txBody>
    </xdr:sp>
    <xdr:clientData/>
  </xdr:twoCellAnchor>
  <xdr:twoCellAnchor>
    <xdr:from>
      <xdr:col>5</xdr:col>
      <xdr:colOff>381000</xdr:colOff>
      <xdr:row>36</xdr:row>
      <xdr:rowOff>6350</xdr:rowOff>
    </xdr:from>
    <xdr:to>
      <xdr:col>7</xdr:col>
      <xdr:colOff>177800</xdr:colOff>
      <xdr:row>36</xdr:row>
      <xdr:rowOff>133350</xdr:rowOff>
    </xdr:to>
    <xdr:sp macro="" textlink="">
      <xdr:nvSpPr>
        <xdr:cNvPr id="86" name="TextBox 85">
          <a:extLst>
            <a:ext uri="{FF2B5EF4-FFF2-40B4-BE49-F238E27FC236}">
              <a16:creationId xmlns:a16="http://schemas.microsoft.com/office/drawing/2014/main" id="{6CE75EDD-635A-4C42-B18B-A82A6431AB5B}"/>
            </a:ext>
          </a:extLst>
        </xdr:cNvPr>
        <xdr:cNvSpPr txBox="1"/>
      </xdr:nvSpPr>
      <xdr:spPr>
        <a:xfrm>
          <a:off x="3429000" y="6921500"/>
          <a:ext cx="1016000" cy="127000"/>
        </a:xfrm>
        <a:prstGeom prst="rect">
          <a:avLst/>
        </a:prstGeom>
        <a:solidFill>
          <a:schemeClr val="lt1"/>
        </a:solidFill>
        <a:ln w="9525" cmpd="sng">
          <a:noFill/>
        </a:ln>
        <a:effectLst/>
        <a:extLs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l"/>
          <a:r>
            <a:rPr lang="en-US" sz="800" b="0" i="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</a:rPr>
            <a:t>326</a:t>
          </a:r>
        </a:p>
      </xdr:txBody>
    </xdr:sp>
    <xdr:clientData/>
  </xdr:twoCellAnchor>
  <xdr:twoCellAnchor>
    <xdr:from>
      <xdr:col>9</xdr:col>
      <xdr:colOff>165100</xdr:colOff>
      <xdr:row>37</xdr:row>
      <xdr:rowOff>133350</xdr:rowOff>
    </xdr:from>
    <xdr:to>
      <xdr:col>10</xdr:col>
      <xdr:colOff>317500</xdr:colOff>
      <xdr:row>39</xdr:row>
      <xdr:rowOff>133350</xdr:rowOff>
    </xdr:to>
    <xdr:sp macro="" textlink="">
      <xdr:nvSpPr>
        <xdr:cNvPr id="87" name="Rectangle 86">
          <a:hlinkClick xmlns:r="http://schemas.openxmlformats.org/officeDocument/2006/relationships" r:id="" tooltip="Subtree"/>
          <a:extLst>
            <a:ext uri="{FF2B5EF4-FFF2-40B4-BE49-F238E27FC236}">
              <a16:creationId xmlns:a16="http://schemas.microsoft.com/office/drawing/2014/main" id="{8E697250-644C-4D57-BED6-BAF2A13754BD}"/>
            </a:ext>
          </a:extLst>
        </xdr:cNvPr>
        <xdr:cNvSpPr/>
      </xdr:nvSpPr>
      <xdr:spPr>
        <a:xfrm>
          <a:off x="5651500" y="7239000"/>
          <a:ext cx="762000" cy="381000"/>
        </a:xfrm>
        <a:prstGeom prst="rect">
          <a:avLst/>
        </a:prstGeom>
        <a:solidFill>
          <a:srgbClr val="801414"/>
        </a:solidFill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800" b="0" i="0"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</a:rPr>
            <a:t>0</a:t>
          </a:r>
        </a:p>
      </xdr:txBody>
    </xdr:sp>
    <xdr:clientData/>
  </xdr:twoCellAnchor>
  <xdr:twoCellAnchor>
    <xdr:from>
      <xdr:col>9</xdr:col>
      <xdr:colOff>546100</xdr:colOff>
      <xdr:row>36</xdr:row>
      <xdr:rowOff>6350</xdr:rowOff>
    </xdr:from>
    <xdr:to>
      <xdr:col>11</xdr:col>
      <xdr:colOff>342900</xdr:colOff>
      <xdr:row>36</xdr:row>
      <xdr:rowOff>133350</xdr:rowOff>
    </xdr:to>
    <xdr:sp macro="" textlink="">
      <xdr:nvSpPr>
        <xdr:cNvPr id="88" name="TextBox 87">
          <a:extLst>
            <a:ext uri="{FF2B5EF4-FFF2-40B4-BE49-F238E27FC236}">
              <a16:creationId xmlns:a16="http://schemas.microsoft.com/office/drawing/2014/main" id="{78C2D189-C259-4E38-B442-62C840A993AF}"/>
            </a:ext>
          </a:extLst>
        </xdr:cNvPr>
        <xdr:cNvSpPr txBox="1"/>
      </xdr:nvSpPr>
      <xdr:spPr>
        <a:xfrm>
          <a:off x="6032500" y="6921500"/>
          <a:ext cx="1016000" cy="127000"/>
        </a:xfrm>
        <a:prstGeom prst="rect">
          <a:avLst/>
        </a:prstGeom>
        <a:solidFill>
          <a:schemeClr val="lt1"/>
        </a:solidFill>
        <a:ln w="9525" cmpd="sng">
          <a:noFill/>
        </a:ln>
        <a:effectLst/>
        <a:extLs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l"/>
          <a:r>
            <a:rPr lang="en-US" sz="800" b="0" i="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</a:rPr>
            <a:t>39</a:t>
          </a:r>
        </a:p>
      </xdr:txBody>
    </xdr:sp>
    <xdr:clientData/>
  </xdr:twoCellAnchor>
  <xdr:twoCellAnchor>
    <xdr:from>
      <xdr:col>10</xdr:col>
      <xdr:colOff>444500</xdr:colOff>
      <xdr:row>37</xdr:row>
      <xdr:rowOff>133350</xdr:rowOff>
    </xdr:from>
    <xdr:to>
      <xdr:col>11</xdr:col>
      <xdr:colOff>596900</xdr:colOff>
      <xdr:row>39</xdr:row>
      <xdr:rowOff>133350</xdr:rowOff>
    </xdr:to>
    <xdr:sp macro="" textlink="">
      <xdr:nvSpPr>
        <xdr:cNvPr id="89" name="Rectangle 88">
          <a:hlinkClick xmlns:r="http://schemas.openxmlformats.org/officeDocument/2006/relationships" r:id="" tooltip="Terminal"/>
          <a:extLst>
            <a:ext uri="{FF2B5EF4-FFF2-40B4-BE49-F238E27FC236}">
              <a16:creationId xmlns:a16="http://schemas.microsoft.com/office/drawing/2014/main" id="{72E6C733-1CB6-4F61-976B-13EC52E4CD64}"/>
            </a:ext>
          </a:extLst>
        </xdr:cNvPr>
        <xdr:cNvSpPr/>
      </xdr:nvSpPr>
      <xdr:spPr>
        <a:xfrm>
          <a:off x="6540500" y="7239000"/>
          <a:ext cx="762000" cy="381000"/>
        </a:xfrm>
        <a:prstGeom prst="rect">
          <a:avLst/>
        </a:prstGeom>
        <a:solidFill>
          <a:srgbClr val="148014"/>
        </a:solidFill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800" b="0" i="0"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</a:rPr>
            <a:t>0</a:t>
          </a:r>
        </a:p>
      </xdr:txBody>
    </xdr:sp>
    <xdr:clientData/>
  </xdr:twoCellAnchor>
  <xdr:twoCellAnchor>
    <xdr:from>
      <xdr:col>10</xdr:col>
      <xdr:colOff>444500</xdr:colOff>
      <xdr:row>36</xdr:row>
      <xdr:rowOff>6350</xdr:rowOff>
    </xdr:from>
    <xdr:to>
      <xdr:col>12</xdr:col>
      <xdr:colOff>241300</xdr:colOff>
      <xdr:row>36</xdr:row>
      <xdr:rowOff>133350</xdr:rowOff>
    </xdr:to>
    <xdr:sp macro="" textlink="">
      <xdr:nvSpPr>
        <xdr:cNvPr id="90" name="TextBox 89">
          <a:extLst>
            <a:ext uri="{FF2B5EF4-FFF2-40B4-BE49-F238E27FC236}">
              <a16:creationId xmlns:a16="http://schemas.microsoft.com/office/drawing/2014/main" id="{246BCD72-A154-46E7-A97C-C5E30E14F92E}"/>
            </a:ext>
          </a:extLst>
        </xdr:cNvPr>
        <xdr:cNvSpPr txBox="1"/>
      </xdr:nvSpPr>
      <xdr:spPr>
        <a:xfrm>
          <a:off x="6540500" y="6921500"/>
          <a:ext cx="1016000" cy="127000"/>
        </a:xfrm>
        <a:prstGeom prst="rect">
          <a:avLst/>
        </a:prstGeom>
        <a:solidFill>
          <a:schemeClr val="lt1"/>
        </a:solidFill>
        <a:ln w="9525" cmpd="sng">
          <a:noFill/>
        </a:ln>
        <a:effectLst/>
        <a:extLs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l"/>
          <a:r>
            <a:rPr lang="en-US" sz="800" b="0" i="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</a:rPr>
            <a:t>16</a:t>
          </a:r>
        </a:p>
      </xdr:txBody>
    </xdr:sp>
    <xdr:clientData/>
  </xdr:twoCellAnchor>
  <xdr:twoCellAnchor>
    <xdr:from>
      <xdr:col>13</xdr:col>
      <xdr:colOff>393700</xdr:colOff>
      <xdr:row>37</xdr:row>
      <xdr:rowOff>133350</xdr:rowOff>
    </xdr:from>
    <xdr:to>
      <xdr:col>14</xdr:col>
      <xdr:colOff>412750</xdr:colOff>
      <xdr:row>39</xdr:row>
      <xdr:rowOff>133350</xdr:rowOff>
    </xdr:to>
    <xdr:sp macro="" textlink="">
      <xdr:nvSpPr>
        <xdr:cNvPr id="91" name="Rectangle 90">
          <a:hlinkClick xmlns:r="http://schemas.openxmlformats.org/officeDocument/2006/relationships" r:id="" tooltip="Subtree"/>
          <a:extLst>
            <a:ext uri="{FF2B5EF4-FFF2-40B4-BE49-F238E27FC236}">
              <a16:creationId xmlns:a16="http://schemas.microsoft.com/office/drawing/2014/main" id="{BFBE003F-BB1B-4734-8DCB-EC8C5DB5161F}"/>
            </a:ext>
          </a:extLst>
        </xdr:cNvPr>
        <xdr:cNvSpPr/>
      </xdr:nvSpPr>
      <xdr:spPr>
        <a:xfrm>
          <a:off x="8318500" y="7239000"/>
          <a:ext cx="762000" cy="381000"/>
        </a:xfrm>
        <a:prstGeom prst="rect">
          <a:avLst/>
        </a:prstGeom>
        <a:solidFill>
          <a:srgbClr val="801414"/>
        </a:solidFill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800" b="0" i="0"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</a:rPr>
            <a:t>0</a:t>
          </a:r>
        </a:p>
      </xdr:txBody>
    </xdr:sp>
    <xdr:clientData/>
  </xdr:twoCellAnchor>
  <xdr:twoCellAnchor>
    <xdr:from>
      <xdr:col>14</xdr:col>
      <xdr:colOff>31750</xdr:colOff>
      <xdr:row>36</xdr:row>
      <xdr:rowOff>6350</xdr:rowOff>
    </xdr:from>
    <xdr:to>
      <xdr:col>15</xdr:col>
      <xdr:colOff>438150</xdr:colOff>
      <xdr:row>36</xdr:row>
      <xdr:rowOff>133350</xdr:rowOff>
    </xdr:to>
    <xdr:sp macro="" textlink="">
      <xdr:nvSpPr>
        <xdr:cNvPr id="92" name="TextBox 91">
          <a:extLst>
            <a:ext uri="{FF2B5EF4-FFF2-40B4-BE49-F238E27FC236}">
              <a16:creationId xmlns:a16="http://schemas.microsoft.com/office/drawing/2014/main" id="{FA5F2565-CCBA-4052-89CD-A1051C4566F3}"/>
            </a:ext>
          </a:extLst>
        </xdr:cNvPr>
        <xdr:cNvSpPr txBox="1"/>
      </xdr:nvSpPr>
      <xdr:spPr>
        <a:xfrm>
          <a:off x="8699500" y="6921500"/>
          <a:ext cx="1016000" cy="127000"/>
        </a:xfrm>
        <a:prstGeom prst="rect">
          <a:avLst/>
        </a:prstGeom>
        <a:solidFill>
          <a:schemeClr val="lt1"/>
        </a:solidFill>
        <a:ln w="9525" cmpd="sng">
          <a:noFill/>
        </a:ln>
        <a:effectLst/>
        <a:extLs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l"/>
          <a:r>
            <a:rPr lang="en-US" sz="800" b="0" i="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</a:rPr>
            <a:t>48</a:t>
          </a:r>
        </a:p>
      </xdr:txBody>
    </xdr:sp>
    <xdr:clientData/>
  </xdr:twoCellAnchor>
  <xdr:twoCellAnchor>
    <xdr:from>
      <xdr:col>14</xdr:col>
      <xdr:colOff>539750</xdr:colOff>
      <xdr:row>37</xdr:row>
      <xdr:rowOff>133350</xdr:rowOff>
    </xdr:from>
    <xdr:to>
      <xdr:col>16</xdr:col>
      <xdr:colOff>82550</xdr:colOff>
      <xdr:row>39</xdr:row>
      <xdr:rowOff>133350</xdr:rowOff>
    </xdr:to>
    <xdr:sp macro="" textlink="">
      <xdr:nvSpPr>
        <xdr:cNvPr id="93" name="Rectangle 92">
          <a:hlinkClick xmlns:r="http://schemas.openxmlformats.org/officeDocument/2006/relationships" r:id="" tooltip="Terminal"/>
          <a:extLst>
            <a:ext uri="{FF2B5EF4-FFF2-40B4-BE49-F238E27FC236}">
              <a16:creationId xmlns:a16="http://schemas.microsoft.com/office/drawing/2014/main" id="{824D741F-DD8C-4C78-885B-F5C15FF71C2A}"/>
            </a:ext>
          </a:extLst>
        </xdr:cNvPr>
        <xdr:cNvSpPr/>
      </xdr:nvSpPr>
      <xdr:spPr>
        <a:xfrm>
          <a:off x="9207500" y="7239000"/>
          <a:ext cx="762000" cy="381000"/>
        </a:xfrm>
        <a:prstGeom prst="rect">
          <a:avLst/>
        </a:prstGeom>
        <a:solidFill>
          <a:srgbClr val="148014"/>
        </a:solidFill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800" b="0" i="0"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</a:rPr>
            <a:t>0</a:t>
          </a:r>
        </a:p>
      </xdr:txBody>
    </xdr:sp>
    <xdr:clientData/>
  </xdr:twoCellAnchor>
  <xdr:twoCellAnchor>
    <xdr:from>
      <xdr:col>14</xdr:col>
      <xdr:colOff>539750</xdr:colOff>
      <xdr:row>36</xdr:row>
      <xdr:rowOff>6350</xdr:rowOff>
    </xdr:from>
    <xdr:to>
      <xdr:col>16</xdr:col>
      <xdr:colOff>336550</xdr:colOff>
      <xdr:row>36</xdr:row>
      <xdr:rowOff>133350</xdr:rowOff>
    </xdr:to>
    <xdr:sp macro="" textlink="">
      <xdr:nvSpPr>
        <xdr:cNvPr id="94" name="TextBox 93">
          <a:extLst>
            <a:ext uri="{FF2B5EF4-FFF2-40B4-BE49-F238E27FC236}">
              <a16:creationId xmlns:a16="http://schemas.microsoft.com/office/drawing/2014/main" id="{88BC07F6-3508-4E3E-A3D0-3A89ECDE54F6}"/>
            </a:ext>
          </a:extLst>
        </xdr:cNvPr>
        <xdr:cNvSpPr txBox="1"/>
      </xdr:nvSpPr>
      <xdr:spPr>
        <a:xfrm>
          <a:off x="9207500" y="6921500"/>
          <a:ext cx="1016000" cy="127000"/>
        </a:xfrm>
        <a:prstGeom prst="rect">
          <a:avLst/>
        </a:prstGeom>
        <a:solidFill>
          <a:schemeClr val="lt1"/>
        </a:solidFill>
        <a:ln w="9525" cmpd="sng">
          <a:noFill/>
        </a:ln>
        <a:effectLst/>
        <a:extLs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l"/>
          <a:r>
            <a:rPr lang="en-US" sz="800" b="0" i="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</a:rPr>
            <a:t>27</a:t>
          </a:r>
        </a:p>
      </xdr:txBody>
    </xdr:sp>
    <xdr:clientData/>
  </xdr:twoCellAnchor>
  <xdr:twoCellAnchor>
    <xdr:from>
      <xdr:col>16</xdr:col>
      <xdr:colOff>209550</xdr:colOff>
      <xdr:row>37</xdr:row>
      <xdr:rowOff>133350</xdr:rowOff>
    </xdr:from>
    <xdr:to>
      <xdr:col>17</xdr:col>
      <xdr:colOff>361950</xdr:colOff>
      <xdr:row>39</xdr:row>
      <xdr:rowOff>133350</xdr:rowOff>
    </xdr:to>
    <xdr:sp macro="" textlink="">
      <xdr:nvSpPr>
        <xdr:cNvPr id="95" name="Rectangle 94">
          <a:hlinkClick xmlns:r="http://schemas.openxmlformats.org/officeDocument/2006/relationships" r:id="" tooltip="Terminal"/>
          <a:extLst>
            <a:ext uri="{FF2B5EF4-FFF2-40B4-BE49-F238E27FC236}">
              <a16:creationId xmlns:a16="http://schemas.microsoft.com/office/drawing/2014/main" id="{15A5B26F-E0D4-41FA-9872-0CBFA03FC8D6}"/>
            </a:ext>
          </a:extLst>
        </xdr:cNvPr>
        <xdr:cNvSpPr/>
      </xdr:nvSpPr>
      <xdr:spPr>
        <a:xfrm>
          <a:off x="10096500" y="7239000"/>
          <a:ext cx="762000" cy="381000"/>
        </a:xfrm>
        <a:prstGeom prst="rect">
          <a:avLst/>
        </a:prstGeom>
        <a:solidFill>
          <a:srgbClr val="148014"/>
        </a:solidFill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800" b="0" i="0"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</a:rPr>
            <a:t>1</a:t>
          </a:r>
        </a:p>
      </xdr:txBody>
    </xdr:sp>
    <xdr:clientData/>
  </xdr:twoCellAnchor>
  <xdr:twoCellAnchor>
    <xdr:from>
      <xdr:col>16</xdr:col>
      <xdr:colOff>590550</xdr:colOff>
      <xdr:row>36</xdr:row>
      <xdr:rowOff>6350</xdr:rowOff>
    </xdr:from>
    <xdr:to>
      <xdr:col>18</xdr:col>
      <xdr:colOff>387350</xdr:colOff>
      <xdr:row>36</xdr:row>
      <xdr:rowOff>133350</xdr:rowOff>
    </xdr:to>
    <xdr:sp macro="" textlink="">
      <xdr:nvSpPr>
        <xdr:cNvPr id="96" name="TextBox 95">
          <a:extLst>
            <a:ext uri="{FF2B5EF4-FFF2-40B4-BE49-F238E27FC236}">
              <a16:creationId xmlns:a16="http://schemas.microsoft.com/office/drawing/2014/main" id="{10C95297-7247-45E0-B087-9D35A62B84A2}"/>
            </a:ext>
          </a:extLst>
        </xdr:cNvPr>
        <xdr:cNvSpPr txBox="1"/>
      </xdr:nvSpPr>
      <xdr:spPr>
        <a:xfrm>
          <a:off x="10477500" y="6921500"/>
          <a:ext cx="1016000" cy="127000"/>
        </a:xfrm>
        <a:prstGeom prst="rect">
          <a:avLst/>
        </a:prstGeom>
        <a:solidFill>
          <a:schemeClr val="lt1"/>
        </a:solidFill>
        <a:ln w="9525" cmpd="sng">
          <a:noFill/>
        </a:ln>
        <a:effectLst/>
        <a:extLs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l"/>
          <a:r>
            <a:rPr lang="en-US" sz="800" b="0" i="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</a:rPr>
            <a:t>17</a:t>
          </a:r>
        </a:p>
      </xdr:txBody>
    </xdr:sp>
    <xdr:clientData/>
  </xdr:twoCellAnchor>
  <xdr:twoCellAnchor>
    <xdr:from>
      <xdr:col>17</xdr:col>
      <xdr:colOff>488950</xdr:colOff>
      <xdr:row>37</xdr:row>
      <xdr:rowOff>133350</xdr:rowOff>
    </xdr:from>
    <xdr:to>
      <xdr:col>19</xdr:col>
      <xdr:colOff>31750</xdr:colOff>
      <xdr:row>39</xdr:row>
      <xdr:rowOff>133350</xdr:rowOff>
    </xdr:to>
    <xdr:sp macro="" textlink="">
      <xdr:nvSpPr>
        <xdr:cNvPr id="97" name="Rectangle 96">
          <a:hlinkClick xmlns:r="http://schemas.openxmlformats.org/officeDocument/2006/relationships" r:id="" tooltip="Terminal"/>
          <a:extLst>
            <a:ext uri="{FF2B5EF4-FFF2-40B4-BE49-F238E27FC236}">
              <a16:creationId xmlns:a16="http://schemas.microsoft.com/office/drawing/2014/main" id="{818A5E69-E86F-4877-8F59-4768E432F46F}"/>
            </a:ext>
          </a:extLst>
        </xdr:cNvPr>
        <xdr:cNvSpPr/>
      </xdr:nvSpPr>
      <xdr:spPr>
        <a:xfrm>
          <a:off x="10985500" y="7239000"/>
          <a:ext cx="762000" cy="381000"/>
        </a:xfrm>
        <a:prstGeom prst="rect">
          <a:avLst/>
        </a:prstGeom>
        <a:solidFill>
          <a:srgbClr val="148014"/>
        </a:solidFill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800" b="0" i="0"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</a:rPr>
            <a:t>0</a:t>
          </a:r>
        </a:p>
      </xdr:txBody>
    </xdr:sp>
    <xdr:clientData/>
  </xdr:twoCellAnchor>
  <xdr:twoCellAnchor>
    <xdr:from>
      <xdr:col>17</xdr:col>
      <xdr:colOff>488950</xdr:colOff>
      <xdr:row>36</xdr:row>
      <xdr:rowOff>6350</xdr:rowOff>
    </xdr:from>
    <xdr:to>
      <xdr:col>19</xdr:col>
      <xdr:colOff>285750</xdr:colOff>
      <xdr:row>36</xdr:row>
      <xdr:rowOff>133350</xdr:rowOff>
    </xdr:to>
    <xdr:sp macro="" textlink="">
      <xdr:nvSpPr>
        <xdr:cNvPr id="98" name="TextBox 97">
          <a:extLst>
            <a:ext uri="{FF2B5EF4-FFF2-40B4-BE49-F238E27FC236}">
              <a16:creationId xmlns:a16="http://schemas.microsoft.com/office/drawing/2014/main" id="{FBFADC22-A4BF-4180-9BC7-2F6C6AA8F77C}"/>
            </a:ext>
          </a:extLst>
        </xdr:cNvPr>
        <xdr:cNvSpPr txBox="1"/>
      </xdr:nvSpPr>
      <xdr:spPr>
        <a:xfrm>
          <a:off x="10985500" y="6921500"/>
          <a:ext cx="1016000" cy="127000"/>
        </a:xfrm>
        <a:prstGeom prst="rect">
          <a:avLst/>
        </a:prstGeom>
        <a:solidFill>
          <a:schemeClr val="lt1"/>
        </a:solidFill>
        <a:ln w="9525" cmpd="sng">
          <a:noFill/>
        </a:ln>
        <a:effectLst/>
        <a:extLs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l"/>
          <a:r>
            <a:rPr lang="en-US" sz="800" b="0" i="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</a:rPr>
            <a:t>23</a:t>
          </a:r>
        </a:p>
      </xdr:txBody>
    </xdr:sp>
    <xdr:clientData/>
  </xdr:twoCellAnchor>
  <xdr:twoCellAnchor>
    <xdr:from>
      <xdr:col>19</xdr:col>
      <xdr:colOff>158750</xdr:colOff>
      <xdr:row>37</xdr:row>
      <xdr:rowOff>133350</xdr:rowOff>
    </xdr:from>
    <xdr:to>
      <xdr:col>20</xdr:col>
      <xdr:colOff>311150</xdr:colOff>
      <xdr:row>39</xdr:row>
      <xdr:rowOff>133350</xdr:rowOff>
    </xdr:to>
    <xdr:sp macro="" textlink="">
      <xdr:nvSpPr>
        <xdr:cNvPr id="99" name="Rectangle 98">
          <a:hlinkClick xmlns:r="http://schemas.openxmlformats.org/officeDocument/2006/relationships" r:id="" tooltip="Terminal"/>
          <a:extLst>
            <a:ext uri="{FF2B5EF4-FFF2-40B4-BE49-F238E27FC236}">
              <a16:creationId xmlns:a16="http://schemas.microsoft.com/office/drawing/2014/main" id="{959B9DAD-75E8-4CC1-A153-AC554F9042BF}"/>
            </a:ext>
          </a:extLst>
        </xdr:cNvPr>
        <xdr:cNvSpPr/>
      </xdr:nvSpPr>
      <xdr:spPr>
        <a:xfrm>
          <a:off x="11874500" y="7239000"/>
          <a:ext cx="762000" cy="381000"/>
        </a:xfrm>
        <a:prstGeom prst="rect">
          <a:avLst/>
        </a:prstGeom>
        <a:solidFill>
          <a:srgbClr val="148014"/>
        </a:solidFill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800" b="0" i="0"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</a:rPr>
            <a:t>1</a:t>
          </a:r>
        </a:p>
      </xdr:txBody>
    </xdr:sp>
    <xdr:clientData/>
  </xdr:twoCellAnchor>
  <xdr:twoCellAnchor>
    <xdr:from>
      <xdr:col>19</xdr:col>
      <xdr:colOff>539750</xdr:colOff>
      <xdr:row>36</xdr:row>
      <xdr:rowOff>6350</xdr:rowOff>
    </xdr:from>
    <xdr:to>
      <xdr:col>21</xdr:col>
      <xdr:colOff>336550</xdr:colOff>
      <xdr:row>36</xdr:row>
      <xdr:rowOff>133350</xdr:rowOff>
    </xdr:to>
    <xdr:sp macro="" textlink="">
      <xdr:nvSpPr>
        <xdr:cNvPr id="100" name="TextBox 99">
          <a:extLst>
            <a:ext uri="{FF2B5EF4-FFF2-40B4-BE49-F238E27FC236}">
              <a16:creationId xmlns:a16="http://schemas.microsoft.com/office/drawing/2014/main" id="{B48C41CB-BEB7-40A1-9BE2-45A0FD2E3AD0}"/>
            </a:ext>
          </a:extLst>
        </xdr:cNvPr>
        <xdr:cNvSpPr txBox="1"/>
      </xdr:nvSpPr>
      <xdr:spPr>
        <a:xfrm>
          <a:off x="12255500" y="6921500"/>
          <a:ext cx="1016000" cy="127000"/>
        </a:xfrm>
        <a:prstGeom prst="rect">
          <a:avLst/>
        </a:prstGeom>
        <a:solidFill>
          <a:schemeClr val="lt1"/>
        </a:solidFill>
        <a:ln w="9525" cmpd="sng">
          <a:noFill/>
        </a:ln>
        <a:effectLst/>
        <a:extLs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l"/>
          <a:r>
            <a:rPr lang="en-US" sz="800" b="0" i="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</a:rPr>
            <a:t>8</a:t>
          </a:r>
        </a:p>
      </xdr:txBody>
    </xdr:sp>
    <xdr:clientData/>
  </xdr:twoCellAnchor>
  <xdr:twoCellAnchor>
    <xdr:from>
      <xdr:col>20</xdr:col>
      <xdr:colOff>438150</xdr:colOff>
      <xdr:row>37</xdr:row>
      <xdr:rowOff>133350</xdr:rowOff>
    </xdr:from>
    <xdr:to>
      <xdr:col>21</xdr:col>
      <xdr:colOff>590550</xdr:colOff>
      <xdr:row>39</xdr:row>
      <xdr:rowOff>133350</xdr:rowOff>
    </xdr:to>
    <xdr:sp macro="" textlink="">
      <xdr:nvSpPr>
        <xdr:cNvPr id="101" name="Rectangle 100">
          <a:hlinkClick xmlns:r="http://schemas.openxmlformats.org/officeDocument/2006/relationships" r:id="" tooltip="Subtree"/>
          <a:extLst>
            <a:ext uri="{FF2B5EF4-FFF2-40B4-BE49-F238E27FC236}">
              <a16:creationId xmlns:a16="http://schemas.microsoft.com/office/drawing/2014/main" id="{5110A237-EC7A-4EBC-BF6A-8170C5A434DA}"/>
            </a:ext>
          </a:extLst>
        </xdr:cNvPr>
        <xdr:cNvSpPr/>
      </xdr:nvSpPr>
      <xdr:spPr>
        <a:xfrm>
          <a:off x="12763500" y="7239000"/>
          <a:ext cx="762000" cy="381000"/>
        </a:xfrm>
        <a:prstGeom prst="rect">
          <a:avLst/>
        </a:prstGeom>
        <a:solidFill>
          <a:srgbClr val="801414"/>
        </a:solidFill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800" b="0" i="0"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</a:rPr>
            <a:t>1</a:t>
          </a:r>
        </a:p>
      </xdr:txBody>
    </xdr:sp>
    <xdr:clientData/>
  </xdr:twoCellAnchor>
  <xdr:twoCellAnchor>
    <xdr:from>
      <xdr:col>20</xdr:col>
      <xdr:colOff>438150</xdr:colOff>
      <xdr:row>36</xdr:row>
      <xdr:rowOff>6350</xdr:rowOff>
    </xdr:from>
    <xdr:to>
      <xdr:col>22</xdr:col>
      <xdr:colOff>234950</xdr:colOff>
      <xdr:row>36</xdr:row>
      <xdr:rowOff>133350</xdr:rowOff>
    </xdr:to>
    <xdr:sp macro="" textlink="">
      <xdr:nvSpPr>
        <xdr:cNvPr id="102" name="TextBox 101">
          <a:extLst>
            <a:ext uri="{FF2B5EF4-FFF2-40B4-BE49-F238E27FC236}">
              <a16:creationId xmlns:a16="http://schemas.microsoft.com/office/drawing/2014/main" id="{3F6C91EE-77C9-44D8-B5CC-0CD3342E549D}"/>
            </a:ext>
          </a:extLst>
        </xdr:cNvPr>
        <xdr:cNvSpPr txBox="1"/>
      </xdr:nvSpPr>
      <xdr:spPr>
        <a:xfrm>
          <a:off x="12763500" y="6921500"/>
          <a:ext cx="1016000" cy="127000"/>
        </a:xfrm>
        <a:prstGeom prst="rect">
          <a:avLst/>
        </a:prstGeom>
        <a:solidFill>
          <a:schemeClr val="lt1"/>
        </a:solidFill>
        <a:ln w="9525" cmpd="sng">
          <a:noFill/>
        </a:ln>
        <a:effectLst/>
        <a:extLs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l"/>
          <a:r>
            <a:rPr lang="en-US" sz="800" b="0" i="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</a:rPr>
            <a:t>52</a:t>
          </a:r>
        </a:p>
      </xdr:txBody>
    </xdr:sp>
    <xdr:clientData/>
  </xdr:twoCellAnchor>
  <xdr:twoCellAnchor>
    <xdr:from>
      <xdr:col>9</xdr:col>
      <xdr:colOff>240506</xdr:colOff>
      <xdr:row>12</xdr:row>
      <xdr:rowOff>133350</xdr:rowOff>
    </xdr:from>
    <xdr:to>
      <xdr:col>9</xdr:col>
      <xdr:colOff>240506</xdr:colOff>
      <xdr:row>13</xdr:row>
      <xdr:rowOff>6350</xdr:rowOff>
    </xdr:to>
    <xdr:cxnSp macro="">
      <xdr:nvCxnSpPr>
        <xdr:cNvPr id="103" name="Straight Arrow Connector 102">
          <a:extLst>
            <a:ext uri="{FF2B5EF4-FFF2-40B4-BE49-F238E27FC236}">
              <a16:creationId xmlns:a16="http://schemas.microsoft.com/office/drawing/2014/main" id="{61273F30-A385-475C-B0CE-86291D5C2C71}"/>
            </a:ext>
          </a:extLst>
        </xdr:cNvPr>
        <xdr:cNvCxnSpPr/>
      </xdr:nvCxnSpPr>
      <xdr:spPr>
        <a:xfrm flipV="1">
          <a:off x="5726906" y="2476500"/>
          <a:ext cx="0" cy="63500"/>
        </a:xfrm>
        <a:prstGeom prst="straightConnector1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240506</xdr:colOff>
      <xdr:row>12</xdr:row>
      <xdr:rowOff>133350</xdr:rowOff>
    </xdr:from>
    <xdr:to>
      <xdr:col>10</xdr:col>
      <xdr:colOff>75406</xdr:colOff>
      <xdr:row>12</xdr:row>
      <xdr:rowOff>133350</xdr:rowOff>
    </xdr:to>
    <xdr:cxnSp macro="">
      <xdr:nvCxnSpPr>
        <xdr:cNvPr id="104" name="Straight Arrow Connector 103">
          <a:extLst>
            <a:ext uri="{FF2B5EF4-FFF2-40B4-BE49-F238E27FC236}">
              <a16:creationId xmlns:a16="http://schemas.microsoft.com/office/drawing/2014/main" id="{DA3CDE6D-B7C8-473D-86E3-F4B433FA8B66}"/>
            </a:ext>
          </a:extLst>
        </xdr:cNvPr>
        <xdr:cNvCxnSpPr/>
      </xdr:nvCxnSpPr>
      <xdr:spPr>
        <a:xfrm>
          <a:off x="5726906" y="2476500"/>
          <a:ext cx="444500" cy="0"/>
        </a:xfrm>
        <a:prstGeom prst="straightConnector1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75406</xdr:colOff>
      <xdr:row>11</xdr:row>
      <xdr:rowOff>133350</xdr:rowOff>
    </xdr:from>
    <xdr:to>
      <xdr:col>10</xdr:col>
      <xdr:colOff>75406</xdr:colOff>
      <xdr:row>12</xdr:row>
      <xdr:rowOff>133350</xdr:rowOff>
    </xdr:to>
    <xdr:cxnSp macro="">
      <xdr:nvCxnSpPr>
        <xdr:cNvPr id="105" name="Straight Arrow Connector 104">
          <a:extLst>
            <a:ext uri="{FF2B5EF4-FFF2-40B4-BE49-F238E27FC236}">
              <a16:creationId xmlns:a16="http://schemas.microsoft.com/office/drawing/2014/main" id="{4D6CC4F5-BECC-4B5B-A4DB-58FA7991C88C}"/>
            </a:ext>
          </a:extLst>
        </xdr:cNvPr>
        <xdr:cNvCxnSpPr/>
      </xdr:nvCxnSpPr>
      <xdr:spPr>
        <a:xfrm flipV="1">
          <a:off x="6171406" y="2286000"/>
          <a:ext cx="0" cy="190500"/>
        </a:xfrm>
        <a:prstGeom prst="straightConnector1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519906</xdr:colOff>
      <xdr:row>12</xdr:row>
      <xdr:rowOff>133350</xdr:rowOff>
    </xdr:from>
    <xdr:to>
      <xdr:col>10</xdr:col>
      <xdr:colOff>519906</xdr:colOff>
      <xdr:row>13</xdr:row>
      <xdr:rowOff>133350</xdr:rowOff>
    </xdr:to>
    <xdr:cxnSp macro="">
      <xdr:nvCxnSpPr>
        <xdr:cNvPr id="106" name="Straight Arrow Connector 105">
          <a:extLst>
            <a:ext uri="{FF2B5EF4-FFF2-40B4-BE49-F238E27FC236}">
              <a16:creationId xmlns:a16="http://schemas.microsoft.com/office/drawing/2014/main" id="{DDE4ABA7-0711-4F65-ACB1-67518868D232}"/>
            </a:ext>
          </a:extLst>
        </xdr:cNvPr>
        <xdr:cNvCxnSpPr/>
      </xdr:nvCxnSpPr>
      <xdr:spPr>
        <a:xfrm flipV="1">
          <a:off x="6615906" y="2476500"/>
          <a:ext cx="0" cy="190500"/>
        </a:xfrm>
        <a:prstGeom prst="straightConnector1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75406</xdr:colOff>
      <xdr:row>12</xdr:row>
      <xdr:rowOff>133350</xdr:rowOff>
    </xdr:from>
    <xdr:to>
      <xdr:col>10</xdr:col>
      <xdr:colOff>519906</xdr:colOff>
      <xdr:row>12</xdr:row>
      <xdr:rowOff>133350</xdr:rowOff>
    </xdr:to>
    <xdr:cxnSp macro="">
      <xdr:nvCxnSpPr>
        <xdr:cNvPr id="107" name="Straight Arrow Connector 106">
          <a:extLst>
            <a:ext uri="{FF2B5EF4-FFF2-40B4-BE49-F238E27FC236}">
              <a16:creationId xmlns:a16="http://schemas.microsoft.com/office/drawing/2014/main" id="{07DB1456-1E8F-4204-848B-3260214F609D}"/>
            </a:ext>
          </a:extLst>
        </xdr:cNvPr>
        <xdr:cNvCxnSpPr/>
      </xdr:nvCxnSpPr>
      <xdr:spPr>
        <a:xfrm flipH="1">
          <a:off x="6171406" y="2476500"/>
          <a:ext cx="444500" cy="0"/>
        </a:xfrm>
        <a:prstGeom prst="straightConnector1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75406</xdr:colOff>
      <xdr:row>11</xdr:row>
      <xdr:rowOff>133350</xdr:rowOff>
    </xdr:from>
    <xdr:to>
      <xdr:col>10</xdr:col>
      <xdr:colOff>75406</xdr:colOff>
      <xdr:row>12</xdr:row>
      <xdr:rowOff>133350</xdr:rowOff>
    </xdr:to>
    <xdr:cxnSp macro="">
      <xdr:nvCxnSpPr>
        <xdr:cNvPr id="108" name="Straight Arrow Connector 107">
          <a:extLst>
            <a:ext uri="{FF2B5EF4-FFF2-40B4-BE49-F238E27FC236}">
              <a16:creationId xmlns:a16="http://schemas.microsoft.com/office/drawing/2014/main" id="{28194706-F3B4-4E52-B82D-F8ACBD5FF36D}"/>
            </a:ext>
          </a:extLst>
        </xdr:cNvPr>
        <xdr:cNvCxnSpPr/>
      </xdr:nvCxnSpPr>
      <xdr:spPr>
        <a:xfrm flipV="1">
          <a:off x="6171406" y="2286000"/>
          <a:ext cx="0" cy="190500"/>
        </a:xfrm>
        <a:prstGeom prst="straightConnector1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596900</xdr:colOff>
      <xdr:row>16</xdr:row>
      <xdr:rowOff>133350</xdr:rowOff>
    </xdr:from>
    <xdr:to>
      <xdr:col>6</xdr:col>
      <xdr:colOff>596900</xdr:colOff>
      <xdr:row>17</xdr:row>
      <xdr:rowOff>6350</xdr:rowOff>
    </xdr:to>
    <xdr:cxnSp macro="">
      <xdr:nvCxnSpPr>
        <xdr:cNvPr id="109" name="Straight Arrow Connector 108">
          <a:extLst>
            <a:ext uri="{FF2B5EF4-FFF2-40B4-BE49-F238E27FC236}">
              <a16:creationId xmlns:a16="http://schemas.microsoft.com/office/drawing/2014/main" id="{D667879A-AA03-4ACE-81CE-9EE541964D0A}"/>
            </a:ext>
          </a:extLst>
        </xdr:cNvPr>
        <xdr:cNvCxnSpPr/>
      </xdr:nvCxnSpPr>
      <xdr:spPr>
        <a:xfrm flipV="1">
          <a:off x="4254500" y="3238500"/>
          <a:ext cx="0" cy="63500"/>
        </a:xfrm>
        <a:prstGeom prst="straightConnector1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596900</xdr:colOff>
      <xdr:row>16</xdr:row>
      <xdr:rowOff>133350</xdr:rowOff>
    </xdr:from>
    <xdr:to>
      <xdr:col>9</xdr:col>
      <xdr:colOff>240506</xdr:colOff>
      <xdr:row>16</xdr:row>
      <xdr:rowOff>133350</xdr:rowOff>
    </xdr:to>
    <xdr:cxnSp macro="">
      <xdr:nvCxnSpPr>
        <xdr:cNvPr id="110" name="Straight Arrow Connector 109">
          <a:extLst>
            <a:ext uri="{FF2B5EF4-FFF2-40B4-BE49-F238E27FC236}">
              <a16:creationId xmlns:a16="http://schemas.microsoft.com/office/drawing/2014/main" id="{9841FC23-9B12-4596-83D0-CEF595209E1C}"/>
            </a:ext>
          </a:extLst>
        </xdr:cNvPr>
        <xdr:cNvCxnSpPr/>
      </xdr:nvCxnSpPr>
      <xdr:spPr>
        <a:xfrm>
          <a:off x="4254500" y="3238500"/>
          <a:ext cx="1472406" cy="0"/>
        </a:xfrm>
        <a:prstGeom prst="straightConnector1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240506</xdr:colOff>
      <xdr:row>15</xdr:row>
      <xdr:rowOff>133350</xdr:rowOff>
    </xdr:from>
    <xdr:to>
      <xdr:col>9</xdr:col>
      <xdr:colOff>240506</xdr:colOff>
      <xdr:row>16</xdr:row>
      <xdr:rowOff>133350</xdr:rowOff>
    </xdr:to>
    <xdr:cxnSp macro="">
      <xdr:nvCxnSpPr>
        <xdr:cNvPr id="111" name="Straight Arrow Connector 110">
          <a:extLst>
            <a:ext uri="{FF2B5EF4-FFF2-40B4-BE49-F238E27FC236}">
              <a16:creationId xmlns:a16="http://schemas.microsoft.com/office/drawing/2014/main" id="{7C30C9C7-8C9E-44A4-8B7D-622BA8CC7E9D}"/>
            </a:ext>
          </a:extLst>
        </xdr:cNvPr>
        <xdr:cNvCxnSpPr/>
      </xdr:nvCxnSpPr>
      <xdr:spPr>
        <a:xfrm flipV="1">
          <a:off x="5726906" y="3048000"/>
          <a:ext cx="0" cy="190500"/>
        </a:xfrm>
        <a:prstGeom prst="straightConnector1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493713</xdr:colOff>
      <xdr:row>16</xdr:row>
      <xdr:rowOff>133350</xdr:rowOff>
    </xdr:from>
    <xdr:to>
      <xdr:col>11</xdr:col>
      <xdr:colOff>493713</xdr:colOff>
      <xdr:row>17</xdr:row>
      <xdr:rowOff>6350</xdr:rowOff>
    </xdr:to>
    <xdr:cxnSp macro="">
      <xdr:nvCxnSpPr>
        <xdr:cNvPr id="112" name="Straight Arrow Connector 111">
          <a:extLst>
            <a:ext uri="{FF2B5EF4-FFF2-40B4-BE49-F238E27FC236}">
              <a16:creationId xmlns:a16="http://schemas.microsoft.com/office/drawing/2014/main" id="{4800F5B1-6AAC-4CE0-BD73-3954CA279805}"/>
            </a:ext>
          </a:extLst>
        </xdr:cNvPr>
        <xdr:cNvCxnSpPr/>
      </xdr:nvCxnSpPr>
      <xdr:spPr>
        <a:xfrm flipV="1">
          <a:off x="7199313" y="3238500"/>
          <a:ext cx="0" cy="63500"/>
        </a:xfrm>
        <a:prstGeom prst="straightConnector1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240506</xdr:colOff>
      <xdr:row>16</xdr:row>
      <xdr:rowOff>133350</xdr:rowOff>
    </xdr:from>
    <xdr:to>
      <xdr:col>11</xdr:col>
      <xdr:colOff>493713</xdr:colOff>
      <xdr:row>16</xdr:row>
      <xdr:rowOff>133350</xdr:rowOff>
    </xdr:to>
    <xdr:cxnSp macro="">
      <xdr:nvCxnSpPr>
        <xdr:cNvPr id="113" name="Straight Arrow Connector 112">
          <a:extLst>
            <a:ext uri="{FF2B5EF4-FFF2-40B4-BE49-F238E27FC236}">
              <a16:creationId xmlns:a16="http://schemas.microsoft.com/office/drawing/2014/main" id="{BE5AA99F-E934-4912-95C1-A9A6429A7298}"/>
            </a:ext>
          </a:extLst>
        </xdr:cNvPr>
        <xdr:cNvCxnSpPr/>
      </xdr:nvCxnSpPr>
      <xdr:spPr>
        <a:xfrm flipH="1">
          <a:off x="5726906" y="3238500"/>
          <a:ext cx="1472407" cy="0"/>
        </a:xfrm>
        <a:prstGeom prst="straightConnector1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240506</xdr:colOff>
      <xdr:row>15</xdr:row>
      <xdr:rowOff>133350</xdr:rowOff>
    </xdr:from>
    <xdr:to>
      <xdr:col>9</xdr:col>
      <xdr:colOff>240506</xdr:colOff>
      <xdr:row>16</xdr:row>
      <xdr:rowOff>133350</xdr:rowOff>
    </xdr:to>
    <xdr:cxnSp macro="">
      <xdr:nvCxnSpPr>
        <xdr:cNvPr id="114" name="Straight Arrow Connector 113">
          <a:extLst>
            <a:ext uri="{FF2B5EF4-FFF2-40B4-BE49-F238E27FC236}">
              <a16:creationId xmlns:a16="http://schemas.microsoft.com/office/drawing/2014/main" id="{A482594B-8E9A-4CD4-B850-D49F9F855D24}"/>
            </a:ext>
          </a:extLst>
        </xdr:cNvPr>
        <xdr:cNvCxnSpPr/>
      </xdr:nvCxnSpPr>
      <xdr:spPr>
        <a:xfrm flipV="1">
          <a:off x="5726906" y="3048000"/>
          <a:ext cx="0" cy="190500"/>
        </a:xfrm>
        <a:prstGeom prst="straightConnector1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152400</xdr:colOff>
      <xdr:row>20</xdr:row>
      <xdr:rowOff>133350</xdr:rowOff>
    </xdr:from>
    <xdr:to>
      <xdr:col>6</xdr:col>
      <xdr:colOff>152400</xdr:colOff>
      <xdr:row>21</xdr:row>
      <xdr:rowOff>6350</xdr:rowOff>
    </xdr:to>
    <xdr:cxnSp macro="">
      <xdr:nvCxnSpPr>
        <xdr:cNvPr id="115" name="Straight Arrow Connector 114">
          <a:extLst>
            <a:ext uri="{FF2B5EF4-FFF2-40B4-BE49-F238E27FC236}">
              <a16:creationId xmlns:a16="http://schemas.microsoft.com/office/drawing/2014/main" id="{138503EB-7944-4104-A998-1074FD8011DB}"/>
            </a:ext>
          </a:extLst>
        </xdr:cNvPr>
        <xdr:cNvCxnSpPr/>
      </xdr:nvCxnSpPr>
      <xdr:spPr>
        <a:xfrm flipV="1">
          <a:off x="3810000" y="4000500"/>
          <a:ext cx="0" cy="63500"/>
        </a:xfrm>
        <a:prstGeom prst="straightConnector1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152400</xdr:colOff>
      <xdr:row>20</xdr:row>
      <xdr:rowOff>133350</xdr:rowOff>
    </xdr:from>
    <xdr:to>
      <xdr:col>6</xdr:col>
      <xdr:colOff>596900</xdr:colOff>
      <xdr:row>20</xdr:row>
      <xdr:rowOff>133350</xdr:rowOff>
    </xdr:to>
    <xdr:cxnSp macro="">
      <xdr:nvCxnSpPr>
        <xdr:cNvPr id="116" name="Straight Arrow Connector 115">
          <a:extLst>
            <a:ext uri="{FF2B5EF4-FFF2-40B4-BE49-F238E27FC236}">
              <a16:creationId xmlns:a16="http://schemas.microsoft.com/office/drawing/2014/main" id="{58CCEF89-BD2F-402B-A22E-E1E57AA8E724}"/>
            </a:ext>
          </a:extLst>
        </xdr:cNvPr>
        <xdr:cNvCxnSpPr/>
      </xdr:nvCxnSpPr>
      <xdr:spPr>
        <a:xfrm>
          <a:off x="3810000" y="4000500"/>
          <a:ext cx="444500" cy="0"/>
        </a:xfrm>
        <a:prstGeom prst="straightConnector1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596900</xdr:colOff>
      <xdr:row>19</xdr:row>
      <xdr:rowOff>133350</xdr:rowOff>
    </xdr:from>
    <xdr:to>
      <xdr:col>6</xdr:col>
      <xdr:colOff>596900</xdr:colOff>
      <xdr:row>20</xdr:row>
      <xdr:rowOff>133350</xdr:rowOff>
    </xdr:to>
    <xdr:cxnSp macro="">
      <xdr:nvCxnSpPr>
        <xdr:cNvPr id="117" name="Straight Arrow Connector 116">
          <a:extLst>
            <a:ext uri="{FF2B5EF4-FFF2-40B4-BE49-F238E27FC236}">
              <a16:creationId xmlns:a16="http://schemas.microsoft.com/office/drawing/2014/main" id="{6429E8E7-E7CC-4587-A7BB-EEF163ACAF41}"/>
            </a:ext>
          </a:extLst>
        </xdr:cNvPr>
        <xdr:cNvCxnSpPr/>
      </xdr:nvCxnSpPr>
      <xdr:spPr>
        <a:xfrm flipV="1">
          <a:off x="4254500" y="3810000"/>
          <a:ext cx="0" cy="190500"/>
        </a:xfrm>
        <a:prstGeom prst="straightConnector1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431800</xdr:colOff>
      <xdr:row>20</xdr:row>
      <xdr:rowOff>133350</xdr:rowOff>
    </xdr:from>
    <xdr:to>
      <xdr:col>7</xdr:col>
      <xdr:colOff>431800</xdr:colOff>
      <xdr:row>21</xdr:row>
      <xdr:rowOff>133350</xdr:rowOff>
    </xdr:to>
    <xdr:cxnSp macro="">
      <xdr:nvCxnSpPr>
        <xdr:cNvPr id="118" name="Straight Arrow Connector 117">
          <a:extLst>
            <a:ext uri="{FF2B5EF4-FFF2-40B4-BE49-F238E27FC236}">
              <a16:creationId xmlns:a16="http://schemas.microsoft.com/office/drawing/2014/main" id="{BA249F6A-1F3F-4D32-88CF-D0FE26A824BC}"/>
            </a:ext>
          </a:extLst>
        </xdr:cNvPr>
        <xdr:cNvCxnSpPr/>
      </xdr:nvCxnSpPr>
      <xdr:spPr>
        <a:xfrm flipV="1">
          <a:off x="4699000" y="4000500"/>
          <a:ext cx="0" cy="190500"/>
        </a:xfrm>
        <a:prstGeom prst="straightConnector1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596900</xdr:colOff>
      <xdr:row>20</xdr:row>
      <xdr:rowOff>133350</xdr:rowOff>
    </xdr:from>
    <xdr:to>
      <xdr:col>7</xdr:col>
      <xdr:colOff>431800</xdr:colOff>
      <xdr:row>20</xdr:row>
      <xdr:rowOff>133350</xdr:rowOff>
    </xdr:to>
    <xdr:cxnSp macro="">
      <xdr:nvCxnSpPr>
        <xdr:cNvPr id="119" name="Straight Arrow Connector 118">
          <a:extLst>
            <a:ext uri="{FF2B5EF4-FFF2-40B4-BE49-F238E27FC236}">
              <a16:creationId xmlns:a16="http://schemas.microsoft.com/office/drawing/2014/main" id="{1A70AB34-8454-4C99-9AE6-CB66287C0A68}"/>
            </a:ext>
          </a:extLst>
        </xdr:cNvPr>
        <xdr:cNvCxnSpPr/>
      </xdr:nvCxnSpPr>
      <xdr:spPr>
        <a:xfrm flipH="1">
          <a:off x="4254500" y="4000500"/>
          <a:ext cx="444500" cy="0"/>
        </a:xfrm>
        <a:prstGeom prst="straightConnector1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596900</xdr:colOff>
      <xdr:row>19</xdr:row>
      <xdr:rowOff>133350</xdr:rowOff>
    </xdr:from>
    <xdr:to>
      <xdr:col>6</xdr:col>
      <xdr:colOff>596900</xdr:colOff>
      <xdr:row>20</xdr:row>
      <xdr:rowOff>133350</xdr:rowOff>
    </xdr:to>
    <xdr:cxnSp macro="">
      <xdr:nvCxnSpPr>
        <xdr:cNvPr id="120" name="Straight Arrow Connector 119">
          <a:extLst>
            <a:ext uri="{FF2B5EF4-FFF2-40B4-BE49-F238E27FC236}">
              <a16:creationId xmlns:a16="http://schemas.microsoft.com/office/drawing/2014/main" id="{834E005C-6947-4343-B957-B84406A874DE}"/>
            </a:ext>
          </a:extLst>
        </xdr:cNvPr>
        <xdr:cNvCxnSpPr/>
      </xdr:nvCxnSpPr>
      <xdr:spPr>
        <a:xfrm flipV="1">
          <a:off x="4254500" y="3810000"/>
          <a:ext cx="0" cy="190500"/>
        </a:xfrm>
        <a:prstGeom prst="straightConnector1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546100</xdr:colOff>
      <xdr:row>20</xdr:row>
      <xdr:rowOff>133350</xdr:rowOff>
    </xdr:from>
    <xdr:to>
      <xdr:col>9</xdr:col>
      <xdr:colOff>546100</xdr:colOff>
      <xdr:row>21</xdr:row>
      <xdr:rowOff>133350</xdr:rowOff>
    </xdr:to>
    <xdr:cxnSp macro="">
      <xdr:nvCxnSpPr>
        <xdr:cNvPr id="121" name="Straight Arrow Connector 120">
          <a:extLst>
            <a:ext uri="{FF2B5EF4-FFF2-40B4-BE49-F238E27FC236}">
              <a16:creationId xmlns:a16="http://schemas.microsoft.com/office/drawing/2014/main" id="{4B2AA70F-485A-4EC3-9DF8-6027BBA59B5F}"/>
            </a:ext>
          </a:extLst>
        </xdr:cNvPr>
        <xdr:cNvCxnSpPr/>
      </xdr:nvCxnSpPr>
      <xdr:spPr>
        <a:xfrm flipV="1">
          <a:off x="6032500" y="4000500"/>
          <a:ext cx="0" cy="190500"/>
        </a:xfrm>
        <a:prstGeom prst="straightConnector1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546100</xdr:colOff>
      <xdr:row>20</xdr:row>
      <xdr:rowOff>133350</xdr:rowOff>
    </xdr:from>
    <xdr:to>
      <xdr:col>11</xdr:col>
      <xdr:colOff>493713</xdr:colOff>
      <xdr:row>20</xdr:row>
      <xdr:rowOff>133350</xdr:rowOff>
    </xdr:to>
    <xdr:cxnSp macro="">
      <xdr:nvCxnSpPr>
        <xdr:cNvPr id="122" name="Straight Arrow Connector 121">
          <a:extLst>
            <a:ext uri="{FF2B5EF4-FFF2-40B4-BE49-F238E27FC236}">
              <a16:creationId xmlns:a16="http://schemas.microsoft.com/office/drawing/2014/main" id="{D4D5116D-6886-4599-B71C-DAE1F797B1FC}"/>
            </a:ext>
          </a:extLst>
        </xdr:cNvPr>
        <xdr:cNvCxnSpPr/>
      </xdr:nvCxnSpPr>
      <xdr:spPr>
        <a:xfrm>
          <a:off x="6032500" y="4000500"/>
          <a:ext cx="1166813" cy="0"/>
        </a:xfrm>
        <a:prstGeom prst="straightConnector1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493713</xdr:colOff>
      <xdr:row>19</xdr:row>
      <xdr:rowOff>133350</xdr:rowOff>
    </xdr:from>
    <xdr:to>
      <xdr:col>11</xdr:col>
      <xdr:colOff>493713</xdr:colOff>
      <xdr:row>20</xdr:row>
      <xdr:rowOff>133350</xdr:rowOff>
    </xdr:to>
    <xdr:cxnSp macro="">
      <xdr:nvCxnSpPr>
        <xdr:cNvPr id="123" name="Straight Arrow Connector 122">
          <a:extLst>
            <a:ext uri="{FF2B5EF4-FFF2-40B4-BE49-F238E27FC236}">
              <a16:creationId xmlns:a16="http://schemas.microsoft.com/office/drawing/2014/main" id="{95F25294-9024-4AAD-9228-FDD2A3E03CF2}"/>
            </a:ext>
          </a:extLst>
        </xdr:cNvPr>
        <xdr:cNvCxnSpPr/>
      </xdr:nvCxnSpPr>
      <xdr:spPr>
        <a:xfrm flipV="1">
          <a:off x="7199313" y="3810000"/>
          <a:ext cx="0" cy="190500"/>
        </a:xfrm>
        <a:prstGeom prst="straightConnector1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441325</xdr:colOff>
      <xdr:row>20</xdr:row>
      <xdr:rowOff>133350</xdr:rowOff>
    </xdr:from>
    <xdr:to>
      <xdr:col>13</xdr:col>
      <xdr:colOff>441325</xdr:colOff>
      <xdr:row>21</xdr:row>
      <xdr:rowOff>6350</xdr:rowOff>
    </xdr:to>
    <xdr:cxnSp macro="">
      <xdr:nvCxnSpPr>
        <xdr:cNvPr id="124" name="Straight Arrow Connector 123">
          <a:extLst>
            <a:ext uri="{FF2B5EF4-FFF2-40B4-BE49-F238E27FC236}">
              <a16:creationId xmlns:a16="http://schemas.microsoft.com/office/drawing/2014/main" id="{AC785B41-581B-4EAA-B0D3-93A400E31A79}"/>
            </a:ext>
          </a:extLst>
        </xdr:cNvPr>
        <xdr:cNvCxnSpPr/>
      </xdr:nvCxnSpPr>
      <xdr:spPr>
        <a:xfrm flipV="1">
          <a:off x="8366125" y="4000500"/>
          <a:ext cx="0" cy="63500"/>
        </a:xfrm>
        <a:prstGeom prst="straightConnector1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493713</xdr:colOff>
      <xdr:row>20</xdr:row>
      <xdr:rowOff>133350</xdr:rowOff>
    </xdr:from>
    <xdr:to>
      <xdr:col>13</xdr:col>
      <xdr:colOff>441325</xdr:colOff>
      <xdr:row>20</xdr:row>
      <xdr:rowOff>133350</xdr:rowOff>
    </xdr:to>
    <xdr:cxnSp macro="">
      <xdr:nvCxnSpPr>
        <xdr:cNvPr id="125" name="Straight Arrow Connector 124">
          <a:extLst>
            <a:ext uri="{FF2B5EF4-FFF2-40B4-BE49-F238E27FC236}">
              <a16:creationId xmlns:a16="http://schemas.microsoft.com/office/drawing/2014/main" id="{27E40199-E759-4DE5-821C-7CBD1BEAF4DF}"/>
            </a:ext>
          </a:extLst>
        </xdr:cNvPr>
        <xdr:cNvCxnSpPr/>
      </xdr:nvCxnSpPr>
      <xdr:spPr>
        <a:xfrm flipH="1">
          <a:off x="7199313" y="4000500"/>
          <a:ext cx="1166812" cy="0"/>
        </a:xfrm>
        <a:prstGeom prst="straightConnector1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493713</xdr:colOff>
      <xdr:row>19</xdr:row>
      <xdr:rowOff>133350</xdr:rowOff>
    </xdr:from>
    <xdr:to>
      <xdr:col>11</xdr:col>
      <xdr:colOff>493713</xdr:colOff>
      <xdr:row>20</xdr:row>
      <xdr:rowOff>133350</xdr:rowOff>
    </xdr:to>
    <xdr:cxnSp macro="">
      <xdr:nvCxnSpPr>
        <xdr:cNvPr id="126" name="Straight Arrow Connector 125">
          <a:extLst>
            <a:ext uri="{FF2B5EF4-FFF2-40B4-BE49-F238E27FC236}">
              <a16:creationId xmlns:a16="http://schemas.microsoft.com/office/drawing/2014/main" id="{463850BA-D508-41DC-8BC5-1C44827E17E3}"/>
            </a:ext>
          </a:extLst>
        </xdr:cNvPr>
        <xdr:cNvCxnSpPr/>
      </xdr:nvCxnSpPr>
      <xdr:spPr>
        <a:xfrm flipV="1">
          <a:off x="7199313" y="3810000"/>
          <a:ext cx="0" cy="190500"/>
        </a:xfrm>
        <a:prstGeom prst="straightConnector1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482600</xdr:colOff>
      <xdr:row>24</xdr:row>
      <xdr:rowOff>133350</xdr:rowOff>
    </xdr:from>
    <xdr:to>
      <xdr:col>4</xdr:col>
      <xdr:colOff>482600</xdr:colOff>
      <xdr:row>25</xdr:row>
      <xdr:rowOff>6350</xdr:rowOff>
    </xdr:to>
    <xdr:cxnSp macro="">
      <xdr:nvCxnSpPr>
        <xdr:cNvPr id="127" name="Straight Arrow Connector 126">
          <a:extLst>
            <a:ext uri="{FF2B5EF4-FFF2-40B4-BE49-F238E27FC236}">
              <a16:creationId xmlns:a16="http://schemas.microsoft.com/office/drawing/2014/main" id="{7F52B804-016F-431D-8713-A86A2B00183C}"/>
            </a:ext>
          </a:extLst>
        </xdr:cNvPr>
        <xdr:cNvCxnSpPr/>
      </xdr:nvCxnSpPr>
      <xdr:spPr>
        <a:xfrm flipV="1">
          <a:off x="2921000" y="4762500"/>
          <a:ext cx="0" cy="63500"/>
        </a:xfrm>
        <a:prstGeom prst="straightConnector1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482600</xdr:colOff>
      <xdr:row>24</xdr:row>
      <xdr:rowOff>133350</xdr:rowOff>
    </xdr:from>
    <xdr:to>
      <xdr:col>6</xdr:col>
      <xdr:colOff>152400</xdr:colOff>
      <xdr:row>24</xdr:row>
      <xdr:rowOff>133350</xdr:rowOff>
    </xdr:to>
    <xdr:cxnSp macro="">
      <xdr:nvCxnSpPr>
        <xdr:cNvPr id="128" name="Straight Arrow Connector 127">
          <a:extLst>
            <a:ext uri="{FF2B5EF4-FFF2-40B4-BE49-F238E27FC236}">
              <a16:creationId xmlns:a16="http://schemas.microsoft.com/office/drawing/2014/main" id="{E9D620E3-30AC-4E6B-9906-F6688B8CEF0B}"/>
            </a:ext>
          </a:extLst>
        </xdr:cNvPr>
        <xdr:cNvCxnSpPr/>
      </xdr:nvCxnSpPr>
      <xdr:spPr>
        <a:xfrm>
          <a:off x="2921000" y="4762500"/>
          <a:ext cx="889000" cy="0"/>
        </a:xfrm>
        <a:prstGeom prst="straightConnector1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152400</xdr:colOff>
      <xdr:row>23</xdr:row>
      <xdr:rowOff>133350</xdr:rowOff>
    </xdr:from>
    <xdr:to>
      <xdr:col>6</xdr:col>
      <xdr:colOff>152400</xdr:colOff>
      <xdr:row>24</xdr:row>
      <xdr:rowOff>133350</xdr:rowOff>
    </xdr:to>
    <xdr:cxnSp macro="">
      <xdr:nvCxnSpPr>
        <xdr:cNvPr id="129" name="Straight Arrow Connector 128">
          <a:extLst>
            <a:ext uri="{FF2B5EF4-FFF2-40B4-BE49-F238E27FC236}">
              <a16:creationId xmlns:a16="http://schemas.microsoft.com/office/drawing/2014/main" id="{0A1C452F-7C0E-4B28-BECE-AFE1EB87770E}"/>
            </a:ext>
          </a:extLst>
        </xdr:cNvPr>
        <xdr:cNvCxnSpPr/>
      </xdr:nvCxnSpPr>
      <xdr:spPr>
        <a:xfrm flipV="1">
          <a:off x="3810000" y="4572000"/>
          <a:ext cx="0" cy="190500"/>
        </a:xfrm>
        <a:prstGeom prst="straightConnector1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431800</xdr:colOff>
      <xdr:row>24</xdr:row>
      <xdr:rowOff>133350</xdr:rowOff>
    </xdr:from>
    <xdr:to>
      <xdr:col>7</xdr:col>
      <xdr:colOff>431800</xdr:colOff>
      <xdr:row>25</xdr:row>
      <xdr:rowOff>6350</xdr:rowOff>
    </xdr:to>
    <xdr:cxnSp macro="">
      <xdr:nvCxnSpPr>
        <xdr:cNvPr id="130" name="Straight Arrow Connector 129">
          <a:extLst>
            <a:ext uri="{FF2B5EF4-FFF2-40B4-BE49-F238E27FC236}">
              <a16:creationId xmlns:a16="http://schemas.microsoft.com/office/drawing/2014/main" id="{95F3E2C1-9206-4CB7-A50E-706F3B6AA170}"/>
            </a:ext>
          </a:extLst>
        </xdr:cNvPr>
        <xdr:cNvCxnSpPr/>
      </xdr:nvCxnSpPr>
      <xdr:spPr>
        <a:xfrm flipV="1">
          <a:off x="4699000" y="4762500"/>
          <a:ext cx="0" cy="63500"/>
        </a:xfrm>
        <a:prstGeom prst="straightConnector1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152400</xdr:colOff>
      <xdr:row>24</xdr:row>
      <xdr:rowOff>133350</xdr:rowOff>
    </xdr:from>
    <xdr:to>
      <xdr:col>7</xdr:col>
      <xdr:colOff>431800</xdr:colOff>
      <xdr:row>24</xdr:row>
      <xdr:rowOff>133350</xdr:rowOff>
    </xdr:to>
    <xdr:cxnSp macro="">
      <xdr:nvCxnSpPr>
        <xdr:cNvPr id="131" name="Straight Arrow Connector 130">
          <a:extLst>
            <a:ext uri="{FF2B5EF4-FFF2-40B4-BE49-F238E27FC236}">
              <a16:creationId xmlns:a16="http://schemas.microsoft.com/office/drawing/2014/main" id="{E4FD22F8-1B2C-4B05-9360-31E452CB224B}"/>
            </a:ext>
          </a:extLst>
        </xdr:cNvPr>
        <xdr:cNvCxnSpPr/>
      </xdr:nvCxnSpPr>
      <xdr:spPr>
        <a:xfrm flipH="1">
          <a:off x="3810000" y="4762500"/>
          <a:ext cx="889000" cy="0"/>
        </a:xfrm>
        <a:prstGeom prst="straightConnector1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152400</xdr:colOff>
      <xdr:row>23</xdr:row>
      <xdr:rowOff>133350</xdr:rowOff>
    </xdr:from>
    <xdr:to>
      <xdr:col>6</xdr:col>
      <xdr:colOff>152400</xdr:colOff>
      <xdr:row>24</xdr:row>
      <xdr:rowOff>133350</xdr:rowOff>
    </xdr:to>
    <xdr:cxnSp macro="">
      <xdr:nvCxnSpPr>
        <xdr:cNvPr id="132" name="Straight Arrow Connector 131">
          <a:extLst>
            <a:ext uri="{FF2B5EF4-FFF2-40B4-BE49-F238E27FC236}">
              <a16:creationId xmlns:a16="http://schemas.microsoft.com/office/drawing/2014/main" id="{F77DA86D-E791-4A2E-8FB5-BC01A770CD27}"/>
            </a:ext>
          </a:extLst>
        </xdr:cNvPr>
        <xdr:cNvCxnSpPr/>
      </xdr:nvCxnSpPr>
      <xdr:spPr>
        <a:xfrm flipV="1">
          <a:off x="3810000" y="4572000"/>
          <a:ext cx="0" cy="190500"/>
        </a:xfrm>
        <a:prstGeom prst="straightConnector1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381000</xdr:colOff>
      <xdr:row>24</xdr:row>
      <xdr:rowOff>133350</xdr:rowOff>
    </xdr:from>
    <xdr:to>
      <xdr:col>10</xdr:col>
      <xdr:colOff>381000</xdr:colOff>
      <xdr:row>25</xdr:row>
      <xdr:rowOff>6350</xdr:rowOff>
    </xdr:to>
    <xdr:cxnSp macro="">
      <xdr:nvCxnSpPr>
        <xdr:cNvPr id="133" name="Straight Arrow Connector 132">
          <a:extLst>
            <a:ext uri="{FF2B5EF4-FFF2-40B4-BE49-F238E27FC236}">
              <a16:creationId xmlns:a16="http://schemas.microsoft.com/office/drawing/2014/main" id="{13898EE9-A6AA-4C4D-845D-70C879598A1A}"/>
            </a:ext>
          </a:extLst>
        </xdr:cNvPr>
        <xdr:cNvCxnSpPr/>
      </xdr:nvCxnSpPr>
      <xdr:spPr>
        <a:xfrm flipV="1">
          <a:off x="6477000" y="4762500"/>
          <a:ext cx="0" cy="63500"/>
        </a:xfrm>
        <a:prstGeom prst="straightConnector1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381000</xdr:colOff>
      <xdr:row>24</xdr:row>
      <xdr:rowOff>133350</xdr:rowOff>
    </xdr:from>
    <xdr:to>
      <xdr:col>13</xdr:col>
      <xdr:colOff>441325</xdr:colOff>
      <xdr:row>24</xdr:row>
      <xdr:rowOff>133350</xdr:rowOff>
    </xdr:to>
    <xdr:cxnSp macro="">
      <xdr:nvCxnSpPr>
        <xdr:cNvPr id="134" name="Straight Arrow Connector 133">
          <a:extLst>
            <a:ext uri="{FF2B5EF4-FFF2-40B4-BE49-F238E27FC236}">
              <a16:creationId xmlns:a16="http://schemas.microsoft.com/office/drawing/2014/main" id="{945E9692-2A78-42CD-98C9-A94A08BB0B2F}"/>
            </a:ext>
          </a:extLst>
        </xdr:cNvPr>
        <xdr:cNvCxnSpPr/>
      </xdr:nvCxnSpPr>
      <xdr:spPr>
        <a:xfrm>
          <a:off x="6477000" y="4762500"/>
          <a:ext cx="1889125" cy="0"/>
        </a:xfrm>
        <a:prstGeom prst="straightConnector1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441325</xdr:colOff>
      <xdr:row>23</xdr:row>
      <xdr:rowOff>133350</xdr:rowOff>
    </xdr:from>
    <xdr:to>
      <xdr:col>13</xdr:col>
      <xdr:colOff>441325</xdr:colOff>
      <xdr:row>24</xdr:row>
      <xdr:rowOff>133350</xdr:rowOff>
    </xdr:to>
    <xdr:cxnSp macro="">
      <xdr:nvCxnSpPr>
        <xdr:cNvPr id="135" name="Straight Arrow Connector 134">
          <a:extLst>
            <a:ext uri="{FF2B5EF4-FFF2-40B4-BE49-F238E27FC236}">
              <a16:creationId xmlns:a16="http://schemas.microsoft.com/office/drawing/2014/main" id="{59EEF980-C90C-466E-BAB8-FC987DE03CF6}"/>
            </a:ext>
          </a:extLst>
        </xdr:cNvPr>
        <xdr:cNvCxnSpPr/>
      </xdr:nvCxnSpPr>
      <xdr:spPr>
        <a:xfrm flipV="1">
          <a:off x="8366125" y="4572000"/>
          <a:ext cx="0" cy="190500"/>
        </a:xfrm>
        <a:prstGeom prst="straightConnector1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368300</xdr:colOff>
      <xdr:row>24</xdr:row>
      <xdr:rowOff>133350</xdr:rowOff>
    </xdr:from>
    <xdr:to>
      <xdr:col>16</xdr:col>
      <xdr:colOff>368300</xdr:colOff>
      <xdr:row>25</xdr:row>
      <xdr:rowOff>6350</xdr:rowOff>
    </xdr:to>
    <xdr:cxnSp macro="">
      <xdr:nvCxnSpPr>
        <xdr:cNvPr id="136" name="Straight Arrow Connector 135">
          <a:extLst>
            <a:ext uri="{FF2B5EF4-FFF2-40B4-BE49-F238E27FC236}">
              <a16:creationId xmlns:a16="http://schemas.microsoft.com/office/drawing/2014/main" id="{EAA58E0A-6375-4F9C-9B5F-385B0EEED18A}"/>
            </a:ext>
          </a:extLst>
        </xdr:cNvPr>
        <xdr:cNvCxnSpPr/>
      </xdr:nvCxnSpPr>
      <xdr:spPr>
        <a:xfrm flipV="1">
          <a:off x="10255250" y="4762500"/>
          <a:ext cx="0" cy="63500"/>
        </a:xfrm>
        <a:prstGeom prst="straightConnector1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441325</xdr:colOff>
      <xdr:row>24</xdr:row>
      <xdr:rowOff>133350</xdr:rowOff>
    </xdr:from>
    <xdr:to>
      <xdr:col>16</xdr:col>
      <xdr:colOff>368300</xdr:colOff>
      <xdr:row>24</xdr:row>
      <xdr:rowOff>133350</xdr:rowOff>
    </xdr:to>
    <xdr:cxnSp macro="">
      <xdr:nvCxnSpPr>
        <xdr:cNvPr id="137" name="Straight Arrow Connector 136">
          <a:extLst>
            <a:ext uri="{FF2B5EF4-FFF2-40B4-BE49-F238E27FC236}">
              <a16:creationId xmlns:a16="http://schemas.microsoft.com/office/drawing/2014/main" id="{8A0EA4E8-F39A-4F80-ABDC-FF829211915C}"/>
            </a:ext>
          </a:extLst>
        </xdr:cNvPr>
        <xdr:cNvCxnSpPr/>
      </xdr:nvCxnSpPr>
      <xdr:spPr>
        <a:xfrm flipH="1">
          <a:off x="8366125" y="4762500"/>
          <a:ext cx="1889125" cy="0"/>
        </a:xfrm>
        <a:prstGeom prst="straightConnector1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441325</xdr:colOff>
      <xdr:row>23</xdr:row>
      <xdr:rowOff>133350</xdr:rowOff>
    </xdr:from>
    <xdr:to>
      <xdr:col>13</xdr:col>
      <xdr:colOff>441325</xdr:colOff>
      <xdr:row>24</xdr:row>
      <xdr:rowOff>133350</xdr:rowOff>
    </xdr:to>
    <xdr:cxnSp macro="">
      <xdr:nvCxnSpPr>
        <xdr:cNvPr id="138" name="Straight Arrow Connector 137">
          <a:extLst>
            <a:ext uri="{FF2B5EF4-FFF2-40B4-BE49-F238E27FC236}">
              <a16:creationId xmlns:a16="http://schemas.microsoft.com/office/drawing/2014/main" id="{57BC2A9B-35B7-45DD-9C94-CCC2C448A99E}"/>
            </a:ext>
          </a:extLst>
        </xdr:cNvPr>
        <xdr:cNvCxnSpPr/>
      </xdr:nvCxnSpPr>
      <xdr:spPr>
        <a:xfrm flipV="1">
          <a:off x="8366125" y="4572000"/>
          <a:ext cx="0" cy="190500"/>
        </a:xfrm>
        <a:prstGeom prst="straightConnector1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38100</xdr:colOff>
      <xdr:row>28</xdr:row>
      <xdr:rowOff>133350</xdr:rowOff>
    </xdr:from>
    <xdr:to>
      <xdr:col>4</xdr:col>
      <xdr:colOff>38100</xdr:colOff>
      <xdr:row>29</xdr:row>
      <xdr:rowOff>6350</xdr:rowOff>
    </xdr:to>
    <xdr:cxnSp macro="">
      <xdr:nvCxnSpPr>
        <xdr:cNvPr id="139" name="Straight Arrow Connector 138">
          <a:extLst>
            <a:ext uri="{FF2B5EF4-FFF2-40B4-BE49-F238E27FC236}">
              <a16:creationId xmlns:a16="http://schemas.microsoft.com/office/drawing/2014/main" id="{1F9AA3C2-530E-4EF4-8ECE-FDEA8E81108C}"/>
            </a:ext>
          </a:extLst>
        </xdr:cNvPr>
        <xdr:cNvCxnSpPr/>
      </xdr:nvCxnSpPr>
      <xdr:spPr>
        <a:xfrm flipV="1">
          <a:off x="2476500" y="5524500"/>
          <a:ext cx="0" cy="63500"/>
        </a:xfrm>
        <a:prstGeom prst="straightConnector1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38100</xdr:colOff>
      <xdr:row>28</xdr:row>
      <xdr:rowOff>133350</xdr:rowOff>
    </xdr:from>
    <xdr:to>
      <xdr:col>4</xdr:col>
      <xdr:colOff>482600</xdr:colOff>
      <xdr:row>28</xdr:row>
      <xdr:rowOff>133350</xdr:rowOff>
    </xdr:to>
    <xdr:cxnSp macro="">
      <xdr:nvCxnSpPr>
        <xdr:cNvPr id="140" name="Straight Arrow Connector 139">
          <a:extLst>
            <a:ext uri="{FF2B5EF4-FFF2-40B4-BE49-F238E27FC236}">
              <a16:creationId xmlns:a16="http://schemas.microsoft.com/office/drawing/2014/main" id="{B95D5844-6501-4EC7-9C84-6A138DF8BA32}"/>
            </a:ext>
          </a:extLst>
        </xdr:cNvPr>
        <xdr:cNvCxnSpPr/>
      </xdr:nvCxnSpPr>
      <xdr:spPr>
        <a:xfrm>
          <a:off x="2476500" y="5524500"/>
          <a:ext cx="444500" cy="0"/>
        </a:xfrm>
        <a:prstGeom prst="straightConnector1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482600</xdr:colOff>
      <xdr:row>27</xdr:row>
      <xdr:rowOff>133350</xdr:rowOff>
    </xdr:from>
    <xdr:to>
      <xdr:col>4</xdr:col>
      <xdr:colOff>482600</xdr:colOff>
      <xdr:row>28</xdr:row>
      <xdr:rowOff>133350</xdr:rowOff>
    </xdr:to>
    <xdr:cxnSp macro="">
      <xdr:nvCxnSpPr>
        <xdr:cNvPr id="141" name="Straight Arrow Connector 140">
          <a:extLst>
            <a:ext uri="{FF2B5EF4-FFF2-40B4-BE49-F238E27FC236}">
              <a16:creationId xmlns:a16="http://schemas.microsoft.com/office/drawing/2014/main" id="{9E3DEC0C-9BD1-46BF-8BCA-EA871C9BB055}"/>
            </a:ext>
          </a:extLst>
        </xdr:cNvPr>
        <xdr:cNvCxnSpPr/>
      </xdr:nvCxnSpPr>
      <xdr:spPr>
        <a:xfrm flipV="1">
          <a:off x="2921000" y="5334000"/>
          <a:ext cx="0" cy="190500"/>
        </a:xfrm>
        <a:prstGeom prst="straightConnector1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317500</xdr:colOff>
      <xdr:row>28</xdr:row>
      <xdr:rowOff>133350</xdr:rowOff>
    </xdr:from>
    <xdr:to>
      <xdr:col>5</xdr:col>
      <xdr:colOff>317500</xdr:colOff>
      <xdr:row>29</xdr:row>
      <xdr:rowOff>133350</xdr:rowOff>
    </xdr:to>
    <xdr:cxnSp macro="">
      <xdr:nvCxnSpPr>
        <xdr:cNvPr id="142" name="Straight Arrow Connector 141">
          <a:extLst>
            <a:ext uri="{FF2B5EF4-FFF2-40B4-BE49-F238E27FC236}">
              <a16:creationId xmlns:a16="http://schemas.microsoft.com/office/drawing/2014/main" id="{496F93B3-1669-43F7-BBD5-D1E4E30A99F0}"/>
            </a:ext>
          </a:extLst>
        </xdr:cNvPr>
        <xdr:cNvCxnSpPr/>
      </xdr:nvCxnSpPr>
      <xdr:spPr>
        <a:xfrm flipV="1">
          <a:off x="3365500" y="5524500"/>
          <a:ext cx="0" cy="190500"/>
        </a:xfrm>
        <a:prstGeom prst="straightConnector1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482600</xdr:colOff>
      <xdr:row>28</xdr:row>
      <xdr:rowOff>133350</xdr:rowOff>
    </xdr:from>
    <xdr:to>
      <xdr:col>5</xdr:col>
      <xdr:colOff>317500</xdr:colOff>
      <xdr:row>28</xdr:row>
      <xdr:rowOff>133350</xdr:rowOff>
    </xdr:to>
    <xdr:cxnSp macro="">
      <xdr:nvCxnSpPr>
        <xdr:cNvPr id="143" name="Straight Arrow Connector 142">
          <a:extLst>
            <a:ext uri="{FF2B5EF4-FFF2-40B4-BE49-F238E27FC236}">
              <a16:creationId xmlns:a16="http://schemas.microsoft.com/office/drawing/2014/main" id="{138A9694-B2E5-474E-BF2B-D7BD0624BF79}"/>
            </a:ext>
          </a:extLst>
        </xdr:cNvPr>
        <xdr:cNvCxnSpPr/>
      </xdr:nvCxnSpPr>
      <xdr:spPr>
        <a:xfrm flipH="1">
          <a:off x="2921000" y="5524500"/>
          <a:ext cx="444500" cy="0"/>
        </a:xfrm>
        <a:prstGeom prst="straightConnector1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482600</xdr:colOff>
      <xdr:row>27</xdr:row>
      <xdr:rowOff>133350</xdr:rowOff>
    </xdr:from>
    <xdr:to>
      <xdr:col>4</xdr:col>
      <xdr:colOff>482600</xdr:colOff>
      <xdr:row>28</xdr:row>
      <xdr:rowOff>133350</xdr:rowOff>
    </xdr:to>
    <xdr:cxnSp macro="">
      <xdr:nvCxnSpPr>
        <xdr:cNvPr id="144" name="Straight Arrow Connector 143">
          <a:extLst>
            <a:ext uri="{FF2B5EF4-FFF2-40B4-BE49-F238E27FC236}">
              <a16:creationId xmlns:a16="http://schemas.microsoft.com/office/drawing/2014/main" id="{79290A0F-9FFD-4A2A-8992-48D7725180F3}"/>
            </a:ext>
          </a:extLst>
        </xdr:cNvPr>
        <xdr:cNvCxnSpPr/>
      </xdr:nvCxnSpPr>
      <xdr:spPr>
        <a:xfrm flipV="1">
          <a:off x="2921000" y="5334000"/>
          <a:ext cx="0" cy="190500"/>
        </a:xfrm>
        <a:prstGeom prst="straightConnector1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596900</xdr:colOff>
      <xdr:row>28</xdr:row>
      <xdr:rowOff>133350</xdr:rowOff>
    </xdr:from>
    <xdr:to>
      <xdr:col>6</xdr:col>
      <xdr:colOff>596900</xdr:colOff>
      <xdr:row>29</xdr:row>
      <xdr:rowOff>133350</xdr:rowOff>
    </xdr:to>
    <xdr:cxnSp macro="">
      <xdr:nvCxnSpPr>
        <xdr:cNvPr id="145" name="Straight Arrow Connector 144">
          <a:extLst>
            <a:ext uri="{FF2B5EF4-FFF2-40B4-BE49-F238E27FC236}">
              <a16:creationId xmlns:a16="http://schemas.microsoft.com/office/drawing/2014/main" id="{76F063E7-4A07-4E75-82B5-10522972F318}"/>
            </a:ext>
          </a:extLst>
        </xdr:cNvPr>
        <xdr:cNvCxnSpPr/>
      </xdr:nvCxnSpPr>
      <xdr:spPr>
        <a:xfrm flipV="1">
          <a:off x="4254500" y="5524500"/>
          <a:ext cx="0" cy="190500"/>
        </a:xfrm>
        <a:prstGeom prst="straightConnector1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596900</xdr:colOff>
      <xdr:row>28</xdr:row>
      <xdr:rowOff>133350</xdr:rowOff>
    </xdr:from>
    <xdr:to>
      <xdr:col>7</xdr:col>
      <xdr:colOff>431800</xdr:colOff>
      <xdr:row>28</xdr:row>
      <xdr:rowOff>133350</xdr:rowOff>
    </xdr:to>
    <xdr:cxnSp macro="">
      <xdr:nvCxnSpPr>
        <xdr:cNvPr id="146" name="Straight Arrow Connector 145">
          <a:extLst>
            <a:ext uri="{FF2B5EF4-FFF2-40B4-BE49-F238E27FC236}">
              <a16:creationId xmlns:a16="http://schemas.microsoft.com/office/drawing/2014/main" id="{4184B77A-DCA4-4BA4-8F75-872C166B0C20}"/>
            </a:ext>
          </a:extLst>
        </xdr:cNvPr>
        <xdr:cNvCxnSpPr/>
      </xdr:nvCxnSpPr>
      <xdr:spPr>
        <a:xfrm>
          <a:off x="4254500" y="5524500"/>
          <a:ext cx="444500" cy="0"/>
        </a:xfrm>
        <a:prstGeom prst="straightConnector1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431800</xdr:colOff>
      <xdr:row>27</xdr:row>
      <xdr:rowOff>133350</xdr:rowOff>
    </xdr:from>
    <xdr:to>
      <xdr:col>7</xdr:col>
      <xdr:colOff>431800</xdr:colOff>
      <xdr:row>28</xdr:row>
      <xdr:rowOff>133350</xdr:rowOff>
    </xdr:to>
    <xdr:cxnSp macro="">
      <xdr:nvCxnSpPr>
        <xdr:cNvPr id="147" name="Straight Arrow Connector 146">
          <a:extLst>
            <a:ext uri="{FF2B5EF4-FFF2-40B4-BE49-F238E27FC236}">
              <a16:creationId xmlns:a16="http://schemas.microsoft.com/office/drawing/2014/main" id="{CA8C1256-6D9A-4C69-AD36-F66264C7648D}"/>
            </a:ext>
          </a:extLst>
        </xdr:cNvPr>
        <xdr:cNvCxnSpPr/>
      </xdr:nvCxnSpPr>
      <xdr:spPr>
        <a:xfrm flipV="1">
          <a:off x="4699000" y="5334000"/>
          <a:ext cx="0" cy="190500"/>
        </a:xfrm>
        <a:prstGeom prst="straightConnector1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266700</xdr:colOff>
      <xdr:row>28</xdr:row>
      <xdr:rowOff>133350</xdr:rowOff>
    </xdr:from>
    <xdr:to>
      <xdr:col>8</xdr:col>
      <xdr:colOff>266700</xdr:colOff>
      <xdr:row>29</xdr:row>
      <xdr:rowOff>133350</xdr:rowOff>
    </xdr:to>
    <xdr:cxnSp macro="">
      <xdr:nvCxnSpPr>
        <xdr:cNvPr id="148" name="Straight Arrow Connector 147">
          <a:extLst>
            <a:ext uri="{FF2B5EF4-FFF2-40B4-BE49-F238E27FC236}">
              <a16:creationId xmlns:a16="http://schemas.microsoft.com/office/drawing/2014/main" id="{5F290FB8-5897-4314-A247-977D2D0000E4}"/>
            </a:ext>
          </a:extLst>
        </xdr:cNvPr>
        <xdr:cNvCxnSpPr/>
      </xdr:nvCxnSpPr>
      <xdr:spPr>
        <a:xfrm flipV="1">
          <a:off x="5143500" y="5524500"/>
          <a:ext cx="0" cy="190500"/>
        </a:xfrm>
        <a:prstGeom prst="straightConnector1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431800</xdr:colOff>
      <xdr:row>28</xdr:row>
      <xdr:rowOff>133350</xdr:rowOff>
    </xdr:from>
    <xdr:to>
      <xdr:col>8</xdr:col>
      <xdr:colOff>266700</xdr:colOff>
      <xdr:row>28</xdr:row>
      <xdr:rowOff>133350</xdr:rowOff>
    </xdr:to>
    <xdr:cxnSp macro="">
      <xdr:nvCxnSpPr>
        <xdr:cNvPr id="149" name="Straight Arrow Connector 148">
          <a:extLst>
            <a:ext uri="{FF2B5EF4-FFF2-40B4-BE49-F238E27FC236}">
              <a16:creationId xmlns:a16="http://schemas.microsoft.com/office/drawing/2014/main" id="{07770F39-6D59-4770-99CC-32A3C6D5F601}"/>
            </a:ext>
          </a:extLst>
        </xdr:cNvPr>
        <xdr:cNvCxnSpPr/>
      </xdr:nvCxnSpPr>
      <xdr:spPr>
        <a:xfrm flipH="1">
          <a:off x="4699000" y="5524500"/>
          <a:ext cx="444500" cy="0"/>
        </a:xfrm>
        <a:prstGeom prst="straightConnector1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431800</xdr:colOff>
      <xdr:row>27</xdr:row>
      <xdr:rowOff>133350</xdr:rowOff>
    </xdr:from>
    <xdr:to>
      <xdr:col>7</xdr:col>
      <xdr:colOff>431800</xdr:colOff>
      <xdr:row>28</xdr:row>
      <xdr:rowOff>133350</xdr:rowOff>
    </xdr:to>
    <xdr:cxnSp macro="">
      <xdr:nvCxnSpPr>
        <xdr:cNvPr id="150" name="Straight Arrow Connector 149">
          <a:extLst>
            <a:ext uri="{FF2B5EF4-FFF2-40B4-BE49-F238E27FC236}">
              <a16:creationId xmlns:a16="http://schemas.microsoft.com/office/drawing/2014/main" id="{4F03E368-6635-423A-BEA5-50F53C879726}"/>
            </a:ext>
          </a:extLst>
        </xdr:cNvPr>
        <xdr:cNvCxnSpPr/>
      </xdr:nvCxnSpPr>
      <xdr:spPr>
        <a:xfrm flipV="1">
          <a:off x="4699000" y="5334000"/>
          <a:ext cx="0" cy="190500"/>
        </a:xfrm>
        <a:prstGeom prst="straightConnector1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546100</xdr:colOff>
      <xdr:row>28</xdr:row>
      <xdr:rowOff>133350</xdr:rowOff>
    </xdr:from>
    <xdr:to>
      <xdr:col>9</xdr:col>
      <xdr:colOff>546100</xdr:colOff>
      <xdr:row>29</xdr:row>
      <xdr:rowOff>133350</xdr:rowOff>
    </xdr:to>
    <xdr:cxnSp macro="">
      <xdr:nvCxnSpPr>
        <xdr:cNvPr id="151" name="Straight Arrow Connector 150">
          <a:extLst>
            <a:ext uri="{FF2B5EF4-FFF2-40B4-BE49-F238E27FC236}">
              <a16:creationId xmlns:a16="http://schemas.microsoft.com/office/drawing/2014/main" id="{499DE672-46C4-422E-A093-DC0FFCB0B383}"/>
            </a:ext>
          </a:extLst>
        </xdr:cNvPr>
        <xdr:cNvCxnSpPr/>
      </xdr:nvCxnSpPr>
      <xdr:spPr>
        <a:xfrm flipV="1">
          <a:off x="6032500" y="5524500"/>
          <a:ext cx="0" cy="190500"/>
        </a:xfrm>
        <a:prstGeom prst="straightConnector1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546100</xdr:colOff>
      <xdr:row>28</xdr:row>
      <xdr:rowOff>133350</xdr:rowOff>
    </xdr:from>
    <xdr:to>
      <xdr:col>10</xdr:col>
      <xdr:colOff>381000</xdr:colOff>
      <xdr:row>28</xdr:row>
      <xdr:rowOff>133350</xdr:rowOff>
    </xdr:to>
    <xdr:cxnSp macro="">
      <xdr:nvCxnSpPr>
        <xdr:cNvPr id="152" name="Straight Arrow Connector 151">
          <a:extLst>
            <a:ext uri="{FF2B5EF4-FFF2-40B4-BE49-F238E27FC236}">
              <a16:creationId xmlns:a16="http://schemas.microsoft.com/office/drawing/2014/main" id="{7AC07824-3391-430C-9EF3-82E6697BF240}"/>
            </a:ext>
          </a:extLst>
        </xdr:cNvPr>
        <xdr:cNvCxnSpPr/>
      </xdr:nvCxnSpPr>
      <xdr:spPr>
        <a:xfrm>
          <a:off x="6032500" y="5524500"/>
          <a:ext cx="444500" cy="0"/>
        </a:xfrm>
        <a:prstGeom prst="straightConnector1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381000</xdr:colOff>
      <xdr:row>27</xdr:row>
      <xdr:rowOff>133350</xdr:rowOff>
    </xdr:from>
    <xdr:to>
      <xdr:col>10</xdr:col>
      <xdr:colOff>381000</xdr:colOff>
      <xdr:row>28</xdr:row>
      <xdr:rowOff>133350</xdr:rowOff>
    </xdr:to>
    <xdr:cxnSp macro="">
      <xdr:nvCxnSpPr>
        <xdr:cNvPr id="153" name="Straight Arrow Connector 152">
          <a:extLst>
            <a:ext uri="{FF2B5EF4-FFF2-40B4-BE49-F238E27FC236}">
              <a16:creationId xmlns:a16="http://schemas.microsoft.com/office/drawing/2014/main" id="{4D2E2FED-9E17-45E1-89E2-9DC984BC4142}"/>
            </a:ext>
          </a:extLst>
        </xdr:cNvPr>
        <xdr:cNvCxnSpPr/>
      </xdr:nvCxnSpPr>
      <xdr:spPr>
        <a:xfrm flipV="1">
          <a:off x="6477000" y="5334000"/>
          <a:ext cx="0" cy="190500"/>
        </a:xfrm>
        <a:prstGeom prst="straightConnector1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215900</xdr:colOff>
      <xdr:row>28</xdr:row>
      <xdr:rowOff>133350</xdr:rowOff>
    </xdr:from>
    <xdr:to>
      <xdr:col>11</xdr:col>
      <xdr:colOff>215900</xdr:colOff>
      <xdr:row>29</xdr:row>
      <xdr:rowOff>6350</xdr:rowOff>
    </xdr:to>
    <xdr:cxnSp macro="">
      <xdr:nvCxnSpPr>
        <xdr:cNvPr id="154" name="Straight Arrow Connector 153">
          <a:extLst>
            <a:ext uri="{FF2B5EF4-FFF2-40B4-BE49-F238E27FC236}">
              <a16:creationId xmlns:a16="http://schemas.microsoft.com/office/drawing/2014/main" id="{365DF2D0-B555-4205-A41E-27DCE3C43C8E}"/>
            </a:ext>
          </a:extLst>
        </xdr:cNvPr>
        <xdr:cNvCxnSpPr/>
      </xdr:nvCxnSpPr>
      <xdr:spPr>
        <a:xfrm flipV="1">
          <a:off x="6921500" y="5524500"/>
          <a:ext cx="0" cy="63500"/>
        </a:xfrm>
        <a:prstGeom prst="straightConnector1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381000</xdr:colOff>
      <xdr:row>28</xdr:row>
      <xdr:rowOff>133350</xdr:rowOff>
    </xdr:from>
    <xdr:to>
      <xdr:col>11</xdr:col>
      <xdr:colOff>215900</xdr:colOff>
      <xdr:row>28</xdr:row>
      <xdr:rowOff>133350</xdr:rowOff>
    </xdr:to>
    <xdr:cxnSp macro="">
      <xdr:nvCxnSpPr>
        <xdr:cNvPr id="155" name="Straight Arrow Connector 154">
          <a:extLst>
            <a:ext uri="{FF2B5EF4-FFF2-40B4-BE49-F238E27FC236}">
              <a16:creationId xmlns:a16="http://schemas.microsoft.com/office/drawing/2014/main" id="{198FA4BE-51F7-467C-BDB0-3A72015D00E0}"/>
            </a:ext>
          </a:extLst>
        </xdr:cNvPr>
        <xdr:cNvCxnSpPr/>
      </xdr:nvCxnSpPr>
      <xdr:spPr>
        <a:xfrm flipH="1">
          <a:off x="6477000" y="5524500"/>
          <a:ext cx="444500" cy="0"/>
        </a:xfrm>
        <a:prstGeom prst="straightConnector1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381000</xdr:colOff>
      <xdr:row>27</xdr:row>
      <xdr:rowOff>133350</xdr:rowOff>
    </xdr:from>
    <xdr:to>
      <xdr:col>10</xdr:col>
      <xdr:colOff>381000</xdr:colOff>
      <xdr:row>28</xdr:row>
      <xdr:rowOff>133350</xdr:rowOff>
    </xdr:to>
    <xdr:cxnSp macro="">
      <xdr:nvCxnSpPr>
        <xdr:cNvPr id="156" name="Straight Arrow Connector 155">
          <a:extLst>
            <a:ext uri="{FF2B5EF4-FFF2-40B4-BE49-F238E27FC236}">
              <a16:creationId xmlns:a16="http://schemas.microsoft.com/office/drawing/2014/main" id="{4A7E07F7-4D97-467A-B148-1EA0528505F7}"/>
            </a:ext>
          </a:extLst>
        </xdr:cNvPr>
        <xdr:cNvCxnSpPr/>
      </xdr:nvCxnSpPr>
      <xdr:spPr>
        <a:xfrm flipV="1">
          <a:off x="6477000" y="5334000"/>
          <a:ext cx="0" cy="190500"/>
        </a:xfrm>
        <a:prstGeom prst="straightConnector1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31750</xdr:colOff>
      <xdr:row>28</xdr:row>
      <xdr:rowOff>133350</xdr:rowOff>
    </xdr:from>
    <xdr:to>
      <xdr:col>14</xdr:col>
      <xdr:colOff>31750</xdr:colOff>
      <xdr:row>29</xdr:row>
      <xdr:rowOff>6350</xdr:rowOff>
    </xdr:to>
    <xdr:cxnSp macro="">
      <xdr:nvCxnSpPr>
        <xdr:cNvPr id="157" name="Straight Arrow Connector 156">
          <a:extLst>
            <a:ext uri="{FF2B5EF4-FFF2-40B4-BE49-F238E27FC236}">
              <a16:creationId xmlns:a16="http://schemas.microsoft.com/office/drawing/2014/main" id="{C12F863D-AA43-4522-BB1F-3032CE44BF6D}"/>
            </a:ext>
          </a:extLst>
        </xdr:cNvPr>
        <xdr:cNvCxnSpPr/>
      </xdr:nvCxnSpPr>
      <xdr:spPr>
        <a:xfrm flipV="1">
          <a:off x="8699500" y="5524500"/>
          <a:ext cx="0" cy="63500"/>
        </a:xfrm>
        <a:prstGeom prst="straightConnector1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31750</xdr:colOff>
      <xdr:row>28</xdr:row>
      <xdr:rowOff>133350</xdr:rowOff>
    </xdr:from>
    <xdr:to>
      <xdr:col>16</xdr:col>
      <xdr:colOff>368300</xdr:colOff>
      <xdr:row>28</xdr:row>
      <xdr:rowOff>133350</xdr:rowOff>
    </xdr:to>
    <xdr:cxnSp macro="">
      <xdr:nvCxnSpPr>
        <xdr:cNvPr id="158" name="Straight Arrow Connector 157">
          <a:extLst>
            <a:ext uri="{FF2B5EF4-FFF2-40B4-BE49-F238E27FC236}">
              <a16:creationId xmlns:a16="http://schemas.microsoft.com/office/drawing/2014/main" id="{CDF5CB2D-A125-4B4C-9DA1-7CC649FFF63B}"/>
            </a:ext>
          </a:extLst>
        </xdr:cNvPr>
        <xdr:cNvCxnSpPr/>
      </xdr:nvCxnSpPr>
      <xdr:spPr>
        <a:xfrm>
          <a:off x="8699500" y="5524500"/>
          <a:ext cx="1555750" cy="0"/>
        </a:xfrm>
        <a:prstGeom prst="straightConnector1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368300</xdr:colOff>
      <xdr:row>27</xdr:row>
      <xdr:rowOff>133350</xdr:rowOff>
    </xdr:from>
    <xdr:to>
      <xdr:col>16</xdr:col>
      <xdr:colOff>368300</xdr:colOff>
      <xdr:row>28</xdr:row>
      <xdr:rowOff>133350</xdr:rowOff>
    </xdr:to>
    <xdr:cxnSp macro="">
      <xdr:nvCxnSpPr>
        <xdr:cNvPr id="159" name="Straight Arrow Connector 158">
          <a:extLst>
            <a:ext uri="{FF2B5EF4-FFF2-40B4-BE49-F238E27FC236}">
              <a16:creationId xmlns:a16="http://schemas.microsoft.com/office/drawing/2014/main" id="{09233641-714D-4239-963E-9F9F3A164BB4}"/>
            </a:ext>
          </a:extLst>
        </xdr:cNvPr>
        <xdr:cNvCxnSpPr/>
      </xdr:nvCxnSpPr>
      <xdr:spPr>
        <a:xfrm flipV="1">
          <a:off x="10255250" y="5334000"/>
          <a:ext cx="0" cy="190500"/>
        </a:xfrm>
        <a:prstGeom prst="straightConnector1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95250</xdr:colOff>
      <xdr:row>28</xdr:row>
      <xdr:rowOff>133350</xdr:rowOff>
    </xdr:from>
    <xdr:to>
      <xdr:col>19</xdr:col>
      <xdr:colOff>95250</xdr:colOff>
      <xdr:row>29</xdr:row>
      <xdr:rowOff>6350</xdr:rowOff>
    </xdr:to>
    <xdr:cxnSp macro="">
      <xdr:nvCxnSpPr>
        <xdr:cNvPr id="160" name="Straight Arrow Connector 159">
          <a:extLst>
            <a:ext uri="{FF2B5EF4-FFF2-40B4-BE49-F238E27FC236}">
              <a16:creationId xmlns:a16="http://schemas.microsoft.com/office/drawing/2014/main" id="{717C49DE-743C-4261-B4B9-3743718B4D9C}"/>
            </a:ext>
          </a:extLst>
        </xdr:cNvPr>
        <xdr:cNvCxnSpPr/>
      </xdr:nvCxnSpPr>
      <xdr:spPr>
        <a:xfrm flipV="1">
          <a:off x="11811000" y="5524500"/>
          <a:ext cx="0" cy="63500"/>
        </a:xfrm>
        <a:prstGeom prst="straightConnector1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368300</xdr:colOff>
      <xdr:row>28</xdr:row>
      <xdr:rowOff>133350</xdr:rowOff>
    </xdr:from>
    <xdr:to>
      <xdr:col>19</xdr:col>
      <xdr:colOff>95250</xdr:colOff>
      <xdr:row>28</xdr:row>
      <xdr:rowOff>133350</xdr:rowOff>
    </xdr:to>
    <xdr:cxnSp macro="">
      <xdr:nvCxnSpPr>
        <xdr:cNvPr id="161" name="Straight Arrow Connector 160">
          <a:extLst>
            <a:ext uri="{FF2B5EF4-FFF2-40B4-BE49-F238E27FC236}">
              <a16:creationId xmlns:a16="http://schemas.microsoft.com/office/drawing/2014/main" id="{7082347A-472A-4926-A1CE-C9BC602CAA9E}"/>
            </a:ext>
          </a:extLst>
        </xdr:cNvPr>
        <xdr:cNvCxnSpPr/>
      </xdr:nvCxnSpPr>
      <xdr:spPr>
        <a:xfrm flipH="1">
          <a:off x="10255250" y="5524500"/>
          <a:ext cx="1555750" cy="0"/>
        </a:xfrm>
        <a:prstGeom prst="straightConnector1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368300</xdr:colOff>
      <xdr:row>27</xdr:row>
      <xdr:rowOff>133350</xdr:rowOff>
    </xdr:from>
    <xdr:to>
      <xdr:col>16</xdr:col>
      <xdr:colOff>368300</xdr:colOff>
      <xdr:row>28</xdr:row>
      <xdr:rowOff>133350</xdr:rowOff>
    </xdr:to>
    <xdr:cxnSp macro="">
      <xdr:nvCxnSpPr>
        <xdr:cNvPr id="162" name="Straight Arrow Connector 161">
          <a:extLst>
            <a:ext uri="{FF2B5EF4-FFF2-40B4-BE49-F238E27FC236}">
              <a16:creationId xmlns:a16="http://schemas.microsoft.com/office/drawing/2014/main" id="{B4F675B8-D34A-4D9D-97BC-4C052523285C}"/>
            </a:ext>
          </a:extLst>
        </xdr:cNvPr>
        <xdr:cNvCxnSpPr/>
      </xdr:nvCxnSpPr>
      <xdr:spPr>
        <a:xfrm flipV="1">
          <a:off x="10255250" y="5334000"/>
          <a:ext cx="0" cy="190500"/>
        </a:xfrm>
        <a:prstGeom prst="straightConnector1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368300</xdr:colOff>
      <xdr:row>32</xdr:row>
      <xdr:rowOff>133350</xdr:rowOff>
    </xdr:from>
    <xdr:to>
      <xdr:col>2</xdr:col>
      <xdr:colOff>368300</xdr:colOff>
      <xdr:row>33</xdr:row>
      <xdr:rowOff>6350</xdr:rowOff>
    </xdr:to>
    <xdr:cxnSp macro="">
      <xdr:nvCxnSpPr>
        <xdr:cNvPr id="163" name="Straight Arrow Connector 162">
          <a:extLst>
            <a:ext uri="{FF2B5EF4-FFF2-40B4-BE49-F238E27FC236}">
              <a16:creationId xmlns:a16="http://schemas.microsoft.com/office/drawing/2014/main" id="{F7038F6D-7DCA-4BC5-A3E2-0990C1A3E1FD}"/>
            </a:ext>
          </a:extLst>
        </xdr:cNvPr>
        <xdr:cNvCxnSpPr/>
      </xdr:nvCxnSpPr>
      <xdr:spPr>
        <a:xfrm flipV="1">
          <a:off x="1587500" y="6286500"/>
          <a:ext cx="0" cy="63500"/>
        </a:xfrm>
        <a:prstGeom prst="straightConnector1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368300</xdr:colOff>
      <xdr:row>32</xdr:row>
      <xdr:rowOff>133350</xdr:rowOff>
    </xdr:from>
    <xdr:to>
      <xdr:col>4</xdr:col>
      <xdr:colOff>38100</xdr:colOff>
      <xdr:row>32</xdr:row>
      <xdr:rowOff>133350</xdr:rowOff>
    </xdr:to>
    <xdr:cxnSp macro="">
      <xdr:nvCxnSpPr>
        <xdr:cNvPr id="164" name="Straight Arrow Connector 163">
          <a:extLst>
            <a:ext uri="{FF2B5EF4-FFF2-40B4-BE49-F238E27FC236}">
              <a16:creationId xmlns:a16="http://schemas.microsoft.com/office/drawing/2014/main" id="{4662EAC2-D8BA-4935-8CC7-5E44AE270CCD}"/>
            </a:ext>
          </a:extLst>
        </xdr:cNvPr>
        <xdr:cNvCxnSpPr/>
      </xdr:nvCxnSpPr>
      <xdr:spPr>
        <a:xfrm>
          <a:off x="1587500" y="6286500"/>
          <a:ext cx="889000" cy="0"/>
        </a:xfrm>
        <a:prstGeom prst="straightConnector1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38100</xdr:colOff>
      <xdr:row>31</xdr:row>
      <xdr:rowOff>133350</xdr:rowOff>
    </xdr:from>
    <xdr:to>
      <xdr:col>4</xdr:col>
      <xdr:colOff>38100</xdr:colOff>
      <xdr:row>32</xdr:row>
      <xdr:rowOff>133350</xdr:rowOff>
    </xdr:to>
    <xdr:cxnSp macro="">
      <xdr:nvCxnSpPr>
        <xdr:cNvPr id="165" name="Straight Arrow Connector 164">
          <a:extLst>
            <a:ext uri="{FF2B5EF4-FFF2-40B4-BE49-F238E27FC236}">
              <a16:creationId xmlns:a16="http://schemas.microsoft.com/office/drawing/2014/main" id="{E9F8CAC9-A440-4FE3-802E-1CFBF0321158}"/>
            </a:ext>
          </a:extLst>
        </xdr:cNvPr>
        <xdr:cNvCxnSpPr/>
      </xdr:nvCxnSpPr>
      <xdr:spPr>
        <a:xfrm flipV="1">
          <a:off x="2476500" y="6096000"/>
          <a:ext cx="0" cy="190500"/>
        </a:xfrm>
        <a:prstGeom prst="straightConnector1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317500</xdr:colOff>
      <xdr:row>32</xdr:row>
      <xdr:rowOff>133350</xdr:rowOff>
    </xdr:from>
    <xdr:to>
      <xdr:col>5</xdr:col>
      <xdr:colOff>317500</xdr:colOff>
      <xdr:row>33</xdr:row>
      <xdr:rowOff>6350</xdr:rowOff>
    </xdr:to>
    <xdr:cxnSp macro="">
      <xdr:nvCxnSpPr>
        <xdr:cNvPr id="166" name="Straight Arrow Connector 165">
          <a:extLst>
            <a:ext uri="{FF2B5EF4-FFF2-40B4-BE49-F238E27FC236}">
              <a16:creationId xmlns:a16="http://schemas.microsoft.com/office/drawing/2014/main" id="{99D6CF33-2413-4E0A-A2F4-714C236AE49E}"/>
            </a:ext>
          </a:extLst>
        </xdr:cNvPr>
        <xdr:cNvCxnSpPr/>
      </xdr:nvCxnSpPr>
      <xdr:spPr>
        <a:xfrm flipV="1">
          <a:off x="3365500" y="6286500"/>
          <a:ext cx="0" cy="63500"/>
        </a:xfrm>
        <a:prstGeom prst="straightConnector1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38100</xdr:colOff>
      <xdr:row>32</xdr:row>
      <xdr:rowOff>133350</xdr:rowOff>
    </xdr:from>
    <xdr:to>
      <xdr:col>5</xdr:col>
      <xdr:colOff>317500</xdr:colOff>
      <xdr:row>32</xdr:row>
      <xdr:rowOff>133350</xdr:rowOff>
    </xdr:to>
    <xdr:cxnSp macro="">
      <xdr:nvCxnSpPr>
        <xdr:cNvPr id="167" name="Straight Arrow Connector 166">
          <a:extLst>
            <a:ext uri="{FF2B5EF4-FFF2-40B4-BE49-F238E27FC236}">
              <a16:creationId xmlns:a16="http://schemas.microsoft.com/office/drawing/2014/main" id="{5BF3107E-5500-4756-A390-22655B5B016C}"/>
            </a:ext>
          </a:extLst>
        </xdr:cNvPr>
        <xdr:cNvCxnSpPr/>
      </xdr:nvCxnSpPr>
      <xdr:spPr>
        <a:xfrm flipH="1">
          <a:off x="2476500" y="6286500"/>
          <a:ext cx="889000" cy="0"/>
        </a:xfrm>
        <a:prstGeom prst="straightConnector1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38100</xdr:colOff>
      <xdr:row>31</xdr:row>
      <xdr:rowOff>133350</xdr:rowOff>
    </xdr:from>
    <xdr:to>
      <xdr:col>4</xdr:col>
      <xdr:colOff>38100</xdr:colOff>
      <xdr:row>32</xdr:row>
      <xdr:rowOff>133350</xdr:rowOff>
    </xdr:to>
    <xdr:cxnSp macro="">
      <xdr:nvCxnSpPr>
        <xdr:cNvPr id="168" name="Straight Arrow Connector 167">
          <a:extLst>
            <a:ext uri="{FF2B5EF4-FFF2-40B4-BE49-F238E27FC236}">
              <a16:creationId xmlns:a16="http://schemas.microsoft.com/office/drawing/2014/main" id="{5D440DC0-66C6-4705-8555-1C634CADE3B2}"/>
            </a:ext>
          </a:extLst>
        </xdr:cNvPr>
        <xdr:cNvCxnSpPr/>
      </xdr:nvCxnSpPr>
      <xdr:spPr>
        <a:xfrm flipV="1">
          <a:off x="2476500" y="6096000"/>
          <a:ext cx="0" cy="190500"/>
        </a:xfrm>
        <a:prstGeom prst="straightConnector1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381000</xdr:colOff>
      <xdr:row>32</xdr:row>
      <xdr:rowOff>133350</xdr:rowOff>
    </xdr:from>
    <xdr:to>
      <xdr:col>10</xdr:col>
      <xdr:colOff>381000</xdr:colOff>
      <xdr:row>33</xdr:row>
      <xdr:rowOff>6350</xdr:rowOff>
    </xdr:to>
    <xdr:cxnSp macro="">
      <xdr:nvCxnSpPr>
        <xdr:cNvPr id="169" name="Straight Arrow Connector 168">
          <a:extLst>
            <a:ext uri="{FF2B5EF4-FFF2-40B4-BE49-F238E27FC236}">
              <a16:creationId xmlns:a16="http://schemas.microsoft.com/office/drawing/2014/main" id="{4D5244FC-33DE-422A-B4E7-7BAF27DA7506}"/>
            </a:ext>
          </a:extLst>
        </xdr:cNvPr>
        <xdr:cNvCxnSpPr/>
      </xdr:nvCxnSpPr>
      <xdr:spPr>
        <a:xfrm flipV="1">
          <a:off x="6477000" y="6286500"/>
          <a:ext cx="0" cy="63500"/>
        </a:xfrm>
        <a:prstGeom prst="straightConnector1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381000</xdr:colOff>
      <xdr:row>32</xdr:row>
      <xdr:rowOff>133350</xdr:rowOff>
    </xdr:from>
    <xdr:to>
      <xdr:col>11</xdr:col>
      <xdr:colOff>215900</xdr:colOff>
      <xdr:row>32</xdr:row>
      <xdr:rowOff>133350</xdr:rowOff>
    </xdr:to>
    <xdr:cxnSp macro="">
      <xdr:nvCxnSpPr>
        <xdr:cNvPr id="170" name="Straight Arrow Connector 169">
          <a:extLst>
            <a:ext uri="{FF2B5EF4-FFF2-40B4-BE49-F238E27FC236}">
              <a16:creationId xmlns:a16="http://schemas.microsoft.com/office/drawing/2014/main" id="{5BA3FD29-915E-435C-B656-504F3F144509}"/>
            </a:ext>
          </a:extLst>
        </xdr:cNvPr>
        <xdr:cNvCxnSpPr/>
      </xdr:nvCxnSpPr>
      <xdr:spPr>
        <a:xfrm>
          <a:off x="6477000" y="6286500"/>
          <a:ext cx="444500" cy="0"/>
        </a:xfrm>
        <a:prstGeom prst="straightConnector1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215900</xdr:colOff>
      <xdr:row>31</xdr:row>
      <xdr:rowOff>133350</xdr:rowOff>
    </xdr:from>
    <xdr:to>
      <xdr:col>11</xdr:col>
      <xdr:colOff>215900</xdr:colOff>
      <xdr:row>32</xdr:row>
      <xdr:rowOff>133350</xdr:rowOff>
    </xdr:to>
    <xdr:cxnSp macro="">
      <xdr:nvCxnSpPr>
        <xdr:cNvPr id="171" name="Straight Arrow Connector 170">
          <a:extLst>
            <a:ext uri="{FF2B5EF4-FFF2-40B4-BE49-F238E27FC236}">
              <a16:creationId xmlns:a16="http://schemas.microsoft.com/office/drawing/2014/main" id="{4E1C1182-5D5C-4BB0-A696-D1BCB9DACBDB}"/>
            </a:ext>
          </a:extLst>
        </xdr:cNvPr>
        <xdr:cNvCxnSpPr/>
      </xdr:nvCxnSpPr>
      <xdr:spPr>
        <a:xfrm flipV="1">
          <a:off x="6921500" y="6096000"/>
          <a:ext cx="0" cy="190500"/>
        </a:xfrm>
        <a:prstGeom prst="straightConnector1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50800</xdr:colOff>
      <xdr:row>32</xdr:row>
      <xdr:rowOff>133350</xdr:rowOff>
    </xdr:from>
    <xdr:to>
      <xdr:col>12</xdr:col>
      <xdr:colOff>50800</xdr:colOff>
      <xdr:row>33</xdr:row>
      <xdr:rowOff>133350</xdr:rowOff>
    </xdr:to>
    <xdr:cxnSp macro="">
      <xdr:nvCxnSpPr>
        <xdr:cNvPr id="172" name="Straight Arrow Connector 171">
          <a:extLst>
            <a:ext uri="{FF2B5EF4-FFF2-40B4-BE49-F238E27FC236}">
              <a16:creationId xmlns:a16="http://schemas.microsoft.com/office/drawing/2014/main" id="{596439D4-4CCF-4606-BE68-1249CEEED8EE}"/>
            </a:ext>
          </a:extLst>
        </xdr:cNvPr>
        <xdr:cNvCxnSpPr/>
      </xdr:nvCxnSpPr>
      <xdr:spPr>
        <a:xfrm flipV="1">
          <a:off x="7366000" y="6286500"/>
          <a:ext cx="0" cy="190500"/>
        </a:xfrm>
        <a:prstGeom prst="straightConnector1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215900</xdr:colOff>
      <xdr:row>32</xdr:row>
      <xdr:rowOff>133350</xdr:rowOff>
    </xdr:from>
    <xdr:to>
      <xdr:col>12</xdr:col>
      <xdr:colOff>50800</xdr:colOff>
      <xdr:row>32</xdr:row>
      <xdr:rowOff>133350</xdr:rowOff>
    </xdr:to>
    <xdr:cxnSp macro="">
      <xdr:nvCxnSpPr>
        <xdr:cNvPr id="173" name="Straight Arrow Connector 172">
          <a:extLst>
            <a:ext uri="{FF2B5EF4-FFF2-40B4-BE49-F238E27FC236}">
              <a16:creationId xmlns:a16="http://schemas.microsoft.com/office/drawing/2014/main" id="{782AE005-256F-42D8-96BD-2EDBB80F85A3}"/>
            </a:ext>
          </a:extLst>
        </xdr:cNvPr>
        <xdr:cNvCxnSpPr/>
      </xdr:nvCxnSpPr>
      <xdr:spPr>
        <a:xfrm flipH="1">
          <a:off x="6921500" y="6286500"/>
          <a:ext cx="444500" cy="0"/>
        </a:xfrm>
        <a:prstGeom prst="straightConnector1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215900</xdr:colOff>
      <xdr:row>31</xdr:row>
      <xdr:rowOff>133350</xdr:rowOff>
    </xdr:from>
    <xdr:to>
      <xdr:col>11</xdr:col>
      <xdr:colOff>215900</xdr:colOff>
      <xdr:row>32</xdr:row>
      <xdr:rowOff>133350</xdr:rowOff>
    </xdr:to>
    <xdr:cxnSp macro="">
      <xdr:nvCxnSpPr>
        <xdr:cNvPr id="174" name="Straight Arrow Connector 173">
          <a:extLst>
            <a:ext uri="{FF2B5EF4-FFF2-40B4-BE49-F238E27FC236}">
              <a16:creationId xmlns:a16="http://schemas.microsoft.com/office/drawing/2014/main" id="{589BCF34-9CB9-4902-B2FF-E9CA0EBF89C9}"/>
            </a:ext>
          </a:extLst>
        </xdr:cNvPr>
        <xdr:cNvCxnSpPr/>
      </xdr:nvCxnSpPr>
      <xdr:spPr>
        <a:xfrm flipV="1">
          <a:off x="6921500" y="6096000"/>
          <a:ext cx="0" cy="190500"/>
        </a:xfrm>
        <a:prstGeom prst="straightConnector1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330200</xdr:colOff>
      <xdr:row>32</xdr:row>
      <xdr:rowOff>133350</xdr:rowOff>
    </xdr:from>
    <xdr:to>
      <xdr:col>13</xdr:col>
      <xdr:colOff>330200</xdr:colOff>
      <xdr:row>33</xdr:row>
      <xdr:rowOff>133350</xdr:rowOff>
    </xdr:to>
    <xdr:cxnSp macro="">
      <xdr:nvCxnSpPr>
        <xdr:cNvPr id="175" name="Straight Arrow Connector 174">
          <a:extLst>
            <a:ext uri="{FF2B5EF4-FFF2-40B4-BE49-F238E27FC236}">
              <a16:creationId xmlns:a16="http://schemas.microsoft.com/office/drawing/2014/main" id="{54E5CC62-B78D-49CB-AC45-6AD5625D7178}"/>
            </a:ext>
          </a:extLst>
        </xdr:cNvPr>
        <xdr:cNvCxnSpPr/>
      </xdr:nvCxnSpPr>
      <xdr:spPr>
        <a:xfrm flipV="1">
          <a:off x="8255000" y="6286500"/>
          <a:ext cx="0" cy="190500"/>
        </a:xfrm>
        <a:prstGeom prst="straightConnector1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330200</xdr:colOff>
      <xdr:row>32</xdr:row>
      <xdr:rowOff>133350</xdr:rowOff>
    </xdr:from>
    <xdr:to>
      <xdr:col>14</xdr:col>
      <xdr:colOff>31750</xdr:colOff>
      <xdr:row>32</xdr:row>
      <xdr:rowOff>133350</xdr:rowOff>
    </xdr:to>
    <xdr:cxnSp macro="">
      <xdr:nvCxnSpPr>
        <xdr:cNvPr id="176" name="Straight Arrow Connector 175">
          <a:extLst>
            <a:ext uri="{FF2B5EF4-FFF2-40B4-BE49-F238E27FC236}">
              <a16:creationId xmlns:a16="http://schemas.microsoft.com/office/drawing/2014/main" id="{8FA826E0-B707-4A5F-94ED-CE2B433EE194}"/>
            </a:ext>
          </a:extLst>
        </xdr:cNvPr>
        <xdr:cNvCxnSpPr/>
      </xdr:nvCxnSpPr>
      <xdr:spPr>
        <a:xfrm>
          <a:off x="8255000" y="6286500"/>
          <a:ext cx="444500" cy="0"/>
        </a:xfrm>
        <a:prstGeom prst="straightConnector1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31750</xdr:colOff>
      <xdr:row>31</xdr:row>
      <xdr:rowOff>133350</xdr:rowOff>
    </xdr:from>
    <xdr:to>
      <xdr:col>14</xdr:col>
      <xdr:colOff>31750</xdr:colOff>
      <xdr:row>32</xdr:row>
      <xdr:rowOff>133350</xdr:rowOff>
    </xdr:to>
    <xdr:cxnSp macro="">
      <xdr:nvCxnSpPr>
        <xdr:cNvPr id="177" name="Straight Arrow Connector 176">
          <a:extLst>
            <a:ext uri="{FF2B5EF4-FFF2-40B4-BE49-F238E27FC236}">
              <a16:creationId xmlns:a16="http://schemas.microsoft.com/office/drawing/2014/main" id="{8B25EDE0-07B0-499E-927D-C051603B88AE}"/>
            </a:ext>
          </a:extLst>
        </xdr:cNvPr>
        <xdr:cNvCxnSpPr/>
      </xdr:nvCxnSpPr>
      <xdr:spPr>
        <a:xfrm flipV="1">
          <a:off x="8699500" y="6096000"/>
          <a:ext cx="0" cy="190500"/>
        </a:xfrm>
        <a:prstGeom prst="straightConnector1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476250</xdr:colOff>
      <xdr:row>32</xdr:row>
      <xdr:rowOff>133350</xdr:rowOff>
    </xdr:from>
    <xdr:to>
      <xdr:col>14</xdr:col>
      <xdr:colOff>476250</xdr:colOff>
      <xdr:row>33</xdr:row>
      <xdr:rowOff>6350</xdr:rowOff>
    </xdr:to>
    <xdr:cxnSp macro="">
      <xdr:nvCxnSpPr>
        <xdr:cNvPr id="178" name="Straight Arrow Connector 177">
          <a:extLst>
            <a:ext uri="{FF2B5EF4-FFF2-40B4-BE49-F238E27FC236}">
              <a16:creationId xmlns:a16="http://schemas.microsoft.com/office/drawing/2014/main" id="{2FDF9590-CBF5-46C1-AB66-04C2099CD0FB}"/>
            </a:ext>
          </a:extLst>
        </xdr:cNvPr>
        <xdr:cNvCxnSpPr/>
      </xdr:nvCxnSpPr>
      <xdr:spPr>
        <a:xfrm flipV="1">
          <a:off x="9144000" y="6286500"/>
          <a:ext cx="0" cy="63500"/>
        </a:xfrm>
        <a:prstGeom prst="straightConnector1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31750</xdr:colOff>
      <xdr:row>32</xdr:row>
      <xdr:rowOff>133350</xdr:rowOff>
    </xdr:from>
    <xdr:to>
      <xdr:col>14</xdr:col>
      <xdr:colOff>476250</xdr:colOff>
      <xdr:row>32</xdr:row>
      <xdr:rowOff>133350</xdr:rowOff>
    </xdr:to>
    <xdr:cxnSp macro="">
      <xdr:nvCxnSpPr>
        <xdr:cNvPr id="179" name="Straight Arrow Connector 178">
          <a:extLst>
            <a:ext uri="{FF2B5EF4-FFF2-40B4-BE49-F238E27FC236}">
              <a16:creationId xmlns:a16="http://schemas.microsoft.com/office/drawing/2014/main" id="{5442F896-98C5-495E-9EF4-3A9F8E836C53}"/>
            </a:ext>
          </a:extLst>
        </xdr:cNvPr>
        <xdr:cNvCxnSpPr/>
      </xdr:nvCxnSpPr>
      <xdr:spPr>
        <a:xfrm flipH="1">
          <a:off x="8699500" y="6286500"/>
          <a:ext cx="444500" cy="0"/>
        </a:xfrm>
        <a:prstGeom prst="straightConnector1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31750</xdr:colOff>
      <xdr:row>31</xdr:row>
      <xdr:rowOff>133350</xdr:rowOff>
    </xdr:from>
    <xdr:to>
      <xdr:col>14</xdr:col>
      <xdr:colOff>31750</xdr:colOff>
      <xdr:row>32</xdr:row>
      <xdr:rowOff>133350</xdr:rowOff>
    </xdr:to>
    <xdr:cxnSp macro="">
      <xdr:nvCxnSpPr>
        <xdr:cNvPr id="180" name="Straight Arrow Connector 179">
          <a:extLst>
            <a:ext uri="{FF2B5EF4-FFF2-40B4-BE49-F238E27FC236}">
              <a16:creationId xmlns:a16="http://schemas.microsoft.com/office/drawing/2014/main" id="{3329F591-36D0-4C73-BEC1-233BED0C3124}"/>
            </a:ext>
          </a:extLst>
        </xdr:cNvPr>
        <xdr:cNvCxnSpPr/>
      </xdr:nvCxnSpPr>
      <xdr:spPr>
        <a:xfrm flipV="1">
          <a:off x="8699500" y="6096000"/>
          <a:ext cx="0" cy="190500"/>
        </a:xfrm>
        <a:prstGeom prst="straightConnector1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425450</xdr:colOff>
      <xdr:row>32</xdr:row>
      <xdr:rowOff>133350</xdr:rowOff>
    </xdr:from>
    <xdr:to>
      <xdr:col>17</xdr:col>
      <xdr:colOff>425450</xdr:colOff>
      <xdr:row>33</xdr:row>
      <xdr:rowOff>6350</xdr:rowOff>
    </xdr:to>
    <xdr:cxnSp macro="">
      <xdr:nvCxnSpPr>
        <xdr:cNvPr id="181" name="Straight Arrow Connector 180">
          <a:extLst>
            <a:ext uri="{FF2B5EF4-FFF2-40B4-BE49-F238E27FC236}">
              <a16:creationId xmlns:a16="http://schemas.microsoft.com/office/drawing/2014/main" id="{65E89126-A540-4D35-8E41-307F26218B10}"/>
            </a:ext>
          </a:extLst>
        </xdr:cNvPr>
        <xdr:cNvCxnSpPr/>
      </xdr:nvCxnSpPr>
      <xdr:spPr>
        <a:xfrm flipV="1">
          <a:off x="10922000" y="6286500"/>
          <a:ext cx="0" cy="63500"/>
        </a:xfrm>
        <a:prstGeom prst="straightConnector1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425450</xdr:colOff>
      <xdr:row>32</xdr:row>
      <xdr:rowOff>133350</xdr:rowOff>
    </xdr:from>
    <xdr:to>
      <xdr:col>19</xdr:col>
      <xdr:colOff>95250</xdr:colOff>
      <xdr:row>32</xdr:row>
      <xdr:rowOff>133350</xdr:rowOff>
    </xdr:to>
    <xdr:cxnSp macro="">
      <xdr:nvCxnSpPr>
        <xdr:cNvPr id="182" name="Straight Arrow Connector 181">
          <a:extLst>
            <a:ext uri="{FF2B5EF4-FFF2-40B4-BE49-F238E27FC236}">
              <a16:creationId xmlns:a16="http://schemas.microsoft.com/office/drawing/2014/main" id="{37F79964-F455-4810-9EB7-9EFE9C9D951B}"/>
            </a:ext>
          </a:extLst>
        </xdr:cNvPr>
        <xdr:cNvCxnSpPr/>
      </xdr:nvCxnSpPr>
      <xdr:spPr>
        <a:xfrm>
          <a:off x="10922000" y="6286500"/>
          <a:ext cx="889000" cy="0"/>
        </a:xfrm>
        <a:prstGeom prst="straightConnector1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95250</xdr:colOff>
      <xdr:row>31</xdr:row>
      <xdr:rowOff>133350</xdr:rowOff>
    </xdr:from>
    <xdr:to>
      <xdr:col>19</xdr:col>
      <xdr:colOff>95250</xdr:colOff>
      <xdr:row>32</xdr:row>
      <xdr:rowOff>133350</xdr:rowOff>
    </xdr:to>
    <xdr:cxnSp macro="">
      <xdr:nvCxnSpPr>
        <xdr:cNvPr id="183" name="Straight Arrow Connector 182">
          <a:extLst>
            <a:ext uri="{FF2B5EF4-FFF2-40B4-BE49-F238E27FC236}">
              <a16:creationId xmlns:a16="http://schemas.microsoft.com/office/drawing/2014/main" id="{18331FB2-F74A-4E1E-AD78-32ABCCE3605E}"/>
            </a:ext>
          </a:extLst>
        </xdr:cNvPr>
        <xdr:cNvCxnSpPr/>
      </xdr:nvCxnSpPr>
      <xdr:spPr>
        <a:xfrm flipV="1">
          <a:off x="11811000" y="6096000"/>
          <a:ext cx="0" cy="190500"/>
        </a:xfrm>
        <a:prstGeom prst="straightConnector1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374650</xdr:colOff>
      <xdr:row>32</xdr:row>
      <xdr:rowOff>133350</xdr:rowOff>
    </xdr:from>
    <xdr:to>
      <xdr:col>20</xdr:col>
      <xdr:colOff>374650</xdr:colOff>
      <xdr:row>33</xdr:row>
      <xdr:rowOff>6350</xdr:rowOff>
    </xdr:to>
    <xdr:cxnSp macro="">
      <xdr:nvCxnSpPr>
        <xdr:cNvPr id="184" name="Straight Arrow Connector 183">
          <a:extLst>
            <a:ext uri="{FF2B5EF4-FFF2-40B4-BE49-F238E27FC236}">
              <a16:creationId xmlns:a16="http://schemas.microsoft.com/office/drawing/2014/main" id="{728123DA-7005-411E-BA9C-9824D0593CE7}"/>
            </a:ext>
          </a:extLst>
        </xdr:cNvPr>
        <xdr:cNvCxnSpPr/>
      </xdr:nvCxnSpPr>
      <xdr:spPr>
        <a:xfrm flipV="1">
          <a:off x="12700000" y="6286500"/>
          <a:ext cx="0" cy="63500"/>
        </a:xfrm>
        <a:prstGeom prst="straightConnector1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95250</xdr:colOff>
      <xdr:row>32</xdr:row>
      <xdr:rowOff>133350</xdr:rowOff>
    </xdr:from>
    <xdr:to>
      <xdr:col>20</xdr:col>
      <xdr:colOff>374650</xdr:colOff>
      <xdr:row>32</xdr:row>
      <xdr:rowOff>133350</xdr:rowOff>
    </xdr:to>
    <xdr:cxnSp macro="">
      <xdr:nvCxnSpPr>
        <xdr:cNvPr id="185" name="Straight Arrow Connector 184">
          <a:extLst>
            <a:ext uri="{FF2B5EF4-FFF2-40B4-BE49-F238E27FC236}">
              <a16:creationId xmlns:a16="http://schemas.microsoft.com/office/drawing/2014/main" id="{474AA1BE-7308-477C-A66E-98B34932C4FB}"/>
            </a:ext>
          </a:extLst>
        </xdr:cNvPr>
        <xdr:cNvCxnSpPr/>
      </xdr:nvCxnSpPr>
      <xdr:spPr>
        <a:xfrm flipH="1">
          <a:off x="11811000" y="6286500"/>
          <a:ext cx="889000" cy="0"/>
        </a:xfrm>
        <a:prstGeom prst="straightConnector1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95250</xdr:colOff>
      <xdr:row>31</xdr:row>
      <xdr:rowOff>133350</xdr:rowOff>
    </xdr:from>
    <xdr:to>
      <xdr:col>19</xdr:col>
      <xdr:colOff>95250</xdr:colOff>
      <xdr:row>32</xdr:row>
      <xdr:rowOff>133350</xdr:rowOff>
    </xdr:to>
    <xdr:cxnSp macro="">
      <xdr:nvCxnSpPr>
        <xdr:cNvPr id="186" name="Straight Arrow Connector 185">
          <a:extLst>
            <a:ext uri="{FF2B5EF4-FFF2-40B4-BE49-F238E27FC236}">
              <a16:creationId xmlns:a16="http://schemas.microsoft.com/office/drawing/2014/main" id="{F3730D9D-27BD-452A-8F45-E7649794FBD0}"/>
            </a:ext>
          </a:extLst>
        </xdr:cNvPr>
        <xdr:cNvCxnSpPr/>
      </xdr:nvCxnSpPr>
      <xdr:spPr>
        <a:xfrm flipV="1">
          <a:off x="11811000" y="6096000"/>
          <a:ext cx="0" cy="190500"/>
        </a:xfrm>
        <a:prstGeom prst="straightConnector1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533400</xdr:colOff>
      <xdr:row>36</xdr:row>
      <xdr:rowOff>133350</xdr:rowOff>
    </xdr:from>
    <xdr:to>
      <xdr:col>1</xdr:col>
      <xdr:colOff>533400</xdr:colOff>
      <xdr:row>37</xdr:row>
      <xdr:rowOff>133350</xdr:rowOff>
    </xdr:to>
    <xdr:cxnSp macro="">
      <xdr:nvCxnSpPr>
        <xdr:cNvPr id="187" name="Straight Arrow Connector 186">
          <a:extLst>
            <a:ext uri="{FF2B5EF4-FFF2-40B4-BE49-F238E27FC236}">
              <a16:creationId xmlns:a16="http://schemas.microsoft.com/office/drawing/2014/main" id="{48D36AD9-E764-495E-B4CA-EA32F251A5BF}"/>
            </a:ext>
          </a:extLst>
        </xdr:cNvPr>
        <xdr:cNvCxnSpPr/>
      </xdr:nvCxnSpPr>
      <xdr:spPr>
        <a:xfrm flipV="1">
          <a:off x="1143000" y="7048500"/>
          <a:ext cx="0" cy="190500"/>
        </a:xfrm>
        <a:prstGeom prst="straightConnector1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533400</xdr:colOff>
      <xdr:row>36</xdr:row>
      <xdr:rowOff>133350</xdr:rowOff>
    </xdr:from>
    <xdr:to>
      <xdr:col>2</xdr:col>
      <xdr:colOff>368300</xdr:colOff>
      <xdr:row>36</xdr:row>
      <xdr:rowOff>133350</xdr:rowOff>
    </xdr:to>
    <xdr:cxnSp macro="">
      <xdr:nvCxnSpPr>
        <xdr:cNvPr id="188" name="Straight Arrow Connector 187">
          <a:extLst>
            <a:ext uri="{FF2B5EF4-FFF2-40B4-BE49-F238E27FC236}">
              <a16:creationId xmlns:a16="http://schemas.microsoft.com/office/drawing/2014/main" id="{89775DE1-89FC-44B7-B842-4EE4FF483807}"/>
            </a:ext>
          </a:extLst>
        </xdr:cNvPr>
        <xdr:cNvCxnSpPr/>
      </xdr:nvCxnSpPr>
      <xdr:spPr>
        <a:xfrm>
          <a:off x="1143000" y="7048500"/>
          <a:ext cx="444500" cy="0"/>
        </a:xfrm>
        <a:prstGeom prst="straightConnector1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368300</xdr:colOff>
      <xdr:row>35</xdr:row>
      <xdr:rowOff>133350</xdr:rowOff>
    </xdr:from>
    <xdr:to>
      <xdr:col>2</xdr:col>
      <xdr:colOff>368300</xdr:colOff>
      <xdr:row>36</xdr:row>
      <xdr:rowOff>133350</xdr:rowOff>
    </xdr:to>
    <xdr:cxnSp macro="">
      <xdr:nvCxnSpPr>
        <xdr:cNvPr id="189" name="Straight Arrow Connector 188">
          <a:extLst>
            <a:ext uri="{FF2B5EF4-FFF2-40B4-BE49-F238E27FC236}">
              <a16:creationId xmlns:a16="http://schemas.microsoft.com/office/drawing/2014/main" id="{0D5C689C-D4F8-4F38-A09A-3EB350A8494F}"/>
            </a:ext>
          </a:extLst>
        </xdr:cNvPr>
        <xdr:cNvCxnSpPr/>
      </xdr:nvCxnSpPr>
      <xdr:spPr>
        <a:xfrm flipV="1">
          <a:off x="1587500" y="6858000"/>
          <a:ext cx="0" cy="190500"/>
        </a:xfrm>
        <a:prstGeom prst="straightConnector1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203200</xdr:colOff>
      <xdr:row>36</xdr:row>
      <xdr:rowOff>133350</xdr:rowOff>
    </xdr:from>
    <xdr:to>
      <xdr:col>3</xdr:col>
      <xdr:colOff>203200</xdr:colOff>
      <xdr:row>37</xdr:row>
      <xdr:rowOff>133350</xdr:rowOff>
    </xdr:to>
    <xdr:cxnSp macro="">
      <xdr:nvCxnSpPr>
        <xdr:cNvPr id="190" name="Straight Arrow Connector 189">
          <a:extLst>
            <a:ext uri="{FF2B5EF4-FFF2-40B4-BE49-F238E27FC236}">
              <a16:creationId xmlns:a16="http://schemas.microsoft.com/office/drawing/2014/main" id="{38964E04-AA09-4E4B-9B2F-575D79B191CA}"/>
            </a:ext>
          </a:extLst>
        </xdr:cNvPr>
        <xdr:cNvCxnSpPr/>
      </xdr:nvCxnSpPr>
      <xdr:spPr>
        <a:xfrm flipV="1">
          <a:off x="2032000" y="7048500"/>
          <a:ext cx="0" cy="190500"/>
        </a:xfrm>
        <a:prstGeom prst="straightConnector1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368300</xdr:colOff>
      <xdr:row>36</xdr:row>
      <xdr:rowOff>133350</xdr:rowOff>
    </xdr:from>
    <xdr:to>
      <xdr:col>3</xdr:col>
      <xdr:colOff>203200</xdr:colOff>
      <xdr:row>36</xdr:row>
      <xdr:rowOff>133350</xdr:rowOff>
    </xdr:to>
    <xdr:cxnSp macro="">
      <xdr:nvCxnSpPr>
        <xdr:cNvPr id="191" name="Straight Arrow Connector 190">
          <a:extLst>
            <a:ext uri="{FF2B5EF4-FFF2-40B4-BE49-F238E27FC236}">
              <a16:creationId xmlns:a16="http://schemas.microsoft.com/office/drawing/2014/main" id="{87214394-7C6A-432D-95A5-1D7568C7C50F}"/>
            </a:ext>
          </a:extLst>
        </xdr:cNvPr>
        <xdr:cNvCxnSpPr/>
      </xdr:nvCxnSpPr>
      <xdr:spPr>
        <a:xfrm flipH="1">
          <a:off x="1587500" y="7048500"/>
          <a:ext cx="444500" cy="0"/>
        </a:xfrm>
        <a:prstGeom prst="straightConnector1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368300</xdr:colOff>
      <xdr:row>35</xdr:row>
      <xdr:rowOff>133350</xdr:rowOff>
    </xdr:from>
    <xdr:to>
      <xdr:col>2</xdr:col>
      <xdr:colOff>368300</xdr:colOff>
      <xdr:row>36</xdr:row>
      <xdr:rowOff>133350</xdr:rowOff>
    </xdr:to>
    <xdr:cxnSp macro="">
      <xdr:nvCxnSpPr>
        <xdr:cNvPr id="192" name="Straight Arrow Connector 191">
          <a:extLst>
            <a:ext uri="{FF2B5EF4-FFF2-40B4-BE49-F238E27FC236}">
              <a16:creationId xmlns:a16="http://schemas.microsoft.com/office/drawing/2014/main" id="{9A603CE3-587B-443B-9CC7-2710C94046E9}"/>
            </a:ext>
          </a:extLst>
        </xdr:cNvPr>
        <xdr:cNvCxnSpPr/>
      </xdr:nvCxnSpPr>
      <xdr:spPr>
        <a:xfrm flipV="1">
          <a:off x="1587500" y="6858000"/>
          <a:ext cx="0" cy="190500"/>
        </a:xfrm>
        <a:prstGeom prst="straightConnector1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482600</xdr:colOff>
      <xdr:row>36</xdr:row>
      <xdr:rowOff>133350</xdr:rowOff>
    </xdr:from>
    <xdr:to>
      <xdr:col>4</xdr:col>
      <xdr:colOff>482600</xdr:colOff>
      <xdr:row>37</xdr:row>
      <xdr:rowOff>133350</xdr:rowOff>
    </xdr:to>
    <xdr:cxnSp macro="">
      <xdr:nvCxnSpPr>
        <xdr:cNvPr id="193" name="Straight Arrow Connector 192">
          <a:extLst>
            <a:ext uri="{FF2B5EF4-FFF2-40B4-BE49-F238E27FC236}">
              <a16:creationId xmlns:a16="http://schemas.microsoft.com/office/drawing/2014/main" id="{72826C32-FFB1-4AB2-BB12-2C335E1CEB95}"/>
            </a:ext>
          </a:extLst>
        </xdr:cNvPr>
        <xdr:cNvCxnSpPr/>
      </xdr:nvCxnSpPr>
      <xdr:spPr>
        <a:xfrm flipV="1">
          <a:off x="2921000" y="7048500"/>
          <a:ext cx="0" cy="190500"/>
        </a:xfrm>
        <a:prstGeom prst="straightConnector1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482600</xdr:colOff>
      <xdr:row>36</xdr:row>
      <xdr:rowOff>133350</xdr:rowOff>
    </xdr:from>
    <xdr:to>
      <xdr:col>5</xdr:col>
      <xdr:colOff>317500</xdr:colOff>
      <xdr:row>36</xdr:row>
      <xdr:rowOff>133350</xdr:rowOff>
    </xdr:to>
    <xdr:cxnSp macro="">
      <xdr:nvCxnSpPr>
        <xdr:cNvPr id="194" name="Straight Arrow Connector 193">
          <a:extLst>
            <a:ext uri="{FF2B5EF4-FFF2-40B4-BE49-F238E27FC236}">
              <a16:creationId xmlns:a16="http://schemas.microsoft.com/office/drawing/2014/main" id="{8ABBD269-F9B8-4930-802A-8B800B9FB1A0}"/>
            </a:ext>
          </a:extLst>
        </xdr:cNvPr>
        <xdr:cNvCxnSpPr/>
      </xdr:nvCxnSpPr>
      <xdr:spPr>
        <a:xfrm>
          <a:off x="2921000" y="7048500"/>
          <a:ext cx="444500" cy="0"/>
        </a:xfrm>
        <a:prstGeom prst="straightConnector1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317500</xdr:colOff>
      <xdr:row>35</xdr:row>
      <xdr:rowOff>133350</xdr:rowOff>
    </xdr:from>
    <xdr:to>
      <xdr:col>5</xdr:col>
      <xdr:colOff>317500</xdr:colOff>
      <xdr:row>36</xdr:row>
      <xdr:rowOff>133350</xdr:rowOff>
    </xdr:to>
    <xdr:cxnSp macro="">
      <xdr:nvCxnSpPr>
        <xdr:cNvPr id="195" name="Straight Arrow Connector 194">
          <a:extLst>
            <a:ext uri="{FF2B5EF4-FFF2-40B4-BE49-F238E27FC236}">
              <a16:creationId xmlns:a16="http://schemas.microsoft.com/office/drawing/2014/main" id="{27F0B5B9-C0D2-496E-AA0A-9FC8E2FCDD1B}"/>
            </a:ext>
          </a:extLst>
        </xdr:cNvPr>
        <xdr:cNvCxnSpPr/>
      </xdr:nvCxnSpPr>
      <xdr:spPr>
        <a:xfrm flipV="1">
          <a:off x="3365500" y="6858000"/>
          <a:ext cx="0" cy="190500"/>
        </a:xfrm>
        <a:prstGeom prst="straightConnector1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152400</xdr:colOff>
      <xdr:row>36</xdr:row>
      <xdr:rowOff>133350</xdr:rowOff>
    </xdr:from>
    <xdr:to>
      <xdr:col>6</xdr:col>
      <xdr:colOff>152400</xdr:colOff>
      <xdr:row>37</xdr:row>
      <xdr:rowOff>133350</xdr:rowOff>
    </xdr:to>
    <xdr:cxnSp macro="">
      <xdr:nvCxnSpPr>
        <xdr:cNvPr id="196" name="Straight Arrow Connector 195">
          <a:extLst>
            <a:ext uri="{FF2B5EF4-FFF2-40B4-BE49-F238E27FC236}">
              <a16:creationId xmlns:a16="http://schemas.microsoft.com/office/drawing/2014/main" id="{8F633BA8-3DC9-42C0-AD0F-944515EE3C32}"/>
            </a:ext>
          </a:extLst>
        </xdr:cNvPr>
        <xdr:cNvCxnSpPr/>
      </xdr:nvCxnSpPr>
      <xdr:spPr>
        <a:xfrm flipV="1">
          <a:off x="3810000" y="7048500"/>
          <a:ext cx="0" cy="190500"/>
        </a:xfrm>
        <a:prstGeom prst="straightConnector1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317500</xdr:colOff>
      <xdr:row>36</xdr:row>
      <xdr:rowOff>133350</xdr:rowOff>
    </xdr:from>
    <xdr:to>
      <xdr:col>6</xdr:col>
      <xdr:colOff>152400</xdr:colOff>
      <xdr:row>36</xdr:row>
      <xdr:rowOff>133350</xdr:rowOff>
    </xdr:to>
    <xdr:cxnSp macro="">
      <xdr:nvCxnSpPr>
        <xdr:cNvPr id="197" name="Straight Arrow Connector 196">
          <a:extLst>
            <a:ext uri="{FF2B5EF4-FFF2-40B4-BE49-F238E27FC236}">
              <a16:creationId xmlns:a16="http://schemas.microsoft.com/office/drawing/2014/main" id="{ED6BB98F-0E56-4BDB-A3FC-32B198D4898A}"/>
            </a:ext>
          </a:extLst>
        </xdr:cNvPr>
        <xdr:cNvCxnSpPr/>
      </xdr:nvCxnSpPr>
      <xdr:spPr>
        <a:xfrm flipH="1">
          <a:off x="3365500" y="7048500"/>
          <a:ext cx="444500" cy="0"/>
        </a:xfrm>
        <a:prstGeom prst="straightConnector1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317500</xdr:colOff>
      <xdr:row>35</xdr:row>
      <xdr:rowOff>133350</xdr:rowOff>
    </xdr:from>
    <xdr:to>
      <xdr:col>5</xdr:col>
      <xdr:colOff>317500</xdr:colOff>
      <xdr:row>36</xdr:row>
      <xdr:rowOff>133350</xdr:rowOff>
    </xdr:to>
    <xdr:cxnSp macro="">
      <xdr:nvCxnSpPr>
        <xdr:cNvPr id="198" name="Straight Arrow Connector 197">
          <a:extLst>
            <a:ext uri="{FF2B5EF4-FFF2-40B4-BE49-F238E27FC236}">
              <a16:creationId xmlns:a16="http://schemas.microsoft.com/office/drawing/2014/main" id="{D7616A18-69E6-42E0-9EDA-9E339B4DEDE5}"/>
            </a:ext>
          </a:extLst>
        </xdr:cNvPr>
        <xdr:cNvCxnSpPr/>
      </xdr:nvCxnSpPr>
      <xdr:spPr>
        <a:xfrm flipV="1">
          <a:off x="3365500" y="6858000"/>
          <a:ext cx="0" cy="190500"/>
        </a:xfrm>
        <a:prstGeom prst="straightConnector1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546100</xdr:colOff>
      <xdr:row>36</xdr:row>
      <xdr:rowOff>133350</xdr:rowOff>
    </xdr:from>
    <xdr:to>
      <xdr:col>9</xdr:col>
      <xdr:colOff>546100</xdr:colOff>
      <xdr:row>37</xdr:row>
      <xdr:rowOff>133350</xdr:rowOff>
    </xdr:to>
    <xdr:cxnSp macro="">
      <xdr:nvCxnSpPr>
        <xdr:cNvPr id="199" name="Straight Arrow Connector 198">
          <a:extLst>
            <a:ext uri="{FF2B5EF4-FFF2-40B4-BE49-F238E27FC236}">
              <a16:creationId xmlns:a16="http://schemas.microsoft.com/office/drawing/2014/main" id="{3711256E-E061-44E5-88B7-E1C081D46820}"/>
            </a:ext>
          </a:extLst>
        </xdr:cNvPr>
        <xdr:cNvCxnSpPr/>
      </xdr:nvCxnSpPr>
      <xdr:spPr>
        <a:xfrm flipV="1">
          <a:off x="6032500" y="7048500"/>
          <a:ext cx="0" cy="190500"/>
        </a:xfrm>
        <a:prstGeom prst="straightConnector1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546100</xdr:colOff>
      <xdr:row>36</xdr:row>
      <xdr:rowOff>133350</xdr:rowOff>
    </xdr:from>
    <xdr:to>
      <xdr:col>10</xdr:col>
      <xdr:colOff>381000</xdr:colOff>
      <xdr:row>36</xdr:row>
      <xdr:rowOff>133350</xdr:rowOff>
    </xdr:to>
    <xdr:cxnSp macro="">
      <xdr:nvCxnSpPr>
        <xdr:cNvPr id="200" name="Straight Arrow Connector 199">
          <a:extLst>
            <a:ext uri="{FF2B5EF4-FFF2-40B4-BE49-F238E27FC236}">
              <a16:creationId xmlns:a16="http://schemas.microsoft.com/office/drawing/2014/main" id="{9BF48CAB-112F-48FF-B239-12E4EEB71874}"/>
            </a:ext>
          </a:extLst>
        </xdr:cNvPr>
        <xdr:cNvCxnSpPr/>
      </xdr:nvCxnSpPr>
      <xdr:spPr>
        <a:xfrm>
          <a:off x="6032500" y="7048500"/>
          <a:ext cx="444500" cy="0"/>
        </a:xfrm>
        <a:prstGeom prst="straightConnector1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381000</xdr:colOff>
      <xdr:row>35</xdr:row>
      <xdr:rowOff>133350</xdr:rowOff>
    </xdr:from>
    <xdr:to>
      <xdr:col>10</xdr:col>
      <xdr:colOff>381000</xdr:colOff>
      <xdr:row>36</xdr:row>
      <xdr:rowOff>133350</xdr:rowOff>
    </xdr:to>
    <xdr:cxnSp macro="">
      <xdr:nvCxnSpPr>
        <xdr:cNvPr id="201" name="Straight Arrow Connector 200">
          <a:extLst>
            <a:ext uri="{FF2B5EF4-FFF2-40B4-BE49-F238E27FC236}">
              <a16:creationId xmlns:a16="http://schemas.microsoft.com/office/drawing/2014/main" id="{2EE77669-7A82-4BC1-805D-2569A90EB447}"/>
            </a:ext>
          </a:extLst>
        </xdr:cNvPr>
        <xdr:cNvCxnSpPr/>
      </xdr:nvCxnSpPr>
      <xdr:spPr>
        <a:xfrm flipV="1">
          <a:off x="6477000" y="6858000"/>
          <a:ext cx="0" cy="190500"/>
        </a:xfrm>
        <a:prstGeom prst="straightConnector1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215900</xdr:colOff>
      <xdr:row>36</xdr:row>
      <xdr:rowOff>133350</xdr:rowOff>
    </xdr:from>
    <xdr:to>
      <xdr:col>11</xdr:col>
      <xdr:colOff>215900</xdr:colOff>
      <xdr:row>37</xdr:row>
      <xdr:rowOff>133350</xdr:rowOff>
    </xdr:to>
    <xdr:cxnSp macro="">
      <xdr:nvCxnSpPr>
        <xdr:cNvPr id="202" name="Straight Arrow Connector 201">
          <a:extLst>
            <a:ext uri="{FF2B5EF4-FFF2-40B4-BE49-F238E27FC236}">
              <a16:creationId xmlns:a16="http://schemas.microsoft.com/office/drawing/2014/main" id="{7626F43E-E538-4D87-B7EF-CC1D6DED962E}"/>
            </a:ext>
          </a:extLst>
        </xdr:cNvPr>
        <xdr:cNvCxnSpPr/>
      </xdr:nvCxnSpPr>
      <xdr:spPr>
        <a:xfrm flipV="1">
          <a:off x="6921500" y="7048500"/>
          <a:ext cx="0" cy="190500"/>
        </a:xfrm>
        <a:prstGeom prst="straightConnector1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381000</xdr:colOff>
      <xdr:row>36</xdr:row>
      <xdr:rowOff>133350</xdr:rowOff>
    </xdr:from>
    <xdr:to>
      <xdr:col>11</xdr:col>
      <xdr:colOff>215900</xdr:colOff>
      <xdr:row>36</xdr:row>
      <xdr:rowOff>133350</xdr:rowOff>
    </xdr:to>
    <xdr:cxnSp macro="">
      <xdr:nvCxnSpPr>
        <xdr:cNvPr id="203" name="Straight Arrow Connector 202">
          <a:extLst>
            <a:ext uri="{FF2B5EF4-FFF2-40B4-BE49-F238E27FC236}">
              <a16:creationId xmlns:a16="http://schemas.microsoft.com/office/drawing/2014/main" id="{BAC04D78-D2BC-403D-8EE6-1E7C1E31055B}"/>
            </a:ext>
          </a:extLst>
        </xdr:cNvPr>
        <xdr:cNvCxnSpPr/>
      </xdr:nvCxnSpPr>
      <xdr:spPr>
        <a:xfrm flipH="1">
          <a:off x="6477000" y="7048500"/>
          <a:ext cx="444500" cy="0"/>
        </a:xfrm>
        <a:prstGeom prst="straightConnector1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381000</xdr:colOff>
      <xdr:row>35</xdr:row>
      <xdr:rowOff>133350</xdr:rowOff>
    </xdr:from>
    <xdr:to>
      <xdr:col>10</xdr:col>
      <xdr:colOff>381000</xdr:colOff>
      <xdr:row>36</xdr:row>
      <xdr:rowOff>133350</xdr:rowOff>
    </xdr:to>
    <xdr:cxnSp macro="">
      <xdr:nvCxnSpPr>
        <xdr:cNvPr id="204" name="Straight Arrow Connector 203">
          <a:extLst>
            <a:ext uri="{FF2B5EF4-FFF2-40B4-BE49-F238E27FC236}">
              <a16:creationId xmlns:a16="http://schemas.microsoft.com/office/drawing/2014/main" id="{1134A236-1E24-4C6A-BB33-2A297D210042}"/>
            </a:ext>
          </a:extLst>
        </xdr:cNvPr>
        <xdr:cNvCxnSpPr/>
      </xdr:nvCxnSpPr>
      <xdr:spPr>
        <a:xfrm flipV="1">
          <a:off x="6477000" y="6858000"/>
          <a:ext cx="0" cy="190500"/>
        </a:xfrm>
        <a:prstGeom prst="straightConnector1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31750</xdr:colOff>
      <xdr:row>36</xdr:row>
      <xdr:rowOff>133350</xdr:rowOff>
    </xdr:from>
    <xdr:to>
      <xdr:col>14</xdr:col>
      <xdr:colOff>31750</xdr:colOff>
      <xdr:row>37</xdr:row>
      <xdr:rowOff>133350</xdr:rowOff>
    </xdr:to>
    <xdr:cxnSp macro="">
      <xdr:nvCxnSpPr>
        <xdr:cNvPr id="205" name="Straight Arrow Connector 204">
          <a:extLst>
            <a:ext uri="{FF2B5EF4-FFF2-40B4-BE49-F238E27FC236}">
              <a16:creationId xmlns:a16="http://schemas.microsoft.com/office/drawing/2014/main" id="{EBC632AB-FCBB-418A-971A-41D3A30E560F}"/>
            </a:ext>
          </a:extLst>
        </xdr:cNvPr>
        <xdr:cNvCxnSpPr/>
      </xdr:nvCxnSpPr>
      <xdr:spPr>
        <a:xfrm flipV="1">
          <a:off x="8699500" y="7048500"/>
          <a:ext cx="0" cy="190500"/>
        </a:xfrm>
        <a:prstGeom prst="straightConnector1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31750</xdr:colOff>
      <xdr:row>36</xdr:row>
      <xdr:rowOff>133350</xdr:rowOff>
    </xdr:from>
    <xdr:to>
      <xdr:col>14</xdr:col>
      <xdr:colOff>476250</xdr:colOff>
      <xdr:row>36</xdr:row>
      <xdr:rowOff>133350</xdr:rowOff>
    </xdr:to>
    <xdr:cxnSp macro="">
      <xdr:nvCxnSpPr>
        <xdr:cNvPr id="206" name="Straight Arrow Connector 205">
          <a:extLst>
            <a:ext uri="{FF2B5EF4-FFF2-40B4-BE49-F238E27FC236}">
              <a16:creationId xmlns:a16="http://schemas.microsoft.com/office/drawing/2014/main" id="{838A136B-63AB-4BBF-93DC-EAC892DA7507}"/>
            </a:ext>
          </a:extLst>
        </xdr:cNvPr>
        <xdr:cNvCxnSpPr/>
      </xdr:nvCxnSpPr>
      <xdr:spPr>
        <a:xfrm>
          <a:off x="8699500" y="7048500"/>
          <a:ext cx="444500" cy="0"/>
        </a:xfrm>
        <a:prstGeom prst="straightConnector1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476250</xdr:colOff>
      <xdr:row>35</xdr:row>
      <xdr:rowOff>133350</xdr:rowOff>
    </xdr:from>
    <xdr:to>
      <xdr:col>14</xdr:col>
      <xdr:colOff>476250</xdr:colOff>
      <xdr:row>36</xdr:row>
      <xdr:rowOff>133350</xdr:rowOff>
    </xdr:to>
    <xdr:cxnSp macro="">
      <xdr:nvCxnSpPr>
        <xdr:cNvPr id="207" name="Straight Arrow Connector 206">
          <a:extLst>
            <a:ext uri="{FF2B5EF4-FFF2-40B4-BE49-F238E27FC236}">
              <a16:creationId xmlns:a16="http://schemas.microsoft.com/office/drawing/2014/main" id="{86572F67-3629-44DA-AC1F-114D2BE97026}"/>
            </a:ext>
          </a:extLst>
        </xdr:cNvPr>
        <xdr:cNvCxnSpPr/>
      </xdr:nvCxnSpPr>
      <xdr:spPr>
        <a:xfrm flipV="1">
          <a:off x="9144000" y="6858000"/>
          <a:ext cx="0" cy="190500"/>
        </a:xfrm>
        <a:prstGeom prst="straightConnector1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311150</xdr:colOff>
      <xdr:row>36</xdr:row>
      <xdr:rowOff>133350</xdr:rowOff>
    </xdr:from>
    <xdr:to>
      <xdr:col>15</xdr:col>
      <xdr:colOff>311150</xdr:colOff>
      <xdr:row>37</xdr:row>
      <xdr:rowOff>133350</xdr:rowOff>
    </xdr:to>
    <xdr:cxnSp macro="">
      <xdr:nvCxnSpPr>
        <xdr:cNvPr id="208" name="Straight Arrow Connector 207">
          <a:extLst>
            <a:ext uri="{FF2B5EF4-FFF2-40B4-BE49-F238E27FC236}">
              <a16:creationId xmlns:a16="http://schemas.microsoft.com/office/drawing/2014/main" id="{8B00FBE4-F075-49DA-8B32-660F80CEECA5}"/>
            </a:ext>
          </a:extLst>
        </xdr:cNvPr>
        <xdr:cNvCxnSpPr/>
      </xdr:nvCxnSpPr>
      <xdr:spPr>
        <a:xfrm flipV="1">
          <a:off x="9588500" y="7048500"/>
          <a:ext cx="0" cy="190500"/>
        </a:xfrm>
        <a:prstGeom prst="straightConnector1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476250</xdr:colOff>
      <xdr:row>36</xdr:row>
      <xdr:rowOff>133350</xdr:rowOff>
    </xdr:from>
    <xdr:to>
      <xdr:col>15</xdr:col>
      <xdr:colOff>311150</xdr:colOff>
      <xdr:row>36</xdr:row>
      <xdr:rowOff>133350</xdr:rowOff>
    </xdr:to>
    <xdr:cxnSp macro="">
      <xdr:nvCxnSpPr>
        <xdr:cNvPr id="209" name="Straight Arrow Connector 208">
          <a:extLst>
            <a:ext uri="{FF2B5EF4-FFF2-40B4-BE49-F238E27FC236}">
              <a16:creationId xmlns:a16="http://schemas.microsoft.com/office/drawing/2014/main" id="{D7CB7C4D-B399-4AD1-B20E-BB2CF2998C22}"/>
            </a:ext>
          </a:extLst>
        </xdr:cNvPr>
        <xdr:cNvCxnSpPr/>
      </xdr:nvCxnSpPr>
      <xdr:spPr>
        <a:xfrm flipH="1">
          <a:off x="9144000" y="7048500"/>
          <a:ext cx="444500" cy="0"/>
        </a:xfrm>
        <a:prstGeom prst="straightConnector1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476250</xdr:colOff>
      <xdr:row>35</xdr:row>
      <xdr:rowOff>133350</xdr:rowOff>
    </xdr:from>
    <xdr:to>
      <xdr:col>14</xdr:col>
      <xdr:colOff>476250</xdr:colOff>
      <xdr:row>36</xdr:row>
      <xdr:rowOff>133350</xdr:rowOff>
    </xdr:to>
    <xdr:cxnSp macro="">
      <xdr:nvCxnSpPr>
        <xdr:cNvPr id="210" name="Straight Arrow Connector 209">
          <a:extLst>
            <a:ext uri="{FF2B5EF4-FFF2-40B4-BE49-F238E27FC236}">
              <a16:creationId xmlns:a16="http://schemas.microsoft.com/office/drawing/2014/main" id="{9A02FEF8-82AD-4D94-8087-028BC1483291}"/>
            </a:ext>
          </a:extLst>
        </xdr:cNvPr>
        <xdr:cNvCxnSpPr/>
      </xdr:nvCxnSpPr>
      <xdr:spPr>
        <a:xfrm flipV="1">
          <a:off x="9144000" y="6858000"/>
          <a:ext cx="0" cy="190500"/>
        </a:xfrm>
        <a:prstGeom prst="straightConnector1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590550</xdr:colOff>
      <xdr:row>36</xdr:row>
      <xdr:rowOff>133350</xdr:rowOff>
    </xdr:from>
    <xdr:to>
      <xdr:col>16</xdr:col>
      <xdr:colOff>590550</xdr:colOff>
      <xdr:row>37</xdr:row>
      <xdr:rowOff>133350</xdr:rowOff>
    </xdr:to>
    <xdr:cxnSp macro="">
      <xdr:nvCxnSpPr>
        <xdr:cNvPr id="211" name="Straight Arrow Connector 210">
          <a:extLst>
            <a:ext uri="{FF2B5EF4-FFF2-40B4-BE49-F238E27FC236}">
              <a16:creationId xmlns:a16="http://schemas.microsoft.com/office/drawing/2014/main" id="{79816846-4B1D-4860-9749-FD08D98A44BB}"/>
            </a:ext>
          </a:extLst>
        </xdr:cNvPr>
        <xdr:cNvCxnSpPr/>
      </xdr:nvCxnSpPr>
      <xdr:spPr>
        <a:xfrm flipV="1">
          <a:off x="10477500" y="7048500"/>
          <a:ext cx="0" cy="190500"/>
        </a:xfrm>
        <a:prstGeom prst="straightConnector1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590550</xdr:colOff>
      <xdr:row>36</xdr:row>
      <xdr:rowOff>133350</xdr:rowOff>
    </xdr:from>
    <xdr:to>
      <xdr:col>17</xdr:col>
      <xdr:colOff>425450</xdr:colOff>
      <xdr:row>36</xdr:row>
      <xdr:rowOff>133350</xdr:rowOff>
    </xdr:to>
    <xdr:cxnSp macro="">
      <xdr:nvCxnSpPr>
        <xdr:cNvPr id="212" name="Straight Arrow Connector 211">
          <a:extLst>
            <a:ext uri="{FF2B5EF4-FFF2-40B4-BE49-F238E27FC236}">
              <a16:creationId xmlns:a16="http://schemas.microsoft.com/office/drawing/2014/main" id="{DEAAF4AD-4155-4130-818F-FAF3E0269BCC}"/>
            </a:ext>
          </a:extLst>
        </xdr:cNvPr>
        <xdr:cNvCxnSpPr/>
      </xdr:nvCxnSpPr>
      <xdr:spPr>
        <a:xfrm>
          <a:off x="10477500" y="7048500"/>
          <a:ext cx="444500" cy="0"/>
        </a:xfrm>
        <a:prstGeom prst="straightConnector1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425450</xdr:colOff>
      <xdr:row>35</xdr:row>
      <xdr:rowOff>133350</xdr:rowOff>
    </xdr:from>
    <xdr:to>
      <xdr:col>17</xdr:col>
      <xdr:colOff>425450</xdr:colOff>
      <xdr:row>36</xdr:row>
      <xdr:rowOff>133350</xdr:rowOff>
    </xdr:to>
    <xdr:cxnSp macro="">
      <xdr:nvCxnSpPr>
        <xdr:cNvPr id="213" name="Straight Arrow Connector 212">
          <a:extLst>
            <a:ext uri="{FF2B5EF4-FFF2-40B4-BE49-F238E27FC236}">
              <a16:creationId xmlns:a16="http://schemas.microsoft.com/office/drawing/2014/main" id="{E516C139-78DD-4F8B-8E8C-983B6FA88570}"/>
            </a:ext>
          </a:extLst>
        </xdr:cNvPr>
        <xdr:cNvCxnSpPr/>
      </xdr:nvCxnSpPr>
      <xdr:spPr>
        <a:xfrm flipV="1">
          <a:off x="10922000" y="6858000"/>
          <a:ext cx="0" cy="190500"/>
        </a:xfrm>
        <a:prstGeom prst="straightConnector1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260350</xdr:colOff>
      <xdr:row>36</xdr:row>
      <xdr:rowOff>133350</xdr:rowOff>
    </xdr:from>
    <xdr:to>
      <xdr:col>18</xdr:col>
      <xdr:colOff>260350</xdr:colOff>
      <xdr:row>37</xdr:row>
      <xdr:rowOff>133350</xdr:rowOff>
    </xdr:to>
    <xdr:cxnSp macro="">
      <xdr:nvCxnSpPr>
        <xdr:cNvPr id="214" name="Straight Arrow Connector 213">
          <a:extLst>
            <a:ext uri="{FF2B5EF4-FFF2-40B4-BE49-F238E27FC236}">
              <a16:creationId xmlns:a16="http://schemas.microsoft.com/office/drawing/2014/main" id="{E6C3D2C8-F6C9-4BEA-B70E-45E81EDCDE2F}"/>
            </a:ext>
          </a:extLst>
        </xdr:cNvPr>
        <xdr:cNvCxnSpPr/>
      </xdr:nvCxnSpPr>
      <xdr:spPr>
        <a:xfrm flipV="1">
          <a:off x="11366500" y="7048500"/>
          <a:ext cx="0" cy="190500"/>
        </a:xfrm>
        <a:prstGeom prst="straightConnector1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425450</xdr:colOff>
      <xdr:row>36</xdr:row>
      <xdr:rowOff>133350</xdr:rowOff>
    </xdr:from>
    <xdr:to>
      <xdr:col>18</xdr:col>
      <xdr:colOff>260350</xdr:colOff>
      <xdr:row>36</xdr:row>
      <xdr:rowOff>133350</xdr:rowOff>
    </xdr:to>
    <xdr:cxnSp macro="">
      <xdr:nvCxnSpPr>
        <xdr:cNvPr id="215" name="Straight Arrow Connector 214">
          <a:extLst>
            <a:ext uri="{FF2B5EF4-FFF2-40B4-BE49-F238E27FC236}">
              <a16:creationId xmlns:a16="http://schemas.microsoft.com/office/drawing/2014/main" id="{40CF9C23-C3F6-4B6A-B0C6-0B056655DF71}"/>
            </a:ext>
          </a:extLst>
        </xdr:cNvPr>
        <xdr:cNvCxnSpPr/>
      </xdr:nvCxnSpPr>
      <xdr:spPr>
        <a:xfrm flipH="1">
          <a:off x="10922000" y="7048500"/>
          <a:ext cx="444500" cy="0"/>
        </a:xfrm>
        <a:prstGeom prst="straightConnector1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425450</xdr:colOff>
      <xdr:row>35</xdr:row>
      <xdr:rowOff>133350</xdr:rowOff>
    </xdr:from>
    <xdr:to>
      <xdr:col>17</xdr:col>
      <xdr:colOff>425450</xdr:colOff>
      <xdr:row>36</xdr:row>
      <xdr:rowOff>133350</xdr:rowOff>
    </xdr:to>
    <xdr:cxnSp macro="">
      <xdr:nvCxnSpPr>
        <xdr:cNvPr id="216" name="Straight Arrow Connector 215">
          <a:extLst>
            <a:ext uri="{FF2B5EF4-FFF2-40B4-BE49-F238E27FC236}">
              <a16:creationId xmlns:a16="http://schemas.microsoft.com/office/drawing/2014/main" id="{A81D8D2B-C1F8-43C3-BA4F-4BF4E2D4B0B3}"/>
            </a:ext>
          </a:extLst>
        </xdr:cNvPr>
        <xdr:cNvCxnSpPr/>
      </xdr:nvCxnSpPr>
      <xdr:spPr>
        <a:xfrm flipV="1">
          <a:off x="10922000" y="6858000"/>
          <a:ext cx="0" cy="190500"/>
        </a:xfrm>
        <a:prstGeom prst="straightConnector1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539750</xdr:colOff>
      <xdr:row>36</xdr:row>
      <xdr:rowOff>133350</xdr:rowOff>
    </xdr:from>
    <xdr:to>
      <xdr:col>19</xdr:col>
      <xdr:colOff>539750</xdr:colOff>
      <xdr:row>37</xdr:row>
      <xdr:rowOff>133350</xdr:rowOff>
    </xdr:to>
    <xdr:cxnSp macro="">
      <xdr:nvCxnSpPr>
        <xdr:cNvPr id="217" name="Straight Arrow Connector 216">
          <a:extLst>
            <a:ext uri="{FF2B5EF4-FFF2-40B4-BE49-F238E27FC236}">
              <a16:creationId xmlns:a16="http://schemas.microsoft.com/office/drawing/2014/main" id="{436E6542-090B-4D00-AAF9-0D51B59869A3}"/>
            </a:ext>
          </a:extLst>
        </xdr:cNvPr>
        <xdr:cNvCxnSpPr/>
      </xdr:nvCxnSpPr>
      <xdr:spPr>
        <a:xfrm flipV="1">
          <a:off x="12255500" y="7048500"/>
          <a:ext cx="0" cy="190500"/>
        </a:xfrm>
        <a:prstGeom prst="straightConnector1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539750</xdr:colOff>
      <xdr:row>36</xdr:row>
      <xdr:rowOff>133350</xdr:rowOff>
    </xdr:from>
    <xdr:to>
      <xdr:col>20</xdr:col>
      <xdr:colOff>374650</xdr:colOff>
      <xdr:row>36</xdr:row>
      <xdr:rowOff>133350</xdr:rowOff>
    </xdr:to>
    <xdr:cxnSp macro="">
      <xdr:nvCxnSpPr>
        <xdr:cNvPr id="218" name="Straight Arrow Connector 217">
          <a:extLst>
            <a:ext uri="{FF2B5EF4-FFF2-40B4-BE49-F238E27FC236}">
              <a16:creationId xmlns:a16="http://schemas.microsoft.com/office/drawing/2014/main" id="{20C41474-82F6-4E63-B5FE-16EFE6E4B362}"/>
            </a:ext>
          </a:extLst>
        </xdr:cNvPr>
        <xdr:cNvCxnSpPr/>
      </xdr:nvCxnSpPr>
      <xdr:spPr>
        <a:xfrm>
          <a:off x="12255500" y="7048500"/>
          <a:ext cx="444500" cy="0"/>
        </a:xfrm>
        <a:prstGeom prst="straightConnector1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374650</xdr:colOff>
      <xdr:row>35</xdr:row>
      <xdr:rowOff>133350</xdr:rowOff>
    </xdr:from>
    <xdr:to>
      <xdr:col>20</xdr:col>
      <xdr:colOff>374650</xdr:colOff>
      <xdr:row>36</xdr:row>
      <xdr:rowOff>133350</xdr:rowOff>
    </xdr:to>
    <xdr:cxnSp macro="">
      <xdr:nvCxnSpPr>
        <xdr:cNvPr id="219" name="Straight Arrow Connector 218">
          <a:extLst>
            <a:ext uri="{FF2B5EF4-FFF2-40B4-BE49-F238E27FC236}">
              <a16:creationId xmlns:a16="http://schemas.microsoft.com/office/drawing/2014/main" id="{D550C9D0-FA2A-4732-BF61-55C6BBD6078F}"/>
            </a:ext>
          </a:extLst>
        </xdr:cNvPr>
        <xdr:cNvCxnSpPr/>
      </xdr:nvCxnSpPr>
      <xdr:spPr>
        <a:xfrm flipV="1">
          <a:off x="12700000" y="6858000"/>
          <a:ext cx="0" cy="190500"/>
        </a:xfrm>
        <a:prstGeom prst="straightConnector1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209550</xdr:colOff>
      <xdr:row>36</xdr:row>
      <xdr:rowOff>133350</xdr:rowOff>
    </xdr:from>
    <xdr:to>
      <xdr:col>21</xdr:col>
      <xdr:colOff>209550</xdr:colOff>
      <xdr:row>37</xdr:row>
      <xdr:rowOff>133350</xdr:rowOff>
    </xdr:to>
    <xdr:cxnSp macro="">
      <xdr:nvCxnSpPr>
        <xdr:cNvPr id="220" name="Straight Arrow Connector 219">
          <a:extLst>
            <a:ext uri="{FF2B5EF4-FFF2-40B4-BE49-F238E27FC236}">
              <a16:creationId xmlns:a16="http://schemas.microsoft.com/office/drawing/2014/main" id="{A4E81446-D775-45D7-8BC0-BFF2D728649F}"/>
            </a:ext>
          </a:extLst>
        </xdr:cNvPr>
        <xdr:cNvCxnSpPr/>
      </xdr:nvCxnSpPr>
      <xdr:spPr>
        <a:xfrm flipV="1">
          <a:off x="13144500" y="7048500"/>
          <a:ext cx="0" cy="190500"/>
        </a:xfrm>
        <a:prstGeom prst="straightConnector1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374650</xdr:colOff>
      <xdr:row>36</xdr:row>
      <xdr:rowOff>133350</xdr:rowOff>
    </xdr:from>
    <xdr:to>
      <xdr:col>21</xdr:col>
      <xdr:colOff>209550</xdr:colOff>
      <xdr:row>36</xdr:row>
      <xdr:rowOff>133350</xdr:rowOff>
    </xdr:to>
    <xdr:cxnSp macro="">
      <xdr:nvCxnSpPr>
        <xdr:cNvPr id="221" name="Straight Arrow Connector 220">
          <a:extLst>
            <a:ext uri="{FF2B5EF4-FFF2-40B4-BE49-F238E27FC236}">
              <a16:creationId xmlns:a16="http://schemas.microsoft.com/office/drawing/2014/main" id="{11FC544A-1AA4-47AA-9646-56D150570C61}"/>
            </a:ext>
          </a:extLst>
        </xdr:cNvPr>
        <xdr:cNvCxnSpPr/>
      </xdr:nvCxnSpPr>
      <xdr:spPr>
        <a:xfrm flipH="1">
          <a:off x="12700000" y="7048500"/>
          <a:ext cx="444500" cy="0"/>
        </a:xfrm>
        <a:prstGeom prst="straightConnector1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374650</xdr:colOff>
      <xdr:row>35</xdr:row>
      <xdr:rowOff>133350</xdr:rowOff>
    </xdr:from>
    <xdr:to>
      <xdr:col>20</xdr:col>
      <xdr:colOff>374650</xdr:colOff>
      <xdr:row>36</xdr:row>
      <xdr:rowOff>133350</xdr:rowOff>
    </xdr:to>
    <xdr:cxnSp macro="">
      <xdr:nvCxnSpPr>
        <xdr:cNvPr id="222" name="Straight Arrow Connector 221">
          <a:extLst>
            <a:ext uri="{FF2B5EF4-FFF2-40B4-BE49-F238E27FC236}">
              <a16:creationId xmlns:a16="http://schemas.microsoft.com/office/drawing/2014/main" id="{E4200CFA-DE31-485B-8606-19AABB065119}"/>
            </a:ext>
          </a:extLst>
        </xdr:cNvPr>
        <xdr:cNvCxnSpPr/>
      </xdr:nvCxnSpPr>
      <xdr:spPr>
        <a:xfrm flipV="1">
          <a:off x="12700000" y="6858000"/>
          <a:ext cx="0" cy="190500"/>
        </a:xfrm>
        <a:prstGeom prst="straightConnector1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127000</xdr:colOff>
      <xdr:row>11</xdr:row>
      <xdr:rowOff>133350</xdr:rowOff>
    </xdr:from>
    <xdr:to>
      <xdr:col>7</xdr:col>
      <xdr:colOff>304800</xdr:colOff>
      <xdr:row>28</xdr:row>
      <xdr:rowOff>69850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D5043B1-1A6C-4BBB-AF8F-E33E94B213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431800</xdr:colOff>
      <xdr:row>11</xdr:row>
      <xdr:rowOff>133350</xdr:rowOff>
    </xdr:from>
    <xdr:to>
      <xdr:col>14</xdr:col>
      <xdr:colOff>476250</xdr:colOff>
      <xdr:row>28</xdr:row>
      <xdr:rowOff>69850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D064232-F2E7-4096-B55F-D78AA163118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127000</xdr:colOff>
      <xdr:row>31</xdr:row>
      <xdr:rowOff>133350</xdr:rowOff>
    </xdr:from>
    <xdr:to>
      <xdr:col>7</xdr:col>
      <xdr:colOff>304800</xdr:colOff>
      <xdr:row>48</xdr:row>
      <xdr:rowOff>69850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1756593-17C0-403B-A8F2-6034F6977CB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127000</xdr:colOff>
      <xdr:row>11</xdr:row>
      <xdr:rowOff>133350</xdr:rowOff>
    </xdr:from>
    <xdr:to>
      <xdr:col>7</xdr:col>
      <xdr:colOff>304800</xdr:colOff>
      <xdr:row>28</xdr:row>
      <xdr:rowOff>69850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1569BB9-E635-4B7F-9746-1290526551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431800</xdr:colOff>
      <xdr:row>11</xdr:row>
      <xdr:rowOff>133350</xdr:rowOff>
    </xdr:from>
    <xdr:to>
      <xdr:col>14</xdr:col>
      <xdr:colOff>476250</xdr:colOff>
      <xdr:row>28</xdr:row>
      <xdr:rowOff>69850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2A92F81-0258-4629-9B1A-A962DD46E9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127000</xdr:colOff>
      <xdr:row>31</xdr:row>
      <xdr:rowOff>133350</xdr:rowOff>
    </xdr:from>
    <xdr:to>
      <xdr:col>7</xdr:col>
      <xdr:colOff>304800</xdr:colOff>
      <xdr:row>48</xdr:row>
      <xdr:rowOff>69850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4E9F7AA-628A-4AC9-BE1A-889DDE5990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01"/>
  <sheetViews>
    <sheetView workbookViewId="0">
      <selection activeCell="C2" sqref="A1:I3101"/>
    </sheetView>
  </sheetViews>
  <sheetFormatPr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100</v>
      </c>
      <c r="B2">
        <v>1</v>
      </c>
      <c r="C2">
        <v>4</v>
      </c>
      <c r="D2">
        <v>3</v>
      </c>
      <c r="E2">
        <v>2</v>
      </c>
      <c r="F2">
        <v>0</v>
      </c>
      <c r="G2">
        <v>13886</v>
      </c>
      <c r="H2">
        <v>0</v>
      </c>
      <c r="I2">
        <v>1</v>
      </c>
    </row>
    <row r="3" spans="1:9" x14ac:dyDescent="0.25">
      <c r="A3">
        <v>100</v>
      </c>
      <c r="B3">
        <v>1</v>
      </c>
      <c r="C3">
        <v>3</v>
      </c>
      <c r="D3">
        <v>4</v>
      </c>
      <c r="E3">
        <v>0</v>
      </c>
      <c r="F3">
        <v>0</v>
      </c>
      <c r="G3">
        <v>9584</v>
      </c>
      <c r="H3">
        <v>0</v>
      </c>
      <c r="I3">
        <v>1</v>
      </c>
    </row>
    <row r="4" spans="1:9" x14ac:dyDescent="0.25">
      <c r="A4">
        <v>98</v>
      </c>
      <c r="B4">
        <v>1</v>
      </c>
      <c r="C4">
        <v>5</v>
      </c>
      <c r="D4">
        <v>3</v>
      </c>
      <c r="E4">
        <v>1</v>
      </c>
      <c r="F4">
        <v>0</v>
      </c>
      <c r="G4">
        <v>22285</v>
      </c>
      <c r="H4">
        <v>0</v>
      </c>
      <c r="I4">
        <v>1</v>
      </c>
    </row>
    <row r="5" spans="1:9" x14ac:dyDescent="0.25">
      <c r="A5">
        <v>98</v>
      </c>
      <c r="B5">
        <v>1</v>
      </c>
      <c r="C5">
        <v>4</v>
      </c>
      <c r="D5">
        <v>1</v>
      </c>
      <c r="E5">
        <v>0</v>
      </c>
      <c r="F5">
        <v>0</v>
      </c>
      <c r="G5">
        <v>7835</v>
      </c>
      <c r="H5">
        <v>0</v>
      </c>
      <c r="I5">
        <v>1</v>
      </c>
    </row>
    <row r="6" spans="1:9" x14ac:dyDescent="0.25">
      <c r="A6">
        <v>97</v>
      </c>
      <c r="B6">
        <v>1</v>
      </c>
      <c r="C6">
        <v>4</v>
      </c>
      <c r="D6">
        <v>4</v>
      </c>
      <c r="E6">
        <v>0</v>
      </c>
      <c r="F6">
        <v>0</v>
      </c>
      <c r="G6">
        <v>13059</v>
      </c>
      <c r="H6">
        <v>0</v>
      </c>
      <c r="I6">
        <v>1</v>
      </c>
    </row>
    <row r="7" spans="1:9" x14ac:dyDescent="0.25">
      <c r="A7">
        <v>97</v>
      </c>
      <c r="B7">
        <v>1</v>
      </c>
      <c r="C7">
        <v>2</v>
      </c>
      <c r="D7">
        <v>3</v>
      </c>
      <c r="E7">
        <v>2</v>
      </c>
      <c r="F7">
        <v>0</v>
      </c>
      <c r="G7">
        <v>10271</v>
      </c>
      <c r="H7">
        <v>0</v>
      </c>
      <c r="I7">
        <v>1</v>
      </c>
    </row>
    <row r="8" spans="1:9" x14ac:dyDescent="0.25">
      <c r="A8">
        <v>97</v>
      </c>
      <c r="B8">
        <v>1</v>
      </c>
      <c r="C8">
        <v>7</v>
      </c>
      <c r="D8">
        <v>2</v>
      </c>
      <c r="E8">
        <v>0</v>
      </c>
      <c r="F8">
        <v>0</v>
      </c>
      <c r="G8">
        <v>16113</v>
      </c>
      <c r="H8">
        <v>0</v>
      </c>
      <c r="I8">
        <v>1</v>
      </c>
    </row>
    <row r="9" spans="1:9" x14ac:dyDescent="0.25">
      <c r="A9">
        <v>97</v>
      </c>
      <c r="B9">
        <v>1</v>
      </c>
      <c r="C9">
        <v>7</v>
      </c>
      <c r="D9">
        <v>6</v>
      </c>
      <c r="E9">
        <v>1</v>
      </c>
      <c r="F9">
        <v>0</v>
      </c>
      <c r="G9">
        <v>8084</v>
      </c>
      <c r="H9">
        <v>0</v>
      </c>
      <c r="I9">
        <v>1</v>
      </c>
    </row>
    <row r="10" spans="1:9" x14ac:dyDescent="0.25">
      <c r="A10">
        <v>96</v>
      </c>
      <c r="B10">
        <v>0</v>
      </c>
      <c r="C10">
        <v>3</v>
      </c>
      <c r="D10">
        <v>2</v>
      </c>
      <c r="E10">
        <v>0</v>
      </c>
      <c r="F10">
        <v>0</v>
      </c>
      <c r="G10">
        <v>8073</v>
      </c>
      <c r="H10">
        <v>0</v>
      </c>
      <c r="I10">
        <v>1</v>
      </c>
    </row>
    <row r="11" spans="1:9" x14ac:dyDescent="0.25">
      <c r="A11">
        <v>96</v>
      </c>
      <c r="B11">
        <v>1</v>
      </c>
      <c r="C11">
        <v>3</v>
      </c>
      <c r="D11">
        <v>3</v>
      </c>
      <c r="E11">
        <v>0</v>
      </c>
      <c r="F11">
        <v>0</v>
      </c>
      <c r="G11">
        <v>14106</v>
      </c>
      <c r="H11">
        <v>0</v>
      </c>
      <c r="I11">
        <v>1</v>
      </c>
    </row>
    <row r="12" spans="1:9" x14ac:dyDescent="0.25">
      <c r="A12">
        <v>96</v>
      </c>
      <c r="B12">
        <v>1</v>
      </c>
      <c r="C12">
        <v>3</v>
      </c>
      <c r="D12">
        <v>4</v>
      </c>
      <c r="E12">
        <v>0</v>
      </c>
      <c r="F12">
        <v>0</v>
      </c>
      <c r="G12">
        <v>12154</v>
      </c>
      <c r="H12">
        <v>0</v>
      </c>
      <c r="I12">
        <v>1</v>
      </c>
    </row>
    <row r="13" spans="1:9" x14ac:dyDescent="0.25">
      <c r="A13">
        <v>95</v>
      </c>
      <c r="B13">
        <v>0</v>
      </c>
      <c r="C13">
        <v>6</v>
      </c>
      <c r="D13">
        <v>5</v>
      </c>
      <c r="E13">
        <v>2</v>
      </c>
      <c r="F13">
        <v>0</v>
      </c>
      <c r="G13">
        <v>14036</v>
      </c>
      <c r="H13">
        <v>0</v>
      </c>
      <c r="I13">
        <v>1</v>
      </c>
    </row>
    <row r="14" spans="1:9" x14ac:dyDescent="0.25">
      <c r="A14">
        <v>94</v>
      </c>
      <c r="B14">
        <v>1</v>
      </c>
      <c r="C14">
        <v>2</v>
      </c>
      <c r="D14">
        <v>5</v>
      </c>
      <c r="E14">
        <v>0</v>
      </c>
      <c r="F14">
        <v>0</v>
      </c>
      <c r="G14">
        <v>9368</v>
      </c>
      <c r="H14">
        <v>0</v>
      </c>
      <c r="I14">
        <v>1</v>
      </c>
    </row>
    <row r="15" spans="1:9" x14ac:dyDescent="0.25">
      <c r="A15">
        <v>93</v>
      </c>
      <c r="B15">
        <v>1</v>
      </c>
      <c r="C15">
        <v>1</v>
      </c>
      <c r="D15">
        <v>4</v>
      </c>
      <c r="E15">
        <v>0</v>
      </c>
      <c r="F15">
        <v>0</v>
      </c>
      <c r="G15">
        <v>11904</v>
      </c>
      <c r="H15">
        <v>0</v>
      </c>
      <c r="I15">
        <v>1</v>
      </c>
    </row>
    <row r="16" spans="1:9" x14ac:dyDescent="0.25">
      <c r="A16">
        <v>92</v>
      </c>
      <c r="B16">
        <v>1</v>
      </c>
      <c r="C16">
        <v>10</v>
      </c>
      <c r="D16">
        <v>4</v>
      </c>
      <c r="E16">
        <v>2</v>
      </c>
      <c r="F16">
        <v>0</v>
      </c>
      <c r="G16">
        <v>32688</v>
      </c>
      <c r="H16">
        <v>1</v>
      </c>
      <c r="I16">
        <v>1</v>
      </c>
    </row>
    <row r="17" spans="1:9" x14ac:dyDescent="0.25">
      <c r="A17">
        <v>91</v>
      </c>
      <c r="B17">
        <v>1</v>
      </c>
      <c r="C17">
        <v>9</v>
      </c>
      <c r="D17">
        <v>4</v>
      </c>
      <c r="E17">
        <v>0</v>
      </c>
      <c r="F17">
        <v>0</v>
      </c>
      <c r="G17">
        <v>16550</v>
      </c>
      <c r="H17">
        <v>0</v>
      </c>
      <c r="I17">
        <v>1</v>
      </c>
    </row>
    <row r="18" spans="1:9" x14ac:dyDescent="0.25">
      <c r="A18">
        <v>91</v>
      </c>
      <c r="B18">
        <v>1</v>
      </c>
      <c r="C18">
        <v>2</v>
      </c>
      <c r="D18">
        <v>5</v>
      </c>
      <c r="E18">
        <v>0</v>
      </c>
      <c r="F18">
        <v>0</v>
      </c>
      <c r="G18">
        <v>11278</v>
      </c>
      <c r="H18">
        <v>0</v>
      </c>
      <c r="I18">
        <v>1</v>
      </c>
    </row>
    <row r="19" spans="1:9" x14ac:dyDescent="0.25">
      <c r="A19">
        <v>91</v>
      </c>
      <c r="B19">
        <v>0</v>
      </c>
      <c r="C19">
        <v>5</v>
      </c>
      <c r="D19">
        <v>5</v>
      </c>
      <c r="E19">
        <v>0</v>
      </c>
      <c r="F19">
        <v>0</v>
      </c>
      <c r="G19">
        <v>8836</v>
      </c>
      <c r="H19">
        <v>0</v>
      </c>
      <c r="I19">
        <v>1</v>
      </c>
    </row>
    <row r="20" spans="1:9" x14ac:dyDescent="0.25">
      <c r="A20">
        <v>91</v>
      </c>
      <c r="B20">
        <v>1</v>
      </c>
      <c r="C20">
        <v>5</v>
      </c>
      <c r="D20">
        <v>0</v>
      </c>
      <c r="E20">
        <v>1</v>
      </c>
      <c r="F20">
        <v>0</v>
      </c>
      <c r="G20">
        <v>39043</v>
      </c>
      <c r="H20">
        <v>1</v>
      </c>
      <c r="I20">
        <v>1</v>
      </c>
    </row>
    <row r="21" spans="1:9" x14ac:dyDescent="0.25">
      <c r="A21">
        <v>91</v>
      </c>
      <c r="B21">
        <v>0</v>
      </c>
      <c r="C21">
        <v>17</v>
      </c>
      <c r="D21">
        <v>4</v>
      </c>
      <c r="E21">
        <v>1</v>
      </c>
      <c r="F21">
        <v>0</v>
      </c>
      <c r="G21">
        <v>44211</v>
      </c>
      <c r="H21">
        <v>1</v>
      </c>
      <c r="I21">
        <v>1</v>
      </c>
    </row>
    <row r="22" spans="1:9" x14ac:dyDescent="0.25">
      <c r="A22">
        <v>90</v>
      </c>
      <c r="B22">
        <v>0</v>
      </c>
      <c r="C22">
        <v>2</v>
      </c>
      <c r="D22">
        <v>3</v>
      </c>
      <c r="E22">
        <v>0</v>
      </c>
      <c r="F22">
        <v>0</v>
      </c>
      <c r="G22">
        <v>11481</v>
      </c>
      <c r="H22">
        <v>0</v>
      </c>
      <c r="I22">
        <v>1</v>
      </c>
    </row>
    <row r="23" spans="1:9" x14ac:dyDescent="0.25">
      <c r="A23">
        <v>90</v>
      </c>
      <c r="B23">
        <v>1</v>
      </c>
      <c r="C23">
        <v>16</v>
      </c>
      <c r="D23">
        <v>3</v>
      </c>
      <c r="E23">
        <v>0</v>
      </c>
      <c r="F23">
        <v>0</v>
      </c>
      <c r="G23">
        <v>49582</v>
      </c>
      <c r="H23">
        <v>0</v>
      </c>
      <c r="I23">
        <v>1</v>
      </c>
    </row>
    <row r="24" spans="1:9" x14ac:dyDescent="0.25">
      <c r="A24">
        <v>89</v>
      </c>
      <c r="B24">
        <v>1</v>
      </c>
      <c r="C24">
        <v>2</v>
      </c>
      <c r="D24">
        <v>6</v>
      </c>
      <c r="E24">
        <v>0</v>
      </c>
      <c r="F24">
        <v>0</v>
      </c>
      <c r="G24">
        <v>9075</v>
      </c>
      <c r="H24">
        <v>0</v>
      </c>
      <c r="I24">
        <v>1</v>
      </c>
    </row>
    <row r="25" spans="1:9" x14ac:dyDescent="0.25">
      <c r="A25">
        <v>89</v>
      </c>
      <c r="B25">
        <v>1</v>
      </c>
      <c r="C25">
        <v>2</v>
      </c>
      <c r="D25">
        <v>3</v>
      </c>
      <c r="E25">
        <v>0</v>
      </c>
      <c r="F25">
        <v>0</v>
      </c>
      <c r="G25">
        <v>7020</v>
      </c>
      <c r="H25">
        <v>0</v>
      </c>
      <c r="I25">
        <v>1</v>
      </c>
    </row>
    <row r="26" spans="1:9" x14ac:dyDescent="0.25">
      <c r="A26">
        <v>89</v>
      </c>
      <c r="B26">
        <v>0</v>
      </c>
      <c r="C26">
        <v>3</v>
      </c>
      <c r="D26">
        <v>4</v>
      </c>
      <c r="E26">
        <v>0</v>
      </c>
      <c r="F26">
        <v>0</v>
      </c>
      <c r="G26">
        <v>17508</v>
      </c>
      <c r="H26">
        <v>0</v>
      </c>
      <c r="I26">
        <v>1</v>
      </c>
    </row>
    <row r="27" spans="1:9" x14ac:dyDescent="0.25">
      <c r="A27">
        <v>89</v>
      </c>
      <c r="B27">
        <v>1</v>
      </c>
      <c r="C27">
        <v>2</v>
      </c>
      <c r="D27">
        <v>3</v>
      </c>
      <c r="E27">
        <v>0</v>
      </c>
      <c r="F27">
        <v>0</v>
      </c>
      <c r="G27">
        <v>5315</v>
      </c>
      <c r="H27">
        <v>0</v>
      </c>
      <c r="I27">
        <v>1</v>
      </c>
    </row>
    <row r="28" spans="1:9" x14ac:dyDescent="0.25">
      <c r="A28">
        <v>89</v>
      </c>
      <c r="B28">
        <v>1</v>
      </c>
      <c r="C28">
        <v>3</v>
      </c>
      <c r="D28">
        <v>4</v>
      </c>
      <c r="E28">
        <v>0</v>
      </c>
      <c r="F28">
        <v>0</v>
      </c>
      <c r="G28">
        <v>14478</v>
      </c>
      <c r="H28">
        <v>0</v>
      </c>
      <c r="I28">
        <v>1</v>
      </c>
    </row>
    <row r="29" spans="1:9" x14ac:dyDescent="0.25">
      <c r="A29">
        <v>89</v>
      </c>
      <c r="B29">
        <v>1</v>
      </c>
      <c r="C29">
        <v>2</v>
      </c>
      <c r="D29">
        <v>7</v>
      </c>
      <c r="E29">
        <v>0</v>
      </c>
      <c r="F29">
        <v>0</v>
      </c>
      <c r="G29">
        <v>5661</v>
      </c>
      <c r="H29">
        <v>0</v>
      </c>
      <c r="I29">
        <v>1</v>
      </c>
    </row>
    <row r="30" spans="1:9" x14ac:dyDescent="0.25">
      <c r="A30">
        <v>89</v>
      </c>
      <c r="B30">
        <v>1</v>
      </c>
      <c r="C30">
        <v>11</v>
      </c>
      <c r="D30">
        <v>5</v>
      </c>
      <c r="E30">
        <v>0</v>
      </c>
      <c r="F30">
        <v>0</v>
      </c>
      <c r="G30">
        <v>26531</v>
      </c>
      <c r="H30">
        <v>0</v>
      </c>
      <c r="I30">
        <v>1</v>
      </c>
    </row>
    <row r="31" spans="1:9" x14ac:dyDescent="0.25">
      <c r="A31">
        <v>89</v>
      </c>
      <c r="B31">
        <v>0</v>
      </c>
      <c r="C31">
        <v>9</v>
      </c>
      <c r="D31">
        <v>0</v>
      </c>
      <c r="E31">
        <v>2</v>
      </c>
      <c r="F31">
        <v>0</v>
      </c>
      <c r="G31">
        <v>46675</v>
      </c>
      <c r="H31">
        <v>0</v>
      </c>
      <c r="I31">
        <v>1</v>
      </c>
    </row>
    <row r="32" spans="1:9" x14ac:dyDescent="0.25">
      <c r="A32">
        <v>89</v>
      </c>
      <c r="B32">
        <v>1</v>
      </c>
      <c r="C32">
        <v>1</v>
      </c>
      <c r="D32">
        <v>4</v>
      </c>
      <c r="E32">
        <v>0</v>
      </c>
      <c r="F32">
        <v>0</v>
      </c>
      <c r="G32">
        <v>8041</v>
      </c>
      <c r="H32">
        <v>0</v>
      </c>
      <c r="I32">
        <v>1</v>
      </c>
    </row>
    <row r="33" spans="1:9" x14ac:dyDescent="0.25">
      <c r="A33">
        <v>89</v>
      </c>
      <c r="B33">
        <v>1</v>
      </c>
      <c r="C33">
        <v>6</v>
      </c>
      <c r="D33">
        <v>5</v>
      </c>
      <c r="E33">
        <v>1</v>
      </c>
      <c r="F33">
        <v>0</v>
      </c>
      <c r="G33">
        <v>20444</v>
      </c>
      <c r="H33">
        <v>0</v>
      </c>
      <c r="I33">
        <v>1</v>
      </c>
    </row>
    <row r="34" spans="1:9" x14ac:dyDescent="0.25">
      <c r="A34">
        <v>89</v>
      </c>
      <c r="B34">
        <v>1</v>
      </c>
      <c r="C34">
        <v>1</v>
      </c>
      <c r="D34">
        <v>1</v>
      </c>
      <c r="E34">
        <v>0</v>
      </c>
      <c r="F34">
        <v>0</v>
      </c>
      <c r="G34">
        <v>6725</v>
      </c>
      <c r="H34">
        <v>0</v>
      </c>
      <c r="I34">
        <v>1</v>
      </c>
    </row>
    <row r="35" spans="1:9" x14ac:dyDescent="0.25">
      <c r="A35">
        <v>89</v>
      </c>
      <c r="B35">
        <v>0</v>
      </c>
      <c r="C35">
        <v>2</v>
      </c>
      <c r="D35">
        <v>4</v>
      </c>
      <c r="E35">
        <v>0</v>
      </c>
      <c r="F35">
        <v>0</v>
      </c>
      <c r="G35">
        <v>6948</v>
      </c>
      <c r="H35">
        <v>0</v>
      </c>
      <c r="I35">
        <v>1</v>
      </c>
    </row>
    <row r="36" spans="1:9" x14ac:dyDescent="0.25">
      <c r="A36">
        <v>89</v>
      </c>
      <c r="B36">
        <v>0</v>
      </c>
      <c r="C36">
        <v>7</v>
      </c>
      <c r="D36">
        <v>1</v>
      </c>
      <c r="E36">
        <v>0</v>
      </c>
      <c r="F36">
        <v>0</v>
      </c>
      <c r="G36">
        <v>15951</v>
      </c>
      <c r="H36">
        <v>0</v>
      </c>
      <c r="I36">
        <v>1</v>
      </c>
    </row>
    <row r="37" spans="1:9" x14ac:dyDescent="0.25">
      <c r="A37">
        <v>89</v>
      </c>
      <c r="B37">
        <v>1</v>
      </c>
      <c r="C37">
        <v>5</v>
      </c>
      <c r="D37">
        <v>5</v>
      </c>
      <c r="E37">
        <v>1</v>
      </c>
      <c r="F37">
        <v>0</v>
      </c>
      <c r="G37">
        <v>24270</v>
      </c>
      <c r="H37">
        <v>1</v>
      </c>
      <c r="I37">
        <v>1</v>
      </c>
    </row>
    <row r="38" spans="1:9" x14ac:dyDescent="0.25">
      <c r="A38">
        <v>88</v>
      </c>
      <c r="B38">
        <v>1</v>
      </c>
      <c r="C38">
        <v>2</v>
      </c>
      <c r="D38">
        <v>2</v>
      </c>
      <c r="E38">
        <v>0</v>
      </c>
      <c r="F38">
        <v>0</v>
      </c>
      <c r="G38">
        <v>8848</v>
      </c>
      <c r="H38">
        <v>0</v>
      </c>
      <c r="I38">
        <v>1</v>
      </c>
    </row>
    <row r="39" spans="1:9" x14ac:dyDescent="0.25">
      <c r="A39">
        <v>88</v>
      </c>
      <c r="B39">
        <v>1</v>
      </c>
      <c r="C39">
        <v>3</v>
      </c>
      <c r="D39">
        <v>4</v>
      </c>
      <c r="E39">
        <v>0</v>
      </c>
      <c r="F39">
        <v>0</v>
      </c>
      <c r="G39">
        <v>13370</v>
      </c>
      <c r="H39">
        <v>0</v>
      </c>
      <c r="I39">
        <v>1</v>
      </c>
    </row>
    <row r="40" spans="1:9" x14ac:dyDescent="0.25">
      <c r="A40">
        <v>88</v>
      </c>
      <c r="B40">
        <v>1</v>
      </c>
      <c r="C40">
        <v>7</v>
      </c>
      <c r="D40">
        <v>4</v>
      </c>
      <c r="E40">
        <v>0</v>
      </c>
      <c r="F40">
        <v>0</v>
      </c>
      <c r="G40">
        <v>21941</v>
      </c>
      <c r="H40">
        <v>0</v>
      </c>
      <c r="I40">
        <v>1</v>
      </c>
    </row>
    <row r="41" spans="1:9" x14ac:dyDescent="0.25">
      <c r="A41">
        <v>88</v>
      </c>
      <c r="B41">
        <v>1</v>
      </c>
      <c r="C41">
        <v>4</v>
      </c>
      <c r="D41">
        <v>3</v>
      </c>
      <c r="E41">
        <v>0</v>
      </c>
      <c r="F41">
        <v>0</v>
      </c>
      <c r="G41">
        <v>12322</v>
      </c>
      <c r="H41">
        <v>0</v>
      </c>
      <c r="I41">
        <v>1</v>
      </c>
    </row>
    <row r="42" spans="1:9" x14ac:dyDescent="0.25">
      <c r="A42">
        <v>88</v>
      </c>
      <c r="B42">
        <v>1</v>
      </c>
      <c r="C42">
        <v>8</v>
      </c>
      <c r="D42">
        <v>3</v>
      </c>
      <c r="E42">
        <v>0</v>
      </c>
      <c r="F42">
        <v>0</v>
      </c>
      <c r="G42">
        <v>18293</v>
      </c>
      <c r="H42">
        <v>0</v>
      </c>
      <c r="I42">
        <v>1</v>
      </c>
    </row>
    <row r="43" spans="1:9" x14ac:dyDescent="0.25">
      <c r="A43">
        <v>88</v>
      </c>
      <c r="B43">
        <v>1</v>
      </c>
      <c r="C43">
        <v>5</v>
      </c>
      <c r="D43">
        <v>4</v>
      </c>
      <c r="E43">
        <v>0</v>
      </c>
      <c r="F43">
        <v>0</v>
      </c>
      <c r="G43">
        <v>15257</v>
      </c>
      <c r="H43">
        <v>0</v>
      </c>
      <c r="I43">
        <v>1</v>
      </c>
    </row>
    <row r="44" spans="1:9" x14ac:dyDescent="0.25">
      <c r="A44">
        <v>88</v>
      </c>
      <c r="B44">
        <v>0</v>
      </c>
      <c r="C44">
        <v>5</v>
      </c>
      <c r="D44">
        <v>4</v>
      </c>
      <c r="E44">
        <v>2</v>
      </c>
      <c r="F44">
        <v>0</v>
      </c>
      <c r="G44">
        <v>26326</v>
      </c>
      <c r="H44">
        <v>0</v>
      </c>
      <c r="I44">
        <v>1</v>
      </c>
    </row>
    <row r="45" spans="1:9" x14ac:dyDescent="0.25">
      <c r="A45">
        <v>87</v>
      </c>
      <c r="B45">
        <v>0</v>
      </c>
      <c r="C45">
        <v>4</v>
      </c>
      <c r="D45">
        <v>7</v>
      </c>
      <c r="E45">
        <v>0</v>
      </c>
      <c r="F45">
        <v>0</v>
      </c>
      <c r="G45">
        <v>15034</v>
      </c>
      <c r="H45">
        <v>0</v>
      </c>
      <c r="I45">
        <v>1</v>
      </c>
    </row>
    <row r="46" spans="1:9" x14ac:dyDescent="0.25">
      <c r="A46">
        <v>87</v>
      </c>
      <c r="B46">
        <v>1</v>
      </c>
      <c r="C46">
        <v>3</v>
      </c>
      <c r="D46">
        <v>6</v>
      </c>
      <c r="E46">
        <v>1</v>
      </c>
      <c r="F46">
        <v>0</v>
      </c>
      <c r="G46">
        <v>10125</v>
      </c>
      <c r="H46">
        <v>0</v>
      </c>
      <c r="I46">
        <v>1</v>
      </c>
    </row>
    <row r="47" spans="1:9" x14ac:dyDescent="0.25">
      <c r="A47">
        <v>87</v>
      </c>
      <c r="B47">
        <v>0</v>
      </c>
      <c r="C47">
        <v>1</v>
      </c>
      <c r="D47">
        <v>4</v>
      </c>
      <c r="E47">
        <v>0</v>
      </c>
      <c r="F47">
        <v>0</v>
      </c>
      <c r="G47">
        <v>8890</v>
      </c>
      <c r="H47">
        <v>0</v>
      </c>
      <c r="I47">
        <v>1</v>
      </c>
    </row>
    <row r="48" spans="1:9" x14ac:dyDescent="0.25">
      <c r="A48">
        <v>87</v>
      </c>
      <c r="B48">
        <v>0</v>
      </c>
      <c r="C48">
        <v>5</v>
      </c>
      <c r="D48">
        <v>4</v>
      </c>
      <c r="E48">
        <v>0</v>
      </c>
      <c r="F48">
        <v>0</v>
      </c>
      <c r="G48">
        <v>19576</v>
      </c>
      <c r="H48">
        <v>0</v>
      </c>
      <c r="I48">
        <v>1</v>
      </c>
    </row>
    <row r="49" spans="1:9" x14ac:dyDescent="0.25">
      <c r="A49">
        <v>87</v>
      </c>
      <c r="B49">
        <v>0</v>
      </c>
      <c r="C49">
        <v>3</v>
      </c>
      <c r="D49">
        <v>4</v>
      </c>
      <c r="E49">
        <v>1</v>
      </c>
      <c r="F49">
        <v>0</v>
      </c>
      <c r="G49">
        <v>25808</v>
      </c>
      <c r="H49">
        <v>1</v>
      </c>
      <c r="I49">
        <v>1</v>
      </c>
    </row>
    <row r="50" spans="1:9" x14ac:dyDescent="0.25">
      <c r="A50">
        <v>86</v>
      </c>
      <c r="B50">
        <v>1</v>
      </c>
      <c r="C50">
        <v>3</v>
      </c>
      <c r="D50">
        <v>4</v>
      </c>
      <c r="E50">
        <v>0</v>
      </c>
      <c r="F50">
        <v>0</v>
      </c>
      <c r="G50">
        <v>13797</v>
      </c>
      <c r="H50">
        <v>0</v>
      </c>
      <c r="I50">
        <v>1</v>
      </c>
    </row>
    <row r="51" spans="1:9" x14ac:dyDescent="0.25">
      <c r="A51">
        <v>86</v>
      </c>
      <c r="B51">
        <v>1</v>
      </c>
      <c r="C51">
        <v>9</v>
      </c>
      <c r="D51">
        <v>6</v>
      </c>
      <c r="E51">
        <v>0</v>
      </c>
      <c r="F51">
        <v>0</v>
      </c>
      <c r="G51">
        <v>28126</v>
      </c>
      <c r="H51">
        <v>0</v>
      </c>
      <c r="I51">
        <v>1</v>
      </c>
    </row>
    <row r="52" spans="1:9" x14ac:dyDescent="0.25">
      <c r="A52">
        <v>86</v>
      </c>
      <c r="B52">
        <v>1</v>
      </c>
      <c r="C52">
        <v>3</v>
      </c>
      <c r="D52">
        <v>7</v>
      </c>
      <c r="E52">
        <v>0</v>
      </c>
      <c r="F52">
        <v>0</v>
      </c>
      <c r="G52">
        <v>16838</v>
      </c>
      <c r="H52">
        <v>0</v>
      </c>
      <c r="I52">
        <v>1</v>
      </c>
    </row>
    <row r="53" spans="1:9" x14ac:dyDescent="0.25">
      <c r="A53">
        <v>86</v>
      </c>
      <c r="B53">
        <v>1</v>
      </c>
      <c r="C53">
        <v>8</v>
      </c>
      <c r="D53">
        <v>4</v>
      </c>
      <c r="E53">
        <v>0</v>
      </c>
      <c r="F53">
        <v>0</v>
      </c>
      <c r="G53">
        <v>37645</v>
      </c>
      <c r="H53">
        <v>0</v>
      </c>
      <c r="I53">
        <v>1</v>
      </c>
    </row>
    <row r="54" spans="1:9" x14ac:dyDescent="0.25">
      <c r="A54">
        <v>86</v>
      </c>
      <c r="B54">
        <v>0</v>
      </c>
      <c r="C54">
        <v>2</v>
      </c>
      <c r="D54">
        <v>6</v>
      </c>
      <c r="E54">
        <v>0</v>
      </c>
      <c r="F54">
        <v>0</v>
      </c>
      <c r="G54">
        <v>10881</v>
      </c>
      <c r="H54">
        <v>0</v>
      </c>
      <c r="I54">
        <v>1</v>
      </c>
    </row>
    <row r="55" spans="1:9" x14ac:dyDescent="0.25">
      <c r="A55">
        <v>86</v>
      </c>
      <c r="B55">
        <v>0</v>
      </c>
      <c r="C55">
        <v>3</v>
      </c>
      <c r="D55">
        <v>2</v>
      </c>
      <c r="E55">
        <v>0</v>
      </c>
      <c r="F55">
        <v>0</v>
      </c>
      <c r="G55">
        <v>14424</v>
      </c>
      <c r="H55">
        <v>0</v>
      </c>
      <c r="I55">
        <v>1</v>
      </c>
    </row>
    <row r="56" spans="1:9" x14ac:dyDescent="0.25">
      <c r="A56">
        <v>86</v>
      </c>
      <c r="B56">
        <v>0</v>
      </c>
      <c r="C56">
        <v>38</v>
      </c>
      <c r="D56">
        <v>4</v>
      </c>
      <c r="E56">
        <v>0</v>
      </c>
      <c r="F56">
        <v>0</v>
      </c>
      <c r="G56">
        <v>66542</v>
      </c>
      <c r="H56">
        <v>0</v>
      </c>
      <c r="I56">
        <v>1</v>
      </c>
    </row>
    <row r="57" spans="1:9" x14ac:dyDescent="0.25">
      <c r="A57">
        <v>86</v>
      </c>
      <c r="B57">
        <v>1</v>
      </c>
      <c r="C57">
        <v>9</v>
      </c>
      <c r="D57">
        <v>7</v>
      </c>
      <c r="E57">
        <v>2</v>
      </c>
      <c r="F57">
        <v>0</v>
      </c>
      <c r="G57">
        <v>59242</v>
      </c>
      <c r="H57">
        <v>0</v>
      </c>
      <c r="I57">
        <v>1</v>
      </c>
    </row>
    <row r="58" spans="1:9" x14ac:dyDescent="0.25">
      <c r="A58">
        <v>86</v>
      </c>
      <c r="B58">
        <v>0</v>
      </c>
      <c r="C58">
        <v>5</v>
      </c>
      <c r="D58">
        <v>6</v>
      </c>
      <c r="E58">
        <v>0</v>
      </c>
      <c r="F58">
        <v>0</v>
      </c>
      <c r="G58">
        <v>28252</v>
      </c>
      <c r="H58">
        <v>0</v>
      </c>
      <c r="I58">
        <v>1</v>
      </c>
    </row>
    <row r="59" spans="1:9" x14ac:dyDescent="0.25">
      <c r="A59">
        <v>86</v>
      </c>
      <c r="B59">
        <v>0</v>
      </c>
      <c r="C59">
        <v>4</v>
      </c>
      <c r="D59">
        <v>5</v>
      </c>
      <c r="E59">
        <v>0</v>
      </c>
      <c r="F59">
        <v>0</v>
      </c>
      <c r="G59">
        <v>13367</v>
      </c>
      <c r="H59">
        <v>0</v>
      </c>
      <c r="I59">
        <v>1</v>
      </c>
    </row>
    <row r="60" spans="1:9" x14ac:dyDescent="0.25">
      <c r="A60">
        <v>86</v>
      </c>
      <c r="B60">
        <v>1</v>
      </c>
      <c r="C60">
        <v>1</v>
      </c>
      <c r="D60">
        <v>2</v>
      </c>
      <c r="E60">
        <v>1</v>
      </c>
      <c r="F60">
        <v>0</v>
      </c>
      <c r="G60">
        <v>7532</v>
      </c>
      <c r="H60">
        <v>0</v>
      </c>
      <c r="I60">
        <v>1</v>
      </c>
    </row>
    <row r="61" spans="1:9" x14ac:dyDescent="0.25">
      <c r="A61">
        <v>85</v>
      </c>
      <c r="B61">
        <v>1</v>
      </c>
      <c r="C61">
        <v>3</v>
      </c>
      <c r="D61">
        <v>5</v>
      </c>
      <c r="E61">
        <v>0</v>
      </c>
      <c r="F61">
        <v>0</v>
      </c>
      <c r="G61">
        <v>10620</v>
      </c>
      <c r="H61">
        <v>0</v>
      </c>
      <c r="I61">
        <v>1</v>
      </c>
    </row>
    <row r="62" spans="1:9" x14ac:dyDescent="0.25">
      <c r="A62">
        <v>85</v>
      </c>
      <c r="B62">
        <v>1</v>
      </c>
      <c r="C62">
        <v>5</v>
      </c>
      <c r="D62">
        <v>4</v>
      </c>
      <c r="E62">
        <v>1</v>
      </c>
      <c r="F62">
        <v>0</v>
      </c>
      <c r="G62">
        <v>16944</v>
      </c>
      <c r="H62">
        <v>0</v>
      </c>
      <c r="I62">
        <v>1</v>
      </c>
    </row>
    <row r="63" spans="1:9" x14ac:dyDescent="0.25">
      <c r="A63">
        <v>85</v>
      </c>
      <c r="B63">
        <v>1</v>
      </c>
      <c r="C63">
        <v>4</v>
      </c>
      <c r="D63">
        <v>6</v>
      </c>
      <c r="E63">
        <v>0</v>
      </c>
      <c r="F63">
        <v>0</v>
      </c>
      <c r="G63">
        <v>12981</v>
      </c>
      <c r="H63">
        <v>0</v>
      </c>
      <c r="I63">
        <v>1</v>
      </c>
    </row>
    <row r="64" spans="1:9" x14ac:dyDescent="0.25">
      <c r="A64">
        <v>85</v>
      </c>
      <c r="B64">
        <v>1</v>
      </c>
      <c r="C64">
        <v>2</v>
      </c>
      <c r="D64">
        <v>3</v>
      </c>
      <c r="E64">
        <v>0</v>
      </c>
      <c r="F64">
        <v>0</v>
      </c>
      <c r="G64">
        <v>6559</v>
      </c>
      <c r="H64">
        <v>0</v>
      </c>
      <c r="I64">
        <v>1</v>
      </c>
    </row>
    <row r="65" spans="1:9" x14ac:dyDescent="0.25">
      <c r="A65">
        <v>85</v>
      </c>
      <c r="B65">
        <v>1</v>
      </c>
      <c r="C65">
        <v>5</v>
      </c>
      <c r="D65">
        <v>8</v>
      </c>
      <c r="E65">
        <v>0</v>
      </c>
      <c r="F65">
        <v>0</v>
      </c>
      <c r="G65">
        <v>16268</v>
      </c>
      <c r="H65">
        <v>0</v>
      </c>
      <c r="I65">
        <v>1</v>
      </c>
    </row>
    <row r="66" spans="1:9" x14ac:dyDescent="0.25">
      <c r="A66">
        <v>85</v>
      </c>
      <c r="B66">
        <v>0</v>
      </c>
      <c r="C66">
        <v>3</v>
      </c>
      <c r="D66">
        <v>5</v>
      </c>
      <c r="E66">
        <v>0</v>
      </c>
      <c r="F66">
        <v>0</v>
      </c>
      <c r="G66">
        <v>12384</v>
      </c>
      <c r="H66">
        <v>0</v>
      </c>
      <c r="I66">
        <v>1</v>
      </c>
    </row>
    <row r="67" spans="1:9" x14ac:dyDescent="0.25">
      <c r="A67">
        <v>85</v>
      </c>
      <c r="B67">
        <v>1</v>
      </c>
      <c r="C67">
        <v>1</v>
      </c>
      <c r="D67">
        <v>2</v>
      </c>
      <c r="E67">
        <v>0</v>
      </c>
      <c r="F67">
        <v>0</v>
      </c>
      <c r="G67">
        <v>6112</v>
      </c>
      <c r="H67">
        <v>0</v>
      </c>
      <c r="I67">
        <v>1</v>
      </c>
    </row>
    <row r="68" spans="1:9" x14ac:dyDescent="0.25">
      <c r="A68">
        <v>85</v>
      </c>
      <c r="B68">
        <v>1</v>
      </c>
      <c r="C68">
        <v>5</v>
      </c>
      <c r="D68">
        <v>5</v>
      </c>
      <c r="E68">
        <v>1</v>
      </c>
      <c r="F68">
        <v>0</v>
      </c>
      <c r="G68">
        <v>16340</v>
      </c>
      <c r="H68">
        <v>0</v>
      </c>
      <c r="I68">
        <v>1</v>
      </c>
    </row>
    <row r="69" spans="1:9" x14ac:dyDescent="0.25">
      <c r="A69">
        <v>85</v>
      </c>
      <c r="B69">
        <v>1</v>
      </c>
      <c r="C69">
        <v>7</v>
      </c>
      <c r="D69">
        <v>4</v>
      </c>
      <c r="E69">
        <v>1</v>
      </c>
      <c r="F69">
        <v>0</v>
      </c>
      <c r="G69">
        <v>14424</v>
      </c>
      <c r="H69">
        <v>0</v>
      </c>
      <c r="I69">
        <v>1</v>
      </c>
    </row>
    <row r="70" spans="1:9" x14ac:dyDescent="0.25">
      <c r="A70">
        <v>85</v>
      </c>
      <c r="B70">
        <v>1</v>
      </c>
      <c r="C70">
        <v>4</v>
      </c>
      <c r="D70">
        <v>3</v>
      </c>
      <c r="E70">
        <v>0</v>
      </c>
      <c r="F70">
        <v>0</v>
      </c>
      <c r="G70">
        <v>20651</v>
      </c>
      <c r="H70">
        <v>0</v>
      </c>
      <c r="I70">
        <v>1</v>
      </c>
    </row>
    <row r="71" spans="1:9" x14ac:dyDescent="0.25">
      <c r="A71">
        <v>85</v>
      </c>
      <c r="B71">
        <v>1</v>
      </c>
      <c r="C71">
        <v>5</v>
      </c>
      <c r="D71">
        <v>2</v>
      </c>
      <c r="E71">
        <v>0</v>
      </c>
      <c r="F71">
        <v>0</v>
      </c>
      <c r="G71">
        <v>12488</v>
      </c>
      <c r="H71">
        <v>0</v>
      </c>
      <c r="I71">
        <v>1</v>
      </c>
    </row>
    <row r="72" spans="1:9" x14ac:dyDescent="0.25">
      <c r="A72">
        <v>85</v>
      </c>
      <c r="B72">
        <v>1</v>
      </c>
      <c r="C72">
        <v>5</v>
      </c>
      <c r="D72">
        <v>6</v>
      </c>
      <c r="E72">
        <v>0</v>
      </c>
      <c r="F72">
        <v>0</v>
      </c>
      <c r="G72">
        <v>12355</v>
      </c>
      <c r="H72">
        <v>0</v>
      </c>
      <c r="I72">
        <v>1</v>
      </c>
    </row>
    <row r="73" spans="1:9" x14ac:dyDescent="0.25">
      <c r="A73">
        <v>85</v>
      </c>
      <c r="B73">
        <v>1</v>
      </c>
      <c r="C73">
        <v>2</v>
      </c>
      <c r="D73">
        <v>7</v>
      </c>
      <c r="E73">
        <v>0</v>
      </c>
      <c r="F73">
        <v>0</v>
      </c>
      <c r="G73">
        <v>13978</v>
      </c>
      <c r="H73">
        <v>0</v>
      </c>
      <c r="I73">
        <v>1</v>
      </c>
    </row>
    <row r="74" spans="1:9" x14ac:dyDescent="0.25">
      <c r="A74">
        <v>85</v>
      </c>
      <c r="B74">
        <v>1</v>
      </c>
      <c r="C74">
        <v>1</v>
      </c>
      <c r="D74">
        <v>4</v>
      </c>
      <c r="E74">
        <v>2</v>
      </c>
      <c r="F74">
        <v>0</v>
      </c>
      <c r="G74">
        <v>18508</v>
      </c>
      <c r="H74">
        <v>0</v>
      </c>
      <c r="I74">
        <v>1</v>
      </c>
    </row>
    <row r="75" spans="1:9" x14ac:dyDescent="0.25">
      <c r="A75">
        <v>85</v>
      </c>
      <c r="B75">
        <v>1</v>
      </c>
      <c r="C75">
        <v>3</v>
      </c>
      <c r="D75">
        <v>5</v>
      </c>
      <c r="E75">
        <v>0</v>
      </c>
      <c r="F75">
        <v>0</v>
      </c>
      <c r="G75">
        <v>15278</v>
      </c>
      <c r="H75">
        <v>0</v>
      </c>
      <c r="I75">
        <v>1</v>
      </c>
    </row>
    <row r="76" spans="1:9" x14ac:dyDescent="0.25">
      <c r="A76">
        <v>85</v>
      </c>
      <c r="B76">
        <v>0</v>
      </c>
      <c r="C76">
        <v>10</v>
      </c>
      <c r="D76">
        <v>6</v>
      </c>
      <c r="E76">
        <v>1</v>
      </c>
      <c r="F76">
        <v>0</v>
      </c>
      <c r="G76">
        <v>29871</v>
      </c>
      <c r="H76">
        <v>0</v>
      </c>
      <c r="I76">
        <v>1</v>
      </c>
    </row>
    <row r="77" spans="1:9" x14ac:dyDescent="0.25">
      <c r="A77">
        <v>85</v>
      </c>
      <c r="B77">
        <v>1</v>
      </c>
      <c r="C77">
        <v>5</v>
      </c>
      <c r="D77">
        <v>7</v>
      </c>
      <c r="E77">
        <v>0</v>
      </c>
      <c r="F77">
        <v>0</v>
      </c>
      <c r="G77">
        <v>22519</v>
      </c>
      <c r="H77">
        <v>0</v>
      </c>
      <c r="I77">
        <v>1</v>
      </c>
    </row>
    <row r="78" spans="1:9" x14ac:dyDescent="0.25">
      <c r="A78">
        <v>85</v>
      </c>
      <c r="B78">
        <v>1</v>
      </c>
      <c r="C78">
        <v>7</v>
      </c>
      <c r="D78">
        <v>3</v>
      </c>
      <c r="E78">
        <v>2</v>
      </c>
      <c r="F78">
        <v>0</v>
      </c>
      <c r="G78">
        <v>18353</v>
      </c>
      <c r="H78">
        <v>0</v>
      </c>
      <c r="I78">
        <v>1</v>
      </c>
    </row>
    <row r="79" spans="1:9" x14ac:dyDescent="0.25">
      <c r="A79">
        <v>85</v>
      </c>
      <c r="B79">
        <v>0</v>
      </c>
      <c r="C79">
        <v>9</v>
      </c>
      <c r="D79">
        <v>5</v>
      </c>
      <c r="E79">
        <v>1</v>
      </c>
      <c r="F79">
        <v>0</v>
      </c>
      <c r="G79">
        <v>18652</v>
      </c>
      <c r="H79">
        <v>0</v>
      </c>
      <c r="I79">
        <v>1</v>
      </c>
    </row>
    <row r="80" spans="1:9" x14ac:dyDescent="0.25">
      <c r="A80">
        <v>85</v>
      </c>
      <c r="B80">
        <v>1</v>
      </c>
      <c r="C80">
        <v>19</v>
      </c>
      <c r="D80">
        <v>0</v>
      </c>
      <c r="E80">
        <v>6</v>
      </c>
      <c r="F80">
        <v>0</v>
      </c>
      <c r="G80">
        <v>94699</v>
      </c>
      <c r="H80">
        <v>1</v>
      </c>
      <c r="I80">
        <v>1</v>
      </c>
    </row>
    <row r="81" spans="1:9" x14ac:dyDescent="0.25">
      <c r="A81">
        <v>84</v>
      </c>
      <c r="B81">
        <v>0</v>
      </c>
      <c r="C81">
        <v>4</v>
      </c>
      <c r="D81">
        <v>5</v>
      </c>
      <c r="E81">
        <v>0</v>
      </c>
      <c r="F81">
        <v>0</v>
      </c>
      <c r="G81">
        <v>13247</v>
      </c>
      <c r="H81">
        <v>0</v>
      </c>
      <c r="I81">
        <v>1</v>
      </c>
    </row>
    <row r="82" spans="1:9" x14ac:dyDescent="0.25">
      <c r="A82">
        <v>84</v>
      </c>
      <c r="B82">
        <v>0</v>
      </c>
      <c r="C82">
        <v>4</v>
      </c>
      <c r="D82">
        <v>4</v>
      </c>
      <c r="E82">
        <v>0</v>
      </c>
      <c r="F82">
        <v>0</v>
      </c>
      <c r="G82">
        <v>16264</v>
      </c>
      <c r="H82">
        <v>0</v>
      </c>
      <c r="I82">
        <v>1</v>
      </c>
    </row>
    <row r="83" spans="1:9" x14ac:dyDescent="0.25">
      <c r="A83">
        <v>84</v>
      </c>
      <c r="B83">
        <v>0</v>
      </c>
      <c r="C83">
        <v>1</v>
      </c>
      <c r="D83">
        <v>3</v>
      </c>
      <c r="E83">
        <v>0</v>
      </c>
      <c r="F83">
        <v>0</v>
      </c>
      <c r="G83">
        <v>4852</v>
      </c>
      <c r="H83">
        <v>0</v>
      </c>
      <c r="I83">
        <v>1</v>
      </c>
    </row>
    <row r="84" spans="1:9" x14ac:dyDescent="0.25">
      <c r="A84">
        <v>83</v>
      </c>
      <c r="B84">
        <v>1</v>
      </c>
      <c r="C84">
        <v>2</v>
      </c>
      <c r="D84">
        <v>1</v>
      </c>
      <c r="E84">
        <v>1</v>
      </c>
      <c r="F84">
        <v>0</v>
      </c>
      <c r="G84">
        <v>4951</v>
      </c>
      <c r="H84">
        <v>0</v>
      </c>
      <c r="I84">
        <v>1</v>
      </c>
    </row>
    <row r="85" spans="1:9" x14ac:dyDescent="0.25">
      <c r="A85">
        <v>83</v>
      </c>
      <c r="B85">
        <v>1</v>
      </c>
      <c r="C85">
        <v>2</v>
      </c>
      <c r="D85">
        <v>3</v>
      </c>
      <c r="E85">
        <v>0</v>
      </c>
      <c r="F85">
        <v>0</v>
      </c>
      <c r="G85">
        <v>4531</v>
      </c>
      <c r="H85">
        <v>0</v>
      </c>
      <c r="I85">
        <v>1</v>
      </c>
    </row>
    <row r="86" spans="1:9" x14ac:dyDescent="0.25">
      <c r="A86">
        <v>83</v>
      </c>
      <c r="B86">
        <v>1</v>
      </c>
      <c r="C86">
        <v>12</v>
      </c>
      <c r="D86">
        <v>6</v>
      </c>
      <c r="E86">
        <v>1</v>
      </c>
      <c r="F86">
        <v>0</v>
      </c>
      <c r="G86">
        <v>39791</v>
      </c>
      <c r="H86">
        <v>0</v>
      </c>
      <c r="I86">
        <v>1</v>
      </c>
    </row>
    <row r="87" spans="1:9" x14ac:dyDescent="0.25">
      <c r="A87">
        <v>83</v>
      </c>
      <c r="B87">
        <v>0</v>
      </c>
      <c r="C87">
        <v>3</v>
      </c>
      <c r="D87">
        <v>1</v>
      </c>
      <c r="E87">
        <v>0</v>
      </c>
      <c r="F87">
        <v>0</v>
      </c>
      <c r="G87">
        <v>8399</v>
      </c>
      <c r="H87">
        <v>0</v>
      </c>
      <c r="I87">
        <v>1</v>
      </c>
    </row>
    <row r="88" spans="1:9" x14ac:dyDescent="0.25">
      <c r="A88">
        <v>83</v>
      </c>
      <c r="B88">
        <v>1</v>
      </c>
      <c r="C88">
        <v>2</v>
      </c>
      <c r="D88">
        <v>7</v>
      </c>
      <c r="E88">
        <v>1</v>
      </c>
      <c r="F88">
        <v>0</v>
      </c>
      <c r="G88">
        <v>11809</v>
      </c>
      <c r="H88">
        <v>0</v>
      </c>
      <c r="I88">
        <v>1</v>
      </c>
    </row>
    <row r="89" spans="1:9" x14ac:dyDescent="0.25">
      <c r="A89">
        <v>83</v>
      </c>
      <c r="B89">
        <v>1</v>
      </c>
      <c r="C89">
        <v>2</v>
      </c>
      <c r="D89">
        <v>8</v>
      </c>
      <c r="E89">
        <v>0</v>
      </c>
      <c r="F89">
        <v>0</v>
      </c>
      <c r="G89">
        <v>5320</v>
      </c>
      <c r="H89">
        <v>0</v>
      </c>
      <c r="I89">
        <v>1</v>
      </c>
    </row>
    <row r="90" spans="1:9" x14ac:dyDescent="0.25">
      <c r="A90">
        <v>83</v>
      </c>
      <c r="B90">
        <v>0</v>
      </c>
      <c r="C90">
        <v>6</v>
      </c>
      <c r="D90">
        <v>2</v>
      </c>
      <c r="E90">
        <v>1</v>
      </c>
      <c r="F90">
        <v>0</v>
      </c>
      <c r="G90">
        <v>23349</v>
      </c>
      <c r="H90">
        <v>0</v>
      </c>
      <c r="I90">
        <v>1</v>
      </c>
    </row>
    <row r="91" spans="1:9" x14ac:dyDescent="0.25">
      <c r="A91">
        <v>83</v>
      </c>
      <c r="B91">
        <v>1</v>
      </c>
      <c r="C91">
        <v>9</v>
      </c>
      <c r="D91">
        <v>6</v>
      </c>
      <c r="E91">
        <v>1</v>
      </c>
      <c r="F91">
        <v>0</v>
      </c>
      <c r="G91">
        <v>33249</v>
      </c>
      <c r="H91">
        <v>0</v>
      </c>
      <c r="I91">
        <v>1</v>
      </c>
    </row>
    <row r="92" spans="1:9" x14ac:dyDescent="0.25">
      <c r="A92">
        <v>83</v>
      </c>
      <c r="B92">
        <v>1</v>
      </c>
      <c r="C92">
        <v>1</v>
      </c>
      <c r="D92">
        <v>5</v>
      </c>
      <c r="E92">
        <v>0</v>
      </c>
      <c r="F92">
        <v>0</v>
      </c>
      <c r="G92">
        <v>12722</v>
      </c>
      <c r="H92">
        <v>0</v>
      </c>
      <c r="I92">
        <v>1</v>
      </c>
    </row>
    <row r="93" spans="1:9" x14ac:dyDescent="0.25">
      <c r="A93">
        <v>83</v>
      </c>
      <c r="B93">
        <v>1</v>
      </c>
      <c r="C93">
        <v>5</v>
      </c>
      <c r="D93">
        <v>5</v>
      </c>
      <c r="E93">
        <v>2</v>
      </c>
      <c r="F93">
        <v>0</v>
      </c>
      <c r="G93">
        <v>12589</v>
      </c>
      <c r="H93">
        <v>0</v>
      </c>
      <c r="I93">
        <v>1</v>
      </c>
    </row>
    <row r="94" spans="1:9" x14ac:dyDescent="0.25">
      <c r="A94">
        <v>83</v>
      </c>
      <c r="B94">
        <v>1</v>
      </c>
      <c r="C94">
        <v>6</v>
      </c>
      <c r="D94">
        <v>4</v>
      </c>
      <c r="E94">
        <v>0</v>
      </c>
      <c r="F94">
        <v>0</v>
      </c>
      <c r="G94">
        <v>23839</v>
      </c>
      <c r="H94">
        <v>0</v>
      </c>
      <c r="I94">
        <v>1</v>
      </c>
    </row>
    <row r="95" spans="1:9" x14ac:dyDescent="0.25">
      <c r="A95">
        <v>83</v>
      </c>
      <c r="B95">
        <v>1</v>
      </c>
      <c r="C95">
        <v>8</v>
      </c>
      <c r="D95">
        <v>6</v>
      </c>
      <c r="E95">
        <v>1</v>
      </c>
      <c r="F95">
        <v>0</v>
      </c>
      <c r="G95">
        <v>28523</v>
      </c>
      <c r="H95">
        <v>1</v>
      </c>
      <c r="I95">
        <v>1</v>
      </c>
    </row>
    <row r="96" spans="1:9" x14ac:dyDescent="0.25">
      <c r="A96">
        <v>83</v>
      </c>
      <c r="B96">
        <v>1</v>
      </c>
      <c r="C96">
        <v>6</v>
      </c>
      <c r="D96">
        <v>2</v>
      </c>
      <c r="E96">
        <v>1</v>
      </c>
      <c r="F96">
        <v>0</v>
      </c>
      <c r="G96">
        <v>18547</v>
      </c>
      <c r="H96">
        <v>1</v>
      </c>
      <c r="I96">
        <v>1</v>
      </c>
    </row>
    <row r="97" spans="1:9" x14ac:dyDescent="0.25">
      <c r="A97">
        <v>83</v>
      </c>
      <c r="B97">
        <v>1</v>
      </c>
      <c r="C97">
        <v>4</v>
      </c>
      <c r="D97">
        <v>5</v>
      </c>
      <c r="E97">
        <v>1</v>
      </c>
      <c r="F97">
        <v>0</v>
      </c>
      <c r="G97">
        <v>20617</v>
      </c>
      <c r="H97">
        <v>1</v>
      </c>
      <c r="I97">
        <v>1</v>
      </c>
    </row>
    <row r="98" spans="1:9" x14ac:dyDescent="0.25">
      <c r="A98">
        <v>83</v>
      </c>
      <c r="B98">
        <v>1</v>
      </c>
      <c r="C98">
        <v>12</v>
      </c>
      <c r="D98">
        <v>3</v>
      </c>
      <c r="E98">
        <v>6</v>
      </c>
      <c r="F98">
        <v>0</v>
      </c>
      <c r="G98">
        <v>86659</v>
      </c>
      <c r="H98">
        <v>1</v>
      </c>
      <c r="I98">
        <v>1</v>
      </c>
    </row>
    <row r="99" spans="1:9" x14ac:dyDescent="0.25">
      <c r="A99">
        <v>83</v>
      </c>
      <c r="B99">
        <v>0</v>
      </c>
      <c r="C99">
        <v>5</v>
      </c>
      <c r="D99">
        <v>7</v>
      </c>
      <c r="E99">
        <v>6</v>
      </c>
      <c r="F99">
        <v>0</v>
      </c>
      <c r="G99">
        <v>23327</v>
      </c>
      <c r="H99">
        <v>1</v>
      </c>
      <c r="I99">
        <v>1</v>
      </c>
    </row>
    <row r="100" spans="1:9" x14ac:dyDescent="0.25">
      <c r="A100">
        <v>82</v>
      </c>
      <c r="B100">
        <v>1</v>
      </c>
      <c r="C100">
        <v>6</v>
      </c>
      <c r="D100">
        <v>5</v>
      </c>
      <c r="E100">
        <v>0</v>
      </c>
      <c r="F100">
        <v>0</v>
      </c>
      <c r="G100">
        <v>15909</v>
      </c>
      <c r="H100">
        <v>0</v>
      </c>
      <c r="I100">
        <v>1</v>
      </c>
    </row>
    <row r="101" spans="1:9" x14ac:dyDescent="0.25">
      <c r="A101">
        <v>82</v>
      </c>
      <c r="B101">
        <v>1</v>
      </c>
      <c r="C101">
        <v>3</v>
      </c>
      <c r="D101">
        <v>4</v>
      </c>
      <c r="E101">
        <v>0</v>
      </c>
      <c r="F101">
        <v>0</v>
      </c>
      <c r="G101">
        <v>11385</v>
      </c>
      <c r="H101">
        <v>0</v>
      </c>
      <c r="I101">
        <v>1</v>
      </c>
    </row>
    <row r="102" spans="1:9" x14ac:dyDescent="0.25">
      <c r="A102">
        <v>82</v>
      </c>
      <c r="B102">
        <v>1</v>
      </c>
      <c r="C102">
        <v>2</v>
      </c>
      <c r="D102">
        <v>1</v>
      </c>
      <c r="E102">
        <v>0</v>
      </c>
      <c r="F102">
        <v>0</v>
      </c>
      <c r="G102">
        <v>10633</v>
      </c>
      <c r="H102">
        <v>0</v>
      </c>
      <c r="I102">
        <v>1</v>
      </c>
    </row>
    <row r="103" spans="1:9" x14ac:dyDescent="0.25">
      <c r="A103">
        <v>82</v>
      </c>
      <c r="B103">
        <v>1</v>
      </c>
      <c r="C103">
        <v>4</v>
      </c>
      <c r="D103">
        <v>1</v>
      </c>
      <c r="E103">
        <v>0</v>
      </c>
      <c r="F103">
        <v>0</v>
      </c>
      <c r="G103">
        <v>16523</v>
      </c>
      <c r="H103">
        <v>0</v>
      </c>
      <c r="I103">
        <v>1</v>
      </c>
    </row>
    <row r="104" spans="1:9" x14ac:dyDescent="0.25">
      <c r="A104">
        <v>82</v>
      </c>
      <c r="B104">
        <v>1</v>
      </c>
      <c r="C104">
        <v>4</v>
      </c>
      <c r="D104">
        <v>6</v>
      </c>
      <c r="E104">
        <v>0</v>
      </c>
      <c r="F104">
        <v>0</v>
      </c>
      <c r="G104">
        <v>15470</v>
      </c>
      <c r="H104">
        <v>0</v>
      </c>
      <c r="I104">
        <v>1</v>
      </c>
    </row>
    <row r="105" spans="1:9" x14ac:dyDescent="0.25">
      <c r="A105">
        <v>82</v>
      </c>
      <c r="B105">
        <v>0</v>
      </c>
      <c r="C105">
        <v>7</v>
      </c>
      <c r="D105">
        <v>5</v>
      </c>
      <c r="E105">
        <v>0</v>
      </c>
      <c r="F105">
        <v>0</v>
      </c>
      <c r="G105">
        <v>20959</v>
      </c>
      <c r="H105">
        <v>0</v>
      </c>
      <c r="I105">
        <v>1</v>
      </c>
    </row>
    <row r="106" spans="1:9" x14ac:dyDescent="0.25">
      <c r="A106">
        <v>82</v>
      </c>
      <c r="B106">
        <v>0</v>
      </c>
      <c r="C106">
        <v>2</v>
      </c>
      <c r="D106">
        <v>4</v>
      </c>
      <c r="E106">
        <v>0</v>
      </c>
      <c r="F106">
        <v>0</v>
      </c>
      <c r="G106">
        <v>12770</v>
      </c>
      <c r="H106">
        <v>0</v>
      </c>
      <c r="I106">
        <v>1</v>
      </c>
    </row>
    <row r="107" spans="1:9" x14ac:dyDescent="0.25">
      <c r="A107">
        <v>81</v>
      </c>
      <c r="B107">
        <v>0</v>
      </c>
      <c r="C107">
        <v>13</v>
      </c>
      <c r="D107">
        <v>2</v>
      </c>
      <c r="E107">
        <v>0</v>
      </c>
      <c r="F107">
        <v>0</v>
      </c>
      <c r="G107">
        <v>56827</v>
      </c>
      <c r="H107">
        <v>0</v>
      </c>
      <c r="I107">
        <v>1</v>
      </c>
    </row>
    <row r="108" spans="1:9" x14ac:dyDescent="0.25">
      <c r="A108">
        <v>81</v>
      </c>
      <c r="B108">
        <v>0</v>
      </c>
      <c r="C108">
        <v>3</v>
      </c>
      <c r="D108">
        <v>5</v>
      </c>
      <c r="E108">
        <v>0</v>
      </c>
      <c r="F108">
        <v>0</v>
      </c>
      <c r="G108">
        <v>13258</v>
      </c>
      <c r="H108">
        <v>0</v>
      </c>
      <c r="I108">
        <v>1</v>
      </c>
    </row>
    <row r="109" spans="1:9" x14ac:dyDescent="0.25">
      <c r="A109">
        <v>81</v>
      </c>
      <c r="B109">
        <v>0</v>
      </c>
      <c r="C109">
        <v>2</v>
      </c>
      <c r="D109">
        <v>2</v>
      </c>
      <c r="E109">
        <v>0</v>
      </c>
      <c r="F109">
        <v>0</v>
      </c>
      <c r="G109">
        <v>10442</v>
      </c>
      <c r="H109">
        <v>0</v>
      </c>
      <c r="I109">
        <v>1</v>
      </c>
    </row>
    <row r="110" spans="1:9" x14ac:dyDescent="0.25">
      <c r="A110">
        <v>81</v>
      </c>
      <c r="B110">
        <v>0</v>
      </c>
      <c r="C110">
        <v>4</v>
      </c>
      <c r="D110">
        <v>8</v>
      </c>
      <c r="E110">
        <v>0</v>
      </c>
      <c r="F110">
        <v>0</v>
      </c>
      <c r="G110">
        <v>10733</v>
      </c>
      <c r="H110">
        <v>0</v>
      </c>
      <c r="I110">
        <v>1</v>
      </c>
    </row>
    <row r="111" spans="1:9" x14ac:dyDescent="0.25">
      <c r="A111">
        <v>81</v>
      </c>
      <c r="B111">
        <v>1</v>
      </c>
      <c r="C111">
        <v>5</v>
      </c>
      <c r="D111">
        <v>5</v>
      </c>
      <c r="E111">
        <v>0</v>
      </c>
      <c r="F111">
        <v>0</v>
      </c>
      <c r="G111">
        <v>14903</v>
      </c>
      <c r="H111">
        <v>0</v>
      </c>
      <c r="I111">
        <v>1</v>
      </c>
    </row>
    <row r="112" spans="1:9" x14ac:dyDescent="0.25">
      <c r="A112">
        <v>81</v>
      </c>
      <c r="B112">
        <v>1</v>
      </c>
      <c r="C112">
        <v>2</v>
      </c>
      <c r="D112">
        <v>4</v>
      </c>
      <c r="E112">
        <v>0</v>
      </c>
      <c r="F112">
        <v>0</v>
      </c>
      <c r="G112">
        <v>8666</v>
      </c>
      <c r="H112">
        <v>0</v>
      </c>
      <c r="I112">
        <v>1</v>
      </c>
    </row>
    <row r="113" spans="1:9" x14ac:dyDescent="0.25">
      <c r="A113">
        <v>81</v>
      </c>
      <c r="B113">
        <v>1</v>
      </c>
      <c r="C113">
        <v>13</v>
      </c>
      <c r="D113">
        <v>7</v>
      </c>
      <c r="E113">
        <v>0</v>
      </c>
      <c r="F113">
        <v>0</v>
      </c>
      <c r="G113">
        <v>34557</v>
      </c>
      <c r="H113">
        <v>0</v>
      </c>
      <c r="I113">
        <v>1</v>
      </c>
    </row>
    <row r="114" spans="1:9" x14ac:dyDescent="0.25">
      <c r="A114">
        <v>81</v>
      </c>
      <c r="B114">
        <v>0</v>
      </c>
      <c r="C114">
        <v>11</v>
      </c>
      <c r="D114">
        <v>8</v>
      </c>
      <c r="E114">
        <v>0</v>
      </c>
      <c r="F114">
        <v>0</v>
      </c>
      <c r="G114">
        <v>44268</v>
      </c>
      <c r="H114">
        <v>0</v>
      </c>
      <c r="I114">
        <v>1</v>
      </c>
    </row>
    <row r="115" spans="1:9" x14ac:dyDescent="0.25">
      <c r="A115">
        <v>81</v>
      </c>
      <c r="B115">
        <v>1</v>
      </c>
      <c r="C115">
        <v>3</v>
      </c>
      <c r="D115">
        <v>3</v>
      </c>
      <c r="E115">
        <v>1</v>
      </c>
      <c r="F115">
        <v>0</v>
      </c>
      <c r="G115">
        <v>9579</v>
      </c>
      <c r="H115">
        <v>0</v>
      </c>
      <c r="I115">
        <v>1</v>
      </c>
    </row>
    <row r="116" spans="1:9" x14ac:dyDescent="0.25">
      <c r="A116">
        <v>81</v>
      </c>
      <c r="B116">
        <v>1</v>
      </c>
      <c r="C116">
        <v>7</v>
      </c>
      <c r="D116">
        <v>3</v>
      </c>
      <c r="E116">
        <v>0</v>
      </c>
      <c r="F116">
        <v>0</v>
      </c>
      <c r="G116">
        <v>25009</v>
      </c>
      <c r="H116">
        <v>0</v>
      </c>
      <c r="I116">
        <v>1</v>
      </c>
    </row>
    <row r="117" spans="1:9" x14ac:dyDescent="0.25">
      <c r="A117">
        <v>81</v>
      </c>
      <c r="B117">
        <v>0</v>
      </c>
      <c r="C117">
        <v>3</v>
      </c>
      <c r="D117">
        <v>4</v>
      </c>
      <c r="E117">
        <v>0</v>
      </c>
      <c r="F117">
        <v>0</v>
      </c>
      <c r="G117">
        <v>11285</v>
      </c>
      <c r="H117">
        <v>0</v>
      </c>
      <c r="I117">
        <v>1</v>
      </c>
    </row>
    <row r="118" spans="1:9" x14ac:dyDescent="0.25">
      <c r="A118">
        <v>81</v>
      </c>
      <c r="B118">
        <v>0</v>
      </c>
      <c r="C118">
        <v>5</v>
      </c>
      <c r="D118">
        <v>2</v>
      </c>
      <c r="E118">
        <v>0</v>
      </c>
      <c r="F118">
        <v>0</v>
      </c>
      <c r="G118">
        <v>15400</v>
      </c>
      <c r="H118">
        <v>0</v>
      </c>
      <c r="I118">
        <v>1</v>
      </c>
    </row>
    <row r="119" spans="1:9" x14ac:dyDescent="0.25">
      <c r="A119">
        <v>81</v>
      </c>
      <c r="B119">
        <v>1</v>
      </c>
      <c r="C119">
        <v>8</v>
      </c>
      <c r="D119">
        <v>6</v>
      </c>
      <c r="E119">
        <v>1</v>
      </c>
      <c r="F119">
        <v>0</v>
      </c>
      <c r="G119">
        <v>25989</v>
      </c>
      <c r="H119">
        <v>0</v>
      </c>
      <c r="I119">
        <v>1</v>
      </c>
    </row>
    <row r="120" spans="1:9" x14ac:dyDescent="0.25">
      <c r="A120">
        <v>81</v>
      </c>
      <c r="B120">
        <v>1</v>
      </c>
      <c r="C120">
        <v>7</v>
      </c>
      <c r="D120">
        <v>5</v>
      </c>
      <c r="E120">
        <v>0</v>
      </c>
      <c r="F120">
        <v>0</v>
      </c>
      <c r="G120">
        <v>11661</v>
      </c>
      <c r="H120">
        <v>0</v>
      </c>
      <c r="I120">
        <v>1</v>
      </c>
    </row>
    <row r="121" spans="1:9" x14ac:dyDescent="0.25">
      <c r="A121">
        <v>81</v>
      </c>
      <c r="B121">
        <v>1</v>
      </c>
      <c r="C121">
        <v>4</v>
      </c>
      <c r="D121">
        <v>5</v>
      </c>
      <c r="E121">
        <v>2</v>
      </c>
      <c r="F121">
        <v>0</v>
      </c>
      <c r="G121">
        <v>11852</v>
      </c>
      <c r="H121">
        <v>0</v>
      </c>
      <c r="I121">
        <v>1</v>
      </c>
    </row>
    <row r="122" spans="1:9" x14ac:dyDescent="0.25">
      <c r="A122">
        <v>81</v>
      </c>
      <c r="B122">
        <v>1</v>
      </c>
      <c r="C122">
        <v>10</v>
      </c>
      <c r="D122">
        <v>6</v>
      </c>
      <c r="E122">
        <v>2</v>
      </c>
      <c r="F122">
        <v>0</v>
      </c>
      <c r="G122">
        <v>28716</v>
      </c>
      <c r="H122">
        <v>0</v>
      </c>
      <c r="I122">
        <v>1</v>
      </c>
    </row>
    <row r="123" spans="1:9" x14ac:dyDescent="0.25">
      <c r="A123">
        <v>81</v>
      </c>
      <c r="B123">
        <v>1</v>
      </c>
      <c r="C123">
        <v>3</v>
      </c>
      <c r="D123">
        <v>4</v>
      </c>
      <c r="E123">
        <v>1</v>
      </c>
      <c r="F123">
        <v>0</v>
      </c>
      <c r="G123">
        <v>17237</v>
      </c>
      <c r="H123">
        <v>0</v>
      </c>
      <c r="I123">
        <v>1</v>
      </c>
    </row>
    <row r="124" spans="1:9" x14ac:dyDescent="0.25">
      <c r="A124">
        <v>81</v>
      </c>
      <c r="B124">
        <v>1</v>
      </c>
      <c r="C124">
        <v>7</v>
      </c>
      <c r="D124">
        <v>3</v>
      </c>
      <c r="E124">
        <v>2</v>
      </c>
      <c r="F124">
        <v>0</v>
      </c>
      <c r="G124">
        <v>49497</v>
      </c>
      <c r="H124">
        <v>1</v>
      </c>
      <c r="I124">
        <v>1</v>
      </c>
    </row>
    <row r="125" spans="1:9" x14ac:dyDescent="0.25">
      <c r="A125">
        <v>81</v>
      </c>
      <c r="B125">
        <v>0</v>
      </c>
      <c r="C125">
        <v>5</v>
      </c>
      <c r="D125">
        <v>2</v>
      </c>
      <c r="E125">
        <v>1</v>
      </c>
      <c r="F125">
        <v>0</v>
      </c>
      <c r="G125">
        <v>21945</v>
      </c>
      <c r="H125">
        <v>1</v>
      </c>
      <c r="I125">
        <v>1</v>
      </c>
    </row>
    <row r="126" spans="1:9" x14ac:dyDescent="0.25">
      <c r="A126">
        <v>81</v>
      </c>
      <c r="B126">
        <v>0</v>
      </c>
      <c r="C126">
        <v>3</v>
      </c>
      <c r="D126">
        <v>4</v>
      </c>
      <c r="E126">
        <v>3</v>
      </c>
      <c r="F126">
        <v>0</v>
      </c>
      <c r="G126">
        <v>41941</v>
      </c>
      <c r="H126">
        <v>1</v>
      </c>
      <c r="I126">
        <v>1</v>
      </c>
    </row>
    <row r="127" spans="1:9" x14ac:dyDescent="0.25">
      <c r="A127">
        <v>81</v>
      </c>
      <c r="B127">
        <v>1</v>
      </c>
      <c r="C127">
        <v>34</v>
      </c>
      <c r="D127">
        <v>1</v>
      </c>
      <c r="E127">
        <v>5</v>
      </c>
      <c r="F127">
        <v>0</v>
      </c>
      <c r="G127">
        <v>226307</v>
      </c>
      <c r="H127">
        <v>1</v>
      </c>
      <c r="I127">
        <v>1</v>
      </c>
    </row>
    <row r="128" spans="1:9" x14ac:dyDescent="0.25">
      <c r="A128">
        <v>81</v>
      </c>
      <c r="B128">
        <v>1</v>
      </c>
      <c r="C128">
        <v>38</v>
      </c>
      <c r="D128">
        <v>3</v>
      </c>
      <c r="E128">
        <v>6</v>
      </c>
      <c r="F128">
        <v>0</v>
      </c>
      <c r="G128">
        <v>174504</v>
      </c>
      <c r="H128">
        <v>1</v>
      </c>
      <c r="I128">
        <v>1</v>
      </c>
    </row>
    <row r="129" spans="1:9" x14ac:dyDescent="0.25">
      <c r="A129">
        <v>80</v>
      </c>
      <c r="B129">
        <v>1</v>
      </c>
      <c r="C129">
        <v>4</v>
      </c>
      <c r="D129">
        <v>3</v>
      </c>
      <c r="E129">
        <v>0</v>
      </c>
      <c r="F129">
        <v>0</v>
      </c>
      <c r="G129">
        <v>14340</v>
      </c>
      <c r="H129">
        <v>0</v>
      </c>
      <c r="I129">
        <v>1</v>
      </c>
    </row>
    <row r="130" spans="1:9" x14ac:dyDescent="0.25">
      <c r="A130">
        <v>80</v>
      </c>
      <c r="B130">
        <v>0</v>
      </c>
      <c r="C130">
        <v>2</v>
      </c>
      <c r="D130">
        <v>3</v>
      </c>
      <c r="E130">
        <v>0</v>
      </c>
      <c r="F130">
        <v>0</v>
      </c>
      <c r="G130">
        <v>5753</v>
      </c>
      <c r="H130">
        <v>0</v>
      </c>
      <c r="I130">
        <v>1</v>
      </c>
    </row>
    <row r="131" spans="1:9" x14ac:dyDescent="0.25">
      <c r="A131">
        <v>80</v>
      </c>
      <c r="B131">
        <v>1</v>
      </c>
      <c r="C131">
        <v>3</v>
      </c>
      <c r="D131">
        <v>3</v>
      </c>
      <c r="E131">
        <v>0</v>
      </c>
      <c r="F131">
        <v>0</v>
      </c>
      <c r="G131">
        <v>7973</v>
      </c>
      <c r="H131">
        <v>0</v>
      </c>
      <c r="I131">
        <v>1</v>
      </c>
    </row>
    <row r="132" spans="1:9" x14ac:dyDescent="0.25">
      <c r="A132">
        <v>80</v>
      </c>
      <c r="B132">
        <v>1</v>
      </c>
      <c r="C132">
        <v>15</v>
      </c>
      <c r="D132">
        <v>1</v>
      </c>
      <c r="E132">
        <v>0</v>
      </c>
      <c r="F132">
        <v>0</v>
      </c>
      <c r="G132">
        <v>22765</v>
      </c>
      <c r="H132">
        <v>0</v>
      </c>
      <c r="I132">
        <v>1</v>
      </c>
    </row>
    <row r="133" spans="1:9" x14ac:dyDescent="0.25">
      <c r="A133">
        <v>80</v>
      </c>
      <c r="B133">
        <v>0</v>
      </c>
      <c r="C133">
        <v>4</v>
      </c>
      <c r="D133">
        <v>6</v>
      </c>
      <c r="E133">
        <v>1</v>
      </c>
      <c r="F133">
        <v>0</v>
      </c>
      <c r="G133">
        <v>15375</v>
      </c>
      <c r="H133">
        <v>0</v>
      </c>
      <c r="I133">
        <v>1</v>
      </c>
    </row>
    <row r="134" spans="1:9" x14ac:dyDescent="0.25">
      <c r="A134">
        <v>80</v>
      </c>
      <c r="B134">
        <v>1</v>
      </c>
      <c r="C134">
        <v>9</v>
      </c>
      <c r="D134">
        <v>4</v>
      </c>
      <c r="E134">
        <v>0</v>
      </c>
      <c r="F134">
        <v>0</v>
      </c>
      <c r="G134">
        <v>17291</v>
      </c>
      <c r="H134">
        <v>0</v>
      </c>
      <c r="I134">
        <v>1</v>
      </c>
    </row>
    <row r="135" spans="1:9" x14ac:dyDescent="0.25">
      <c r="A135">
        <v>80</v>
      </c>
      <c r="B135">
        <v>1</v>
      </c>
      <c r="C135">
        <v>10</v>
      </c>
      <c r="D135">
        <v>6</v>
      </c>
      <c r="E135">
        <v>0</v>
      </c>
      <c r="F135">
        <v>0</v>
      </c>
      <c r="G135">
        <v>27856</v>
      </c>
      <c r="H135">
        <v>0</v>
      </c>
      <c r="I135">
        <v>1</v>
      </c>
    </row>
    <row r="136" spans="1:9" x14ac:dyDescent="0.25">
      <c r="A136">
        <v>80</v>
      </c>
      <c r="B136">
        <v>1</v>
      </c>
      <c r="C136">
        <v>6</v>
      </c>
      <c r="D136">
        <v>5</v>
      </c>
      <c r="E136">
        <v>0</v>
      </c>
      <c r="F136">
        <v>0</v>
      </c>
      <c r="G136">
        <v>16245</v>
      </c>
      <c r="H136">
        <v>0</v>
      </c>
      <c r="I136">
        <v>1</v>
      </c>
    </row>
    <row r="137" spans="1:9" x14ac:dyDescent="0.25">
      <c r="A137">
        <v>80</v>
      </c>
      <c r="B137">
        <v>1</v>
      </c>
      <c r="C137">
        <v>4</v>
      </c>
      <c r="D137">
        <v>0</v>
      </c>
      <c r="E137">
        <v>0</v>
      </c>
      <c r="F137">
        <v>0</v>
      </c>
      <c r="G137">
        <v>14456</v>
      </c>
      <c r="H137">
        <v>0</v>
      </c>
      <c r="I137">
        <v>1</v>
      </c>
    </row>
    <row r="138" spans="1:9" x14ac:dyDescent="0.25">
      <c r="A138">
        <v>80</v>
      </c>
      <c r="B138">
        <v>1</v>
      </c>
      <c r="C138">
        <v>15</v>
      </c>
      <c r="D138">
        <v>5</v>
      </c>
      <c r="E138">
        <v>2</v>
      </c>
      <c r="F138">
        <v>0</v>
      </c>
      <c r="G138">
        <v>33878</v>
      </c>
      <c r="H138">
        <v>0</v>
      </c>
      <c r="I138">
        <v>1</v>
      </c>
    </row>
    <row r="139" spans="1:9" x14ac:dyDescent="0.25">
      <c r="A139">
        <v>80</v>
      </c>
      <c r="B139">
        <v>1</v>
      </c>
      <c r="C139">
        <v>6</v>
      </c>
      <c r="D139">
        <v>6</v>
      </c>
      <c r="E139">
        <v>0</v>
      </c>
      <c r="F139">
        <v>0</v>
      </c>
      <c r="G139">
        <v>10242</v>
      </c>
      <c r="H139">
        <v>0</v>
      </c>
      <c r="I139">
        <v>1</v>
      </c>
    </row>
    <row r="140" spans="1:9" x14ac:dyDescent="0.25">
      <c r="A140">
        <v>80</v>
      </c>
      <c r="B140">
        <v>1</v>
      </c>
      <c r="C140">
        <v>3</v>
      </c>
      <c r="D140">
        <v>3</v>
      </c>
      <c r="E140">
        <v>1</v>
      </c>
      <c r="F140">
        <v>0</v>
      </c>
      <c r="G140">
        <v>24451</v>
      </c>
      <c r="H140">
        <v>1</v>
      </c>
      <c r="I140">
        <v>1</v>
      </c>
    </row>
    <row r="141" spans="1:9" x14ac:dyDescent="0.25">
      <c r="A141">
        <v>78</v>
      </c>
      <c r="B141">
        <v>0</v>
      </c>
      <c r="C141">
        <v>2</v>
      </c>
      <c r="D141">
        <v>5</v>
      </c>
      <c r="E141">
        <v>0</v>
      </c>
      <c r="F141">
        <v>0</v>
      </c>
      <c r="G141">
        <v>4076</v>
      </c>
      <c r="H141">
        <v>0</v>
      </c>
      <c r="I141">
        <v>1</v>
      </c>
    </row>
    <row r="142" spans="1:9" x14ac:dyDescent="0.25">
      <c r="A142">
        <v>78</v>
      </c>
      <c r="B142">
        <v>0</v>
      </c>
      <c r="C142">
        <v>3</v>
      </c>
      <c r="D142">
        <v>5</v>
      </c>
      <c r="E142">
        <v>0</v>
      </c>
      <c r="F142">
        <v>0</v>
      </c>
      <c r="G142">
        <v>6993</v>
      </c>
      <c r="H142">
        <v>0</v>
      </c>
      <c r="I142">
        <v>1</v>
      </c>
    </row>
    <row r="143" spans="1:9" x14ac:dyDescent="0.25">
      <c r="A143">
        <v>78</v>
      </c>
      <c r="B143">
        <v>1</v>
      </c>
      <c r="C143">
        <v>3</v>
      </c>
      <c r="D143">
        <v>7</v>
      </c>
      <c r="E143">
        <v>0</v>
      </c>
      <c r="F143">
        <v>0</v>
      </c>
      <c r="G143">
        <v>11701</v>
      </c>
      <c r="H143">
        <v>0</v>
      </c>
      <c r="I143">
        <v>1</v>
      </c>
    </row>
    <row r="144" spans="1:9" x14ac:dyDescent="0.25">
      <c r="A144">
        <v>78</v>
      </c>
      <c r="B144">
        <v>0</v>
      </c>
      <c r="C144">
        <v>3</v>
      </c>
      <c r="D144">
        <v>4</v>
      </c>
      <c r="E144">
        <v>0</v>
      </c>
      <c r="F144">
        <v>0</v>
      </c>
      <c r="G144">
        <v>8165</v>
      </c>
      <c r="H144">
        <v>0</v>
      </c>
      <c r="I144">
        <v>1</v>
      </c>
    </row>
    <row r="145" spans="1:9" x14ac:dyDescent="0.25">
      <c r="A145">
        <v>78</v>
      </c>
      <c r="B145">
        <v>1</v>
      </c>
      <c r="C145">
        <v>1</v>
      </c>
      <c r="D145">
        <v>8</v>
      </c>
      <c r="E145">
        <v>0</v>
      </c>
      <c r="F145">
        <v>0</v>
      </c>
      <c r="G145">
        <v>10175</v>
      </c>
      <c r="H145">
        <v>0</v>
      </c>
      <c r="I145">
        <v>1</v>
      </c>
    </row>
    <row r="146" spans="1:9" x14ac:dyDescent="0.25">
      <c r="A146">
        <v>78</v>
      </c>
      <c r="B146">
        <v>1</v>
      </c>
      <c r="C146">
        <v>4</v>
      </c>
      <c r="D146">
        <v>5</v>
      </c>
      <c r="E146">
        <v>0</v>
      </c>
      <c r="F146">
        <v>0</v>
      </c>
      <c r="G146">
        <v>15876</v>
      </c>
      <c r="H146">
        <v>0</v>
      </c>
      <c r="I146">
        <v>1</v>
      </c>
    </row>
    <row r="147" spans="1:9" x14ac:dyDescent="0.25">
      <c r="A147">
        <v>78</v>
      </c>
      <c r="B147">
        <v>0</v>
      </c>
      <c r="C147">
        <v>5</v>
      </c>
      <c r="D147">
        <v>3</v>
      </c>
      <c r="E147">
        <v>0</v>
      </c>
      <c r="F147">
        <v>0</v>
      </c>
      <c r="G147">
        <v>14001</v>
      </c>
      <c r="H147">
        <v>0</v>
      </c>
      <c r="I147">
        <v>1</v>
      </c>
    </row>
    <row r="148" spans="1:9" x14ac:dyDescent="0.25">
      <c r="A148">
        <v>78</v>
      </c>
      <c r="B148">
        <v>1</v>
      </c>
      <c r="C148">
        <v>9</v>
      </c>
      <c r="D148">
        <v>7</v>
      </c>
      <c r="E148">
        <v>0</v>
      </c>
      <c r="F148">
        <v>0</v>
      </c>
      <c r="G148">
        <v>29594</v>
      </c>
      <c r="H148">
        <v>0</v>
      </c>
      <c r="I148">
        <v>1</v>
      </c>
    </row>
    <row r="149" spans="1:9" x14ac:dyDescent="0.25">
      <c r="A149">
        <v>78</v>
      </c>
      <c r="B149">
        <v>1</v>
      </c>
      <c r="C149">
        <v>4</v>
      </c>
      <c r="D149">
        <v>4</v>
      </c>
      <c r="E149">
        <v>0</v>
      </c>
      <c r="F149">
        <v>0</v>
      </c>
      <c r="G149">
        <v>10237</v>
      </c>
      <c r="H149">
        <v>0</v>
      </c>
      <c r="I149">
        <v>1</v>
      </c>
    </row>
    <row r="150" spans="1:9" x14ac:dyDescent="0.25">
      <c r="A150">
        <v>78</v>
      </c>
      <c r="B150">
        <v>1</v>
      </c>
      <c r="C150">
        <v>3</v>
      </c>
      <c r="D150">
        <v>3</v>
      </c>
      <c r="E150">
        <v>3</v>
      </c>
      <c r="F150">
        <v>0</v>
      </c>
      <c r="G150">
        <v>10040</v>
      </c>
      <c r="H150">
        <v>0</v>
      </c>
      <c r="I150">
        <v>1</v>
      </c>
    </row>
    <row r="151" spans="1:9" x14ac:dyDescent="0.25">
      <c r="A151">
        <v>78</v>
      </c>
      <c r="B151">
        <v>1</v>
      </c>
      <c r="C151">
        <v>5</v>
      </c>
      <c r="D151">
        <v>5</v>
      </c>
      <c r="E151">
        <v>0</v>
      </c>
      <c r="F151">
        <v>0</v>
      </c>
      <c r="G151">
        <v>23888</v>
      </c>
      <c r="H151">
        <v>0</v>
      </c>
      <c r="I151">
        <v>1</v>
      </c>
    </row>
    <row r="152" spans="1:9" x14ac:dyDescent="0.25">
      <c r="A152">
        <v>78</v>
      </c>
      <c r="B152">
        <v>0</v>
      </c>
      <c r="C152">
        <v>16</v>
      </c>
      <c r="D152">
        <v>5</v>
      </c>
      <c r="E152">
        <v>0</v>
      </c>
      <c r="F152">
        <v>0</v>
      </c>
      <c r="G152">
        <v>26806</v>
      </c>
      <c r="H152">
        <v>0</v>
      </c>
      <c r="I152">
        <v>1</v>
      </c>
    </row>
    <row r="153" spans="1:9" x14ac:dyDescent="0.25">
      <c r="A153">
        <v>78</v>
      </c>
      <c r="B153">
        <v>1</v>
      </c>
      <c r="C153">
        <v>5</v>
      </c>
      <c r="D153">
        <v>8</v>
      </c>
      <c r="E153">
        <v>0</v>
      </c>
      <c r="F153">
        <v>0</v>
      </c>
      <c r="G153">
        <v>13158</v>
      </c>
      <c r="H153">
        <v>0</v>
      </c>
      <c r="I153">
        <v>1</v>
      </c>
    </row>
    <row r="154" spans="1:9" x14ac:dyDescent="0.25">
      <c r="A154">
        <v>76</v>
      </c>
      <c r="B154">
        <v>1</v>
      </c>
      <c r="C154">
        <v>2</v>
      </c>
      <c r="D154">
        <v>4</v>
      </c>
      <c r="E154">
        <v>0</v>
      </c>
      <c r="F154">
        <v>0</v>
      </c>
      <c r="G154">
        <v>9361</v>
      </c>
      <c r="H154">
        <v>0</v>
      </c>
      <c r="I154">
        <v>1</v>
      </c>
    </row>
    <row r="155" spans="1:9" x14ac:dyDescent="0.25">
      <c r="A155">
        <v>76</v>
      </c>
      <c r="B155">
        <v>1</v>
      </c>
      <c r="C155">
        <v>1</v>
      </c>
      <c r="D155">
        <v>4</v>
      </c>
      <c r="E155">
        <v>1</v>
      </c>
      <c r="F155">
        <v>0</v>
      </c>
      <c r="G155">
        <v>23922</v>
      </c>
      <c r="H155">
        <v>1</v>
      </c>
      <c r="I155">
        <v>1</v>
      </c>
    </row>
    <row r="156" spans="1:9" x14ac:dyDescent="0.25">
      <c r="A156">
        <v>76</v>
      </c>
      <c r="B156">
        <v>0</v>
      </c>
      <c r="C156">
        <v>2</v>
      </c>
      <c r="D156">
        <v>2</v>
      </c>
      <c r="E156">
        <v>1</v>
      </c>
      <c r="F156">
        <v>0</v>
      </c>
      <c r="G156">
        <v>13229</v>
      </c>
      <c r="H156">
        <v>1</v>
      </c>
      <c r="I156">
        <v>1</v>
      </c>
    </row>
    <row r="157" spans="1:9" x14ac:dyDescent="0.25">
      <c r="A157">
        <v>76</v>
      </c>
      <c r="B157">
        <v>0</v>
      </c>
      <c r="C157">
        <v>9</v>
      </c>
      <c r="D157">
        <v>5</v>
      </c>
      <c r="E157">
        <v>2</v>
      </c>
      <c r="F157">
        <v>0</v>
      </c>
      <c r="G157">
        <v>50918</v>
      </c>
      <c r="H157">
        <v>1</v>
      </c>
      <c r="I157">
        <v>1</v>
      </c>
    </row>
    <row r="158" spans="1:9" x14ac:dyDescent="0.25">
      <c r="A158">
        <v>75</v>
      </c>
      <c r="B158">
        <v>0</v>
      </c>
      <c r="C158">
        <v>5</v>
      </c>
      <c r="D158">
        <v>2</v>
      </c>
      <c r="E158">
        <v>0</v>
      </c>
      <c r="F158">
        <v>0</v>
      </c>
      <c r="G158">
        <v>13934</v>
      </c>
      <c r="H158">
        <v>0</v>
      </c>
      <c r="I158">
        <v>1</v>
      </c>
    </row>
    <row r="159" spans="1:9" x14ac:dyDescent="0.25">
      <c r="A159">
        <v>75</v>
      </c>
      <c r="B159">
        <v>1</v>
      </c>
      <c r="C159">
        <v>2</v>
      </c>
      <c r="D159">
        <v>5</v>
      </c>
      <c r="E159">
        <v>0</v>
      </c>
      <c r="F159">
        <v>0</v>
      </c>
      <c r="G159">
        <v>10406</v>
      </c>
      <c r="H159">
        <v>0</v>
      </c>
      <c r="I159">
        <v>1</v>
      </c>
    </row>
    <row r="160" spans="1:9" x14ac:dyDescent="0.25">
      <c r="A160">
        <v>75</v>
      </c>
      <c r="B160">
        <v>1</v>
      </c>
      <c r="C160">
        <v>2</v>
      </c>
      <c r="D160">
        <v>3</v>
      </c>
      <c r="E160">
        <v>0</v>
      </c>
      <c r="F160">
        <v>0</v>
      </c>
      <c r="G160">
        <v>10048</v>
      </c>
      <c r="H160">
        <v>0</v>
      </c>
      <c r="I160">
        <v>1</v>
      </c>
    </row>
    <row r="161" spans="1:9" x14ac:dyDescent="0.25">
      <c r="A161">
        <v>75</v>
      </c>
      <c r="B161">
        <v>1</v>
      </c>
      <c r="C161">
        <v>3</v>
      </c>
      <c r="D161">
        <v>2</v>
      </c>
      <c r="E161">
        <v>0</v>
      </c>
      <c r="F161">
        <v>0</v>
      </c>
      <c r="G161">
        <v>13313</v>
      </c>
      <c r="H161">
        <v>0</v>
      </c>
      <c r="I161">
        <v>1</v>
      </c>
    </row>
    <row r="162" spans="1:9" x14ac:dyDescent="0.25">
      <c r="A162">
        <v>75</v>
      </c>
      <c r="B162">
        <v>0</v>
      </c>
      <c r="C162">
        <v>5</v>
      </c>
      <c r="D162">
        <v>4</v>
      </c>
      <c r="E162">
        <v>2</v>
      </c>
      <c r="F162">
        <v>0</v>
      </c>
      <c r="G162">
        <v>23408</v>
      </c>
      <c r="H162">
        <v>0</v>
      </c>
      <c r="I162">
        <v>1</v>
      </c>
    </row>
    <row r="163" spans="1:9" x14ac:dyDescent="0.25">
      <c r="A163">
        <v>75</v>
      </c>
      <c r="B163">
        <v>0</v>
      </c>
      <c r="C163">
        <v>4</v>
      </c>
      <c r="D163">
        <v>2</v>
      </c>
      <c r="E163">
        <v>0</v>
      </c>
      <c r="F163">
        <v>0</v>
      </c>
      <c r="G163">
        <v>8305</v>
      </c>
      <c r="H163">
        <v>0</v>
      </c>
      <c r="I163">
        <v>1</v>
      </c>
    </row>
    <row r="164" spans="1:9" x14ac:dyDescent="0.25">
      <c r="A164">
        <v>75</v>
      </c>
      <c r="B164">
        <v>1</v>
      </c>
      <c r="C164">
        <v>3</v>
      </c>
      <c r="D164">
        <v>6</v>
      </c>
      <c r="E164">
        <v>0</v>
      </c>
      <c r="F164">
        <v>0</v>
      </c>
      <c r="G164">
        <v>12601</v>
      </c>
      <c r="H164">
        <v>0</v>
      </c>
      <c r="I164">
        <v>1</v>
      </c>
    </row>
    <row r="165" spans="1:9" x14ac:dyDescent="0.25">
      <c r="A165">
        <v>75</v>
      </c>
      <c r="B165">
        <v>0</v>
      </c>
      <c r="C165">
        <v>1</v>
      </c>
      <c r="D165">
        <v>3</v>
      </c>
      <c r="E165">
        <v>0</v>
      </c>
      <c r="F165">
        <v>0</v>
      </c>
      <c r="G165">
        <v>8019</v>
      </c>
      <c r="H165">
        <v>0</v>
      </c>
      <c r="I165">
        <v>1</v>
      </c>
    </row>
    <row r="166" spans="1:9" x14ac:dyDescent="0.25">
      <c r="A166">
        <v>75</v>
      </c>
      <c r="B166">
        <v>0</v>
      </c>
      <c r="C166">
        <v>3</v>
      </c>
      <c r="D166">
        <v>2</v>
      </c>
      <c r="E166">
        <v>0</v>
      </c>
      <c r="F166">
        <v>0</v>
      </c>
      <c r="G166">
        <v>7281</v>
      </c>
      <c r="H166">
        <v>0</v>
      </c>
      <c r="I166">
        <v>1</v>
      </c>
    </row>
    <row r="167" spans="1:9" x14ac:dyDescent="0.25">
      <c r="A167">
        <v>75</v>
      </c>
      <c r="B167">
        <v>1</v>
      </c>
      <c r="C167">
        <v>12</v>
      </c>
      <c r="D167">
        <v>4</v>
      </c>
      <c r="E167">
        <v>0</v>
      </c>
      <c r="F167">
        <v>0</v>
      </c>
      <c r="G167">
        <v>25101</v>
      </c>
      <c r="H167">
        <v>0</v>
      </c>
      <c r="I167">
        <v>1</v>
      </c>
    </row>
    <row r="168" spans="1:9" x14ac:dyDescent="0.25">
      <c r="A168">
        <v>75</v>
      </c>
      <c r="B168">
        <v>1</v>
      </c>
      <c r="C168">
        <v>14</v>
      </c>
      <c r="D168">
        <v>4</v>
      </c>
      <c r="E168">
        <v>0</v>
      </c>
      <c r="F168">
        <v>0</v>
      </c>
      <c r="G168">
        <v>22198</v>
      </c>
      <c r="H168">
        <v>0</v>
      </c>
      <c r="I168">
        <v>1</v>
      </c>
    </row>
    <row r="169" spans="1:9" x14ac:dyDescent="0.25">
      <c r="A169">
        <v>75</v>
      </c>
      <c r="B169">
        <v>0</v>
      </c>
      <c r="C169">
        <v>13</v>
      </c>
      <c r="D169">
        <v>7</v>
      </c>
      <c r="E169">
        <v>0</v>
      </c>
      <c r="F169">
        <v>0</v>
      </c>
      <c r="G169">
        <v>21604</v>
      </c>
      <c r="H169">
        <v>0</v>
      </c>
      <c r="I169">
        <v>1</v>
      </c>
    </row>
    <row r="170" spans="1:9" x14ac:dyDescent="0.25">
      <c r="A170">
        <v>75</v>
      </c>
      <c r="B170">
        <v>0</v>
      </c>
      <c r="C170">
        <v>8</v>
      </c>
      <c r="D170">
        <v>4</v>
      </c>
      <c r="E170">
        <v>0</v>
      </c>
      <c r="F170">
        <v>0</v>
      </c>
      <c r="G170">
        <v>17932</v>
      </c>
      <c r="H170">
        <v>0</v>
      </c>
      <c r="I170">
        <v>1</v>
      </c>
    </row>
    <row r="171" spans="1:9" x14ac:dyDescent="0.25">
      <c r="A171">
        <v>75</v>
      </c>
      <c r="B171">
        <v>0</v>
      </c>
      <c r="C171">
        <v>6</v>
      </c>
      <c r="D171">
        <v>5</v>
      </c>
      <c r="E171">
        <v>2</v>
      </c>
      <c r="F171">
        <v>0</v>
      </c>
      <c r="G171">
        <v>24842</v>
      </c>
      <c r="H171">
        <v>1</v>
      </c>
      <c r="I171">
        <v>1</v>
      </c>
    </row>
    <row r="172" spans="1:9" x14ac:dyDescent="0.25">
      <c r="A172">
        <v>74</v>
      </c>
      <c r="B172">
        <v>0</v>
      </c>
      <c r="C172">
        <v>2</v>
      </c>
      <c r="D172">
        <v>4</v>
      </c>
      <c r="E172">
        <v>0</v>
      </c>
      <c r="F172">
        <v>0</v>
      </c>
      <c r="G172">
        <v>7723</v>
      </c>
      <c r="H172">
        <v>0</v>
      </c>
      <c r="I172">
        <v>1</v>
      </c>
    </row>
    <row r="173" spans="1:9" x14ac:dyDescent="0.25">
      <c r="A173">
        <v>74</v>
      </c>
      <c r="B173">
        <v>0</v>
      </c>
      <c r="C173">
        <v>1</v>
      </c>
      <c r="D173">
        <v>5</v>
      </c>
      <c r="E173">
        <v>0</v>
      </c>
      <c r="F173">
        <v>0</v>
      </c>
      <c r="G173">
        <v>7417</v>
      </c>
      <c r="H173">
        <v>0</v>
      </c>
      <c r="I173">
        <v>1</v>
      </c>
    </row>
    <row r="174" spans="1:9" x14ac:dyDescent="0.25">
      <c r="A174">
        <v>74</v>
      </c>
      <c r="B174">
        <v>1</v>
      </c>
      <c r="C174">
        <v>10</v>
      </c>
      <c r="D174">
        <v>2</v>
      </c>
      <c r="E174">
        <v>1</v>
      </c>
      <c r="F174">
        <v>0</v>
      </c>
      <c r="G174">
        <v>42599</v>
      </c>
      <c r="H174">
        <v>0</v>
      </c>
      <c r="I174">
        <v>1</v>
      </c>
    </row>
    <row r="175" spans="1:9" x14ac:dyDescent="0.25">
      <c r="A175">
        <v>74</v>
      </c>
      <c r="B175">
        <v>1</v>
      </c>
      <c r="C175">
        <v>2</v>
      </c>
      <c r="D175">
        <v>4</v>
      </c>
      <c r="E175">
        <v>0</v>
      </c>
      <c r="F175">
        <v>0</v>
      </c>
      <c r="G175">
        <v>8337</v>
      </c>
      <c r="H175">
        <v>0</v>
      </c>
      <c r="I175">
        <v>1</v>
      </c>
    </row>
    <row r="176" spans="1:9" x14ac:dyDescent="0.25">
      <c r="A176">
        <v>74</v>
      </c>
      <c r="B176">
        <v>0</v>
      </c>
      <c r="C176">
        <v>8</v>
      </c>
      <c r="D176">
        <v>4</v>
      </c>
      <c r="E176">
        <v>0</v>
      </c>
      <c r="F176">
        <v>0</v>
      </c>
      <c r="G176">
        <v>12937</v>
      </c>
      <c r="H176">
        <v>0</v>
      </c>
      <c r="I176">
        <v>1</v>
      </c>
    </row>
    <row r="177" spans="1:9" x14ac:dyDescent="0.25">
      <c r="A177">
        <v>74</v>
      </c>
      <c r="B177">
        <v>0</v>
      </c>
      <c r="C177">
        <v>3</v>
      </c>
      <c r="D177">
        <v>6</v>
      </c>
      <c r="E177">
        <v>0</v>
      </c>
      <c r="F177">
        <v>0</v>
      </c>
      <c r="G177">
        <v>12437</v>
      </c>
      <c r="H177">
        <v>0</v>
      </c>
      <c r="I177">
        <v>1</v>
      </c>
    </row>
    <row r="178" spans="1:9" x14ac:dyDescent="0.25">
      <c r="A178">
        <v>74</v>
      </c>
      <c r="B178">
        <v>1</v>
      </c>
      <c r="C178">
        <v>1</v>
      </c>
      <c r="D178">
        <v>6</v>
      </c>
      <c r="E178">
        <v>0</v>
      </c>
      <c r="F178">
        <v>0</v>
      </c>
      <c r="G178">
        <v>6424</v>
      </c>
      <c r="H178">
        <v>0</v>
      </c>
      <c r="I178">
        <v>1</v>
      </c>
    </row>
    <row r="179" spans="1:9" x14ac:dyDescent="0.25">
      <c r="A179">
        <v>74</v>
      </c>
      <c r="B179">
        <v>0</v>
      </c>
      <c r="C179">
        <v>3</v>
      </c>
      <c r="D179">
        <v>6</v>
      </c>
      <c r="E179">
        <v>0</v>
      </c>
      <c r="F179">
        <v>0</v>
      </c>
      <c r="G179">
        <v>16554</v>
      </c>
      <c r="H179">
        <v>0</v>
      </c>
      <c r="I179">
        <v>1</v>
      </c>
    </row>
    <row r="180" spans="1:9" x14ac:dyDescent="0.25">
      <c r="A180">
        <v>74</v>
      </c>
      <c r="B180">
        <v>0</v>
      </c>
      <c r="C180">
        <v>6</v>
      </c>
      <c r="D180">
        <v>5</v>
      </c>
      <c r="E180">
        <v>0</v>
      </c>
      <c r="F180">
        <v>0</v>
      </c>
      <c r="G180">
        <v>26582</v>
      </c>
      <c r="H180">
        <v>0</v>
      </c>
      <c r="I180">
        <v>1</v>
      </c>
    </row>
    <row r="181" spans="1:9" x14ac:dyDescent="0.25">
      <c r="A181">
        <v>74</v>
      </c>
      <c r="B181">
        <v>0</v>
      </c>
      <c r="C181">
        <v>2</v>
      </c>
      <c r="D181">
        <v>3</v>
      </c>
      <c r="E181">
        <v>0</v>
      </c>
      <c r="F181">
        <v>0</v>
      </c>
      <c r="G181">
        <v>11672</v>
      </c>
      <c r="H181">
        <v>0</v>
      </c>
      <c r="I181">
        <v>1</v>
      </c>
    </row>
    <row r="182" spans="1:9" x14ac:dyDescent="0.25">
      <c r="A182">
        <v>74</v>
      </c>
      <c r="B182">
        <v>0</v>
      </c>
      <c r="C182">
        <v>4</v>
      </c>
      <c r="D182">
        <v>5</v>
      </c>
      <c r="E182">
        <v>0</v>
      </c>
      <c r="F182">
        <v>0</v>
      </c>
      <c r="G182">
        <v>9658</v>
      </c>
      <c r="H182">
        <v>0</v>
      </c>
      <c r="I182">
        <v>1</v>
      </c>
    </row>
    <row r="183" spans="1:9" x14ac:dyDescent="0.25">
      <c r="A183">
        <v>74</v>
      </c>
      <c r="B183">
        <v>0</v>
      </c>
      <c r="C183">
        <v>3</v>
      </c>
      <c r="D183">
        <v>4</v>
      </c>
      <c r="E183">
        <v>2</v>
      </c>
      <c r="F183">
        <v>0</v>
      </c>
      <c r="G183">
        <v>19810</v>
      </c>
      <c r="H183">
        <v>0</v>
      </c>
      <c r="I183">
        <v>1</v>
      </c>
    </row>
    <row r="184" spans="1:9" x14ac:dyDescent="0.25">
      <c r="A184">
        <v>74</v>
      </c>
      <c r="B184">
        <v>1</v>
      </c>
      <c r="C184">
        <v>6</v>
      </c>
      <c r="D184">
        <v>4</v>
      </c>
      <c r="E184">
        <v>0</v>
      </c>
      <c r="F184">
        <v>0</v>
      </c>
      <c r="G184">
        <v>29229</v>
      </c>
      <c r="H184">
        <v>0</v>
      </c>
      <c r="I184">
        <v>1</v>
      </c>
    </row>
    <row r="185" spans="1:9" x14ac:dyDescent="0.25">
      <c r="A185">
        <v>74</v>
      </c>
      <c r="B185">
        <v>1</v>
      </c>
      <c r="C185">
        <v>4</v>
      </c>
      <c r="D185">
        <v>8</v>
      </c>
      <c r="E185">
        <v>0</v>
      </c>
      <c r="F185">
        <v>0</v>
      </c>
      <c r="G185">
        <v>19055</v>
      </c>
      <c r="H185">
        <v>0</v>
      </c>
      <c r="I185">
        <v>1</v>
      </c>
    </row>
    <row r="186" spans="1:9" x14ac:dyDescent="0.25">
      <c r="A186">
        <v>74</v>
      </c>
      <c r="B186">
        <v>0</v>
      </c>
      <c r="C186">
        <v>4</v>
      </c>
      <c r="D186">
        <v>4</v>
      </c>
      <c r="E186">
        <v>2</v>
      </c>
      <c r="F186">
        <v>0</v>
      </c>
      <c r="G186">
        <v>11690</v>
      </c>
      <c r="H186">
        <v>0</v>
      </c>
      <c r="I186">
        <v>1</v>
      </c>
    </row>
    <row r="187" spans="1:9" x14ac:dyDescent="0.25">
      <c r="A187">
        <v>74</v>
      </c>
      <c r="B187">
        <v>1</v>
      </c>
      <c r="C187">
        <v>3</v>
      </c>
      <c r="D187">
        <v>5</v>
      </c>
      <c r="E187">
        <v>0</v>
      </c>
      <c r="F187">
        <v>0</v>
      </c>
      <c r="G187">
        <v>25747</v>
      </c>
      <c r="H187">
        <v>0</v>
      </c>
      <c r="I187">
        <v>1</v>
      </c>
    </row>
    <row r="188" spans="1:9" x14ac:dyDescent="0.25">
      <c r="A188">
        <v>74</v>
      </c>
      <c r="B188">
        <v>0</v>
      </c>
      <c r="C188">
        <v>7</v>
      </c>
      <c r="D188">
        <v>4</v>
      </c>
      <c r="E188">
        <v>3</v>
      </c>
      <c r="F188">
        <v>0</v>
      </c>
      <c r="G188">
        <v>22685</v>
      </c>
      <c r="H188">
        <v>0</v>
      </c>
      <c r="I188">
        <v>1</v>
      </c>
    </row>
    <row r="189" spans="1:9" x14ac:dyDescent="0.25">
      <c r="A189">
        <v>54</v>
      </c>
      <c r="B189">
        <v>1</v>
      </c>
      <c r="C189">
        <v>5</v>
      </c>
      <c r="D189">
        <v>7</v>
      </c>
      <c r="E189">
        <v>3</v>
      </c>
      <c r="F189">
        <v>0</v>
      </c>
      <c r="G189">
        <v>25892</v>
      </c>
      <c r="H189">
        <v>1</v>
      </c>
      <c r="I189">
        <v>1</v>
      </c>
    </row>
    <row r="190" spans="1:9" x14ac:dyDescent="0.25">
      <c r="A190">
        <v>53</v>
      </c>
      <c r="B190">
        <v>1</v>
      </c>
      <c r="C190">
        <v>8</v>
      </c>
      <c r="D190">
        <v>5</v>
      </c>
      <c r="E190">
        <v>0</v>
      </c>
      <c r="F190">
        <v>0</v>
      </c>
      <c r="G190">
        <v>25912</v>
      </c>
      <c r="H190">
        <v>0</v>
      </c>
      <c r="I190">
        <v>1</v>
      </c>
    </row>
    <row r="191" spans="1:9" x14ac:dyDescent="0.25">
      <c r="A191">
        <v>53</v>
      </c>
      <c r="B191">
        <v>1</v>
      </c>
      <c r="C191">
        <v>3</v>
      </c>
      <c r="D191">
        <v>3</v>
      </c>
      <c r="E191">
        <v>0</v>
      </c>
      <c r="F191">
        <v>0</v>
      </c>
      <c r="G191">
        <v>7398</v>
      </c>
      <c r="H191">
        <v>0</v>
      </c>
      <c r="I191">
        <v>1</v>
      </c>
    </row>
    <row r="192" spans="1:9" x14ac:dyDescent="0.25">
      <c r="A192">
        <v>53</v>
      </c>
      <c r="B192">
        <v>0</v>
      </c>
      <c r="C192">
        <v>5</v>
      </c>
      <c r="D192">
        <v>6</v>
      </c>
      <c r="E192">
        <v>0</v>
      </c>
      <c r="F192">
        <v>0</v>
      </c>
      <c r="G192">
        <v>12609</v>
      </c>
      <c r="H192">
        <v>0</v>
      </c>
      <c r="I192">
        <v>1</v>
      </c>
    </row>
    <row r="193" spans="1:9" x14ac:dyDescent="0.25">
      <c r="A193">
        <v>53</v>
      </c>
      <c r="B193">
        <v>1</v>
      </c>
      <c r="C193">
        <v>5</v>
      </c>
      <c r="D193">
        <v>7</v>
      </c>
      <c r="E193">
        <v>0</v>
      </c>
      <c r="F193">
        <v>0</v>
      </c>
      <c r="G193">
        <v>23935</v>
      </c>
      <c r="H193">
        <v>0</v>
      </c>
      <c r="I193">
        <v>1</v>
      </c>
    </row>
    <row r="194" spans="1:9" x14ac:dyDescent="0.25">
      <c r="A194">
        <v>53</v>
      </c>
      <c r="B194">
        <v>0</v>
      </c>
      <c r="C194">
        <v>3</v>
      </c>
      <c r="D194">
        <v>5</v>
      </c>
      <c r="E194">
        <v>0</v>
      </c>
      <c r="F194">
        <v>0</v>
      </c>
      <c r="G194">
        <v>10159</v>
      </c>
      <c r="H194">
        <v>0</v>
      </c>
      <c r="I194">
        <v>1</v>
      </c>
    </row>
    <row r="195" spans="1:9" x14ac:dyDescent="0.25">
      <c r="A195">
        <v>53</v>
      </c>
      <c r="B195">
        <v>1</v>
      </c>
      <c r="C195">
        <v>3</v>
      </c>
      <c r="D195">
        <v>2</v>
      </c>
      <c r="E195">
        <v>1</v>
      </c>
      <c r="F195">
        <v>0</v>
      </c>
      <c r="G195">
        <v>8193</v>
      </c>
      <c r="H195">
        <v>0</v>
      </c>
      <c r="I195">
        <v>1</v>
      </c>
    </row>
    <row r="196" spans="1:9" x14ac:dyDescent="0.25">
      <c r="A196">
        <v>53</v>
      </c>
      <c r="B196">
        <v>1</v>
      </c>
      <c r="C196">
        <v>6</v>
      </c>
      <c r="D196">
        <v>4</v>
      </c>
      <c r="E196">
        <v>0</v>
      </c>
      <c r="F196">
        <v>0</v>
      </c>
      <c r="G196">
        <v>20485</v>
      </c>
      <c r="H196">
        <v>0</v>
      </c>
      <c r="I196">
        <v>1</v>
      </c>
    </row>
    <row r="197" spans="1:9" x14ac:dyDescent="0.25">
      <c r="A197">
        <v>53</v>
      </c>
      <c r="B197">
        <v>1</v>
      </c>
      <c r="C197">
        <v>3</v>
      </c>
      <c r="D197">
        <v>7</v>
      </c>
      <c r="E197">
        <v>0</v>
      </c>
      <c r="F197">
        <v>0</v>
      </c>
      <c r="G197">
        <v>13327</v>
      </c>
      <c r="H197">
        <v>0</v>
      </c>
      <c r="I197">
        <v>1</v>
      </c>
    </row>
    <row r="198" spans="1:9" x14ac:dyDescent="0.25">
      <c r="A198">
        <v>53</v>
      </c>
      <c r="B198">
        <v>0</v>
      </c>
      <c r="C198">
        <v>3</v>
      </c>
      <c r="D198">
        <v>2</v>
      </c>
      <c r="E198">
        <v>1</v>
      </c>
      <c r="F198">
        <v>0</v>
      </c>
      <c r="G198">
        <v>16120</v>
      </c>
      <c r="H198">
        <v>0</v>
      </c>
      <c r="I198">
        <v>1</v>
      </c>
    </row>
    <row r="199" spans="1:9" x14ac:dyDescent="0.25">
      <c r="A199">
        <v>53</v>
      </c>
      <c r="B199">
        <v>0</v>
      </c>
      <c r="C199">
        <v>2</v>
      </c>
      <c r="D199">
        <v>3</v>
      </c>
      <c r="E199">
        <v>0</v>
      </c>
      <c r="F199">
        <v>0</v>
      </c>
      <c r="G199">
        <v>6262</v>
      </c>
      <c r="H199">
        <v>0</v>
      </c>
      <c r="I199">
        <v>1</v>
      </c>
    </row>
    <row r="200" spans="1:9" x14ac:dyDescent="0.25">
      <c r="A200">
        <v>53</v>
      </c>
      <c r="B200">
        <v>1</v>
      </c>
      <c r="C200">
        <v>1</v>
      </c>
      <c r="D200">
        <v>4</v>
      </c>
      <c r="E200">
        <v>0</v>
      </c>
      <c r="F200">
        <v>0</v>
      </c>
      <c r="G200">
        <v>6793</v>
      </c>
      <c r="H200">
        <v>0</v>
      </c>
      <c r="I200">
        <v>1</v>
      </c>
    </row>
    <row r="201" spans="1:9" x14ac:dyDescent="0.25">
      <c r="A201">
        <v>53</v>
      </c>
      <c r="B201">
        <v>1</v>
      </c>
      <c r="C201">
        <v>5</v>
      </c>
      <c r="D201">
        <v>1</v>
      </c>
      <c r="E201">
        <v>2</v>
      </c>
      <c r="F201">
        <v>0</v>
      </c>
      <c r="G201">
        <v>9101</v>
      </c>
      <c r="H201">
        <v>0</v>
      </c>
      <c r="I201">
        <v>1</v>
      </c>
    </row>
    <row r="202" spans="1:9" x14ac:dyDescent="0.25">
      <c r="A202">
        <v>53</v>
      </c>
      <c r="B202">
        <v>0</v>
      </c>
      <c r="C202">
        <v>6</v>
      </c>
      <c r="D202">
        <v>4</v>
      </c>
      <c r="E202">
        <v>0</v>
      </c>
      <c r="F202">
        <v>0</v>
      </c>
      <c r="G202">
        <v>8494</v>
      </c>
      <c r="H202">
        <v>0</v>
      </c>
      <c r="I202">
        <v>1</v>
      </c>
    </row>
    <row r="203" spans="1:9" x14ac:dyDescent="0.25">
      <c r="A203">
        <v>53</v>
      </c>
      <c r="B203">
        <v>1</v>
      </c>
      <c r="C203">
        <v>2</v>
      </c>
      <c r="D203">
        <v>5</v>
      </c>
      <c r="E203">
        <v>0</v>
      </c>
      <c r="F203">
        <v>0</v>
      </c>
      <c r="G203">
        <v>7589</v>
      </c>
      <c r="H203">
        <v>0</v>
      </c>
      <c r="I203">
        <v>1</v>
      </c>
    </row>
    <row r="204" spans="1:9" x14ac:dyDescent="0.25">
      <c r="A204">
        <v>53</v>
      </c>
      <c r="B204">
        <v>1</v>
      </c>
      <c r="C204">
        <v>2</v>
      </c>
      <c r="D204">
        <v>1</v>
      </c>
      <c r="E204">
        <v>0</v>
      </c>
      <c r="F204">
        <v>0</v>
      </c>
      <c r="G204">
        <v>6739</v>
      </c>
      <c r="H204">
        <v>0</v>
      </c>
      <c r="I204">
        <v>1</v>
      </c>
    </row>
    <row r="205" spans="1:9" x14ac:dyDescent="0.25">
      <c r="A205">
        <v>53</v>
      </c>
      <c r="B205">
        <v>0</v>
      </c>
      <c r="C205">
        <v>2</v>
      </c>
      <c r="D205">
        <v>0</v>
      </c>
      <c r="E205">
        <v>0</v>
      </c>
      <c r="F205">
        <v>0</v>
      </c>
      <c r="G205">
        <v>9459</v>
      </c>
      <c r="H205">
        <v>0</v>
      </c>
      <c r="I205">
        <v>1</v>
      </c>
    </row>
    <row r="206" spans="1:9" x14ac:dyDescent="0.25">
      <c r="A206">
        <v>53</v>
      </c>
      <c r="B206">
        <v>0</v>
      </c>
      <c r="C206">
        <v>2</v>
      </c>
      <c r="D206">
        <v>6</v>
      </c>
      <c r="E206">
        <v>0</v>
      </c>
      <c r="F206">
        <v>0</v>
      </c>
      <c r="G206">
        <v>17697</v>
      </c>
      <c r="H206">
        <v>0</v>
      </c>
      <c r="I206">
        <v>1</v>
      </c>
    </row>
    <row r="207" spans="1:9" x14ac:dyDescent="0.25">
      <c r="A207">
        <v>53</v>
      </c>
      <c r="B207">
        <v>0</v>
      </c>
      <c r="C207">
        <v>1</v>
      </c>
      <c r="D207">
        <v>5</v>
      </c>
      <c r="E207">
        <v>0</v>
      </c>
      <c r="F207">
        <v>0</v>
      </c>
      <c r="G207">
        <v>14173</v>
      </c>
      <c r="H207">
        <v>0</v>
      </c>
      <c r="I207">
        <v>1</v>
      </c>
    </row>
    <row r="208" spans="1:9" x14ac:dyDescent="0.25">
      <c r="A208">
        <v>53</v>
      </c>
      <c r="B208">
        <v>0</v>
      </c>
      <c r="C208">
        <v>7</v>
      </c>
      <c r="D208">
        <v>0</v>
      </c>
      <c r="E208">
        <v>0</v>
      </c>
      <c r="F208">
        <v>0</v>
      </c>
      <c r="G208">
        <v>28547</v>
      </c>
      <c r="H208">
        <v>0</v>
      </c>
      <c r="I208">
        <v>1</v>
      </c>
    </row>
    <row r="209" spans="1:9" x14ac:dyDescent="0.25">
      <c r="A209">
        <v>53</v>
      </c>
      <c r="B209">
        <v>1</v>
      </c>
      <c r="C209">
        <v>14</v>
      </c>
      <c r="D209">
        <v>1</v>
      </c>
      <c r="E209">
        <v>0</v>
      </c>
      <c r="F209">
        <v>0</v>
      </c>
      <c r="G209">
        <v>26700</v>
      </c>
      <c r="H209">
        <v>0</v>
      </c>
      <c r="I209">
        <v>1</v>
      </c>
    </row>
    <row r="210" spans="1:9" x14ac:dyDescent="0.25">
      <c r="A210">
        <v>53</v>
      </c>
      <c r="B210">
        <v>0</v>
      </c>
      <c r="C210">
        <v>7</v>
      </c>
      <c r="D210">
        <v>6</v>
      </c>
      <c r="E210">
        <v>0</v>
      </c>
      <c r="F210">
        <v>0</v>
      </c>
      <c r="G210">
        <v>22737</v>
      </c>
      <c r="H210">
        <v>0</v>
      </c>
      <c r="I210">
        <v>1</v>
      </c>
    </row>
    <row r="211" spans="1:9" x14ac:dyDescent="0.25">
      <c r="A211">
        <v>53</v>
      </c>
      <c r="B211">
        <v>0</v>
      </c>
      <c r="C211">
        <v>1</v>
      </c>
      <c r="D211">
        <v>4</v>
      </c>
      <c r="E211">
        <v>0</v>
      </c>
      <c r="F211">
        <v>0</v>
      </c>
      <c r="G211">
        <v>10120</v>
      </c>
      <c r="H211">
        <v>0</v>
      </c>
      <c r="I211">
        <v>1</v>
      </c>
    </row>
    <row r="212" spans="1:9" x14ac:dyDescent="0.25">
      <c r="A212">
        <v>53</v>
      </c>
      <c r="B212">
        <v>1</v>
      </c>
      <c r="C212">
        <v>6</v>
      </c>
      <c r="D212">
        <v>4</v>
      </c>
      <c r="E212">
        <v>0</v>
      </c>
      <c r="F212">
        <v>0</v>
      </c>
      <c r="G212">
        <v>13776</v>
      </c>
      <c r="H212">
        <v>0</v>
      </c>
      <c r="I212">
        <v>1</v>
      </c>
    </row>
    <row r="213" spans="1:9" x14ac:dyDescent="0.25">
      <c r="A213">
        <v>53</v>
      </c>
      <c r="B213">
        <v>1</v>
      </c>
      <c r="C213">
        <v>4</v>
      </c>
      <c r="D213">
        <v>1</v>
      </c>
      <c r="E213">
        <v>0</v>
      </c>
      <c r="F213">
        <v>0</v>
      </c>
      <c r="G213">
        <v>11809</v>
      </c>
      <c r="H213">
        <v>0</v>
      </c>
      <c r="I213">
        <v>1</v>
      </c>
    </row>
    <row r="214" spans="1:9" x14ac:dyDescent="0.25">
      <c r="A214">
        <v>53</v>
      </c>
      <c r="B214">
        <v>1</v>
      </c>
      <c r="C214">
        <v>5</v>
      </c>
      <c r="D214">
        <v>2</v>
      </c>
      <c r="E214">
        <v>0</v>
      </c>
      <c r="F214">
        <v>0</v>
      </c>
      <c r="G214">
        <v>7577</v>
      </c>
      <c r="H214">
        <v>0</v>
      </c>
      <c r="I214">
        <v>1</v>
      </c>
    </row>
    <row r="215" spans="1:9" x14ac:dyDescent="0.25">
      <c r="A215">
        <v>53</v>
      </c>
      <c r="B215">
        <v>1</v>
      </c>
      <c r="C215">
        <v>8</v>
      </c>
      <c r="D215">
        <v>2</v>
      </c>
      <c r="E215">
        <v>0</v>
      </c>
      <c r="F215">
        <v>0</v>
      </c>
      <c r="G215">
        <v>14453</v>
      </c>
      <c r="H215">
        <v>0</v>
      </c>
      <c r="I215">
        <v>1</v>
      </c>
    </row>
    <row r="216" spans="1:9" x14ac:dyDescent="0.25">
      <c r="A216">
        <v>53</v>
      </c>
      <c r="B216">
        <v>0</v>
      </c>
      <c r="C216">
        <v>11</v>
      </c>
      <c r="D216">
        <v>5</v>
      </c>
      <c r="E216">
        <v>0</v>
      </c>
      <c r="F216">
        <v>0</v>
      </c>
      <c r="G216">
        <v>18612</v>
      </c>
      <c r="H216">
        <v>0</v>
      </c>
      <c r="I216">
        <v>1</v>
      </c>
    </row>
    <row r="217" spans="1:9" x14ac:dyDescent="0.25">
      <c r="A217">
        <v>53</v>
      </c>
      <c r="B217">
        <v>0</v>
      </c>
      <c r="C217">
        <v>12</v>
      </c>
      <c r="D217">
        <v>3</v>
      </c>
      <c r="E217">
        <v>0</v>
      </c>
      <c r="F217">
        <v>0</v>
      </c>
      <c r="G217">
        <v>18926</v>
      </c>
      <c r="H217">
        <v>0</v>
      </c>
      <c r="I217">
        <v>1</v>
      </c>
    </row>
    <row r="218" spans="1:9" x14ac:dyDescent="0.25">
      <c r="A218">
        <v>53</v>
      </c>
      <c r="B218">
        <v>1</v>
      </c>
      <c r="C218">
        <v>14</v>
      </c>
      <c r="D218">
        <v>3</v>
      </c>
      <c r="E218">
        <v>1</v>
      </c>
      <c r="F218">
        <v>0</v>
      </c>
      <c r="G218">
        <v>38690</v>
      </c>
      <c r="H218">
        <v>0</v>
      </c>
      <c r="I218">
        <v>1</v>
      </c>
    </row>
    <row r="219" spans="1:9" x14ac:dyDescent="0.25">
      <c r="A219">
        <v>53</v>
      </c>
      <c r="B219">
        <v>1</v>
      </c>
      <c r="C219">
        <v>6</v>
      </c>
      <c r="D219">
        <v>4</v>
      </c>
      <c r="E219">
        <v>0</v>
      </c>
      <c r="F219">
        <v>0</v>
      </c>
      <c r="G219">
        <v>14977</v>
      </c>
      <c r="H219">
        <v>0</v>
      </c>
      <c r="I219">
        <v>1</v>
      </c>
    </row>
    <row r="220" spans="1:9" x14ac:dyDescent="0.25">
      <c r="A220">
        <v>51</v>
      </c>
      <c r="B220">
        <v>0</v>
      </c>
      <c r="C220">
        <v>8</v>
      </c>
      <c r="D220">
        <v>2</v>
      </c>
      <c r="E220">
        <v>0</v>
      </c>
      <c r="F220">
        <v>0</v>
      </c>
      <c r="G220">
        <v>12104</v>
      </c>
      <c r="H220">
        <v>0</v>
      </c>
      <c r="I220">
        <v>1</v>
      </c>
    </row>
    <row r="221" spans="1:9" x14ac:dyDescent="0.25">
      <c r="A221">
        <v>51</v>
      </c>
      <c r="B221">
        <v>1</v>
      </c>
      <c r="C221">
        <v>21</v>
      </c>
      <c r="D221">
        <v>4</v>
      </c>
      <c r="E221">
        <v>3</v>
      </c>
      <c r="F221">
        <v>0</v>
      </c>
      <c r="G221">
        <v>46974</v>
      </c>
      <c r="H221">
        <v>0</v>
      </c>
      <c r="I221">
        <v>1</v>
      </c>
    </row>
    <row r="222" spans="1:9" x14ac:dyDescent="0.25">
      <c r="A222">
        <v>51</v>
      </c>
      <c r="B222">
        <v>1</v>
      </c>
      <c r="C222">
        <v>7</v>
      </c>
      <c r="D222">
        <v>8</v>
      </c>
      <c r="E222">
        <v>2</v>
      </c>
      <c r="F222">
        <v>0</v>
      </c>
      <c r="G222">
        <v>31477</v>
      </c>
      <c r="H222">
        <v>0</v>
      </c>
      <c r="I222">
        <v>1</v>
      </c>
    </row>
    <row r="223" spans="1:9" x14ac:dyDescent="0.25">
      <c r="A223">
        <v>51</v>
      </c>
      <c r="B223">
        <v>0</v>
      </c>
      <c r="C223">
        <v>4</v>
      </c>
      <c r="D223">
        <v>3</v>
      </c>
      <c r="E223">
        <v>1</v>
      </c>
      <c r="F223">
        <v>0</v>
      </c>
      <c r="G223">
        <v>11190</v>
      </c>
      <c r="H223">
        <v>0</v>
      </c>
      <c r="I223">
        <v>1</v>
      </c>
    </row>
    <row r="224" spans="1:9" x14ac:dyDescent="0.25">
      <c r="A224">
        <v>51</v>
      </c>
      <c r="B224">
        <v>0</v>
      </c>
      <c r="C224">
        <v>16</v>
      </c>
      <c r="D224">
        <v>4</v>
      </c>
      <c r="E224">
        <v>1</v>
      </c>
      <c r="F224">
        <v>0</v>
      </c>
      <c r="G224">
        <v>61345</v>
      </c>
      <c r="H224">
        <v>1</v>
      </c>
      <c r="I224">
        <v>1</v>
      </c>
    </row>
    <row r="225" spans="1:9" x14ac:dyDescent="0.25">
      <c r="A225">
        <v>51</v>
      </c>
      <c r="B225">
        <v>1</v>
      </c>
      <c r="C225">
        <v>3</v>
      </c>
      <c r="D225">
        <v>5</v>
      </c>
      <c r="E225">
        <v>1</v>
      </c>
      <c r="F225">
        <v>0</v>
      </c>
      <c r="G225">
        <v>37323</v>
      </c>
      <c r="H225">
        <v>1</v>
      </c>
      <c r="I225">
        <v>1</v>
      </c>
    </row>
    <row r="226" spans="1:9" x14ac:dyDescent="0.25">
      <c r="A226">
        <v>51</v>
      </c>
      <c r="B226">
        <v>0</v>
      </c>
      <c r="C226">
        <v>7</v>
      </c>
      <c r="D226">
        <v>4</v>
      </c>
      <c r="E226">
        <v>2</v>
      </c>
      <c r="F226">
        <v>0</v>
      </c>
      <c r="G226">
        <v>29935</v>
      </c>
      <c r="H226">
        <v>1</v>
      </c>
      <c r="I226">
        <v>1</v>
      </c>
    </row>
    <row r="227" spans="1:9" x14ac:dyDescent="0.25">
      <c r="A227">
        <v>51</v>
      </c>
      <c r="B227">
        <v>0</v>
      </c>
      <c r="C227">
        <v>5</v>
      </c>
      <c r="D227">
        <v>5</v>
      </c>
      <c r="E227">
        <v>1</v>
      </c>
      <c r="F227">
        <v>0</v>
      </c>
      <c r="G227">
        <v>27625</v>
      </c>
      <c r="H227">
        <v>1</v>
      </c>
      <c r="I227">
        <v>1</v>
      </c>
    </row>
    <row r="228" spans="1:9" x14ac:dyDescent="0.25">
      <c r="A228">
        <v>51</v>
      </c>
      <c r="B228">
        <v>0</v>
      </c>
      <c r="C228">
        <v>3</v>
      </c>
      <c r="D228">
        <v>1</v>
      </c>
      <c r="E228">
        <v>2</v>
      </c>
      <c r="F228">
        <v>0</v>
      </c>
      <c r="G228">
        <v>32316</v>
      </c>
      <c r="H228">
        <v>1</v>
      </c>
      <c r="I228">
        <v>1</v>
      </c>
    </row>
    <row r="229" spans="1:9" x14ac:dyDescent="0.25">
      <c r="A229">
        <v>51</v>
      </c>
      <c r="B229">
        <v>1</v>
      </c>
      <c r="C229">
        <v>3</v>
      </c>
      <c r="D229">
        <v>2</v>
      </c>
      <c r="E229">
        <v>1</v>
      </c>
      <c r="F229">
        <v>0</v>
      </c>
      <c r="G229">
        <v>18596</v>
      </c>
      <c r="H229">
        <v>1</v>
      </c>
      <c r="I229">
        <v>1</v>
      </c>
    </row>
    <row r="230" spans="1:9" x14ac:dyDescent="0.25">
      <c r="A230">
        <v>51</v>
      </c>
      <c r="B230">
        <v>1</v>
      </c>
      <c r="C230">
        <v>4</v>
      </c>
      <c r="D230">
        <v>3</v>
      </c>
      <c r="E230">
        <v>3</v>
      </c>
      <c r="F230">
        <v>0</v>
      </c>
      <c r="G230">
        <v>25083</v>
      </c>
      <c r="H230">
        <v>1</v>
      </c>
      <c r="I230">
        <v>1</v>
      </c>
    </row>
    <row r="231" spans="1:9" x14ac:dyDescent="0.25">
      <c r="A231">
        <v>50</v>
      </c>
      <c r="B231">
        <v>1</v>
      </c>
      <c r="C231">
        <v>2</v>
      </c>
      <c r="D231">
        <v>3</v>
      </c>
      <c r="E231">
        <v>0</v>
      </c>
      <c r="F231">
        <v>0</v>
      </c>
      <c r="G231">
        <v>3097</v>
      </c>
      <c r="H231">
        <v>0</v>
      </c>
      <c r="I231">
        <v>1</v>
      </c>
    </row>
    <row r="232" spans="1:9" x14ac:dyDescent="0.25">
      <c r="A232">
        <v>50</v>
      </c>
      <c r="B232">
        <v>1</v>
      </c>
      <c r="C232">
        <v>2</v>
      </c>
      <c r="D232">
        <v>4</v>
      </c>
      <c r="E232">
        <v>0</v>
      </c>
      <c r="F232">
        <v>0</v>
      </c>
      <c r="G232">
        <v>14725</v>
      </c>
      <c r="H232">
        <v>0</v>
      </c>
      <c r="I232">
        <v>1</v>
      </c>
    </row>
    <row r="233" spans="1:9" x14ac:dyDescent="0.25">
      <c r="A233">
        <v>50</v>
      </c>
      <c r="B233">
        <v>0</v>
      </c>
      <c r="C233">
        <v>12</v>
      </c>
      <c r="D233">
        <v>5</v>
      </c>
      <c r="E233">
        <v>0</v>
      </c>
      <c r="F233">
        <v>0</v>
      </c>
      <c r="G233">
        <v>24147</v>
      </c>
      <c r="H233">
        <v>0</v>
      </c>
      <c r="I233">
        <v>1</v>
      </c>
    </row>
    <row r="234" spans="1:9" x14ac:dyDescent="0.25">
      <c r="A234">
        <v>50</v>
      </c>
      <c r="B234">
        <v>0</v>
      </c>
      <c r="C234">
        <v>30</v>
      </c>
      <c r="D234">
        <v>3</v>
      </c>
      <c r="E234">
        <v>0</v>
      </c>
      <c r="F234">
        <v>0</v>
      </c>
      <c r="G234">
        <v>50416</v>
      </c>
      <c r="H234">
        <v>0</v>
      </c>
      <c r="I234">
        <v>1</v>
      </c>
    </row>
    <row r="235" spans="1:9" x14ac:dyDescent="0.25">
      <c r="A235">
        <v>50</v>
      </c>
      <c r="B235">
        <v>0</v>
      </c>
      <c r="C235">
        <v>2</v>
      </c>
      <c r="D235">
        <v>5</v>
      </c>
      <c r="E235">
        <v>0</v>
      </c>
      <c r="F235">
        <v>0</v>
      </c>
      <c r="G235">
        <v>10412</v>
      </c>
      <c r="H235">
        <v>0</v>
      </c>
      <c r="I235">
        <v>1</v>
      </c>
    </row>
    <row r="236" spans="1:9" x14ac:dyDescent="0.25">
      <c r="A236">
        <v>50</v>
      </c>
      <c r="B236">
        <v>1</v>
      </c>
      <c r="C236">
        <v>7</v>
      </c>
      <c r="D236">
        <v>3</v>
      </c>
      <c r="E236">
        <v>0</v>
      </c>
      <c r="F236">
        <v>0</v>
      </c>
      <c r="G236">
        <v>10841</v>
      </c>
      <c r="H236">
        <v>0</v>
      </c>
      <c r="I236">
        <v>1</v>
      </c>
    </row>
    <row r="237" spans="1:9" x14ac:dyDescent="0.25">
      <c r="A237">
        <v>50</v>
      </c>
      <c r="B237">
        <v>0</v>
      </c>
      <c r="C237">
        <v>3</v>
      </c>
      <c r="D237">
        <v>3</v>
      </c>
      <c r="E237">
        <v>0</v>
      </c>
      <c r="F237">
        <v>0</v>
      </c>
      <c r="G237">
        <v>18796</v>
      </c>
      <c r="H237">
        <v>0</v>
      </c>
      <c r="I237">
        <v>1</v>
      </c>
    </row>
    <row r="238" spans="1:9" x14ac:dyDescent="0.25">
      <c r="A238">
        <v>50</v>
      </c>
      <c r="B238">
        <v>0</v>
      </c>
      <c r="C238">
        <v>5</v>
      </c>
      <c r="D238">
        <v>5</v>
      </c>
      <c r="E238">
        <v>0</v>
      </c>
      <c r="F238">
        <v>0</v>
      </c>
      <c r="G238">
        <v>8778</v>
      </c>
      <c r="H238">
        <v>0</v>
      </c>
      <c r="I238">
        <v>1</v>
      </c>
    </row>
    <row r="239" spans="1:9" x14ac:dyDescent="0.25">
      <c r="A239">
        <v>50</v>
      </c>
      <c r="B239">
        <v>0</v>
      </c>
      <c r="C239">
        <v>5</v>
      </c>
      <c r="D239">
        <v>1</v>
      </c>
      <c r="E239">
        <v>0</v>
      </c>
      <c r="F239">
        <v>0</v>
      </c>
      <c r="G239">
        <v>7635</v>
      </c>
      <c r="H239">
        <v>0</v>
      </c>
      <c r="I239">
        <v>1</v>
      </c>
    </row>
    <row r="240" spans="1:9" x14ac:dyDescent="0.25">
      <c r="A240">
        <v>50</v>
      </c>
      <c r="B240">
        <v>0</v>
      </c>
      <c r="C240">
        <v>3</v>
      </c>
      <c r="D240">
        <v>1</v>
      </c>
      <c r="E240">
        <v>0</v>
      </c>
      <c r="F240">
        <v>0</v>
      </c>
      <c r="G240">
        <v>13672</v>
      </c>
      <c r="H240">
        <v>0</v>
      </c>
      <c r="I240">
        <v>1</v>
      </c>
    </row>
    <row r="241" spans="1:9" x14ac:dyDescent="0.25">
      <c r="A241">
        <v>50</v>
      </c>
      <c r="B241">
        <v>1</v>
      </c>
      <c r="C241">
        <v>3</v>
      </c>
      <c r="D241">
        <v>2</v>
      </c>
      <c r="E241">
        <v>0</v>
      </c>
      <c r="F241">
        <v>0</v>
      </c>
      <c r="G241">
        <v>9770</v>
      </c>
      <c r="H241">
        <v>0</v>
      </c>
      <c r="I241">
        <v>1</v>
      </c>
    </row>
    <row r="242" spans="1:9" x14ac:dyDescent="0.25">
      <c r="A242">
        <v>50</v>
      </c>
      <c r="B242">
        <v>0</v>
      </c>
      <c r="C242">
        <v>3</v>
      </c>
      <c r="D242">
        <v>3</v>
      </c>
      <c r="E242">
        <v>0</v>
      </c>
      <c r="F242">
        <v>0</v>
      </c>
      <c r="G242">
        <v>15175</v>
      </c>
      <c r="H242">
        <v>0</v>
      </c>
      <c r="I242">
        <v>1</v>
      </c>
    </row>
    <row r="243" spans="1:9" x14ac:dyDescent="0.25">
      <c r="A243">
        <v>50</v>
      </c>
      <c r="B243">
        <v>1</v>
      </c>
      <c r="C243">
        <v>1</v>
      </c>
      <c r="D243">
        <v>4</v>
      </c>
      <c r="E243">
        <v>0</v>
      </c>
      <c r="F243">
        <v>0</v>
      </c>
      <c r="G243">
        <v>6661</v>
      </c>
      <c r="H243">
        <v>0</v>
      </c>
      <c r="I243">
        <v>1</v>
      </c>
    </row>
    <row r="244" spans="1:9" x14ac:dyDescent="0.25">
      <c r="A244">
        <v>50</v>
      </c>
      <c r="B244">
        <v>1</v>
      </c>
      <c r="C244">
        <v>5</v>
      </c>
      <c r="D244">
        <v>7</v>
      </c>
      <c r="E244">
        <v>0</v>
      </c>
      <c r="F244">
        <v>0</v>
      </c>
      <c r="G244">
        <v>13734</v>
      </c>
      <c r="H244">
        <v>0</v>
      </c>
      <c r="I244">
        <v>1</v>
      </c>
    </row>
    <row r="245" spans="1:9" x14ac:dyDescent="0.25">
      <c r="A245">
        <v>50</v>
      </c>
      <c r="B245">
        <v>1</v>
      </c>
      <c r="C245">
        <v>5</v>
      </c>
      <c r="D245">
        <v>1</v>
      </c>
      <c r="E245">
        <v>1</v>
      </c>
      <c r="F245">
        <v>0</v>
      </c>
      <c r="G245">
        <v>25008</v>
      </c>
      <c r="H245">
        <v>1</v>
      </c>
      <c r="I245">
        <v>1</v>
      </c>
    </row>
    <row r="246" spans="1:9" x14ac:dyDescent="0.25">
      <c r="A246">
        <v>37</v>
      </c>
      <c r="B246">
        <v>0</v>
      </c>
      <c r="C246">
        <v>11</v>
      </c>
      <c r="D246">
        <v>2</v>
      </c>
      <c r="E246">
        <v>0</v>
      </c>
      <c r="F246">
        <v>0</v>
      </c>
      <c r="G246">
        <v>20220</v>
      </c>
      <c r="H246">
        <v>0</v>
      </c>
      <c r="I246">
        <v>1</v>
      </c>
    </row>
    <row r="247" spans="1:9" x14ac:dyDescent="0.25">
      <c r="A247">
        <v>37</v>
      </c>
      <c r="B247">
        <v>1</v>
      </c>
      <c r="C247">
        <v>3</v>
      </c>
      <c r="D247">
        <v>2</v>
      </c>
      <c r="E247">
        <v>0</v>
      </c>
      <c r="F247">
        <v>0</v>
      </c>
      <c r="G247">
        <v>8927</v>
      </c>
      <c r="H247">
        <v>0</v>
      </c>
      <c r="I247">
        <v>1</v>
      </c>
    </row>
    <row r="248" spans="1:9" x14ac:dyDescent="0.25">
      <c r="A248">
        <v>37</v>
      </c>
      <c r="B248">
        <v>0</v>
      </c>
      <c r="C248">
        <v>12</v>
      </c>
      <c r="D248">
        <v>4</v>
      </c>
      <c r="E248">
        <v>0</v>
      </c>
      <c r="F248">
        <v>0</v>
      </c>
      <c r="G248">
        <v>22399</v>
      </c>
      <c r="H248">
        <v>0</v>
      </c>
      <c r="I248">
        <v>1</v>
      </c>
    </row>
    <row r="249" spans="1:9" x14ac:dyDescent="0.25">
      <c r="A249">
        <v>37</v>
      </c>
      <c r="B249">
        <v>0</v>
      </c>
      <c r="C249">
        <v>7</v>
      </c>
      <c r="D249">
        <v>1</v>
      </c>
      <c r="E249">
        <v>0</v>
      </c>
      <c r="F249">
        <v>0</v>
      </c>
      <c r="G249">
        <v>11026</v>
      </c>
      <c r="H249">
        <v>0</v>
      </c>
      <c r="I249">
        <v>1</v>
      </c>
    </row>
    <row r="250" spans="1:9" x14ac:dyDescent="0.25">
      <c r="A250">
        <v>37</v>
      </c>
      <c r="B250">
        <v>1</v>
      </c>
      <c r="C250">
        <v>48</v>
      </c>
      <c r="D250">
        <v>2</v>
      </c>
      <c r="E250">
        <v>3</v>
      </c>
      <c r="F250">
        <v>0</v>
      </c>
      <c r="G250">
        <v>79360</v>
      </c>
      <c r="H250">
        <v>0</v>
      </c>
      <c r="I250">
        <v>1</v>
      </c>
    </row>
    <row r="251" spans="1:9" x14ac:dyDescent="0.25">
      <c r="A251">
        <v>37</v>
      </c>
      <c r="B251">
        <v>1</v>
      </c>
      <c r="C251">
        <v>2</v>
      </c>
      <c r="D251">
        <v>0</v>
      </c>
      <c r="E251">
        <v>2</v>
      </c>
      <c r="F251">
        <v>0</v>
      </c>
      <c r="G251">
        <v>8652</v>
      </c>
      <c r="H251">
        <v>0</v>
      </c>
      <c r="I251">
        <v>1</v>
      </c>
    </row>
    <row r="252" spans="1:9" x14ac:dyDescent="0.25">
      <c r="A252">
        <v>37</v>
      </c>
      <c r="B252">
        <v>1</v>
      </c>
      <c r="C252">
        <v>5</v>
      </c>
      <c r="D252">
        <v>1</v>
      </c>
      <c r="E252">
        <v>0</v>
      </c>
      <c r="F252">
        <v>0</v>
      </c>
      <c r="G252">
        <v>10280</v>
      </c>
      <c r="H252">
        <v>0</v>
      </c>
      <c r="I252">
        <v>1</v>
      </c>
    </row>
    <row r="253" spans="1:9" x14ac:dyDescent="0.25">
      <c r="A253">
        <v>37</v>
      </c>
      <c r="B253">
        <v>0</v>
      </c>
      <c r="C253">
        <v>6</v>
      </c>
      <c r="D253">
        <v>2</v>
      </c>
      <c r="E253">
        <v>1</v>
      </c>
      <c r="F253">
        <v>0</v>
      </c>
      <c r="G253">
        <v>25858</v>
      </c>
      <c r="H253">
        <v>1</v>
      </c>
      <c r="I253">
        <v>1</v>
      </c>
    </row>
    <row r="254" spans="1:9" x14ac:dyDescent="0.25">
      <c r="A254">
        <v>37</v>
      </c>
      <c r="B254">
        <v>1</v>
      </c>
      <c r="C254">
        <v>3</v>
      </c>
      <c r="D254">
        <v>1</v>
      </c>
      <c r="E254">
        <v>1</v>
      </c>
      <c r="F254">
        <v>0</v>
      </c>
      <c r="G254">
        <v>11906</v>
      </c>
      <c r="H254">
        <v>1</v>
      </c>
      <c r="I254">
        <v>1</v>
      </c>
    </row>
    <row r="255" spans="1:9" x14ac:dyDescent="0.25">
      <c r="A255">
        <v>37</v>
      </c>
      <c r="B255">
        <v>0</v>
      </c>
      <c r="C255">
        <v>2</v>
      </c>
      <c r="D255">
        <v>0</v>
      </c>
      <c r="E255">
        <v>1</v>
      </c>
      <c r="F255">
        <v>0</v>
      </c>
      <c r="G255">
        <v>19323</v>
      </c>
      <c r="H255">
        <v>1</v>
      </c>
      <c r="I255">
        <v>1</v>
      </c>
    </row>
    <row r="256" spans="1:9" x14ac:dyDescent="0.25">
      <c r="A256">
        <v>36</v>
      </c>
      <c r="B256">
        <v>1</v>
      </c>
      <c r="C256">
        <v>8</v>
      </c>
      <c r="D256">
        <v>4</v>
      </c>
      <c r="E256">
        <v>0</v>
      </c>
      <c r="F256">
        <v>0</v>
      </c>
      <c r="G256">
        <v>12463</v>
      </c>
      <c r="H256">
        <v>0</v>
      </c>
      <c r="I256">
        <v>1</v>
      </c>
    </row>
    <row r="257" spans="1:9" x14ac:dyDescent="0.25">
      <c r="A257">
        <v>36</v>
      </c>
      <c r="B257">
        <v>0</v>
      </c>
      <c r="C257">
        <v>7</v>
      </c>
      <c r="D257">
        <v>5</v>
      </c>
      <c r="E257">
        <v>0</v>
      </c>
      <c r="F257">
        <v>0</v>
      </c>
      <c r="G257">
        <v>9134</v>
      </c>
      <c r="H257">
        <v>0</v>
      </c>
      <c r="I257">
        <v>1</v>
      </c>
    </row>
    <row r="258" spans="1:9" x14ac:dyDescent="0.25">
      <c r="A258">
        <v>36</v>
      </c>
      <c r="B258">
        <v>0</v>
      </c>
      <c r="C258">
        <v>7</v>
      </c>
      <c r="D258">
        <v>3</v>
      </c>
      <c r="E258">
        <v>0</v>
      </c>
      <c r="F258">
        <v>0</v>
      </c>
      <c r="G258">
        <v>9379</v>
      </c>
      <c r="H258">
        <v>0</v>
      </c>
      <c r="I258">
        <v>1</v>
      </c>
    </row>
    <row r="259" spans="1:9" x14ac:dyDescent="0.25">
      <c r="A259">
        <v>36</v>
      </c>
      <c r="B259">
        <v>0</v>
      </c>
      <c r="C259">
        <v>5</v>
      </c>
      <c r="D259">
        <v>4</v>
      </c>
      <c r="E259">
        <v>0</v>
      </c>
      <c r="F259">
        <v>0</v>
      </c>
      <c r="G259">
        <v>9575</v>
      </c>
      <c r="H259">
        <v>0</v>
      </c>
      <c r="I259">
        <v>1</v>
      </c>
    </row>
    <row r="260" spans="1:9" x14ac:dyDescent="0.25">
      <c r="A260">
        <v>36</v>
      </c>
      <c r="B260">
        <v>0</v>
      </c>
      <c r="C260">
        <v>2</v>
      </c>
      <c r="D260">
        <v>3</v>
      </c>
      <c r="E260">
        <v>0</v>
      </c>
      <c r="F260">
        <v>0</v>
      </c>
      <c r="G260">
        <v>2607</v>
      </c>
      <c r="H260">
        <v>0</v>
      </c>
      <c r="I260">
        <v>1</v>
      </c>
    </row>
    <row r="261" spans="1:9" x14ac:dyDescent="0.25">
      <c r="A261">
        <v>36</v>
      </c>
      <c r="B261">
        <v>1</v>
      </c>
      <c r="C261">
        <v>3</v>
      </c>
      <c r="D261">
        <v>2</v>
      </c>
      <c r="E261">
        <v>0</v>
      </c>
      <c r="F261">
        <v>0</v>
      </c>
      <c r="G261">
        <v>3813</v>
      </c>
      <c r="H261">
        <v>0</v>
      </c>
      <c r="I261">
        <v>1</v>
      </c>
    </row>
    <row r="262" spans="1:9" x14ac:dyDescent="0.25">
      <c r="A262">
        <v>36</v>
      </c>
      <c r="B262">
        <v>0</v>
      </c>
      <c r="C262">
        <v>9</v>
      </c>
      <c r="D262">
        <v>2</v>
      </c>
      <c r="E262">
        <v>0</v>
      </c>
      <c r="F262">
        <v>0</v>
      </c>
      <c r="G262">
        <v>15681</v>
      </c>
      <c r="H262">
        <v>0</v>
      </c>
      <c r="I262">
        <v>1</v>
      </c>
    </row>
    <row r="263" spans="1:9" x14ac:dyDescent="0.25">
      <c r="A263">
        <v>36</v>
      </c>
      <c r="B263">
        <v>1</v>
      </c>
      <c r="C263">
        <v>2</v>
      </c>
      <c r="D263">
        <v>1</v>
      </c>
      <c r="E263">
        <v>1</v>
      </c>
      <c r="F263">
        <v>0</v>
      </c>
      <c r="G263">
        <v>13992</v>
      </c>
      <c r="H263">
        <v>0</v>
      </c>
      <c r="I263">
        <v>1</v>
      </c>
    </row>
    <row r="264" spans="1:9" x14ac:dyDescent="0.25">
      <c r="A264">
        <v>36</v>
      </c>
      <c r="B264">
        <v>1</v>
      </c>
      <c r="C264">
        <v>4</v>
      </c>
      <c r="D264">
        <v>3</v>
      </c>
      <c r="E264">
        <v>0</v>
      </c>
      <c r="F264">
        <v>0</v>
      </c>
      <c r="G264">
        <v>7006</v>
      </c>
      <c r="H264">
        <v>0</v>
      </c>
      <c r="I264">
        <v>1</v>
      </c>
    </row>
    <row r="265" spans="1:9" x14ac:dyDescent="0.25">
      <c r="A265">
        <v>36</v>
      </c>
      <c r="B265">
        <v>1</v>
      </c>
      <c r="C265">
        <v>2</v>
      </c>
      <c r="D265">
        <v>5</v>
      </c>
      <c r="E265">
        <v>0</v>
      </c>
      <c r="F265">
        <v>0</v>
      </c>
      <c r="G265">
        <v>5680</v>
      </c>
      <c r="H265">
        <v>0</v>
      </c>
      <c r="I265">
        <v>1</v>
      </c>
    </row>
    <row r="266" spans="1:9" x14ac:dyDescent="0.25">
      <c r="A266">
        <v>36</v>
      </c>
      <c r="B266">
        <v>1</v>
      </c>
      <c r="C266">
        <v>3</v>
      </c>
      <c r="D266">
        <v>4</v>
      </c>
      <c r="E266">
        <v>3</v>
      </c>
      <c r="F266">
        <v>0</v>
      </c>
      <c r="G266">
        <v>16801</v>
      </c>
      <c r="H266">
        <v>0</v>
      </c>
      <c r="I266">
        <v>1</v>
      </c>
    </row>
    <row r="267" spans="1:9" x14ac:dyDescent="0.25">
      <c r="A267">
        <v>36</v>
      </c>
      <c r="B267">
        <v>0</v>
      </c>
      <c r="C267">
        <v>7</v>
      </c>
      <c r="D267">
        <v>3</v>
      </c>
      <c r="E267">
        <v>0</v>
      </c>
      <c r="F267">
        <v>0</v>
      </c>
      <c r="G267">
        <v>10270</v>
      </c>
      <c r="H267">
        <v>0</v>
      </c>
      <c r="I267">
        <v>1</v>
      </c>
    </row>
    <row r="268" spans="1:9" x14ac:dyDescent="0.25">
      <c r="A268">
        <v>36</v>
      </c>
      <c r="B268">
        <v>1</v>
      </c>
      <c r="C268">
        <v>2</v>
      </c>
      <c r="D268">
        <v>0</v>
      </c>
      <c r="E268">
        <v>1</v>
      </c>
      <c r="F268">
        <v>0</v>
      </c>
      <c r="G268">
        <v>4025</v>
      </c>
      <c r="H268">
        <v>0</v>
      </c>
      <c r="I268">
        <v>1</v>
      </c>
    </row>
    <row r="269" spans="1:9" x14ac:dyDescent="0.25">
      <c r="A269">
        <v>36</v>
      </c>
      <c r="B269">
        <v>0</v>
      </c>
      <c r="C269">
        <v>5</v>
      </c>
      <c r="D269">
        <v>2</v>
      </c>
      <c r="E269">
        <v>2</v>
      </c>
      <c r="F269">
        <v>0</v>
      </c>
      <c r="G269">
        <v>17606</v>
      </c>
      <c r="H269">
        <v>0</v>
      </c>
      <c r="I269">
        <v>1</v>
      </c>
    </row>
    <row r="270" spans="1:9" x14ac:dyDescent="0.25">
      <c r="A270">
        <v>36</v>
      </c>
      <c r="B270">
        <v>1</v>
      </c>
      <c r="C270">
        <v>4</v>
      </c>
      <c r="D270">
        <v>0</v>
      </c>
      <c r="E270">
        <v>1</v>
      </c>
      <c r="F270">
        <v>0</v>
      </c>
      <c r="G270">
        <v>15366</v>
      </c>
      <c r="H270">
        <v>0</v>
      </c>
      <c r="I270">
        <v>1</v>
      </c>
    </row>
    <row r="271" spans="1:9" x14ac:dyDescent="0.25">
      <c r="A271">
        <v>36</v>
      </c>
      <c r="B271">
        <v>1</v>
      </c>
      <c r="C271">
        <v>4</v>
      </c>
      <c r="D271">
        <v>6</v>
      </c>
      <c r="E271">
        <v>3</v>
      </c>
      <c r="F271">
        <v>0</v>
      </c>
      <c r="G271">
        <v>17740</v>
      </c>
      <c r="H271">
        <v>0</v>
      </c>
      <c r="I271">
        <v>1</v>
      </c>
    </row>
    <row r="272" spans="1:9" x14ac:dyDescent="0.25">
      <c r="A272">
        <v>36</v>
      </c>
      <c r="B272">
        <v>1</v>
      </c>
      <c r="C272">
        <v>4</v>
      </c>
      <c r="D272">
        <v>2</v>
      </c>
      <c r="E272">
        <v>0</v>
      </c>
      <c r="F272">
        <v>0</v>
      </c>
      <c r="G272">
        <v>7073</v>
      </c>
      <c r="H272">
        <v>0</v>
      </c>
      <c r="I272">
        <v>1</v>
      </c>
    </row>
    <row r="273" spans="1:9" x14ac:dyDescent="0.25">
      <c r="A273">
        <v>36</v>
      </c>
      <c r="B273">
        <v>1</v>
      </c>
      <c r="C273">
        <v>3</v>
      </c>
      <c r="D273">
        <v>1</v>
      </c>
      <c r="E273">
        <v>1</v>
      </c>
      <c r="F273">
        <v>0</v>
      </c>
      <c r="G273">
        <v>24576</v>
      </c>
      <c r="H273">
        <v>1</v>
      </c>
      <c r="I273">
        <v>1</v>
      </c>
    </row>
    <row r="274" spans="1:9" x14ac:dyDescent="0.25">
      <c r="A274">
        <v>36</v>
      </c>
      <c r="B274">
        <v>1</v>
      </c>
      <c r="C274">
        <v>6</v>
      </c>
      <c r="D274">
        <v>3</v>
      </c>
      <c r="E274">
        <v>2</v>
      </c>
      <c r="F274">
        <v>0</v>
      </c>
      <c r="G274">
        <v>30031</v>
      </c>
      <c r="H274">
        <v>1</v>
      </c>
      <c r="I274">
        <v>1</v>
      </c>
    </row>
    <row r="275" spans="1:9" x14ac:dyDescent="0.25">
      <c r="A275">
        <v>36</v>
      </c>
      <c r="B275">
        <v>1</v>
      </c>
      <c r="C275">
        <v>2</v>
      </c>
      <c r="D275">
        <v>0</v>
      </c>
      <c r="E275">
        <v>3</v>
      </c>
      <c r="F275">
        <v>0</v>
      </c>
      <c r="G275">
        <v>10073</v>
      </c>
      <c r="H275">
        <v>1</v>
      </c>
      <c r="I275">
        <v>1</v>
      </c>
    </row>
    <row r="276" spans="1:9" x14ac:dyDescent="0.25">
      <c r="A276">
        <v>36</v>
      </c>
      <c r="B276">
        <v>1</v>
      </c>
      <c r="C276">
        <v>1</v>
      </c>
      <c r="D276">
        <v>0</v>
      </c>
      <c r="E276">
        <v>3</v>
      </c>
      <c r="F276">
        <v>0</v>
      </c>
      <c r="G276">
        <v>8028</v>
      </c>
      <c r="H276">
        <v>1</v>
      </c>
      <c r="I276">
        <v>1</v>
      </c>
    </row>
    <row r="277" spans="1:9" x14ac:dyDescent="0.25">
      <c r="A277">
        <v>36</v>
      </c>
      <c r="B277">
        <v>1</v>
      </c>
      <c r="C277">
        <v>3</v>
      </c>
      <c r="D277">
        <v>2</v>
      </c>
      <c r="E277">
        <v>2</v>
      </c>
      <c r="F277">
        <v>0</v>
      </c>
      <c r="G277">
        <v>12271</v>
      </c>
      <c r="H277">
        <v>1</v>
      </c>
      <c r="I277">
        <v>1</v>
      </c>
    </row>
    <row r="278" spans="1:9" x14ac:dyDescent="0.25">
      <c r="A278">
        <v>36</v>
      </c>
      <c r="B278">
        <v>1</v>
      </c>
      <c r="C278">
        <v>4</v>
      </c>
      <c r="D278">
        <v>2</v>
      </c>
      <c r="E278">
        <v>3</v>
      </c>
      <c r="F278">
        <v>0</v>
      </c>
      <c r="G278">
        <v>22721</v>
      </c>
      <c r="H278">
        <v>1</v>
      </c>
      <c r="I278">
        <v>1</v>
      </c>
    </row>
    <row r="279" spans="1:9" x14ac:dyDescent="0.25">
      <c r="A279">
        <v>36</v>
      </c>
      <c r="B279">
        <v>1</v>
      </c>
      <c r="C279">
        <v>8</v>
      </c>
      <c r="D279">
        <v>4</v>
      </c>
      <c r="E279">
        <v>4</v>
      </c>
      <c r="F279">
        <v>0</v>
      </c>
      <c r="G279">
        <v>25148</v>
      </c>
      <c r="H279">
        <v>1</v>
      </c>
      <c r="I279">
        <v>1</v>
      </c>
    </row>
    <row r="280" spans="1:9" x14ac:dyDescent="0.25">
      <c r="A280">
        <v>29</v>
      </c>
      <c r="B280">
        <v>1</v>
      </c>
      <c r="C280">
        <v>2</v>
      </c>
      <c r="D280">
        <v>0</v>
      </c>
      <c r="E280">
        <v>0</v>
      </c>
      <c r="F280">
        <v>0</v>
      </c>
      <c r="G280">
        <v>10739</v>
      </c>
      <c r="H280">
        <v>0</v>
      </c>
      <c r="I280">
        <v>1</v>
      </c>
    </row>
    <row r="281" spans="1:9" x14ac:dyDescent="0.25">
      <c r="A281">
        <v>29</v>
      </c>
      <c r="B281">
        <v>1</v>
      </c>
      <c r="C281">
        <v>4</v>
      </c>
      <c r="D281">
        <v>2</v>
      </c>
      <c r="E281">
        <v>1</v>
      </c>
      <c r="F281">
        <v>0</v>
      </c>
      <c r="G281">
        <v>8029</v>
      </c>
      <c r="H281">
        <v>0</v>
      </c>
      <c r="I281">
        <v>1</v>
      </c>
    </row>
    <row r="282" spans="1:9" x14ac:dyDescent="0.25">
      <c r="A282">
        <v>29</v>
      </c>
      <c r="B282">
        <v>1</v>
      </c>
      <c r="C282">
        <v>2</v>
      </c>
      <c r="D282">
        <v>0</v>
      </c>
      <c r="E282">
        <v>1</v>
      </c>
      <c r="F282">
        <v>0</v>
      </c>
      <c r="G282">
        <v>12102</v>
      </c>
      <c r="H282">
        <v>1</v>
      </c>
      <c r="I282">
        <v>1</v>
      </c>
    </row>
    <row r="283" spans="1:9" x14ac:dyDescent="0.25">
      <c r="A283">
        <v>29</v>
      </c>
      <c r="B283">
        <v>1</v>
      </c>
      <c r="C283">
        <v>3</v>
      </c>
      <c r="D283">
        <v>0</v>
      </c>
      <c r="E283">
        <v>2</v>
      </c>
      <c r="F283">
        <v>0</v>
      </c>
      <c r="G283">
        <v>15807</v>
      </c>
      <c r="H283">
        <v>1</v>
      </c>
      <c r="I283">
        <v>1</v>
      </c>
    </row>
    <row r="284" spans="1:9" x14ac:dyDescent="0.25">
      <c r="A284">
        <v>29</v>
      </c>
      <c r="B284">
        <v>1</v>
      </c>
      <c r="C284">
        <v>2</v>
      </c>
      <c r="D284">
        <v>5</v>
      </c>
      <c r="E284">
        <v>1</v>
      </c>
      <c r="F284">
        <v>0</v>
      </c>
      <c r="G284">
        <v>11880</v>
      </c>
      <c r="H284">
        <v>1</v>
      </c>
      <c r="I284">
        <v>1</v>
      </c>
    </row>
    <row r="285" spans="1:9" x14ac:dyDescent="0.25">
      <c r="A285">
        <v>29</v>
      </c>
      <c r="B285">
        <v>0</v>
      </c>
      <c r="C285">
        <v>11</v>
      </c>
      <c r="D285">
        <v>0</v>
      </c>
      <c r="E285">
        <v>4</v>
      </c>
      <c r="F285">
        <v>0</v>
      </c>
      <c r="G285">
        <v>52895</v>
      </c>
      <c r="H285">
        <v>1</v>
      </c>
      <c r="I285">
        <v>1</v>
      </c>
    </row>
    <row r="286" spans="1:9" x14ac:dyDescent="0.25">
      <c r="A286">
        <v>29</v>
      </c>
      <c r="B286">
        <v>1</v>
      </c>
      <c r="C286">
        <v>3</v>
      </c>
      <c r="D286">
        <v>0</v>
      </c>
      <c r="E286">
        <v>1</v>
      </c>
      <c r="F286">
        <v>0</v>
      </c>
      <c r="G286">
        <v>11053</v>
      </c>
      <c r="H286">
        <v>1</v>
      </c>
      <c r="I286">
        <v>1</v>
      </c>
    </row>
    <row r="287" spans="1:9" x14ac:dyDescent="0.25">
      <c r="A287">
        <v>29</v>
      </c>
      <c r="B287">
        <v>1</v>
      </c>
      <c r="C287">
        <v>3</v>
      </c>
      <c r="D287">
        <v>0</v>
      </c>
      <c r="E287">
        <v>4</v>
      </c>
      <c r="F287">
        <v>0</v>
      </c>
      <c r="G287">
        <v>13567</v>
      </c>
      <c r="H287">
        <v>1</v>
      </c>
      <c r="I287">
        <v>1</v>
      </c>
    </row>
    <row r="288" spans="1:9" x14ac:dyDescent="0.25">
      <c r="A288">
        <v>28</v>
      </c>
      <c r="B288">
        <v>1</v>
      </c>
      <c r="C288">
        <v>2</v>
      </c>
      <c r="D288">
        <v>0</v>
      </c>
      <c r="E288">
        <v>2</v>
      </c>
      <c r="F288">
        <v>0</v>
      </c>
      <c r="G288">
        <v>4626</v>
      </c>
      <c r="H288">
        <v>0</v>
      </c>
      <c r="I288">
        <v>1</v>
      </c>
    </row>
    <row r="289" spans="1:9" x14ac:dyDescent="0.25">
      <c r="A289">
        <v>28</v>
      </c>
      <c r="B289">
        <v>0</v>
      </c>
      <c r="C289">
        <v>7</v>
      </c>
      <c r="D289">
        <v>4</v>
      </c>
      <c r="E289">
        <v>0</v>
      </c>
      <c r="F289">
        <v>0</v>
      </c>
      <c r="G289">
        <v>29395</v>
      </c>
      <c r="H289">
        <v>0</v>
      </c>
      <c r="I289">
        <v>1</v>
      </c>
    </row>
    <row r="290" spans="1:9" x14ac:dyDescent="0.25">
      <c r="A290">
        <v>28</v>
      </c>
      <c r="B290">
        <v>0</v>
      </c>
      <c r="C290">
        <v>3</v>
      </c>
      <c r="D290">
        <v>3</v>
      </c>
      <c r="E290">
        <v>0</v>
      </c>
      <c r="F290">
        <v>0</v>
      </c>
      <c r="G290">
        <v>4312</v>
      </c>
      <c r="H290">
        <v>0</v>
      </c>
      <c r="I290">
        <v>1</v>
      </c>
    </row>
    <row r="291" spans="1:9" x14ac:dyDescent="0.25">
      <c r="A291">
        <v>28</v>
      </c>
      <c r="B291">
        <v>0</v>
      </c>
      <c r="C291">
        <v>5</v>
      </c>
      <c r="D291">
        <v>2</v>
      </c>
      <c r="E291">
        <v>0</v>
      </c>
      <c r="F291">
        <v>0</v>
      </c>
      <c r="G291">
        <v>6795</v>
      </c>
      <c r="H291">
        <v>0</v>
      </c>
      <c r="I291">
        <v>1</v>
      </c>
    </row>
    <row r="292" spans="1:9" x14ac:dyDescent="0.25">
      <c r="A292">
        <v>28</v>
      </c>
      <c r="B292">
        <v>0</v>
      </c>
      <c r="C292">
        <v>7</v>
      </c>
      <c r="D292">
        <v>1</v>
      </c>
      <c r="E292">
        <v>0</v>
      </c>
      <c r="F292">
        <v>0</v>
      </c>
      <c r="G292">
        <v>9692</v>
      </c>
      <c r="H292">
        <v>0</v>
      </c>
      <c r="I292">
        <v>1</v>
      </c>
    </row>
    <row r="293" spans="1:9" x14ac:dyDescent="0.25">
      <c r="A293">
        <v>28</v>
      </c>
      <c r="B293">
        <v>0</v>
      </c>
      <c r="C293">
        <v>3</v>
      </c>
      <c r="D293">
        <v>0</v>
      </c>
      <c r="E293">
        <v>2</v>
      </c>
      <c r="F293">
        <v>0</v>
      </c>
      <c r="G293">
        <v>12822</v>
      </c>
      <c r="H293">
        <v>0</v>
      </c>
      <c r="I293">
        <v>1</v>
      </c>
    </row>
    <row r="294" spans="1:9" x14ac:dyDescent="0.25">
      <c r="A294">
        <v>28</v>
      </c>
      <c r="B294">
        <v>0</v>
      </c>
      <c r="C294">
        <v>6</v>
      </c>
      <c r="D294">
        <v>2</v>
      </c>
      <c r="E294">
        <v>0</v>
      </c>
      <c r="F294">
        <v>0</v>
      </c>
      <c r="G294">
        <v>8056</v>
      </c>
      <c r="H294">
        <v>0</v>
      </c>
      <c r="I294">
        <v>1</v>
      </c>
    </row>
    <row r="295" spans="1:9" x14ac:dyDescent="0.25">
      <c r="A295">
        <v>28</v>
      </c>
      <c r="B295">
        <v>0</v>
      </c>
      <c r="C295">
        <v>6</v>
      </c>
      <c r="D295">
        <v>2</v>
      </c>
      <c r="E295">
        <v>0</v>
      </c>
      <c r="F295">
        <v>0</v>
      </c>
      <c r="G295">
        <v>7807</v>
      </c>
      <c r="H295">
        <v>0</v>
      </c>
      <c r="I295">
        <v>1</v>
      </c>
    </row>
    <row r="296" spans="1:9" x14ac:dyDescent="0.25">
      <c r="A296">
        <v>28</v>
      </c>
      <c r="B296">
        <v>1</v>
      </c>
      <c r="C296">
        <v>3</v>
      </c>
      <c r="D296">
        <v>0</v>
      </c>
      <c r="E296">
        <v>0</v>
      </c>
      <c r="F296">
        <v>0</v>
      </c>
      <c r="G296">
        <v>5907</v>
      </c>
      <c r="H296">
        <v>0</v>
      </c>
      <c r="I296">
        <v>1</v>
      </c>
    </row>
    <row r="297" spans="1:9" x14ac:dyDescent="0.25">
      <c r="A297">
        <v>28</v>
      </c>
      <c r="B297">
        <v>1</v>
      </c>
      <c r="C297">
        <v>2</v>
      </c>
      <c r="D297">
        <v>0</v>
      </c>
      <c r="E297">
        <v>1</v>
      </c>
      <c r="F297">
        <v>0</v>
      </c>
      <c r="G297">
        <v>6238</v>
      </c>
      <c r="H297">
        <v>0</v>
      </c>
      <c r="I297">
        <v>1</v>
      </c>
    </row>
    <row r="298" spans="1:9" x14ac:dyDescent="0.25">
      <c r="A298">
        <v>28</v>
      </c>
      <c r="B298">
        <v>0</v>
      </c>
      <c r="C298">
        <v>9</v>
      </c>
      <c r="D298">
        <v>5</v>
      </c>
      <c r="E298">
        <v>1</v>
      </c>
      <c r="F298">
        <v>0</v>
      </c>
      <c r="G298">
        <v>31755</v>
      </c>
      <c r="H298">
        <v>0</v>
      </c>
      <c r="I298">
        <v>1</v>
      </c>
    </row>
    <row r="299" spans="1:9" x14ac:dyDescent="0.25">
      <c r="A299">
        <v>28</v>
      </c>
      <c r="B299">
        <v>1</v>
      </c>
      <c r="C299">
        <v>12</v>
      </c>
      <c r="D299">
        <v>4</v>
      </c>
      <c r="E299">
        <v>0</v>
      </c>
      <c r="F299">
        <v>0</v>
      </c>
      <c r="G299">
        <v>20166</v>
      </c>
      <c r="H299">
        <v>0</v>
      </c>
      <c r="I299">
        <v>1</v>
      </c>
    </row>
    <row r="300" spans="1:9" x14ac:dyDescent="0.25">
      <c r="A300">
        <v>28</v>
      </c>
      <c r="B300">
        <v>1</v>
      </c>
      <c r="C300">
        <v>6</v>
      </c>
      <c r="D300">
        <v>0</v>
      </c>
      <c r="E300">
        <v>0</v>
      </c>
      <c r="F300">
        <v>0</v>
      </c>
      <c r="G300">
        <v>8352</v>
      </c>
      <c r="H300">
        <v>0</v>
      </c>
      <c r="I300">
        <v>1</v>
      </c>
    </row>
    <row r="301" spans="1:9" x14ac:dyDescent="0.25">
      <c r="A301">
        <v>28</v>
      </c>
      <c r="B301">
        <v>0</v>
      </c>
      <c r="C301">
        <v>9</v>
      </c>
      <c r="D301">
        <v>3</v>
      </c>
      <c r="E301">
        <v>0</v>
      </c>
      <c r="F301">
        <v>0</v>
      </c>
      <c r="G301">
        <v>50921</v>
      </c>
      <c r="H301">
        <v>0</v>
      </c>
      <c r="I301">
        <v>1</v>
      </c>
    </row>
    <row r="302" spans="1:9" x14ac:dyDescent="0.25">
      <c r="A302">
        <v>28</v>
      </c>
      <c r="B302">
        <v>1</v>
      </c>
      <c r="C302">
        <v>11</v>
      </c>
      <c r="D302">
        <v>0</v>
      </c>
      <c r="E302">
        <v>0</v>
      </c>
      <c r="F302">
        <v>0</v>
      </c>
      <c r="G302">
        <v>19410</v>
      </c>
      <c r="H302">
        <v>0</v>
      </c>
      <c r="I302">
        <v>1</v>
      </c>
    </row>
    <row r="303" spans="1:9" x14ac:dyDescent="0.25">
      <c r="A303">
        <v>28</v>
      </c>
      <c r="B303">
        <v>1</v>
      </c>
      <c r="C303">
        <v>2</v>
      </c>
      <c r="D303">
        <v>0</v>
      </c>
      <c r="E303">
        <v>1</v>
      </c>
      <c r="F303">
        <v>0</v>
      </c>
      <c r="G303">
        <v>6741</v>
      </c>
      <c r="H303">
        <v>0</v>
      </c>
      <c r="I303">
        <v>1</v>
      </c>
    </row>
    <row r="304" spans="1:9" x14ac:dyDescent="0.25">
      <c r="A304">
        <v>28</v>
      </c>
      <c r="B304">
        <v>1</v>
      </c>
      <c r="C304">
        <v>4</v>
      </c>
      <c r="D304">
        <v>0</v>
      </c>
      <c r="E304">
        <v>0</v>
      </c>
      <c r="F304">
        <v>0</v>
      </c>
      <c r="G304">
        <v>11419</v>
      </c>
      <c r="H304">
        <v>0</v>
      </c>
      <c r="I304">
        <v>1</v>
      </c>
    </row>
    <row r="305" spans="1:9" x14ac:dyDescent="0.25">
      <c r="A305">
        <v>28</v>
      </c>
      <c r="B305">
        <v>1</v>
      </c>
      <c r="C305">
        <v>4</v>
      </c>
      <c r="D305">
        <v>0</v>
      </c>
      <c r="E305">
        <v>0</v>
      </c>
      <c r="F305">
        <v>0</v>
      </c>
      <c r="G305">
        <v>8773</v>
      </c>
      <c r="H305">
        <v>0</v>
      </c>
      <c r="I305">
        <v>1</v>
      </c>
    </row>
    <row r="306" spans="1:9" x14ac:dyDescent="0.25">
      <c r="A306">
        <v>28</v>
      </c>
      <c r="B306">
        <v>1</v>
      </c>
      <c r="C306">
        <v>1</v>
      </c>
      <c r="D306">
        <v>3</v>
      </c>
      <c r="E306">
        <v>0</v>
      </c>
      <c r="F306">
        <v>0</v>
      </c>
      <c r="G306">
        <v>4131</v>
      </c>
      <c r="H306">
        <v>0</v>
      </c>
      <c r="I306">
        <v>1</v>
      </c>
    </row>
    <row r="307" spans="1:9" x14ac:dyDescent="0.25">
      <c r="A307">
        <v>28</v>
      </c>
      <c r="B307">
        <v>1</v>
      </c>
      <c r="C307">
        <v>5</v>
      </c>
      <c r="D307">
        <v>4</v>
      </c>
      <c r="E307">
        <v>0</v>
      </c>
      <c r="F307">
        <v>0</v>
      </c>
      <c r="G307">
        <v>11348</v>
      </c>
      <c r="H307">
        <v>0</v>
      </c>
      <c r="I307">
        <v>1</v>
      </c>
    </row>
    <row r="308" spans="1:9" x14ac:dyDescent="0.25">
      <c r="A308">
        <v>28</v>
      </c>
      <c r="B308">
        <v>1</v>
      </c>
      <c r="C308">
        <v>2</v>
      </c>
      <c r="D308">
        <v>0</v>
      </c>
      <c r="E308">
        <v>1</v>
      </c>
      <c r="F308">
        <v>0</v>
      </c>
      <c r="G308">
        <v>4785</v>
      </c>
      <c r="H308">
        <v>0</v>
      </c>
      <c r="I308">
        <v>1</v>
      </c>
    </row>
    <row r="309" spans="1:9" x14ac:dyDescent="0.25">
      <c r="A309">
        <v>28</v>
      </c>
      <c r="B309">
        <v>1</v>
      </c>
      <c r="C309">
        <v>8</v>
      </c>
      <c r="D309">
        <v>2</v>
      </c>
      <c r="E309">
        <v>1</v>
      </c>
      <c r="F309">
        <v>0</v>
      </c>
      <c r="G309">
        <v>17600</v>
      </c>
      <c r="H309">
        <v>0</v>
      </c>
      <c r="I309">
        <v>1</v>
      </c>
    </row>
    <row r="310" spans="1:9" x14ac:dyDescent="0.25">
      <c r="A310">
        <v>28</v>
      </c>
      <c r="B310">
        <v>1</v>
      </c>
      <c r="C310">
        <v>2</v>
      </c>
      <c r="D310">
        <v>0</v>
      </c>
      <c r="E310">
        <v>2</v>
      </c>
      <c r="F310">
        <v>0</v>
      </c>
      <c r="G310">
        <v>9076</v>
      </c>
      <c r="H310">
        <v>0</v>
      </c>
      <c r="I310">
        <v>1</v>
      </c>
    </row>
    <row r="311" spans="1:9" x14ac:dyDescent="0.25">
      <c r="A311">
        <v>28</v>
      </c>
      <c r="B311">
        <v>1</v>
      </c>
      <c r="C311">
        <v>2</v>
      </c>
      <c r="D311">
        <v>0</v>
      </c>
      <c r="E311">
        <v>2</v>
      </c>
      <c r="F311">
        <v>0</v>
      </c>
      <c r="G311">
        <v>10418</v>
      </c>
      <c r="H311">
        <v>0</v>
      </c>
      <c r="I311">
        <v>1</v>
      </c>
    </row>
    <row r="312" spans="1:9" x14ac:dyDescent="0.25">
      <c r="A312">
        <v>28</v>
      </c>
      <c r="B312">
        <v>1</v>
      </c>
      <c r="C312">
        <v>2</v>
      </c>
      <c r="D312">
        <v>0</v>
      </c>
      <c r="E312">
        <v>2</v>
      </c>
      <c r="F312">
        <v>0</v>
      </c>
      <c r="G312">
        <v>6603</v>
      </c>
      <c r="H312">
        <v>0</v>
      </c>
      <c r="I312">
        <v>1</v>
      </c>
    </row>
    <row r="313" spans="1:9" x14ac:dyDescent="0.25">
      <c r="A313">
        <v>28</v>
      </c>
      <c r="B313">
        <v>1</v>
      </c>
      <c r="C313">
        <v>25</v>
      </c>
      <c r="D313">
        <v>2</v>
      </c>
      <c r="E313">
        <v>2</v>
      </c>
      <c r="F313">
        <v>0</v>
      </c>
      <c r="G313">
        <v>84963</v>
      </c>
      <c r="H313">
        <v>0</v>
      </c>
      <c r="I313">
        <v>1</v>
      </c>
    </row>
    <row r="314" spans="1:9" x14ac:dyDescent="0.25">
      <c r="A314">
        <v>28</v>
      </c>
      <c r="B314">
        <v>1</v>
      </c>
      <c r="C314">
        <v>2</v>
      </c>
      <c r="D314">
        <v>0</v>
      </c>
      <c r="E314">
        <v>2</v>
      </c>
      <c r="F314">
        <v>0</v>
      </c>
      <c r="G314">
        <v>5776</v>
      </c>
      <c r="H314">
        <v>0</v>
      </c>
      <c r="I314">
        <v>1</v>
      </c>
    </row>
    <row r="315" spans="1:9" x14ac:dyDescent="0.25">
      <c r="A315">
        <v>28</v>
      </c>
      <c r="B315">
        <v>1</v>
      </c>
      <c r="C315">
        <v>2</v>
      </c>
      <c r="D315">
        <v>0</v>
      </c>
      <c r="E315">
        <v>2</v>
      </c>
      <c r="F315">
        <v>0</v>
      </c>
      <c r="G315">
        <v>6013</v>
      </c>
      <c r="H315">
        <v>0</v>
      </c>
      <c r="I315">
        <v>1</v>
      </c>
    </row>
    <row r="316" spans="1:9" x14ac:dyDescent="0.25">
      <c r="A316">
        <v>28</v>
      </c>
      <c r="B316">
        <v>1</v>
      </c>
      <c r="C316">
        <v>3</v>
      </c>
      <c r="D316">
        <v>1</v>
      </c>
      <c r="E316">
        <v>3</v>
      </c>
      <c r="F316">
        <v>0</v>
      </c>
      <c r="G316">
        <v>11595</v>
      </c>
      <c r="H316">
        <v>0</v>
      </c>
      <c r="I316">
        <v>1</v>
      </c>
    </row>
    <row r="317" spans="1:9" x14ac:dyDescent="0.25">
      <c r="A317">
        <v>28</v>
      </c>
      <c r="B317">
        <v>0</v>
      </c>
      <c r="C317">
        <v>26</v>
      </c>
      <c r="D317">
        <v>5</v>
      </c>
      <c r="E317">
        <v>2</v>
      </c>
      <c r="F317">
        <v>0</v>
      </c>
      <c r="G317">
        <v>80483</v>
      </c>
      <c r="H317">
        <v>1</v>
      </c>
      <c r="I317">
        <v>1</v>
      </c>
    </row>
    <row r="318" spans="1:9" x14ac:dyDescent="0.25">
      <c r="A318">
        <v>0</v>
      </c>
      <c r="B318">
        <v>0</v>
      </c>
      <c r="C318">
        <v>2</v>
      </c>
      <c r="D318">
        <v>0</v>
      </c>
      <c r="E318">
        <v>0</v>
      </c>
      <c r="F318">
        <v>0</v>
      </c>
      <c r="G318">
        <v>2133</v>
      </c>
      <c r="H318">
        <v>0</v>
      </c>
      <c r="I318">
        <v>1</v>
      </c>
    </row>
    <row r="319" spans="1:9" x14ac:dyDescent="0.25">
      <c r="A319">
        <v>0</v>
      </c>
      <c r="B319">
        <v>1</v>
      </c>
      <c r="C319">
        <v>2</v>
      </c>
      <c r="D319">
        <v>0</v>
      </c>
      <c r="E319">
        <v>0</v>
      </c>
      <c r="F319">
        <v>0</v>
      </c>
      <c r="G319">
        <v>3533</v>
      </c>
      <c r="H319">
        <v>0</v>
      </c>
      <c r="I319">
        <v>1</v>
      </c>
    </row>
    <row r="320" spans="1:9" x14ac:dyDescent="0.25">
      <c r="A320">
        <v>0</v>
      </c>
      <c r="B320">
        <v>0</v>
      </c>
      <c r="C320">
        <v>2</v>
      </c>
      <c r="D320">
        <v>0</v>
      </c>
      <c r="E320">
        <v>0</v>
      </c>
      <c r="F320">
        <v>0</v>
      </c>
      <c r="G320">
        <v>2047</v>
      </c>
      <c r="H320">
        <v>0</v>
      </c>
      <c r="I320">
        <v>1</v>
      </c>
    </row>
    <row r="321" spans="1:9" x14ac:dyDescent="0.25">
      <c r="A321">
        <v>0</v>
      </c>
      <c r="B321">
        <v>0</v>
      </c>
      <c r="C321">
        <v>71</v>
      </c>
      <c r="D321">
        <v>1</v>
      </c>
      <c r="E321">
        <v>6</v>
      </c>
      <c r="F321">
        <v>0</v>
      </c>
      <c r="G321">
        <v>192415</v>
      </c>
      <c r="H321">
        <v>0</v>
      </c>
      <c r="I321">
        <v>1</v>
      </c>
    </row>
    <row r="322" spans="1:9" x14ac:dyDescent="0.25">
      <c r="A322">
        <v>0</v>
      </c>
      <c r="B322">
        <v>0</v>
      </c>
      <c r="C322">
        <v>99</v>
      </c>
      <c r="D322">
        <v>0</v>
      </c>
      <c r="E322">
        <v>6</v>
      </c>
      <c r="F322">
        <v>0</v>
      </c>
      <c r="G322">
        <v>231805</v>
      </c>
      <c r="H322">
        <v>0</v>
      </c>
      <c r="I322">
        <v>1</v>
      </c>
    </row>
    <row r="323" spans="1:9" x14ac:dyDescent="0.25">
      <c r="A323">
        <v>0</v>
      </c>
      <c r="B323">
        <v>0</v>
      </c>
      <c r="C323">
        <v>67</v>
      </c>
      <c r="D323">
        <v>1</v>
      </c>
      <c r="E323">
        <v>6</v>
      </c>
      <c r="F323">
        <v>0</v>
      </c>
      <c r="G323">
        <v>161951</v>
      </c>
      <c r="H323">
        <v>0</v>
      </c>
      <c r="I323">
        <v>1</v>
      </c>
    </row>
    <row r="324" spans="1:9" x14ac:dyDescent="0.25">
      <c r="A324">
        <v>0</v>
      </c>
      <c r="B324">
        <v>0</v>
      </c>
      <c r="C324">
        <v>53</v>
      </c>
      <c r="D324">
        <v>1</v>
      </c>
      <c r="E324">
        <v>6</v>
      </c>
      <c r="F324">
        <v>0</v>
      </c>
      <c r="G324">
        <v>134565</v>
      </c>
      <c r="H324">
        <v>0</v>
      </c>
      <c r="I324">
        <v>1</v>
      </c>
    </row>
    <row r="325" spans="1:9" x14ac:dyDescent="0.25">
      <c r="A325">
        <v>0</v>
      </c>
      <c r="B325">
        <v>1</v>
      </c>
      <c r="C325">
        <v>99</v>
      </c>
      <c r="D325">
        <v>1</v>
      </c>
      <c r="E325">
        <v>6</v>
      </c>
      <c r="F325">
        <v>0</v>
      </c>
      <c r="G325">
        <v>295554</v>
      </c>
      <c r="H325">
        <v>0</v>
      </c>
      <c r="I325">
        <v>1</v>
      </c>
    </row>
    <row r="326" spans="1:9" x14ac:dyDescent="0.25">
      <c r="A326">
        <v>0</v>
      </c>
      <c r="B326">
        <v>0</v>
      </c>
      <c r="C326">
        <v>52</v>
      </c>
      <c r="D326">
        <v>1</v>
      </c>
      <c r="E326">
        <v>6</v>
      </c>
      <c r="F326">
        <v>0</v>
      </c>
      <c r="G326">
        <v>122003</v>
      </c>
      <c r="H326">
        <v>0</v>
      </c>
      <c r="I326">
        <v>1</v>
      </c>
    </row>
    <row r="327" spans="1:9" x14ac:dyDescent="0.25">
      <c r="A327">
        <v>0</v>
      </c>
      <c r="B327">
        <v>1</v>
      </c>
      <c r="C327">
        <v>51</v>
      </c>
      <c r="D327">
        <v>0</v>
      </c>
      <c r="E327">
        <v>6</v>
      </c>
      <c r="F327">
        <v>0</v>
      </c>
      <c r="G327">
        <v>106603</v>
      </c>
      <c r="H327">
        <v>0</v>
      </c>
      <c r="I327">
        <v>1</v>
      </c>
    </row>
    <row r="328" spans="1:9" x14ac:dyDescent="0.25">
      <c r="A328">
        <v>0</v>
      </c>
      <c r="B328">
        <v>1</v>
      </c>
      <c r="C328">
        <v>49</v>
      </c>
      <c r="D328">
        <v>1</v>
      </c>
      <c r="E328">
        <v>6</v>
      </c>
      <c r="F328">
        <v>0</v>
      </c>
      <c r="G328">
        <v>116068</v>
      </c>
      <c r="H328">
        <v>0</v>
      </c>
      <c r="I328">
        <v>1</v>
      </c>
    </row>
    <row r="329" spans="1:9" x14ac:dyDescent="0.25">
      <c r="A329">
        <v>0</v>
      </c>
      <c r="B329">
        <v>1</v>
      </c>
      <c r="C329">
        <v>43</v>
      </c>
      <c r="D329">
        <v>0</v>
      </c>
      <c r="E329">
        <v>5</v>
      </c>
      <c r="F329">
        <v>0</v>
      </c>
      <c r="G329">
        <v>103444</v>
      </c>
      <c r="H329">
        <v>0</v>
      </c>
      <c r="I329">
        <v>1</v>
      </c>
    </row>
    <row r="330" spans="1:9" x14ac:dyDescent="0.25">
      <c r="A330">
        <v>0</v>
      </c>
      <c r="B330">
        <v>1</v>
      </c>
      <c r="C330">
        <v>29</v>
      </c>
      <c r="D330">
        <v>0</v>
      </c>
      <c r="E330">
        <v>1</v>
      </c>
      <c r="F330">
        <v>0</v>
      </c>
      <c r="G330">
        <v>67751</v>
      </c>
      <c r="H330">
        <v>0</v>
      </c>
      <c r="I330">
        <v>1</v>
      </c>
    </row>
    <row r="331" spans="1:9" x14ac:dyDescent="0.25">
      <c r="A331">
        <v>0</v>
      </c>
      <c r="B331">
        <v>0</v>
      </c>
      <c r="C331">
        <v>30</v>
      </c>
      <c r="D331">
        <v>1</v>
      </c>
      <c r="E331">
        <v>6</v>
      </c>
      <c r="F331">
        <v>0</v>
      </c>
      <c r="G331">
        <v>188257</v>
      </c>
      <c r="H331">
        <v>0</v>
      </c>
      <c r="I331">
        <v>1</v>
      </c>
    </row>
    <row r="332" spans="1:9" x14ac:dyDescent="0.25">
      <c r="A332">
        <v>0</v>
      </c>
      <c r="B332">
        <v>0</v>
      </c>
      <c r="C332">
        <v>26</v>
      </c>
      <c r="D332">
        <v>1</v>
      </c>
      <c r="E332">
        <v>1</v>
      </c>
      <c r="F332">
        <v>0</v>
      </c>
      <c r="G332">
        <v>51733</v>
      </c>
      <c r="H332">
        <v>0</v>
      </c>
      <c r="I332">
        <v>1</v>
      </c>
    </row>
    <row r="333" spans="1:9" x14ac:dyDescent="0.25">
      <c r="A333">
        <v>0</v>
      </c>
      <c r="B333">
        <v>0</v>
      </c>
      <c r="C333">
        <v>20</v>
      </c>
      <c r="D333">
        <v>2</v>
      </c>
      <c r="E333">
        <v>0</v>
      </c>
      <c r="F333">
        <v>0</v>
      </c>
      <c r="G333">
        <v>46913</v>
      </c>
      <c r="H333">
        <v>0</v>
      </c>
      <c r="I333">
        <v>1</v>
      </c>
    </row>
    <row r="334" spans="1:9" x14ac:dyDescent="0.25">
      <c r="A334">
        <v>0</v>
      </c>
      <c r="B334">
        <v>1</v>
      </c>
      <c r="C334">
        <v>16</v>
      </c>
      <c r="D334">
        <v>0</v>
      </c>
      <c r="E334">
        <v>0</v>
      </c>
      <c r="F334">
        <v>0</v>
      </c>
      <c r="G334">
        <v>26598</v>
      </c>
      <c r="H334">
        <v>0</v>
      </c>
      <c r="I334">
        <v>1</v>
      </c>
    </row>
    <row r="335" spans="1:9" x14ac:dyDescent="0.25">
      <c r="A335">
        <v>0</v>
      </c>
      <c r="B335">
        <v>1</v>
      </c>
      <c r="C335">
        <v>2</v>
      </c>
      <c r="D335">
        <v>0</v>
      </c>
      <c r="E335">
        <v>0</v>
      </c>
      <c r="F335">
        <v>0</v>
      </c>
      <c r="G335">
        <v>1102</v>
      </c>
      <c r="H335">
        <v>0</v>
      </c>
      <c r="I335">
        <v>1</v>
      </c>
    </row>
    <row r="336" spans="1:9" x14ac:dyDescent="0.25">
      <c r="A336">
        <v>0</v>
      </c>
      <c r="B336">
        <v>0</v>
      </c>
      <c r="C336">
        <v>2</v>
      </c>
      <c r="D336">
        <v>0</v>
      </c>
      <c r="E336">
        <v>0</v>
      </c>
      <c r="F336">
        <v>0</v>
      </c>
      <c r="G336">
        <v>1107</v>
      </c>
      <c r="H336">
        <v>0</v>
      </c>
      <c r="I336">
        <v>1</v>
      </c>
    </row>
    <row r="337" spans="1:9" x14ac:dyDescent="0.25">
      <c r="A337">
        <v>0</v>
      </c>
      <c r="B337">
        <v>1</v>
      </c>
      <c r="C337">
        <v>2</v>
      </c>
      <c r="D337">
        <v>0</v>
      </c>
      <c r="E337">
        <v>0</v>
      </c>
      <c r="F337">
        <v>0</v>
      </c>
      <c r="G337">
        <v>1266</v>
      </c>
      <c r="H337">
        <v>0</v>
      </c>
      <c r="I337">
        <v>1</v>
      </c>
    </row>
    <row r="338" spans="1:9" x14ac:dyDescent="0.25">
      <c r="A338">
        <v>0</v>
      </c>
      <c r="B338">
        <v>1</v>
      </c>
      <c r="C338">
        <v>2</v>
      </c>
      <c r="D338">
        <v>0</v>
      </c>
      <c r="E338">
        <v>0</v>
      </c>
      <c r="F338">
        <v>0</v>
      </c>
      <c r="G338">
        <v>1043</v>
      </c>
      <c r="H338">
        <v>0</v>
      </c>
      <c r="I338">
        <v>1</v>
      </c>
    </row>
    <row r="339" spans="1:9" x14ac:dyDescent="0.25">
      <c r="A339">
        <v>0</v>
      </c>
      <c r="B339">
        <v>1</v>
      </c>
      <c r="C339">
        <v>2</v>
      </c>
      <c r="D339">
        <v>0</v>
      </c>
      <c r="E339">
        <v>0</v>
      </c>
      <c r="F339">
        <v>0</v>
      </c>
      <c r="G339">
        <v>1543</v>
      </c>
      <c r="H339">
        <v>0</v>
      </c>
      <c r="I339">
        <v>1</v>
      </c>
    </row>
    <row r="340" spans="1:9" x14ac:dyDescent="0.25">
      <c r="A340">
        <v>0</v>
      </c>
      <c r="B340">
        <v>1</v>
      </c>
      <c r="C340">
        <v>3</v>
      </c>
      <c r="D340">
        <v>0</v>
      </c>
      <c r="E340">
        <v>0</v>
      </c>
      <c r="F340">
        <v>0</v>
      </c>
      <c r="G340">
        <v>2323</v>
      </c>
      <c r="H340">
        <v>0</v>
      </c>
      <c r="I340">
        <v>1</v>
      </c>
    </row>
    <row r="341" spans="1:9" x14ac:dyDescent="0.25">
      <c r="A341">
        <v>0</v>
      </c>
      <c r="B341">
        <v>0</v>
      </c>
      <c r="C341">
        <v>2</v>
      </c>
      <c r="D341">
        <v>0</v>
      </c>
      <c r="E341">
        <v>0</v>
      </c>
      <c r="F341">
        <v>0</v>
      </c>
      <c r="G341">
        <v>1296</v>
      </c>
      <c r="H341">
        <v>0</v>
      </c>
      <c r="I341">
        <v>1</v>
      </c>
    </row>
    <row r="342" spans="1:9" x14ac:dyDescent="0.25">
      <c r="A342">
        <v>0</v>
      </c>
      <c r="B342">
        <v>0</v>
      </c>
      <c r="C342">
        <v>3</v>
      </c>
      <c r="D342">
        <v>0</v>
      </c>
      <c r="E342">
        <v>0</v>
      </c>
      <c r="F342">
        <v>0</v>
      </c>
      <c r="G342">
        <v>1692</v>
      </c>
      <c r="H342">
        <v>0</v>
      </c>
      <c r="I342">
        <v>1</v>
      </c>
    </row>
    <row r="343" spans="1:9" x14ac:dyDescent="0.25">
      <c r="A343">
        <v>0</v>
      </c>
      <c r="B343">
        <v>0</v>
      </c>
      <c r="C343">
        <v>21</v>
      </c>
      <c r="D343">
        <v>1</v>
      </c>
      <c r="E343">
        <v>0</v>
      </c>
      <c r="F343">
        <v>0</v>
      </c>
      <c r="G343">
        <v>37128</v>
      </c>
      <c r="H343">
        <v>0</v>
      </c>
      <c r="I343">
        <v>1</v>
      </c>
    </row>
    <row r="344" spans="1:9" x14ac:dyDescent="0.25">
      <c r="A344">
        <v>0</v>
      </c>
      <c r="B344">
        <v>0</v>
      </c>
      <c r="C344">
        <v>21</v>
      </c>
      <c r="D344">
        <v>1</v>
      </c>
      <c r="E344">
        <v>0</v>
      </c>
      <c r="F344">
        <v>0</v>
      </c>
      <c r="G344">
        <v>37097</v>
      </c>
      <c r="H344">
        <v>0</v>
      </c>
      <c r="I344">
        <v>1</v>
      </c>
    </row>
    <row r="345" spans="1:9" x14ac:dyDescent="0.25">
      <c r="A345">
        <v>0</v>
      </c>
      <c r="B345">
        <v>0</v>
      </c>
      <c r="C345">
        <v>5</v>
      </c>
      <c r="D345">
        <v>0</v>
      </c>
      <c r="E345">
        <v>1</v>
      </c>
      <c r="F345">
        <v>0</v>
      </c>
      <c r="G345">
        <v>2896</v>
      </c>
      <c r="H345">
        <v>0</v>
      </c>
      <c r="I345">
        <v>1</v>
      </c>
    </row>
    <row r="346" spans="1:9" x14ac:dyDescent="0.25">
      <c r="A346">
        <v>0</v>
      </c>
      <c r="B346">
        <v>1</v>
      </c>
      <c r="C346">
        <v>2</v>
      </c>
      <c r="D346">
        <v>0</v>
      </c>
      <c r="E346">
        <v>0</v>
      </c>
      <c r="F346">
        <v>0</v>
      </c>
      <c r="G346">
        <v>1043</v>
      </c>
      <c r="H346">
        <v>0</v>
      </c>
      <c r="I346">
        <v>1</v>
      </c>
    </row>
    <row r="347" spans="1:9" x14ac:dyDescent="0.25">
      <c r="A347">
        <v>0</v>
      </c>
      <c r="B347">
        <v>1</v>
      </c>
      <c r="C347">
        <v>2</v>
      </c>
      <c r="D347">
        <v>0</v>
      </c>
      <c r="E347">
        <v>0</v>
      </c>
      <c r="F347">
        <v>0</v>
      </c>
      <c r="G347">
        <v>1189</v>
      </c>
      <c r="H347">
        <v>0</v>
      </c>
      <c r="I347">
        <v>1</v>
      </c>
    </row>
    <row r="348" spans="1:9" x14ac:dyDescent="0.25">
      <c r="A348">
        <v>0</v>
      </c>
      <c r="B348">
        <v>0</v>
      </c>
      <c r="C348">
        <v>2</v>
      </c>
      <c r="D348">
        <v>0</v>
      </c>
      <c r="E348">
        <v>0</v>
      </c>
      <c r="F348">
        <v>0</v>
      </c>
      <c r="G348">
        <v>1214</v>
      </c>
      <c r="H348">
        <v>0</v>
      </c>
      <c r="I348">
        <v>1</v>
      </c>
    </row>
    <row r="349" spans="1:9" x14ac:dyDescent="0.25">
      <c r="A349">
        <v>0</v>
      </c>
      <c r="B349">
        <v>1</v>
      </c>
      <c r="C349">
        <v>2</v>
      </c>
      <c r="D349">
        <v>0</v>
      </c>
      <c r="E349">
        <v>0</v>
      </c>
      <c r="F349">
        <v>0</v>
      </c>
      <c r="G349">
        <v>1663</v>
      </c>
      <c r="H349">
        <v>0</v>
      </c>
      <c r="I349">
        <v>1</v>
      </c>
    </row>
    <row r="350" spans="1:9" x14ac:dyDescent="0.25">
      <c r="A350">
        <v>0</v>
      </c>
      <c r="B350">
        <v>1</v>
      </c>
      <c r="C350">
        <v>7</v>
      </c>
      <c r="D350">
        <v>0</v>
      </c>
      <c r="E350">
        <v>1</v>
      </c>
      <c r="F350">
        <v>0</v>
      </c>
      <c r="G350">
        <v>15447</v>
      </c>
      <c r="H350">
        <v>0</v>
      </c>
      <c r="I350">
        <v>1</v>
      </c>
    </row>
    <row r="351" spans="1:9" x14ac:dyDescent="0.25">
      <c r="A351">
        <v>98</v>
      </c>
      <c r="B351">
        <v>1</v>
      </c>
      <c r="C351">
        <v>5</v>
      </c>
      <c r="D351">
        <v>3</v>
      </c>
      <c r="E351">
        <v>0</v>
      </c>
      <c r="F351">
        <v>0</v>
      </c>
      <c r="G351">
        <v>10823</v>
      </c>
      <c r="H351">
        <v>0</v>
      </c>
      <c r="I351">
        <v>0</v>
      </c>
    </row>
    <row r="352" spans="1:9" x14ac:dyDescent="0.25">
      <c r="A352">
        <v>98</v>
      </c>
      <c r="B352">
        <v>1</v>
      </c>
      <c r="C352">
        <v>2</v>
      </c>
      <c r="D352">
        <v>1</v>
      </c>
      <c r="E352">
        <v>0</v>
      </c>
      <c r="F352">
        <v>0</v>
      </c>
      <c r="G352">
        <v>8069</v>
      </c>
      <c r="H352">
        <v>0</v>
      </c>
      <c r="I352">
        <v>0</v>
      </c>
    </row>
    <row r="353" spans="1:9" x14ac:dyDescent="0.25">
      <c r="A353">
        <v>96</v>
      </c>
      <c r="B353">
        <v>1</v>
      </c>
      <c r="C353">
        <v>3</v>
      </c>
      <c r="D353">
        <v>3</v>
      </c>
      <c r="E353">
        <v>0</v>
      </c>
      <c r="F353">
        <v>0</v>
      </c>
      <c r="G353">
        <v>3591</v>
      </c>
      <c r="H353">
        <v>0</v>
      </c>
      <c r="I353">
        <v>0</v>
      </c>
    </row>
    <row r="354" spans="1:9" x14ac:dyDescent="0.25">
      <c r="A354">
        <v>95</v>
      </c>
      <c r="B354">
        <v>0</v>
      </c>
      <c r="C354">
        <v>5</v>
      </c>
      <c r="D354">
        <v>6</v>
      </c>
      <c r="E354">
        <v>0</v>
      </c>
      <c r="F354">
        <v>0</v>
      </c>
      <c r="G354">
        <v>15963</v>
      </c>
      <c r="H354">
        <v>0</v>
      </c>
      <c r="I354">
        <v>0</v>
      </c>
    </row>
    <row r="355" spans="1:9" x14ac:dyDescent="0.25">
      <c r="A355">
        <v>95</v>
      </c>
      <c r="B355">
        <v>0</v>
      </c>
      <c r="C355">
        <v>6</v>
      </c>
      <c r="D355">
        <v>3</v>
      </c>
      <c r="E355">
        <v>0</v>
      </c>
      <c r="F355">
        <v>0</v>
      </c>
      <c r="G355">
        <v>17441</v>
      </c>
      <c r="H355">
        <v>0</v>
      </c>
      <c r="I355">
        <v>0</v>
      </c>
    </row>
    <row r="356" spans="1:9" x14ac:dyDescent="0.25">
      <c r="A356">
        <v>95</v>
      </c>
      <c r="B356">
        <v>1</v>
      </c>
      <c r="C356">
        <v>2</v>
      </c>
      <c r="D356">
        <v>3</v>
      </c>
      <c r="E356">
        <v>0</v>
      </c>
      <c r="F356">
        <v>0</v>
      </c>
      <c r="G356">
        <v>12495</v>
      </c>
      <c r="H356">
        <v>0</v>
      </c>
      <c r="I356">
        <v>0</v>
      </c>
    </row>
    <row r="357" spans="1:9" x14ac:dyDescent="0.25">
      <c r="A357">
        <v>95</v>
      </c>
      <c r="B357">
        <v>1</v>
      </c>
      <c r="C357">
        <v>5</v>
      </c>
      <c r="D357">
        <v>6</v>
      </c>
      <c r="E357">
        <v>0</v>
      </c>
      <c r="F357">
        <v>0</v>
      </c>
      <c r="G357">
        <v>18097</v>
      </c>
      <c r="H357">
        <v>0</v>
      </c>
      <c r="I357">
        <v>0</v>
      </c>
    </row>
    <row r="358" spans="1:9" x14ac:dyDescent="0.25">
      <c r="A358">
        <v>95</v>
      </c>
      <c r="B358">
        <v>0</v>
      </c>
      <c r="C358">
        <v>3</v>
      </c>
      <c r="D358">
        <v>2</v>
      </c>
      <c r="E358">
        <v>2</v>
      </c>
      <c r="F358">
        <v>0</v>
      </c>
      <c r="G358">
        <v>7791</v>
      </c>
      <c r="H358">
        <v>0</v>
      </c>
      <c r="I358">
        <v>0</v>
      </c>
    </row>
    <row r="359" spans="1:9" x14ac:dyDescent="0.25">
      <c r="A359">
        <v>95</v>
      </c>
      <c r="B359">
        <v>0</v>
      </c>
      <c r="C359">
        <v>3</v>
      </c>
      <c r="D359">
        <v>3</v>
      </c>
      <c r="E359">
        <v>0</v>
      </c>
      <c r="F359">
        <v>0</v>
      </c>
      <c r="G359">
        <v>5715</v>
      </c>
      <c r="H359">
        <v>0</v>
      </c>
      <c r="I359">
        <v>0</v>
      </c>
    </row>
    <row r="360" spans="1:9" x14ac:dyDescent="0.25">
      <c r="A360">
        <v>93</v>
      </c>
      <c r="B360">
        <v>1</v>
      </c>
      <c r="C360">
        <v>7</v>
      </c>
      <c r="D360">
        <v>4</v>
      </c>
      <c r="E360">
        <v>0</v>
      </c>
      <c r="F360">
        <v>0</v>
      </c>
      <c r="G360">
        <v>18595</v>
      </c>
      <c r="H360">
        <v>0</v>
      </c>
      <c r="I360">
        <v>0</v>
      </c>
    </row>
    <row r="361" spans="1:9" x14ac:dyDescent="0.25">
      <c r="A361">
        <v>93</v>
      </c>
      <c r="B361">
        <v>1</v>
      </c>
      <c r="C361">
        <v>3</v>
      </c>
      <c r="D361">
        <v>6</v>
      </c>
      <c r="E361">
        <v>1</v>
      </c>
      <c r="F361">
        <v>0</v>
      </c>
      <c r="G361">
        <v>9537</v>
      </c>
      <c r="H361">
        <v>0</v>
      </c>
      <c r="I361">
        <v>0</v>
      </c>
    </row>
    <row r="362" spans="1:9" x14ac:dyDescent="0.25">
      <c r="A362">
        <v>93</v>
      </c>
      <c r="B362">
        <v>1</v>
      </c>
      <c r="C362">
        <v>6</v>
      </c>
      <c r="D362">
        <v>6</v>
      </c>
      <c r="E362">
        <v>0</v>
      </c>
      <c r="F362">
        <v>0</v>
      </c>
      <c r="G362">
        <v>19528</v>
      </c>
      <c r="H362">
        <v>0</v>
      </c>
      <c r="I362">
        <v>0</v>
      </c>
    </row>
    <row r="363" spans="1:9" x14ac:dyDescent="0.25">
      <c r="A363">
        <v>93</v>
      </c>
      <c r="B363">
        <v>1</v>
      </c>
      <c r="C363">
        <v>2</v>
      </c>
      <c r="D363">
        <v>4</v>
      </c>
      <c r="E363">
        <v>1</v>
      </c>
      <c r="F363">
        <v>0</v>
      </c>
      <c r="G363">
        <v>5608</v>
      </c>
      <c r="H363">
        <v>0</v>
      </c>
      <c r="I363">
        <v>0</v>
      </c>
    </row>
    <row r="364" spans="1:9" x14ac:dyDescent="0.25">
      <c r="A364">
        <v>93</v>
      </c>
      <c r="B364">
        <v>1</v>
      </c>
      <c r="C364">
        <v>2</v>
      </c>
      <c r="D364">
        <v>4</v>
      </c>
      <c r="E364">
        <v>0</v>
      </c>
      <c r="F364">
        <v>0</v>
      </c>
      <c r="G364">
        <v>10793</v>
      </c>
      <c r="H364">
        <v>0</v>
      </c>
      <c r="I364">
        <v>0</v>
      </c>
    </row>
    <row r="365" spans="1:9" x14ac:dyDescent="0.25">
      <c r="A365">
        <v>92</v>
      </c>
      <c r="B365">
        <v>1</v>
      </c>
      <c r="C365">
        <v>3</v>
      </c>
      <c r="D365">
        <v>5</v>
      </c>
      <c r="E365">
        <v>0</v>
      </c>
      <c r="F365">
        <v>0</v>
      </c>
      <c r="G365">
        <v>9196</v>
      </c>
      <c r="H365">
        <v>0</v>
      </c>
      <c r="I365">
        <v>0</v>
      </c>
    </row>
    <row r="366" spans="1:9" x14ac:dyDescent="0.25">
      <c r="A366">
        <v>91</v>
      </c>
      <c r="B366">
        <v>0</v>
      </c>
      <c r="C366">
        <v>5</v>
      </c>
      <c r="D366">
        <v>4</v>
      </c>
      <c r="E366">
        <v>0</v>
      </c>
      <c r="F366">
        <v>0</v>
      </c>
      <c r="G366">
        <v>20350</v>
      </c>
      <c r="H366">
        <v>0</v>
      </c>
      <c r="I366">
        <v>0</v>
      </c>
    </row>
    <row r="367" spans="1:9" x14ac:dyDescent="0.25">
      <c r="A367">
        <v>91</v>
      </c>
      <c r="B367">
        <v>1</v>
      </c>
      <c r="C367">
        <v>3</v>
      </c>
      <c r="D367">
        <v>3</v>
      </c>
      <c r="E367">
        <v>0</v>
      </c>
      <c r="F367">
        <v>0</v>
      </c>
      <c r="G367">
        <v>12458</v>
      </c>
      <c r="H367">
        <v>0</v>
      </c>
      <c r="I367">
        <v>0</v>
      </c>
    </row>
    <row r="368" spans="1:9" x14ac:dyDescent="0.25">
      <c r="A368">
        <v>91</v>
      </c>
      <c r="B368">
        <v>0</v>
      </c>
      <c r="C368">
        <v>6</v>
      </c>
      <c r="D368">
        <v>4</v>
      </c>
      <c r="E368">
        <v>0</v>
      </c>
      <c r="F368">
        <v>0</v>
      </c>
      <c r="G368">
        <v>10423</v>
      </c>
      <c r="H368">
        <v>0</v>
      </c>
      <c r="I368">
        <v>0</v>
      </c>
    </row>
    <row r="369" spans="1:9" x14ac:dyDescent="0.25">
      <c r="A369">
        <v>91</v>
      </c>
      <c r="B369">
        <v>1</v>
      </c>
      <c r="C369">
        <v>5</v>
      </c>
      <c r="D369">
        <v>4</v>
      </c>
      <c r="E369">
        <v>2</v>
      </c>
      <c r="F369">
        <v>0</v>
      </c>
      <c r="G369">
        <v>17160</v>
      </c>
      <c r="H369">
        <v>0</v>
      </c>
      <c r="I369">
        <v>0</v>
      </c>
    </row>
    <row r="370" spans="1:9" x14ac:dyDescent="0.25">
      <c r="A370">
        <v>91</v>
      </c>
      <c r="B370">
        <v>1</v>
      </c>
      <c r="C370">
        <v>2</v>
      </c>
      <c r="D370">
        <v>3</v>
      </c>
      <c r="E370">
        <v>0</v>
      </c>
      <c r="F370">
        <v>0</v>
      </c>
      <c r="G370">
        <v>9722</v>
      </c>
      <c r="H370">
        <v>0</v>
      </c>
      <c r="I370">
        <v>0</v>
      </c>
    </row>
    <row r="371" spans="1:9" x14ac:dyDescent="0.25">
      <c r="A371">
        <v>91</v>
      </c>
      <c r="B371">
        <v>1</v>
      </c>
      <c r="C371">
        <v>7</v>
      </c>
      <c r="D371">
        <v>4</v>
      </c>
      <c r="E371">
        <v>0</v>
      </c>
      <c r="F371">
        <v>0</v>
      </c>
      <c r="G371">
        <v>12081</v>
      </c>
      <c r="H371">
        <v>0</v>
      </c>
      <c r="I371">
        <v>0</v>
      </c>
    </row>
    <row r="372" spans="1:9" x14ac:dyDescent="0.25">
      <c r="A372">
        <v>90</v>
      </c>
      <c r="B372">
        <v>1</v>
      </c>
      <c r="C372">
        <v>5</v>
      </c>
      <c r="D372">
        <v>2</v>
      </c>
      <c r="E372">
        <v>0</v>
      </c>
      <c r="F372">
        <v>0</v>
      </c>
      <c r="G372">
        <v>15571</v>
      </c>
      <c r="H372">
        <v>0</v>
      </c>
      <c r="I372">
        <v>0</v>
      </c>
    </row>
    <row r="373" spans="1:9" x14ac:dyDescent="0.25">
      <c r="A373">
        <v>90</v>
      </c>
      <c r="B373">
        <v>1</v>
      </c>
      <c r="C373">
        <v>3</v>
      </c>
      <c r="D373">
        <v>2</v>
      </c>
      <c r="E373">
        <v>1</v>
      </c>
      <c r="F373">
        <v>0</v>
      </c>
      <c r="G373">
        <v>18260</v>
      </c>
      <c r="H373">
        <v>0</v>
      </c>
      <c r="I373">
        <v>0</v>
      </c>
    </row>
    <row r="374" spans="1:9" x14ac:dyDescent="0.25">
      <c r="A374">
        <v>90</v>
      </c>
      <c r="B374">
        <v>1</v>
      </c>
      <c r="C374">
        <v>7</v>
      </c>
      <c r="D374">
        <v>1</v>
      </c>
      <c r="E374">
        <v>0</v>
      </c>
      <c r="F374">
        <v>0</v>
      </c>
      <c r="G374">
        <v>17008</v>
      </c>
      <c r="H374">
        <v>0</v>
      </c>
      <c r="I374">
        <v>0</v>
      </c>
    </row>
    <row r="375" spans="1:9" x14ac:dyDescent="0.25">
      <c r="A375">
        <v>90</v>
      </c>
      <c r="B375">
        <v>1</v>
      </c>
      <c r="C375">
        <v>8</v>
      </c>
      <c r="D375">
        <v>3</v>
      </c>
      <c r="E375">
        <v>1</v>
      </c>
      <c r="F375">
        <v>0</v>
      </c>
      <c r="G375">
        <v>36746</v>
      </c>
      <c r="H375">
        <v>0</v>
      </c>
      <c r="I375">
        <v>0</v>
      </c>
    </row>
    <row r="376" spans="1:9" x14ac:dyDescent="0.25">
      <c r="A376">
        <v>90</v>
      </c>
      <c r="B376">
        <v>1</v>
      </c>
      <c r="C376">
        <v>1</v>
      </c>
      <c r="D376">
        <v>1</v>
      </c>
      <c r="E376">
        <v>0</v>
      </c>
      <c r="F376">
        <v>0</v>
      </c>
      <c r="G376">
        <v>7811</v>
      </c>
      <c r="H376">
        <v>0</v>
      </c>
      <c r="I376">
        <v>0</v>
      </c>
    </row>
    <row r="377" spans="1:9" x14ac:dyDescent="0.25">
      <c r="A377">
        <v>90</v>
      </c>
      <c r="B377">
        <v>1</v>
      </c>
      <c r="C377">
        <v>3</v>
      </c>
      <c r="D377">
        <v>3</v>
      </c>
      <c r="E377">
        <v>0</v>
      </c>
      <c r="F377">
        <v>0</v>
      </c>
      <c r="G377">
        <v>9888</v>
      </c>
      <c r="H377">
        <v>0</v>
      </c>
      <c r="I377">
        <v>0</v>
      </c>
    </row>
    <row r="378" spans="1:9" x14ac:dyDescent="0.25">
      <c r="A378">
        <v>90</v>
      </c>
      <c r="B378">
        <v>1</v>
      </c>
      <c r="C378">
        <v>6</v>
      </c>
      <c r="D378">
        <v>3</v>
      </c>
      <c r="E378">
        <v>1</v>
      </c>
      <c r="F378">
        <v>0</v>
      </c>
      <c r="G378">
        <v>29868</v>
      </c>
      <c r="H378">
        <v>1</v>
      </c>
      <c r="I378">
        <v>0</v>
      </c>
    </row>
    <row r="379" spans="1:9" x14ac:dyDescent="0.25">
      <c r="A379">
        <v>90</v>
      </c>
      <c r="B379">
        <v>1</v>
      </c>
      <c r="C379">
        <v>10</v>
      </c>
      <c r="D379">
        <v>4</v>
      </c>
      <c r="E379">
        <v>1</v>
      </c>
      <c r="F379">
        <v>0</v>
      </c>
      <c r="G379">
        <v>32906</v>
      </c>
      <c r="H379">
        <v>1</v>
      </c>
      <c r="I379">
        <v>0</v>
      </c>
    </row>
    <row r="380" spans="1:9" x14ac:dyDescent="0.25">
      <c r="A380">
        <v>90</v>
      </c>
      <c r="B380">
        <v>0</v>
      </c>
      <c r="C380">
        <v>17</v>
      </c>
      <c r="D380">
        <v>3</v>
      </c>
      <c r="E380">
        <v>6</v>
      </c>
      <c r="F380">
        <v>0</v>
      </c>
      <c r="G380">
        <v>87919</v>
      </c>
      <c r="H380">
        <v>1</v>
      </c>
      <c r="I380">
        <v>0</v>
      </c>
    </row>
    <row r="381" spans="1:9" x14ac:dyDescent="0.25">
      <c r="A381">
        <v>89</v>
      </c>
      <c r="B381">
        <v>0</v>
      </c>
      <c r="C381">
        <v>6</v>
      </c>
      <c r="D381">
        <v>4</v>
      </c>
      <c r="E381">
        <v>0</v>
      </c>
      <c r="F381">
        <v>0</v>
      </c>
      <c r="G381">
        <v>10230</v>
      </c>
      <c r="H381">
        <v>0</v>
      </c>
      <c r="I381">
        <v>0</v>
      </c>
    </row>
    <row r="382" spans="1:9" x14ac:dyDescent="0.25">
      <c r="A382">
        <v>89</v>
      </c>
      <c r="B382">
        <v>1</v>
      </c>
      <c r="C382">
        <v>4</v>
      </c>
      <c r="D382">
        <v>3</v>
      </c>
      <c r="E382">
        <v>0</v>
      </c>
      <c r="F382">
        <v>0</v>
      </c>
      <c r="G382">
        <v>9662</v>
      </c>
      <c r="H382">
        <v>0</v>
      </c>
      <c r="I382">
        <v>0</v>
      </c>
    </row>
    <row r="383" spans="1:9" x14ac:dyDescent="0.25">
      <c r="A383">
        <v>89</v>
      </c>
      <c r="B383">
        <v>0</v>
      </c>
      <c r="C383">
        <v>4</v>
      </c>
      <c r="D383">
        <v>2</v>
      </c>
      <c r="E383">
        <v>0</v>
      </c>
      <c r="F383">
        <v>0</v>
      </c>
      <c r="G383">
        <v>4988</v>
      </c>
      <c r="H383">
        <v>0</v>
      </c>
      <c r="I383">
        <v>0</v>
      </c>
    </row>
    <row r="384" spans="1:9" x14ac:dyDescent="0.25">
      <c r="A384">
        <v>89</v>
      </c>
      <c r="B384">
        <v>1</v>
      </c>
      <c r="C384">
        <v>0</v>
      </c>
      <c r="D384">
        <v>3</v>
      </c>
      <c r="E384">
        <v>0</v>
      </c>
      <c r="F384">
        <v>0</v>
      </c>
      <c r="G384">
        <v>5242</v>
      </c>
      <c r="H384">
        <v>0</v>
      </c>
      <c r="I384">
        <v>0</v>
      </c>
    </row>
    <row r="385" spans="1:9" x14ac:dyDescent="0.25">
      <c r="A385">
        <v>89</v>
      </c>
      <c r="B385">
        <v>1</v>
      </c>
      <c r="C385">
        <v>5</v>
      </c>
      <c r="D385">
        <v>4</v>
      </c>
      <c r="E385">
        <v>1</v>
      </c>
      <c r="F385">
        <v>0</v>
      </c>
      <c r="G385">
        <v>27657</v>
      </c>
      <c r="H385">
        <v>1</v>
      </c>
      <c r="I385">
        <v>0</v>
      </c>
    </row>
    <row r="386" spans="1:9" x14ac:dyDescent="0.25">
      <c r="A386">
        <v>88</v>
      </c>
      <c r="B386">
        <v>1</v>
      </c>
      <c r="C386">
        <v>8</v>
      </c>
      <c r="D386">
        <v>5</v>
      </c>
      <c r="E386">
        <v>0</v>
      </c>
      <c r="F386">
        <v>0</v>
      </c>
      <c r="G386">
        <v>30798</v>
      </c>
      <c r="H386">
        <v>0</v>
      </c>
      <c r="I386">
        <v>0</v>
      </c>
    </row>
    <row r="387" spans="1:9" x14ac:dyDescent="0.25">
      <c r="A387">
        <v>87</v>
      </c>
      <c r="B387">
        <v>1</v>
      </c>
      <c r="C387">
        <v>5</v>
      </c>
      <c r="D387">
        <v>7</v>
      </c>
      <c r="E387">
        <v>1</v>
      </c>
      <c r="F387">
        <v>0</v>
      </c>
      <c r="G387">
        <v>9414</v>
      </c>
      <c r="H387">
        <v>0</v>
      </c>
      <c r="I387">
        <v>0</v>
      </c>
    </row>
    <row r="388" spans="1:9" x14ac:dyDescent="0.25">
      <c r="A388">
        <v>87</v>
      </c>
      <c r="B388">
        <v>0</v>
      </c>
      <c r="C388">
        <v>12</v>
      </c>
      <c r="D388">
        <v>4</v>
      </c>
      <c r="E388">
        <v>0</v>
      </c>
      <c r="F388">
        <v>0</v>
      </c>
      <c r="G388">
        <v>41764</v>
      </c>
      <c r="H388">
        <v>0</v>
      </c>
      <c r="I388">
        <v>0</v>
      </c>
    </row>
    <row r="389" spans="1:9" x14ac:dyDescent="0.25">
      <c r="A389">
        <v>87</v>
      </c>
      <c r="B389">
        <v>0</v>
      </c>
      <c r="C389">
        <v>4</v>
      </c>
      <c r="D389">
        <v>3</v>
      </c>
      <c r="E389">
        <v>0</v>
      </c>
      <c r="F389">
        <v>0</v>
      </c>
      <c r="G389">
        <v>15374</v>
      </c>
      <c r="H389">
        <v>0</v>
      </c>
      <c r="I389">
        <v>0</v>
      </c>
    </row>
    <row r="390" spans="1:9" x14ac:dyDescent="0.25">
      <c r="A390">
        <v>87</v>
      </c>
      <c r="B390">
        <v>1</v>
      </c>
      <c r="C390">
        <v>6</v>
      </c>
      <c r="D390">
        <v>6</v>
      </c>
      <c r="E390">
        <v>0</v>
      </c>
      <c r="F390">
        <v>0</v>
      </c>
      <c r="G390">
        <v>23176</v>
      </c>
      <c r="H390">
        <v>0</v>
      </c>
      <c r="I390">
        <v>0</v>
      </c>
    </row>
    <row r="391" spans="1:9" x14ac:dyDescent="0.25">
      <c r="A391">
        <v>87</v>
      </c>
      <c r="B391">
        <v>1</v>
      </c>
      <c r="C391">
        <v>8</v>
      </c>
      <c r="D391">
        <v>4</v>
      </c>
      <c r="E391">
        <v>1</v>
      </c>
      <c r="F391">
        <v>0</v>
      </c>
      <c r="G391">
        <v>25348</v>
      </c>
      <c r="H391">
        <v>0</v>
      </c>
      <c r="I391">
        <v>0</v>
      </c>
    </row>
    <row r="392" spans="1:9" x14ac:dyDescent="0.25">
      <c r="A392">
        <v>87</v>
      </c>
      <c r="B392">
        <v>1</v>
      </c>
      <c r="C392">
        <v>3</v>
      </c>
      <c r="D392">
        <v>4</v>
      </c>
      <c r="E392">
        <v>2</v>
      </c>
      <c r="F392">
        <v>0</v>
      </c>
      <c r="G392">
        <v>7834</v>
      </c>
      <c r="H392">
        <v>0</v>
      </c>
      <c r="I392">
        <v>0</v>
      </c>
    </row>
    <row r="393" spans="1:9" x14ac:dyDescent="0.25">
      <c r="A393">
        <v>87</v>
      </c>
      <c r="B393">
        <v>1</v>
      </c>
      <c r="C393">
        <v>7</v>
      </c>
      <c r="D393">
        <v>5</v>
      </c>
      <c r="E393">
        <v>0</v>
      </c>
      <c r="F393">
        <v>0</v>
      </c>
      <c r="G393">
        <v>12552</v>
      </c>
      <c r="H393">
        <v>0</v>
      </c>
      <c r="I393">
        <v>0</v>
      </c>
    </row>
    <row r="394" spans="1:9" x14ac:dyDescent="0.25">
      <c r="A394">
        <v>87</v>
      </c>
      <c r="B394">
        <v>0</v>
      </c>
      <c r="C394">
        <v>5</v>
      </c>
      <c r="D394">
        <v>8</v>
      </c>
      <c r="E394">
        <v>1</v>
      </c>
      <c r="F394">
        <v>0</v>
      </c>
      <c r="G394">
        <v>10117</v>
      </c>
      <c r="H394">
        <v>0</v>
      </c>
      <c r="I394">
        <v>0</v>
      </c>
    </row>
    <row r="395" spans="1:9" x14ac:dyDescent="0.25">
      <c r="A395">
        <v>87</v>
      </c>
      <c r="B395">
        <v>0</v>
      </c>
      <c r="C395">
        <v>1</v>
      </c>
      <c r="D395">
        <v>5</v>
      </c>
      <c r="E395">
        <v>2</v>
      </c>
      <c r="F395">
        <v>0</v>
      </c>
      <c r="G395">
        <v>7084</v>
      </c>
      <c r="H395">
        <v>0</v>
      </c>
      <c r="I395">
        <v>0</v>
      </c>
    </row>
    <row r="396" spans="1:9" x14ac:dyDescent="0.25">
      <c r="A396">
        <v>87</v>
      </c>
      <c r="B396">
        <v>0</v>
      </c>
      <c r="C396">
        <v>1</v>
      </c>
      <c r="D396">
        <v>7</v>
      </c>
      <c r="E396">
        <v>2</v>
      </c>
      <c r="F396">
        <v>0</v>
      </c>
      <c r="G396">
        <v>12666</v>
      </c>
      <c r="H396">
        <v>1</v>
      </c>
      <c r="I396">
        <v>0</v>
      </c>
    </row>
    <row r="397" spans="1:9" x14ac:dyDescent="0.25">
      <c r="A397">
        <v>86</v>
      </c>
      <c r="B397">
        <v>0</v>
      </c>
      <c r="C397">
        <v>4</v>
      </c>
      <c r="D397">
        <v>1</v>
      </c>
      <c r="E397">
        <v>0</v>
      </c>
      <c r="F397">
        <v>0</v>
      </c>
      <c r="G397">
        <v>16769</v>
      </c>
      <c r="H397">
        <v>0</v>
      </c>
      <c r="I397">
        <v>0</v>
      </c>
    </row>
    <row r="398" spans="1:9" x14ac:dyDescent="0.25">
      <c r="A398">
        <v>86</v>
      </c>
      <c r="B398">
        <v>0</v>
      </c>
      <c r="C398">
        <v>3</v>
      </c>
      <c r="D398">
        <v>7</v>
      </c>
      <c r="E398">
        <v>0</v>
      </c>
      <c r="F398">
        <v>0</v>
      </c>
      <c r="G398">
        <v>12061</v>
      </c>
      <c r="H398">
        <v>0</v>
      </c>
      <c r="I398">
        <v>0</v>
      </c>
    </row>
    <row r="399" spans="1:9" x14ac:dyDescent="0.25">
      <c r="A399">
        <v>86</v>
      </c>
      <c r="B399">
        <v>0</v>
      </c>
      <c r="C399">
        <v>4</v>
      </c>
      <c r="D399">
        <v>8</v>
      </c>
      <c r="E399">
        <v>0</v>
      </c>
      <c r="F399">
        <v>0</v>
      </c>
      <c r="G399">
        <v>15271</v>
      </c>
      <c r="H399">
        <v>0</v>
      </c>
      <c r="I399">
        <v>0</v>
      </c>
    </row>
    <row r="400" spans="1:9" x14ac:dyDescent="0.25">
      <c r="A400">
        <v>86</v>
      </c>
      <c r="B400">
        <v>1</v>
      </c>
      <c r="C400">
        <v>4</v>
      </c>
      <c r="D400">
        <v>3</v>
      </c>
      <c r="E400">
        <v>0</v>
      </c>
      <c r="F400">
        <v>0</v>
      </c>
      <c r="G400">
        <v>14245</v>
      </c>
      <c r="H400">
        <v>0</v>
      </c>
      <c r="I400">
        <v>0</v>
      </c>
    </row>
    <row r="401" spans="1:9" x14ac:dyDescent="0.25">
      <c r="A401">
        <v>86</v>
      </c>
      <c r="B401">
        <v>1</v>
      </c>
      <c r="C401">
        <v>2</v>
      </c>
      <c r="D401">
        <v>4</v>
      </c>
      <c r="E401">
        <v>0</v>
      </c>
      <c r="F401">
        <v>0</v>
      </c>
      <c r="G401">
        <v>8796</v>
      </c>
      <c r="H401">
        <v>0</v>
      </c>
      <c r="I401">
        <v>0</v>
      </c>
    </row>
    <row r="402" spans="1:9" x14ac:dyDescent="0.25">
      <c r="A402">
        <v>86</v>
      </c>
      <c r="B402">
        <v>1</v>
      </c>
      <c r="C402">
        <v>4</v>
      </c>
      <c r="D402">
        <v>5</v>
      </c>
      <c r="E402">
        <v>0</v>
      </c>
      <c r="F402">
        <v>0</v>
      </c>
      <c r="G402">
        <v>3748</v>
      </c>
      <c r="H402">
        <v>0</v>
      </c>
      <c r="I402">
        <v>0</v>
      </c>
    </row>
    <row r="403" spans="1:9" x14ac:dyDescent="0.25">
      <c r="A403">
        <v>86</v>
      </c>
      <c r="B403">
        <v>1</v>
      </c>
      <c r="C403">
        <v>23</v>
      </c>
      <c r="D403">
        <v>3</v>
      </c>
      <c r="E403">
        <v>0</v>
      </c>
      <c r="F403">
        <v>0</v>
      </c>
      <c r="G403">
        <v>44801</v>
      </c>
      <c r="H403">
        <v>0</v>
      </c>
      <c r="I403">
        <v>0</v>
      </c>
    </row>
    <row r="404" spans="1:9" x14ac:dyDescent="0.25">
      <c r="A404">
        <v>86</v>
      </c>
      <c r="B404">
        <v>0</v>
      </c>
      <c r="C404">
        <v>1</v>
      </c>
      <c r="D404">
        <v>3</v>
      </c>
      <c r="E404">
        <v>0</v>
      </c>
      <c r="F404">
        <v>0</v>
      </c>
      <c r="G404">
        <v>7468</v>
      </c>
      <c r="H404">
        <v>0</v>
      </c>
      <c r="I404">
        <v>0</v>
      </c>
    </row>
    <row r="405" spans="1:9" x14ac:dyDescent="0.25">
      <c r="A405">
        <v>86</v>
      </c>
      <c r="B405">
        <v>1</v>
      </c>
      <c r="C405">
        <v>2</v>
      </c>
      <c r="D405">
        <v>4</v>
      </c>
      <c r="E405">
        <v>0</v>
      </c>
      <c r="F405">
        <v>0</v>
      </c>
      <c r="G405">
        <v>7250</v>
      </c>
      <c r="H405">
        <v>0</v>
      </c>
      <c r="I405">
        <v>0</v>
      </c>
    </row>
    <row r="406" spans="1:9" x14ac:dyDescent="0.25">
      <c r="A406">
        <v>86</v>
      </c>
      <c r="B406">
        <v>1</v>
      </c>
      <c r="C406">
        <v>5</v>
      </c>
      <c r="D406">
        <v>6</v>
      </c>
      <c r="E406">
        <v>0</v>
      </c>
      <c r="F406">
        <v>0</v>
      </c>
      <c r="G406">
        <v>25855</v>
      </c>
      <c r="H406">
        <v>0</v>
      </c>
      <c r="I406">
        <v>0</v>
      </c>
    </row>
    <row r="407" spans="1:9" x14ac:dyDescent="0.25">
      <c r="A407">
        <v>86</v>
      </c>
      <c r="B407">
        <v>0</v>
      </c>
      <c r="C407">
        <v>9</v>
      </c>
      <c r="D407">
        <v>2</v>
      </c>
      <c r="E407">
        <v>0</v>
      </c>
      <c r="F407">
        <v>0</v>
      </c>
      <c r="G407">
        <v>27434</v>
      </c>
      <c r="H407">
        <v>0</v>
      </c>
      <c r="I407">
        <v>0</v>
      </c>
    </row>
    <row r="408" spans="1:9" x14ac:dyDescent="0.25">
      <c r="A408">
        <v>86</v>
      </c>
      <c r="B408">
        <v>1</v>
      </c>
      <c r="C408">
        <v>3</v>
      </c>
      <c r="D408">
        <v>3</v>
      </c>
      <c r="E408">
        <v>0</v>
      </c>
      <c r="F408">
        <v>0</v>
      </c>
      <c r="G408">
        <v>7682</v>
      </c>
      <c r="H408">
        <v>0</v>
      </c>
      <c r="I408">
        <v>0</v>
      </c>
    </row>
    <row r="409" spans="1:9" x14ac:dyDescent="0.25">
      <c r="A409">
        <v>86</v>
      </c>
      <c r="B409">
        <v>1</v>
      </c>
      <c r="C409">
        <v>4</v>
      </c>
      <c r="D409">
        <v>7</v>
      </c>
      <c r="E409">
        <v>0</v>
      </c>
      <c r="F409">
        <v>0</v>
      </c>
      <c r="G409">
        <v>11727</v>
      </c>
      <c r="H409">
        <v>0</v>
      </c>
      <c r="I409">
        <v>0</v>
      </c>
    </row>
    <row r="410" spans="1:9" x14ac:dyDescent="0.25">
      <c r="A410">
        <v>86</v>
      </c>
      <c r="B410">
        <v>1</v>
      </c>
      <c r="C410">
        <v>11</v>
      </c>
      <c r="D410">
        <v>3</v>
      </c>
      <c r="E410">
        <v>0</v>
      </c>
      <c r="F410">
        <v>0</v>
      </c>
      <c r="G410">
        <v>45206</v>
      </c>
      <c r="H410">
        <v>0</v>
      </c>
      <c r="I410">
        <v>0</v>
      </c>
    </row>
    <row r="411" spans="1:9" x14ac:dyDescent="0.25">
      <c r="A411">
        <v>86</v>
      </c>
      <c r="B411">
        <v>1</v>
      </c>
      <c r="C411">
        <v>11</v>
      </c>
      <c r="D411">
        <v>2</v>
      </c>
      <c r="E411">
        <v>2</v>
      </c>
      <c r="F411">
        <v>0</v>
      </c>
      <c r="G411">
        <v>59212</v>
      </c>
      <c r="H411">
        <v>1</v>
      </c>
      <c r="I411">
        <v>0</v>
      </c>
    </row>
    <row r="412" spans="1:9" x14ac:dyDescent="0.25">
      <c r="A412">
        <v>85</v>
      </c>
      <c r="B412">
        <v>0</v>
      </c>
      <c r="C412">
        <v>1</v>
      </c>
      <c r="D412">
        <v>5</v>
      </c>
      <c r="E412">
        <v>0</v>
      </c>
      <c r="F412">
        <v>0</v>
      </c>
      <c r="G412">
        <v>10871</v>
      </c>
      <c r="H412">
        <v>0</v>
      </c>
      <c r="I412">
        <v>0</v>
      </c>
    </row>
    <row r="413" spans="1:9" x14ac:dyDescent="0.25">
      <c r="A413">
        <v>85</v>
      </c>
      <c r="B413">
        <v>0</v>
      </c>
      <c r="C413">
        <v>3</v>
      </c>
      <c r="D413">
        <v>6</v>
      </c>
      <c r="E413">
        <v>0</v>
      </c>
      <c r="F413">
        <v>0</v>
      </c>
      <c r="G413">
        <v>11229</v>
      </c>
      <c r="H413">
        <v>0</v>
      </c>
      <c r="I413">
        <v>0</v>
      </c>
    </row>
    <row r="414" spans="1:9" x14ac:dyDescent="0.25">
      <c r="A414">
        <v>85</v>
      </c>
      <c r="B414">
        <v>1</v>
      </c>
      <c r="C414">
        <v>23</v>
      </c>
      <c r="D414">
        <v>2</v>
      </c>
      <c r="E414">
        <v>1</v>
      </c>
      <c r="F414">
        <v>0</v>
      </c>
      <c r="G414">
        <v>68282</v>
      </c>
      <c r="H414">
        <v>0</v>
      </c>
      <c r="I414">
        <v>0</v>
      </c>
    </row>
    <row r="415" spans="1:9" x14ac:dyDescent="0.25">
      <c r="A415">
        <v>85</v>
      </c>
      <c r="B415">
        <v>1</v>
      </c>
      <c r="C415">
        <v>3</v>
      </c>
      <c r="D415">
        <v>4</v>
      </c>
      <c r="E415">
        <v>1</v>
      </c>
      <c r="F415">
        <v>0</v>
      </c>
      <c r="G415">
        <v>20320</v>
      </c>
      <c r="H415">
        <v>0</v>
      </c>
      <c r="I415">
        <v>0</v>
      </c>
    </row>
    <row r="416" spans="1:9" x14ac:dyDescent="0.25">
      <c r="A416">
        <v>85</v>
      </c>
      <c r="B416">
        <v>1</v>
      </c>
      <c r="C416">
        <v>3</v>
      </c>
      <c r="D416">
        <v>3</v>
      </c>
      <c r="E416">
        <v>0</v>
      </c>
      <c r="F416">
        <v>0</v>
      </c>
      <c r="G416">
        <v>2808</v>
      </c>
      <c r="H416">
        <v>0</v>
      </c>
      <c r="I416">
        <v>0</v>
      </c>
    </row>
    <row r="417" spans="1:9" x14ac:dyDescent="0.25">
      <c r="A417">
        <v>85</v>
      </c>
      <c r="B417">
        <v>0</v>
      </c>
      <c r="C417">
        <v>3</v>
      </c>
      <c r="D417">
        <v>4</v>
      </c>
      <c r="E417">
        <v>2</v>
      </c>
      <c r="F417">
        <v>0</v>
      </c>
      <c r="G417">
        <v>25721</v>
      </c>
      <c r="H417">
        <v>0</v>
      </c>
      <c r="I417">
        <v>0</v>
      </c>
    </row>
    <row r="418" spans="1:9" x14ac:dyDescent="0.25">
      <c r="A418">
        <v>85</v>
      </c>
      <c r="B418">
        <v>1</v>
      </c>
      <c r="C418">
        <v>5</v>
      </c>
      <c r="D418">
        <v>2</v>
      </c>
      <c r="E418">
        <v>0</v>
      </c>
      <c r="F418">
        <v>0</v>
      </c>
      <c r="G418">
        <v>13288</v>
      </c>
      <c r="H418">
        <v>0</v>
      </c>
      <c r="I418">
        <v>0</v>
      </c>
    </row>
    <row r="419" spans="1:9" x14ac:dyDescent="0.25">
      <c r="A419">
        <v>85</v>
      </c>
      <c r="B419">
        <v>1</v>
      </c>
      <c r="C419">
        <v>3</v>
      </c>
      <c r="D419">
        <v>6</v>
      </c>
      <c r="E419">
        <v>2</v>
      </c>
      <c r="F419">
        <v>0</v>
      </c>
      <c r="G419">
        <v>41734</v>
      </c>
      <c r="H419">
        <v>1</v>
      </c>
      <c r="I419">
        <v>0</v>
      </c>
    </row>
    <row r="420" spans="1:9" x14ac:dyDescent="0.25">
      <c r="A420">
        <v>85</v>
      </c>
      <c r="B420">
        <v>1</v>
      </c>
      <c r="C420">
        <v>2</v>
      </c>
      <c r="D420">
        <v>6</v>
      </c>
      <c r="E420">
        <v>4</v>
      </c>
      <c r="F420">
        <v>0</v>
      </c>
      <c r="G420">
        <v>16486</v>
      </c>
      <c r="H420">
        <v>1</v>
      </c>
      <c r="I420">
        <v>0</v>
      </c>
    </row>
    <row r="421" spans="1:9" x14ac:dyDescent="0.25">
      <c r="A421">
        <v>84</v>
      </c>
      <c r="B421">
        <v>1</v>
      </c>
      <c r="C421">
        <v>3</v>
      </c>
      <c r="D421">
        <v>6</v>
      </c>
      <c r="E421">
        <v>0</v>
      </c>
      <c r="F421">
        <v>0</v>
      </c>
      <c r="G421">
        <v>12181</v>
      </c>
      <c r="H421">
        <v>0</v>
      </c>
      <c r="I421">
        <v>0</v>
      </c>
    </row>
    <row r="422" spans="1:9" x14ac:dyDescent="0.25">
      <c r="A422">
        <v>84</v>
      </c>
      <c r="B422">
        <v>1</v>
      </c>
      <c r="C422">
        <v>6</v>
      </c>
      <c r="D422">
        <v>6</v>
      </c>
      <c r="E422">
        <v>1</v>
      </c>
      <c r="F422">
        <v>0</v>
      </c>
      <c r="G422">
        <v>20812</v>
      </c>
      <c r="H422">
        <v>0</v>
      </c>
      <c r="I422">
        <v>0</v>
      </c>
    </row>
    <row r="423" spans="1:9" x14ac:dyDescent="0.25">
      <c r="A423">
        <v>84</v>
      </c>
      <c r="B423">
        <v>1</v>
      </c>
      <c r="C423">
        <v>2</v>
      </c>
      <c r="D423">
        <v>4</v>
      </c>
      <c r="E423">
        <v>0</v>
      </c>
      <c r="F423">
        <v>0</v>
      </c>
      <c r="G423">
        <v>3544</v>
      </c>
      <c r="H423">
        <v>0</v>
      </c>
      <c r="I423">
        <v>0</v>
      </c>
    </row>
    <row r="424" spans="1:9" x14ac:dyDescent="0.25">
      <c r="A424">
        <v>84</v>
      </c>
      <c r="B424">
        <v>0</v>
      </c>
      <c r="C424">
        <v>1</v>
      </c>
      <c r="D424">
        <v>2</v>
      </c>
      <c r="E424">
        <v>0</v>
      </c>
      <c r="F424">
        <v>0</v>
      </c>
      <c r="G424">
        <v>7292</v>
      </c>
      <c r="H424">
        <v>0</v>
      </c>
      <c r="I424">
        <v>0</v>
      </c>
    </row>
    <row r="425" spans="1:9" x14ac:dyDescent="0.25">
      <c r="A425">
        <v>84</v>
      </c>
      <c r="B425">
        <v>0</v>
      </c>
      <c r="C425">
        <v>4</v>
      </c>
      <c r="D425">
        <v>5</v>
      </c>
      <c r="E425">
        <v>0</v>
      </c>
      <c r="F425">
        <v>0</v>
      </c>
      <c r="G425">
        <v>12182</v>
      </c>
      <c r="H425">
        <v>0</v>
      </c>
      <c r="I425">
        <v>0</v>
      </c>
    </row>
    <row r="426" spans="1:9" x14ac:dyDescent="0.25">
      <c r="A426">
        <v>84</v>
      </c>
      <c r="B426">
        <v>1</v>
      </c>
      <c r="C426">
        <v>5</v>
      </c>
      <c r="D426">
        <v>2</v>
      </c>
      <c r="E426">
        <v>0</v>
      </c>
      <c r="F426">
        <v>0</v>
      </c>
      <c r="G426">
        <v>28045</v>
      </c>
      <c r="H426">
        <v>0</v>
      </c>
      <c r="I426">
        <v>0</v>
      </c>
    </row>
    <row r="427" spans="1:9" x14ac:dyDescent="0.25">
      <c r="A427">
        <v>84</v>
      </c>
      <c r="B427">
        <v>1</v>
      </c>
      <c r="C427">
        <v>0</v>
      </c>
      <c r="D427">
        <v>4</v>
      </c>
      <c r="E427">
        <v>0</v>
      </c>
      <c r="F427">
        <v>0</v>
      </c>
      <c r="G427">
        <v>12264</v>
      </c>
      <c r="H427">
        <v>0</v>
      </c>
      <c r="I427">
        <v>0</v>
      </c>
    </row>
    <row r="428" spans="1:9" x14ac:dyDescent="0.25">
      <c r="A428">
        <v>84</v>
      </c>
      <c r="B428">
        <v>1</v>
      </c>
      <c r="C428">
        <v>1</v>
      </c>
      <c r="D428">
        <v>3</v>
      </c>
      <c r="E428">
        <v>0</v>
      </c>
      <c r="F428">
        <v>0</v>
      </c>
      <c r="G428">
        <v>6217</v>
      </c>
      <c r="H428">
        <v>0</v>
      </c>
      <c r="I428">
        <v>0</v>
      </c>
    </row>
    <row r="429" spans="1:9" x14ac:dyDescent="0.25">
      <c r="A429">
        <v>84</v>
      </c>
      <c r="B429">
        <v>0</v>
      </c>
      <c r="C429">
        <v>4</v>
      </c>
      <c r="D429">
        <v>3</v>
      </c>
      <c r="E429">
        <v>0</v>
      </c>
      <c r="F429">
        <v>0</v>
      </c>
      <c r="G429">
        <v>13899</v>
      </c>
      <c r="H429">
        <v>0</v>
      </c>
      <c r="I429">
        <v>0</v>
      </c>
    </row>
    <row r="430" spans="1:9" x14ac:dyDescent="0.25">
      <c r="A430">
        <v>84</v>
      </c>
      <c r="B430">
        <v>1</v>
      </c>
      <c r="C430">
        <v>3</v>
      </c>
      <c r="D430">
        <v>4</v>
      </c>
      <c r="E430">
        <v>0</v>
      </c>
      <c r="F430">
        <v>0</v>
      </c>
      <c r="G430">
        <v>12432</v>
      </c>
      <c r="H430">
        <v>0</v>
      </c>
      <c r="I430">
        <v>0</v>
      </c>
    </row>
    <row r="431" spans="1:9" x14ac:dyDescent="0.25">
      <c r="A431">
        <v>84</v>
      </c>
      <c r="B431">
        <v>1</v>
      </c>
      <c r="C431">
        <v>4</v>
      </c>
      <c r="D431">
        <v>7</v>
      </c>
      <c r="E431">
        <v>0</v>
      </c>
      <c r="F431">
        <v>0</v>
      </c>
      <c r="G431">
        <v>6903</v>
      </c>
      <c r="H431">
        <v>0</v>
      </c>
      <c r="I431">
        <v>0</v>
      </c>
    </row>
    <row r="432" spans="1:9" x14ac:dyDescent="0.25">
      <c r="A432">
        <v>84</v>
      </c>
      <c r="B432">
        <v>0</v>
      </c>
      <c r="C432">
        <v>11</v>
      </c>
      <c r="D432">
        <v>6</v>
      </c>
      <c r="E432">
        <v>6</v>
      </c>
      <c r="F432">
        <v>0</v>
      </c>
      <c r="G432">
        <v>47067</v>
      </c>
      <c r="H432">
        <v>1</v>
      </c>
      <c r="I432">
        <v>0</v>
      </c>
    </row>
    <row r="433" spans="1:9" x14ac:dyDescent="0.25">
      <c r="A433">
        <v>83</v>
      </c>
      <c r="B433">
        <v>1</v>
      </c>
      <c r="C433">
        <v>3</v>
      </c>
      <c r="D433">
        <v>4</v>
      </c>
      <c r="E433">
        <v>0</v>
      </c>
      <c r="F433">
        <v>0</v>
      </c>
      <c r="G433">
        <v>11860</v>
      </c>
      <c r="H433">
        <v>0</v>
      </c>
      <c r="I433">
        <v>0</v>
      </c>
    </row>
    <row r="434" spans="1:9" x14ac:dyDescent="0.25">
      <c r="A434">
        <v>83</v>
      </c>
      <c r="B434">
        <v>0</v>
      </c>
      <c r="C434">
        <v>8</v>
      </c>
      <c r="D434">
        <v>7</v>
      </c>
      <c r="E434">
        <v>1</v>
      </c>
      <c r="F434">
        <v>0</v>
      </c>
      <c r="G434">
        <v>15555</v>
      </c>
      <c r="H434">
        <v>0</v>
      </c>
      <c r="I434">
        <v>0</v>
      </c>
    </row>
    <row r="435" spans="1:9" x14ac:dyDescent="0.25">
      <c r="A435">
        <v>83</v>
      </c>
      <c r="B435">
        <v>1</v>
      </c>
      <c r="C435">
        <v>5</v>
      </c>
      <c r="D435">
        <v>5</v>
      </c>
      <c r="E435">
        <v>4</v>
      </c>
      <c r="F435">
        <v>0</v>
      </c>
      <c r="G435">
        <v>139243</v>
      </c>
      <c r="H435">
        <v>0</v>
      </c>
      <c r="I435">
        <v>0</v>
      </c>
    </row>
    <row r="436" spans="1:9" x14ac:dyDescent="0.25">
      <c r="A436">
        <v>83</v>
      </c>
      <c r="B436">
        <v>1</v>
      </c>
      <c r="C436">
        <v>4</v>
      </c>
      <c r="D436">
        <v>3</v>
      </c>
      <c r="E436">
        <v>2</v>
      </c>
      <c r="F436">
        <v>0</v>
      </c>
      <c r="G436">
        <v>8584</v>
      </c>
      <c r="H436">
        <v>0</v>
      </c>
      <c r="I436">
        <v>0</v>
      </c>
    </row>
    <row r="437" spans="1:9" x14ac:dyDescent="0.25">
      <c r="A437">
        <v>83</v>
      </c>
      <c r="B437">
        <v>0</v>
      </c>
      <c r="C437">
        <v>1</v>
      </c>
      <c r="D437">
        <v>4</v>
      </c>
      <c r="E437">
        <v>0</v>
      </c>
      <c r="F437">
        <v>0</v>
      </c>
      <c r="G437">
        <v>3796</v>
      </c>
      <c r="H437">
        <v>0</v>
      </c>
      <c r="I437">
        <v>0</v>
      </c>
    </row>
    <row r="438" spans="1:9" x14ac:dyDescent="0.25">
      <c r="A438">
        <v>82</v>
      </c>
      <c r="B438">
        <v>0</v>
      </c>
      <c r="C438">
        <v>2</v>
      </c>
      <c r="D438">
        <v>6</v>
      </c>
      <c r="E438">
        <v>0</v>
      </c>
      <c r="F438">
        <v>0</v>
      </c>
      <c r="G438">
        <v>8217</v>
      </c>
      <c r="H438">
        <v>0</v>
      </c>
      <c r="I438">
        <v>0</v>
      </c>
    </row>
    <row r="439" spans="1:9" x14ac:dyDescent="0.25">
      <c r="A439">
        <v>82</v>
      </c>
      <c r="B439">
        <v>1</v>
      </c>
      <c r="C439">
        <v>3</v>
      </c>
      <c r="D439">
        <v>4</v>
      </c>
      <c r="E439">
        <v>1</v>
      </c>
      <c r="F439">
        <v>0</v>
      </c>
      <c r="G439">
        <v>27063</v>
      </c>
      <c r="H439">
        <v>0</v>
      </c>
      <c r="I439">
        <v>0</v>
      </c>
    </row>
    <row r="440" spans="1:9" x14ac:dyDescent="0.25">
      <c r="A440">
        <v>82</v>
      </c>
      <c r="B440">
        <v>1</v>
      </c>
      <c r="C440">
        <v>7</v>
      </c>
      <c r="D440">
        <v>4</v>
      </c>
      <c r="E440">
        <v>0</v>
      </c>
      <c r="F440">
        <v>0</v>
      </c>
      <c r="G440">
        <v>8465</v>
      </c>
      <c r="H440">
        <v>0</v>
      </c>
      <c r="I440">
        <v>0</v>
      </c>
    </row>
    <row r="441" spans="1:9" x14ac:dyDescent="0.25">
      <c r="A441">
        <v>82</v>
      </c>
      <c r="B441">
        <v>0</v>
      </c>
      <c r="C441">
        <v>13</v>
      </c>
      <c r="D441">
        <v>5</v>
      </c>
      <c r="E441">
        <v>1</v>
      </c>
      <c r="F441">
        <v>0</v>
      </c>
      <c r="G441">
        <v>28742</v>
      </c>
      <c r="H441">
        <v>0</v>
      </c>
      <c r="I441">
        <v>0</v>
      </c>
    </row>
    <row r="442" spans="1:9" x14ac:dyDescent="0.25">
      <c r="A442">
        <v>82</v>
      </c>
      <c r="B442">
        <v>1</v>
      </c>
      <c r="C442">
        <v>6</v>
      </c>
      <c r="D442">
        <v>2</v>
      </c>
      <c r="E442">
        <v>0</v>
      </c>
      <c r="F442">
        <v>0</v>
      </c>
      <c r="G442">
        <v>13119</v>
      </c>
      <c r="H442">
        <v>0</v>
      </c>
      <c r="I442">
        <v>0</v>
      </c>
    </row>
    <row r="443" spans="1:9" x14ac:dyDescent="0.25">
      <c r="A443">
        <v>81</v>
      </c>
      <c r="B443">
        <v>1</v>
      </c>
      <c r="C443">
        <v>6</v>
      </c>
      <c r="D443">
        <v>3</v>
      </c>
      <c r="E443">
        <v>1</v>
      </c>
      <c r="F443">
        <v>0</v>
      </c>
      <c r="G443">
        <v>25632</v>
      </c>
      <c r="H443">
        <v>0</v>
      </c>
      <c r="I443">
        <v>0</v>
      </c>
    </row>
    <row r="444" spans="1:9" x14ac:dyDescent="0.25">
      <c r="A444">
        <v>81</v>
      </c>
      <c r="B444">
        <v>1</v>
      </c>
      <c r="C444">
        <v>6</v>
      </c>
      <c r="D444">
        <v>2</v>
      </c>
      <c r="E444">
        <v>0</v>
      </c>
      <c r="F444">
        <v>0</v>
      </c>
      <c r="G444">
        <v>10596</v>
      </c>
      <c r="H444">
        <v>0</v>
      </c>
      <c r="I444">
        <v>0</v>
      </c>
    </row>
    <row r="445" spans="1:9" x14ac:dyDescent="0.25">
      <c r="A445">
        <v>81</v>
      </c>
      <c r="B445">
        <v>1</v>
      </c>
      <c r="C445">
        <v>7</v>
      </c>
      <c r="D445">
        <v>5</v>
      </c>
      <c r="E445">
        <v>0</v>
      </c>
      <c r="F445">
        <v>0</v>
      </c>
      <c r="G445">
        <v>14219</v>
      </c>
      <c r="H445">
        <v>0</v>
      </c>
      <c r="I445">
        <v>0</v>
      </c>
    </row>
    <row r="446" spans="1:9" x14ac:dyDescent="0.25">
      <c r="A446">
        <v>81</v>
      </c>
      <c r="B446">
        <v>1</v>
      </c>
      <c r="C446">
        <v>4</v>
      </c>
      <c r="D446">
        <v>4</v>
      </c>
      <c r="E446">
        <v>0</v>
      </c>
      <c r="F446">
        <v>0</v>
      </c>
      <c r="G446">
        <v>7818</v>
      </c>
      <c r="H446">
        <v>0</v>
      </c>
      <c r="I446">
        <v>0</v>
      </c>
    </row>
    <row r="447" spans="1:9" x14ac:dyDescent="0.25">
      <c r="A447">
        <v>81</v>
      </c>
      <c r="B447">
        <v>1</v>
      </c>
      <c r="C447">
        <v>2</v>
      </c>
      <c r="D447">
        <v>3</v>
      </c>
      <c r="E447">
        <v>0</v>
      </c>
      <c r="F447">
        <v>0</v>
      </c>
      <c r="G447">
        <v>15877</v>
      </c>
      <c r="H447">
        <v>0</v>
      </c>
      <c r="I447">
        <v>0</v>
      </c>
    </row>
    <row r="448" spans="1:9" x14ac:dyDescent="0.25">
      <c r="A448">
        <v>81</v>
      </c>
      <c r="B448">
        <v>0</v>
      </c>
      <c r="C448">
        <v>3</v>
      </c>
      <c r="D448">
        <v>6</v>
      </c>
      <c r="E448">
        <v>0</v>
      </c>
      <c r="F448">
        <v>0</v>
      </c>
      <c r="G448">
        <v>9047</v>
      </c>
      <c r="H448">
        <v>0</v>
      </c>
      <c r="I448">
        <v>0</v>
      </c>
    </row>
    <row r="449" spans="1:9" x14ac:dyDescent="0.25">
      <c r="A449">
        <v>81</v>
      </c>
      <c r="B449">
        <v>1</v>
      </c>
      <c r="C449">
        <v>2</v>
      </c>
      <c r="D449">
        <v>5</v>
      </c>
      <c r="E449">
        <v>0</v>
      </c>
      <c r="F449">
        <v>0</v>
      </c>
      <c r="G449">
        <v>7893</v>
      </c>
      <c r="H449">
        <v>0</v>
      </c>
      <c r="I449">
        <v>0</v>
      </c>
    </row>
    <row r="450" spans="1:9" x14ac:dyDescent="0.25">
      <c r="A450">
        <v>81</v>
      </c>
      <c r="B450">
        <v>1</v>
      </c>
      <c r="C450">
        <v>2</v>
      </c>
      <c r="D450">
        <v>3</v>
      </c>
      <c r="E450">
        <v>2</v>
      </c>
      <c r="F450">
        <v>0</v>
      </c>
      <c r="G450">
        <v>19811</v>
      </c>
      <c r="H450">
        <v>0</v>
      </c>
      <c r="I450">
        <v>0</v>
      </c>
    </row>
    <row r="451" spans="1:9" x14ac:dyDescent="0.25">
      <c r="A451">
        <v>81</v>
      </c>
      <c r="B451">
        <v>1</v>
      </c>
      <c r="C451">
        <v>2</v>
      </c>
      <c r="D451">
        <v>4</v>
      </c>
      <c r="E451">
        <v>0</v>
      </c>
      <c r="F451">
        <v>0</v>
      </c>
      <c r="G451">
        <v>11323</v>
      </c>
      <c r="H451">
        <v>0</v>
      </c>
      <c r="I451">
        <v>0</v>
      </c>
    </row>
    <row r="452" spans="1:9" x14ac:dyDescent="0.25">
      <c r="A452">
        <v>81</v>
      </c>
      <c r="B452">
        <v>1</v>
      </c>
      <c r="C452">
        <v>1</v>
      </c>
      <c r="D452">
        <v>0</v>
      </c>
      <c r="E452">
        <v>0</v>
      </c>
      <c r="F452">
        <v>0</v>
      </c>
      <c r="G452">
        <v>7805</v>
      </c>
      <c r="H452">
        <v>0</v>
      </c>
      <c r="I452">
        <v>0</v>
      </c>
    </row>
    <row r="453" spans="1:9" x14ac:dyDescent="0.25">
      <c r="A453">
        <v>81</v>
      </c>
      <c r="B453">
        <v>0</v>
      </c>
      <c r="C453">
        <v>5</v>
      </c>
      <c r="D453">
        <v>2</v>
      </c>
      <c r="E453">
        <v>0</v>
      </c>
      <c r="F453">
        <v>0</v>
      </c>
      <c r="G453">
        <v>11223</v>
      </c>
      <c r="H453">
        <v>0</v>
      </c>
      <c r="I453">
        <v>0</v>
      </c>
    </row>
    <row r="454" spans="1:9" x14ac:dyDescent="0.25">
      <c r="A454">
        <v>81</v>
      </c>
      <c r="B454">
        <v>1</v>
      </c>
      <c r="C454">
        <v>4</v>
      </c>
      <c r="D454">
        <v>3</v>
      </c>
      <c r="E454">
        <v>2</v>
      </c>
      <c r="F454">
        <v>0</v>
      </c>
      <c r="G454">
        <v>21852</v>
      </c>
      <c r="H454">
        <v>0</v>
      </c>
      <c r="I454">
        <v>0</v>
      </c>
    </row>
    <row r="455" spans="1:9" x14ac:dyDescent="0.25">
      <c r="A455">
        <v>81</v>
      </c>
      <c r="B455">
        <v>0</v>
      </c>
      <c r="C455">
        <v>3</v>
      </c>
      <c r="D455">
        <v>6</v>
      </c>
      <c r="E455">
        <v>1</v>
      </c>
      <c r="F455">
        <v>0</v>
      </c>
      <c r="G455">
        <v>16093</v>
      </c>
      <c r="H455">
        <v>0</v>
      </c>
      <c r="I455">
        <v>0</v>
      </c>
    </row>
    <row r="456" spans="1:9" x14ac:dyDescent="0.25">
      <c r="A456">
        <v>81</v>
      </c>
      <c r="B456">
        <v>0</v>
      </c>
      <c r="C456">
        <v>1</v>
      </c>
      <c r="D456">
        <v>3</v>
      </c>
      <c r="E456">
        <v>0</v>
      </c>
      <c r="F456">
        <v>0</v>
      </c>
      <c r="G456">
        <v>17218</v>
      </c>
      <c r="H456">
        <v>0</v>
      </c>
      <c r="I456">
        <v>0</v>
      </c>
    </row>
    <row r="457" spans="1:9" x14ac:dyDescent="0.25">
      <c r="A457">
        <v>81</v>
      </c>
      <c r="B457">
        <v>1</v>
      </c>
      <c r="C457">
        <v>2</v>
      </c>
      <c r="D457">
        <v>5</v>
      </c>
      <c r="E457">
        <v>0</v>
      </c>
      <c r="F457">
        <v>0</v>
      </c>
      <c r="G457">
        <v>9426</v>
      </c>
      <c r="H457">
        <v>0</v>
      </c>
      <c r="I457">
        <v>0</v>
      </c>
    </row>
    <row r="458" spans="1:9" x14ac:dyDescent="0.25">
      <c r="A458">
        <v>81</v>
      </c>
      <c r="B458">
        <v>0</v>
      </c>
      <c r="C458">
        <v>106</v>
      </c>
      <c r="D458">
        <v>2</v>
      </c>
      <c r="E458">
        <v>6</v>
      </c>
      <c r="F458">
        <v>0</v>
      </c>
      <c r="G458">
        <v>465207</v>
      </c>
      <c r="H458">
        <v>1</v>
      </c>
      <c r="I458">
        <v>0</v>
      </c>
    </row>
    <row r="459" spans="1:9" x14ac:dyDescent="0.25">
      <c r="A459">
        <v>80</v>
      </c>
      <c r="B459">
        <v>1</v>
      </c>
      <c r="C459">
        <v>2</v>
      </c>
      <c r="D459">
        <v>7</v>
      </c>
      <c r="E459">
        <v>0</v>
      </c>
      <c r="F459">
        <v>0</v>
      </c>
      <c r="G459">
        <v>10150</v>
      </c>
      <c r="H459">
        <v>0</v>
      </c>
      <c r="I459">
        <v>0</v>
      </c>
    </row>
    <row r="460" spans="1:9" x14ac:dyDescent="0.25">
      <c r="A460">
        <v>80</v>
      </c>
      <c r="B460">
        <v>0</v>
      </c>
      <c r="C460">
        <v>7</v>
      </c>
      <c r="D460">
        <v>5</v>
      </c>
      <c r="E460">
        <v>0</v>
      </c>
      <c r="F460">
        <v>0</v>
      </c>
      <c r="G460">
        <v>18629</v>
      </c>
      <c r="H460">
        <v>0</v>
      </c>
      <c r="I460">
        <v>0</v>
      </c>
    </row>
    <row r="461" spans="1:9" x14ac:dyDescent="0.25">
      <c r="A461">
        <v>80</v>
      </c>
      <c r="B461">
        <v>1</v>
      </c>
      <c r="C461">
        <v>2</v>
      </c>
      <c r="D461">
        <v>4</v>
      </c>
      <c r="E461">
        <v>0</v>
      </c>
      <c r="F461">
        <v>0</v>
      </c>
      <c r="G461">
        <v>9538</v>
      </c>
      <c r="H461">
        <v>0</v>
      </c>
      <c r="I461">
        <v>0</v>
      </c>
    </row>
    <row r="462" spans="1:9" x14ac:dyDescent="0.25">
      <c r="A462">
        <v>80</v>
      </c>
      <c r="B462">
        <v>1</v>
      </c>
      <c r="C462">
        <v>2</v>
      </c>
      <c r="D462">
        <v>6</v>
      </c>
      <c r="E462">
        <v>0</v>
      </c>
      <c r="F462">
        <v>0</v>
      </c>
      <c r="G462">
        <v>13900</v>
      </c>
      <c r="H462">
        <v>0</v>
      </c>
      <c r="I462">
        <v>0</v>
      </c>
    </row>
    <row r="463" spans="1:9" x14ac:dyDescent="0.25">
      <c r="A463">
        <v>80</v>
      </c>
      <c r="B463">
        <v>1</v>
      </c>
      <c r="C463">
        <v>1</v>
      </c>
      <c r="D463">
        <v>2</v>
      </c>
      <c r="E463">
        <v>0</v>
      </c>
      <c r="F463">
        <v>0</v>
      </c>
      <c r="G463">
        <v>10269</v>
      </c>
      <c r="H463">
        <v>0</v>
      </c>
      <c r="I463">
        <v>0</v>
      </c>
    </row>
    <row r="464" spans="1:9" x14ac:dyDescent="0.25">
      <c r="A464">
        <v>80</v>
      </c>
      <c r="B464">
        <v>1</v>
      </c>
      <c r="C464">
        <v>5</v>
      </c>
      <c r="D464">
        <v>4</v>
      </c>
      <c r="E464">
        <v>0</v>
      </c>
      <c r="F464">
        <v>0</v>
      </c>
      <c r="G464">
        <v>18523</v>
      </c>
      <c r="H464">
        <v>0</v>
      </c>
      <c r="I464">
        <v>0</v>
      </c>
    </row>
    <row r="465" spans="1:9" x14ac:dyDescent="0.25">
      <c r="A465">
        <v>80</v>
      </c>
      <c r="B465">
        <v>0</v>
      </c>
      <c r="C465">
        <v>4</v>
      </c>
      <c r="D465">
        <v>3</v>
      </c>
      <c r="E465">
        <v>0</v>
      </c>
      <c r="F465">
        <v>0</v>
      </c>
      <c r="G465">
        <v>15004</v>
      </c>
      <c r="H465">
        <v>0</v>
      </c>
      <c r="I465">
        <v>0</v>
      </c>
    </row>
    <row r="466" spans="1:9" x14ac:dyDescent="0.25">
      <c r="A466">
        <v>80</v>
      </c>
      <c r="B466">
        <v>0</v>
      </c>
      <c r="C466">
        <v>2</v>
      </c>
      <c r="D466">
        <v>3</v>
      </c>
      <c r="E466">
        <v>0</v>
      </c>
      <c r="F466">
        <v>0</v>
      </c>
      <c r="G466">
        <v>9588</v>
      </c>
      <c r="H466">
        <v>0</v>
      </c>
      <c r="I466">
        <v>0</v>
      </c>
    </row>
    <row r="467" spans="1:9" x14ac:dyDescent="0.25">
      <c r="A467">
        <v>80</v>
      </c>
      <c r="B467">
        <v>0</v>
      </c>
      <c r="C467">
        <v>8</v>
      </c>
      <c r="D467">
        <v>6</v>
      </c>
      <c r="E467">
        <v>6</v>
      </c>
      <c r="F467">
        <v>0</v>
      </c>
      <c r="G467">
        <v>47185</v>
      </c>
      <c r="H467">
        <v>1</v>
      </c>
      <c r="I467">
        <v>0</v>
      </c>
    </row>
    <row r="468" spans="1:9" x14ac:dyDescent="0.25">
      <c r="A468">
        <v>79</v>
      </c>
      <c r="B468">
        <v>0</v>
      </c>
      <c r="C468">
        <v>8</v>
      </c>
      <c r="D468">
        <v>0</v>
      </c>
      <c r="E468">
        <v>0</v>
      </c>
      <c r="F468">
        <v>0</v>
      </c>
      <c r="G468">
        <v>24824</v>
      </c>
      <c r="H468">
        <v>0</v>
      </c>
      <c r="I468">
        <v>0</v>
      </c>
    </row>
    <row r="469" spans="1:9" x14ac:dyDescent="0.25">
      <c r="A469">
        <v>79</v>
      </c>
      <c r="B469">
        <v>0</v>
      </c>
      <c r="C469">
        <v>4</v>
      </c>
      <c r="D469">
        <v>5</v>
      </c>
      <c r="E469">
        <v>1</v>
      </c>
      <c r="F469">
        <v>0</v>
      </c>
      <c r="G469">
        <v>11127</v>
      </c>
      <c r="H469">
        <v>0</v>
      </c>
      <c r="I469">
        <v>0</v>
      </c>
    </row>
    <row r="470" spans="1:9" x14ac:dyDescent="0.25">
      <c r="A470">
        <v>79</v>
      </c>
      <c r="B470">
        <v>1</v>
      </c>
      <c r="C470">
        <v>1</v>
      </c>
      <c r="D470">
        <v>2</v>
      </c>
      <c r="E470">
        <v>0</v>
      </c>
      <c r="F470">
        <v>0</v>
      </c>
      <c r="G470">
        <v>5736</v>
      </c>
      <c r="H470">
        <v>0</v>
      </c>
      <c r="I470">
        <v>0</v>
      </c>
    </row>
    <row r="471" spans="1:9" x14ac:dyDescent="0.25">
      <c r="A471">
        <v>79</v>
      </c>
      <c r="B471">
        <v>0</v>
      </c>
      <c r="C471">
        <v>1</v>
      </c>
      <c r="D471">
        <v>6</v>
      </c>
      <c r="E471">
        <v>0</v>
      </c>
      <c r="F471">
        <v>0</v>
      </c>
      <c r="G471">
        <v>5947</v>
      </c>
      <c r="H471">
        <v>0</v>
      </c>
      <c r="I471">
        <v>0</v>
      </c>
    </row>
    <row r="472" spans="1:9" x14ac:dyDescent="0.25">
      <c r="A472">
        <v>79</v>
      </c>
      <c r="B472">
        <v>1</v>
      </c>
      <c r="C472">
        <v>1</v>
      </c>
      <c r="D472">
        <v>5</v>
      </c>
      <c r="E472">
        <v>0</v>
      </c>
      <c r="F472">
        <v>0</v>
      </c>
      <c r="G472">
        <v>8084</v>
      </c>
      <c r="H472">
        <v>0</v>
      </c>
      <c r="I472">
        <v>0</v>
      </c>
    </row>
    <row r="473" spans="1:9" x14ac:dyDescent="0.25">
      <c r="A473">
        <v>79</v>
      </c>
      <c r="B473">
        <v>0</v>
      </c>
      <c r="C473">
        <v>3</v>
      </c>
      <c r="D473">
        <v>5</v>
      </c>
      <c r="E473">
        <v>0</v>
      </c>
      <c r="F473">
        <v>0</v>
      </c>
      <c r="G473">
        <v>11352</v>
      </c>
      <c r="H473">
        <v>0</v>
      </c>
      <c r="I473">
        <v>0</v>
      </c>
    </row>
    <row r="474" spans="1:9" x14ac:dyDescent="0.25">
      <c r="A474">
        <v>79</v>
      </c>
      <c r="B474">
        <v>0</v>
      </c>
      <c r="C474">
        <v>4</v>
      </c>
      <c r="D474">
        <v>7</v>
      </c>
      <c r="E474">
        <v>1</v>
      </c>
      <c r="F474">
        <v>0</v>
      </c>
      <c r="G474">
        <v>15334</v>
      </c>
      <c r="H474">
        <v>0</v>
      </c>
      <c r="I474">
        <v>0</v>
      </c>
    </row>
    <row r="475" spans="1:9" x14ac:dyDescent="0.25">
      <c r="A475">
        <v>79</v>
      </c>
      <c r="B475">
        <v>0</v>
      </c>
      <c r="C475">
        <v>6</v>
      </c>
      <c r="D475">
        <v>5</v>
      </c>
      <c r="E475">
        <v>0</v>
      </c>
      <c r="F475">
        <v>0</v>
      </c>
      <c r="G475">
        <v>22764</v>
      </c>
      <c r="H475">
        <v>0</v>
      </c>
      <c r="I475">
        <v>0</v>
      </c>
    </row>
    <row r="476" spans="1:9" x14ac:dyDescent="0.25">
      <c r="A476">
        <v>79</v>
      </c>
      <c r="B476">
        <v>0</v>
      </c>
      <c r="C476">
        <v>4</v>
      </c>
      <c r="D476">
        <v>4</v>
      </c>
      <c r="E476">
        <v>0</v>
      </c>
      <c r="F476">
        <v>0</v>
      </c>
      <c r="G476">
        <v>19477</v>
      </c>
      <c r="H476">
        <v>0</v>
      </c>
      <c r="I476">
        <v>0</v>
      </c>
    </row>
    <row r="477" spans="1:9" x14ac:dyDescent="0.25">
      <c r="A477">
        <v>79</v>
      </c>
      <c r="B477">
        <v>1</v>
      </c>
      <c r="C477">
        <v>3</v>
      </c>
      <c r="D477">
        <v>4</v>
      </c>
      <c r="E477">
        <v>0</v>
      </c>
      <c r="F477">
        <v>0</v>
      </c>
      <c r="G477">
        <v>9627</v>
      </c>
      <c r="H477">
        <v>0</v>
      </c>
      <c r="I477">
        <v>0</v>
      </c>
    </row>
    <row r="478" spans="1:9" x14ac:dyDescent="0.25">
      <c r="A478">
        <v>79</v>
      </c>
      <c r="B478">
        <v>1</v>
      </c>
      <c r="C478">
        <v>4</v>
      </c>
      <c r="D478">
        <v>6</v>
      </c>
      <c r="E478">
        <v>0</v>
      </c>
      <c r="F478">
        <v>0</v>
      </c>
      <c r="G478">
        <v>20903</v>
      </c>
      <c r="H478">
        <v>0</v>
      </c>
      <c r="I478">
        <v>0</v>
      </c>
    </row>
    <row r="479" spans="1:9" x14ac:dyDescent="0.25">
      <c r="A479">
        <v>79</v>
      </c>
      <c r="B479">
        <v>1</v>
      </c>
      <c r="C479">
        <v>7</v>
      </c>
      <c r="D479">
        <v>2</v>
      </c>
      <c r="E479">
        <v>0</v>
      </c>
      <c r="F479">
        <v>0</v>
      </c>
      <c r="G479">
        <v>18562</v>
      </c>
      <c r="H479">
        <v>0</v>
      </c>
      <c r="I479">
        <v>0</v>
      </c>
    </row>
    <row r="480" spans="1:9" x14ac:dyDescent="0.25">
      <c r="A480">
        <v>79</v>
      </c>
      <c r="B480">
        <v>1</v>
      </c>
      <c r="C480">
        <v>1</v>
      </c>
      <c r="D480">
        <v>4</v>
      </c>
      <c r="E480">
        <v>0</v>
      </c>
      <c r="F480">
        <v>0</v>
      </c>
      <c r="G480">
        <v>12885</v>
      </c>
      <c r="H480">
        <v>0</v>
      </c>
      <c r="I480">
        <v>0</v>
      </c>
    </row>
    <row r="481" spans="1:9" x14ac:dyDescent="0.25">
      <c r="A481">
        <v>79</v>
      </c>
      <c r="B481">
        <v>0</v>
      </c>
      <c r="C481">
        <v>1</v>
      </c>
      <c r="D481">
        <v>2</v>
      </c>
      <c r="E481">
        <v>6</v>
      </c>
      <c r="F481">
        <v>0</v>
      </c>
      <c r="G481">
        <v>40379</v>
      </c>
      <c r="H481">
        <v>1</v>
      </c>
      <c r="I481">
        <v>0</v>
      </c>
    </row>
    <row r="482" spans="1:9" x14ac:dyDescent="0.25">
      <c r="A482">
        <v>78</v>
      </c>
      <c r="B482">
        <v>0</v>
      </c>
      <c r="C482">
        <v>12</v>
      </c>
      <c r="D482">
        <v>4</v>
      </c>
      <c r="E482">
        <v>2</v>
      </c>
      <c r="F482">
        <v>0</v>
      </c>
      <c r="G482">
        <v>69203</v>
      </c>
      <c r="H482">
        <v>0</v>
      </c>
      <c r="I482">
        <v>0</v>
      </c>
    </row>
    <row r="483" spans="1:9" x14ac:dyDescent="0.25">
      <c r="A483">
        <v>78</v>
      </c>
      <c r="B483">
        <v>1</v>
      </c>
      <c r="C483">
        <v>7</v>
      </c>
      <c r="D483">
        <v>4</v>
      </c>
      <c r="E483">
        <v>1</v>
      </c>
      <c r="F483">
        <v>0</v>
      </c>
      <c r="G483">
        <v>16657</v>
      </c>
      <c r="H483">
        <v>0</v>
      </c>
      <c r="I483">
        <v>0</v>
      </c>
    </row>
    <row r="484" spans="1:9" x14ac:dyDescent="0.25">
      <c r="A484">
        <v>78</v>
      </c>
      <c r="B484">
        <v>1</v>
      </c>
      <c r="C484">
        <v>3</v>
      </c>
      <c r="D484">
        <v>4</v>
      </c>
      <c r="E484">
        <v>0</v>
      </c>
      <c r="F484">
        <v>0</v>
      </c>
      <c r="G484">
        <v>13412</v>
      </c>
      <c r="H484">
        <v>0</v>
      </c>
      <c r="I484">
        <v>0</v>
      </c>
    </row>
    <row r="485" spans="1:9" x14ac:dyDescent="0.25">
      <c r="A485">
        <v>78</v>
      </c>
      <c r="B485">
        <v>1</v>
      </c>
      <c r="C485">
        <v>1</v>
      </c>
      <c r="D485">
        <v>2</v>
      </c>
      <c r="E485">
        <v>0</v>
      </c>
      <c r="F485">
        <v>0</v>
      </c>
      <c r="G485">
        <v>3991</v>
      </c>
      <c r="H485">
        <v>0</v>
      </c>
      <c r="I485">
        <v>0</v>
      </c>
    </row>
    <row r="486" spans="1:9" x14ac:dyDescent="0.25">
      <c r="A486">
        <v>78</v>
      </c>
      <c r="B486">
        <v>0</v>
      </c>
      <c r="C486">
        <v>5</v>
      </c>
      <c r="D486">
        <v>3</v>
      </c>
      <c r="E486">
        <v>0</v>
      </c>
      <c r="F486">
        <v>0</v>
      </c>
      <c r="G486">
        <v>7211</v>
      </c>
      <c r="H486">
        <v>0</v>
      </c>
      <c r="I486">
        <v>0</v>
      </c>
    </row>
    <row r="487" spans="1:9" x14ac:dyDescent="0.25">
      <c r="A487">
        <v>77</v>
      </c>
      <c r="B487">
        <v>1</v>
      </c>
      <c r="C487">
        <v>2</v>
      </c>
      <c r="D487">
        <v>4</v>
      </c>
      <c r="E487">
        <v>0</v>
      </c>
      <c r="F487">
        <v>0</v>
      </c>
      <c r="G487">
        <v>7756</v>
      </c>
      <c r="H487">
        <v>0</v>
      </c>
      <c r="I487">
        <v>0</v>
      </c>
    </row>
    <row r="488" spans="1:9" x14ac:dyDescent="0.25">
      <c r="A488">
        <v>77</v>
      </c>
      <c r="B488">
        <v>1</v>
      </c>
      <c r="C488">
        <v>3</v>
      </c>
      <c r="D488">
        <v>3</v>
      </c>
      <c r="E488">
        <v>2</v>
      </c>
      <c r="F488">
        <v>0</v>
      </c>
      <c r="G488">
        <v>10684</v>
      </c>
      <c r="H488">
        <v>0</v>
      </c>
      <c r="I488">
        <v>0</v>
      </c>
    </row>
    <row r="489" spans="1:9" x14ac:dyDescent="0.25">
      <c r="A489">
        <v>77</v>
      </c>
      <c r="B489">
        <v>0</v>
      </c>
      <c r="C489">
        <v>2</v>
      </c>
      <c r="D489">
        <v>2</v>
      </c>
      <c r="E489">
        <v>0</v>
      </c>
      <c r="F489">
        <v>0</v>
      </c>
      <c r="G489">
        <v>8420</v>
      </c>
      <c r="H489">
        <v>0</v>
      </c>
      <c r="I489">
        <v>0</v>
      </c>
    </row>
    <row r="490" spans="1:9" x14ac:dyDescent="0.25">
      <c r="A490">
        <v>77</v>
      </c>
      <c r="B490">
        <v>0</v>
      </c>
      <c r="C490">
        <v>4</v>
      </c>
      <c r="D490">
        <v>2</v>
      </c>
      <c r="E490">
        <v>0</v>
      </c>
      <c r="F490">
        <v>0</v>
      </c>
      <c r="G490">
        <v>9823</v>
      </c>
      <c r="H490">
        <v>0</v>
      </c>
      <c r="I490">
        <v>0</v>
      </c>
    </row>
    <row r="491" spans="1:9" x14ac:dyDescent="0.25">
      <c r="A491">
        <v>77</v>
      </c>
      <c r="B491">
        <v>0</v>
      </c>
      <c r="C491">
        <v>8</v>
      </c>
      <c r="D491">
        <v>6</v>
      </c>
      <c r="E491">
        <v>4</v>
      </c>
      <c r="F491">
        <v>0</v>
      </c>
      <c r="G491">
        <v>38124</v>
      </c>
      <c r="H491">
        <v>0</v>
      </c>
      <c r="I491">
        <v>0</v>
      </c>
    </row>
    <row r="492" spans="1:9" x14ac:dyDescent="0.25">
      <c r="A492">
        <v>77</v>
      </c>
      <c r="B492">
        <v>0</v>
      </c>
      <c r="C492">
        <v>7</v>
      </c>
      <c r="D492">
        <v>6</v>
      </c>
      <c r="E492">
        <v>2</v>
      </c>
      <c r="F492">
        <v>0</v>
      </c>
      <c r="G492">
        <v>20784</v>
      </c>
      <c r="H492">
        <v>0</v>
      </c>
      <c r="I492">
        <v>0</v>
      </c>
    </row>
    <row r="493" spans="1:9" x14ac:dyDescent="0.25">
      <c r="A493">
        <v>77</v>
      </c>
      <c r="B493">
        <v>1</v>
      </c>
      <c r="C493">
        <v>2</v>
      </c>
      <c r="D493">
        <v>4</v>
      </c>
      <c r="E493">
        <v>2</v>
      </c>
      <c r="F493">
        <v>0</v>
      </c>
      <c r="G493">
        <v>8922</v>
      </c>
      <c r="H493">
        <v>0</v>
      </c>
      <c r="I493">
        <v>0</v>
      </c>
    </row>
    <row r="494" spans="1:9" x14ac:dyDescent="0.25">
      <c r="A494">
        <v>77</v>
      </c>
      <c r="B494">
        <v>0</v>
      </c>
      <c r="C494">
        <v>2</v>
      </c>
      <c r="D494">
        <v>3</v>
      </c>
      <c r="E494">
        <v>1</v>
      </c>
      <c r="F494">
        <v>0</v>
      </c>
      <c r="G494">
        <v>6978</v>
      </c>
      <c r="H494">
        <v>0</v>
      </c>
      <c r="I494">
        <v>0</v>
      </c>
    </row>
    <row r="495" spans="1:9" x14ac:dyDescent="0.25">
      <c r="A495">
        <v>76</v>
      </c>
      <c r="B495">
        <v>1</v>
      </c>
      <c r="C495">
        <v>1</v>
      </c>
      <c r="D495">
        <v>5</v>
      </c>
      <c r="E495">
        <v>1</v>
      </c>
      <c r="F495">
        <v>0</v>
      </c>
      <c r="G495">
        <v>10168</v>
      </c>
      <c r="H495">
        <v>0</v>
      </c>
      <c r="I495">
        <v>0</v>
      </c>
    </row>
    <row r="496" spans="1:9" x14ac:dyDescent="0.25">
      <c r="A496">
        <v>76</v>
      </c>
      <c r="B496">
        <v>0</v>
      </c>
      <c r="C496">
        <v>10</v>
      </c>
      <c r="D496">
        <v>3</v>
      </c>
      <c r="E496">
        <v>3</v>
      </c>
      <c r="F496">
        <v>0</v>
      </c>
      <c r="G496">
        <v>24976</v>
      </c>
      <c r="H496">
        <v>0</v>
      </c>
      <c r="I496">
        <v>0</v>
      </c>
    </row>
    <row r="497" spans="1:9" x14ac:dyDescent="0.25">
      <c r="A497">
        <v>75</v>
      </c>
      <c r="B497">
        <v>0</v>
      </c>
      <c r="C497">
        <v>4</v>
      </c>
      <c r="D497">
        <v>5</v>
      </c>
      <c r="E497">
        <v>0</v>
      </c>
      <c r="F497">
        <v>0</v>
      </c>
      <c r="G497">
        <v>8339</v>
      </c>
      <c r="H497">
        <v>0</v>
      </c>
      <c r="I497">
        <v>0</v>
      </c>
    </row>
    <row r="498" spans="1:9" x14ac:dyDescent="0.25">
      <c r="A498">
        <v>75</v>
      </c>
      <c r="B498">
        <v>1</v>
      </c>
      <c r="C498">
        <v>2</v>
      </c>
      <c r="D498">
        <v>2</v>
      </c>
      <c r="E498">
        <v>0</v>
      </c>
      <c r="F498">
        <v>0</v>
      </c>
      <c r="G498">
        <v>11779</v>
      </c>
      <c r="H498">
        <v>0</v>
      </c>
      <c r="I498">
        <v>0</v>
      </c>
    </row>
    <row r="499" spans="1:9" x14ac:dyDescent="0.25">
      <c r="A499">
        <v>75</v>
      </c>
      <c r="B499">
        <v>0</v>
      </c>
      <c r="C499">
        <v>4</v>
      </c>
      <c r="D499">
        <v>7</v>
      </c>
      <c r="E499">
        <v>0</v>
      </c>
      <c r="F499">
        <v>0</v>
      </c>
      <c r="G499">
        <v>12836</v>
      </c>
      <c r="H499">
        <v>0</v>
      </c>
      <c r="I499">
        <v>0</v>
      </c>
    </row>
    <row r="500" spans="1:9" x14ac:dyDescent="0.25">
      <c r="A500">
        <v>75</v>
      </c>
      <c r="B500">
        <v>0</v>
      </c>
      <c r="C500">
        <v>5</v>
      </c>
      <c r="D500">
        <v>6</v>
      </c>
      <c r="E500">
        <v>0</v>
      </c>
      <c r="F500">
        <v>0</v>
      </c>
      <c r="G500">
        <v>16623</v>
      </c>
      <c r="H500">
        <v>0</v>
      </c>
      <c r="I500">
        <v>0</v>
      </c>
    </row>
    <row r="501" spans="1:9" x14ac:dyDescent="0.25">
      <c r="A501">
        <v>75</v>
      </c>
      <c r="B501">
        <v>1</v>
      </c>
      <c r="C501">
        <v>20</v>
      </c>
      <c r="D501">
        <v>6</v>
      </c>
      <c r="E501">
        <v>5</v>
      </c>
      <c r="F501">
        <v>0</v>
      </c>
      <c r="G501">
        <v>114306</v>
      </c>
      <c r="H501">
        <v>0</v>
      </c>
      <c r="I501">
        <v>0</v>
      </c>
    </row>
    <row r="502" spans="1:9" x14ac:dyDescent="0.25">
      <c r="A502">
        <v>75</v>
      </c>
      <c r="B502">
        <v>0</v>
      </c>
      <c r="C502">
        <v>3</v>
      </c>
      <c r="D502">
        <v>4</v>
      </c>
      <c r="E502">
        <v>2</v>
      </c>
      <c r="F502">
        <v>0</v>
      </c>
      <c r="G502">
        <v>17305</v>
      </c>
      <c r="H502">
        <v>0</v>
      </c>
      <c r="I502">
        <v>0</v>
      </c>
    </row>
    <row r="503" spans="1:9" x14ac:dyDescent="0.25">
      <c r="A503">
        <v>75</v>
      </c>
      <c r="B503">
        <v>0</v>
      </c>
      <c r="C503">
        <v>20</v>
      </c>
      <c r="D503">
        <v>4</v>
      </c>
      <c r="E503">
        <v>0</v>
      </c>
      <c r="F503">
        <v>0</v>
      </c>
      <c r="G503">
        <v>34612</v>
      </c>
      <c r="H503">
        <v>0</v>
      </c>
      <c r="I503">
        <v>0</v>
      </c>
    </row>
    <row r="504" spans="1:9" x14ac:dyDescent="0.25">
      <c r="A504">
        <v>75</v>
      </c>
      <c r="B504">
        <v>0</v>
      </c>
      <c r="C504">
        <v>4</v>
      </c>
      <c r="D504">
        <v>3</v>
      </c>
      <c r="E504">
        <v>0</v>
      </c>
      <c r="F504">
        <v>0</v>
      </c>
      <c r="G504">
        <v>17115</v>
      </c>
      <c r="H504">
        <v>0</v>
      </c>
      <c r="I504">
        <v>0</v>
      </c>
    </row>
    <row r="505" spans="1:9" x14ac:dyDescent="0.25">
      <c r="A505">
        <v>75</v>
      </c>
      <c r="B505">
        <v>1</v>
      </c>
      <c r="C505">
        <v>5</v>
      </c>
      <c r="D505">
        <v>1</v>
      </c>
      <c r="E505">
        <v>2</v>
      </c>
      <c r="F505">
        <v>0</v>
      </c>
      <c r="G505">
        <v>16085</v>
      </c>
      <c r="H505">
        <v>0</v>
      </c>
      <c r="I505">
        <v>0</v>
      </c>
    </row>
    <row r="506" spans="1:9" x14ac:dyDescent="0.25">
      <c r="A506">
        <v>75</v>
      </c>
      <c r="B506">
        <v>1</v>
      </c>
      <c r="C506">
        <v>14</v>
      </c>
      <c r="D506">
        <v>5</v>
      </c>
      <c r="E506">
        <v>3</v>
      </c>
      <c r="F506">
        <v>0</v>
      </c>
      <c r="G506">
        <v>44235</v>
      </c>
      <c r="H506">
        <v>0</v>
      </c>
      <c r="I506">
        <v>0</v>
      </c>
    </row>
    <row r="507" spans="1:9" x14ac:dyDescent="0.25">
      <c r="A507">
        <v>75</v>
      </c>
      <c r="B507">
        <v>0</v>
      </c>
      <c r="C507">
        <v>2</v>
      </c>
      <c r="D507">
        <v>6</v>
      </c>
      <c r="E507">
        <v>2</v>
      </c>
      <c r="F507">
        <v>0</v>
      </c>
      <c r="G507">
        <v>17244</v>
      </c>
      <c r="H507">
        <v>0</v>
      </c>
      <c r="I507">
        <v>0</v>
      </c>
    </row>
    <row r="508" spans="1:9" x14ac:dyDescent="0.25">
      <c r="A508">
        <v>74</v>
      </c>
      <c r="B508">
        <v>1</v>
      </c>
      <c r="C508">
        <v>2</v>
      </c>
      <c r="D508">
        <v>4</v>
      </c>
      <c r="E508">
        <v>0</v>
      </c>
      <c r="F508">
        <v>0</v>
      </c>
      <c r="G508">
        <v>11546</v>
      </c>
      <c r="H508">
        <v>0</v>
      </c>
      <c r="I508">
        <v>0</v>
      </c>
    </row>
    <row r="509" spans="1:9" x14ac:dyDescent="0.25">
      <c r="A509">
        <v>74</v>
      </c>
      <c r="B509">
        <v>1</v>
      </c>
      <c r="C509">
        <v>29</v>
      </c>
      <c r="D509">
        <v>6</v>
      </c>
      <c r="E509">
        <v>2</v>
      </c>
      <c r="F509">
        <v>0</v>
      </c>
      <c r="G509">
        <v>84590</v>
      </c>
      <c r="H509">
        <v>0</v>
      </c>
      <c r="I509">
        <v>0</v>
      </c>
    </row>
    <row r="510" spans="1:9" x14ac:dyDescent="0.25">
      <c r="A510">
        <v>74</v>
      </c>
      <c r="B510">
        <v>1</v>
      </c>
      <c r="C510">
        <v>7</v>
      </c>
      <c r="D510">
        <v>3</v>
      </c>
      <c r="E510">
        <v>1</v>
      </c>
      <c r="F510">
        <v>0</v>
      </c>
      <c r="G510">
        <v>15210</v>
      </c>
      <c r="H510">
        <v>1</v>
      </c>
      <c r="I510">
        <v>0</v>
      </c>
    </row>
    <row r="511" spans="1:9" x14ac:dyDescent="0.25">
      <c r="A511">
        <v>73</v>
      </c>
      <c r="B511">
        <v>0</v>
      </c>
      <c r="C511">
        <v>1</v>
      </c>
      <c r="D511">
        <v>2</v>
      </c>
      <c r="E511">
        <v>1</v>
      </c>
      <c r="F511">
        <v>0</v>
      </c>
      <c r="G511">
        <v>5021</v>
      </c>
      <c r="H511">
        <v>0</v>
      </c>
      <c r="I511">
        <v>0</v>
      </c>
    </row>
    <row r="512" spans="1:9" x14ac:dyDescent="0.25">
      <c r="A512">
        <v>73</v>
      </c>
      <c r="B512">
        <v>0</v>
      </c>
      <c r="C512">
        <v>2</v>
      </c>
      <c r="D512">
        <v>4</v>
      </c>
      <c r="E512">
        <v>0</v>
      </c>
      <c r="F512">
        <v>0</v>
      </c>
      <c r="G512">
        <v>4297</v>
      </c>
      <c r="H512">
        <v>0</v>
      </c>
      <c r="I512">
        <v>0</v>
      </c>
    </row>
    <row r="513" spans="1:9" x14ac:dyDescent="0.25">
      <c r="A513">
        <v>73</v>
      </c>
      <c r="B513">
        <v>1</v>
      </c>
      <c r="C513">
        <v>5</v>
      </c>
      <c r="D513">
        <v>3</v>
      </c>
      <c r="E513">
        <v>0</v>
      </c>
      <c r="F513">
        <v>0</v>
      </c>
      <c r="G513">
        <v>11150</v>
      </c>
      <c r="H513">
        <v>0</v>
      </c>
      <c r="I513">
        <v>0</v>
      </c>
    </row>
    <row r="514" spans="1:9" x14ac:dyDescent="0.25">
      <c r="A514">
        <v>73</v>
      </c>
      <c r="B514">
        <v>1</v>
      </c>
      <c r="C514">
        <v>7</v>
      </c>
      <c r="D514">
        <v>5</v>
      </c>
      <c r="E514">
        <v>0</v>
      </c>
      <c r="F514">
        <v>0</v>
      </c>
      <c r="G514">
        <v>16284</v>
      </c>
      <c r="H514">
        <v>0</v>
      </c>
      <c r="I514">
        <v>0</v>
      </c>
    </row>
    <row r="515" spans="1:9" x14ac:dyDescent="0.25">
      <c r="A515">
        <v>73</v>
      </c>
      <c r="B515">
        <v>0</v>
      </c>
      <c r="C515">
        <v>5</v>
      </c>
      <c r="D515">
        <v>4</v>
      </c>
      <c r="E515">
        <v>0</v>
      </c>
      <c r="F515">
        <v>0</v>
      </c>
      <c r="G515">
        <v>21821</v>
      </c>
      <c r="H515">
        <v>0</v>
      </c>
      <c r="I515">
        <v>0</v>
      </c>
    </row>
    <row r="516" spans="1:9" x14ac:dyDescent="0.25">
      <c r="A516">
        <v>73</v>
      </c>
      <c r="B516">
        <v>1</v>
      </c>
      <c r="C516">
        <v>3</v>
      </c>
      <c r="D516">
        <v>5</v>
      </c>
      <c r="E516">
        <v>1</v>
      </c>
      <c r="F516">
        <v>0</v>
      </c>
      <c r="G516">
        <v>12573</v>
      </c>
      <c r="H516">
        <v>0</v>
      </c>
      <c r="I516">
        <v>0</v>
      </c>
    </row>
    <row r="517" spans="1:9" x14ac:dyDescent="0.25">
      <c r="A517">
        <v>73</v>
      </c>
      <c r="B517">
        <v>0</v>
      </c>
      <c r="C517">
        <v>9</v>
      </c>
      <c r="D517">
        <v>5</v>
      </c>
      <c r="E517">
        <v>0</v>
      </c>
      <c r="F517">
        <v>0</v>
      </c>
      <c r="G517">
        <v>46940</v>
      </c>
      <c r="H517">
        <v>0</v>
      </c>
      <c r="I517">
        <v>0</v>
      </c>
    </row>
    <row r="518" spans="1:9" x14ac:dyDescent="0.25">
      <c r="A518">
        <v>73</v>
      </c>
      <c r="B518">
        <v>1</v>
      </c>
      <c r="C518">
        <v>2</v>
      </c>
      <c r="D518">
        <v>4</v>
      </c>
      <c r="E518">
        <v>0</v>
      </c>
      <c r="F518">
        <v>0</v>
      </c>
      <c r="G518">
        <v>10963</v>
      </c>
      <c r="H518">
        <v>0</v>
      </c>
      <c r="I518">
        <v>0</v>
      </c>
    </row>
    <row r="519" spans="1:9" x14ac:dyDescent="0.25">
      <c r="A519">
        <v>73</v>
      </c>
      <c r="B519">
        <v>0</v>
      </c>
      <c r="C519">
        <v>3</v>
      </c>
      <c r="D519">
        <v>4</v>
      </c>
      <c r="E519">
        <v>1</v>
      </c>
      <c r="F519">
        <v>0</v>
      </c>
      <c r="G519">
        <v>16203</v>
      </c>
      <c r="H519">
        <v>0</v>
      </c>
      <c r="I519">
        <v>0</v>
      </c>
    </row>
    <row r="520" spans="1:9" x14ac:dyDescent="0.25">
      <c r="A520">
        <v>72</v>
      </c>
      <c r="B520">
        <v>0</v>
      </c>
      <c r="C520">
        <v>4</v>
      </c>
      <c r="D520">
        <v>6</v>
      </c>
      <c r="E520">
        <v>4</v>
      </c>
      <c r="F520">
        <v>0</v>
      </c>
      <c r="G520">
        <v>25964</v>
      </c>
      <c r="H520">
        <v>0</v>
      </c>
      <c r="I520">
        <v>0</v>
      </c>
    </row>
    <row r="521" spans="1:9" x14ac:dyDescent="0.25">
      <c r="A521">
        <v>72</v>
      </c>
      <c r="B521">
        <v>0</v>
      </c>
      <c r="C521">
        <v>1</v>
      </c>
      <c r="D521">
        <v>3</v>
      </c>
      <c r="E521">
        <v>0</v>
      </c>
      <c r="F521">
        <v>0</v>
      </c>
      <c r="G521">
        <v>1277</v>
      </c>
      <c r="H521">
        <v>0</v>
      </c>
      <c r="I521">
        <v>0</v>
      </c>
    </row>
    <row r="522" spans="1:9" x14ac:dyDescent="0.25">
      <c r="A522">
        <v>72</v>
      </c>
      <c r="B522">
        <v>0</v>
      </c>
      <c r="C522">
        <v>4</v>
      </c>
      <c r="D522">
        <v>0</v>
      </c>
      <c r="E522">
        <v>0</v>
      </c>
      <c r="F522">
        <v>0</v>
      </c>
      <c r="G522">
        <v>13466</v>
      </c>
      <c r="H522">
        <v>0</v>
      </c>
      <c r="I522">
        <v>0</v>
      </c>
    </row>
    <row r="523" spans="1:9" x14ac:dyDescent="0.25">
      <c r="A523">
        <v>72</v>
      </c>
      <c r="B523">
        <v>1</v>
      </c>
      <c r="C523">
        <v>1</v>
      </c>
      <c r="D523">
        <v>5</v>
      </c>
      <c r="E523">
        <v>0</v>
      </c>
      <c r="F523">
        <v>0</v>
      </c>
      <c r="G523">
        <v>9324</v>
      </c>
      <c r="H523">
        <v>0</v>
      </c>
      <c r="I523">
        <v>0</v>
      </c>
    </row>
    <row r="524" spans="1:9" x14ac:dyDescent="0.25">
      <c r="A524">
        <v>72</v>
      </c>
      <c r="B524">
        <v>0</v>
      </c>
      <c r="C524">
        <v>3</v>
      </c>
      <c r="D524">
        <v>6</v>
      </c>
      <c r="E524">
        <v>0</v>
      </c>
      <c r="F524">
        <v>0</v>
      </c>
      <c r="G524">
        <v>14385</v>
      </c>
      <c r="H524">
        <v>0</v>
      </c>
      <c r="I524">
        <v>0</v>
      </c>
    </row>
    <row r="525" spans="1:9" x14ac:dyDescent="0.25">
      <c r="A525">
        <v>72</v>
      </c>
      <c r="B525">
        <v>0</v>
      </c>
      <c r="C525">
        <v>12</v>
      </c>
      <c r="D525">
        <v>4</v>
      </c>
      <c r="E525">
        <v>2</v>
      </c>
      <c r="F525">
        <v>0</v>
      </c>
      <c r="G525">
        <v>31485</v>
      </c>
      <c r="H525">
        <v>0</v>
      </c>
      <c r="I525">
        <v>0</v>
      </c>
    </row>
    <row r="526" spans="1:9" x14ac:dyDescent="0.25">
      <c r="A526">
        <v>72</v>
      </c>
      <c r="B526">
        <v>1</v>
      </c>
      <c r="C526">
        <v>12</v>
      </c>
      <c r="D526">
        <v>4</v>
      </c>
      <c r="E526">
        <v>1</v>
      </c>
      <c r="F526">
        <v>0</v>
      </c>
      <c r="G526">
        <v>16332</v>
      </c>
      <c r="H526">
        <v>0</v>
      </c>
      <c r="I526">
        <v>0</v>
      </c>
    </row>
    <row r="527" spans="1:9" x14ac:dyDescent="0.25">
      <c r="A527">
        <v>72</v>
      </c>
      <c r="B527">
        <v>0</v>
      </c>
      <c r="C527">
        <v>7</v>
      </c>
      <c r="D527">
        <v>3</v>
      </c>
      <c r="E527">
        <v>1</v>
      </c>
      <c r="F527">
        <v>0</v>
      </c>
      <c r="G527">
        <v>104214</v>
      </c>
      <c r="H527">
        <v>1</v>
      </c>
      <c r="I527">
        <v>0</v>
      </c>
    </row>
    <row r="528" spans="1:9" x14ac:dyDescent="0.25">
      <c r="A528">
        <v>71</v>
      </c>
      <c r="B528">
        <v>0</v>
      </c>
      <c r="C528">
        <v>4</v>
      </c>
      <c r="D528">
        <v>3</v>
      </c>
      <c r="E528">
        <v>0</v>
      </c>
      <c r="F528">
        <v>0</v>
      </c>
      <c r="G528">
        <v>20049</v>
      </c>
      <c r="H528">
        <v>0</v>
      </c>
      <c r="I528">
        <v>0</v>
      </c>
    </row>
    <row r="529" spans="1:9" x14ac:dyDescent="0.25">
      <c r="A529">
        <v>71</v>
      </c>
      <c r="B529">
        <v>0</v>
      </c>
      <c r="C529">
        <v>46</v>
      </c>
      <c r="D529">
        <v>5</v>
      </c>
      <c r="E529">
        <v>6</v>
      </c>
      <c r="F529">
        <v>0</v>
      </c>
      <c r="G529">
        <v>117531</v>
      </c>
      <c r="H529">
        <v>0</v>
      </c>
      <c r="I529">
        <v>0</v>
      </c>
    </row>
    <row r="530" spans="1:9" x14ac:dyDescent="0.25">
      <c r="A530">
        <v>71</v>
      </c>
      <c r="B530">
        <v>1</v>
      </c>
      <c r="C530">
        <v>14</v>
      </c>
      <c r="D530">
        <v>4</v>
      </c>
      <c r="E530">
        <v>0</v>
      </c>
      <c r="F530">
        <v>0</v>
      </c>
      <c r="G530">
        <v>23118</v>
      </c>
      <c r="H530">
        <v>0</v>
      </c>
      <c r="I530">
        <v>0</v>
      </c>
    </row>
    <row r="531" spans="1:9" x14ac:dyDescent="0.25">
      <c r="A531">
        <v>71</v>
      </c>
      <c r="B531">
        <v>1</v>
      </c>
      <c r="C531">
        <v>14</v>
      </c>
      <c r="D531">
        <v>4</v>
      </c>
      <c r="E531">
        <v>1</v>
      </c>
      <c r="F531">
        <v>0</v>
      </c>
      <c r="G531">
        <v>36938</v>
      </c>
      <c r="H531">
        <v>0</v>
      </c>
      <c r="I531">
        <v>0</v>
      </c>
    </row>
    <row r="532" spans="1:9" x14ac:dyDescent="0.25">
      <c r="A532">
        <v>70</v>
      </c>
      <c r="B532">
        <v>1</v>
      </c>
      <c r="C532">
        <v>1</v>
      </c>
      <c r="D532">
        <v>5</v>
      </c>
      <c r="E532">
        <v>0</v>
      </c>
      <c r="F532">
        <v>0</v>
      </c>
      <c r="G532">
        <v>8927</v>
      </c>
      <c r="H532">
        <v>0</v>
      </c>
      <c r="I532">
        <v>0</v>
      </c>
    </row>
    <row r="533" spans="1:9" x14ac:dyDescent="0.25">
      <c r="A533">
        <v>70</v>
      </c>
      <c r="B533">
        <v>0</v>
      </c>
      <c r="C533">
        <v>8</v>
      </c>
      <c r="D533">
        <v>6</v>
      </c>
      <c r="E533">
        <v>3</v>
      </c>
      <c r="F533">
        <v>0</v>
      </c>
      <c r="G533">
        <v>54225</v>
      </c>
      <c r="H533">
        <v>0</v>
      </c>
      <c r="I533">
        <v>0</v>
      </c>
    </row>
    <row r="534" spans="1:9" x14ac:dyDescent="0.25">
      <c r="A534">
        <v>69</v>
      </c>
      <c r="B534">
        <v>1</v>
      </c>
      <c r="C534">
        <v>3</v>
      </c>
      <c r="D534">
        <v>3</v>
      </c>
      <c r="E534">
        <v>0</v>
      </c>
      <c r="F534">
        <v>0</v>
      </c>
      <c r="G534">
        <v>2932</v>
      </c>
      <c r="H534">
        <v>0</v>
      </c>
      <c r="I534">
        <v>0</v>
      </c>
    </row>
    <row r="535" spans="1:9" x14ac:dyDescent="0.25">
      <c r="A535">
        <v>68</v>
      </c>
      <c r="B535">
        <v>1</v>
      </c>
      <c r="C535">
        <v>7</v>
      </c>
      <c r="D535">
        <v>6</v>
      </c>
      <c r="E535">
        <v>1</v>
      </c>
      <c r="F535">
        <v>0</v>
      </c>
      <c r="G535">
        <v>30534</v>
      </c>
      <c r="H535">
        <v>0</v>
      </c>
      <c r="I535">
        <v>0</v>
      </c>
    </row>
    <row r="536" spans="1:9" x14ac:dyDescent="0.25">
      <c r="A536">
        <v>67</v>
      </c>
      <c r="B536">
        <v>1</v>
      </c>
      <c r="C536">
        <v>38</v>
      </c>
      <c r="D536">
        <v>4</v>
      </c>
      <c r="E536">
        <v>5</v>
      </c>
      <c r="F536">
        <v>0</v>
      </c>
      <c r="G536">
        <v>205029</v>
      </c>
      <c r="H536">
        <v>1</v>
      </c>
      <c r="I536">
        <v>0</v>
      </c>
    </row>
    <row r="537" spans="1:9" x14ac:dyDescent="0.25">
      <c r="A537">
        <v>66</v>
      </c>
      <c r="B537">
        <v>1</v>
      </c>
      <c r="C537">
        <v>3</v>
      </c>
      <c r="D537">
        <v>1</v>
      </c>
      <c r="E537">
        <v>3</v>
      </c>
      <c r="F537">
        <v>0</v>
      </c>
      <c r="G537">
        <v>28893</v>
      </c>
      <c r="H537">
        <v>0</v>
      </c>
      <c r="I537">
        <v>0</v>
      </c>
    </row>
    <row r="538" spans="1:9" x14ac:dyDescent="0.25">
      <c r="A538">
        <v>64</v>
      </c>
      <c r="B538">
        <v>1</v>
      </c>
      <c r="C538">
        <v>0</v>
      </c>
      <c r="D538">
        <v>2</v>
      </c>
      <c r="E538">
        <v>0</v>
      </c>
      <c r="F538">
        <v>0</v>
      </c>
      <c r="G538">
        <v>1934</v>
      </c>
      <c r="H538">
        <v>0</v>
      </c>
      <c r="I538">
        <v>0</v>
      </c>
    </row>
    <row r="539" spans="1:9" x14ac:dyDescent="0.25">
      <c r="A539">
        <v>64</v>
      </c>
      <c r="B539">
        <v>0</v>
      </c>
      <c r="C539">
        <v>10</v>
      </c>
      <c r="D539">
        <v>6</v>
      </c>
      <c r="E539">
        <v>2</v>
      </c>
      <c r="F539">
        <v>0</v>
      </c>
      <c r="G539">
        <v>39150</v>
      </c>
      <c r="H539">
        <v>0</v>
      </c>
      <c r="I539">
        <v>0</v>
      </c>
    </row>
    <row r="540" spans="1:9" x14ac:dyDescent="0.25">
      <c r="A540">
        <v>63</v>
      </c>
      <c r="B540">
        <v>0</v>
      </c>
      <c r="C540">
        <v>10</v>
      </c>
      <c r="D540">
        <v>7</v>
      </c>
      <c r="E540">
        <v>0</v>
      </c>
      <c r="F540">
        <v>0</v>
      </c>
      <c r="G540">
        <v>46563</v>
      </c>
      <c r="H540">
        <v>0</v>
      </c>
      <c r="I540">
        <v>0</v>
      </c>
    </row>
    <row r="541" spans="1:9" x14ac:dyDescent="0.25">
      <c r="A541">
        <v>63</v>
      </c>
      <c r="B541">
        <v>0</v>
      </c>
      <c r="C541">
        <v>1</v>
      </c>
      <c r="D541">
        <v>5</v>
      </c>
      <c r="E541">
        <v>2</v>
      </c>
      <c r="F541">
        <v>0</v>
      </c>
      <c r="G541">
        <v>10767</v>
      </c>
      <c r="H541">
        <v>0</v>
      </c>
      <c r="I541">
        <v>0</v>
      </c>
    </row>
    <row r="542" spans="1:9" x14ac:dyDescent="0.25">
      <c r="A542">
        <v>61</v>
      </c>
      <c r="B542">
        <v>0</v>
      </c>
      <c r="C542">
        <v>5</v>
      </c>
      <c r="D542">
        <v>7</v>
      </c>
      <c r="E542">
        <v>1</v>
      </c>
      <c r="F542">
        <v>0</v>
      </c>
      <c r="G542">
        <v>11081</v>
      </c>
      <c r="H542">
        <v>0</v>
      </c>
      <c r="I542">
        <v>0</v>
      </c>
    </row>
    <row r="543" spans="1:9" x14ac:dyDescent="0.25">
      <c r="A543">
        <v>61</v>
      </c>
      <c r="B543">
        <v>0</v>
      </c>
      <c r="C543">
        <v>11</v>
      </c>
      <c r="D543">
        <v>5</v>
      </c>
      <c r="E543">
        <v>2</v>
      </c>
      <c r="F543">
        <v>0</v>
      </c>
      <c r="G543">
        <v>40264</v>
      </c>
      <c r="H543">
        <v>0</v>
      </c>
      <c r="I543">
        <v>0</v>
      </c>
    </row>
    <row r="544" spans="1:9" x14ac:dyDescent="0.25">
      <c r="A544">
        <v>60</v>
      </c>
      <c r="B544">
        <v>1</v>
      </c>
      <c r="C544">
        <v>7</v>
      </c>
      <c r="D544">
        <v>2</v>
      </c>
      <c r="E544">
        <v>0</v>
      </c>
      <c r="F544">
        <v>0</v>
      </c>
      <c r="G544">
        <v>9293</v>
      </c>
      <c r="H544">
        <v>0</v>
      </c>
      <c r="I544">
        <v>0</v>
      </c>
    </row>
    <row r="545" spans="1:9" x14ac:dyDescent="0.25">
      <c r="A545">
        <v>60</v>
      </c>
      <c r="B545">
        <v>1</v>
      </c>
      <c r="C545">
        <v>6</v>
      </c>
      <c r="D545">
        <v>3</v>
      </c>
      <c r="E545">
        <v>0</v>
      </c>
      <c r="F545">
        <v>0</v>
      </c>
      <c r="G545">
        <v>9273</v>
      </c>
      <c r="H545">
        <v>0</v>
      </c>
      <c r="I545">
        <v>0</v>
      </c>
    </row>
    <row r="546" spans="1:9" x14ac:dyDescent="0.25">
      <c r="A546">
        <v>60</v>
      </c>
      <c r="B546">
        <v>1</v>
      </c>
      <c r="C546">
        <v>5</v>
      </c>
      <c r="D546">
        <v>4</v>
      </c>
      <c r="E546">
        <v>0</v>
      </c>
      <c r="F546">
        <v>0</v>
      </c>
      <c r="G546">
        <v>12711</v>
      </c>
      <c r="H546">
        <v>0</v>
      </c>
      <c r="I546">
        <v>0</v>
      </c>
    </row>
    <row r="547" spans="1:9" x14ac:dyDescent="0.25">
      <c r="A547">
        <v>60</v>
      </c>
      <c r="B547">
        <v>1</v>
      </c>
      <c r="C547">
        <v>5</v>
      </c>
      <c r="D547">
        <v>5</v>
      </c>
      <c r="E547">
        <v>0</v>
      </c>
      <c r="F547">
        <v>0</v>
      </c>
      <c r="G547">
        <v>17161</v>
      </c>
      <c r="H547">
        <v>0</v>
      </c>
      <c r="I547">
        <v>0</v>
      </c>
    </row>
    <row r="548" spans="1:9" x14ac:dyDescent="0.25">
      <c r="A548">
        <v>60</v>
      </c>
      <c r="B548">
        <v>1</v>
      </c>
      <c r="C548">
        <v>10</v>
      </c>
      <c r="D548">
        <v>4</v>
      </c>
      <c r="E548">
        <v>0</v>
      </c>
      <c r="F548">
        <v>0</v>
      </c>
      <c r="G548">
        <v>30204</v>
      </c>
      <c r="H548">
        <v>0</v>
      </c>
      <c r="I548">
        <v>0</v>
      </c>
    </row>
    <row r="549" spans="1:9" x14ac:dyDescent="0.25">
      <c r="A549">
        <v>60</v>
      </c>
      <c r="B549">
        <v>0</v>
      </c>
      <c r="C549">
        <v>3</v>
      </c>
      <c r="D549">
        <v>8</v>
      </c>
      <c r="E549">
        <v>0</v>
      </c>
      <c r="F549">
        <v>0</v>
      </c>
      <c r="G549">
        <v>12041</v>
      </c>
      <c r="H549">
        <v>0</v>
      </c>
      <c r="I549">
        <v>0</v>
      </c>
    </row>
    <row r="550" spans="1:9" x14ac:dyDescent="0.25">
      <c r="A550">
        <v>60</v>
      </c>
      <c r="B550">
        <v>0</v>
      </c>
      <c r="C550">
        <v>3</v>
      </c>
      <c r="D550">
        <v>5</v>
      </c>
      <c r="E550">
        <v>0</v>
      </c>
      <c r="F550">
        <v>0</v>
      </c>
      <c r="G550">
        <v>15613</v>
      </c>
      <c r="H550">
        <v>0</v>
      </c>
      <c r="I550">
        <v>0</v>
      </c>
    </row>
    <row r="551" spans="1:9" x14ac:dyDescent="0.25">
      <c r="A551">
        <v>60</v>
      </c>
      <c r="B551">
        <v>0</v>
      </c>
      <c r="C551">
        <v>5</v>
      </c>
      <c r="D551">
        <v>5</v>
      </c>
      <c r="E551">
        <v>0</v>
      </c>
      <c r="F551">
        <v>0</v>
      </c>
      <c r="G551">
        <v>20840</v>
      </c>
      <c r="H551">
        <v>0</v>
      </c>
      <c r="I551">
        <v>0</v>
      </c>
    </row>
    <row r="552" spans="1:9" x14ac:dyDescent="0.25">
      <c r="A552">
        <v>59</v>
      </c>
      <c r="B552">
        <v>0</v>
      </c>
      <c r="C552">
        <v>3</v>
      </c>
      <c r="D552">
        <v>6</v>
      </c>
      <c r="E552">
        <v>4</v>
      </c>
      <c r="F552">
        <v>0</v>
      </c>
      <c r="G552">
        <v>23455</v>
      </c>
      <c r="H552">
        <v>1</v>
      </c>
      <c r="I552">
        <v>0</v>
      </c>
    </row>
    <row r="553" spans="1:9" x14ac:dyDescent="0.25">
      <c r="A553">
        <v>59</v>
      </c>
      <c r="B553">
        <v>0</v>
      </c>
      <c r="C553">
        <v>21</v>
      </c>
      <c r="D553">
        <v>6</v>
      </c>
      <c r="E553">
        <v>5</v>
      </c>
      <c r="F553">
        <v>0</v>
      </c>
      <c r="G553">
        <v>80304</v>
      </c>
      <c r="H553">
        <v>1</v>
      </c>
      <c r="I553">
        <v>0</v>
      </c>
    </row>
    <row r="554" spans="1:9" x14ac:dyDescent="0.25">
      <c r="A554">
        <v>59</v>
      </c>
      <c r="B554">
        <v>1</v>
      </c>
      <c r="C554">
        <v>9</v>
      </c>
      <c r="D554">
        <v>4</v>
      </c>
      <c r="E554">
        <v>2</v>
      </c>
      <c r="F554">
        <v>0</v>
      </c>
      <c r="G554">
        <v>46213</v>
      </c>
      <c r="H554">
        <v>1</v>
      </c>
      <c r="I554">
        <v>0</v>
      </c>
    </row>
    <row r="555" spans="1:9" x14ac:dyDescent="0.25">
      <c r="A555">
        <v>58</v>
      </c>
      <c r="B555">
        <v>1</v>
      </c>
      <c r="C555">
        <v>3</v>
      </c>
      <c r="D555">
        <v>4</v>
      </c>
      <c r="E555">
        <v>0</v>
      </c>
      <c r="F555">
        <v>0</v>
      </c>
      <c r="G555">
        <v>10512</v>
      </c>
      <c r="H555">
        <v>0</v>
      </c>
      <c r="I555">
        <v>0</v>
      </c>
    </row>
    <row r="556" spans="1:9" x14ac:dyDescent="0.25">
      <c r="A556">
        <v>58</v>
      </c>
      <c r="B556">
        <v>1</v>
      </c>
      <c r="C556">
        <v>3</v>
      </c>
      <c r="D556">
        <v>7</v>
      </c>
      <c r="E556">
        <v>0</v>
      </c>
      <c r="F556">
        <v>0</v>
      </c>
      <c r="G556">
        <v>15738</v>
      </c>
      <c r="H556">
        <v>0</v>
      </c>
      <c r="I556">
        <v>0</v>
      </c>
    </row>
    <row r="557" spans="1:9" x14ac:dyDescent="0.25">
      <c r="A557">
        <v>58</v>
      </c>
      <c r="B557">
        <v>0</v>
      </c>
      <c r="C557">
        <v>6</v>
      </c>
      <c r="D557">
        <v>4</v>
      </c>
      <c r="E557">
        <v>0</v>
      </c>
      <c r="F557">
        <v>0</v>
      </c>
      <c r="G557">
        <v>11722</v>
      </c>
      <c r="H557">
        <v>0</v>
      </c>
      <c r="I557">
        <v>0</v>
      </c>
    </row>
    <row r="558" spans="1:9" x14ac:dyDescent="0.25">
      <c r="A558">
        <v>58</v>
      </c>
      <c r="B558">
        <v>0</v>
      </c>
      <c r="C558">
        <v>10</v>
      </c>
      <c r="D558">
        <v>5</v>
      </c>
      <c r="E558">
        <v>0</v>
      </c>
      <c r="F558">
        <v>0</v>
      </c>
      <c r="G558">
        <v>23255</v>
      </c>
      <c r="H558">
        <v>0</v>
      </c>
      <c r="I558">
        <v>0</v>
      </c>
    </row>
    <row r="559" spans="1:9" x14ac:dyDescent="0.25">
      <c r="A559">
        <v>58</v>
      </c>
      <c r="B559">
        <v>1</v>
      </c>
      <c r="C559">
        <v>2</v>
      </c>
      <c r="D559">
        <v>3</v>
      </c>
      <c r="E559">
        <v>0</v>
      </c>
      <c r="F559">
        <v>0</v>
      </c>
      <c r="G559">
        <v>11724</v>
      </c>
      <c r="H559">
        <v>0</v>
      </c>
      <c r="I559">
        <v>0</v>
      </c>
    </row>
    <row r="560" spans="1:9" x14ac:dyDescent="0.25">
      <c r="A560">
        <v>58</v>
      </c>
      <c r="B560">
        <v>0</v>
      </c>
      <c r="C560">
        <v>1</v>
      </c>
      <c r="D560">
        <v>4</v>
      </c>
      <c r="E560">
        <v>0</v>
      </c>
      <c r="F560">
        <v>0</v>
      </c>
      <c r="G560">
        <v>4463</v>
      </c>
      <c r="H560">
        <v>0</v>
      </c>
      <c r="I560">
        <v>0</v>
      </c>
    </row>
    <row r="561" spans="1:9" x14ac:dyDescent="0.25">
      <c r="A561">
        <v>58</v>
      </c>
      <c r="B561">
        <v>0</v>
      </c>
      <c r="C561">
        <v>3</v>
      </c>
      <c r="D561">
        <v>0</v>
      </c>
      <c r="E561">
        <v>1</v>
      </c>
      <c r="F561">
        <v>0</v>
      </c>
      <c r="G561">
        <v>14035</v>
      </c>
      <c r="H561">
        <v>0</v>
      </c>
      <c r="I561">
        <v>0</v>
      </c>
    </row>
    <row r="562" spans="1:9" x14ac:dyDescent="0.25">
      <c r="A562">
        <v>58</v>
      </c>
      <c r="B562">
        <v>0</v>
      </c>
      <c r="C562">
        <v>2</v>
      </c>
      <c r="D562">
        <v>2</v>
      </c>
      <c r="E562">
        <v>0</v>
      </c>
      <c r="F562">
        <v>0</v>
      </c>
      <c r="G562">
        <v>10124</v>
      </c>
      <c r="H562">
        <v>0</v>
      </c>
      <c r="I562">
        <v>0</v>
      </c>
    </row>
    <row r="563" spans="1:9" x14ac:dyDescent="0.25">
      <c r="A563">
        <v>58</v>
      </c>
      <c r="B563">
        <v>1</v>
      </c>
      <c r="C563">
        <v>1</v>
      </c>
      <c r="D563">
        <v>5</v>
      </c>
      <c r="E563">
        <v>0</v>
      </c>
      <c r="F563">
        <v>0</v>
      </c>
      <c r="G563">
        <v>2972</v>
      </c>
      <c r="H563">
        <v>0</v>
      </c>
      <c r="I563">
        <v>0</v>
      </c>
    </row>
    <row r="564" spans="1:9" x14ac:dyDescent="0.25">
      <c r="A564">
        <v>58</v>
      </c>
      <c r="B564">
        <v>0</v>
      </c>
      <c r="C564">
        <v>3</v>
      </c>
      <c r="D564">
        <v>5</v>
      </c>
      <c r="E564">
        <v>3</v>
      </c>
      <c r="F564">
        <v>0</v>
      </c>
      <c r="G564">
        <v>11285</v>
      </c>
      <c r="H564">
        <v>0</v>
      </c>
      <c r="I564">
        <v>0</v>
      </c>
    </row>
    <row r="565" spans="1:9" x14ac:dyDescent="0.25">
      <c r="A565">
        <v>58</v>
      </c>
      <c r="B565">
        <v>1</v>
      </c>
      <c r="C565">
        <v>6</v>
      </c>
      <c r="D565">
        <v>3</v>
      </c>
      <c r="E565">
        <v>0</v>
      </c>
      <c r="F565">
        <v>0</v>
      </c>
      <c r="G565">
        <v>8086</v>
      </c>
      <c r="H565">
        <v>0</v>
      </c>
      <c r="I565">
        <v>0</v>
      </c>
    </row>
    <row r="566" spans="1:9" x14ac:dyDescent="0.25">
      <c r="A566">
        <v>58</v>
      </c>
      <c r="B566">
        <v>1</v>
      </c>
      <c r="C566">
        <v>2</v>
      </c>
      <c r="D566">
        <v>4</v>
      </c>
      <c r="E566">
        <v>2</v>
      </c>
      <c r="F566">
        <v>0</v>
      </c>
      <c r="G566">
        <v>23864</v>
      </c>
      <c r="H566">
        <v>0</v>
      </c>
      <c r="I566">
        <v>0</v>
      </c>
    </row>
    <row r="567" spans="1:9" x14ac:dyDescent="0.25">
      <c r="A567">
        <v>58</v>
      </c>
      <c r="B567">
        <v>1</v>
      </c>
      <c r="C567">
        <v>17</v>
      </c>
      <c r="D567">
        <v>1</v>
      </c>
      <c r="E567">
        <v>6</v>
      </c>
      <c r="F567">
        <v>0</v>
      </c>
      <c r="G567">
        <v>173110</v>
      </c>
      <c r="H567">
        <v>1</v>
      </c>
      <c r="I567">
        <v>0</v>
      </c>
    </row>
    <row r="568" spans="1:9" x14ac:dyDescent="0.25">
      <c r="A568">
        <v>57</v>
      </c>
      <c r="B568">
        <v>0</v>
      </c>
      <c r="C568">
        <v>1</v>
      </c>
      <c r="D568">
        <v>4</v>
      </c>
      <c r="E568">
        <v>0</v>
      </c>
      <c r="F568">
        <v>0</v>
      </c>
      <c r="G568">
        <v>6543</v>
      </c>
      <c r="H568">
        <v>0</v>
      </c>
      <c r="I568">
        <v>0</v>
      </c>
    </row>
    <row r="569" spans="1:9" x14ac:dyDescent="0.25">
      <c r="A569">
        <v>57</v>
      </c>
      <c r="B569">
        <v>1</v>
      </c>
      <c r="C569">
        <v>2</v>
      </c>
      <c r="D569">
        <v>7</v>
      </c>
      <c r="E569">
        <v>0</v>
      </c>
      <c r="F569">
        <v>0</v>
      </c>
      <c r="G569">
        <v>10167</v>
      </c>
      <c r="H569">
        <v>0</v>
      </c>
      <c r="I569">
        <v>0</v>
      </c>
    </row>
    <row r="570" spans="1:9" x14ac:dyDescent="0.25">
      <c r="A570">
        <v>57</v>
      </c>
      <c r="B570">
        <v>0</v>
      </c>
      <c r="C570">
        <v>7</v>
      </c>
      <c r="D570">
        <v>4</v>
      </c>
      <c r="E570">
        <v>0</v>
      </c>
      <c r="F570">
        <v>0</v>
      </c>
      <c r="G570">
        <v>13587</v>
      </c>
      <c r="H570">
        <v>0</v>
      </c>
      <c r="I570">
        <v>0</v>
      </c>
    </row>
    <row r="571" spans="1:9" x14ac:dyDescent="0.25">
      <c r="A571">
        <v>57</v>
      </c>
      <c r="B571">
        <v>0</v>
      </c>
      <c r="C571">
        <v>8</v>
      </c>
      <c r="D571">
        <v>4</v>
      </c>
      <c r="E571">
        <v>2</v>
      </c>
      <c r="F571">
        <v>0</v>
      </c>
      <c r="G571">
        <v>48549</v>
      </c>
      <c r="H571">
        <v>0</v>
      </c>
      <c r="I571">
        <v>0</v>
      </c>
    </row>
    <row r="572" spans="1:9" x14ac:dyDescent="0.25">
      <c r="A572">
        <v>57</v>
      </c>
      <c r="B572">
        <v>0</v>
      </c>
      <c r="C572">
        <v>2</v>
      </c>
      <c r="D572">
        <v>7</v>
      </c>
      <c r="E572">
        <v>0</v>
      </c>
      <c r="F572">
        <v>0</v>
      </c>
      <c r="G572">
        <v>10833</v>
      </c>
      <c r="H572">
        <v>0</v>
      </c>
      <c r="I572">
        <v>0</v>
      </c>
    </row>
    <row r="573" spans="1:9" x14ac:dyDescent="0.25">
      <c r="A573">
        <v>57</v>
      </c>
      <c r="B573">
        <v>1</v>
      </c>
      <c r="C573">
        <v>3</v>
      </c>
      <c r="D573">
        <v>6</v>
      </c>
      <c r="E573">
        <v>0</v>
      </c>
      <c r="F573">
        <v>0</v>
      </c>
      <c r="G573">
        <v>7908</v>
      </c>
      <c r="H573">
        <v>0</v>
      </c>
      <c r="I573">
        <v>0</v>
      </c>
    </row>
    <row r="574" spans="1:9" x14ac:dyDescent="0.25">
      <c r="A574">
        <v>57</v>
      </c>
      <c r="B574">
        <v>0</v>
      </c>
      <c r="C574">
        <v>2</v>
      </c>
      <c r="D574">
        <v>2</v>
      </c>
      <c r="E574">
        <v>0</v>
      </c>
      <c r="F574">
        <v>0</v>
      </c>
      <c r="G574">
        <v>7127</v>
      </c>
      <c r="H574">
        <v>0</v>
      </c>
      <c r="I574">
        <v>0</v>
      </c>
    </row>
    <row r="575" spans="1:9" x14ac:dyDescent="0.25">
      <c r="A575">
        <v>57</v>
      </c>
      <c r="B575">
        <v>1</v>
      </c>
      <c r="C575">
        <v>4</v>
      </c>
      <c r="D575">
        <v>6</v>
      </c>
      <c r="E575">
        <v>0</v>
      </c>
      <c r="F575">
        <v>0</v>
      </c>
      <c r="G575">
        <v>11040</v>
      </c>
      <c r="H575">
        <v>0</v>
      </c>
      <c r="I575">
        <v>0</v>
      </c>
    </row>
    <row r="576" spans="1:9" x14ac:dyDescent="0.25">
      <c r="A576">
        <v>57</v>
      </c>
      <c r="B576">
        <v>1</v>
      </c>
      <c r="C576">
        <v>0</v>
      </c>
      <c r="D576">
        <v>3</v>
      </c>
      <c r="E576">
        <v>0</v>
      </c>
      <c r="F576">
        <v>0</v>
      </c>
      <c r="G576">
        <v>3675</v>
      </c>
      <c r="H576">
        <v>0</v>
      </c>
      <c r="I576">
        <v>0</v>
      </c>
    </row>
    <row r="577" spans="1:9" x14ac:dyDescent="0.25">
      <c r="A577">
        <v>57</v>
      </c>
      <c r="B577">
        <v>0</v>
      </c>
      <c r="C577">
        <v>1</v>
      </c>
      <c r="D577">
        <v>6</v>
      </c>
      <c r="E577">
        <v>0</v>
      </c>
      <c r="F577">
        <v>0</v>
      </c>
      <c r="G577">
        <v>8124</v>
      </c>
      <c r="H577">
        <v>0</v>
      </c>
      <c r="I577">
        <v>0</v>
      </c>
    </row>
    <row r="578" spans="1:9" x14ac:dyDescent="0.25">
      <c r="A578">
        <v>57</v>
      </c>
      <c r="B578">
        <v>1</v>
      </c>
      <c r="C578">
        <v>4</v>
      </c>
      <c r="D578">
        <v>7</v>
      </c>
      <c r="E578">
        <v>0</v>
      </c>
      <c r="F578">
        <v>0</v>
      </c>
      <c r="G578">
        <v>13460</v>
      </c>
      <c r="H578">
        <v>0</v>
      </c>
      <c r="I578">
        <v>0</v>
      </c>
    </row>
    <row r="579" spans="1:9" x14ac:dyDescent="0.25">
      <c r="A579">
        <v>57</v>
      </c>
      <c r="B579">
        <v>0</v>
      </c>
      <c r="C579">
        <v>5</v>
      </c>
      <c r="D579">
        <v>4</v>
      </c>
      <c r="E579">
        <v>0</v>
      </c>
      <c r="F579">
        <v>0</v>
      </c>
      <c r="G579">
        <v>13004</v>
      </c>
      <c r="H579">
        <v>0</v>
      </c>
      <c r="I579">
        <v>0</v>
      </c>
    </row>
    <row r="580" spans="1:9" x14ac:dyDescent="0.25">
      <c r="A580">
        <v>57</v>
      </c>
      <c r="B580">
        <v>1</v>
      </c>
      <c r="C580">
        <v>3</v>
      </c>
      <c r="D580">
        <v>6</v>
      </c>
      <c r="E580">
        <v>0</v>
      </c>
      <c r="F580">
        <v>0</v>
      </c>
      <c r="G580">
        <v>13180</v>
      </c>
      <c r="H580">
        <v>0</v>
      </c>
      <c r="I580">
        <v>0</v>
      </c>
    </row>
    <row r="581" spans="1:9" x14ac:dyDescent="0.25">
      <c r="A581">
        <v>57</v>
      </c>
      <c r="B581">
        <v>0</v>
      </c>
      <c r="C581">
        <v>11</v>
      </c>
      <c r="D581">
        <v>4</v>
      </c>
      <c r="E581">
        <v>0</v>
      </c>
      <c r="F581">
        <v>0</v>
      </c>
      <c r="G581">
        <v>19291</v>
      </c>
      <c r="H581">
        <v>0</v>
      </c>
      <c r="I581">
        <v>0</v>
      </c>
    </row>
    <row r="582" spans="1:9" x14ac:dyDescent="0.25">
      <c r="A582">
        <v>57</v>
      </c>
      <c r="B582">
        <v>1</v>
      </c>
      <c r="C582">
        <v>3</v>
      </c>
      <c r="D582">
        <v>6</v>
      </c>
      <c r="E582">
        <v>0</v>
      </c>
      <c r="F582">
        <v>0</v>
      </c>
      <c r="G582">
        <v>8278</v>
      </c>
      <c r="H582">
        <v>0</v>
      </c>
      <c r="I582">
        <v>0</v>
      </c>
    </row>
    <row r="583" spans="1:9" x14ac:dyDescent="0.25">
      <c r="A583">
        <v>57</v>
      </c>
      <c r="B583">
        <v>0</v>
      </c>
      <c r="C583">
        <v>3</v>
      </c>
      <c r="D583">
        <v>3</v>
      </c>
      <c r="E583">
        <v>0</v>
      </c>
      <c r="F583">
        <v>0</v>
      </c>
      <c r="G583">
        <v>12382</v>
      </c>
      <c r="H583">
        <v>0</v>
      </c>
      <c r="I583">
        <v>0</v>
      </c>
    </row>
    <row r="584" spans="1:9" x14ac:dyDescent="0.25">
      <c r="A584">
        <v>57</v>
      </c>
      <c r="B584">
        <v>0</v>
      </c>
      <c r="C584">
        <v>2</v>
      </c>
      <c r="D584">
        <v>3</v>
      </c>
      <c r="E584">
        <v>0</v>
      </c>
      <c r="F584">
        <v>0</v>
      </c>
      <c r="G584">
        <v>7370</v>
      </c>
      <c r="H584">
        <v>0</v>
      </c>
      <c r="I584">
        <v>0</v>
      </c>
    </row>
    <row r="585" spans="1:9" x14ac:dyDescent="0.25">
      <c r="A585">
        <v>57</v>
      </c>
      <c r="B585">
        <v>1</v>
      </c>
      <c r="C585">
        <v>4</v>
      </c>
      <c r="D585">
        <v>5</v>
      </c>
      <c r="E585">
        <v>0</v>
      </c>
      <c r="F585">
        <v>0</v>
      </c>
      <c r="G585">
        <v>9022</v>
      </c>
      <c r="H585">
        <v>0</v>
      </c>
      <c r="I585">
        <v>0</v>
      </c>
    </row>
    <row r="586" spans="1:9" x14ac:dyDescent="0.25">
      <c r="A586">
        <v>57</v>
      </c>
      <c r="B586">
        <v>1</v>
      </c>
      <c r="C586">
        <v>13</v>
      </c>
      <c r="D586">
        <v>3</v>
      </c>
      <c r="E586">
        <v>2</v>
      </c>
      <c r="F586">
        <v>0</v>
      </c>
      <c r="G586">
        <v>30164</v>
      </c>
      <c r="H586">
        <v>0</v>
      </c>
      <c r="I586">
        <v>0</v>
      </c>
    </row>
    <row r="587" spans="1:9" x14ac:dyDescent="0.25">
      <c r="A587">
        <v>57</v>
      </c>
      <c r="B587">
        <v>1</v>
      </c>
      <c r="C587">
        <v>14</v>
      </c>
      <c r="D587">
        <v>3</v>
      </c>
      <c r="E587">
        <v>2</v>
      </c>
      <c r="F587">
        <v>0</v>
      </c>
      <c r="G587">
        <v>40580</v>
      </c>
      <c r="H587">
        <v>0</v>
      </c>
      <c r="I587">
        <v>0</v>
      </c>
    </row>
    <row r="588" spans="1:9" x14ac:dyDescent="0.25">
      <c r="A588">
        <v>57</v>
      </c>
      <c r="B588">
        <v>0</v>
      </c>
      <c r="C588">
        <v>1</v>
      </c>
      <c r="D588">
        <v>3</v>
      </c>
      <c r="E588">
        <v>2</v>
      </c>
      <c r="F588">
        <v>0</v>
      </c>
      <c r="G588">
        <v>18096</v>
      </c>
      <c r="H588">
        <v>0</v>
      </c>
      <c r="I588">
        <v>0</v>
      </c>
    </row>
    <row r="589" spans="1:9" x14ac:dyDescent="0.25">
      <c r="A589">
        <v>56</v>
      </c>
      <c r="B589">
        <v>1</v>
      </c>
      <c r="C589">
        <v>1</v>
      </c>
      <c r="D589">
        <v>2</v>
      </c>
      <c r="E589">
        <v>0</v>
      </c>
      <c r="F589">
        <v>0</v>
      </c>
      <c r="G589">
        <v>2107</v>
      </c>
      <c r="H589">
        <v>0</v>
      </c>
      <c r="I589">
        <v>0</v>
      </c>
    </row>
    <row r="590" spans="1:9" x14ac:dyDescent="0.25">
      <c r="A590">
        <v>56</v>
      </c>
      <c r="B590">
        <v>1</v>
      </c>
      <c r="C590">
        <v>26</v>
      </c>
      <c r="D590">
        <v>5</v>
      </c>
      <c r="E590">
        <v>2</v>
      </c>
      <c r="F590">
        <v>0</v>
      </c>
      <c r="G590">
        <v>109060</v>
      </c>
      <c r="H590">
        <v>0</v>
      </c>
      <c r="I590">
        <v>0</v>
      </c>
    </row>
    <row r="591" spans="1:9" x14ac:dyDescent="0.25">
      <c r="A591">
        <v>53</v>
      </c>
      <c r="B591">
        <v>1</v>
      </c>
      <c r="C591">
        <v>2</v>
      </c>
      <c r="D591">
        <v>6</v>
      </c>
      <c r="E591">
        <v>2</v>
      </c>
      <c r="F591">
        <v>0</v>
      </c>
      <c r="G591">
        <v>17164</v>
      </c>
      <c r="H591">
        <v>0</v>
      </c>
      <c r="I591">
        <v>0</v>
      </c>
    </row>
    <row r="592" spans="1:9" x14ac:dyDescent="0.25">
      <c r="A592">
        <v>52</v>
      </c>
      <c r="B592">
        <v>0</v>
      </c>
      <c r="C592">
        <v>17</v>
      </c>
      <c r="D592">
        <v>4</v>
      </c>
      <c r="E592">
        <v>3</v>
      </c>
      <c r="F592">
        <v>0</v>
      </c>
      <c r="G592">
        <v>81000</v>
      </c>
      <c r="H592">
        <v>0</v>
      </c>
      <c r="I592">
        <v>0</v>
      </c>
    </row>
    <row r="593" spans="1:9" x14ac:dyDescent="0.25">
      <c r="A593">
        <v>52</v>
      </c>
      <c r="B593">
        <v>1</v>
      </c>
      <c r="C593">
        <v>1</v>
      </c>
      <c r="D593">
        <v>3</v>
      </c>
      <c r="E593">
        <v>0</v>
      </c>
      <c r="F593">
        <v>0</v>
      </c>
      <c r="G593">
        <v>10854</v>
      </c>
      <c r="H593">
        <v>0</v>
      </c>
      <c r="I593">
        <v>0</v>
      </c>
    </row>
    <row r="594" spans="1:9" x14ac:dyDescent="0.25">
      <c r="A594">
        <v>49</v>
      </c>
      <c r="B594">
        <v>0</v>
      </c>
      <c r="C594">
        <v>0</v>
      </c>
      <c r="D594">
        <v>1</v>
      </c>
      <c r="E594">
        <v>0</v>
      </c>
      <c r="F594">
        <v>0</v>
      </c>
      <c r="G594">
        <v>4557</v>
      </c>
      <c r="H594">
        <v>0</v>
      </c>
      <c r="I594">
        <v>0</v>
      </c>
    </row>
    <row r="595" spans="1:9" x14ac:dyDescent="0.25">
      <c r="A595">
        <v>49</v>
      </c>
      <c r="B595">
        <v>0</v>
      </c>
      <c r="C595">
        <v>1</v>
      </c>
      <c r="D595">
        <v>3</v>
      </c>
      <c r="E595">
        <v>2</v>
      </c>
      <c r="F595">
        <v>0</v>
      </c>
      <c r="G595">
        <v>13410</v>
      </c>
      <c r="H595">
        <v>0</v>
      </c>
      <c r="I595">
        <v>0</v>
      </c>
    </row>
    <row r="596" spans="1:9" x14ac:dyDescent="0.25">
      <c r="A596">
        <v>48</v>
      </c>
      <c r="B596">
        <v>0</v>
      </c>
      <c r="C596">
        <v>2</v>
      </c>
      <c r="D596">
        <v>3</v>
      </c>
      <c r="E596">
        <v>5</v>
      </c>
      <c r="F596">
        <v>0</v>
      </c>
      <c r="G596">
        <v>19324</v>
      </c>
      <c r="H596">
        <v>0</v>
      </c>
      <c r="I596">
        <v>0</v>
      </c>
    </row>
    <row r="597" spans="1:9" x14ac:dyDescent="0.25">
      <c r="A597">
        <v>48</v>
      </c>
      <c r="B597">
        <v>1</v>
      </c>
      <c r="C597">
        <v>11</v>
      </c>
      <c r="D597">
        <v>3</v>
      </c>
      <c r="E597">
        <v>1</v>
      </c>
      <c r="F597">
        <v>0</v>
      </c>
      <c r="G597">
        <v>17482</v>
      </c>
      <c r="H597">
        <v>0</v>
      </c>
      <c r="I597">
        <v>0</v>
      </c>
    </row>
    <row r="598" spans="1:9" x14ac:dyDescent="0.25">
      <c r="A598">
        <v>48</v>
      </c>
      <c r="B598">
        <v>0</v>
      </c>
      <c r="C598">
        <v>2</v>
      </c>
      <c r="D598">
        <v>8</v>
      </c>
      <c r="E598">
        <v>0</v>
      </c>
      <c r="F598">
        <v>0</v>
      </c>
      <c r="G598">
        <v>11588</v>
      </c>
      <c r="H598">
        <v>0</v>
      </c>
      <c r="I598">
        <v>0</v>
      </c>
    </row>
    <row r="599" spans="1:9" x14ac:dyDescent="0.25">
      <c r="A599">
        <v>47</v>
      </c>
      <c r="B599">
        <v>0</v>
      </c>
      <c r="C599">
        <v>1</v>
      </c>
      <c r="D599">
        <v>4</v>
      </c>
      <c r="E599">
        <v>0</v>
      </c>
      <c r="F599">
        <v>0</v>
      </c>
      <c r="G599">
        <v>3951</v>
      </c>
      <c r="H599">
        <v>0</v>
      </c>
      <c r="I599">
        <v>0</v>
      </c>
    </row>
    <row r="600" spans="1:9" x14ac:dyDescent="0.25">
      <c r="A600">
        <v>46</v>
      </c>
      <c r="B600">
        <v>0</v>
      </c>
      <c r="C600">
        <v>3</v>
      </c>
      <c r="D600">
        <v>3</v>
      </c>
      <c r="E600">
        <v>4</v>
      </c>
      <c r="F600">
        <v>0</v>
      </c>
      <c r="G600">
        <v>29746</v>
      </c>
      <c r="H600">
        <v>1</v>
      </c>
      <c r="I600">
        <v>0</v>
      </c>
    </row>
    <row r="601" spans="1:9" x14ac:dyDescent="0.25">
      <c r="A601">
        <v>45</v>
      </c>
      <c r="B601">
        <v>0</v>
      </c>
      <c r="C601">
        <v>1</v>
      </c>
      <c r="D601">
        <v>3</v>
      </c>
      <c r="E601">
        <v>2</v>
      </c>
      <c r="F601">
        <v>0</v>
      </c>
      <c r="G601">
        <v>19629</v>
      </c>
      <c r="H601">
        <v>0</v>
      </c>
      <c r="I601">
        <v>0</v>
      </c>
    </row>
    <row r="602" spans="1:9" x14ac:dyDescent="0.25">
      <c r="A602">
        <v>44</v>
      </c>
      <c r="B602">
        <v>1</v>
      </c>
      <c r="C602">
        <v>2</v>
      </c>
      <c r="D602">
        <v>6</v>
      </c>
      <c r="E602">
        <v>2</v>
      </c>
      <c r="F602">
        <v>0</v>
      </c>
      <c r="G602">
        <v>14870</v>
      </c>
      <c r="H602">
        <v>0</v>
      </c>
      <c r="I602">
        <v>0</v>
      </c>
    </row>
    <row r="603" spans="1:9" x14ac:dyDescent="0.25">
      <c r="A603">
        <v>41</v>
      </c>
      <c r="B603">
        <v>0</v>
      </c>
      <c r="C603">
        <v>20</v>
      </c>
      <c r="D603">
        <v>6</v>
      </c>
      <c r="E603">
        <v>0</v>
      </c>
      <c r="F603">
        <v>0</v>
      </c>
      <c r="G603">
        <v>57293</v>
      </c>
      <c r="H603">
        <v>0</v>
      </c>
      <c r="I603">
        <v>0</v>
      </c>
    </row>
    <row r="604" spans="1:9" x14ac:dyDescent="0.25">
      <c r="A604">
        <v>30</v>
      </c>
      <c r="B604">
        <v>1</v>
      </c>
      <c r="C604">
        <v>2</v>
      </c>
      <c r="D604">
        <v>4</v>
      </c>
      <c r="E604">
        <v>0</v>
      </c>
      <c r="F604">
        <v>0</v>
      </c>
      <c r="G604">
        <v>4803</v>
      </c>
      <c r="H604">
        <v>0</v>
      </c>
      <c r="I604">
        <v>0</v>
      </c>
    </row>
    <row r="605" spans="1:9" x14ac:dyDescent="0.25">
      <c r="A605">
        <v>30</v>
      </c>
      <c r="B605">
        <v>0</v>
      </c>
      <c r="C605">
        <v>3</v>
      </c>
      <c r="D605">
        <v>3</v>
      </c>
      <c r="E605">
        <v>1</v>
      </c>
      <c r="F605">
        <v>0</v>
      </c>
      <c r="G605">
        <v>8325</v>
      </c>
      <c r="H605">
        <v>0</v>
      </c>
      <c r="I605">
        <v>0</v>
      </c>
    </row>
    <row r="606" spans="1:9" x14ac:dyDescent="0.25">
      <c r="A606">
        <v>29</v>
      </c>
      <c r="B606">
        <v>1</v>
      </c>
      <c r="C606">
        <v>7</v>
      </c>
      <c r="D606">
        <v>3</v>
      </c>
      <c r="E606">
        <v>0</v>
      </c>
      <c r="F606">
        <v>0</v>
      </c>
      <c r="G606">
        <v>12171</v>
      </c>
      <c r="H606">
        <v>0</v>
      </c>
      <c r="I606">
        <v>0</v>
      </c>
    </row>
    <row r="607" spans="1:9" x14ac:dyDescent="0.25">
      <c r="A607">
        <v>29</v>
      </c>
      <c r="B607">
        <v>0</v>
      </c>
      <c r="C607">
        <v>7</v>
      </c>
      <c r="D607">
        <v>2</v>
      </c>
      <c r="E607">
        <v>0</v>
      </c>
      <c r="F607">
        <v>0</v>
      </c>
      <c r="G607">
        <v>9165</v>
      </c>
      <c r="H607">
        <v>0</v>
      </c>
      <c r="I607">
        <v>0</v>
      </c>
    </row>
    <row r="608" spans="1:9" x14ac:dyDescent="0.25">
      <c r="A608">
        <v>29</v>
      </c>
      <c r="B608">
        <v>1</v>
      </c>
      <c r="C608">
        <v>0</v>
      </c>
      <c r="D608">
        <v>2</v>
      </c>
      <c r="E608">
        <v>0</v>
      </c>
      <c r="F608">
        <v>0</v>
      </c>
      <c r="G608">
        <v>4253</v>
      </c>
      <c r="H608">
        <v>0</v>
      </c>
      <c r="I608">
        <v>0</v>
      </c>
    </row>
    <row r="609" spans="1:9" x14ac:dyDescent="0.25">
      <c r="A609">
        <v>29</v>
      </c>
      <c r="B609">
        <v>1</v>
      </c>
      <c r="C609">
        <v>5</v>
      </c>
      <c r="D609">
        <v>2</v>
      </c>
      <c r="E609">
        <v>0</v>
      </c>
      <c r="F609">
        <v>0</v>
      </c>
      <c r="G609">
        <v>6763</v>
      </c>
      <c r="H609">
        <v>0</v>
      </c>
      <c r="I609">
        <v>0</v>
      </c>
    </row>
    <row r="610" spans="1:9" x14ac:dyDescent="0.25">
      <c r="A610">
        <v>25</v>
      </c>
      <c r="B610">
        <v>1</v>
      </c>
      <c r="C610">
        <v>7</v>
      </c>
      <c r="D610">
        <v>5</v>
      </c>
      <c r="E610">
        <v>0</v>
      </c>
      <c r="F610">
        <v>0</v>
      </c>
      <c r="G610">
        <v>33881</v>
      </c>
      <c r="H610">
        <v>0</v>
      </c>
      <c r="I610">
        <v>0</v>
      </c>
    </row>
    <row r="611" spans="1:9" x14ac:dyDescent="0.25">
      <c r="A611">
        <v>23</v>
      </c>
      <c r="B611">
        <v>1</v>
      </c>
      <c r="C611">
        <v>7</v>
      </c>
      <c r="D611">
        <v>3</v>
      </c>
      <c r="E611">
        <v>1</v>
      </c>
      <c r="F611">
        <v>0</v>
      </c>
      <c r="G611">
        <v>72938</v>
      </c>
      <c r="H611">
        <v>0</v>
      </c>
      <c r="I611">
        <v>0</v>
      </c>
    </row>
    <row r="612" spans="1:9" x14ac:dyDescent="0.25">
      <c r="A612">
        <v>21</v>
      </c>
      <c r="B612">
        <v>1</v>
      </c>
      <c r="C612">
        <v>3</v>
      </c>
      <c r="D612">
        <v>0</v>
      </c>
      <c r="E612">
        <v>1</v>
      </c>
      <c r="F612">
        <v>0</v>
      </c>
      <c r="G612">
        <v>15055</v>
      </c>
      <c r="H612">
        <v>1</v>
      </c>
      <c r="I612">
        <v>0</v>
      </c>
    </row>
    <row r="613" spans="1:9" x14ac:dyDescent="0.25">
      <c r="A613">
        <v>21</v>
      </c>
      <c r="B613">
        <v>1</v>
      </c>
      <c r="C613">
        <v>3</v>
      </c>
      <c r="D613">
        <v>0</v>
      </c>
      <c r="E613">
        <v>1</v>
      </c>
      <c r="F613">
        <v>0</v>
      </c>
      <c r="G613">
        <v>13492</v>
      </c>
      <c r="H613">
        <v>1</v>
      </c>
      <c r="I613">
        <v>0</v>
      </c>
    </row>
    <row r="614" spans="1:9" x14ac:dyDescent="0.25">
      <c r="A614">
        <v>21</v>
      </c>
      <c r="B614">
        <v>1</v>
      </c>
      <c r="C614">
        <v>3</v>
      </c>
      <c r="D614">
        <v>0</v>
      </c>
      <c r="E614">
        <v>1</v>
      </c>
      <c r="F614">
        <v>0</v>
      </c>
      <c r="G614">
        <v>14350</v>
      </c>
      <c r="H614">
        <v>1</v>
      </c>
      <c r="I614">
        <v>0</v>
      </c>
    </row>
    <row r="615" spans="1:9" x14ac:dyDescent="0.25">
      <c r="A615">
        <v>21</v>
      </c>
      <c r="B615">
        <v>1</v>
      </c>
      <c r="C615">
        <v>4</v>
      </c>
      <c r="D615">
        <v>0</v>
      </c>
      <c r="E615">
        <v>2</v>
      </c>
      <c r="F615">
        <v>0</v>
      </c>
      <c r="G615">
        <v>13604</v>
      </c>
      <c r="H615">
        <v>1</v>
      </c>
      <c r="I615">
        <v>0</v>
      </c>
    </row>
    <row r="616" spans="1:9" x14ac:dyDescent="0.25">
      <c r="A616">
        <v>21</v>
      </c>
      <c r="B616">
        <v>1</v>
      </c>
      <c r="C616">
        <v>3</v>
      </c>
      <c r="D616">
        <v>0</v>
      </c>
      <c r="E616">
        <v>1</v>
      </c>
      <c r="F616">
        <v>0</v>
      </c>
      <c r="G616">
        <v>12034</v>
      </c>
      <c r="H616">
        <v>1</v>
      </c>
      <c r="I616">
        <v>0</v>
      </c>
    </row>
    <row r="617" spans="1:9" x14ac:dyDescent="0.25">
      <c r="A617">
        <v>20</v>
      </c>
      <c r="B617">
        <v>1</v>
      </c>
      <c r="C617">
        <v>3</v>
      </c>
      <c r="D617">
        <v>6</v>
      </c>
      <c r="E617">
        <v>0</v>
      </c>
      <c r="F617">
        <v>0</v>
      </c>
      <c r="G617">
        <v>4863</v>
      </c>
      <c r="H617">
        <v>0</v>
      </c>
      <c r="I617">
        <v>0</v>
      </c>
    </row>
    <row r="618" spans="1:9" x14ac:dyDescent="0.25">
      <c r="A618">
        <v>20</v>
      </c>
      <c r="B618">
        <v>1</v>
      </c>
      <c r="C618">
        <v>2</v>
      </c>
      <c r="D618">
        <v>0</v>
      </c>
      <c r="E618">
        <v>1</v>
      </c>
      <c r="F618">
        <v>0</v>
      </c>
      <c r="G618">
        <v>4780</v>
      </c>
      <c r="H618">
        <v>0</v>
      </c>
      <c r="I618">
        <v>0</v>
      </c>
    </row>
    <row r="619" spans="1:9" x14ac:dyDescent="0.25">
      <c r="A619">
        <v>20</v>
      </c>
      <c r="B619">
        <v>1</v>
      </c>
      <c r="C619">
        <v>2</v>
      </c>
      <c r="D619">
        <v>0</v>
      </c>
      <c r="E619">
        <v>3</v>
      </c>
      <c r="F619">
        <v>0</v>
      </c>
      <c r="G619">
        <v>5476</v>
      </c>
      <c r="H619">
        <v>0</v>
      </c>
      <c r="I619">
        <v>0</v>
      </c>
    </row>
    <row r="620" spans="1:9" x14ac:dyDescent="0.25">
      <c r="A620">
        <v>20</v>
      </c>
      <c r="B620">
        <v>0</v>
      </c>
      <c r="C620">
        <v>2</v>
      </c>
      <c r="D620">
        <v>1</v>
      </c>
      <c r="E620">
        <v>0</v>
      </c>
      <c r="F620">
        <v>0</v>
      </c>
      <c r="G620">
        <v>9382</v>
      </c>
      <c r="H620">
        <v>0</v>
      </c>
      <c r="I620">
        <v>0</v>
      </c>
    </row>
    <row r="621" spans="1:9" x14ac:dyDescent="0.25">
      <c r="A621">
        <v>20</v>
      </c>
      <c r="B621">
        <v>1</v>
      </c>
      <c r="C621">
        <v>2</v>
      </c>
      <c r="D621">
        <v>0</v>
      </c>
      <c r="E621">
        <v>1</v>
      </c>
      <c r="F621">
        <v>0</v>
      </c>
      <c r="G621">
        <v>5365</v>
      </c>
      <c r="H621">
        <v>0</v>
      </c>
      <c r="I621">
        <v>0</v>
      </c>
    </row>
    <row r="622" spans="1:9" x14ac:dyDescent="0.25">
      <c r="A622">
        <v>20</v>
      </c>
      <c r="B622">
        <v>1</v>
      </c>
      <c r="C622">
        <v>3</v>
      </c>
      <c r="D622">
        <v>0</v>
      </c>
      <c r="E622">
        <v>4</v>
      </c>
      <c r="F622">
        <v>0</v>
      </c>
      <c r="G622">
        <v>10686</v>
      </c>
      <c r="H622">
        <v>0</v>
      </c>
      <c r="I622">
        <v>0</v>
      </c>
    </row>
    <row r="623" spans="1:9" x14ac:dyDescent="0.25">
      <c r="A623">
        <v>20</v>
      </c>
      <c r="B623">
        <v>1</v>
      </c>
      <c r="C623">
        <v>3</v>
      </c>
      <c r="D623">
        <v>0</v>
      </c>
      <c r="E623">
        <v>3</v>
      </c>
      <c r="F623">
        <v>0</v>
      </c>
      <c r="G623">
        <v>11933</v>
      </c>
      <c r="H623">
        <v>0</v>
      </c>
      <c r="I623">
        <v>0</v>
      </c>
    </row>
    <row r="624" spans="1:9" x14ac:dyDescent="0.25">
      <c r="A624">
        <v>20</v>
      </c>
      <c r="B624">
        <v>1</v>
      </c>
      <c r="C624">
        <v>4</v>
      </c>
      <c r="D624">
        <v>1</v>
      </c>
      <c r="E624">
        <v>1</v>
      </c>
      <c r="F624">
        <v>0</v>
      </c>
      <c r="G624">
        <v>12742</v>
      </c>
      <c r="H624">
        <v>1</v>
      </c>
      <c r="I624">
        <v>0</v>
      </c>
    </row>
    <row r="625" spans="1:9" x14ac:dyDescent="0.25">
      <c r="A625">
        <v>20</v>
      </c>
      <c r="B625">
        <v>1</v>
      </c>
      <c r="C625">
        <v>3</v>
      </c>
      <c r="D625">
        <v>1</v>
      </c>
      <c r="E625">
        <v>1</v>
      </c>
      <c r="F625">
        <v>0</v>
      </c>
      <c r="G625">
        <v>8330</v>
      </c>
      <c r="H625">
        <v>1</v>
      </c>
      <c r="I625">
        <v>0</v>
      </c>
    </row>
    <row r="626" spans="1:9" x14ac:dyDescent="0.25">
      <c r="A626">
        <v>19</v>
      </c>
      <c r="B626">
        <v>0</v>
      </c>
      <c r="C626">
        <v>7</v>
      </c>
      <c r="D626">
        <v>3</v>
      </c>
      <c r="E626">
        <v>0</v>
      </c>
      <c r="F626">
        <v>0</v>
      </c>
      <c r="G626">
        <v>12674</v>
      </c>
      <c r="H626">
        <v>0</v>
      </c>
      <c r="I626">
        <v>0</v>
      </c>
    </row>
    <row r="627" spans="1:9" x14ac:dyDescent="0.25">
      <c r="A627">
        <v>19</v>
      </c>
      <c r="B627">
        <v>0</v>
      </c>
      <c r="C627">
        <v>7</v>
      </c>
      <c r="D627">
        <v>4</v>
      </c>
      <c r="E627">
        <v>0</v>
      </c>
      <c r="F627">
        <v>0</v>
      </c>
      <c r="G627">
        <v>9629</v>
      </c>
      <c r="H627">
        <v>0</v>
      </c>
      <c r="I627">
        <v>0</v>
      </c>
    </row>
    <row r="628" spans="1:9" x14ac:dyDescent="0.25">
      <c r="A628">
        <v>19</v>
      </c>
      <c r="B628">
        <v>1</v>
      </c>
      <c r="C628">
        <v>17</v>
      </c>
      <c r="D628">
        <v>0</v>
      </c>
      <c r="E628">
        <v>3</v>
      </c>
      <c r="F628">
        <v>0</v>
      </c>
      <c r="G628">
        <v>52377</v>
      </c>
      <c r="H628">
        <v>0</v>
      </c>
      <c r="I628">
        <v>0</v>
      </c>
    </row>
    <row r="629" spans="1:9" x14ac:dyDescent="0.25">
      <c r="A629">
        <v>19</v>
      </c>
      <c r="B629">
        <v>1</v>
      </c>
      <c r="C629">
        <v>3</v>
      </c>
      <c r="D629">
        <v>1</v>
      </c>
      <c r="E629">
        <v>4</v>
      </c>
      <c r="F629">
        <v>0</v>
      </c>
      <c r="G629">
        <v>7965</v>
      </c>
      <c r="H629">
        <v>0</v>
      </c>
      <c r="I629">
        <v>0</v>
      </c>
    </row>
    <row r="630" spans="1:9" x14ac:dyDescent="0.25">
      <c r="A630">
        <v>19</v>
      </c>
      <c r="B630">
        <v>1</v>
      </c>
      <c r="C630">
        <v>18</v>
      </c>
      <c r="D630">
        <v>1</v>
      </c>
      <c r="E630">
        <v>0</v>
      </c>
      <c r="F630">
        <v>0</v>
      </c>
      <c r="G630">
        <v>28996</v>
      </c>
      <c r="H630">
        <v>0</v>
      </c>
      <c r="I630">
        <v>0</v>
      </c>
    </row>
    <row r="631" spans="1:9" x14ac:dyDescent="0.25">
      <c r="A631">
        <v>19</v>
      </c>
      <c r="B631">
        <v>1</v>
      </c>
      <c r="C631">
        <v>2</v>
      </c>
      <c r="D631">
        <v>0</v>
      </c>
      <c r="E631">
        <v>2</v>
      </c>
      <c r="F631">
        <v>0</v>
      </c>
      <c r="G631">
        <v>7290</v>
      </c>
      <c r="H631">
        <v>0</v>
      </c>
      <c r="I631">
        <v>0</v>
      </c>
    </row>
    <row r="632" spans="1:9" x14ac:dyDescent="0.25">
      <c r="A632">
        <v>19</v>
      </c>
      <c r="B632">
        <v>1</v>
      </c>
      <c r="C632">
        <v>2</v>
      </c>
      <c r="D632">
        <v>0</v>
      </c>
      <c r="E632">
        <v>2</v>
      </c>
      <c r="F632">
        <v>0</v>
      </c>
      <c r="G632">
        <v>7744</v>
      </c>
      <c r="H632">
        <v>0</v>
      </c>
      <c r="I632">
        <v>0</v>
      </c>
    </row>
    <row r="633" spans="1:9" x14ac:dyDescent="0.25">
      <c r="A633">
        <v>19</v>
      </c>
      <c r="B633">
        <v>1</v>
      </c>
      <c r="C633">
        <v>4</v>
      </c>
      <c r="D633">
        <v>0</v>
      </c>
      <c r="E633">
        <v>3</v>
      </c>
      <c r="F633">
        <v>0</v>
      </c>
      <c r="G633">
        <v>17690</v>
      </c>
      <c r="H633">
        <v>1</v>
      </c>
      <c r="I633">
        <v>0</v>
      </c>
    </row>
    <row r="634" spans="1:9" x14ac:dyDescent="0.25">
      <c r="A634">
        <v>19</v>
      </c>
      <c r="B634">
        <v>1</v>
      </c>
      <c r="C634">
        <v>4</v>
      </c>
      <c r="D634">
        <v>0</v>
      </c>
      <c r="E634">
        <v>1</v>
      </c>
      <c r="F634">
        <v>0</v>
      </c>
      <c r="G634">
        <v>18616</v>
      </c>
      <c r="H634">
        <v>1</v>
      </c>
      <c r="I634">
        <v>0</v>
      </c>
    </row>
    <row r="635" spans="1:9" x14ac:dyDescent="0.25">
      <c r="A635">
        <v>17</v>
      </c>
      <c r="B635">
        <v>1</v>
      </c>
      <c r="C635">
        <v>3</v>
      </c>
      <c r="D635">
        <v>3</v>
      </c>
      <c r="E635">
        <v>0</v>
      </c>
      <c r="F635">
        <v>0</v>
      </c>
      <c r="G635">
        <v>2201</v>
      </c>
      <c r="H635">
        <v>0</v>
      </c>
      <c r="I635">
        <v>0</v>
      </c>
    </row>
    <row r="636" spans="1:9" x14ac:dyDescent="0.25">
      <c r="A636">
        <v>0</v>
      </c>
      <c r="B636">
        <v>0</v>
      </c>
      <c r="C636">
        <v>2</v>
      </c>
      <c r="D636">
        <v>0</v>
      </c>
      <c r="E636">
        <v>0</v>
      </c>
      <c r="F636">
        <v>0</v>
      </c>
      <c r="G636">
        <v>1216</v>
      </c>
      <c r="H636">
        <v>0</v>
      </c>
      <c r="I636">
        <v>0</v>
      </c>
    </row>
    <row r="637" spans="1:9" x14ac:dyDescent="0.25">
      <c r="A637">
        <v>0</v>
      </c>
      <c r="B637">
        <v>1</v>
      </c>
      <c r="C637">
        <v>2</v>
      </c>
      <c r="D637">
        <v>0</v>
      </c>
      <c r="E637">
        <v>0</v>
      </c>
      <c r="F637">
        <v>0</v>
      </c>
      <c r="G637">
        <v>1279</v>
      </c>
      <c r="H637">
        <v>0</v>
      </c>
      <c r="I637">
        <v>0</v>
      </c>
    </row>
    <row r="638" spans="1:9" x14ac:dyDescent="0.25">
      <c r="A638">
        <v>0</v>
      </c>
      <c r="B638">
        <v>1</v>
      </c>
      <c r="C638">
        <v>2</v>
      </c>
      <c r="D638">
        <v>0</v>
      </c>
      <c r="E638">
        <v>0</v>
      </c>
      <c r="F638">
        <v>0</v>
      </c>
      <c r="G638">
        <v>1434</v>
      </c>
      <c r="H638">
        <v>0</v>
      </c>
      <c r="I638">
        <v>0</v>
      </c>
    </row>
    <row r="639" spans="1:9" x14ac:dyDescent="0.25">
      <c r="A639">
        <v>0</v>
      </c>
      <c r="B639">
        <v>0</v>
      </c>
      <c r="C639">
        <v>3</v>
      </c>
      <c r="D639">
        <v>0</v>
      </c>
      <c r="E639">
        <v>0</v>
      </c>
      <c r="F639">
        <v>0</v>
      </c>
      <c r="G639">
        <v>1614</v>
      </c>
      <c r="H639">
        <v>0</v>
      </c>
      <c r="I639">
        <v>0</v>
      </c>
    </row>
    <row r="640" spans="1:9" x14ac:dyDescent="0.25">
      <c r="A640">
        <v>0</v>
      </c>
      <c r="B640">
        <v>0</v>
      </c>
      <c r="C640">
        <v>2</v>
      </c>
      <c r="D640">
        <v>0</v>
      </c>
      <c r="E640">
        <v>0</v>
      </c>
      <c r="F640">
        <v>0</v>
      </c>
      <c r="G640">
        <v>1463</v>
      </c>
      <c r="H640">
        <v>0</v>
      </c>
      <c r="I640">
        <v>0</v>
      </c>
    </row>
    <row r="641" spans="1:9" x14ac:dyDescent="0.25">
      <c r="A641">
        <v>0</v>
      </c>
      <c r="B641">
        <v>1</v>
      </c>
      <c r="C641">
        <v>1</v>
      </c>
      <c r="D641">
        <v>0</v>
      </c>
      <c r="E641">
        <v>0</v>
      </c>
      <c r="F641">
        <v>0</v>
      </c>
      <c r="G641">
        <v>622</v>
      </c>
      <c r="H641">
        <v>0</v>
      </c>
      <c r="I641">
        <v>0</v>
      </c>
    </row>
    <row r="642" spans="1:9" x14ac:dyDescent="0.25">
      <c r="A642">
        <v>0</v>
      </c>
      <c r="B642">
        <v>1</v>
      </c>
      <c r="C642">
        <v>3</v>
      </c>
      <c r="D642">
        <v>0</v>
      </c>
      <c r="E642">
        <v>0</v>
      </c>
      <c r="F642">
        <v>0</v>
      </c>
      <c r="G642">
        <v>1943</v>
      </c>
      <c r="H642">
        <v>0</v>
      </c>
      <c r="I642">
        <v>0</v>
      </c>
    </row>
    <row r="643" spans="1:9" x14ac:dyDescent="0.25">
      <c r="A643">
        <v>0</v>
      </c>
      <c r="B643">
        <v>0</v>
      </c>
      <c r="C643">
        <v>1</v>
      </c>
      <c r="D643">
        <v>0</v>
      </c>
      <c r="E643">
        <v>0</v>
      </c>
      <c r="F643">
        <v>0</v>
      </c>
      <c r="G643">
        <v>1435</v>
      </c>
      <c r="H643">
        <v>0</v>
      </c>
      <c r="I643">
        <v>0</v>
      </c>
    </row>
    <row r="644" spans="1:9" x14ac:dyDescent="0.25">
      <c r="A644">
        <v>0</v>
      </c>
      <c r="B644">
        <v>1</v>
      </c>
      <c r="C644">
        <v>2</v>
      </c>
      <c r="D644">
        <v>0</v>
      </c>
      <c r="E644">
        <v>0</v>
      </c>
      <c r="F644">
        <v>0</v>
      </c>
      <c r="G644">
        <v>1191</v>
      </c>
      <c r="H644">
        <v>0</v>
      </c>
      <c r="I644">
        <v>0</v>
      </c>
    </row>
    <row r="645" spans="1:9" x14ac:dyDescent="0.25">
      <c r="A645">
        <v>0</v>
      </c>
      <c r="B645">
        <v>0</v>
      </c>
      <c r="C645">
        <v>3</v>
      </c>
      <c r="D645">
        <v>0</v>
      </c>
      <c r="E645">
        <v>0</v>
      </c>
      <c r="F645">
        <v>0</v>
      </c>
      <c r="G645">
        <v>1468</v>
      </c>
      <c r="H645">
        <v>0</v>
      </c>
      <c r="I645">
        <v>0</v>
      </c>
    </row>
    <row r="646" spans="1:9" x14ac:dyDescent="0.25">
      <c r="A646">
        <v>0</v>
      </c>
      <c r="B646">
        <v>1</v>
      </c>
      <c r="C646">
        <v>3</v>
      </c>
      <c r="D646">
        <v>0</v>
      </c>
      <c r="E646">
        <v>0</v>
      </c>
      <c r="F646">
        <v>0</v>
      </c>
      <c r="G646">
        <v>1614</v>
      </c>
      <c r="H646">
        <v>0</v>
      </c>
      <c r="I646">
        <v>0</v>
      </c>
    </row>
    <row r="647" spans="1:9" x14ac:dyDescent="0.25">
      <c r="A647">
        <v>0</v>
      </c>
      <c r="B647">
        <v>0</v>
      </c>
      <c r="C647">
        <v>2</v>
      </c>
      <c r="D647">
        <v>0</v>
      </c>
      <c r="E647">
        <v>0</v>
      </c>
      <c r="F647">
        <v>0</v>
      </c>
      <c r="G647">
        <v>1463</v>
      </c>
      <c r="H647">
        <v>0</v>
      </c>
      <c r="I647">
        <v>0</v>
      </c>
    </row>
    <row r="648" spans="1:9" x14ac:dyDescent="0.25">
      <c r="A648">
        <v>0</v>
      </c>
      <c r="B648">
        <v>1</v>
      </c>
      <c r="C648">
        <v>2</v>
      </c>
      <c r="D648">
        <v>0</v>
      </c>
      <c r="E648">
        <v>0</v>
      </c>
      <c r="F648">
        <v>0</v>
      </c>
      <c r="G648">
        <v>1070</v>
      </c>
      <c r="H648">
        <v>0</v>
      </c>
      <c r="I648">
        <v>0</v>
      </c>
    </row>
    <row r="649" spans="1:9" x14ac:dyDescent="0.25">
      <c r="A649">
        <v>0</v>
      </c>
      <c r="B649">
        <v>1</v>
      </c>
      <c r="C649">
        <v>2</v>
      </c>
      <c r="D649">
        <v>0</v>
      </c>
      <c r="E649">
        <v>0</v>
      </c>
      <c r="F649">
        <v>0</v>
      </c>
      <c r="G649">
        <v>1191</v>
      </c>
      <c r="H649">
        <v>0</v>
      </c>
      <c r="I649">
        <v>0</v>
      </c>
    </row>
    <row r="650" spans="1:9" x14ac:dyDescent="0.25">
      <c r="A650">
        <v>0</v>
      </c>
      <c r="B650">
        <v>0</v>
      </c>
      <c r="C650">
        <v>1</v>
      </c>
      <c r="D650">
        <v>0</v>
      </c>
      <c r="E650">
        <v>0</v>
      </c>
      <c r="F650">
        <v>0</v>
      </c>
      <c r="G650">
        <v>622</v>
      </c>
      <c r="H650">
        <v>0</v>
      </c>
      <c r="I650">
        <v>0</v>
      </c>
    </row>
    <row r="651" spans="1:9" x14ac:dyDescent="0.25">
      <c r="A651">
        <v>0</v>
      </c>
      <c r="B651">
        <v>0</v>
      </c>
      <c r="C651">
        <v>2</v>
      </c>
      <c r="D651">
        <v>0</v>
      </c>
      <c r="E651">
        <v>0</v>
      </c>
      <c r="F651">
        <v>0</v>
      </c>
      <c r="G651">
        <v>1463</v>
      </c>
      <c r="H651">
        <v>0</v>
      </c>
      <c r="I651">
        <v>0</v>
      </c>
    </row>
    <row r="652" spans="1:9" x14ac:dyDescent="0.25">
      <c r="A652">
        <v>0</v>
      </c>
      <c r="B652">
        <v>1</v>
      </c>
      <c r="C652">
        <v>4</v>
      </c>
      <c r="D652">
        <v>0</v>
      </c>
      <c r="E652">
        <v>0</v>
      </c>
      <c r="F652">
        <v>0</v>
      </c>
      <c r="G652">
        <v>1891</v>
      </c>
      <c r="H652">
        <v>0</v>
      </c>
      <c r="I652">
        <v>0</v>
      </c>
    </row>
    <row r="653" spans="1:9" x14ac:dyDescent="0.25">
      <c r="A653">
        <v>0</v>
      </c>
      <c r="B653">
        <v>1</v>
      </c>
      <c r="C653">
        <v>2</v>
      </c>
      <c r="D653">
        <v>0</v>
      </c>
      <c r="E653">
        <v>0</v>
      </c>
      <c r="F653">
        <v>0</v>
      </c>
      <c r="G653">
        <v>1309</v>
      </c>
      <c r="H653">
        <v>0</v>
      </c>
      <c r="I653">
        <v>0</v>
      </c>
    </row>
    <row r="654" spans="1:9" x14ac:dyDescent="0.25">
      <c r="A654">
        <v>0</v>
      </c>
      <c r="B654">
        <v>0</v>
      </c>
      <c r="C654">
        <v>2</v>
      </c>
      <c r="D654">
        <v>0</v>
      </c>
      <c r="E654">
        <v>1</v>
      </c>
      <c r="F654">
        <v>0</v>
      </c>
      <c r="G654">
        <v>2649</v>
      </c>
      <c r="H654">
        <v>1</v>
      </c>
      <c r="I654">
        <v>0</v>
      </c>
    </row>
    <row r="655" spans="1:9" x14ac:dyDescent="0.25">
      <c r="A655">
        <v>0</v>
      </c>
      <c r="B655">
        <v>0</v>
      </c>
      <c r="C655">
        <v>2</v>
      </c>
      <c r="D655">
        <v>0</v>
      </c>
      <c r="E655">
        <v>1</v>
      </c>
      <c r="F655">
        <v>0</v>
      </c>
      <c r="G655">
        <v>1369</v>
      </c>
      <c r="H655">
        <v>1</v>
      </c>
      <c r="I655">
        <v>0</v>
      </c>
    </row>
    <row r="656" spans="1:9" x14ac:dyDescent="0.25">
      <c r="A656">
        <v>0</v>
      </c>
      <c r="B656">
        <v>0</v>
      </c>
      <c r="C656">
        <v>2</v>
      </c>
      <c r="D656">
        <v>0</v>
      </c>
      <c r="E656">
        <v>1</v>
      </c>
      <c r="F656">
        <v>0</v>
      </c>
      <c r="G656">
        <v>1245</v>
      </c>
      <c r="H656">
        <v>1</v>
      </c>
      <c r="I656">
        <v>0</v>
      </c>
    </row>
    <row r="657" spans="1:9" x14ac:dyDescent="0.25">
      <c r="A657">
        <v>0</v>
      </c>
      <c r="B657">
        <v>0</v>
      </c>
      <c r="C657">
        <v>3</v>
      </c>
      <c r="D657">
        <v>0</v>
      </c>
      <c r="E657">
        <v>1</v>
      </c>
      <c r="F657">
        <v>0</v>
      </c>
      <c r="G657">
        <v>2039</v>
      </c>
      <c r="H657">
        <v>1</v>
      </c>
      <c r="I657">
        <v>0</v>
      </c>
    </row>
    <row r="658" spans="1:9" x14ac:dyDescent="0.25">
      <c r="A658">
        <v>0</v>
      </c>
      <c r="B658">
        <v>0</v>
      </c>
      <c r="C658">
        <v>2</v>
      </c>
      <c r="D658">
        <v>0</v>
      </c>
      <c r="E658">
        <v>1</v>
      </c>
      <c r="F658">
        <v>0</v>
      </c>
      <c r="G658">
        <v>1391</v>
      </c>
      <c r="H658">
        <v>1</v>
      </c>
      <c r="I658">
        <v>0</v>
      </c>
    </row>
    <row r="659" spans="1:9" x14ac:dyDescent="0.25">
      <c r="A659">
        <v>0</v>
      </c>
      <c r="B659">
        <v>0</v>
      </c>
      <c r="C659">
        <v>2</v>
      </c>
      <c r="D659">
        <v>0</v>
      </c>
      <c r="E659">
        <v>1</v>
      </c>
      <c r="F659">
        <v>0</v>
      </c>
      <c r="G659">
        <v>1667</v>
      </c>
      <c r="H659">
        <v>1</v>
      </c>
      <c r="I659">
        <v>0</v>
      </c>
    </row>
    <row r="660" spans="1:9" x14ac:dyDescent="0.25">
      <c r="A660">
        <v>0</v>
      </c>
      <c r="B660">
        <v>0</v>
      </c>
      <c r="C660">
        <v>3</v>
      </c>
      <c r="D660">
        <v>0</v>
      </c>
      <c r="E660">
        <v>1</v>
      </c>
      <c r="F660">
        <v>0</v>
      </c>
      <c r="G660">
        <v>1893</v>
      </c>
      <c r="H660">
        <v>1</v>
      </c>
      <c r="I660">
        <v>0</v>
      </c>
    </row>
    <row r="661" spans="1:9" x14ac:dyDescent="0.25">
      <c r="A661">
        <v>0</v>
      </c>
      <c r="B661">
        <v>0</v>
      </c>
      <c r="C661">
        <v>2</v>
      </c>
      <c r="D661">
        <v>1</v>
      </c>
      <c r="E661">
        <v>1</v>
      </c>
      <c r="F661">
        <v>0</v>
      </c>
      <c r="G661">
        <v>1391</v>
      </c>
      <c r="H661">
        <v>1</v>
      </c>
      <c r="I661">
        <v>0</v>
      </c>
    </row>
    <row r="662" spans="1:9" x14ac:dyDescent="0.25">
      <c r="A662">
        <v>0</v>
      </c>
      <c r="B662">
        <v>0</v>
      </c>
      <c r="C662">
        <v>2</v>
      </c>
      <c r="D662">
        <v>0</v>
      </c>
      <c r="E662">
        <v>1</v>
      </c>
      <c r="F662">
        <v>0</v>
      </c>
      <c r="G662">
        <v>1879</v>
      </c>
      <c r="H662">
        <v>1</v>
      </c>
      <c r="I662">
        <v>0</v>
      </c>
    </row>
    <row r="663" spans="1:9" x14ac:dyDescent="0.25">
      <c r="A663">
        <v>0</v>
      </c>
      <c r="B663">
        <v>0</v>
      </c>
      <c r="C663">
        <v>18</v>
      </c>
      <c r="D663">
        <v>0</v>
      </c>
      <c r="E663">
        <v>6</v>
      </c>
      <c r="F663">
        <v>0</v>
      </c>
      <c r="G663">
        <v>45924</v>
      </c>
      <c r="H663">
        <v>1</v>
      </c>
      <c r="I663">
        <v>0</v>
      </c>
    </row>
    <row r="664" spans="1:9" x14ac:dyDescent="0.25">
      <c r="A664">
        <v>101</v>
      </c>
      <c r="B664">
        <v>1</v>
      </c>
      <c r="C664">
        <v>3</v>
      </c>
      <c r="D664">
        <v>3</v>
      </c>
      <c r="E664">
        <v>0</v>
      </c>
      <c r="F664">
        <v>0</v>
      </c>
      <c r="G664">
        <v>8495</v>
      </c>
      <c r="H664">
        <v>0</v>
      </c>
      <c r="I664">
        <v>0</v>
      </c>
    </row>
    <row r="665" spans="1:9" x14ac:dyDescent="0.25">
      <c r="A665">
        <v>92</v>
      </c>
      <c r="B665">
        <v>0</v>
      </c>
      <c r="C665">
        <v>2</v>
      </c>
      <c r="D665">
        <v>3</v>
      </c>
      <c r="E665">
        <v>0</v>
      </c>
      <c r="F665">
        <v>0</v>
      </c>
      <c r="G665">
        <v>9689</v>
      </c>
      <c r="H665">
        <v>0</v>
      </c>
      <c r="I665">
        <v>0</v>
      </c>
    </row>
    <row r="666" spans="1:9" x14ac:dyDescent="0.25">
      <c r="A666">
        <v>92</v>
      </c>
      <c r="B666">
        <v>1</v>
      </c>
      <c r="C666">
        <v>3</v>
      </c>
      <c r="D666">
        <v>5</v>
      </c>
      <c r="E666">
        <v>0</v>
      </c>
      <c r="F666">
        <v>0</v>
      </c>
      <c r="G666">
        <v>7757</v>
      </c>
      <c r="H666">
        <v>0</v>
      </c>
      <c r="I666">
        <v>0</v>
      </c>
    </row>
    <row r="667" spans="1:9" x14ac:dyDescent="0.25">
      <c r="A667">
        <v>92</v>
      </c>
      <c r="B667">
        <v>1</v>
      </c>
      <c r="C667">
        <v>2</v>
      </c>
      <c r="D667">
        <v>4</v>
      </c>
      <c r="E667">
        <v>0</v>
      </c>
      <c r="F667">
        <v>0</v>
      </c>
      <c r="G667">
        <v>7147</v>
      </c>
      <c r="H667">
        <v>0</v>
      </c>
      <c r="I667">
        <v>0</v>
      </c>
    </row>
    <row r="668" spans="1:9" x14ac:dyDescent="0.25">
      <c r="A668">
        <v>92</v>
      </c>
      <c r="B668">
        <v>1</v>
      </c>
      <c r="C668">
        <v>6</v>
      </c>
      <c r="D668">
        <v>2</v>
      </c>
      <c r="E668">
        <v>0</v>
      </c>
      <c r="F668">
        <v>0</v>
      </c>
      <c r="G668">
        <v>24833</v>
      </c>
      <c r="H668">
        <v>0</v>
      </c>
      <c r="I668">
        <v>0</v>
      </c>
    </row>
    <row r="669" spans="1:9" x14ac:dyDescent="0.25">
      <c r="A669">
        <v>90</v>
      </c>
      <c r="B669">
        <v>1</v>
      </c>
      <c r="C669">
        <v>6</v>
      </c>
      <c r="D669">
        <v>2</v>
      </c>
      <c r="E669">
        <v>0</v>
      </c>
      <c r="F669">
        <v>0</v>
      </c>
      <c r="G669">
        <v>17338</v>
      </c>
      <c r="H669">
        <v>0</v>
      </c>
      <c r="I669">
        <v>0</v>
      </c>
    </row>
    <row r="670" spans="1:9" x14ac:dyDescent="0.25">
      <c r="A670">
        <v>90</v>
      </c>
      <c r="B670">
        <v>1</v>
      </c>
      <c r="C670">
        <v>2</v>
      </c>
      <c r="D670">
        <v>2</v>
      </c>
      <c r="E670">
        <v>0</v>
      </c>
      <c r="F670">
        <v>0</v>
      </c>
      <c r="G670">
        <v>11094</v>
      </c>
      <c r="H670">
        <v>0</v>
      </c>
      <c r="I670">
        <v>0</v>
      </c>
    </row>
    <row r="671" spans="1:9" x14ac:dyDescent="0.25">
      <c r="A671">
        <v>90</v>
      </c>
      <c r="B671">
        <v>1</v>
      </c>
      <c r="C671">
        <v>7</v>
      </c>
      <c r="D671">
        <v>4</v>
      </c>
      <c r="E671">
        <v>0</v>
      </c>
      <c r="F671">
        <v>0</v>
      </c>
      <c r="G671">
        <v>21768</v>
      </c>
      <c r="H671">
        <v>0</v>
      </c>
      <c r="I671">
        <v>0</v>
      </c>
    </row>
    <row r="672" spans="1:9" x14ac:dyDescent="0.25">
      <c r="A672">
        <v>90</v>
      </c>
      <c r="B672">
        <v>1</v>
      </c>
      <c r="C672">
        <v>2</v>
      </c>
      <c r="D672">
        <v>1</v>
      </c>
      <c r="E672">
        <v>2</v>
      </c>
      <c r="F672">
        <v>0</v>
      </c>
      <c r="G672">
        <v>9732</v>
      </c>
      <c r="H672">
        <v>0</v>
      </c>
      <c r="I672">
        <v>0</v>
      </c>
    </row>
    <row r="673" spans="1:9" x14ac:dyDescent="0.25">
      <c r="A673">
        <v>90</v>
      </c>
      <c r="B673">
        <v>0</v>
      </c>
      <c r="C673">
        <v>6</v>
      </c>
      <c r="D673">
        <v>3</v>
      </c>
      <c r="E673">
        <v>0</v>
      </c>
      <c r="F673">
        <v>0</v>
      </c>
      <c r="G673">
        <v>9584</v>
      </c>
      <c r="H673">
        <v>0</v>
      </c>
      <c r="I673">
        <v>0</v>
      </c>
    </row>
    <row r="674" spans="1:9" x14ac:dyDescent="0.25">
      <c r="A674">
        <v>90</v>
      </c>
      <c r="B674">
        <v>1</v>
      </c>
      <c r="C674">
        <v>7</v>
      </c>
      <c r="D674">
        <v>2</v>
      </c>
      <c r="E674">
        <v>3</v>
      </c>
      <c r="F674">
        <v>0</v>
      </c>
      <c r="G674">
        <v>32156</v>
      </c>
      <c r="H674">
        <v>1</v>
      </c>
      <c r="I674">
        <v>0</v>
      </c>
    </row>
    <row r="675" spans="1:9" x14ac:dyDescent="0.25">
      <c r="A675">
        <v>90</v>
      </c>
      <c r="B675">
        <v>1</v>
      </c>
      <c r="C675">
        <v>7</v>
      </c>
      <c r="D675">
        <v>4</v>
      </c>
      <c r="E675">
        <v>1</v>
      </c>
      <c r="F675">
        <v>0</v>
      </c>
      <c r="G675">
        <v>49657</v>
      </c>
      <c r="H675">
        <v>1</v>
      </c>
      <c r="I675">
        <v>0</v>
      </c>
    </row>
    <row r="676" spans="1:9" x14ac:dyDescent="0.25">
      <c r="A676">
        <v>89</v>
      </c>
      <c r="B676">
        <v>1</v>
      </c>
      <c r="C676">
        <v>5</v>
      </c>
      <c r="D676">
        <v>5</v>
      </c>
      <c r="E676">
        <v>0</v>
      </c>
      <c r="F676">
        <v>0</v>
      </c>
      <c r="G676">
        <v>14966</v>
      </c>
      <c r="H676">
        <v>0</v>
      </c>
      <c r="I676">
        <v>0</v>
      </c>
    </row>
    <row r="677" spans="1:9" x14ac:dyDescent="0.25">
      <c r="A677">
        <v>88</v>
      </c>
      <c r="B677">
        <v>0</v>
      </c>
      <c r="C677">
        <v>2</v>
      </c>
      <c r="D677">
        <v>7</v>
      </c>
      <c r="E677">
        <v>0</v>
      </c>
      <c r="F677">
        <v>0</v>
      </c>
      <c r="G677">
        <v>6179</v>
      </c>
      <c r="H677">
        <v>0</v>
      </c>
      <c r="I677">
        <v>0</v>
      </c>
    </row>
    <row r="678" spans="1:9" x14ac:dyDescent="0.25">
      <c r="A678">
        <v>88</v>
      </c>
      <c r="B678">
        <v>1</v>
      </c>
      <c r="C678">
        <v>3</v>
      </c>
      <c r="D678">
        <v>3</v>
      </c>
      <c r="E678">
        <v>3</v>
      </c>
      <c r="F678">
        <v>0</v>
      </c>
      <c r="G678">
        <v>41732</v>
      </c>
      <c r="H678">
        <v>1</v>
      </c>
      <c r="I678">
        <v>0</v>
      </c>
    </row>
    <row r="679" spans="1:9" x14ac:dyDescent="0.25">
      <c r="A679">
        <v>88</v>
      </c>
      <c r="B679">
        <v>1</v>
      </c>
      <c r="C679">
        <v>11</v>
      </c>
      <c r="D679">
        <v>3</v>
      </c>
      <c r="E679">
        <v>1</v>
      </c>
      <c r="F679">
        <v>0</v>
      </c>
      <c r="G679">
        <v>51005</v>
      </c>
      <c r="H679">
        <v>1</v>
      </c>
      <c r="I679">
        <v>0</v>
      </c>
    </row>
    <row r="680" spans="1:9" x14ac:dyDescent="0.25">
      <c r="A680">
        <v>88</v>
      </c>
      <c r="B680">
        <v>1</v>
      </c>
      <c r="C680">
        <v>3</v>
      </c>
      <c r="D680">
        <v>2</v>
      </c>
      <c r="E680">
        <v>1</v>
      </c>
      <c r="F680">
        <v>0</v>
      </c>
      <c r="G680">
        <v>11656</v>
      </c>
      <c r="H680">
        <v>1</v>
      </c>
      <c r="I680">
        <v>0</v>
      </c>
    </row>
    <row r="681" spans="1:9" x14ac:dyDescent="0.25">
      <c r="A681">
        <v>88</v>
      </c>
      <c r="B681">
        <v>1</v>
      </c>
      <c r="C681">
        <v>13</v>
      </c>
      <c r="D681">
        <v>2</v>
      </c>
      <c r="E681">
        <v>5</v>
      </c>
      <c r="F681">
        <v>0</v>
      </c>
      <c r="G681">
        <v>72919</v>
      </c>
      <c r="H681">
        <v>1</v>
      </c>
      <c r="I681">
        <v>0</v>
      </c>
    </row>
    <row r="682" spans="1:9" x14ac:dyDescent="0.25">
      <c r="A682">
        <v>88</v>
      </c>
      <c r="B682">
        <v>1</v>
      </c>
      <c r="C682">
        <v>4</v>
      </c>
      <c r="D682">
        <v>2</v>
      </c>
      <c r="E682">
        <v>1</v>
      </c>
      <c r="F682">
        <v>0</v>
      </c>
      <c r="G682">
        <v>46539</v>
      </c>
      <c r="H682">
        <v>1</v>
      </c>
      <c r="I682">
        <v>0</v>
      </c>
    </row>
    <row r="683" spans="1:9" x14ac:dyDescent="0.25">
      <c r="A683">
        <v>88</v>
      </c>
      <c r="B683">
        <v>1</v>
      </c>
      <c r="C683">
        <v>24</v>
      </c>
      <c r="D683">
        <v>0</v>
      </c>
      <c r="E683">
        <v>6</v>
      </c>
      <c r="F683">
        <v>0</v>
      </c>
      <c r="G683">
        <v>66046</v>
      </c>
      <c r="H683">
        <v>1</v>
      </c>
      <c r="I683">
        <v>0</v>
      </c>
    </row>
    <row r="684" spans="1:9" x14ac:dyDescent="0.25">
      <c r="A684">
        <v>87</v>
      </c>
      <c r="B684">
        <v>0</v>
      </c>
      <c r="C684">
        <v>4</v>
      </c>
      <c r="D684">
        <v>8</v>
      </c>
      <c r="E684">
        <v>0</v>
      </c>
      <c r="F684">
        <v>0</v>
      </c>
      <c r="G684">
        <v>17373</v>
      </c>
      <c r="H684">
        <v>0</v>
      </c>
      <c r="I684">
        <v>0</v>
      </c>
    </row>
    <row r="685" spans="1:9" x14ac:dyDescent="0.25">
      <c r="A685">
        <v>87</v>
      </c>
      <c r="B685">
        <v>0</v>
      </c>
      <c r="C685">
        <v>1</v>
      </c>
      <c r="D685">
        <v>4</v>
      </c>
      <c r="E685">
        <v>0</v>
      </c>
      <c r="F685">
        <v>0</v>
      </c>
      <c r="G685">
        <v>5482</v>
      </c>
      <c r="H685">
        <v>0</v>
      </c>
      <c r="I685">
        <v>0</v>
      </c>
    </row>
    <row r="686" spans="1:9" x14ac:dyDescent="0.25">
      <c r="A686">
        <v>87</v>
      </c>
      <c r="B686">
        <v>0</v>
      </c>
      <c r="C686">
        <v>1</v>
      </c>
      <c r="D686">
        <v>3</v>
      </c>
      <c r="E686">
        <v>0</v>
      </c>
      <c r="F686">
        <v>0</v>
      </c>
      <c r="G686">
        <v>8526</v>
      </c>
      <c r="H686">
        <v>0</v>
      </c>
      <c r="I686">
        <v>0</v>
      </c>
    </row>
    <row r="687" spans="1:9" x14ac:dyDescent="0.25">
      <c r="A687">
        <v>87</v>
      </c>
      <c r="B687">
        <v>0</v>
      </c>
      <c r="C687">
        <v>3</v>
      </c>
      <c r="D687">
        <v>5</v>
      </c>
      <c r="E687">
        <v>0</v>
      </c>
      <c r="F687">
        <v>0</v>
      </c>
      <c r="G687">
        <v>10792</v>
      </c>
      <c r="H687">
        <v>0</v>
      </c>
      <c r="I687">
        <v>0</v>
      </c>
    </row>
    <row r="688" spans="1:9" x14ac:dyDescent="0.25">
      <c r="A688">
        <v>87</v>
      </c>
      <c r="B688">
        <v>0</v>
      </c>
      <c r="C688">
        <v>3</v>
      </c>
      <c r="D688">
        <v>8</v>
      </c>
      <c r="E688">
        <v>0</v>
      </c>
      <c r="F688">
        <v>0</v>
      </c>
      <c r="G688">
        <v>12704</v>
      </c>
      <c r="H688">
        <v>0</v>
      </c>
      <c r="I688">
        <v>0</v>
      </c>
    </row>
    <row r="689" spans="1:9" x14ac:dyDescent="0.25">
      <c r="A689">
        <v>86</v>
      </c>
      <c r="B689">
        <v>0</v>
      </c>
      <c r="C689">
        <v>9</v>
      </c>
      <c r="D689">
        <v>4</v>
      </c>
      <c r="E689">
        <v>3</v>
      </c>
      <c r="F689">
        <v>0</v>
      </c>
      <c r="G689">
        <v>30686</v>
      </c>
      <c r="H689">
        <v>0</v>
      </c>
      <c r="I689">
        <v>0</v>
      </c>
    </row>
    <row r="690" spans="1:9" x14ac:dyDescent="0.25">
      <c r="A690">
        <v>86</v>
      </c>
      <c r="B690">
        <v>1</v>
      </c>
      <c r="C690">
        <v>6</v>
      </c>
      <c r="D690">
        <v>4</v>
      </c>
      <c r="E690">
        <v>2</v>
      </c>
      <c r="F690">
        <v>0</v>
      </c>
      <c r="G690">
        <v>26337</v>
      </c>
      <c r="H690">
        <v>1</v>
      </c>
      <c r="I690">
        <v>0</v>
      </c>
    </row>
    <row r="691" spans="1:9" x14ac:dyDescent="0.25">
      <c r="A691">
        <v>86</v>
      </c>
      <c r="B691">
        <v>0</v>
      </c>
      <c r="C691">
        <v>4</v>
      </c>
      <c r="D691">
        <v>3</v>
      </c>
      <c r="E691">
        <v>1</v>
      </c>
      <c r="F691">
        <v>0</v>
      </c>
      <c r="G691">
        <v>28625</v>
      </c>
      <c r="H691">
        <v>1</v>
      </c>
      <c r="I691">
        <v>0</v>
      </c>
    </row>
    <row r="692" spans="1:9" x14ac:dyDescent="0.25">
      <c r="A692">
        <v>86</v>
      </c>
      <c r="B692">
        <v>1</v>
      </c>
      <c r="C692">
        <v>10</v>
      </c>
      <c r="D692">
        <v>3</v>
      </c>
      <c r="E692">
        <v>2</v>
      </c>
      <c r="F692">
        <v>0</v>
      </c>
      <c r="G692">
        <v>33134</v>
      </c>
      <c r="H692">
        <v>1</v>
      </c>
      <c r="I692">
        <v>0</v>
      </c>
    </row>
    <row r="693" spans="1:9" x14ac:dyDescent="0.25">
      <c r="A693">
        <v>86</v>
      </c>
      <c r="B693">
        <v>0</v>
      </c>
      <c r="C693">
        <v>6</v>
      </c>
      <c r="D693">
        <v>2</v>
      </c>
      <c r="E693">
        <v>2</v>
      </c>
      <c r="F693">
        <v>0</v>
      </c>
      <c r="G693">
        <v>24289</v>
      </c>
      <c r="H693">
        <v>1</v>
      </c>
      <c r="I693">
        <v>0</v>
      </c>
    </row>
    <row r="694" spans="1:9" x14ac:dyDescent="0.25">
      <c r="A694">
        <v>85</v>
      </c>
      <c r="B694">
        <v>1</v>
      </c>
      <c r="C694">
        <v>3</v>
      </c>
      <c r="D694">
        <v>4</v>
      </c>
      <c r="E694">
        <v>0</v>
      </c>
      <c r="F694">
        <v>0</v>
      </c>
      <c r="G694">
        <v>8324</v>
      </c>
      <c r="H694">
        <v>0</v>
      </c>
      <c r="I694">
        <v>0</v>
      </c>
    </row>
    <row r="695" spans="1:9" x14ac:dyDescent="0.25">
      <c r="A695">
        <v>85</v>
      </c>
      <c r="B695">
        <v>1</v>
      </c>
      <c r="C695">
        <v>3</v>
      </c>
      <c r="D695">
        <v>6</v>
      </c>
      <c r="E695">
        <v>0</v>
      </c>
      <c r="F695">
        <v>0</v>
      </c>
      <c r="G695">
        <v>12762</v>
      </c>
      <c r="H695">
        <v>0</v>
      </c>
      <c r="I695">
        <v>0</v>
      </c>
    </row>
    <row r="696" spans="1:9" x14ac:dyDescent="0.25">
      <c r="A696">
        <v>85</v>
      </c>
      <c r="B696">
        <v>1</v>
      </c>
      <c r="C696">
        <v>6</v>
      </c>
      <c r="D696">
        <v>5</v>
      </c>
      <c r="E696">
        <v>0</v>
      </c>
      <c r="F696">
        <v>0</v>
      </c>
      <c r="G696">
        <v>20845</v>
      </c>
      <c r="H696">
        <v>0</v>
      </c>
      <c r="I696">
        <v>0</v>
      </c>
    </row>
    <row r="697" spans="1:9" x14ac:dyDescent="0.25">
      <c r="A697">
        <v>85</v>
      </c>
      <c r="B697">
        <v>1</v>
      </c>
      <c r="C697">
        <v>9</v>
      </c>
      <c r="D697">
        <v>4</v>
      </c>
      <c r="E697">
        <v>0</v>
      </c>
      <c r="F697">
        <v>0</v>
      </c>
      <c r="G697">
        <v>29972</v>
      </c>
      <c r="H697">
        <v>0</v>
      </c>
      <c r="I697">
        <v>0</v>
      </c>
    </row>
    <row r="698" spans="1:9" x14ac:dyDescent="0.25">
      <c r="A698">
        <v>85</v>
      </c>
      <c r="B698">
        <v>1</v>
      </c>
      <c r="C698">
        <v>10</v>
      </c>
      <c r="D698">
        <v>5</v>
      </c>
      <c r="E698">
        <v>0</v>
      </c>
      <c r="F698">
        <v>0</v>
      </c>
      <c r="G698">
        <v>24553</v>
      </c>
      <c r="H698">
        <v>0</v>
      </c>
      <c r="I698">
        <v>0</v>
      </c>
    </row>
    <row r="699" spans="1:9" x14ac:dyDescent="0.25">
      <c r="A699">
        <v>85</v>
      </c>
      <c r="B699">
        <v>1</v>
      </c>
      <c r="C699">
        <v>17</v>
      </c>
      <c r="D699">
        <v>1</v>
      </c>
      <c r="E699">
        <v>1</v>
      </c>
      <c r="F699">
        <v>0</v>
      </c>
      <c r="G699">
        <v>84316</v>
      </c>
      <c r="H699">
        <v>0</v>
      </c>
      <c r="I699">
        <v>0</v>
      </c>
    </row>
    <row r="700" spans="1:9" x14ac:dyDescent="0.25">
      <c r="A700">
        <v>85</v>
      </c>
      <c r="B700">
        <v>1</v>
      </c>
      <c r="C700">
        <v>3</v>
      </c>
      <c r="D700">
        <v>5</v>
      </c>
      <c r="E700">
        <v>0</v>
      </c>
      <c r="F700">
        <v>0</v>
      </c>
      <c r="G700">
        <v>14298</v>
      </c>
      <c r="H700">
        <v>0</v>
      </c>
      <c r="I700">
        <v>0</v>
      </c>
    </row>
    <row r="701" spans="1:9" x14ac:dyDescent="0.25">
      <c r="A701">
        <v>85</v>
      </c>
      <c r="B701">
        <v>1</v>
      </c>
      <c r="C701">
        <v>2</v>
      </c>
      <c r="D701">
        <v>7</v>
      </c>
      <c r="E701">
        <v>0</v>
      </c>
      <c r="F701">
        <v>0</v>
      </c>
      <c r="G701">
        <v>13499</v>
      </c>
      <c r="H701">
        <v>0</v>
      </c>
      <c r="I701">
        <v>0</v>
      </c>
    </row>
    <row r="702" spans="1:9" x14ac:dyDescent="0.25">
      <c r="A702">
        <v>85</v>
      </c>
      <c r="B702">
        <v>1</v>
      </c>
      <c r="C702">
        <v>1</v>
      </c>
      <c r="D702">
        <v>6</v>
      </c>
      <c r="E702">
        <v>0</v>
      </c>
      <c r="F702">
        <v>0</v>
      </c>
      <c r="G702">
        <v>4266</v>
      </c>
      <c r="H702">
        <v>0</v>
      </c>
      <c r="I702">
        <v>0</v>
      </c>
    </row>
    <row r="703" spans="1:9" x14ac:dyDescent="0.25">
      <c r="A703">
        <v>85</v>
      </c>
      <c r="B703">
        <v>0</v>
      </c>
      <c r="C703">
        <v>2</v>
      </c>
      <c r="D703">
        <v>1</v>
      </c>
      <c r="E703">
        <v>0</v>
      </c>
      <c r="F703">
        <v>0</v>
      </c>
      <c r="G703">
        <v>10380</v>
      </c>
      <c r="H703">
        <v>0</v>
      </c>
      <c r="I703">
        <v>0</v>
      </c>
    </row>
    <row r="704" spans="1:9" x14ac:dyDescent="0.25">
      <c r="A704">
        <v>84</v>
      </c>
      <c r="B704">
        <v>0</v>
      </c>
      <c r="C704">
        <v>5</v>
      </c>
      <c r="D704">
        <v>3</v>
      </c>
      <c r="E704">
        <v>0</v>
      </c>
      <c r="F704">
        <v>0</v>
      </c>
      <c r="G704">
        <v>18114</v>
      </c>
      <c r="H704">
        <v>0</v>
      </c>
      <c r="I704">
        <v>0</v>
      </c>
    </row>
    <row r="705" spans="1:9" x14ac:dyDescent="0.25">
      <c r="A705">
        <v>84</v>
      </c>
      <c r="B705">
        <v>1</v>
      </c>
      <c r="C705">
        <v>2</v>
      </c>
      <c r="D705">
        <v>4</v>
      </c>
      <c r="E705">
        <v>0</v>
      </c>
      <c r="F705">
        <v>0</v>
      </c>
      <c r="G705">
        <v>5641</v>
      </c>
      <c r="H705">
        <v>0</v>
      </c>
      <c r="I705">
        <v>0</v>
      </c>
    </row>
    <row r="706" spans="1:9" x14ac:dyDescent="0.25">
      <c r="A706">
        <v>84</v>
      </c>
      <c r="B706">
        <v>0</v>
      </c>
      <c r="C706">
        <v>3</v>
      </c>
      <c r="D706">
        <v>3</v>
      </c>
      <c r="E706">
        <v>0</v>
      </c>
      <c r="F706">
        <v>0</v>
      </c>
      <c r="G706">
        <v>11589</v>
      </c>
      <c r="H706">
        <v>0</v>
      </c>
      <c r="I706">
        <v>0</v>
      </c>
    </row>
    <row r="707" spans="1:9" x14ac:dyDescent="0.25">
      <c r="A707">
        <v>84</v>
      </c>
      <c r="B707">
        <v>1</v>
      </c>
      <c r="C707">
        <v>12</v>
      </c>
      <c r="D707">
        <v>3</v>
      </c>
      <c r="E707">
        <v>0</v>
      </c>
      <c r="F707">
        <v>0</v>
      </c>
      <c r="G707">
        <v>19534</v>
      </c>
      <c r="H707">
        <v>0</v>
      </c>
      <c r="I707">
        <v>0</v>
      </c>
    </row>
    <row r="708" spans="1:9" x14ac:dyDescent="0.25">
      <c r="A708">
        <v>84</v>
      </c>
      <c r="B708">
        <v>1</v>
      </c>
      <c r="C708">
        <v>2</v>
      </c>
      <c r="D708">
        <v>4</v>
      </c>
      <c r="E708">
        <v>0</v>
      </c>
      <c r="F708">
        <v>0</v>
      </c>
      <c r="G708">
        <v>9882</v>
      </c>
      <c r="H708">
        <v>0</v>
      </c>
      <c r="I708">
        <v>0</v>
      </c>
    </row>
    <row r="709" spans="1:9" x14ac:dyDescent="0.25">
      <c r="A709">
        <v>84</v>
      </c>
      <c r="B709">
        <v>1</v>
      </c>
      <c r="C709">
        <v>2</v>
      </c>
      <c r="D709">
        <v>4</v>
      </c>
      <c r="E709">
        <v>0</v>
      </c>
      <c r="F709">
        <v>0</v>
      </c>
      <c r="G709">
        <v>5703</v>
      </c>
      <c r="H709">
        <v>0</v>
      </c>
      <c r="I709">
        <v>0</v>
      </c>
    </row>
    <row r="710" spans="1:9" x14ac:dyDescent="0.25">
      <c r="A710">
        <v>82</v>
      </c>
      <c r="B710">
        <v>1</v>
      </c>
      <c r="C710">
        <v>7</v>
      </c>
      <c r="D710">
        <v>4</v>
      </c>
      <c r="E710">
        <v>0</v>
      </c>
      <c r="F710">
        <v>0</v>
      </c>
      <c r="G710">
        <v>25829</v>
      </c>
      <c r="H710">
        <v>0</v>
      </c>
      <c r="I710">
        <v>0</v>
      </c>
    </row>
    <row r="711" spans="1:9" x14ac:dyDescent="0.25">
      <c r="A711">
        <v>82</v>
      </c>
      <c r="B711">
        <v>1</v>
      </c>
      <c r="C711">
        <v>1</v>
      </c>
      <c r="D711">
        <v>6</v>
      </c>
      <c r="E711">
        <v>0</v>
      </c>
      <c r="F711">
        <v>0</v>
      </c>
      <c r="G711">
        <v>8686</v>
      </c>
      <c r="H711">
        <v>0</v>
      </c>
      <c r="I711">
        <v>0</v>
      </c>
    </row>
    <row r="712" spans="1:9" x14ac:dyDescent="0.25">
      <c r="A712">
        <v>82</v>
      </c>
      <c r="B712">
        <v>0</v>
      </c>
      <c r="C712">
        <v>4</v>
      </c>
      <c r="D712">
        <v>6</v>
      </c>
      <c r="E712">
        <v>0</v>
      </c>
      <c r="F712">
        <v>0</v>
      </c>
      <c r="G712">
        <v>14628</v>
      </c>
      <c r="H712">
        <v>0</v>
      </c>
      <c r="I712">
        <v>0</v>
      </c>
    </row>
    <row r="713" spans="1:9" x14ac:dyDescent="0.25">
      <c r="A713">
        <v>82</v>
      </c>
      <c r="B713">
        <v>1</v>
      </c>
      <c r="C713">
        <v>8</v>
      </c>
      <c r="D713">
        <v>5</v>
      </c>
      <c r="E713">
        <v>0</v>
      </c>
      <c r="F713">
        <v>0</v>
      </c>
      <c r="G713">
        <v>12709</v>
      </c>
      <c r="H713">
        <v>0</v>
      </c>
      <c r="I713">
        <v>0</v>
      </c>
    </row>
    <row r="714" spans="1:9" x14ac:dyDescent="0.25">
      <c r="A714">
        <v>82</v>
      </c>
      <c r="B714">
        <v>1</v>
      </c>
      <c r="C714">
        <v>6</v>
      </c>
      <c r="D714">
        <v>1</v>
      </c>
      <c r="E714">
        <v>4</v>
      </c>
      <c r="F714">
        <v>0</v>
      </c>
      <c r="G714">
        <v>27730</v>
      </c>
      <c r="H714">
        <v>1</v>
      </c>
      <c r="I714">
        <v>0</v>
      </c>
    </row>
    <row r="715" spans="1:9" x14ac:dyDescent="0.25">
      <c r="A715">
        <v>82</v>
      </c>
      <c r="B715">
        <v>1</v>
      </c>
      <c r="C715">
        <v>4</v>
      </c>
      <c r="D715">
        <v>6</v>
      </c>
      <c r="E715">
        <v>1</v>
      </c>
      <c r="F715">
        <v>0</v>
      </c>
      <c r="G715">
        <v>13994</v>
      </c>
      <c r="H715">
        <v>1</v>
      </c>
      <c r="I715">
        <v>0</v>
      </c>
    </row>
    <row r="716" spans="1:9" x14ac:dyDescent="0.25">
      <c r="A716">
        <v>80</v>
      </c>
      <c r="B716">
        <v>0</v>
      </c>
      <c r="C716">
        <v>2</v>
      </c>
      <c r="D716">
        <v>4</v>
      </c>
      <c r="E716">
        <v>1</v>
      </c>
      <c r="F716">
        <v>0</v>
      </c>
      <c r="G716">
        <v>14422</v>
      </c>
      <c r="H716">
        <v>1</v>
      </c>
      <c r="I716">
        <v>0</v>
      </c>
    </row>
    <row r="717" spans="1:9" x14ac:dyDescent="0.25">
      <c r="A717">
        <v>80</v>
      </c>
      <c r="B717">
        <v>0</v>
      </c>
      <c r="C717">
        <v>17</v>
      </c>
      <c r="D717">
        <v>5</v>
      </c>
      <c r="E717">
        <v>2</v>
      </c>
      <c r="F717">
        <v>0</v>
      </c>
      <c r="G717">
        <v>41581</v>
      </c>
      <c r="H717">
        <v>1</v>
      </c>
      <c r="I717">
        <v>0</v>
      </c>
    </row>
    <row r="718" spans="1:9" x14ac:dyDescent="0.25">
      <c r="A718">
        <v>79</v>
      </c>
      <c r="B718">
        <v>1</v>
      </c>
      <c r="C718">
        <v>5</v>
      </c>
      <c r="D718">
        <v>4</v>
      </c>
      <c r="E718">
        <v>2</v>
      </c>
      <c r="F718">
        <v>0</v>
      </c>
      <c r="G718">
        <v>21164</v>
      </c>
      <c r="H718">
        <v>0</v>
      </c>
      <c r="I718">
        <v>0</v>
      </c>
    </row>
    <row r="719" spans="1:9" x14ac:dyDescent="0.25">
      <c r="A719">
        <v>79</v>
      </c>
      <c r="B719">
        <v>1</v>
      </c>
      <c r="C719">
        <v>7</v>
      </c>
      <c r="D719">
        <v>4</v>
      </c>
      <c r="E719">
        <v>0</v>
      </c>
      <c r="F719">
        <v>0</v>
      </c>
      <c r="G719">
        <v>20960</v>
      </c>
      <c r="H719">
        <v>0</v>
      </c>
      <c r="I719">
        <v>0</v>
      </c>
    </row>
    <row r="720" spans="1:9" x14ac:dyDescent="0.25">
      <c r="A720">
        <v>79</v>
      </c>
      <c r="B720">
        <v>1</v>
      </c>
      <c r="C720">
        <v>3</v>
      </c>
      <c r="D720">
        <v>7</v>
      </c>
      <c r="E720">
        <v>0</v>
      </c>
      <c r="F720">
        <v>0</v>
      </c>
      <c r="G720">
        <v>11992</v>
      </c>
      <c r="H720">
        <v>0</v>
      </c>
      <c r="I720">
        <v>0</v>
      </c>
    </row>
    <row r="721" spans="1:9" x14ac:dyDescent="0.25">
      <c r="A721">
        <v>79</v>
      </c>
      <c r="B721">
        <v>1</v>
      </c>
      <c r="C721">
        <v>12</v>
      </c>
      <c r="D721">
        <v>3</v>
      </c>
      <c r="E721">
        <v>0</v>
      </c>
      <c r="F721">
        <v>0</v>
      </c>
      <c r="G721">
        <v>35775</v>
      </c>
      <c r="H721">
        <v>0</v>
      </c>
      <c r="I721">
        <v>0</v>
      </c>
    </row>
    <row r="722" spans="1:9" x14ac:dyDescent="0.25">
      <c r="A722">
        <v>79</v>
      </c>
      <c r="B722">
        <v>0</v>
      </c>
      <c r="C722">
        <v>3</v>
      </c>
      <c r="D722">
        <v>5</v>
      </c>
      <c r="E722">
        <v>2</v>
      </c>
      <c r="F722">
        <v>0</v>
      </c>
      <c r="G722">
        <v>9100</v>
      </c>
      <c r="H722">
        <v>0</v>
      </c>
      <c r="I722">
        <v>0</v>
      </c>
    </row>
    <row r="723" spans="1:9" x14ac:dyDescent="0.25">
      <c r="A723">
        <v>79</v>
      </c>
      <c r="B723">
        <v>1</v>
      </c>
      <c r="C723">
        <v>2</v>
      </c>
      <c r="D723">
        <v>3</v>
      </c>
      <c r="E723">
        <v>0</v>
      </c>
      <c r="F723">
        <v>0</v>
      </c>
      <c r="G723">
        <v>17762</v>
      </c>
      <c r="H723">
        <v>0</v>
      </c>
      <c r="I723">
        <v>0</v>
      </c>
    </row>
    <row r="724" spans="1:9" x14ac:dyDescent="0.25">
      <c r="A724">
        <v>79</v>
      </c>
      <c r="B724">
        <v>1</v>
      </c>
      <c r="C724">
        <v>2</v>
      </c>
      <c r="D724">
        <v>5</v>
      </c>
      <c r="E724">
        <v>0</v>
      </c>
      <c r="F724">
        <v>0</v>
      </c>
      <c r="G724">
        <v>13586</v>
      </c>
      <c r="H724">
        <v>0</v>
      </c>
      <c r="I724">
        <v>0</v>
      </c>
    </row>
    <row r="725" spans="1:9" x14ac:dyDescent="0.25">
      <c r="A725">
        <v>79</v>
      </c>
      <c r="B725">
        <v>1</v>
      </c>
      <c r="C725">
        <v>7</v>
      </c>
      <c r="D725">
        <v>3</v>
      </c>
      <c r="E725">
        <v>0</v>
      </c>
      <c r="F725">
        <v>0</v>
      </c>
      <c r="G725">
        <v>12576</v>
      </c>
      <c r="H725">
        <v>0</v>
      </c>
      <c r="I725">
        <v>0</v>
      </c>
    </row>
    <row r="726" spans="1:9" x14ac:dyDescent="0.25">
      <c r="A726">
        <v>79</v>
      </c>
      <c r="B726">
        <v>0</v>
      </c>
      <c r="C726">
        <v>10</v>
      </c>
      <c r="D726">
        <v>0</v>
      </c>
      <c r="E726">
        <v>1</v>
      </c>
      <c r="F726">
        <v>0</v>
      </c>
      <c r="G726">
        <v>35499</v>
      </c>
      <c r="H726">
        <v>1</v>
      </c>
      <c r="I726">
        <v>0</v>
      </c>
    </row>
    <row r="727" spans="1:9" x14ac:dyDescent="0.25">
      <c r="A727">
        <v>79</v>
      </c>
      <c r="B727">
        <v>1</v>
      </c>
      <c r="C727">
        <v>3</v>
      </c>
      <c r="D727">
        <v>1</v>
      </c>
      <c r="E727">
        <v>2</v>
      </c>
      <c r="F727">
        <v>0</v>
      </c>
      <c r="G727">
        <v>33935</v>
      </c>
      <c r="H727">
        <v>1</v>
      </c>
      <c r="I727">
        <v>0</v>
      </c>
    </row>
    <row r="728" spans="1:9" x14ac:dyDescent="0.25">
      <c r="A728">
        <v>79</v>
      </c>
      <c r="B728">
        <v>0</v>
      </c>
      <c r="C728">
        <v>9</v>
      </c>
      <c r="D728">
        <v>4</v>
      </c>
      <c r="E728">
        <v>1</v>
      </c>
      <c r="F728">
        <v>0</v>
      </c>
      <c r="G728">
        <v>35687</v>
      </c>
      <c r="H728">
        <v>1</v>
      </c>
      <c r="I728">
        <v>0</v>
      </c>
    </row>
    <row r="729" spans="1:9" x14ac:dyDescent="0.25">
      <c r="A729">
        <v>79</v>
      </c>
      <c r="B729">
        <v>1</v>
      </c>
      <c r="C729">
        <v>4</v>
      </c>
      <c r="D729">
        <v>5</v>
      </c>
      <c r="E729">
        <v>2</v>
      </c>
      <c r="F729">
        <v>0</v>
      </c>
      <c r="G729">
        <v>18390</v>
      </c>
      <c r="H729">
        <v>1</v>
      </c>
      <c r="I729">
        <v>0</v>
      </c>
    </row>
    <row r="730" spans="1:9" x14ac:dyDescent="0.25">
      <c r="A730">
        <v>79</v>
      </c>
      <c r="B730">
        <v>0</v>
      </c>
      <c r="C730">
        <v>10</v>
      </c>
      <c r="D730">
        <v>3</v>
      </c>
      <c r="E730">
        <v>1</v>
      </c>
      <c r="F730">
        <v>0</v>
      </c>
      <c r="G730">
        <v>59313</v>
      </c>
      <c r="H730">
        <v>1</v>
      </c>
      <c r="I730">
        <v>0</v>
      </c>
    </row>
    <row r="731" spans="1:9" x14ac:dyDescent="0.25">
      <c r="A731">
        <v>78</v>
      </c>
      <c r="B731">
        <v>1</v>
      </c>
      <c r="C731">
        <v>4</v>
      </c>
      <c r="D731">
        <v>3</v>
      </c>
      <c r="E731">
        <v>1</v>
      </c>
      <c r="F731">
        <v>0</v>
      </c>
      <c r="G731">
        <v>18811</v>
      </c>
      <c r="H731">
        <v>0</v>
      </c>
      <c r="I731">
        <v>0</v>
      </c>
    </row>
    <row r="732" spans="1:9" x14ac:dyDescent="0.25">
      <c r="A732">
        <v>78</v>
      </c>
      <c r="B732">
        <v>0</v>
      </c>
      <c r="C732">
        <v>5</v>
      </c>
      <c r="D732">
        <v>3</v>
      </c>
      <c r="E732">
        <v>0</v>
      </c>
      <c r="F732">
        <v>0</v>
      </c>
      <c r="G732">
        <v>9097</v>
      </c>
      <c r="H732">
        <v>0</v>
      </c>
      <c r="I732">
        <v>0</v>
      </c>
    </row>
    <row r="733" spans="1:9" x14ac:dyDescent="0.25">
      <c r="A733">
        <v>78</v>
      </c>
      <c r="B733">
        <v>1</v>
      </c>
      <c r="C733">
        <v>2</v>
      </c>
      <c r="D733">
        <v>6</v>
      </c>
      <c r="E733">
        <v>0</v>
      </c>
      <c r="F733">
        <v>0</v>
      </c>
      <c r="G733">
        <v>5656</v>
      </c>
      <c r="H733">
        <v>0</v>
      </c>
      <c r="I733">
        <v>0</v>
      </c>
    </row>
    <row r="734" spans="1:9" x14ac:dyDescent="0.25">
      <c r="A734">
        <v>78</v>
      </c>
      <c r="B734">
        <v>0</v>
      </c>
      <c r="C734">
        <v>4</v>
      </c>
      <c r="D734">
        <v>3</v>
      </c>
      <c r="E734">
        <v>0</v>
      </c>
      <c r="F734">
        <v>0</v>
      </c>
      <c r="G734">
        <v>10751</v>
      </c>
      <c r="H734">
        <v>0</v>
      </c>
      <c r="I734">
        <v>0</v>
      </c>
    </row>
    <row r="735" spans="1:9" x14ac:dyDescent="0.25">
      <c r="A735">
        <v>78</v>
      </c>
      <c r="B735">
        <v>1</v>
      </c>
      <c r="C735">
        <v>4</v>
      </c>
      <c r="D735">
        <v>3</v>
      </c>
      <c r="E735">
        <v>1</v>
      </c>
      <c r="F735">
        <v>0</v>
      </c>
      <c r="G735">
        <v>16836</v>
      </c>
      <c r="H735">
        <v>0</v>
      </c>
      <c r="I735">
        <v>0</v>
      </c>
    </row>
    <row r="736" spans="1:9" x14ac:dyDescent="0.25">
      <c r="A736">
        <v>78</v>
      </c>
      <c r="B736">
        <v>1</v>
      </c>
      <c r="C736">
        <v>3</v>
      </c>
      <c r="D736">
        <v>3</v>
      </c>
      <c r="E736">
        <v>0</v>
      </c>
      <c r="F736">
        <v>0</v>
      </c>
      <c r="G736">
        <v>9928</v>
      </c>
      <c r="H736">
        <v>0</v>
      </c>
      <c r="I736">
        <v>0</v>
      </c>
    </row>
    <row r="737" spans="1:9" x14ac:dyDescent="0.25">
      <c r="A737">
        <v>78</v>
      </c>
      <c r="B737">
        <v>0</v>
      </c>
      <c r="C737">
        <v>8</v>
      </c>
      <c r="D737">
        <v>6</v>
      </c>
      <c r="E737">
        <v>2</v>
      </c>
      <c r="F737">
        <v>0</v>
      </c>
      <c r="G737">
        <v>25906</v>
      </c>
      <c r="H737">
        <v>0</v>
      </c>
      <c r="I737">
        <v>0</v>
      </c>
    </row>
    <row r="738" spans="1:9" x14ac:dyDescent="0.25">
      <c r="A738">
        <v>78</v>
      </c>
      <c r="B738">
        <v>1</v>
      </c>
      <c r="C738">
        <v>7</v>
      </c>
      <c r="D738">
        <v>5</v>
      </c>
      <c r="E738">
        <v>0</v>
      </c>
      <c r="F738">
        <v>0</v>
      </c>
      <c r="G738">
        <v>22197</v>
      </c>
      <c r="H738">
        <v>0</v>
      </c>
      <c r="I738">
        <v>0</v>
      </c>
    </row>
    <row r="739" spans="1:9" x14ac:dyDescent="0.25">
      <c r="A739">
        <v>78</v>
      </c>
      <c r="B739">
        <v>1</v>
      </c>
      <c r="C739">
        <v>3</v>
      </c>
      <c r="D739">
        <v>5</v>
      </c>
      <c r="E739">
        <v>0</v>
      </c>
      <c r="F739">
        <v>0</v>
      </c>
      <c r="G739">
        <v>9770</v>
      </c>
      <c r="H739">
        <v>0</v>
      </c>
      <c r="I739">
        <v>0</v>
      </c>
    </row>
    <row r="740" spans="1:9" x14ac:dyDescent="0.25">
      <c r="A740">
        <v>78</v>
      </c>
      <c r="B740">
        <v>0</v>
      </c>
      <c r="C740">
        <v>6</v>
      </c>
      <c r="D740">
        <v>3</v>
      </c>
      <c r="E740">
        <v>2</v>
      </c>
      <c r="F740">
        <v>0</v>
      </c>
      <c r="G740">
        <v>36058</v>
      </c>
      <c r="H740">
        <v>1</v>
      </c>
      <c r="I740">
        <v>0</v>
      </c>
    </row>
    <row r="741" spans="1:9" x14ac:dyDescent="0.25">
      <c r="A741">
        <v>78</v>
      </c>
      <c r="B741">
        <v>1</v>
      </c>
      <c r="C741">
        <v>6</v>
      </c>
      <c r="D741">
        <v>1</v>
      </c>
      <c r="E741">
        <v>2</v>
      </c>
      <c r="F741">
        <v>0</v>
      </c>
      <c r="G741">
        <v>49575</v>
      </c>
      <c r="H741">
        <v>1</v>
      </c>
      <c r="I741">
        <v>0</v>
      </c>
    </row>
    <row r="742" spans="1:9" x14ac:dyDescent="0.25">
      <c r="A742">
        <v>78</v>
      </c>
      <c r="B742">
        <v>1</v>
      </c>
      <c r="C742">
        <v>2</v>
      </c>
      <c r="D742">
        <v>4</v>
      </c>
      <c r="E742">
        <v>2</v>
      </c>
      <c r="F742">
        <v>0</v>
      </c>
      <c r="G742">
        <v>13594</v>
      </c>
      <c r="H742">
        <v>1</v>
      </c>
      <c r="I742">
        <v>0</v>
      </c>
    </row>
    <row r="743" spans="1:9" x14ac:dyDescent="0.25">
      <c r="A743">
        <v>77</v>
      </c>
      <c r="B743">
        <v>0</v>
      </c>
      <c r="C743">
        <v>5</v>
      </c>
      <c r="D743">
        <v>8</v>
      </c>
      <c r="E743">
        <v>0</v>
      </c>
      <c r="F743">
        <v>0</v>
      </c>
      <c r="G743">
        <v>9910</v>
      </c>
      <c r="H743">
        <v>0</v>
      </c>
      <c r="I743">
        <v>0</v>
      </c>
    </row>
    <row r="744" spans="1:9" x14ac:dyDescent="0.25">
      <c r="A744">
        <v>77</v>
      </c>
      <c r="B744">
        <v>0</v>
      </c>
      <c r="C744">
        <v>3</v>
      </c>
      <c r="D744">
        <v>3</v>
      </c>
      <c r="E744">
        <v>0</v>
      </c>
      <c r="F744">
        <v>0</v>
      </c>
      <c r="G744">
        <v>8545</v>
      </c>
      <c r="H744">
        <v>0</v>
      </c>
      <c r="I744">
        <v>0</v>
      </c>
    </row>
    <row r="745" spans="1:9" x14ac:dyDescent="0.25">
      <c r="A745">
        <v>77</v>
      </c>
      <c r="B745">
        <v>0</v>
      </c>
      <c r="C745">
        <v>2</v>
      </c>
      <c r="D745">
        <v>5</v>
      </c>
      <c r="E745">
        <v>0</v>
      </c>
      <c r="F745">
        <v>0</v>
      </c>
      <c r="G745">
        <v>8892</v>
      </c>
      <c r="H745">
        <v>0</v>
      </c>
      <c r="I745">
        <v>0</v>
      </c>
    </row>
    <row r="746" spans="1:9" x14ac:dyDescent="0.25">
      <c r="A746">
        <v>77</v>
      </c>
      <c r="B746">
        <v>1</v>
      </c>
      <c r="C746">
        <v>2</v>
      </c>
      <c r="D746">
        <v>3</v>
      </c>
      <c r="E746">
        <v>2</v>
      </c>
      <c r="F746">
        <v>0</v>
      </c>
      <c r="G746">
        <v>10545</v>
      </c>
      <c r="H746">
        <v>0</v>
      </c>
      <c r="I746">
        <v>0</v>
      </c>
    </row>
    <row r="747" spans="1:9" x14ac:dyDescent="0.25">
      <c r="A747">
        <v>77</v>
      </c>
      <c r="B747">
        <v>1</v>
      </c>
      <c r="C747">
        <v>1</v>
      </c>
      <c r="D747">
        <v>3</v>
      </c>
      <c r="E747">
        <v>0</v>
      </c>
      <c r="F747">
        <v>0</v>
      </c>
      <c r="G747">
        <v>7937</v>
      </c>
      <c r="H747">
        <v>0</v>
      </c>
      <c r="I747">
        <v>0</v>
      </c>
    </row>
    <row r="748" spans="1:9" x14ac:dyDescent="0.25">
      <c r="A748">
        <v>77</v>
      </c>
      <c r="B748">
        <v>0</v>
      </c>
      <c r="C748">
        <v>6</v>
      </c>
      <c r="D748">
        <v>4</v>
      </c>
      <c r="E748">
        <v>0</v>
      </c>
      <c r="F748">
        <v>0</v>
      </c>
      <c r="G748">
        <v>25219</v>
      </c>
      <c r="H748">
        <v>0</v>
      </c>
      <c r="I748">
        <v>0</v>
      </c>
    </row>
    <row r="749" spans="1:9" x14ac:dyDescent="0.25">
      <c r="A749">
        <v>77</v>
      </c>
      <c r="B749">
        <v>0</v>
      </c>
      <c r="C749">
        <v>3</v>
      </c>
      <c r="D749">
        <v>6</v>
      </c>
      <c r="E749">
        <v>0</v>
      </c>
      <c r="F749">
        <v>0</v>
      </c>
      <c r="G749">
        <v>20333</v>
      </c>
      <c r="H749">
        <v>0</v>
      </c>
      <c r="I749">
        <v>0</v>
      </c>
    </row>
    <row r="750" spans="1:9" x14ac:dyDescent="0.25">
      <c r="A750">
        <v>77</v>
      </c>
      <c r="B750">
        <v>1</v>
      </c>
      <c r="C750">
        <v>3</v>
      </c>
      <c r="D750">
        <v>7</v>
      </c>
      <c r="E750">
        <v>0</v>
      </c>
      <c r="F750">
        <v>0</v>
      </c>
      <c r="G750">
        <v>10047</v>
      </c>
      <c r="H750">
        <v>0</v>
      </c>
      <c r="I750">
        <v>0</v>
      </c>
    </row>
    <row r="751" spans="1:9" x14ac:dyDescent="0.25">
      <c r="A751">
        <v>77</v>
      </c>
      <c r="B751">
        <v>0</v>
      </c>
      <c r="C751">
        <v>2</v>
      </c>
      <c r="D751">
        <v>5</v>
      </c>
      <c r="E751">
        <v>0</v>
      </c>
      <c r="F751">
        <v>0</v>
      </c>
      <c r="G751">
        <v>8548</v>
      </c>
      <c r="H751">
        <v>0</v>
      </c>
      <c r="I751">
        <v>0</v>
      </c>
    </row>
    <row r="752" spans="1:9" x14ac:dyDescent="0.25">
      <c r="A752">
        <v>77</v>
      </c>
      <c r="B752">
        <v>1</v>
      </c>
      <c r="C752">
        <v>4</v>
      </c>
      <c r="D752">
        <v>6</v>
      </c>
      <c r="E752">
        <v>0</v>
      </c>
      <c r="F752">
        <v>0</v>
      </c>
      <c r="G752">
        <v>19128</v>
      </c>
      <c r="H752">
        <v>0</v>
      </c>
      <c r="I752">
        <v>0</v>
      </c>
    </row>
    <row r="753" spans="1:9" x14ac:dyDescent="0.25">
      <c r="A753">
        <v>77</v>
      </c>
      <c r="B753">
        <v>0</v>
      </c>
      <c r="C753">
        <v>12</v>
      </c>
      <c r="D753">
        <v>5</v>
      </c>
      <c r="E753">
        <v>1</v>
      </c>
      <c r="F753">
        <v>0</v>
      </c>
      <c r="G753">
        <v>43257</v>
      </c>
      <c r="H753">
        <v>0</v>
      </c>
      <c r="I753">
        <v>0</v>
      </c>
    </row>
    <row r="754" spans="1:9" x14ac:dyDescent="0.25">
      <c r="A754">
        <v>77</v>
      </c>
      <c r="B754">
        <v>1</v>
      </c>
      <c r="C754">
        <v>3</v>
      </c>
      <c r="D754">
        <v>3</v>
      </c>
      <c r="E754">
        <v>0</v>
      </c>
      <c r="F754">
        <v>0</v>
      </c>
      <c r="G754">
        <v>8568</v>
      </c>
      <c r="H754">
        <v>0</v>
      </c>
      <c r="I754">
        <v>0</v>
      </c>
    </row>
    <row r="755" spans="1:9" x14ac:dyDescent="0.25">
      <c r="A755">
        <v>77</v>
      </c>
      <c r="B755">
        <v>0</v>
      </c>
      <c r="C755">
        <v>5</v>
      </c>
      <c r="D755">
        <v>1</v>
      </c>
      <c r="E755">
        <v>0</v>
      </c>
      <c r="F755">
        <v>0</v>
      </c>
      <c r="G755">
        <v>31001</v>
      </c>
      <c r="H755">
        <v>0</v>
      </c>
      <c r="I755">
        <v>0</v>
      </c>
    </row>
    <row r="756" spans="1:9" x14ac:dyDescent="0.25">
      <c r="A756">
        <v>77</v>
      </c>
      <c r="B756">
        <v>1</v>
      </c>
      <c r="C756">
        <v>6</v>
      </c>
      <c r="D756">
        <v>3</v>
      </c>
      <c r="E756">
        <v>0</v>
      </c>
      <c r="F756">
        <v>0</v>
      </c>
      <c r="G756">
        <v>26835</v>
      </c>
      <c r="H756">
        <v>0</v>
      </c>
      <c r="I756">
        <v>0</v>
      </c>
    </row>
    <row r="757" spans="1:9" x14ac:dyDescent="0.25">
      <c r="A757">
        <v>77</v>
      </c>
      <c r="B757">
        <v>0</v>
      </c>
      <c r="C757">
        <v>13</v>
      </c>
      <c r="D757">
        <v>3</v>
      </c>
      <c r="E757">
        <v>0</v>
      </c>
      <c r="F757">
        <v>0</v>
      </c>
      <c r="G757">
        <v>21117</v>
      </c>
      <c r="H757">
        <v>0</v>
      </c>
      <c r="I757">
        <v>0</v>
      </c>
    </row>
    <row r="758" spans="1:9" x14ac:dyDescent="0.25">
      <c r="A758">
        <v>77</v>
      </c>
      <c r="B758">
        <v>1</v>
      </c>
      <c r="C758">
        <v>5</v>
      </c>
      <c r="D758">
        <v>0</v>
      </c>
      <c r="E758">
        <v>2</v>
      </c>
      <c r="F758">
        <v>0</v>
      </c>
      <c r="G758">
        <v>14835</v>
      </c>
      <c r="H758">
        <v>0</v>
      </c>
      <c r="I758">
        <v>0</v>
      </c>
    </row>
    <row r="759" spans="1:9" x14ac:dyDescent="0.25">
      <c r="A759">
        <v>77</v>
      </c>
      <c r="B759">
        <v>0</v>
      </c>
      <c r="C759">
        <v>4</v>
      </c>
      <c r="D759">
        <v>5</v>
      </c>
      <c r="E759">
        <v>0</v>
      </c>
      <c r="F759">
        <v>0</v>
      </c>
      <c r="G759">
        <v>13027</v>
      </c>
      <c r="H759">
        <v>0</v>
      </c>
      <c r="I759">
        <v>0</v>
      </c>
    </row>
    <row r="760" spans="1:9" x14ac:dyDescent="0.25">
      <c r="A760">
        <v>77</v>
      </c>
      <c r="B760">
        <v>1</v>
      </c>
      <c r="C760">
        <v>11</v>
      </c>
      <c r="D760">
        <v>0</v>
      </c>
      <c r="E760">
        <v>1</v>
      </c>
      <c r="F760">
        <v>0</v>
      </c>
      <c r="G760">
        <v>26141</v>
      </c>
      <c r="H760">
        <v>0</v>
      </c>
      <c r="I760">
        <v>0</v>
      </c>
    </row>
    <row r="761" spans="1:9" x14ac:dyDescent="0.25">
      <c r="A761">
        <v>77</v>
      </c>
      <c r="B761">
        <v>1</v>
      </c>
      <c r="C761">
        <v>2</v>
      </c>
      <c r="D761">
        <v>5</v>
      </c>
      <c r="E761">
        <v>1</v>
      </c>
      <c r="F761">
        <v>0</v>
      </c>
      <c r="G761">
        <v>6947</v>
      </c>
      <c r="H761">
        <v>0</v>
      </c>
      <c r="I761">
        <v>0</v>
      </c>
    </row>
    <row r="762" spans="1:9" x14ac:dyDescent="0.25">
      <c r="A762">
        <v>77</v>
      </c>
      <c r="B762">
        <v>1</v>
      </c>
      <c r="C762">
        <v>3</v>
      </c>
      <c r="D762">
        <v>7</v>
      </c>
      <c r="E762">
        <v>0</v>
      </c>
      <c r="F762">
        <v>0</v>
      </c>
      <c r="G762">
        <v>13737</v>
      </c>
      <c r="H762">
        <v>0</v>
      </c>
      <c r="I762">
        <v>0</v>
      </c>
    </row>
    <row r="763" spans="1:9" x14ac:dyDescent="0.25">
      <c r="A763">
        <v>77</v>
      </c>
      <c r="B763">
        <v>1</v>
      </c>
      <c r="C763">
        <v>4</v>
      </c>
      <c r="D763">
        <v>2</v>
      </c>
      <c r="E763">
        <v>1</v>
      </c>
      <c r="F763">
        <v>0</v>
      </c>
      <c r="G763">
        <v>15894</v>
      </c>
      <c r="H763">
        <v>1</v>
      </c>
      <c r="I763">
        <v>0</v>
      </c>
    </row>
    <row r="764" spans="1:9" x14ac:dyDescent="0.25">
      <c r="A764">
        <v>77</v>
      </c>
      <c r="B764">
        <v>1</v>
      </c>
      <c r="C764">
        <v>3</v>
      </c>
      <c r="D764">
        <v>2</v>
      </c>
      <c r="E764">
        <v>2</v>
      </c>
      <c r="F764">
        <v>0</v>
      </c>
      <c r="G764">
        <v>51824</v>
      </c>
      <c r="H764">
        <v>1</v>
      </c>
      <c r="I764">
        <v>0</v>
      </c>
    </row>
    <row r="765" spans="1:9" x14ac:dyDescent="0.25">
      <c r="A765">
        <v>77</v>
      </c>
      <c r="B765">
        <v>0</v>
      </c>
      <c r="C765">
        <v>4</v>
      </c>
      <c r="D765">
        <v>2</v>
      </c>
      <c r="E765">
        <v>1</v>
      </c>
      <c r="F765">
        <v>0</v>
      </c>
      <c r="G765">
        <v>24261</v>
      </c>
      <c r="H765">
        <v>1</v>
      </c>
      <c r="I765">
        <v>0</v>
      </c>
    </row>
    <row r="766" spans="1:9" x14ac:dyDescent="0.25">
      <c r="A766">
        <v>76</v>
      </c>
      <c r="B766">
        <v>0</v>
      </c>
      <c r="C766">
        <v>4</v>
      </c>
      <c r="D766">
        <v>6</v>
      </c>
      <c r="E766">
        <v>0</v>
      </c>
      <c r="F766">
        <v>0</v>
      </c>
      <c r="G766">
        <v>23750</v>
      </c>
      <c r="H766">
        <v>0</v>
      </c>
      <c r="I766">
        <v>0</v>
      </c>
    </row>
    <row r="767" spans="1:9" x14ac:dyDescent="0.25">
      <c r="A767">
        <v>76</v>
      </c>
      <c r="B767">
        <v>1</v>
      </c>
      <c r="C767">
        <v>2</v>
      </c>
      <c r="D767">
        <v>5</v>
      </c>
      <c r="E767">
        <v>0</v>
      </c>
      <c r="F767">
        <v>0</v>
      </c>
      <c r="G767">
        <v>7476</v>
      </c>
      <c r="H767">
        <v>0</v>
      </c>
      <c r="I767">
        <v>0</v>
      </c>
    </row>
    <row r="768" spans="1:9" x14ac:dyDescent="0.25">
      <c r="A768">
        <v>76</v>
      </c>
      <c r="B768">
        <v>1</v>
      </c>
      <c r="C768">
        <v>2</v>
      </c>
      <c r="D768">
        <v>0</v>
      </c>
      <c r="E768">
        <v>0</v>
      </c>
      <c r="F768">
        <v>0</v>
      </c>
      <c r="G768">
        <v>9983</v>
      </c>
      <c r="H768">
        <v>0</v>
      </c>
      <c r="I768">
        <v>0</v>
      </c>
    </row>
    <row r="769" spans="1:9" x14ac:dyDescent="0.25">
      <c r="A769">
        <v>76</v>
      </c>
      <c r="B769">
        <v>0</v>
      </c>
      <c r="C769">
        <v>4</v>
      </c>
      <c r="D769">
        <v>8</v>
      </c>
      <c r="E769">
        <v>0</v>
      </c>
      <c r="F769">
        <v>0</v>
      </c>
      <c r="G769">
        <v>17024</v>
      </c>
      <c r="H769">
        <v>0</v>
      </c>
      <c r="I769">
        <v>0</v>
      </c>
    </row>
    <row r="770" spans="1:9" x14ac:dyDescent="0.25">
      <c r="A770">
        <v>76</v>
      </c>
      <c r="B770">
        <v>1</v>
      </c>
      <c r="C770">
        <v>4</v>
      </c>
      <c r="D770">
        <v>4</v>
      </c>
      <c r="E770">
        <v>0</v>
      </c>
      <c r="F770">
        <v>0</v>
      </c>
      <c r="G770">
        <v>11929</v>
      </c>
      <c r="H770">
        <v>0</v>
      </c>
      <c r="I770">
        <v>0</v>
      </c>
    </row>
    <row r="771" spans="1:9" x14ac:dyDescent="0.25">
      <c r="A771">
        <v>76</v>
      </c>
      <c r="B771">
        <v>0</v>
      </c>
      <c r="C771">
        <v>6</v>
      </c>
      <c r="D771">
        <v>6</v>
      </c>
      <c r="E771">
        <v>0</v>
      </c>
      <c r="F771">
        <v>0</v>
      </c>
      <c r="G771">
        <v>31270</v>
      </c>
      <c r="H771">
        <v>0</v>
      </c>
      <c r="I771">
        <v>0</v>
      </c>
    </row>
    <row r="772" spans="1:9" x14ac:dyDescent="0.25">
      <c r="A772">
        <v>76</v>
      </c>
      <c r="B772">
        <v>0</v>
      </c>
      <c r="C772">
        <v>5</v>
      </c>
      <c r="D772">
        <v>8</v>
      </c>
      <c r="E772">
        <v>0</v>
      </c>
      <c r="F772">
        <v>0</v>
      </c>
      <c r="G772">
        <v>11997</v>
      </c>
      <c r="H772">
        <v>0</v>
      </c>
      <c r="I772">
        <v>0</v>
      </c>
    </row>
    <row r="773" spans="1:9" x14ac:dyDescent="0.25">
      <c r="A773">
        <v>76</v>
      </c>
      <c r="B773">
        <v>1</v>
      </c>
      <c r="C773">
        <v>5</v>
      </c>
      <c r="D773">
        <v>5</v>
      </c>
      <c r="E773">
        <v>0</v>
      </c>
      <c r="F773">
        <v>0</v>
      </c>
      <c r="G773">
        <v>23201</v>
      </c>
      <c r="H773">
        <v>0</v>
      </c>
      <c r="I773">
        <v>0</v>
      </c>
    </row>
    <row r="774" spans="1:9" x14ac:dyDescent="0.25">
      <c r="A774">
        <v>76</v>
      </c>
      <c r="B774">
        <v>1</v>
      </c>
      <c r="C774">
        <v>3</v>
      </c>
      <c r="D774">
        <v>2</v>
      </c>
      <c r="E774">
        <v>0</v>
      </c>
      <c r="F774">
        <v>0</v>
      </c>
      <c r="G774">
        <v>15864</v>
      </c>
      <c r="H774">
        <v>0</v>
      </c>
      <c r="I774">
        <v>0</v>
      </c>
    </row>
    <row r="775" spans="1:9" x14ac:dyDescent="0.25">
      <c r="A775">
        <v>76</v>
      </c>
      <c r="B775">
        <v>0</v>
      </c>
      <c r="C775">
        <v>4</v>
      </c>
      <c r="D775">
        <v>5</v>
      </c>
      <c r="E775">
        <v>0</v>
      </c>
      <c r="F775">
        <v>0</v>
      </c>
      <c r="G775">
        <v>13988</v>
      </c>
      <c r="H775">
        <v>0</v>
      </c>
      <c r="I775">
        <v>0</v>
      </c>
    </row>
    <row r="776" spans="1:9" x14ac:dyDescent="0.25">
      <c r="A776">
        <v>76</v>
      </c>
      <c r="B776">
        <v>1</v>
      </c>
      <c r="C776">
        <v>7</v>
      </c>
      <c r="D776">
        <v>6</v>
      </c>
      <c r="E776">
        <v>2</v>
      </c>
      <c r="F776">
        <v>0</v>
      </c>
      <c r="G776">
        <v>27767</v>
      </c>
      <c r="H776">
        <v>0</v>
      </c>
      <c r="I776">
        <v>0</v>
      </c>
    </row>
    <row r="777" spans="1:9" x14ac:dyDescent="0.25">
      <c r="A777">
        <v>76</v>
      </c>
      <c r="B777">
        <v>0</v>
      </c>
      <c r="C777">
        <v>1</v>
      </c>
      <c r="D777">
        <v>8</v>
      </c>
      <c r="E777">
        <v>0</v>
      </c>
      <c r="F777">
        <v>0</v>
      </c>
      <c r="G777">
        <v>4831</v>
      </c>
      <c r="H777">
        <v>0</v>
      </c>
      <c r="I777">
        <v>0</v>
      </c>
    </row>
    <row r="778" spans="1:9" x14ac:dyDescent="0.25">
      <c r="A778">
        <v>76</v>
      </c>
      <c r="B778">
        <v>1</v>
      </c>
      <c r="C778">
        <v>1</v>
      </c>
      <c r="D778">
        <v>5</v>
      </c>
      <c r="E778">
        <v>0</v>
      </c>
      <c r="F778">
        <v>0</v>
      </c>
      <c r="G778">
        <v>8102</v>
      </c>
      <c r="H778">
        <v>0</v>
      </c>
      <c r="I778">
        <v>0</v>
      </c>
    </row>
    <row r="779" spans="1:9" x14ac:dyDescent="0.25">
      <c r="A779">
        <v>76</v>
      </c>
      <c r="B779">
        <v>1</v>
      </c>
      <c r="C779">
        <v>3</v>
      </c>
      <c r="D779">
        <v>4</v>
      </c>
      <c r="E779">
        <v>0</v>
      </c>
      <c r="F779">
        <v>0</v>
      </c>
      <c r="G779">
        <v>12497</v>
      </c>
      <c r="H779">
        <v>0</v>
      </c>
      <c r="I779">
        <v>0</v>
      </c>
    </row>
    <row r="780" spans="1:9" x14ac:dyDescent="0.25">
      <c r="A780">
        <v>76</v>
      </c>
      <c r="B780">
        <v>1</v>
      </c>
      <c r="C780">
        <v>1</v>
      </c>
      <c r="D780">
        <v>4</v>
      </c>
      <c r="E780">
        <v>0</v>
      </c>
      <c r="F780">
        <v>0</v>
      </c>
      <c r="G780">
        <v>5594</v>
      </c>
      <c r="H780">
        <v>0</v>
      </c>
      <c r="I780">
        <v>0</v>
      </c>
    </row>
    <row r="781" spans="1:9" x14ac:dyDescent="0.25">
      <c r="A781">
        <v>76</v>
      </c>
      <c r="B781">
        <v>1</v>
      </c>
      <c r="C781">
        <v>1</v>
      </c>
      <c r="D781">
        <v>6</v>
      </c>
      <c r="E781">
        <v>0</v>
      </c>
      <c r="F781">
        <v>0</v>
      </c>
      <c r="G781">
        <v>10104</v>
      </c>
      <c r="H781">
        <v>0</v>
      </c>
      <c r="I781">
        <v>0</v>
      </c>
    </row>
    <row r="782" spans="1:9" x14ac:dyDescent="0.25">
      <c r="A782">
        <v>76</v>
      </c>
      <c r="B782">
        <v>1</v>
      </c>
      <c r="C782">
        <v>5</v>
      </c>
      <c r="D782">
        <v>7</v>
      </c>
      <c r="E782">
        <v>0</v>
      </c>
      <c r="F782">
        <v>0</v>
      </c>
      <c r="G782">
        <v>21787</v>
      </c>
      <c r="H782">
        <v>0</v>
      </c>
      <c r="I782">
        <v>0</v>
      </c>
    </row>
    <row r="783" spans="1:9" x14ac:dyDescent="0.25">
      <c r="A783">
        <v>76</v>
      </c>
      <c r="B783">
        <v>1</v>
      </c>
      <c r="C783">
        <v>10</v>
      </c>
      <c r="D783">
        <v>4</v>
      </c>
      <c r="E783">
        <v>0</v>
      </c>
      <c r="F783">
        <v>0</v>
      </c>
      <c r="G783">
        <v>36704</v>
      </c>
      <c r="H783">
        <v>0</v>
      </c>
      <c r="I783">
        <v>0</v>
      </c>
    </row>
    <row r="784" spans="1:9" x14ac:dyDescent="0.25">
      <c r="A784">
        <v>76</v>
      </c>
      <c r="B784">
        <v>0</v>
      </c>
      <c r="C784">
        <v>2</v>
      </c>
      <c r="D784">
        <v>2</v>
      </c>
      <c r="E784">
        <v>0</v>
      </c>
      <c r="F784">
        <v>0</v>
      </c>
      <c r="G784">
        <v>5147</v>
      </c>
      <c r="H784">
        <v>0</v>
      </c>
      <c r="I784">
        <v>0</v>
      </c>
    </row>
    <row r="785" spans="1:9" x14ac:dyDescent="0.25">
      <c r="A785">
        <v>76</v>
      </c>
      <c r="B785">
        <v>1</v>
      </c>
      <c r="C785">
        <v>3</v>
      </c>
      <c r="D785">
        <v>4</v>
      </c>
      <c r="E785">
        <v>0</v>
      </c>
      <c r="F785">
        <v>0</v>
      </c>
      <c r="G785">
        <v>8026</v>
      </c>
      <c r="H785">
        <v>0</v>
      </c>
      <c r="I785">
        <v>0</v>
      </c>
    </row>
    <row r="786" spans="1:9" x14ac:dyDescent="0.25">
      <c r="A786">
        <v>76</v>
      </c>
      <c r="B786">
        <v>1</v>
      </c>
      <c r="C786">
        <v>12</v>
      </c>
      <c r="D786">
        <v>2</v>
      </c>
      <c r="E786">
        <v>0</v>
      </c>
      <c r="F786">
        <v>0</v>
      </c>
      <c r="G786">
        <v>23553</v>
      </c>
      <c r="H786">
        <v>0</v>
      </c>
      <c r="I786">
        <v>0</v>
      </c>
    </row>
    <row r="787" spans="1:9" x14ac:dyDescent="0.25">
      <c r="A787">
        <v>76</v>
      </c>
      <c r="B787">
        <v>0</v>
      </c>
      <c r="C787">
        <v>2</v>
      </c>
      <c r="D787">
        <v>1</v>
      </c>
      <c r="E787">
        <v>0</v>
      </c>
      <c r="F787">
        <v>0</v>
      </c>
      <c r="G787">
        <v>9993</v>
      </c>
      <c r="H787">
        <v>0</v>
      </c>
      <c r="I787">
        <v>0</v>
      </c>
    </row>
    <row r="788" spans="1:9" x14ac:dyDescent="0.25">
      <c r="A788">
        <v>76</v>
      </c>
      <c r="B788">
        <v>0</v>
      </c>
      <c r="C788">
        <v>11</v>
      </c>
      <c r="D788">
        <v>5</v>
      </c>
      <c r="E788">
        <v>1</v>
      </c>
      <c r="F788">
        <v>0</v>
      </c>
      <c r="G788">
        <v>53230</v>
      </c>
      <c r="H788">
        <v>0</v>
      </c>
      <c r="I788">
        <v>0</v>
      </c>
    </row>
    <row r="789" spans="1:9" x14ac:dyDescent="0.25">
      <c r="A789">
        <v>76</v>
      </c>
      <c r="B789">
        <v>1</v>
      </c>
      <c r="C789">
        <v>26</v>
      </c>
      <c r="D789">
        <v>4</v>
      </c>
      <c r="E789">
        <v>5</v>
      </c>
      <c r="F789">
        <v>0</v>
      </c>
      <c r="G789">
        <v>68114</v>
      </c>
      <c r="H789">
        <v>0</v>
      </c>
      <c r="I789">
        <v>0</v>
      </c>
    </row>
    <row r="790" spans="1:9" x14ac:dyDescent="0.25">
      <c r="A790">
        <v>76</v>
      </c>
      <c r="B790">
        <v>0</v>
      </c>
      <c r="C790">
        <v>14</v>
      </c>
      <c r="D790">
        <v>5</v>
      </c>
      <c r="E790">
        <v>1</v>
      </c>
      <c r="F790">
        <v>0</v>
      </c>
      <c r="G790">
        <v>24123</v>
      </c>
      <c r="H790">
        <v>0</v>
      </c>
      <c r="I790">
        <v>0</v>
      </c>
    </row>
    <row r="791" spans="1:9" x14ac:dyDescent="0.25">
      <c r="A791">
        <v>74</v>
      </c>
      <c r="B791">
        <v>0</v>
      </c>
      <c r="C791">
        <v>5</v>
      </c>
      <c r="D791">
        <v>5</v>
      </c>
      <c r="E791">
        <v>0</v>
      </c>
      <c r="F791">
        <v>0</v>
      </c>
      <c r="G791">
        <v>8688</v>
      </c>
      <c r="H791">
        <v>0</v>
      </c>
      <c r="I791">
        <v>0</v>
      </c>
    </row>
    <row r="792" spans="1:9" x14ac:dyDescent="0.25">
      <c r="A792">
        <v>73</v>
      </c>
      <c r="B792">
        <v>0</v>
      </c>
      <c r="C792">
        <v>17</v>
      </c>
      <c r="D792">
        <v>3</v>
      </c>
      <c r="E792">
        <v>1</v>
      </c>
      <c r="F792">
        <v>0</v>
      </c>
      <c r="G792">
        <v>60430</v>
      </c>
      <c r="H792">
        <v>0</v>
      </c>
      <c r="I792">
        <v>0</v>
      </c>
    </row>
    <row r="793" spans="1:9" x14ac:dyDescent="0.25">
      <c r="A793">
        <v>73</v>
      </c>
      <c r="B793">
        <v>1</v>
      </c>
      <c r="C793">
        <v>0</v>
      </c>
      <c r="D793">
        <v>3</v>
      </c>
      <c r="E793">
        <v>2</v>
      </c>
      <c r="F793">
        <v>0</v>
      </c>
      <c r="G793">
        <v>17149</v>
      </c>
      <c r="H793">
        <v>0</v>
      </c>
      <c r="I793">
        <v>0</v>
      </c>
    </row>
    <row r="794" spans="1:9" x14ac:dyDescent="0.25">
      <c r="A794">
        <v>73</v>
      </c>
      <c r="B794">
        <v>0</v>
      </c>
      <c r="C794">
        <v>4</v>
      </c>
      <c r="D794">
        <v>4</v>
      </c>
      <c r="E794">
        <v>0</v>
      </c>
      <c r="F794">
        <v>0</v>
      </c>
      <c r="G794">
        <v>18348</v>
      </c>
      <c r="H794">
        <v>0</v>
      </c>
      <c r="I794">
        <v>0</v>
      </c>
    </row>
    <row r="795" spans="1:9" x14ac:dyDescent="0.25">
      <c r="A795">
        <v>73</v>
      </c>
      <c r="B795">
        <v>0</v>
      </c>
      <c r="C795">
        <v>2</v>
      </c>
      <c r="D795">
        <v>1</v>
      </c>
      <c r="E795">
        <v>0</v>
      </c>
      <c r="F795">
        <v>0</v>
      </c>
      <c r="G795">
        <v>6480</v>
      </c>
      <c r="H795">
        <v>0</v>
      </c>
      <c r="I795">
        <v>0</v>
      </c>
    </row>
    <row r="796" spans="1:9" x14ac:dyDescent="0.25">
      <c r="A796">
        <v>73</v>
      </c>
      <c r="B796">
        <v>1</v>
      </c>
      <c r="C796">
        <v>2</v>
      </c>
      <c r="D796">
        <v>1</v>
      </c>
      <c r="E796">
        <v>1</v>
      </c>
      <c r="F796">
        <v>0</v>
      </c>
      <c r="G796">
        <v>6770</v>
      </c>
      <c r="H796">
        <v>0</v>
      </c>
      <c r="I796">
        <v>0</v>
      </c>
    </row>
    <row r="797" spans="1:9" x14ac:dyDescent="0.25">
      <c r="A797">
        <v>73</v>
      </c>
      <c r="B797">
        <v>0</v>
      </c>
      <c r="C797">
        <v>1</v>
      </c>
      <c r="D797">
        <v>0</v>
      </c>
      <c r="E797">
        <v>0</v>
      </c>
      <c r="F797">
        <v>0</v>
      </c>
      <c r="G797">
        <v>5613</v>
      </c>
      <c r="H797">
        <v>0</v>
      </c>
      <c r="I797">
        <v>0</v>
      </c>
    </row>
    <row r="798" spans="1:9" x14ac:dyDescent="0.25">
      <c r="A798">
        <v>73</v>
      </c>
      <c r="B798">
        <v>1</v>
      </c>
      <c r="C798">
        <v>3</v>
      </c>
      <c r="D798">
        <v>3</v>
      </c>
      <c r="E798">
        <v>0</v>
      </c>
      <c r="F798">
        <v>0</v>
      </c>
      <c r="G798">
        <v>8502</v>
      </c>
      <c r="H798">
        <v>0</v>
      </c>
      <c r="I798">
        <v>0</v>
      </c>
    </row>
    <row r="799" spans="1:9" x14ac:dyDescent="0.25">
      <c r="A799">
        <v>73</v>
      </c>
      <c r="B799">
        <v>0</v>
      </c>
      <c r="C799">
        <v>4</v>
      </c>
      <c r="D799">
        <v>6</v>
      </c>
      <c r="E799">
        <v>2</v>
      </c>
      <c r="F799">
        <v>0</v>
      </c>
      <c r="G799">
        <v>29383</v>
      </c>
      <c r="H799">
        <v>0</v>
      </c>
      <c r="I799">
        <v>0</v>
      </c>
    </row>
    <row r="800" spans="1:9" x14ac:dyDescent="0.25">
      <c r="A800">
        <v>73</v>
      </c>
      <c r="B800">
        <v>1</v>
      </c>
      <c r="C800">
        <v>16</v>
      </c>
      <c r="D800">
        <v>3</v>
      </c>
      <c r="E800">
        <v>0</v>
      </c>
      <c r="F800">
        <v>0</v>
      </c>
      <c r="G800">
        <v>24979</v>
      </c>
      <c r="H800">
        <v>0</v>
      </c>
      <c r="I800">
        <v>0</v>
      </c>
    </row>
    <row r="801" spans="1:9" x14ac:dyDescent="0.25">
      <c r="A801">
        <v>73</v>
      </c>
      <c r="B801">
        <v>1</v>
      </c>
      <c r="C801">
        <v>0</v>
      </c>
      <c r="D801">
        <v>6</v>
      </c>
      <c r="E801">
        <v>0</v>
      </c>
      <c r="F801">
        <v>0</v>
      </c>
      <c r="G801">
        <v>2827</v>
      </c>
      <c r="H801">
        <v>0</v>
      </c>
      <c r="I801">
        <v>0</v>
      </c>
    </row>
    <row r="802" spans="1:9" x14ac:dyDescent="0.25">
      <c r="A802">
        <v>73</v>
      </c>
      <c r="B802">
        <v>1</v>
      </c>
      <c r="C802">
        <v>2</v>
      </c>
      <c r="D802">
        <v>4</v>
      </c>
      <c r="E802">
        <v>0</v>
      </c>
      <c r="F802">
        <v>0</v>
      </c>
      <c r="G802">
        <v>7239</v>
      </c>
      <c r="H802">
        <v>0</v>
      </c>
      <c r="I802">
        <v>0</v>
      </c>
    </row>
    <row r="803" spans="1:9" x14ac:dyDescent="0.25">
      <c r="A803">
        <v>73</v>
      </c>
      <c r="B803">
        <v>1</v>
      </c>
      <c r="C803">
        <v>6</v>
      </c>
      <c r="D803">
        <v>8</v>
      </c>
      <c r="E803">
        <v>2</v>
      </c>
      <c r="F803">
        <v>0</v>
      </c>
      <c r="G803">
        <v>25732</v>
      </c>
      <c r="H803">
        <v>0</v>
      </c>
      <c r="I803">
        <v>0</v>
      </c>
    </row>
    <row r="804" spans="1:9" x14ac:dyDescent="0.25">
      <c r="A804">
        <v>73</v>
      </c>
      <c r="B804">
        <v>1</v>
      </c>
      <c r="C804">
        <v>4</v>
      </c>
      <c r="D804">
        <v>5</v>
      </c>
      <c r="E804">
        <v>0</v>
      </c>
      <c r="F804">
        <v>0</v>
      </c>
      <c r="G804">
        <v>7039</v>
      </c>
      <c r="H804">
        <v>0</v>
      </c>
      <c r="I804">
        <v>0</v>
      </c>
    </row>
    <row r="805" spans="1:9" x14ac:dyDescent="0.25">
      <c r="A805">
        <v>73</v>
      </c>
      <c r="B805">
        <v>1</v>
      </c>
      <c r="C805">
        <v>2</v>
      </c>
      <c r="D805">
        <v>6</v>
      </c>
      <c r="E805">
        <v>0</v>
      </c>
      <c r="F805">
        <v>0</v>
      </c>
      <c r="G805">
        <v>5636</v>
      </c>
      <c r="H805">
        <v>0</v>
      </c>
      <c r="I805">
        <v>0</v>
      </c>
    </row>
    <row r="806" spans="1:9" x14ac:dyDescent="0.25">
      <c r="A806">
        <v>73</v>
      </c>
      <c r="B806">
        <v>1</v>
      </c>
      <c r="C806">
        <v>3</v>
      </c>
      <c r="D806">
        <v>2</v>
      </c>
      <c r="E806">
        <v>1</v>
      </c>
      <c r="F806">
        <v>0</v>
      </c>
      <c r="G806">
        <v>16452</v>
      </c>
      <c r="H806">
        <v>1</v>
      </c>
      <c r="I806">
        <v>0</v>
      </c>
    </row>
    <row r="807" spans="1:9" x14ac:dyDescent="0.25">
      <c r="A807">
        <v>73</v>
      </c>
      <c r="B807">
        <v>1</v>
      </c>
      <c r="C807">
        <v>5</v>
      </c>
      <c r="D807">
        <v>4</v>
      </c>
      <c r="E807">
        <v>2</v>
      </c>
      <c r="F807">
        <v>0</v>
      </c>
      <c r="G807">
        <v>32697</v>
      </c>
      <c r="H807">
        <v>1</v>
      </c>
      <c r="I807">
        <v>0</v>
      </c>
    </row>
    <row r="808" spans="1:9" x14ac:dyDescent="0.25">
      <c r="A808">
        <v>73</v>
      </c>
      <c r="B808">
        <v>1</v>
      </c>
      <c r="C808">
        <v>7</v>
      </c>
      <c r="D808">
        <v>2</v>
      </c>
      <c r="E808">
        <v>6</v>
      </c>
      <c r="F808">
        <v>0</v>
      </c>
      <c r="G808">
        <v>74209</v>
      </c>
      <c r="H808">
        <v>1</v>
      </c>
      <c r="I808">
        <v>0</v>
      </c>
    </row>
    <row r="809" spans="1:9" x14ac:dyDescent="0.25">
      <c r="A809">
        <v>73</v>
      </c>
      <c r="B809">
        <v>1</v>
      </c>
      <c r="C809">
        <v>7</v>
      </c>
      <c r="D809">
        <v>4</v>
      </c>
      <c r="E809">
        <v>5</v>
      </c>
      <c r="F809">
        <v>0</v>
      </c>
      <c r="G809">
        <v>52973</v>
      </c>
      <c r="H809">
        <v>1</v>
      </c>
      <c r="I809">
        <v>0</v>
      </c>
    </row>
    <row r="810" spans="1:9" x14ac:dyDescent="0.25">
      <c r="A810">
        <v>72</v>
      </c>
      <c r="B810">
        <v>1</v>
      </c>
      <c r="C810">
        <v>5</v>
      </c>
      <c r="D810">
        <v>3</v>
      </c>
      <c r="E810">
        <v>0</v>
      </c>
      <c r="F810">
        <v>0</v>
      </c>
      <c r="G810">
        <v>17211</v>
      </c>
      <c r="H810">
        <v>0</v>
      </c>
      <c r="I810">
        <v>0</v>
      </c>
    </row>
    <row r="811" spans="1:9" x14ac:dyDescent="0.25">
      <c r="A811">
        <v>72</v>
      </c>
      <c r="B811">
        <v>0</v>
      </c>
      <c r="C811">
        <v>2</v>
      </c>
      <c r="D811">
        <v>2</v>
      </c>
      <c r="E811">
        <v>0</v>
      </c>
      <c r="F811">
        <v>0</v>
      </c>
      <c r="G811">
        <v>8389</v>
      </c>
      <c r="H811">
        <v>0</v>
      </c>
      <c r="I811">
        <v>0</v>
      </c>
    </row>
    <row r="812" spans="1:9" x14ac:dyDescent="0.25">
      <c r="A812">
        <v>72</v>
      </c>
      <c r="B812">
        <v>0</v>
      </c>
      <c r="C812">
        <v>5</v>
      </c>
      <c r="D812">
        <v>3</v>
      </c>
      <c r="E812">
        <v>0</v>
      </c>
      <c r="F812">
        <v>0</v>
      </c>
      <c r="G812">
        <v>9131</v>
      </c>
      <c r="H812">
        <v>0</v>
      </c>
      <c r="I812">
        <v>0</v>
      </c>
    </row>
    <row r="813" spans="1:9" x14ac:dyDescent="0.25">
      <c r="A813">
        <v>72</v>
      </c>
      <c r="B813">
        <v>1</v>
      </c>
      <c r="C813">
        <v>1</v>
      </c>
      <c r="D813">
        <v>6</v>
      </c>
      <c r="E813">
        <v>0</v>
      </c>
      <c r="F813">
        <v>0</v>
      </c>
      <c r="G813">
        <v>6347</v>
      </c>
      <c r="H813">
        <v>0</v>
      </c>
      <c r="I813">
        <v>0</v>
      </c>
    </row>
    <row r="814" spans="1:9" x14ac:dyDescent="0.25">
      <c r="A814">
        <v>72</v>
      </c>
      <c r="B814">
        <v>0</v>
      </c>
      <c r="C814">
        <v>6</v>
      </c>
      <c r="D814">
        <v>4</v>
      </c>
      <c r="E814">
        <v>0</v>
      </c>
      <c r="F814">
        <v>0</v>
      </c>
      <c r="G814">
        <v>13946</v>
      </c>
      <c r="H814">
        <v>0</v>
      </c>
      <c r="I814">
        <v>0</v>
      </c>
    </row>
    <row r="815" spans="1:9" x14ac:dyDescent="0.25">
      <c r="A815">
        <v>72</v>
      </c>
      <c r="B815">
        <v>1</v>
      </c>
      <c r="C815">
        <v>2</v>
      </c>
      <c r="D815">
        <v>7</v>
      </c>
      <c r="E815">
        <v>0</v>
      </c>
      <c r="F815">
        <v>0</v>
      </c>
      <c r="G815">
        <v>13150</v>
      </c>
      <c r="H815">
        <v>0</v>
      </c>
      <c r="I815">
        <v>0</v>
      </c>
    </row>
    <row r="816" spans="1:9" x14ac:dyDescent="0.25">
      <c r="A816">
        <v>72</v>
      </c>
      <c r="B816">
        <v>1</v>
      </c>
      <c r="C816">
        <v>2</v>
      </c>
      <c r="D816">
        <v>7</v>
      </c>
      <c r="E816">
        <v>0</v>
      </c>
      <c r="F816">
        <v>0</v>
      </c>
      <c r="G816">
        <v>17912</v>
      </c>
      <c r="H816">
        <v>0</v>
      </c>
      <c r="I816">
        <v>0</v>
      </c>
    </row>
    <row r="817" spans="1:9" x14ac:dyDescent="0.25">
      <c r="A817">
        <v>72</v>
      </c>
      <c r="B817">
        <v>0</v>
      </c>
      <c r="C817">
        <v>7</v>
      </c>
      <c r="D817">
        <v>3</v>
      </c>
      <c r="E817">
        <v>1</v>
      </c>
      <c r="F817">
        <v>0</v>
      </c>
      <c r="G817">
        <v>34644</v>
      </c>
      <c r="H817">
        <v>0</v>
      </c>
      <c r="I817">
        <v>0</v>
      </c>
    </row>
    <row r="818" spans="1:9" x14ac:dyDescent="0.25">
      <c r="A818">
        <v>72</v>
      </c>
      <c r="B818">
        <v>1</v>
      </c>
      <c r="C818">
        <v>2</v>
      </c>
      <c r="D818">
        <v>5</v>
      </c>
      <c r="E818">
        <v>0</v>
      </c>
      <c r="F818">
        <v>0</v>
      </c>
      <c r="G818">
        <v>8040</v>
      </c>
      <c r="H818">
        <v>0</v>
      </c>
      <c r="I818">
        <v>0</v>
      </c>
    </row>
    <row r="819" spans="1:9" x14ac:dyDescent="0.25">
      <c r="A819">
        <v>72</v>
      </c>
      <c r="B819">
        <v>1</v>
      </c>
      <c r="C819">
        <v>2</v>
      </c>
      <c r="D819">
        <v>3</v>
      </c>
      <c r="E819">
        <v>0</v>
      </c>
      <c r="F819">
        <v>0</v>
      </c>
      <c r="G819">
        <v>8721</v>
      </c>
      <c r="H819">
        <v>0</v>
      </c>
      <c r="I819">
        <v>0</v>
      </c>
    </row>
    <row r="820" spans="1:9" x14ac:dyDescent="0.25">
      <c r="A820">
        <v>72</v>
      </c>
      <c r="B820">
        <v>1</v>
      </c>
      <c r="C820">
        <v>7</v>
      </c>
      <c r="D820">
        <v>6</v>
      </c>
      <c r="E820">
        <v>0</v>
      </c>
      <c r="F820">
        <v>0</v>
      </c>
      <c r="G820">
        <v>35819</v>
      </c>
      <c r="H820">
        <v>0</v>
      </c>
      <c r="I820">
        <v>0</v>
      </c>
    </row>
    <row r="821" spans="1:9" x14ac:dyDescent="0.25">
      <c r="A821">
        <v>72</v>
      </c>
      <c r="B821">
        <v>1</v>
      </c>
      <c r="C821">
        <v>4</v>
      </c>
      <c r="D821">
        <v>3</v>
      </c>
      <c r="E821">
        <v>0</v>
      </c>
      <c r="F821">
        <v>0</v>
      </c>
      <c r="G821">
        <v>9541</v>
      </c>
      <c r="H821">
        <v>0</v>
      </c>
      <c r="I821">
        <v>0</v>
      </c>
    </row>
    <row r="822" spans="1:9" x14ac:dyDescent="0.25">
      <c r="A822">
        <v>72</v>
      </c>
      <c r="B822">
        <v>1</v>
      </c>
      <c r="C822">
        <v>30</v>
      </c>
      <c r="D822">
        <v>4</v>
      </c>
      <c r="E822">
        <v>2</v>
      </c>
      <c r="F822">
        <v>0</v>
      </c>
      <c r="G822">
        <v>84360</v>
      </c>
      <c r="H822">
        <v>0</v>
      </c>
      <c r="I822">
        <v>0</v>
      </c>
    </row>
    <row r="823" spans="1:9" x14ac:dyDescent="0.25">
      <c r="A823">
        <v>72</v>
      </c>
      <c r="B823">
        <v>1</v>
      </c>
      <c r="C823">
        <v>17</v>
      </c>
      <c r="D823">
        <v>2</v>
      </c>
      <c r="E823">
        <v>0</v>
      </c>
      <c r="F823">
        <v>0</v>
      </c>
      <c r="G823">
        <v>33915</v>
      </c>
      <c r="H823">
        <v>0</v>
      </c>
      <c r="I823">
        <v>0</v>
      </c>
    </row>
    <row r="824" spans="1:9" x14ac:dyDescent="0.25">
      <c r="A824">
        <v>72</v>
      </c>
      <c r="B824">
        <v>1</v>
      </c>
      <c r="C824">
        <v>2</v>
      </c>
      <c r="D824">
        <v>5</v>
      </c>
      <c r="E824">
        <v>0</v>
      </c>
      <c r="F824">
        <v>0</v>
      </c>
      <c r="G824">
        <v>4658</v>
      </c>
      <c r="H824">
        <v>0</v>
      </c>
      <c r="I824">
        <v>0</v>
      </c>
    </row>
    <row r="825" spans="1:9" x14ac:dyDescent="0.25">
      <c r="A825">
        <v>72</v>
      </c>
      <c r="B825">
        <v>0</v>
      </c>
      <c r="C825">
        <v>4</v>
      </c>
      <c r="D825">
        <v>3</v>
      </c>
      <c r="E825">
        <v>1</v>
      </c>
      <c r="F825">
        <v>0</v>
      </c>
      <c r="G825">
        <v>8138</v>
      </c>
      <c r="H825">
        <v>0</v>
      </c>
      <c r="I825">
        <v>0</v>
      </c>
    </row>
    <row r="826" spans="1:9" x14ac:dyDescent="0.25">
      <c r="A826">
        <v>72</v>
      </c>
      <c r="B826">
        <v>1</v>
      </c>
      <c r="C826">
        <v>7</v>
      </c>
      <c r="D826">
        <v>6</v>
      </c>
      <c r="E826">
        <v>1</v>
      </c>
      <c r="F826">
        <v>0</v>
      </c>
      <c r="G826">
        <v>37186</v>
      </c>
      <c r="H826">
        <v>1</v>
      </c>
      <c r="I826">
        <v>0</v>
      </c>
    </row>
    <row r="827" spans="1:9" x14ac:dyDescent="0.25">
      <c r="A827">
        <v>72</v>
      </c>
      <c r="B827">
        <v>0</v>
      </c>
      <c r="C827">
        <v>1</v>
      </c>
      <c r="D827">
        <v>1</v>
      </c>
      <c r="E827">
        <v>1</v>
      </c>
      <c r="F827">
        <v>0</v>
      </c>
      <c r="G827">
        <v>16690</v>
      </c>
      <c r="H827">
        <v>1</v>
      </c>
      <c r="I827">
        <v>0</v>
      </c>
    </row>
    <row r="828" spans="1:9" x14ac:dyDescent="0.25">
      <c r="A828">
        <v>72</v>
      </c>
      <c r="B828">
        <v>0</v>
      </c>
      <c r="C828">
        <v>3</v>
      </c>
      <c r="D828">
        <v>2</v>
      </c>
      <c r="E828">
        <v>5</v>
      </c>
      <c r="F828">
        <v>0</v>
      </c>
      <c r="G828">
        <v>14199</v>
      </c>
      <c r="H828">
        <v>1</v>
      </c>
      <c r="I828">
        <v>0</v>
      </c>
    </row>
    <row r="829" spans="1:9" x14ac:dyDescent="0.25">
      <c r="A829">
        <v>71</v>
      </c>
      <c r="B829">
        <v>1</v>
      </c>
      <c r="C829">
        <v>2</v>
      </c>
      <c r="D829">
        <v>5</v>
      </c>
      <c r="E829">
        <v>0</v>
      </c>
      <c r="F829">
        <v>0</v>
      </c>
      <c r="G829">
        <v>7522</v>
      </c>
      <c r="H829">
        <v>0</v>
      </c>
      <c r="I829">
        <v>0</v>
      </c>
    </row>
    <row r="830" spans="1:9" x14ac:dyDescent="0.25">
      <c r="A830">
        <v>71</v>
      </c>
      <c r="B830">
        <v>0</v>
      </c>
      <c r="C830">
        <v>11</v>
      </c>
      <c r="D830">
        <v>1</v>
      </c>
      <c r="E830">
        <v>0</v>
      </c>
      <c r="F830">
        <v>0</v>
      </c>
      <c r="G830">
        <v>16679</v>
      </c>
      <c r="H830">
        <v>0</v>
      </c>
      <c r="I830">
        <v>0</v>
      </c>
    </row>
    <row r="831" spans="1:9" x14ac:dyDescent="0.25">
      <c r="A831">
        <v>71</v>
      </c>
      <c r="B831">
        <v>0</v>
      </c>
      <c r="C831">
        <v>6</v>
      </c>
      <c r="D831">
        <v>4</v>
      </c>
      <c r="E831">
        <v>0</v>
      </c>
      <c r="F831">
        <v>0</v>
      </c>
      <c r="G831">
        <v>16731</v>
      </c>
      <c r="H831">
        <v>0</v>
      </c>
      <c r="I831">
        <v>0</v>
      </c>
    </row>
    <row r="832" spans="1:9" x14ac:dyDescent="0.25">
      <c r="A832">
        <v>71</v>
      </c>
      <c r="B832">
        <v>1</v>
      </c>
      <c r="C832">
        <v>5</v>
      </c>
      <c r="D832">
        <v>2</v>
      </c>
      <c r="E832">
        <v>0</v>
      </c>
      <c r="F832">
        <v>0</v>
      </c>
      <c r="G832">
        <v>13579</v>
      </c>
      <c r="H832">
        <v>0</v>
      </c>
      <c r="I832">
        <v>0</v>
      </c>
    </row>
    <row r="833" spans="1:9" x14ac:dyDescent="0.25">
      <c r="A833">
        <v>71</v>
      </c>
      <c r="B833">
        <v>0</v>
      </c>
      <c r="C833">
        <v>4</v>
      </c>
      <c r="D833">
        <v>4</v>
      </c>
      <c r="E833">
        <v>0</v>
      </c>
      <c r="F833">
        <v>0</v>
      </c>
      <c r="G833">
        <v>22439</v>
      </c>
      <c r="H833">
        <v>0</v>
      </c>
      <c r="I833">
        <v>0</v>
      </c>
    </row>
    <row r="834" spans="1:9" x14ac:dyDescent="0.25">
      <c r="A834">
        <v>71</v>
      </c>
      <c r="B834">
        <v>0</v>
      </c>
      <c r="C834">
        <v>2</v>
      </c>
      <c r="D834">
        <v>5</v>
      </c>
      <c r="E834">
        <v>0</v>
      </c>
      <c r="F834">
        <v>0</v>
      </c>
      <c r="G834">
        <v>10640</v>
      </c>
      <c r="H834">
        <v>0</v>
      </c>
      <c r="I834">
        <v>0</v>
      </c>
    </row>
    <row r="835" spans="1:9" x14ac:dyDescent="0.25">
      <c r="A835">
        <v>71</v>
      </c>
      <c r="B835">
        <v>1</v>
      </c>
      <c r="C835">
        <v>10</v>
      </c>
      <c r="D835">
        <v>6</v>
      </c>
      <c r="E835">
        <v>0</v>
      </c>
      <c r="F835">
        <v>0</v>
      </c>
      <c r="G835">
        <v>37382</v>
      </c>
      <c r="H835">
        <v>0</v>
      </c>
      <c r="I835">
        <v>0</v>
      </c>
    </row>
    <row r="836" spans="1:9" x14ac:dyDescent="0.25">
      <c r="A836">
        <v>71</v>
      </c>
      <c r="B836">
        <v>0</v>
      </c>
      <c r="C836">
        <v>1</v>
      </c>
      <c r="D836">
        <v>4</v>
      </c>
      <c r="E836">
        <v>0</v>
      </c>
      <c r="F836">
        <v>0</v>
      </c>
      <c r="G836">
        <v>5683</v>
      </c>
      <c r="H836">
        <v>0</v>
      </c>
      <c r="I836">
        <v>0</v>
      </c>
    </row>
    <row r="837" spans="1:9" x14ac:dyDescent="0.25">
      <c r="A837">
        <v>71</v>
      </c>
      <c r="B837">
        <v>0</v>
      </c>
      <c r="C837">
        <v>4</v>
      </c>
      <c r="D837">
        <v>3</v>
      </c>
      <c r="E837">
        <v>2</v>
      </c>
      <c r="F837">
        <v>0</v>
      </c>
      <c r="G837">
        <v>20741</v>
      </c>
      <c r="H837">
        <v>0</v>
      </c>
      <c r="I837">
        <v>0</v>
      </c>
    </row>
    <row r="838" spans="1:9" x14ac:dyDescent="0.25">
      <c r="A838">
        <v>71</v>
      </c>
      <c r="B838">
        <v>0</v>
      </c>
      <c r="C838">
        <v>5</v>
      </c>
      <c r="D838">
        <v>3</v>
      </c>
      <c r="E838">
        <v>0</v>
      </c>
      <c r="F838">
        <v>0</v>
      </c>
      <c r="G838">
        <v>17100</v>
      </c>
      <c r="H838">
        <v>0</v>
      </c>
      <c r="I838">
        <v>0</v>
      </c>
    </row>
    <row r="839" spans="1:9" x14ac:dyDescent="0.25">
      <c r="A839">
        <v>71</v>
      </c>
      <c r="B839">
        <v>1</v>
      </c>
      <c r="C839">
        <v>3</v>
      </c>
      <c r="D839">
        <v>4</v>
      </c>
      <c r="E839">
        <v>0</v>
      </c>
      <c r="F839">
        <v>0</v>
      </c>
      <c r="G839">
        <v>11365</v>
      </c>
      <c r="H839">
        <v>0</v>
      </c>
      <c r="I839">
        <v>0</v>
      </c>
    </row>
    <row r="840" spans="1:9" x14ac:dyDescent="0.25">
      <c r="A840">
        <v>71</v>
      </c>
      <c r="B840">
        <v>0</v>
      </c>
      <c r="C840">
        <v>0</v>
      </c>
      <c r="D840">
        <v>3</v>
      </c>
      <c r="E840">
        <v>0</v>
      </c>
      <c r="F840">
        <v>0</v>
      </c>
      <c r="G840">
        <v>5602</v>
      </c>
      <c r="H840">
        <v>0</v>
      </c>
      <c r="I840">
        <v>0</v>
      </c>
    </row>
    <row r="841" spans="1:9" x14ac:dyDescent="0.25">
      <c r="A841">
        <v>71</v>
      </c>
      <c r="B841">
        <v>0</v>
      </c>
      <c r="C841">
        <v>1</v>
      </c>
      <c r="D841">
        <v>3</v>
      </c>
      <c r="E841">
        <v>0</v>
      </c>
      <c r="F841">
        <v>0</v>
      </c>
      <c r="G841">
        <v>10433</v>
      </c>
      <c r="H841">
        <v>0</v>
      </c>
      <c r="I841">
        <v>0</v>
      </c>
    </row>
    <row r="842" spans="1:9" x14ac:dyDescent="0.25">
      <c r="A842">
        <v>71</v>
      </c>
      <c r="B842">
        <v>1</v>
      </c>
      <c r="C842">
        <v>7</v>
      </c>
      <c r="D842">
        <v>6</v>
      </c>
      <c r="E842">
        <v>0</v>
      </c>
      <c r="F842">
        <v>0</v>
      </c>
      <c r="G842">
        <v>19621</v>
      </c>
      <c r="H842">
        <v>0</v>
      </c>
      <c r="I842">
        <v>0</v>
      </c>
    </row>
    <row r="843" spans="1:9" x14ac:dyDescent="0.25">
      <c r="A843">
        <v>71</v>
      </c>
      <c r="B843">
        <v>0</v>
      </c>
      <c r="C843">
        <v>3</v>
      </c>
      <c r="D843">
        <v>4</v>
      </c>
      <c r="E843">
        <v>0</v>
      </c>
      <c r="F843">
        <v>0</v>
      </c>
      <c r="G843">
        <v>15871</v>
      </c>
      <c r="H843">
        <v>0</v>
      </c>
      <c r="I843">
        <v>0</v>
      </c>
    </row>
    <row r="844" spans="1:9" x14ac:dyDescent="0.25">
      <c r="A844">
        <v>71</v>
      </c>
      <c r="B844">
        <v>0</v>
      </c>
      <c r="C844">
        <v>13</v>
      </c>
      <c r="D844">
        <v>3</v>
      </c>
      <c r="E844">
        <v>0</v>
      </c>
      <c r="F844">
        <v>0</v>
      </c>
      <c r="G844">
        <v>22876</v>
      </c>
      <c r="H844">
        <v>0</v>
      </c>
      <c r="I844">
        <v>0</v>
      </c>
    </row>
    <row r="845" spans="1:9" x14ac:dyDescent="0.25">
      <c r="A845">
        <v>71</v>
      </c>
      <c r="B845">
        <v>0</v>
      </c>
      <c r="C845">
        <v>4</v>
      </c>
      <c r="D845">
        <v>5</v>
      </c>
      <c r="E845">
        <v>0</v>
      </c>
      <c r="F845">
        <v>0</v>
      </c>
      <c r="G845">
        <v>24199</v>
      </c>
      <c r="H845">
        <v>0</v>
      </c>
      <c r="I845">
        <v>0</v>
      </c>
    </row>
    <row r="846" spans="1:9" x14ac:dyDescent="0.25">
      <c r="A846">
        <v>71</v>
      </c>
      <c r="B846">
        <v>0</v>
      </c>
      <c r="C846">
        <v>0</v>
      </c>
      <c r="D846">
        <v>5</v>
      </c>
      <c r="E846">
        <v>0</v>
      </c>
      <c r="F846">
        <v>0</v>
      </c>
      <c r="G846">
        <v>2611</v>
      </c>
      <c r="H846">
        <v>0</v>
      </c>
      <c r="I846">
        <v>0</v>
      </c>
    </row>
    <row r="847" spans="1:9" x14ac:dyDescent="0.25">
      <c r="A847">
        <v>71</v>
      </c>
      <c r="B847">
        <v>0</v>
      </c>
      <c r="C847">
        <v>7</v>
      </c>
      <c r="D847">
        <v>6</v>
      </c>
      <c r="E847">
        <v>0</v>
      </c>
      <c r="F847">
        <v>0</v>
      </c>
      <c r="G847">
        <v>23678</v>
      </c>
      <c r="H847">
        <v>0</v>
      </c>
      <c r="I847">
        <v>0</v>
      </c>
    </row>
    <row r="848" spans="1:9" x14ac:dyDescent="0.25">
      <c r="A848">
        <v>71</v>
      </c>
      <c r="B848">
        <v>1</v>
      </c>
      <c r="C848">
        <v>3</v>
      </c>
      <c r="D848">
        <v>6</v>
      </c>
      <c r="E848">
        <v>0</v>
      </c>
      <c r="F848">
        <v>0</v>
      </c>
      <c r="G848">
        <v>9580</v>
      </c>
      <c r="H848">
        <v>0</v>
      </c>
      <c r="I848">
        <v>0</v>
      </c>
    </row>
    <row r="849" spans="1:9" x14ac:dyDescent="0.25">
      <c r="A849">
        <v>71</v>
      </c>
      <c r="B849">
        <v>1</v>
      </c>
      <c r="C849">
        <v>5</v>
      </c>
      <c r="D849">
        <v>4</v>
      </c>
      <c r="E849">
        <v>0</v>
      </c>
      <c r="F849">
        <v>0</v>
      </c>
      <c r="G849">
        <v>14591</v>
      </c>
      <c r="H849">
        <v>0</v>
      </c>
      <c r="I849">
        <v>0</v>
      </c>
    </row>
    <row r="850" spans="1:9" x14ac:dyDescent="0.25">
      <c r="A850">
        <v>71</v>
      </c>
      <c r="B850">
        <v>0</v>
      </c>
      <c r="C850">
        <v>3</v>
      </c>
      <c r="D850">
        <v>2</v>
      </c>
      <c r="E850">
        <v>0</v>
      </c>
      <c r="F850">
        <v>0</v>
      </c>
      <c r="G850">
        <v>9460</v>
      </c>
      <c r="H850">
        <v>0</v>
      </c>
      <c r="I850">
        <v>0</v>
      </c>
    </row>
    <row r="851" spans="1:9" x14ac:dyDescent="0.25">
      <c r="A851">
        <v>71</v>
      </c>
      <c r="B851">
        <v>1</v>
      </c>
      <c r="C851">
        <v>2</v>
      </c>
      <c r="D851">
        <v>5</v>
      </c>
      <c r="E851">
        <v>0</v>
      </c>
      <c r="F851">
        <v>0</v>
      </c>
      <c r="G851">
        <v>12730</v>
      </c>
      <c r="H851">
        <v>0</v>
      </c>
      <c r="I851">
        <v>0</v>
      </c>
    </row>
    <row r="852" spans="1:9" x14ac:dyDescent="0.25">
      <c r="A852">
        <v>71</v>
      </c>
      <c r="B852">
        <v>0</v>
      </c>
      <c r="C852">
        <v>5</v>
      </c>
      <c r="D852">
        <v>4</v>
      </c>
      <c r="E852">
        <v>0</v>
      </c>
      <c r="F852">
        <v>0</v>
      </c>
      <c r="G852">
        <v>11827</v>
      </c>
      <c r="H852">
        <v>0</v>
      </c>
      <c r="I852">
        <v>0</v>
      </c>
    </row>
    <row r="853" spans="1:9" x14ac:dyDescent="0.25">
      <c r="A853">
        <v>71</v>
      </c>
      <c r="B853">
        <v>0</v>
      </c>
      <c r="C853">
        <v>1</v>
      </c>
      <c r="D853">
        <v>4</v>
      </c>
      <c r="E853">
        <v>1</v>
      </c>
      <c r="F853">
        <v>0</v>
      </c>
      <c r="G853">
        <v>6008</v>
      </c>
      <c r="H853">
        <v>0</v>
      </c>
      <c r="I853">
        <v>0</v>
      </c>
    </row>
    <row r="854" spans="1:9" x14ac:dyDescent="0.25">
      <c r="A854">
        <v>71</v>
      </c>
      <c r="B854">
        <v>0</v>
      </c>
      <c r="C854">
        <v>2</v>
      </c>
      <c r="D854">
        <v>1</v>
      </c>
      <c r="E854">
        <v>0</v>
      </c>
      <c r="F854">
        <v>0</v>
      </c>
      <c r="G854">
        <v>5472</v>
      </c>
      <c r="H854">
        <v>0</v>
      </c>
      <c r="I854">
        <v>0</v>
      </c>
    </row>
    <row r="855" spans="1:9" x14ac:dyDescent="0.25">
      <c r="A855">
        <v>71</v>
      </c>
      <c r="B855">
        <v>1</v>
      </c>
      <c r="C855">
        <v>7</v>
      </c>
      <c r="D855">
        <v>6</v>
      </c>
      <c r="E855">
        <v>3</v>
      </c>
      <c r="F855">
        <v>0</v>
      </c>
      <c r="G855">
        <v>35246</v>
      </c>
      <c r="H855">
        <v>0</v>
      </c>
      <c r="I855">
        <v>0</v>
      </c>
    </row>
    <row r="856" spans="1:9" x14ac:dyDescent="0.25">
      <c r="A856">
        <v>71</v>
      </c>
      <c r="B856">
        <v>0</v>
      </c>
      <c r="C856">
        <v>6</v>
      </c>
      <c r="D856">
        <v>7</v>
      </c>
      <c r="E856">
        <v>0</v>
      </c>
      <c r="F856">
        <v>0</v>
      </c>
      <c r="G856">
        <v>11341</v>
      </c>
      <c r="H856">
        <v>0</v>
      </c>
      <c r="I856">
        <v>0</v>
      </c>
    </row>
    <row r="857" spans="1:9" x14ac:dyDescent="0.25">
      <c r="A857">
        <v>71</v>
      </c>
      <c r="B857">
        <v>1</v>
      </c>
      <c r="C857">
        <v>3</v>
      </c>
      <c r="D857">
        <v>3</v>
      </c>
      <c r="E857">
        <v>1</v>
      </c>
      <c r="F857">
        <v>0</v>
      </c>
      <c r="G857">
        <v>16061</v>
      </c>
      <c r="H857">
        <v>0</v>
      </c>
      <c r="I857">
        <v>0</v>
      </c>
    </row>
    <row r="858" spans="1:9" x14ac:dyDescent="0.25">
      <c r="A858">
        <v>71</v>
      </c>
      <c r="B858">
        <v>0</v>
      </c>
      <c r="C858">
        <v>2</v>
      </c>
      <c r="D858">
        <v>7</v>
      </c>
      <c r="E858">
        <v>0</v>
      </c>
      <c r="F858">
        <v>0</v>
      </c>
      <c r="G858">
        <v>6509</v>
      </c>
      <c r="H858">
        <v>0</v>
      </c>
      <c r="I858">
        <v>0</v>
      </c>
    </row>
    <row r="859" spans="1:9" x14ac:dyDescent="0.25">
      <c r="A859">
        <v>71</v>
      </c>
      <c r="B859">
        <v>1</v>
      </c>
      <c r="C859">
        <v>3</v>
      </c>
      <c r="D859">
        <v>2</v>
      </c>
      <c r="E859">
        <v>3</v>
      </c>
      <c r="F859">
        <v>0</v>
      </c>
      <c r="G859">
        <v>40590</v>
      </c>
      <c r="H859">
        <v>1</v>
      </c>
      <c r="I859">
        <v>0</v>
      </c>
    </row>
    <row r="860" spans="1:9" x14ac:dyDescent="0.25">
      <c r="A860">
        <v>71</v>
      </c>
      <c r="B860">
        <v>1</v>
      </c>
      <c r="C860">
        <v>3</v>
      </c>
      <c r="D860">
        <v>4</v>
      </c>
      <c r="E860">
        <v>1</v>
      </c>
      <c r="F860">
        <v>0</v>
      </c>
      <c r="G860">
        <v>24784</v>
      </c>
      <c r="H860">
        <v>1</v>
      </c>
      <c r="I860">
        <v>0</v>
      </c>
    </row>
    <row r="861" spans="1:9" x14ac:dyDescent="0.25">
      <c r="A861">
        <v>71</v>
      </c>
      <c r="B861">
        <v>1</v>
      </c>
      <c r="C861">
        <v>5</v>
      </c>
      <c r="D861">
        <v>5</v>
      </c>
      <c r="E861">
        <v>1</v>
      </c>
      <c r="F861">
        <v>0</v>
      </c>
      <c r="G861">
        <v>22655</v>
      </c>
      <c r="H861">
        <v>1</v>
      </c>
      <c r="I861">
        <v>0</v>
      </c>
    </row>
    <row r="862" spans="1:9" x14ac:dyDescent="0.25">
      <c r="A862">
        <v>71</v>
      </c>
      <c r="B862">
        <v>1</v>
      </c>
      <c r="C862">
        <v>2</v>
      </c>
      <c r="D862">
        <v>4</v>
      </c>
      <c r="E862">
        <v>1</v>
      </c>
      <c r="F862">
        <v>0</v>
      </c>
      <c r="G862">
        <v>20619</v>
      </c>
      <c r="H862">
        <v>1</v>
      </c>
      <c r="I862">
        <v>0</v>
      </c>
    </row>
    <row r="863" spans="1:9" x14ac:dyDescent="0.25">
      <c r="A863">
        <v>71</v>
      </c>
      <c r="B863">
        <v>1</v>
      </c>
      <c r="C863">
        <v>8</v>
      </c>
      <c r="D863">
        <v>6</v>
      </c>
      <c r="E863">
        <v>3</v>
      </c>
      <c r="F863">
        <v>0</v>
      </c>
      <c r="G863">
        <v>30148</v>
      </c>
      <c r="H863">
        <v>1</v>
      </c>
      <c r="I863">
        <v>0</v>
      </c>
    </row>
    <row r="864" spans="1:9" x14ac:dyDescent="0.25">
      <c r="A864">
        <v>70</v>
      </c>
      <c r="B864">
        <v>1</v>
      </c>
      <c r="C864">
        <v>28</v>
      </c>
      <c r="D864">
        <v>4</v>
      </c>
      <c r="E864">
        <v>0</v>
      </c>
      <c r="F864">
        <v>0</v>
      </c>
      <c r="G864">
        <v>46301</v>
      </c>
      <c r="H864">
        <v>0</v>
      </c>
      <c r="I864">
        <v>0</v>
      </c>
    </row>
    <row r="865" spans="1:9" x14ac:dyDescent="0.25">
      <c r="A865">
        <v>70</v>
      </c>
      <c r="B865">
        <v>1</v>
      </c>
      <c r="C865">
        <v>3</v>
      </c>
      <c r="D865">
        <v>7</v>
      </c>
      <c r="E865">
        <v>0</v>
      </c>
      <c r="F865">
        <v>0</v>
      </c>
      <c r="G865">
        <v>7504</v>
      </c>
      <c r="H865">
        <v>0</v>
      </c>
      <c r="I865">
        <v>0</v>
      </c>
    </row>
    <row r="866" spans="1:9" x14ac:dyDescent="0.25">
      <c r="A866">
        <v>70</v>
      </c>
      <c r="B866">
        <v>0</v>
      </c>
      <c r="C866">
        <v>1</v>
      </c>
      <c r="D866">
        <v>5</v>
      </c>
      <c r="E866">
        <v>0</v>
      </c>
      <c r="F866">
        <v>0</v>
      </c>
      <c r="G866">
        <v>5743</v>
      </c>
      <c r="H866">
        <v>0</v>
      </c>
      <c r="I866">
        <v>0</v>
      </c>
    </row>
    <row r="867" spans="1:9" x14ac:dyDescent="0.25">
      <c r="A867">
        <v>70</v>
      </c>
      <c r="B867">
        <v>1</v>
      </c>
      <c r="C867">
        <v>3</v>
      </c>
      <c r="D867">
        <v>2</v>
      </c>
      <c r="E867">
        <v>0</v>
      </c>
      <c r="F867">
        <v>0</v>
      </c>
      <c r="G867">
        <v>6786</v>
      </c>
      <c r="H867">
        <v>0</v>
      </c>
      <c r="I867">
        <v>0</v>
      </c>
    </row>
    <row r="868" spans="1:9" x14ac:dyDescent="0.25">
      <c r="A868">
        <v>70</v>
      </c>
      <c r="B868">
        <v>1</v>
      </c>
      <c r="C868">
        <v>3</v>
      </c>
      <c r="D868">
        <v>4</v>
      </c>
      <c r="E868">
        <v>0</v>
      </c>
      <c r="F868">
        <v>0</v>
      </c>
      <c r="G868">
        <v>10869</v>
      </c>
      <c r="H868">
        <v>0</v>
      </c>
      <c r="I868">
        <v>0</v>
      </c>
    </row>
    <row r="869" spans="1:9" x14ac:dyDescent="0.25">
      <c r="A869">
        <v>70</v>
      </c>
      <c r="B869">
        <v>1</v>
      </c>
      <c r="C869">
        <v>5</v>
      </c>
      <c r="D869">
        <v>5</v>
      </c>
      <c r="E869">
        <v>0</v>
      </c>
      <c r="F869">
        <v>0</v>
      </c>
      <c r="G869">
        <v>15999</v>
      </c>
      <c r="H869">
        <v>0</v>
      </c>
      <c r="I869">
        <v>0</v>
      </c>
    </row>
    <row r="870" spans="1:9" x14ac:dyDescent="0.25">
      <c r="A870">
        <v>70</v>
      </c>
      <c r="B870">
        <v>1</v>
      </c>
      <c r="C870">
        <v>9</v>
      </c>
      <c r="D870">
        <v>4</v>
      </c>
      <c r="E870">
        <v>0</v>
      </c>
      <c r="F870">
        <v>0</v>
      </c>
      <c r="G870">
        <v>16434</v>
      </c>
      <c r="H870">
        <v>0</v>
      </c>
      <c r="I870">
        <v>0</v>
      </c>
    </row>
    <row r="871" spans="1:9" x14ac:dyDescent="0.25">
      <c r="A871">
        <v>70</v>
      </c>
      <c r="B871">
        <v>1</v>
      </c>
      <c r="C871">
        <v>4</v>
      </c>
      <c r="D871">
        <v>7</v>
      </c>
      <c r="E871">
        <v>0</v>
      </c>
      <c r="F871">
        <v>0</v>
      </c>
      <c r="G871">
        <v>17099</v>
      </c>
      <c r="H871">
        <v>0</v>
      </c>
      <c r="I871">
        <v>0</v>
      </c>
    </row>
    <row r="872" spans="1:9" x14ac:dyDescent="0.25">
      <c r="A872">
        <v>70</v>
      </c>
      <c r="B872">
        <v>1</v>
      </c>
      <c r="C872">
        <v>1</v>
      </c>
      <c r="D872">
        <v>7</v>
      </c>
      <c r="E872">
        <v>0</v>
      </c>
      <c r="F872">
        <v>0</v>
      </c>
      <c r="G872">
        <v>6545</v>
      </c>
      <c r="H872">
        <v>0</v>
      </c>
      <c r="I872">
        <v>0</v>
      </c>
    </row>
    <row r="873" spans="1:9" x14ac:dyDescent="0.25">
      <c r="A873">
        <v>70</v>
      </c>
      <c r="B873">
        <v>1</v>
      </c>
      <c r="C873">
        <v>4</v>
      </c>
      <c r="D873">
        <v>7</v>
      </c>
      <c r="E873">
        <v>0</v>
      </c>
      <c r="F873">
        <v>0</v>
      </c>
      <c r="G873">
        <v>7398</v>
      </c>
      <c r="H873">
        <v>0</v>
      </c>
      <c r="I873">
        <v>0</v>
      </c>
    </row>
    <row r="874" spans="1:9" x14ac:dyDescent="0.25">
      <c r="A874">
        <v>70</v>
      </c>
      <c r="B874">
        <v>1</v>
      </c>
      <c r="C874">
        <v>3</v>
      </c>
      <c r="D874">
        <v>6</v>
      </c>
      <c r="E874">
        <v>0</v>
      </c>
      <c r="F874">
        <v>0</v>
      </c>
      <c r="G874">
        <v>16731</v>
      </c>
      <c r="H874">
        <v>0</v>
      </c>
      <c r="I874">
        <v>0</v>
      </c>
    </row>
    <row r="875" spans="1:9" x14ac:dyDescent="0.25">
      <c r="A875">
        <v>70</v>
      </c>
      <c r="B875">
        <v>1</v>
      </c>
      <c r="C875">
        <v>3</v>
      </c>
      <c r="D875">
        <v>6</v>
      </c>
      <c r="E875">
        <v>0</v>
      </c>
      <c r="F875">
        <v>0</v>
      </c>
      <c r="G875">
        <v>11879</v>
      </c>
      <c r="H875">
        <v>0</v>
      </c>
      <c r="I875">
        <v>0</v>
      </c>
    </row>
    <row r="876" spans="1:9" x14ac:dyDescent="0.25">
      <c r="A876">
        <v>70</v>
      </c>
      <c r="B876">
        <v>0</v>
      </c>
      <c r="C876">
        <v>6</v>
      </c>
      <c r="D876">
        <v>1</v>
      </c>
      <c r="E876">
        <v>0</v>
      </c>
      <c r="F876">
        <v>0</v>
      </c>
      <c r="G876">
        <v>12958</v>
      </c>
      <c r="H876">
        <v>0</v>
      </c>
      <c r="I876">
        <v>0</v>
      </c>
    </row>
    <row r="877" spans="1:9" x14ac:dyDescent="0.25">
      <c r="A877">
        <v>70</v>
      </c>
      <c r="B877">
        <v>1</v>
      </c>
      <c r="C877">
        <v>20</v>
      </c>
      <c r="D877">
        <v>5</v>
      </c>
      <c r="E877">
        <v>0</v>
      </c>
      <c r="F877">
        <v>0</v>
      </c>
      <c r="G877">
        <v>39475</v>
      </c>
      <c r="H877">
        <v>0</v>
      </c>
      <c r="I877">
        <v>0</v>
      </c>
    </row>
    <row r="878" spans="1:9" x14ac:dyDescent="0.25">
      <c r="A878">
        <v>70</v>
      </c>
      <c r="B878">
        <v>1</v>
      </c>
      <c r="C878">
        <v>3</v>
      </c>
      <c r="D878">
        <v>5</v>
      </c>
      <c r="E878">
        <v>1</v>
      </c>
      <c r="F878">
        <v>0</v>
      </c>
      <c r="G878">
        <v>15530</v>
      </c>
      <c r="H878">
        <v>0</v>
      </c>
      <c r="I878">
        <v>0</v>
      </c>
    </row>
    <row r="879" spans="1:9" x14ac:dyDescent="0.25">
      <c r="A879">
        <v>70</v>
      </c>
      <c r="B879">
        <v>0</v>
      </c>
      <c r="C879">
        <v>5</v>
      </c>
      <c r="D879">
        <v>5</v>
      </c>
      <c r="E879">
        <v>0</v>
      </c>
      <c r="F879">
        <v>0</v>
      </c>
      <c r="G879">
        <v>28650</v>
      </c>
      <c r="H879">
        <v>0</v>
      </c>
      <c r="I879">
        <v>0</v>
      </c>
    </row>
    <row r="880" spans="1:9" x14ac:dyDescent="0.25">
      <c r="A880">
        <v>70</v>
      </c>
      <c r="B880">
        <v>1</v>
      </c>
      <c r="C880">
        <v>2</v>
      </c>
      <c r="D880">
        <v>8</v>
      </c>
      <c r="E880">
        <v>0</v>
      </c>
      <c r="F880">
        <v>0</v>
      </c>
      <c r="G880">
        <v>7770</v>
      </c>
      <c r="H880">
        <v>0</v>
      </c>
      <c r="I880">
        <v>0</v>
      </c>
    </row>
    <row r="881" spans="1:9" x14ac:dyDescent="0.25">
      <c r="A881">
        <v>70</v>
      </c>
      <c r="B881">
        <v>1</v>
      </c>
      <c r="C881">
        <v>4</v>
      </c>
      <c r="D881">
        <v>1</v>
      </c>
      <c r="E881">
        <v>0</v>
      </c>
      <c r="F881">
        <v>0</v>
      </c>
      <c r="G881">
        <v>12713</v>
      </c>
      <c r="H881">
        <v>0</v>
      </c>
      <c r="I881">
        <v>0</v>
      </c>
    </row>
    <row r="882" spans="1:9" x14ac:dyDescent="0.25">
      <c r="A882">
        <v>70</v>
      </c>
      <c r="B882">
        <v>0</v>
      </c>
      <c r="C882">
        <v>2</v>
      </c>
      <c r="D882">
        <v>6</v>
      </c>
      <c r="E882">
        <v>0</v>
      </c>
      <c r="F882">
        <v>0</v>
      </c>
      <c r="G882">
        <v>5853</v>
      </c>
      <c r="H882">
        <v>0</v>
      </c>
      <c r="I882">
        <v>0</v>
      </c>
    </row>
    <row r="883" spans="1:9" x14ac:dyDescent="0.25">
      <c r="A883">
        <v>70</v>
      </c>
      <c r="B883">
        <v>1</v>
      </c>
      <c r="C883">
        <v>2</v>
      </c>
      <c r="D883">
        <v>4</v>
      </c>
      <c r="E883">
        <v>0</v>
      </c>
      <c r="F883">
        <v>0</v>
      </c>
      <c r="G883">
        <v>13708</v>
      </c>
      <c r="H883">
        <v>0</v>
      </c>
      <c r="I883">
        <v>0</v>
      </c>
    </row>
    <row r="884" spans="1:9" x14ac:dyDescent="0.25">
      <c r="A884">
        <v>70</v>
      </c>
      <c r="B884">
        <v>1</v>
      </c>
      <c r="C884">
        <v>3</v>
      </c>
      <c r="D884">
        <v>6</v>
      </c>
      <c r="E884">
        <v>0</v>
      </c>
      <c r="F884">
        <v>0</v>
      </c>
      <c r="G884">
        <v>20494</v>
      </c>
      <c r="H884">
        <v>0</v>
      </c>
      <c r="I884">
        <v>0</v>
      </c>
    </row>
    <row r="885" spans="1:9" x14ac:dyDescent="0.25">
      <c r="A885">
        <v>70</v>
      </c>
      <c r="B885">
        <v>1</v>
      </c>
      <c r="C885">
        <v>1</v>
      </c>
      <c r="D885">
        <v>5</v>
      </c>
      <c r="E885">
        <v>0</v>
      </c>
      <c r="F885">
        <v>0</v>
      </c>
      <c r="G885">
        <v>5002</v>
      </c>
      <c r="H885">
        <v>0</v>
      </c>
      <c r="I885">
        <v>0</v>
      </c>
    </row>
    <row r="886" spans="1:9" x14ac:dyDescent="0.25">
      <c r="A886">
        <v>70</v>
      </c>
      <c r="B886">
        <v>1</v>
      </c>
      <c r="C886">
        <v>2</v>
      </c>
      <c r="D886">
        <v>6</v>
      </c>
      <c r="E886">
        <v>0</v>
      </c>
      <c r="F886">
        <v>0</v>
      </c>
      <c r="G886">
        <v>9069</v>
      </c>
      <c r="H886">
        <v>0</v>
      </c>
      <c r="I886">
        <v>0</v>
      </c>
    </row>
    <row r="887" spans="1:9" x14ac:dyDescent="0.25">
      <c r="A887">
        <v>70</v>
      </c>
      <c r="B887">
        <v>0</v>
      </c>
      <c r="C887">
        <v>4</v>
      </c>
      <c r="D887">
        <v>5</v>
      </c>
      <c r="E887">
        <v>1</v>
      </c>
      <c r="F887">
        <v>0</v>
      </c>
      <c r="G887">
        <v>12217</v>
      </c>
      <c r="H887">
        <v>0</v>
      </c>
      <c r="I887">
        <v>0</v>
      </c>
    </row>
    <row r="888" spans="1:9" x14ac:dyDescent="0.25">
      <c r="A888">
        <v>70</v>
      </c>
      <c r="B888">
        <v>0</v>
      </c>
      <c r="C888">
        <v>2</v>
      </c>
      <c r="D888">
        <v>4</v>
      </c>
      <c r="E888">
        <v>2</v>
      </c>
      <c r="F888">
        <v>0</v>
      </c>
      <c r="G888">
        <v>9443</v>
      </c>
      <c r="H888">
        <v>0</v>
      </c>
      <c r="I888">
        <v>0</v>
      </c>
    </row>
    <row r="889" spans="1:9" x14ac:dyDescent="0.25">
      <c r="A889">
        <v>70</v>
      </c>
      <c r="B889">
        <v>1</v>
      </c>
      <c r="C889">
        <v>5</v>
      </c>
      <c r="D889">
        <v>4</v>
      </c>
      <c r="E889">
        <v>1</v>
      </c>
      <c r="F889">
        <v>0</v>
      </c>
      <c r="G889">
        <v>15113</v>
      </c>
      <c r="H889">
        <v>0</v>
      </c>
      <c r="I889">
        <v>0</v>
      </c>
    </row>
    <row r="890" spans="1:9" x14ac:dyDescent="0.25">
      <c r="A890">
        <v>70</v>
      </c>
      <c r="B890">
        <v>0</v>
      </c>
      <c r="C890">
        <v>3</v>
      </c>
      <c r="D890">
        <v>5</v>
      </c>
      <c r="E890">
        <v>1</v>
      </c>
      <c r="F890">
        <v>0</v>
      </c>
      <c r="G890">
        <v>9822</v>
      </c>
      <c r="H890">
        <v>0</v>
      </c>
      <c r="I890">
        <v>0</v>
      </c>
    </row>
    <row r="891" spans="1:9" x14ac:dyDescent="0.25">
      <c r="A891">
        <v>70</v>
      </c>
      <c r="B891">
        <v>1</v>
      </c>
      <c r="C891">
        <v>7</v>
      </c>
      <c r="D891">
        <v>1</v>
      </c>
      <c r="E891">
        <v>2</v>
      </c>
      <c r="F891">
        <v>0</v>
      </c>
      <c r="G891">
        <v>39113</v>
      </c>
      <c r="H891">
        <v>1</v>
      </c>
      <c r="I891">
        <v>0</v>
      </c>
    </row>
    <row r="892" spans="1:9" x14ac:dyDescent="0.25">
      <c r="A892">
        <v>70</v>
      </c>
      <c r="B892">
        <v>0</v>
      </c>
      <c r="C892">
        <v>4</v>
      </c>
      <c r="D892">
        <v>4</v>
      </c>
      <c r="E892">
        <v>2</v>
      </c>
      <c r="F892">
        <v>0</v>
      </c>
      <c r="G892">
        <v>20309</v>
      </c>
      <c r="H892">
        <v>1</v>
      </c>
      <c r="I892">
        <v>0</v>
      </c>
    </row>
    <row r="893" spans="1:9" x14ac:dyDescent="0.25">
      <c r="A893">
        <v>70</v>
      </c>
      <c r="B893">
        <v>1</v>
      </c>
      <c r="C893">
        <v>3</v>
      </c>
      <c r="D893">
        <v>2</v>
      </c>
      <c r="E893">
        <v>1</v>
      </c>
      <c r="F893">
        <v>0</v>
      </c>
      <c r="G893">
        <v>10631</v>
      </c>
      <c r="H893">
        <v>1</v>
      </c>
      <c r="I893">
        <v>0</v>
      </c>
    </row>
    <row r="894" spans="1:9" x14ac:dyDescent="0.25">
      <c r="A894">
        <v>70</v>
      </c>
      <c r="B894">
        <v>1</v>
      </c>
      <c r="C894">
        <v>1</v>
      </c>
      <c r="D894">
        <v>1</v>
      </c>
      <c r="E894">
        <v>1</v>
      </c>
      <c r="F894">
        <v>0</v>
      </c>
      <c r="G894">
        <v>21501</v>
      </c>
      <c r="H894">
        <v>1</v>
      </c>
      <c r="I894">
        <v>0</v>
      </c>
    </row>
    <row r="895" spans="1:9" x14ac:dyDescent="0.25">
      <c r="A895">
        <v>70</v>
      </c>
      <c r="B895">
        <v>1</v>
      </c>
      <c r="C895">
        <v>4</v>
      </c>
      <c r="D895">
        <v>6</v>
      </c>
      <c r="E895">
        <v>2</v>
      </c>
      <c r="F895">
        <v>0</v>
      </c>
      <c r="G895">
        <v>23411</v>
      </c>
      <c r="H895">
        <v>1</v>
      </c>
      <c r="I895">
        <v>0</v>
      </c>
    </row>
    <row r="896" spans="1:9" x14ac:dyDescent="0.25">
      <c r="A896">
        <v>70</v>
      </c>
      <c r="B896">
        <v>0</v>
      </c>
      <c r="C896">
        <v>4</v>
      </c>
      <c r="D896">
        <v>4</v>
      </c>
      <c r="E896">
        <v>1</v>
      </c>
      <c r="F896">
        <v>0</v>
      </c>
      <c r="G896">
        <v>35968</v>
      </c>
      <c r="H896">
        <v>1</v>
      </c>
      <c r="I896">
        <v>0</v>
      </c>
    </row>
    <row r="897" spans="1:9" x14ac:dyDescent="0.25">
      <c r="A897">
        <v>70</v>
      </c>
      <c r="B897">
        <v>1</v>
      </c>
      <c r="C897">
        <v>57</v>
      </c>
      <c r="D897">
        <v>3</v>
      </c>
      <c r="E897">
        <v>6</v>
      </c>
      <c r="F897">
        <v>0</v>
      </c>
      <c r="G897">
        <v>340226</v>
      </c>
      <c r="H897">
        <v>1</v>
      </c>
      <c r="I897">
        <v>0</v>
      </c>
    </row>
    <row r="898" spans="1:9" x14ac:dyDescent="0.25">
      <c r="A898">
        <v>70</v>
      </c>
      <c r="B898">
        <v>1</v>
      </c>
      <c r="C898">
        <v>14</v>
      </c>
      <c r="D898">
        <v>3</v>
      </c>
      <c r="E898">
        <v>6</v>
      </c>
      <c r="F898">
        <v>0</v>
      </c>
      <c r="G898">
        <v>65357</v>
      </c>
      <c r="H898">
        <v>1</v>
      </c>
      <c r="I898">
        <v>0</v>
      </c>
    </row>
    <row r="899" spans="1:9" x14ac:dyDescent="0.25">
      <c r="A899">
        <v>69</v>
      </c>
      <c r="B899">
        <v>1</v>
      </c>
      <c r="C899">
        <v>2</v>
      </c>
      <c r="D899">
        <v>3</v>
      </c>
      <c r="E899">
        <v>0</v>
      </c>
      <c r="F899">
        <v>0</v>
      </c>
      <c r="G899">
        <v>10468</v>
      </c>
      <c r="H899">
        <v>0</v>
      </c>
      <c r="I899">
        <v>0</v>
      </c>
    </row>
    <row r="900" spans="1:9" x14ac:dyDescent="0.25">
      <c r="A900">
        <v>69</v>
      </c>
      <c r="B900">
        <v>1</v>
      </c>
      <c r="C900">
        <v>21</v>
      </c>
      <c r="D900">
        <v>3</v>
      </c>
      <c r="E900">
        <v>0</v>
      </c>
      <c r="F900">
        <v>0</v>
      </c>
      <c r="G900">
        <v>32948</v>
      </c>
      <c r="H900">
        <v>0</v>
      </c>
      <c r="I900">
        <v>0</v>
      </c>
    </row>
    <row r="901" spans="1:9" x14ac:dyDescent="0.25">
      <c r="A901">
        <v>69</v>
      </c>
      <c r="B901">
        <v>0</v>
      </c>
      <c r="C901">
        <v>3</v>
      </c>
      <c r="D901">
        <v>7</v>
      </c>
      <c r="E901">
        <v>0</v>
      </c>
      <c r="F901">
        <v>0</v>
      </c>
      <c r="G901">
        <v>12249</v>
      </c>
      <c r="H901">
        <v>0</v>
      </c>
      <c r="I901">
        <v>0</v>
      </c>
    </row>
    <row r="902" spans="1:9" x14ac:dyDescent="0.25">
      <c r="A902">
        <v>69</v>
      </c>
      <c r="B902">
        <v>0</v>
      </c>
      <c r="C902">
        <v>2</v>
      </c>
      <c r="D902">
        <v>1</v>
      </c>
      <c r="E902">
        <v>1</v>
      </c>
      <c r="F902">
        <v>0</v>
      </c>
      <c r="G902">
        <v>8744</v>
      </c>
      <c r="H902">
        <v>0</v>
      </c>
      <c r="I902">
        <v>0</v>
      </c>
    </row>
    <row r="903" spans="1:9" x14ac:dyDescent="0.25">
      <c r="A903">
        <v>69</v>
      </c>
      <c r="B903">
        <v>0</v>
      </c>
      <c r="C903">
        <v>10</v>
      </c>
      <c r="D903">
        <v>2</v>
      </c>
      <c r="E903">
        <v>0</v>
      </c>
      <c r="F903">
        <v>0</v>
      </c>
      <c r="G903">
        <v>14044</v>
      </c>
      <c r="H903">
        <v>0</v>
      </c>
      <c r="I903">
        <v>0</v>
      </c>
    </row>
    <row r="904" spans="1:9" x14ac:dyDescent="0.25">
      <c r="A904">
        <v>69</v>
      </c>
      <c r="B904">
        <v>0</v>
      </c>
      <c r="C904">
        <v>3</v>
      </c>
      <c r="D904">
        <v>5</v>
      </c>
      <c r="E904">
        <v>1</v>
      </c>
      <c r="F904">
        <v>0</v>
      </c>
      <c r="G904">
        <v>12253</v>
      </c>
      <c r="H904">
        <v>0</v>
      </c>
      <c r="I904">
        <v>0</v>
      </c>
    </row>
    <row r="905" spans="1:9" x14ac:dyDescent="0.25">
      <c r="A905">
        <v>69</v>
      </c>
      <c r="B905">
        <v>1</v>
      </c>
      <c r="C905">
        <v>6</v>
      </c>
      <c r="D905">
        <v>3</v>
      </c>
      <c r="E905">
        <v>0</v>
      </c>
      <c r="F905">
        <v>0</v>
      </c>
      <c r="G905">
        <v>15648</v>
      </c>
      <c r="H905">
        <v>0</v>
      </c>
      <c r="I905">
        <v>0</v>
      </c>
    </row>
    <row r="906" spans="1:9" x14ac:dyDescent="0.25">
      <c r="A906">
        <v>69</v>
      </c>
      <c r="B906">
        <v>0</v>
      </c>
      <c r="C906">
        <v>2</v>
      </c>
      <c r="D906">
        <v>3</v>
      </c>
      <c r="E906">
        <v>0</v>
      </c>
      <c r="F906">
        <v>0</v>
      </c>
      <c r="G906">
        <v>4061</v>
      </c>
      <c r="H906">
        <v>0</v>
      </c>
      <c r="I906">
        <v>0</v>
      </c>
    </row>
    <row r="907" spans="1:9" x14ac:dyDescent="0.25">
      <c r="A907">
        <v>69</v>
      </c>
      <c r="B907">
        <v>0</v>
      </c>
      <c r="C907">
        <v>2</v>
      </c>
      <c r="D907">
        <v>6</v>
      </c>
      <c r="E907">
        <v>0</v>
      </c>
      <c r="F907">
        <v>0</v>
      </c>
      <c r="G907">
        <v>5123</v>
      </c>
      <c r="H907">
        <v>0</v>
      </c>
      <c r="I907">
        <v>0</v>
      </c>
    </row>
    <row r="908" spans="1:9" x14ac:dyDescent="0.25">
      <c r="A908">
        <v>69</v>
      </c>
      <c r="B908">
        <v>0</v>
      </c>
      <c r="C908">
        <v>10</v>
      </c>
      <c r="D908">
        <v>3</v>
      </c>
      <c r="E908">
        <v>1</v>
      </c>
      <c r="F908">
        <v>0</v>
      </c>
      <c r="G908">
        <v>20944</v>
      </c>
      <c r="H908">
        <v>0</v>
      </c>
      <c r="I908">
        <v>0</v>
      </c>
    </row>
    <row r="909" spans="1:9" x14ac:dyDescent="0.25">
      <c r="A909">
        <v>69</v>
      </c>
      <c r="B909">
        <v>0</v>
      </c>
      <c r="C909">
        <v>5</v>
      </c>
      <c r="D909">
        <v>5</v>
      </c>
      <c r="E909">
        <v>0</v>
      </c>
      <c r="F909">
        <v>0</v>
      </c>
      <c r="G909">
        <v>15027</v>
      </c>
      <c r="H909">
        <v>0</v>
      </c>
      <c r="I909">
        <v>0</v>
      </c>
    </row>
    <row r="910" spans="1:9" x14ac:dyDescent="0.25">
      <c r="A910">
        <v>69</v>
      </c>
      <c r="B910">
        <v>1</v>
      </c>
      <c r="C910">
        <v>4</v>
      </c>
      <c r="D910">
        <v>6</v>
      </c>
      <c r="E910">
        <v>0</v>
      </c>
      <c r="F910">
        <v>0</v>
      </c>
      <c r="G910">
        <v>13350</v>
      </c>
      <c r="H910">
        <v>0</v>
      </c>
      <c r="I910">
        <v>0</v>
      </c>
    </row>
    <row r="911" spans="1:9" x14ac:dyDescent="0.25">
      <c r="A911">
        <v>69</v>
      </c>
      <c r="B911">
        <v>1</v>
      </c>
      <c r="C911">
        <v>7</v>
      </c>
      <c r="D911">
        <v>5</v>
      </c>
      <c r="E911">
        <v>0</v>
      </c>
      <c r="F911">
        <v>0</v>
      </c>
      <c r="G911">
        <v>16333</v>
      </c>
      <c r="H911">
        <v>0</v>
      </c>
      <c r="I911">
        <v>0</v>
      </c>
    </row>
    <row r="912" spans="1:9" x14ac:dyDescent="0.25">
      <c r="A912">
        <v>69</v>
      </c>
      <c r="B912">
        <v>1</v>
      </c>
      <c r="C912">
        <v>6</v>
      </c>
      <c r="D912">
        <v>5</v>
      </c>
      <c r="E912">
        <v>0</v>
      </c>
      <c r="F912">
        <v>0</v>
      </c>
      <c r="G912">
        <v>12131</v>
      </c>
      <c r="H912">
        <v>0</v>
      </c>
      <c r="I912">
        <v>0</v>
      </c>
    </row>
    <row r="913" spans="1:9" x14ac:dyDescent="0.25">
      <c r="A913">
        <v>69</v>
      </c>
      <c r="B913">
        <v>0</v>
      </c>
      <c r="C913">
        <v>4</v>
      </c>
      <c r="D913">
        <v>7</v>
      </c>
      <c r="E913">
        <v>0</v>
      </c>
      <c r="F913">
        <v>0</v>
      </c>
      <c r="G913">
        <v>21983</v>
      </c>
      <c r="H913">
        <v>0</v>
      </c>
      <c r="I913">
        <v>0</v>
      </c>
    </row>
    <row r="914" spans="1:9" x14ac:dyDescent="0.25">
      <c r="A914">
        <v>69</v>
      </c>
      <c r="B914">
        <v>1</v>
      </c>
      <c r="C914">
        <v>1</v>
      </c>
      <c r="D914">
        <v>4</v>
      </c>
      <c r="E914">
        <v>0</v>
      </c>
      <c r="F914">
        <v>0</v>
      </c>
      <c r="G914">
        <v>10098</v>
      </c>
      <c r="H914">
        <v>0</v>
      </c>
      <c r="I914">
        <v>0</v>
      </c>
    </row>
    <row r="915" spans="1:9" x14ac:dyDescent="0.25">
      <c r="A915">
        <v>69</v>
      </c>
      <c r="B915">
        <v>0</v>
      </c>
      <c r="C915">
        <v>7</v>
      </c>
      <c r="D915">
        <v>4</v>
      </c>
      <c r="E915">
        <v>2</v>
      </c>
      <c r="F915">
        <v>0</v>
      </c>
      <c r="G915">
        <v>34110</v>
      </c>
      <c r="H915">
        <v>0</v>
      </c>
      <c r="I915">
        <v>0</v>
      </c>
    </row>
    <row r="916" spans="1:9" x14ac:dyDescent="0.25">
      <c r="A916">
        <v>69</v>
      </c>
      <c r="B916">
        <v>0</v>
      </c>
      <c r="C916">
        <v>8</v>
      </c>
      <c r="D916">
        <v>5</v>
      </c>
      <c r="E916">
        <v>0</v>
      </c>
      <c r="F916">
        <v>0</v>
      </c>
      <c r="G916">
        <v>19576</v>
      </c>
      <c r="H916">
        <v>0</v>
      </c>
      <c r="I916">
        <v>0</v>
      </c>
    </row>
    <row r="917" spans="1:9" x14ac:dyDescent="0.25">
      <c r="A917">
        <v>69</v>
      </c>
      <c r="B917">
        <v>1</v>
      </c>
      <c r="C917">
        <v>10</v>
      </c>
      <c r="D917">
        <v>2</v>
      </c>
      <c r="E917">
        <v>0</v>
      </c>
      <c r="F917">
        <v>0</v>
      </c>
      <c r="G917">
        <v>18681</v>
      </c>
      <c r="H917">
        <v>0</v>
      </c>
      <c r="I917">
        <v>0</v>
      </c>
    </row>
    <row r="918" spans="1:9" x14ac:dyDescent="0.25">
      <c r="A918">
        <v>69</v>
      </c>
      <c r="B918">
        <v>0</v>
      </c>
      <c r="C918">
        <v>70</v>
      </c>
      <c r="D918">
        <v>3</v>
      </c>
      <c r="E918">
        <v>6</v>
      </c>
      <c r="F918">
        <v>0</v>
      </c>
      <c r="G918">
        <v>103402</v>
      </c>
      <c r="H918">
        <v>0</v>
      </c>
      <c r="I918">
        <v>0</v>
      </c>
    </row>
    <row r="919" spans="1:9" x14ac:dyDescent="0.25">
      <c r="A919">
        <v>69</v>
      </c>
      <c r="B919">
        <v>1</v>
      </c>
      <c r="C919">
        <v>8</v>
      </c>
      <c r="D919">
        <v>3</v>
      </c>
      <c r="E919">
        <v>0</v>
      </c>
      <c r="F919">
        <v>0</v>
      </c>
      <c r="G919">
        <v>13598</v>
      </c>
      <c r="H919">
        <v>0</v>
      </c>
      <c r="I919">
        <v>0</v>
      </c>
    </row>
    <row r="920" spans="1:9" x14ac:dyDescent="0.25">
      <c r="A920">
        <v>69</v>
      </c>
      <c r="B920">
        <v>1</v>
      </c>
      <c r="C920">
        <v>2</v>
      </c>
      <c r="D920">
        <v>3</v>
      </c>
      <c r="E920">
        <v>1</v>
      </c>
      <c r="F920">
        <v>0</v>
      </c>
      <c r="G920">
        <v>10714</v>
      </c>
      <c r="H920">
        <v>0</v>
      </c>
      <c r="I920">
        <v>0</v>
      </c>
    </row>
    <row r="921" spans="1:9" x14ac:dyDescent="0.25">
      <c r="A921">
        <v>69</v>
      </c>
      <c r="B921">
        <v>0</v>
      </c>
      <c r="C921">
        <v>8</v>
      </c>
      <c r="D921">
        <v>5</v>
      </c>
      <c r="E921">
        <v>2</v>
      </c>
      <c r="F921">
        <v>0</v>
      </c>
      <c r="G921">
        <v>34495</v>
      </c>
      <c r="H921">
        <v>1</v>
      </c>
      <c r="I921">
        <v>0</v>
      </c>
    </row>
    <row r="922" spans="1:9" x14ac:dyDescent="0.25">
      <c r="A922">
        <v>69</v>
      </c>
      <c r="B922">
        <v>0</v>
      </c>
      <c r="C922">
        <v>2</v>
      </c>
      <c r="D922">
        <v>3</v>
      </c>
      <c r="E922">
        <v>4</v>
      </c>
      <c r="F922">
        <v>0</v>
      </c>
      <c r="G922">
        <v>34189</v>
      </c>
      <c r="H922">
        <v>1</v>
      </c>
      <c r="I922">
        <v>0</v>
      </c>
    </row>
    <row r="923" spans="1:9" x14ac:dyDescent="0.25">
      <c r="A923">
        <v>69</v>
      </c>
      <c r="B923">
        <v>1</v>
      </c>
      <c r="C923">
        <v>7</v>
      </c>
      <c r="D923">
        <v>4</v>
      </c>
      <c r="E923">
        <v>1</v>
      </c>
      <c r="F923">
        <v>0</v>
      </c>
      <c r="G923">
        <v>33707</v>
      </c>
      <c r="H923">
        <v>1</v>
      </c>
      <c r="I923">
        <v>0</v>
      </c>
    </row>
    <row r="924" spans="1:9" x14ac:dyDescent="0.25">
      <c r="A924">
        <v>69</v>
      </c>
      <c r="B924">
        <v>1</v>
      </c>
      <c r="C924">
        <v>3</v>
      </c>
      <c r="D924">
        <v>4</v>
      </c>
      <c r="E924">
        <v>1</v>
      </c>
      <c r="F924">
        <v>0</v>
      </c>
      <c r="G924">
        <v>32936</v>
      </c>
      <c r="H924">
        <v>1</v>
      </c>
      <c r="I924">
        <v>0</v>
      </c>
    </row>
    <row r="925" spans="1:9" x14ac:dyDescent="0.25">
      <c r="A925">
        <v>68</v>
      </c>
      <c r="B925">
        <v>1</v>
      </c>
      <c r="C925">
        <v>3</v>
      </c>
      <c r="D925">
        <v>5</v>
      </c>
      <c r="E925">
        <v>0</v>
      </c>
      <c r="F925">
        <v>0</v>
      </c>
      <c r="G925">
        <v>11900</v>
      </c>
      <c r="H925">
        <v>0</v>
      </c>
      <c r="I925">
        <v>0</v>
      </c>
    </row>
    <row r="926" spans="1:9" x14ac:dyDescent="0.25">
      <c r="A926">
        <v>68</v>
      </c>
      <c r="B926">
        <v>1</v>
      </c>
      <c r="C926">
        <v>1</v>
      </c>
      <c r="D926">
        <v>3</v>
      </c>
      <c r="E926">
        <v>0</v>
      </c>
      <c r="F926">
        <v>0</v>
      </c>
      <c r="G926">
        <v>7114</v>
      </c>
      <c r="H926">
        <v>0</v>
      </c>
      <c r="I926">
        <v>0</v>
      </c>
    </row>
    <row r="927" spans="1:9" x14ac:dyDescent="0.25">
      <c r="A927">
        <v>68</v>
      </c>
      <c r="B927">
        <v>1</v>
      </c>
      <c r="C927">
        <v>3</v>
      </c>
      <c r="D927">
        <v>6</v>
      </c>
      <c r="E927">
        <v>0</v>
      </c>
      <c r="F927">
        <v>0</v>
      </c>
      <c r="G927">
        <v>16502</v>
      </c>
      <c r="H927">
        <v>0</v>
      </c>
      <c r="I927">
        <v>0</v>
      </c>
    </row>
    <row r="928" spans="1:9" x14ac:dyDescent="0.25">
      <c r="A928">
        <v>68</v>
      </c>
      <c r="B928">
        <v>0</v>
      </c>
      <c r="C928">
        <v>17</v>
      </c>
      <c r="D928">
        <v>5</v>
      </c>
      <c r="E928">
        <v>0</v>
      </c>
      <c r="F928">
        <v>0</v>
      </c>
      <c r="G928">
        <v>50493</v>
      </c>
      <c r="H928">
        <v>0</v>
      </c>
      <c r="I928">
        <v>0</v>
      </c>
    </row>
    <row r="929" spans="1:9" x14ac:dyDescent="0.25">
      <c r="A929">
        <v>68</v>
      </c>
      <c r="B929">
        <v>0</v>
      </c>
      <c r="C929">
        <v>3</v>
      </c>
      <c r="D929">
        <v>2</v>
      </c>
      <c r="E929">
        <v>0</v>
      </c>
      <c r="F929">
        <v>0</v>
      </c>
      <c r="G929">
        <v>11385</v>
      </c>
      <c r="H929">
        <v>0</v>
      </c>
      <c r="I929">
        <v>0</v>
      </c>
    </row>
    <row r="930" spans="1:9" x14ac:dyDescent="0.25">
      <c r="A930">
        <v>68</v>
      </c>
      <c r="B930">
        <v>1</v>
      </c>
      <c r="C930">
        <v>2</v>
      </c>
      <c r="D930">
        <v>1</v>
      </c>
      <c r="E930">
        <v>1</v>
      </c>
      <c r="F930">
        <v>0</v>
      </c>
      <c r="G930">
        <v>12432</v>
      </c>
      <c r="H930">
        <v>0</v>
      </c>
      <c r="I930">
        <v>0</v>
      </c>
    </row>
    <row r="931" spans="1:9" x14ac:dyDescent="0.25">
      <c r="A931">
        <v>68</v>
      </c>
      <c r="B931">
        <v>1</v>
      </c>
      <c r="C931">
        <v>4</v>
      </c>
      <c r="D931">
        <v>3</v>
      </c>
      <c r="E931">
        <v>0</v>
      </c>
      <c r="F931">
        <v>0</v>
      </c>
      <c r="G931">
        <v>11920</v>
      </c>
      <c r="H931">
        <v>0</v>
      </c>
      <c r="I931">
        <v>0</v>
      </c>
    </row>
    <row r="932" spans="1:9" x14ac:dyDescent="0.25">
      <c r="A932">
        <v>68</v>
      </c>
      <c r="B932">
        <v>0</v>
      </c>
      <c r="C932">
        <v>3</v>
      </c>
      <c r="D932">
        <v>3</v>
      </c>
      <c r="E932">
        <v>0</v>
      </c>
      <c r="F932">
        <v>0</v>
      </c>
      <c r="G932">
        <v>13521</v>
      </c>
      <c r="H932">
        <v>0</v>
      </c>
      <c r="I932">
        <v>0</v>
      </c>
    </row>
    <row r="933" spans="1:9" x14ac:dyDescent="0.25">
      <c r="A933">
        <v>68</v>
      </c>
      <c r="B933">
        <v>1</v>
      </c>
      <c r="C933">
        <v>4</v>
      </c>
      <c r="D933">
        <v>8</v>
      </c>
      <c r="E933">
        <v>0</v>
      </c>
      <c r="F933">
        <v>0</v>
      </c>
      <c r="G933">
        <v>15480</v>
      </c>
      <c r="H933">
        <v>0</v>
      </c>
      <c r="I933">
        <v>0</v>
      </c>
    </row>
    <row r="934" spans="1:9" x14ac:dyDescent="0.25">
      <c r="A934">
        <v>68</v>
      </c>
      <c r="B934">
        <v>0</v>
      </c>
      <c r="C934">
        <v>4</v>
      </c>
      <c r="D934">
        <v>4</v>
      </c>
      <c r="E934">
        <v>0</v>
      </c>
      <c r="F934">
        <v>0</v>
      </c>
      <c r="G934">
        <v>19484</v>
      </c>
      <c r="H934">
        <v>0</v>
      </c>
      <c r="I934">
        <v>0</v>
      </c>
    </row>
    <row r="935" spans="1:9" x14ac:dyDescent="0.25">
      <c r="A935">
        <v>68</v>
      </c>
      <c r="B935">
        <v>0</v>
      </c>
      <c r="C935">
        <v>4</v>
      </c>
      <c r="D935">
        <v>5</v>
      </c>
      <c r="E935">
        <v>0</v>
      </c>
      <c r="F935">
        <v>0</v>
      </c>
      <c r="G935">
        <v>13413</v>
      </c>
      <c r="H935">
        <v>0</v>
      </c>
      <c r="I935">
        <v>0</v>
      </c>
    </row>
    <row r="936" spans="1:9" x14ac:dyDescent="0.25">
      <c r="A936">
        <v>68</v>
      </c>
      <c r="B936">
        <v>0</v>
      </c>
      <c r="C936">
        <v>5</v>
      </c>
      <c r="D936">
        <v>4</v>
      </c>
      <c r="E936">
        <v>0</v>
      </c>
      <c r="F936">
        <v>0</v>
      </c>
      <c r="G936">
        <v>15029</v>
      </c>
      <c r="H936">
        <v>0</v>
      </c>
      <c r="I936">
        <v>0</v>
      </c>
    </row>
    <row r="937" spans="1:9" x14ac:dyDescent="0.25">
      <c r="A937">
        <v>68</v>
      </c>
      <c r="B937">
        <v>1</v>
      </c>
      <c r="C937">
        <v>3</v>
      </c>
      <c r="D937">
        <v>4</v>
      </c>
      <c r="E937">
        <v>0</v>
      </c>
      <c r="F937">
        <v>0</v>
      </c>
      <c r="G937">
        <v>8572</v>
      </c>
      <c r="H937">
        <v>0</v>
      </c>
      <c r="I937">
        <v>0</v>
      </c>
    </row>
    <row r="938" spans="1:9" x14ac:dyDescent="0.25">
      <c r="A938">
        <v>68</v>
      </c>
      <c r="B938">
        <v>0</v>
      </c>
      <c r="C938">
        <v>6</v>
      </c>
      <c r="D938">
        <v>2</v>
      </c>
      <c r="E938">
        <v>1</v>
      </c>
      <c r="F938">
        <v>0</v>
      </c>
      <c r="G938">
        <v>15223</v>
      </c>
      <c r="H938">
        <v>0</v>
      </c>
      <c r="I938">
        <v>0</v>
      </c>
    </row>
    <row r="939" spans="1:9" x14ac:dyDescent="0.25">
      <c r="A939">
        <v>68</v>
      </c>
      <c r="B939">
        <v>1</v>
      </c>
      <c r="C939">
        <v>3</v>
      </c>
      <c r="D939">
        <v>4</v>
      </c>
      <c r="E939">
        <v>0</v>
      </c>
      <c r="F939">
        <v>0</v>
      </c>
      <c r="G939">
        <v>12152</v>
      </c>
      <c r="H939">
        <v>0</v>
      </c>
      <c r="I939">
        <v>0</v>
      </c>
    </row>
    <row r="940" spans="1:9" x14ac:dyDescent="0.25">
      <c r="A940">
        <v>68</v>
      </c>
      <c r="B940">
        <v>0</v>
      </c>
      <c r="C940">
        <v>2</v>
      </c>
      <c r="D940">
        <v>3</v>
      </c>
      <c r="E940">
        <v>0</v>
      </c>
      <c r="F940">
        <v>0</v>
      </c>
      <c r="G940">
        <v>8616</v>
      </c>
      <c r="H940">
        <v>0</v>
      </c>
      <c r="I940">
        <v>0</v>
      </c>
    </row>
    <row r="941" spans="1:9" x14ac:dyDescent="0.25">
      <c r="A941">
        <v>68</v>
      </c>
      <c r="B941">
        <v>1</v>
      </c>
      <c r="C941">
        <v>1</v>
      </c>
      <c r="D941">
        <v>3</v>
      </c>
      <c r="E941">
        <v>0</v>
      </c>
      <c r="F941">
        <v>0</v>
      </c>
      <c r="G941">
        <v>3705</v>
      </c>
      <c r="H941">
        <v>0</v>
      </c>
      <c r="I941">
        <v>0</v>
      </c>
    </row>
    <row r="942" spans="1:9" x14ac:dyDescent="0.25">
      <c r="A942">
        <v>68</v>
      </c>
      <c r="B942">
        <v>0</v>
      </c>
      <c r="C942">
        <v>6</v>
      </c>
      <c r="D942">
        <v>5</v>
      </c>
      <c r="E942">
        <v>1</v>
      </c>
      <c r="F942">
        <v>0</v>
      </c>
      <c r="G942">
        <v>19982</v>
      </c>
      <c r="H942">
        <v>0</v>
      </c>
      <c r="I942">
        <v>0</v>
      </c>
    </row>
    <row r="943" spans="1:9" x14ac:dyDescent="0.25">
      <c r="A943">
        <v>68</v>
      </c>
      <c r="B943">
        <v>1</v>
      </c>
      <c r="C943">
        <v>4</v>
      </c>
      <c r="D943">
        <v>3</v>
      </c>
      <c r="E943">
        <v>0</v>
      </c>
      <c r="F943">
        <v>0</v>
      </c>
      <c r="G943">
        <v>13536</v>
      </c>
      <c r="H943">
        <v>0</v>
      </c>
      <c r="I943">
        <v>0</v>
      </c>
    </row>
    <row r="944" spans="1:9" x14ac:dyDescent="0.25">
      <c r="A944">
        <v>68</v>
      </c>
      <c r="B944">
        <v>0</v>
      </c>
      <c r="C944">
        <v>5</v>
      </c>
      <c r="D944">
        <v>8</v>
      </c>
      <c r="E944">
        <v>0</v>
      </c>
      <c r="F944">
        <v>0</v>
      </c>
      <c r="G944">
        <v>16214</v>
      </c>
      <c r="H944">
        <v>0</v>
      </c>
      <c r="I944">
        <v>0</v>
      </c>
    </row>
    <row r="945" spans="1:9" x14ac:dyDescent="0.25">
      <c r="A945">
        <v>68</v>
      </c>
      <c r="B945">
        <v>1</v>
      </c>
      <c r="C945">
        <v>4</v>
      </c>
      <c r="D945">
        <v>5</v>
      </c>
      <c r="E945">
        <v>0</v>
      </c>
      <c r="F945">
        <v>0</v>
      </c>
      <c r="G945">
        <v>12796</v>
      </c>
      <c r="H945">
        <v>0</v>
      </c>
      <c r="I945">
        <v>0</v>
      </c>
    </row>
    <row r="946" spans="1:9" x14ac:dyDescent="0.25">
      <c r="A946">
        <v>68</v>
      </c>
      <c r="B946">
        <v>1</v>
      </c>
      <c r="C946">
        <v>4</v>
      </c>
      <c r="D946">
        <v>4</v>
      </c>
      <c r="E946">
        <v>0</v>
      </c>
      <c r="F946">
        <v>0</v>
      </c>
      <c r="G946">
        <v>14543</v>
      </c>
      <c r="H946">
        <v>0</v>
      </c>
      <c r="I946">
        <v>0</v>
      </c>
    </row>
    <row r="947" spans="1:9" x14ac:dyDescent="0.25">
      <c r="A947">
        <v>68</v>
      </c>
      <c r="B947">
        <v>0</v>
      </c>
      <c r="C947">
        <v>1</v>
      </c>
      <c r="D947">
        <v>3</v>
      </c>
      <c r="E947">
        <v>4</v>
      </c>
      <c r="F947">
        <v>0</v>
      </c>
      <c r="G947">
        <v>14828</v>
      </c>
      <c r="H947">
        <v>0</v>
      </c>
      <c r="I947">
        <v>0</v>
      </c>
    </row>
    <row r="948" spans="1:9" x14ac:dyDescent="0.25">
      <c r="A948">
        <v>68</v>
      </c>
      <c r="B948">
        <v>1</v>
      </c>
      <c r="C948">
        <v>9</v>
      </c>
      <c r="D948">
        <v>5</v>
      </c>
      <c r="E948">
        <v>1</v>
      </c>
      <c r="F948">
        <v>0</v>
      </c>
      <c r="G948">
        <v>26646</v>
      </c>
      <c r="H948">
        <v>1</v>
      </c>
      <c r="I948">
        <v>0</v>
      </c>
    </row>
    <row r="949" spans="1:9" x14ac:dyDescent="0.25">
      <c r="A949">
        <v>68</v>
      </c>
      <c r="B949">
        <v>1</v>
      </c>
      <c r="C949">
        <v>4</v>
      </c>
      <c r="D949">
        <v>8</v>
      </c>
      <c r="E949">
        <v>6</v>
      </c>
      <c r="F949">
        <v>0</v>
      </c>
      <c r="G949">
        <v>50167</v>
      </c>
      <c r="H949">
        <v>1</v>
      </c>
      <c r="I949">
        <v>0</v>
      </c>
    </row>
    <row r="950" spans="1:9" x14ac:dyDescent="0.25">
      <c r="A950">
        <v>68</v>
      </c>
      <c r="B950">
        <v>0</v>
      </c>
      <c r="C950">
        <v>3</v>
      </c>
      <c r="D950">
        <v>7</v>
      </c>
      <c r="E950">
        <v>2</v>
      </c>
      <c r="F950">
        <v>0</v>
      </c>
      <c r="G950">
        <v>30314</v>
      </c>
      <c r="H950">
        <v>1</v>
      </c>
      <c r="I950">
        <v>0</v>
      </c>
    </row>
    <row r="951" spans="1:9" x14ac:dyDescent="0.25">
      <c r="A951">
        <v>68</v>
      </c>
      <c r="B951">
        <v>1</v>
      </c>
      <c r="C951">
        <v>10</v>
      </c>
      <c r="D951">
        <v>5</v>
      </c>
      <c r="E951">
        <v>1</v>
      </c>
      <c r="F951">
        <v>0</v>
      </c>
      <c r="G951">
        <v>44133</v>
      </c>
      <c r="H951">
        <v>1</v>
      </c>
      <c r="I951">
        <v>0</v>
      </c>
    </row>
    <row r="952" spans="1:9" x14ac:dyDescent="0.25">
      <c r="A952">
        <v>67</v>
      </c>
      <c r="B952">
        <v>0</v>
      </c>
      <c r="C952">
        <v>2</v>
      </c>
      <c r="D952">
        <v>5</v>
      </c>
      <c r="E952">
        <v>0</v>
      </c>
      <c r="F952">
        <v>0</v>
      </c>
      <c r="G952">
        <v>7973</v>
      </c>
      <c r="H952">
        <v>0</v>
      </c>
      <c r="I952">
        <v>0</v>
      </c>
    </row>
    <row r="953" spans="1:9" x14ac:dyDescent="0.25">
      <c r="A953">
        <v>67</v>
      </c>
      <c r="B953">
        <v>0</v>
      </c>
      <c r="C953">
        <v>13</v>
      </c>
      <c r="D953">
        <v>3</v>
      </c>
      <c r="E953">
        <v>0</v>
      </c>
      <c r="F953">
        <v>0</v>
      </c>
      <c r="G953">
        <v>29118</v>
      </c>
      <c r="H953">
        <v>0</v>
      </c>
      <c r="I953">
        <v>0</v>
      </c>
    </row>
    <row r="954" spans="1:9" x14ac:dyDescent="0.25">
      <c r="A954">
        <v>67</v>
      </c>
      <c r="B954">
        <v>0</v>
      </c>
      <c r="C954">
        <v>2</v>
      </c>
      <c r="D954">
        <v>4</v>
      </c>
      <c r="E954">
        <v>2</v>
      </c>
      <c r="F954">
        <v>0</v>
      </c>
      <c r="G954">
        <v>8592</v>
      </c>
      <c r="H954">
        <v>0</v>
      </c>
      <c r="I954">
        <v>0</v>
      </c>
    </row>
    <row r="955" spans="1:9" x14ac:dyDescent="0.25">
      <c r="A955">
        <v>67</v>
      </c>
      <c r="B955">
        <v>1</v>
      </c>
      <c r="C955">
        <v>4</v>
      </c>
      <c r="D955">
        <v>7</v>
      </c>
      <c r="E955">
        <v>0</v>
      </c>
      <c r="F955">
        <v>0</v>
      </c>
      <c r="G955">
        <v>16458</v>
      </c>
      <c r="H955">
        <v>0</v>
      </c>
      <c r="I955">
        <v>0</v>
      </c>
    </row>
    <row r="956" spans="1:9" x14ac:dyDescent="0.25">
      <c r="A956">
        <v>67</v>
      </c>
      <c r="B956">
        <v>0</v>
      </c>
      <c r="C956">
        <v>9</v>
      </c>
      <c r="D956">
        <v>5</v>
      </c>
      <c r="E956">
        <v>0</v>
      </c>
      <c r="F956">
        <v>0</v>
      </c>
      <c r="G956">
        <v>25802</v>
      </c>
      <c r="H956">
        <v>0</v>
      </c>
      <c r="I956">
        <v>0</v>
      </c>
    </row>
    <row r="957" spans="1:9" x14ac:dyDescent="0.25">
      <c r="A957">
        <v>67</v>
      </c>
      <c r="B957">
        <v>0</v>
      </c>
      <c r="C957">
        <v>3</v>
      </c>
      <c r="D957">
        <v>3</v>
      </c>
      <c r="E957">
        <v>0</v>
      </c>
      <c r="F957">
        <v>0</v>
      </c>
      <c r="G957">
        <v>15020</v>
      </c>
      <c r="H957">
        <v>0</v>
      </c>
      <c r="I957">
        <v>0</v>
      </c>
    </row>
    <row r="958" spans="1:9" x14ac:dyDescent="0.25">
      <c r="A958">
        <v>67</v>
      </c>
      <c r="B958">
        <v>1</v>
      </c>
      <c r="C958">
        <v>4</v>
      </c>
      <c r="D958">
        <v>5</v>
      </c>
      <c r="E958">
        <v>0</v>
      </c>
      <c r="F958">
        <v>0</v>
      </c>
      <c r="G958">
        <v>12386</v>
      </c>
      <c r="H958">
        <v>0</v>
      </c>
      <c r="I958">
        <v>0</v>
      </c>
    </row>
    <row r="959" spans="1:9" x14ac:dyDescent="0.25">
      <c r="A959">
        <v>67</v>
      </c>
      <c r="B959">
        <v>0</v>
      </c>
      <c r="C959">
        <v>1</v>
      </c>
      <c r="D959">
        <v>6</v>
      </c>
      <c r="E959">
        <v>0</v>
      </c>
      <c r="F959">
        <v>0</v>
      </c>
      <c r="G959">
        <v>8695</v>
      </c>
      <c r="H959">
        <v>0</v>
      </c>
      <c r="I959">
        <v>0</v>
      </c>
    </row>
    <row r="960" spans="1:9" x14ac:dyDescent="0.25">
      <c r="A960">
        <v>67</v>
      </c>
      <c r="B960">
        <v>1</v>
      </c>
      <c r="C960">
        <v>11</v>
      </c>
      <c r="D960">
        <v>3</v>
      </c>
      <c r="E960">
        <v>0</v>
      </c>
      <c r="F960">
        <v>0</v>
      </c>
      <c r="G960">
        <v>21869</v>
      </c>
      <c r="H960">
        <v>0</v>
      </c>
      <c r="I960">
        <v>0</v>
      </c>
    </row>
    <row r="961" spans="1:9" x14ac:dyDescent="0.25">
      <c r="A961">
        <v>67</v>
      </c>
      <c r="B961">
        <v>1</v>
      </c>
      <c r="C961">
        <v>3</v>
      </c>
      <c r="D961">
        <v>5</v>
      </c>
      <c r="E961">
        <v>0</v>
      </c>
      <c r="F961">
        <v>0</v>
      </c>
      <c r="G961">
        <v>9283</v>
      </c>
      <c r="H961">
        <v>0</v>
      </c>
      <c r="I961">
        <v>0</v>
      </c>
    </row>
    <row r="962" spans="1:9" x14ac:dyDescent="0.25">
      <c r="A962">
        <v>67</v>
      </c>
      <c r="B962">
        <v>1</v>
      </c>
      <c r="C962">
        <v>5</v>
      </c>
      <c r="D962">
        <v>4</v>
      </c>
      <c r="E962">
        <v>0</v>
      </c>
      <c r="F962">
        <v>0</v>
      </c>
      <c r="G962">
        <v>16332</v>
      </c>
      <c r="H962">
        <v>0</v>
      </c>
      <c r="I962">
        <v>0</v>
      </c>
    </row>
    <row r="963" spans="1:9" x14ac:dyDescent="0.25">
      <c r="A963">
        <v>67</v>
      </c>
      <c r="B963">
        <v>0</v>
      </c>
      <c r="C963">
        <v>5</v>
      </c>
      <c r="D963">
        <v>4</v>
      </c>
      <c r="E963">
        <v>0</v>
      </c>
      <c r="F963">
        <v>0</v>
      </c>
      <c r="G963">
        <v>13533</v>
      </c>
      <c r="H963">
        <v>0</v>
      </c>
      <c r="I963">
        <v>0</v>
      </c>
    </row>
    <row r="964" spans="1:9" x14ac:dyDescent="0.25">
      <c r="A964">
        <v>67</v>
      </c>
      <c r="B964">
        <v>0</v>
      </c>
      <c r="C964">
        <v>0</v>
      </c>
      <c r="D964">
        <v>4</v>
      </c>
      <c r="E964">
        <v>0</v>
      </c>
      <c r="F964">
        <v>0</v>
      </c>
      <c r="G964">
        <v>7280</v>
      </c>
      <c r="H964">
        <v>0</v>
      </c>
      <c r="I964">
        <v>0</v>
      </c>
    </row>
    <row r="965" spans="1:9" x14ac:dyDescent="0.25">
      <c r="A965">
        <v>67</v>
      </c>
      <c r="B965">
        <v>0</v>
      </c>
      <c r="C965">
        <v>2</v>
      </c>
      <c r="D965">
        <v>5</v>
      </c>
      <c r="E965">
        <v>0</v>
      </c>
      <c r="F965">
        <v>0</v>
      </c>
      <c r="G965">
        <v>11627</v>
      </c>
      <c r="H965">
        <v>0</v>
      </c>
      <c r="I965">
        <v>0</v>
      </c>
    </row>
    <row r="966" spans="1:9" x14ac:dyDescent="0.25">
      <c r="A966">
        <v>67</v>
      </c>
      <c r="B966">
        <v>0</v>
      </c>
      <c r="C966">
        <v>8</v>
      </c>
      <c r="D966">
        <v>4</v>
      </c>
      <c r="E966">
        <v>0</v>
      </c>
      <c r="F966">
        <v>0</v>
      </c>
      <c r="G966">
        <v>21163</v>
      </c>
      <c r="H966">
        <v>0</v>
      </c>
      <c r="I966">
        <v>0</v>
      </c>
    </row>
    <row r="967" spans="1:9" x14ac:dyDescent="0.25">
      <c r="A967">
        <v>67</v>
      </c>
      <c r="B967">
        <v>1</v>
      </c>
      <c r="C967">
        <v>9</v>
      </c>
      <c r="D967">
        <v>4</v>
      </c>
      <c r="E967">
        <v>0</v>
      </c>
      <c r="F967">
        <v>0</v>
      </c>
      <c r="G967">
        <v>20797</v>
      </c>
      <c r="H967">
        <v>0</v>
      </c>
      <c r="I967">
        <v>0</v>
      </c>
    </row>
    <row r="968" spans="1:9" x14ac:dyDescent="0.25">
      <c r="A968">
        <v>67</v>
      </c>
      <c r="B968">
        <v>1</v>
      </c>
      <c r="C968">
        <v>7</v>
      </c>
      <c r="D968">
        <v>5</v>
      </c>
      <c r="E968">
        <v>1</v>
      </c>
      <c r="F968">
        <v>0</v>
      </c>
      <c r="G968">
        <v>27030</v>
      </c>
      <c r="H968">
        <v>0</v>
      </c>
      <c r="I968">
        <v>0</v>
      </c>
    </row>
    <row r="969" spans="1:9" x14ac:dyDescent="0.25">
      <c r="A969">
        <v>67</v>
      </c>
      <c r="B969">
        <v>1</v>
      </c>
      <c r="C969">
        <v>5</v>
      </c>
      <c r="D969">
        <v>5</v>
      </c>
      <c r="E969">
        <v>0</v>
      </c>
      <c r="F969">
        <v>0</v>
      </c>
      <c r="G969">
        <v>13537</v>
      </c>
      <c r="H969">
        <v>0</v>
      </c>
      <c r="I969">
        <v>0</v>
      </c>
    </row>
    <row r="970" spans="1:9" x14ac:dyDescent="0.25">
      <c r="A970">
        <v>67</v>
      </c>
      <c r="B970">
        <v>1</v>
      </c>
      <c r="C970">
        <v>11</v>
      </c>
      <c r="D970">
        <v>4</v>
      </c>
      <c r="E970">
        <v>1</v>
      </c>
      <c r="F970">
        <v>0</v>
      </c>
      <c r="G970">
        <v>40940</v>
      </c>
      <c r="H970">
        <v>0</v>
      </c>
      <c r="I970">
        <v>0</v>
      </c>
    </row>
    <row r="971" spans="1:9" x14ac:dyDescent="0.25">
      <c r="A971">
        <v>67</v>
      </c>
      <c r="B971">
        <v>0</v>
      </c>
      <c r="C971">
        <v>2</v>
      </c>
      <c r="D971">
        <v>4</v>
      </c>
      <c r="E971">
        <v>0</v>
      </c>
      <c r="F971">
        <v>0</v>
      </c>
      <c r="G971">
        <v>8804</v>
      </c>
      <c r="H971">
        <v>0</v>
      </c>
      <c r="I971">
        <v>0</v>
      </c>
    </row>
    <row r="972" spans="1:9" x14ac:dyDescent="0.25">
      <c r="A972">
        <v>67</v>
      </c>
      <c r="B972">
        <v>0</v>
      </c>
      <c r="C972">
        <v>6</v>
      </c>
      <c r="D972">
        <v>4</v>
      </c>
      <c r="E972">
        <v>1</v>
      </c>
      <c r="F972">
        <v>0</v>
      </c>
      <c r="G972">
        <v>20458</v>
      </c>
      <c r="H972">
        <v>0</v>
      </c>
      <c r="I972">
        <v>0</v>
      </c>
    </row>
    <row r="973" spans="1:9" x14ac:dyDescent="0.25">
      <c r="A973">
        <v>67</v>
      </c>
      <c r="B973">
        <v>0</v>
      </c>
      <c r="C973">
        <v>4</v>
      </c>
      <c r="D973">
        <v>4</v>
      </c>
      <c r="E973">
        <v>0</v>
      </c>
      <c r="F973">
        <v>0</v>
      </c>
      <c r="G973">
        <v>11840</v>
      </c>
      <c r="H973">
        <v>0</v>
      </c>
      <c r="I973">
        <v>0</v>
      </c>
    </row>
    <row r="974" spans="1:9" x14ac:dyDescent="0.25">
      <c r="A974">
        <v>67</v>
      </c>
      <c r="B974">
        <v>1</v>
      </c>
      <c r="C974">
        <v>7</v>
      </c>
      <c r="D974">
        <v>3</v>
      </c>
      <c r="E974">
        <v>0</v>
      </c>
      <c r="F974">
        <v>0</v>
      </c>
      <c r="G974">
        <v>21080</v>
      </c>
      <c r="H974">
        <v>0</v>
      </c>
      <c r="I974">
        <v>0</v>
      </c>
    </row>
    <row r="975" spans="1:9" x14ac:dyDescent="0.25">
      <c r="A975">
        <v>67</v>
      </c>
      <c r="B975">
        <v>1</v>
      </c>
      <c r="C975">
        <v>20</v>
      </c>
      <c r="D975">
        <v>5</v>
      </c>
      <c r="E975">
        <v>0</v>
      </c>
      <c r="F975">
        <v>0</v>
      </c>
      <c r="G975">
        <v>28697</v>
      </c>
      <c r="H975">
        <v>0</v>
      </c>
      <c r="I975">
        <v>0</v>
      </c>
    </row>
    <row r="976" spans="1:9" x14ac:dyDescent="0.25">
      <c r="A976">
        <v>67</v>
      </c>
      <c r="B976">
        <v>1</v>
      </c>
      <c r="C976">
        <v>4</v>
      </c>
      <c r="D976">
        <v>3</v>
      </c>
      <c r="E976">
        <v>0</v>
      </c>
      <c r="F976">
        <v>0</v>
      </c>
      <c r="G976">
        <v>8067</v>
      </c>
      <c r="H976">
        <v>0</v>
      </c>
      <c r="I976">
        <v>0</v>
      </c>
    </row>
    <row r="977" spans="1:9" x14ac:dyDescent="0.25">
      <c r="A977">
        <v>67</v>
      </c>
      <c r="B977">
        <v>0</v>
      </c>
      <c r="C977">
        <v>4</v>
      </c>
      <c r="D977">
        <v>7</v>
      </c>
      <c r="E977">
        <v>2</v>
      </c>
      <c r="F977">
        <v>0</v>
      </c>
      <c r="G977">
        <v>8209</v>
      </c>
      <c r="H977">
        <v>0</v>
      </c>
      <c r="I977">
        <v>0</v>
      </c>
    </row>
    <row r="978" spans="1:9" x14ac:dyDescent="0.25">
      <c r="A978">
        <v>67</v>
      </c>
      <c r="B978">
        <v>1</v>
      </c>
      <c r="C978">
        <v>3</v>
      </c>
      <c r="D978">
        <v>4</v>
      </c>
      <c r="E978">
        <v>1</v>
      </c>
      <c r="F978">
        <v>0</v>
      </c>
      <c r="G978">
        <v>9123</v>
      </c>
      <c r="H978">
        <v>0</v>
      </c>
      <c r="I978">
        <v>0</v>
      </c>
    </row>
    <row r="979" spans="1:9" x14ac:dyDescent="0.25">
      <c r="A979">
        <v>67</v>
      </c>
      <c r="B979">
        <v>0</v>
      </c>
      <c r="C979">
        <v>2</v>
      </c>
      <c r="D979">
        <v>5</v>
      </c>
      <c r="E979">
        <v>1</v>
      </c>
      <c r="F979">
        <v>0</v>
      </c>
      <c r="G979">
        <v>7445</v>
      </c>
      <c r="H979">
        <v>0</v>
      </c>
      <c r="I979">
        <v>0</v>
      </c>
    </row>
    <row r="980" spans="1:9" x14ac:dyDescent="0.25">
      <c r="A980">
        <v>67</v>
      </c>
      <c r="B980">
        <v>0</v>
      </c>
      <c r="C980">
        <v>5</v>
      </c>
      <c r="D980">
        <v>6</v>
      </c>
      <c r="E980">
        <v>0</v>
      </c>
      <c r="F980">
        <v>0</v>
      </c>
      <c r="G980">
        <v>12990</v>
      </c>
      <c r="H980">
        <v>0</v>
      </c>
      <c r="I980">
        <v>0</v>
      </c>
    </row>
    <row r="981" spans="1:9" x14ac:dyDescent="0.25">
      <c r="A981">
        <v>67</v>
      </c>
      <c r="B981">
        <v>1</v>
      </c>
      <c r="C981">
        <v>13</v>
      </c>
      <c r="D981">
        <v>1</v>
      </c>
      <c r="E981">
        <v>3</v>
      </c>
      <c r="F981">
        <v>0</v>
      </c>
      <c r="G981">
        <v>58859</v>
      </c>
      <c r="H981">
        <v>1</v>
      </c>
      <c r="I981">
        <v>0</v>
      </c>
    </row>
    <row r="982" spans="1:9" x14ac:dyDescent="0.25">
      <c r="A982">
        <v>67</v>
      </c>
      <c r="B982">
        <v>1</v>
      </c>
      <c r="C982">
        <v>5</v>
      </c>
      <c r="D982">
        <v>5</v>
      </c>
      <c r="E982">
        <v>1</v>
      </c>
      <c r="F982">
        <v>0</v>
      </c>
      <c r="G982">
        <v>24519</v>
      </c>
      <c r="H982">
        <v>1</v>
      </c>
      <c r="I982">
        <v>0</v>
      </c>
    </row>
    <row r="983" spans="1:9" x14ac:dyDescent="0.25">
      <c r="A983">
        <v>67</v>
      </c>
      <c r="B983">
        <v>1</v>
      </c>
      <c r="C983">
        <v>22</v>
      </c>
      <c r="D983">
        <v>5</v>
      </c>
      <c r="E983">
        <v>6</v>
      </c>
      <c r="F983">
        <v>0</v>
      </c>
      <c r="G983">
        <v>195157</v>
      </c>
      <c r="H983">
        <v>1</v>
      </c>
      <c r="I983">
        <v>0</v>
      </c>
    </row>
    <row r="984" spans="1:9" x14ac:dyDescent="0.25">
      <c r="A984">
        <v>67</v>
      </c>
      <c r="B984">
        <v>1</v>
      </c>
      <c r="C984">
        <v>1</v>
      </c>
      <c r="D984">
        <v>3</v>
      </c>
      <c r="E984">
        <v>2</v>
      </c>
      <c r="F984">
        <v>0</v>
      </c>
      <c r="G984">
        <v>14358</v>
      </c>
      <c r="H984">
        <v>1</v>
      </c>
      <c r="I984">
        <v>0</v>
      </c>
    </row>
    <row r="985" spans="1:9" x14ac:dyDescent="0.25">
      <c r="A985">
        <v>67</v>
      </c>
      <c r="B985">
        <v>1</v>
      </c>
      <c r="C985">
        <v>6</v>
      </c>
      <c r="D985">
        <v>5</v>
      </c>
      <c r="E985">
        <v>3</v>
      </c>
      <c r="F985">
        <v>0</v>
      </c>
      <c r="G985">
        <v>29712</v>
      </c>
      <c r="H985">
        <v>1</v>
      </c>
      <c r="I985">
        <v>0</v>
      </c>
    </row>
    <row r="986" spans="1:9" x14ac:dyDescent="0.25">
      <c r="A986">
        <v>67</v>
      </c>
      <c r="B986">
        <v>1</v>
      </c>
      <c r="C986">
        <v>4</v>
      </c>
      <c r="D986">
        <v>2</v>
      </c>
      <c r="E986">
        <v>3</v>
      </c>
      <c r="F986">
        <v>0</v>
      </c>
      <c r="G986">
        <v>41186</v>
      </c>
      <c r="H986">
        <v>1</v>
      </c>
      <c r="I986">
        <v>0</v>
      </c>
    </row>
    <row r="987" spans="1:9" x14ac:dyDescent="0.25">
      <c r="A987">
        <v>67</v>
      </c>
      <c r="B987">
        <v>1</v>
      </c>
      <c r="C987">
        <v>6</v>
      </c>
      <c r="D987">
        <v>5</v>
      </c>
      <c r="E987">
        <v>2</v>
      </c>
      <c r="F987">
        <v>0</v>
      </c>
      <c r="G987">
        <v>35451</v>
      </c>
      <c r="H987">
        <v>1</v>
      </c>
      <c r="I987">
        <v>0</v>
      </c>
    </row>
    <row r="988" spans="1:9" x14ac:dyDescent="0.25">
      <c r="A988">
        <v>67</v>
      </c>
      <c r="B988">
        <v>1</v>
      </c>
      <c r="C988">
        <v>8</v>
      </c>
      <c r="D988">
        <v>5</v>
      </c>
      <c r="E988">
        <v>6</v>
      </c>
      <c r="F988">
        <v>0</v>
      </c>
      <c r="G988">
        <v>35765</v>
      </c>
      <c r="H988">
        <v>1</v>
      </c>
      <c r="I988">
        <v>0</v>
      </c>
    </row>
    <row r="989" spans="1:9" x14ac:dyDescent="0.25">
      <c r="A989">
        <v>66</v>
      </c>
      <c r="B989">
        <v>0</v>
      </c>
      <c r="C989">
        <v>13</v>
      </c>
      <c r="D989">
        <v>3</v>
      </c>
      <c r="E989">
        <v>0</v>
      </c>
      <c r="F989">
        <v>0</v>
      </c>
      <c r="G989">
        <v>20579</v>
      </c>
      <c r="H989">
        <v>0</v>
      </c>
      <c r="I989">
        <v>0</v>
      </c>
    </row>
    <row r="990" spans="1:9" x14ac:dyDescent="0.25">
      <c r="A990">
        <v>66</v>
      </c>
      <c r="B990">
        <v>0</v>
      </c>
      <c r="C990">
        <v>5</v>
      </c>
      <c r="D990">
        <v>6</v>
      </c>
      <c r="E990">
        <v>0</v>
      </c>
      <c r="F990">
        <v>0</v>
      </c>
      <c r="G990">
        <v>14163</v>
      </c>
      <c r="H990">
        <v>0</v>
      </c>
      <c r="I990">
        <v>0</v>
      </c>
    </row>
    <row r="991" spans="1:9" x14ac:dyDescent="0.25">
      <c r="A991">
        <v>66</v>
      </c>
      <c r="B991">
        <v>1</v>
      </c>
      <c r="C991">
        <v>6</v>
      </c>
      <c r="D991">
        <v>5</v>
      </c>
      <c r="E991">
        <v>0</v>
      </c>
      <c r="F991">
        <v>0</v>
      </c>
      <c r="G991">
        <v>24685</v>
      </c>
      <c r="H991">
        <v>0</v>
      </c>
      <c r="I991">
        <v>0</v>
      </c>
    </row>
    <row r="992" spans="1:9" x14ac:dyDescent="0.25">
      <c r="A992">
        <v>66</v>
      </c>
      <c r="B992">
        <v>0</v>
      </c>
      <c r="C992">
        <v>8</v>
      </c>
      <c r="D992">
        <v>4</v>
      </c>
      <c r="E992">
        <v>0</v>
      </c>
      <c r="F992">
        <v>0</v>
      </c>
      <c r="G992">
        <v>15639</v>
      </c>
      <c r="H992">
        <v>0</v>
      </c>
      <c r="I992">
        <v>0</v>
      </c>
    </row>
    <row r="993" spans="1:9" x14ac:dyDescent="0.25">
      <c r="A993">
        <v>66</v>
      </c>
      <c r="B993">
        <v>0</v>
      </c>
      <c r="C993">
        <v>1</v>
      </c>
      <c r="D993">
        <v>3</v>
      </c>
      <c r="E993">
        <v>3</v>
      </c>
      <c r="F993">
        <v>0</v>
      </c>
      <c r="G993">
        <v>17720</v>
      </c>
      <c r="H993">
        <v>0</v>
      </c>
      <c r="I993">
        <v>0</v>
      </c>
    </row>
    <row r="994" spans="1:9" x14ac:dyDescent="0.25">
      <c r="A994">
        <v>66</v>
      </c>
      <c r="B994">
        <v>0</v>
      </c>
      <c r="C994">
        <v>8</v>
      </c>
      <c r="D994">
        <v>4</v>
      </c>
      <c r="E994">
        <v>3</v>
      </c>
      <c r="F994">
        <v>0</v>
      </c>
      <c r="G994">
        <v>47588</v>
      </c>
      <c r="H994">
        <v>0</v>
      </c>
      <c r="I994">
        <v>0</v>
      </c>
    </row>
    <row r="995" spans="1:9" x14ac:dyDescent="0.25">
      <c r="A995">
        <v>66</v>
      </c>
      <c r="B995">
        <v>1</v>
      </c>
      <c r="C995">
        <v>5</v>
      </c>
      <c r="D995">
        <v>5</v>
      </c>
      <c r="E995">
        <v>0</v>
      </c>
      <c r="F995">
        <v>0</v>
      </c>
      <c r="G995">
        <v>24868</v>
      </c>
      <c r="H995">
        <v>0</v>
      </c>
      <c r="I995">
        <v>0</v>
      </c>
    </row>
    <row r="996" spans="1:9" x14ac:dyDescent="0.25">
      <c r="A996">
        <v>66</v>
      </c>
      <c r="B996">
        <v>0</v>
      </c>
      <c r="C996">
        <v>3</v>
      </c>
      <c r="D996">
        <v>4</v>
      </c>
      <c r="E996">
        <v>0</v>
      </c>
      <c r="F996">
        <v>0</v>
      </c>
      <c r="G996">
        <v>12929</v>
      </c>
      <c r="H996">
        <v>0</v>
      </c>
      <c r="I996">
        <v>0</v>
      </c>
    </row>
    <row r="997" spans="1:9" x14ac:dyDescent="0.25">
      <c r="A997">
        <v>66</v>
      </c>
      <c r="B997">
        <v>0</v>
      </c>
      <c r="C997">
        <v>6</v>
      </c>
      <c r="D997">
        <v>2</v>
      </c>
      <c r="E997">
        <v>1</v>
      </c>
      <c r="F997">
        <v>0</v>
      </c>
      <c r="G997">
        <v>28175</v>
      </c>
      <c r="H997">
        <v>0</v>
      </c>
      <c r="I997">
        <v>0</v>
      </c>
    </row>
    <row r="998" spans="1:9" x14ac:dyDescent="0.25">
      <c r="A998">
        <v>66</v>
      </c>
      <c r="B998">
        <v>0</v>
      </c>
      <c r="C998">
        <v>9</v>
      </c>
      <c r="D998">
        <v>4</v>
      </c>
      <c r="E998">
        <v>0</v>
      </c>
      <c r="F998">
        <v>0</v>
      </c>
      <c r="G998">
        <v>29021</v>
      </c>
      <c r="H998">
        <v>0</v>
      </c>
      <c r="I998">
        <v>0</v>
      </c>
    </row>
    <row r="999" spans="1:9" x14ac:dyDescent="0.25">
      <c r="A999">
        <v>66</v>
      </c>
      <c r="B999">
        <v>0</v>
      </c>
      <c r="C999">
        <v>3</v>
      </c>
      <c r="D999">
        <v>4</v>
      </c>
      <c r="E999">
        <v>0</v>
      </c>
      <c r="F999">
        <v>0</v>
      </c>
      <c r="G999">
        <v>7224</v>
      </c>
      <c r="H999">
        <v>0</v>
      </c>
      <c r="I999">
        <v>0</v>
      </c>
    </row>
    <row r="1000" spans="1:9" x14ac:dyDescent="0.25">
      <c r="A1000">
        <v>66</v>
      </c>
      <c r="B1000">
        <v>1</v>
      </c>
      <c r="C1000">
        <v>7</v>
      </c>
      <c r="D1000">
        <v>5</v>
      </c>
      <c r="E1000">
        <v>0</v>
      </c>
      <c r="F1000">
        <v>0</v>
      </c>
      <c r="G1000">
        <v>12018</v>
      </c>
      <c r="H1000">
        <v>0</v>
      </c>
      <c r="I1000">
        <v>0</v>
      </c>
    </row>
    <row r="1001" spans="1:9" x14ac:dyDescent="0.25">
      <c r="A1001">
        <v>66</v>
      </c>
      <c r="B1001">
        <v>0</v>
      </c>
      <c r="C1001">
        <v>2</v>
      </c>
      <c r="D1001">
        <v>3</v>
      </c>
      <c r="E1001">
        <v>1</v>
      </c>
      <c r="F1001">
        <v>0</v>
      </c>
      <c r="G1001">
        <v>7607</v>
      </c>
      <c r="H1001">
        <v>0</v>
      </c>
      <c r="I1001">
        <v>0</v>
      </c>
    </row>
    <row r="1002" spans="1:9" x14ac:dyDescent="0.25">
      <c r="A1002">
        <v>66</v>
      </c>
      <c r="B1002">
        <v>1</v>
      </c>
      <c r="C1002">
        <v>15</v>
      </c>
      <c r="D1002">
        <v>6</v>
      </c>
      <c r="E1002">
        <v>0</v>
      </c>
      <c r="F1002">
        <v>0</v>
      </c>
      <c r="G1002">
        <v>27468</v>
      </c>
      <c r="H1002">
        <v>0</v>
      </c>
      <c r="I1002">
        <v>0</v>
      </c>
    </row>
    <row r="1003" spans="1:9" x14ac:dyDescent="0.25">
      <c r="A1003">
        <v>66</v>
      </c>
      <c r="B1003">
        <v>1</v>
      </c>
      <c r="C1003">
        <v>1</v>
      </c>
      <c r="D1003">
        <v>8</v>
      </c>
      <c r="E1003">
        <v>0</v>
      </c>
      <c r="F1003">
        <v>0</v>
      </c>
      <c r="G1003">
        <v>8750</v>
      </c>
      <c r="H1003">
        <v>0</v>
      </c>
      <c r="I1003">
        <v>0</v>
      </c>
    </row>
    <row r="1004" spans="1:9" x14ac:dyDescent="0.25">
      <c r="A1004">
        <v>66</v>
      </c>
      <c r="B1004">
        <v>0</v>
      </c>
      <c r="C1004">
        <v>6</v>
      </c>
      <c r="D1004">
        <v>3</v>
      </c>
      <c r="E1004">
        <v>0</v>
      </c>
      <c r="F1004">
        <v>0</v>
      </c>
      <c r="G1004">
        <v>16269</v>
      </c>
      <c r="H1004">
        <v>0</v>
      </c>
      <c r="I1004">
        <v>0</v>
      </c>
    </row>
    <row r="1005" spans="1:9" x14ac:dyDescent="0.25">
      <c r="A1005">
        <v>66</v>
      </c>
      <c r="B1005">
        <v>0</v>
      </c>
      <c r="C1005">
        <v>8</v>
      </c>
      <c r="D1005">
        <v>6</v>
      </c>
      <c r="E1005">
        <v>0</v>
      </c>
      <c r="F1005">
        <v>0</v>
      </c>
      <c r="G1005">
        <v>14922</v>
      </c>
      <c r="H1005">
        <v>0</v>
      </c>
      <c r="I1005">
        <v>0</v>
      </c>
    </row>
    <row r="1006" spans="1:9" x14ac:dyDescent="0.25">
      <c r="A1006">
        <v>66</v>
      </c>
      <c r="B1006">
        <v>1</v>
      </c>
      <c r="C1006">
        <v>3</v>
      </c>
      <c r="D1006">
        <v>2</v>
      </c>
      <c r="E1006">
        <v>0</v>
      </c>
      <c r="F1006">
        <v>0</v>
      </c>
      <c r="G1006">
        <v>12583</v>
      </c>
      <c r="H1006">
        <v>0</v>
      </c>
      <c r="I1006">
        <v>0</v>
      </c>
    </row>
    <row r="1007" spans="1:9" x14ac:dyDescent="0.25">
      <c r="A1007">
        <v>66</v>
      </c>
      <c r="B1007">
        <v>0</v>
      </c>
      <c r="C1007">
        <v>4</v>
      </c>
      <c r="D1007">
        <v>3</v>
      </c>
      <c r="E1007">
        <v>0</v>
      </c>
      <c r="F1007">
        <v>0</v>
      </c>
      <c r="G1007">
        <v>19714</v>
      </c>
      <c r="H1007">
        <v>0</v>
      </c>
      <c r="I1007">
        <v>0</v>
      </c>
    </row>
    <row r="1008" spans="1:9" x14ac:dyDescent="0.25">
      <c r="A1008">
        <v>66</v>
      </c>
      <c r="B1008">
        <v>1</v>
      </c>
      <c r="C1008">
        <v>4</v>
      </c>
      <c r="D1008">
        <v>3</v>
      </c>
      <c r="E1008">
        <v>1</v>
      </c>
      <c r="F1008">
        <v>0</v>
      </c>
      <c r="G1008">
        <v>15581</v>
      </c>
      <c r="H1008">
        <v>0</v>
      </c>
      <c r="I1008">
        <v>0</v>
      </c>
    </row>
    <row r="1009" spans="1:9" x14ac:dyDescent="0.25">
      <c r="A1009">
        <v>66</v>
      </c>
      <c r="B1009">
        <v>1</v>
      </c>
      <c r="C1009">
        <v>8</v>
      </c>
      <c r="D1009">
        <v>3</v>
      </c>
      <c r="E1009">
        <v>0</v>
      </c>
      <c r="F1009">
        <v>0</v>
      </c>
      <c r="G1009">
        <v>28966</v>
      </c>
      <c r="H1009">
        <v>0</v>
      </c>
      <c r="I1009">
        <v>0</v>
      </c>
    </row>
    <row r="1010" spans="1:9" x14ac:dyDescent="0.25">
      <c r="A1010">
        <v>66</v>
      </c>
      <c r="B1010">
        <v>0</v>
      </c>
      <c r="C1010">
        <v>3</v>
      </c>
      <c r="D1010">
        <v>3</v>
      </c>
      <c r="E1010">
        <v>0</v>
      </c>
      <c r="F1010">
        <v>0</v>
      </c>
      <c r="G1010">
        <v>11883</v>
      </c>
      <c r="H1010">
        <v>0</v>
      </c>
      <c r="I1010">
        <v>0</v>
      </c>
    </row>
    <row r="1011" spans="1:9" x14ac:dyDescent="0.25">
      <c r="A1011">
        <v>66</v>
      </c>
      <c r="B1011">
        <v>1</v>
      </c>
      <c r="C1011">
        <v>2</v>
      </c>
      <c r="D1011">
        <v>4</v>
      </c>
      <c r="E1011">
        <v>0</v>
      </c>
      <c r="F1011">
        <v>0</v>
      </c>
      <c r="G1011">
        <v>10184</v>
      </c>
      <c r="H1011">
        <v>0</v>
      </c>
      <c r="I1011">
        <v>0</v>
      </c>
    </row>
    <row r="1012" spans="1:9" x14ac:dyDescent="0.25">
      <c r="A1012">
        <v>66</v>
      </c>
      <c r="B1012">
        <v>1</v>
      </c>
      <c r="C1012">
        <v>11</v>
      </c>
      <c r="D1012">
        <v>6</v>
      </c>
      <c r="E1012">
        <v>0</v>
      </c>
      <c r="F1012">
        <v>0</v>
      </c>
      <c r="G1012">
        <v>22320</v>
      </c>
      <c r="H1012">
        <v>0</v>
      </c>
      <c r="I1012">
        <v>0</v>
      </c>
    </row>
    <row r="1013" spans="1:9" x14ac:dyDescent="0.25">
      <c r="A1013">
        <v>66</v>
      </c>
      <c r="B1013">
        <v>0</v>
      </c>
      <c r="C1013">
        <v>20</v>
      </c>
      <c r="D1013">
        <v>1</v>
      </c>
      <c r="E1013">
        <v>1</v>
      </c>
      <c r="F1013">
        <v>0</v>
      </c>
      <c r="G1013">
        <v>69928</v>
      </c>
      <c r="H1013">
        <v>0</v>
      </c>
      <c r="I1013">
        <v>0</v>
      </c>
    </row>
    <row r="1014" spans="1:9" x14ac:dyDescent="0.25">
      <c r="A1014">
        <v>66</v>
      </c>
      <c r="B1014">
        <v>0</v>
      </c>
      <c r="C1014">
        <v>9</v>
      </c>
      <c r="D1014">
        <v>6</v>
      </c>
      <c r="E1014">
        <v>0</v>
      </c>
      <c r="F1014">
        <v>0</v>
      </c>
      <c r="G1014">
        <v>27797</v>
      </c>
      <c r="H1014">
        <v>0</v>
      </c>
      <c r="I1014">
        <v>0</v>
      </c>
    </row>
    <row r="1015" spans="1:9" x14ac:dyDescent="0.25">
      <c r="A1015">
        <v>66</v>
      </c>
      <c r="B1015">
        <v>0</v>
      </c>
      <c r="C1015">
        <v>6</v>
      </c>
      <c r="D1015">
        <v>6</v>
      </c>
      <c r="E1015">
        <v>0</v>
      </c>
      <c r="F1015">
        <v>0</v>
      </c>
      <c r="G1015">
        <v>16031</v>
      </c>
      <c r="H1015">
        <v>0</v>
      </c>
      <c r="I1015">
        <v>0</v>
      </c>
    </row>
    <row r="1016" spans="1:9" x14ac:dyDescent="0.25">
      <c r="A1016">
        <v>66</v>
      </c>
      <c r="B1016">
        <v>0</v>
      </c>
      <c r="C1016">
        <v>1</v>
      </c>
      <c r="D1016">
        <v>3</v>
      </c>
      <c r="E1016">
        <v>0</v>
      </c>
      <c r="F1016">
        <v>0</v>
      </c>
      <c r="G1016">
        <v>8097</v>
      </c>
      <c r="H1016">
        <v>0</v>
      </c>
      <c r="I1016">
        <v>0</v>
      </c>
    </row>
    <row r="1017" spans="1:9" x14ac:dyDescent="0.25">
      <c r="A1017">
        <v>66</v>
      </c>
      <c r="B1017">
        <v>1</v>
      </c>
      <c r="C1017">
        <v>6</v>
      </c>
      <c r="D1017">
        <v>5</v>
      </c>
      <c r="E1017">
        <v>0</v>
      </c>
      <c r="F1017">
        <v>0</v>
      </c>
      <c r="G1017">
        <v>14644</v>
      </c>
      <c r="H1017">
        <v>0</v>
      </c>
      <c r="I1017">
        <v>0</v>
      </c>
    </row>
    <row r="1018" spans="1:9" x14ac:dyDescent="0.25">
      <c r="A1018">
        <v>66</v>
      </c>
      <c r="B1018">
        <v>0</v>
      </c>
      <c r="C1018">
        <v>7</v>
      </c>
      <c r="D1018">
        <v>5</v>
      </c>
      <c r="E1018">
        <v>5</v>
      </c>
      <c r="F1018">
        <v>0</v>
      </c>
      <c r="G1018">
        <v>35684</v>
      </c>
      <c r="H1018">
        <v>0</v>
      </c>
      <c r="I1018">
        <v>0</v>
      </c>
    </row>
    <row r="1019" spans="1:9" x14ac:dyDescent="0.25">
      <c r="A1019">
        <v>66</v>
      </c>
      <c r="B1019">
        <v>0</v>
      </c>
      <c r="C1019">
        <v>1</v>
      </c>
      <c r="D1019">
        <v>5</v>
      </c>
      <c r="E1019">
        <v>1</v>
      </c>
      <c r="F1019">
        <v>0</v>
      </c>
      <c r="G1019">
        <v>5649</v>
      </c>
      <c r="H1019">
        <v>0</v>
      </c>
      <c r="I1019">
        <v>0</v>
      </c>
    </row>
    <row r="1020" spans="1:9" x14ac:dyDescent="0.25">
      <c r="A1020">
        <v>66</v>
      </c>
      <c r="B1020">
        <v>1</v>
      </c>
      <c r="C1020">
        <v>3</v>
      </c>
      <c r="D1020">
        <v>4</v>
      </c>
      <c r="E1020">
        <v>0</v>
      </c>
      <c r="F1020">
        <v>0</v>
      </c>
      <c r="G1020">
        <v>7191</v>
      </c>
      <c r="H1020">
        <v>0</v>
      </c>
      <c r="I1020">
        <v>0</v>
      </c>
    </row>
    <row r="1021" spans="1:9" x14ac:dyDescent="0.25">
      <c r="A1021">
        <v>66</v>
      </c>
      <c r="B1021">
        <v>0</v>
      </c>
      <c r="C1021">
        <v>6</v>
      </c>
      <c r="D1021">
        <v>3</v>
      </c>
      <c r="E1021">
        <v>5</v>
      </c>
      <c r="F1021">
        <v>0</v>
      </c>
      <c r="G1021">
        <v>26513</v>
      </c>
      <c r="H1021">
        <v>0</v>
      </c>
      <c r="I1021">
        <v>0</v>
      </c>
    </row>
    <row r="1022" spans="1:9" x14ac:dyDescent="0.25">
      <c r="A1022">
        <v>66</v>
      </c>
      <c r="B1022">
        <v>0</v>
      </c>
      <c r="C1022">
        <v>10</v>
      </c>
      <c r="D1022">
        <v>3</v>
      </c>
      <c r="E1022">
        <v>1</v>
      </c>
      <c r="F1022">
        <v>0</v>
      </c>
      <c r="G1022">
        <v>23400</v>
      </c>
      <c r="H1022">
        <v>0</v>
      </c>
      <c r="I1022">
        <v>0</v>
      </c>
    </row>
    <row r="1023" spans="1:9" x14ac:dyDescent="0.25">
      <c r="A1023">
        <v>66</v>
      </c>
      <c r="B1023">
        <v>1</v>
      </c>
      <c r="C1023">
        <v>5</v>
      </c>
      <c r="D1023">
        <v>6</v>
      </c>
      <c r="E1023">
        <v>1</v>
      </c>
      <c r="F1023">
        <v>0</v>
      </c>
      <c r="G1023">
        <v>10651</v>
      </c>
      <c r="H1023">
        <v>0</v>
      </c>
      <c r="I1023">
        <v>0</v>
      </c>
    </row>
    <row r="1024" spans="1:9" x14ac:dyDescent="0.25">
      <c r="A1024">
        <v>66</v>
      </c>
      <c r="B1024">
        <v>1</v>
      </c>
      <c r="C1024">
        <v>3</v>
      </c>
      <c r="D1024">
        <v>4</v>
      </c>
      <c r="E1024">
        <v>2</v>
      </c>
      <c r="F1024">
        <v>0</v>
      </c>
      <c r="G1024">
        <v>16981</v>
      </c>
      <c r="H1024">
        <v>0</v>
      </c>
      <c r="I1024">
        <v>0</v>
      </c>
    </row>
    <row r="1025" spans="1:9" x14ac:dyDescent="0.25">
      <c r="A1025">
        <v>66</v>
      </c>
      <c r="B1025">
        <v>0</v>
      </c>
      <c r="C1025">
        <v>3</v>
      </c>
      <c r="D1025">
        <v>3</v>
      </c>
      <c r="E1025">
        <v>4</v>
      </c>
      <c r="F1025">
        <v>0</v>
      </c>
      <c r="G1025">
        <v>21237</v>
      </c>
      <c r="H1025">
        <v>1</v>
      </c>
      <c r="I1025">
        <v>0</v>
      </c>
    </row>
    <row r="1026" spans="1:9" x14ac:dyDescent="0.25">
      <c r="A1026">
        <v>66</v>
      </c>
      <c r="B1026">
        <v>0</v>
      </c>
      <c r="C1026">
        <v>7</v>
      </c>
      <c r="D1026">
        <v>6</v>
      </c>
      <c r="E1026">
        <v>1</v>
      </c>
      <c r="F1026">
        <v>0</v>
      </c>
      <c r="G1026">
        <v>22679</v>
      </c>
      <c r="H1026">
        <v>1</v>
      </c>
      <c r="I1026">
        <v>0</v>
      </c>
    </row>
    <row r="1027" spans="1:9" x14ac:dyDescent="0.25">
      <c r="A1027">
        <v>66</v>
      </c>
      <c r="B1027">
        <v>0</v>
      </c>
      <c r="C1027">
        <v>8</v>
      </c>
      <c r="D1027">
        <v>3</v>
      </c>
      <c r="E1027">
        <v>2</v>
      </c>
      <c r="F1027">
        <v>0</v>
      </c>
      <c r="G1027">
        <v>39927</v>
      </c>
      <c r="H1027">
        <v>1</v>
      </c>
      <c r="I1027">
        <v>0</v>
      </c>
    </row>
    <row r="1028" spans="1:9" x14ac:dyDescent="0.25">
      <c r="A1028">
        <v>66</v>
      </c>
      <c r="B1028">
        <v>1</v>
      </c>
      <c r="C1028">
        <v>8</v>
      </c>
      <c r="D1028">
        <v>5</v>
      </c>
      <c r="E1028">
        <v>4</v>
      </c>
      <c r="F1028">
        <v>0</v>
      </c>
      <c r="G1028">
        <v>42359</v>
      </c>
      <c r="H1028">
        <v>1</v>
      </c>
      <c r="I1028">
        <v>0</v>
      </c>
    </row>
    <row r="1029" spans="1:9" x14ac:dyDescent="0.25">
      <c r="A1029">
        <v>65</v>
      </c>
      <c r="B1029">
        <v>0</v>
      </c>
      <c r="C1029">
        <v>2</v>
      </c>
      <c r="D1029">
        <v>6</v>
      </c>
      <c r="E1029">
        <v>0</v>
      </c>
      <c r="F1029">
        <v>0</v>
      </c>
      <c r="G1029">
        <v>10997</v>
      </c>
      <c r="H1029">
        <v>0</v>
      </c>
      <c r="I1029">
        <v>0</v>
      </c>
    </row>
    <row r="1030" spans="1:9" x14ac:dyDescent="0.25">
      <c r="A1030">
        <v>65</v>
      </c>
      <c r="B1030">
        <v>0</v>
      </c>
      <c r="C1030">
        <v>10</v>
      </c>
      <c r="D1030">
        <v>5</v>
      </c>
      <c r="E1030">
        <v>0</v>
      </c>
      <c r="F1030">
        <v>0</v>
      </c>
      <c r="G1030">
        <v>18339</v>
      </c>
      <c r="H1030">
        <v>0</v>
      </c>
      <c r="I1030">
        <v>0</v>
      </c>
    </row>
    <row r="1031" spans="1:9" x14ac:dyDescent="0.25">
      <c r="A1031">
        <v>65</v>
      </c>
      <c r="B1031">
        <v>0</v>
      </c>
      <c r="C1031">
        <v>6</v>
      </c>
      <c r="D1031">
        <v>6</v>
      </c>
      <c r="E1031">
        <v>0</v>
      </c>
      <c r="F1031">
        <v>0</v>
      </c>
      <c r="G1031">
        <v>22442</v>
      </c>
      <c r="H1031">
        <v>0</v>
      </c>
      <c r="I1031">
        <v>0</v>
      </c>
    </row>
    <row r="1032" spans="1:9" x14ac:dyDescent="0.25">
      <c r="A1032">
        <v>65</v>
      </c>
      <c r="B1032">
        <v>0</v>
      </c>
      <c r="C1032">
        <v>3</v>
      </c>
      <c r="D1032">
        <v>6</v>
      </c>
      <c r="E1032">
        <v>0</v>
      </c>
      <c r="F1032">
        <v>0</v>
      </c>
      <c r="G1032">
        <v>13842</v>
      </c>
      <c r="H1032">
        <v>0</v>
      </c>
      <c r="I1032">
        <v>0</v>
      </c>
    </row>
    <row r="1033" spans="1:9" x14ac:dyDescent="0.25">
      <c r="A1033">
        <v>65</v>
      </c>
      <c r="B1033">
        <v>0</v>
      </c>
      <c r="C1033">
        <v>2</v>
      </c>
      <c r="D1033">
        <v>7</v>
      </c>
      <c r="E1033">
        <v>0</v>
      </c>
      <c r="F1033">
        <v>0</v>
      </c>
      <c r="G1033">
        <v>8167</v>
      </c>
      <c r="H1033">
        <v>0</v>
      </c>
      <c r="I1033">
        <v>0</v>
      </c>
    </row>
    <row r="1034" spans="1:9" x14ac:dyDescent="0.25">
      <c r="A1034">
        <v>65</v>
      </c>
      <c r="B1034">
        <v>0</v>
      </c>
      <c r="C1034">
        <v>4</v>
      </c>
      <c r="D1034">
        <v>7</v>
      </c>
      <c r="E1034">
        <v>0</v>
      </c>
      <c r="F1034">
        <v>0</v>
      </c>
      <c r="G1034">
        <v>13285</v>
      </c>
      <c r="H1034">
        <v>0</v>
      </c>
      <c r="I1034">
        <v>0</v>
      </c>
    </row>
    <row r="1035" spans="1:9" x14ac:dyDescent="0.25">
      <c r="A1035">
        <v>65</v>
      </c>
      <c r="B1035">
        <v>1</v>
      </c>
      <c r="C1035">
        <v>3</v>
      </c>
      <c r="D1035">
        <v>6</v>
      </c>
      <c r="E1035">
        <v>0</v>
      </c>
      <c r="F1035">
        <v>0</v>
      </c>
      <c r="G1035">
        <v>14392</v>
      </c>
      <c r="H1035">
        <v>0</v>
      </c>
      <c r="I1035">
        <v>0</v>
      </c>
    </row>
    <row r="1036" spans="1:9" x14ac:dyDescent="0.25">
      <c r="A1036">
        <v>65</v>
      </c>
      <c r="B1036">
        <v>0</v>
      </c>
      <c r="C1036">
        <v>6</v>
      </c>
      <c r="D1036">
        <v>4</v>
      </c>
      <c r="E1036">
        <v>0</v>
      </c>
      <c r="F1036">
        <v>0</v>
      </c>
      <c r="G1036">
        <v>20284</v>
      </c>
      <c r="H1036">
        <v>0</v>
      </c>
      <c r="I1036">
        <v>0</v>
      </c>
    </row>
    <row r="1037" spans="1:9" x14ac:dyDescent="0.25">
      <c r="A1037">
        <v>65</v>
      </c>
      <c r="B1037">
        <v>1</v>
      </c>
      <c r="C1037">
        <v>7</v>
      </c>
      <c r="D1037">
        <v>3</v>
      </c>
      <c r="E1037">
        <v>0</v>
      </c>
      <c r="F1037">
        <v>0</v>
      </c>
      <c r="G1037">
        <v>11922</v>
      </c>
      <c r="H1037">
        <v>0</v>
      </c>
      <c r="I1037">
        <v>0</v>
      </c>
    </row>
    <row r="1038" spans="1:9" x14ac:dyDescent="0.25">
      <c r="A1038">
        <v>65</v>
      </c>
      <c r="B1038">
        <v>0</v>
      </c>
      <c r="C1038">
        <v>32</v>
      </c>
      <c r="D1038">
        <v>3</v>
      </c>
      <c r="E1038">
        <v>2</v>
      </c>
      <c r="F1038">
        <v>0</v>
      </c>
      <c r="G1038">
        <v>64164</v>
      </c>
      <c r="H1038">
        <v>0</v>
      </c>
      <c r="I1038">
        <v>0</v>
      </c>
    </row>
    <row r="1039" spans="1:9" x14ac:dyDescent="0.25">
      <c r="A1039">
        <v>65</v>
      </c>
      <c r="B1039">
        <v>1</v>
      </c>
      <c r="C1039">
        <v>8</v>
      </c>
      <c r="D1039">
        <v>6</v>
      </c>
      <c r="E1039">
        <v>0</v>
      </c>
      <c r="F1039">
        <v>0</v>
      </c>
      <c r="G1039">
        <v>13482</v>
      </c>
      <c r="H1039">
        <v>0</v>
      </c>
      <c r="I1039">
        <v>0</v>
      </c>
    </row>
    <row r="1040" spans="1:9" x14ac:dyDescent="0.25">
      <c r="A1040">
        <v>65</v>
      </c>
      <c r="B1040">
        <v>0</v>
      </c>
      <c r="C1040">
        <v>4</v>
      </c>
      <c r="D1040">
        <v>8</v>
      </c>
      <c r="E1040">
        <v>1</v>
      </c>
      <c r="F1040">
        <v>0</v>
      </c>
      <c r="G1040">
        <v>11882</v>
      </c>
      <c r="H1040">
        <v>0</v>
      </c>
      <c r="I1040">
        <v>0</v>
      </c>
    </row>
    <row r="1041" spans="1:9" x14ac:dyDescent="0.25">
      <c r="A1041">
        <v>65</v>
      </c>
      <c r="B1041">
        <v>1</v>
      </c>
      <c r="C1041">
        <v>9</v>
      </c>
      <c r="D1041">
        <v>7</v>
      </c>
      <c r="E1041">
        <v>2</v>
      </c>
      <c r="F1041">
        <v>0</v>
      </c>
      <c r="G1041">
        <v>25468</v>
      </c>
      <c r="H1041">
        <v>0</v>
      </c>
      <c r="I1041">
        <v>0</v>
      </c>
    </row>
    <row r="1042" spans="1:9" x14ac:dyDescent="0.25">
      <c r="A1042">
        <v>65</v>
      </c>
      <c r="B1042">
        <v>1</v>
      </c>
      <c r="C1042">
        <v>6</v>
      </c>
      <c r="D1042">
        <v>4</v>
      </c>
      <c r="E1042">
        <v>0</v>
      </c>
      <c r="F1042">
        <v>0</v>
      </c>
      <c r="G1042">
        <v>14610</v>
      </c>
      <c r="H1042">
        <v>0</v>
      </c>
      <c r="I1042">
        <v>0</v>
      </c>
    </row>
    <row r="1043" spans="1:9" x14ac:dyDescent="0.25">
      <c r="A1043">
        <v>65</v>
      </c>
      <c r="B1043">
        <v>1</v>
      </c>
      <c r="C1043">
        <v>4</v>
      </c>
      <c r="D1043">
        <v>2</v>
      </c>
      <c r="E1043">
        <v>1</v>
      </c>
      <c r="F1043">
        <v>0</v>
      </c>
      <c r="G1043">
        <v>44224</v>
      </c>
      <c r="H1043">
        <v>1</v>
      </c>
      <c r="I1043">
        <v>0</v>
      </c>
    </row>
    <row r="1044" spans="1:9" x14ac:dyDescent="0.25">
      <c r="A1044">
        <v>65</v>
      </c>
      <c r="B1044">
        <v>1</v>
      </c>
      <c r="C1044">
        <v>18</v>
      </c>
      <c r="D1044">
        <v>6</v>
      </c>
      <c r="E1044">
        <v>2</v>
      </c>
      <c r="F1044">
        <v>0</v>
      </c>
      <c r="G1044">
        <v>57267</v>
      </c>
      <c r="H1044">
        <v>1</v>
      </c>
      <c r="I1044">
        <v>0</v>
      </c>
    </row>
    <row r="1045" spans="1:9" x14ac:dyDescent="0.25">
      <c r="A1045">
        <v>64</v>
      </c>
      <c r="B1045">
        <v>1</v>
      </c>
      <c r="C1045">
        <v>3</v>
      </c>
      <c r="D1045">
        <v>1</v>
      </c>
      <c r="E1045">
        <v>0</v>
      </c>
      <c r="F1045">
        <v>0</v>
      </c>
      <c r="G1045">
        <v>9804</v>
      </c>
      <c r="H1045">
        <v>0</v>
      </c>
      <c r="I1045">
        <v>0</v>
      </c>
    </row>
    <row r="1046" spans="1:9" x14ac:dyDescent="0.25">
      <c r="A1046">
        <v>64</v>
      </c>
      <c r="B1046">
        <v>1</v>
      </c>
      <c r="C1046">
        <v>4</v>
      </c>
      <c r="D1046">
        <v>4</v>
      </c>
      <c r="E1046">
        <v>0</v>
      </c>
      <c r="F1046">
        <v>0</v>
      </c>
      <c r="G1046">
        <v>9092</v>
      </c>
      <c r="H1046">
        <v>0</v>
      </c>
      <c r="I1046">
        <v>0</v>
      </c>
    </row>
    <row r="1047" spans="1:9" x14ac:dyDescent="0.25">
      <c r="A1047">
        <v>64</v>
      </c>
      <c r="B1047">
        <v>1</v>
      </c>
      <c r="C1047">
        <v>27</v>
      </c>
      <c r="D1047">
        <v>4</v>
      </c>
      <c r="E1047">
        <v>0</v>
      </c>
      <c r="F1047">
        <v>0</v>
      </c>
      <c r="G1047">
        <v>40093</v>
      </c>
      <c r="H1047">
        <v>0</v>
      </c>
      <c r="I1047">
        <v>0</v>
      </c>
    </row>
    <row r="1048" spans="1:9" x14ac:dyDescent="0.25">
      <c r="A1048">
        <v>64</v>
      </c>
      <c r="B1048">
        <v>1</v>
      </c>
      <c r="C1048">
        <v>6</v>
      </c>
      <c r="D1048">
        <v>7</v>
      </c>
      <c r="E1048">
        <v>0</v>
      </c>
      <c r="F1048">
        <v>0</v>
      </c>
      <c r="G1048">
        <v>9678</v>
      </c>
      <c r="H1048">
        <v>0</v>
      </c>
      <c r="I1048">
        <v>0</v>
      </c>
    </row>
    <row r="1049" spans="1:9" x14ac:dyDescent="0.25">
      <c r="A1049">
        <v>64</v>
      </c>
      <c r="B1049">
        <v>1</v>
      </c>
      <c r="C1049">
        <v>2</v>
      </c>
      <c r="D1049">
        <v>1</v>
      </c>
      <c r="E1049">
        <v>1</v>
      </c>
      <c r="F1049">
        <v>0</v>
      </c>
      <c r="G1049">
        <v>11246</v>
      </c>
      <c r="H1049">
        <v>0</v>
      </c>
      <c r="I1049">
        <v>0</v>
      </c>
    </row>
    <row r="1050" spans="1:9" x14ac:dyDescent="0.25">
      <c r="A1050">
        <v>64</v>
      </c>
      <c r="B1050">
        <v>1</v>
      </c>
      <c r="C1050">
        <v>30</v>
      </c>
      <c r="D1050">
        <v>0</v>
      </c>
      <c r="E1050">
        <v>6</v>
      </c>
      <c r="F1050">
        <v>0</v>
      </c>
      <c r="G1050">
        <v>159638</v>
      </c>
      <c r="H1050">
        <v>0</v>
      </c>
      <c r="I1050">
        <v>0</v>
      </c>
    </row>
    <row r="1051" spans="1:9" x14ac:dyDescent="0.25">
      <c r="A1051">
        <v>64</v>
      </c>
      <c r="B1051">
        <v>0</v>
      </c>
      <c r="C1051">
        <v>3</v>
      </c>
      <c r="D1051">
        <v>4</v>
      </c>
      <c r="E1051">
        <v>0</v>
      </c>
      <c r="F1051">
        <v>0</v>
      </c>
      <c r="G1051">
        <v>10173</v>
      </c>
      <c r="H1051">
        <v>0</v>
      </c>
      <c r="I1051">
        <v>0</v>
      </c>
    </row>
    <row r="1052" spans="1:9" x14ac:dyDescent="0.25">
      <c r="A1052">
        <v>64</v>
      </c>
      <c r="B1052">
        <v>0</v>
      </c>
      <c r="C1052">
        <v>3</v>
      </c>
      <c r="D1052">
        <v>5</v>
      </c>
      <c r="E1052">
        <v>0</v>
      </c>
      <c r="F1052">
        <v>0</v>
      </c>
      <c r="G1052">
        <v>13784</v>
      </c>
      <c r="H1052">
        <v>0</v>
      </c>
      <c r="I1052">
        <v>0</v>
      </c>
    </row>
    <row r="1053" spans="1:9" x14ac:dyDescent="0.25">
      <c r="A1053">
        <v>64</v>
      </c>
      <c r="B1053">
        <v>0</v>
      </c>
      <c r="C1053">
        <v>2</v>
      </c>
      <c r="D1053">
        <v>4</v>
      </c>
      <c r="E1053">
        <v>0</v>
      </c>
      <c r="F1053">
        <v>0</v>
      </c>
      <c r="G1053">
        <v>10279</v>
      </c>
      <c r="H1053">
        <v>0</v>
      </c>
      <c r="I1053">
        <v>0</v>
      </c>
    </row>
    <row r="1054" spans="1:9" x14ac:dyDescent="0.25">
      <c r="A1054">
        <v>64</v>
      </c>
      <c r="B1054">
        <v>0</v>
      </c>
      <c r="C1054">
        <v>1</v>
      </c>
      <c r="D1054">
        <v>2</v>
      </c>
      <c r="E1054">
        <v>0</v>
      </c>
      <c r="F1054">
        <v>0</v>
      </c>
      <c r="G1054">
        <v>8441</v>
      </c>
      <c r="H1054">
        <v>0</v>
      </c>
      <c r="I1054">
        <v>0</v>
      </c>
    </row>
    <row r="1055" spans="1:9" x14ac:dyDescent="0.25">
      <c r="A1055">
        <v>64</v>
      </c>
      <c r="B1055">
        <v>0</v>
      </c>
      <c r="C1055">
        <v>3</v>
      </c>
      <c r="D1055">
        <v>6</v>
      </c>
      <c r="E1055">
        <v>0</v>
      </c>
      <c r="F1055">
        <v>0</v>
      </c>
      <c r="G1055">
        <v>10534</v>
      </c>
      <c r="H1055">
        <v>0</v>
      </c>
      <c r="I1055">
        <v>0</v>
      </c>
    </row>
    <row r="1056" spans="1:9" x14ac:dyDescent="0.25">
      <c r="A1056">
        <v>64</v>
      </c>
      <c r="B1056">
        <v>1</v>
      </c>
      <c r="C1056">
        <v>1</v>
      </c>
      <c r="D1056">
        <v>0</v>
      </c>
      <c r="E1056">
        <v>0</v>
      </c>
      <c r="F1056">
        <v>0</v>
      </c>
      <c r="G1056">
        <v>9905</v>
      </c>
      <c r="H1056">
        <v>0</v>
      </c>
      <c r="I1056">
        <v>0</v>
      </c>
    </row>
    <row r="1057" spans="1:9" x14ac:dyDescent="0.25">
      <c r="A1057">
        <v>64</v>
      </c>
      <c r="B1057">
        <v>0</v>
      </c>
      <c r="C1057">
        <v>5</v>
      </c>
      <c r="D1057">
        <v>5</v>
      </c>
      <c r="E1057">
        <v>0</v>
      </c>
      <c r="F1057">
        <v>0</v>
      </c>
      <c r="G1057">
        <v>12134</v>
      </c>
      <c r="H1057">
        <v>0</v>
      </c>
      <c r="I1057">
        <v>0</v>
      </c>
    </row>
    <row r="1058" spans="1:9" x14ac:dyDescent="0.25">
      <c r="A1058">
        <v>64</v>
      </c>
      <c r="B1058">
        <v>0</v>
      </c>
      <c r="C1058">
        <v>1</v>
      </c>
      <c r="D1058">
        <v>3</v>
      </c>
      <c r="E1058">
        <v>0</v>
      </c>
      <c r="F1058">
        <v>0</v>
      </c>
      <c r="G1058">
        <v>11806</v>
      </c>
      <c r="H1058">
        <v>0</v>
      </c>
      <c r="I1058">
        <v>0</v>
      </c>
    </row>
    <row r="1059" spans="1:9" x14ac:dyDescent="0.25">
      <c r="A1059">
        <v>64</v>
      </c>
      <c r="B1059">
        <v>0</v>
      </c>
      <c r="C1059">
        <v>5</v>
      </c>
      <c r="D1059">
        <v>5</v>
      </c>
      <c r="E1059">
        <v>0</v>
      </c>
      <c r="F1059">
        <v>0</v>
      </c>
      <c r="G1059">
        <v>20161</v>
      </c>
      <c r="H1059">
        <v>0</v>
      </c>
      <c r="I1059">
        <v>0</v>
      </c>
    </row>
    <row r="1060" spans="1:9" x14ac:dyDescent="0.25">
      <c r="A1060">
        <v>64</v>
      </c>
      <c r="B1060">
        <v>1</v>
      </c>
      <c r="C1060">
        <v>1</v>
      </c>
      <c r="D1060">
        <v>1</v>
      </c>
      <c r="E1060">
        <v>0</v>
      </c>
      <c r="F1060">
        <v>0</v>
      </c>
      <c r="G1060">
        <v>8601</v>
      </c>
      <c r="H1060">
        <v>0</v>
      </c>
      <c r="I1060">
        <v>0</v>
      </c>
    </row>
    <row r="1061" spans="1:9" x14ac:dyDescent="0.25">
      <c r="A1061">
        <v>64</v>
      </c>
      <c r="B1061">
        <v>0</v>
      </c>
      <c r="C1061">
        <v>12</v>
      </c>
      <c r="D1061">
        <v>1</v>
      </c>
      <c r="E1061">
        <v>0</v>
      </c>
      <c r="F1061">
        <v>0</v>
      </c>
      <c r="G1061">
        <v>25446</v>
      </c>
      <c r="H1061">
        <v>0</v>
      </c>
      <c r="I1061">
        <v>0</v>
      </c>
    </row>
    <row r="1062" spans="1:9" x14ac:dyDescent="0.25">
      <c r="A1062">
        <v>64</v>
      </c>
      <c r="B1062">
        <v>0</v>
      </c>
      <c r="C1062">
        <v>3</v>
      </c>
      <c r="D1062">
        <v>7</v>
      </c>
      <c r="E1062">
        <v>0</v>
      </c>
      <c r="F1062">
        <v>0</v>
      </c>
      <c r="G1062">
        <v>12680</v>
      </c>
      <c r="H1062">
        <v>0</v>
      </c>
      <c r="I1062">
        <v>0</v>
      </c>
    </row>
    <row r="1063" spans="1:9" x14ac:dyDescent="0.25">
      <c r="A1063">
        <v>64</v>
      </c>
      <c r="B1063">
        <v>0</v>
      </c>
      <c r="C1063">
        <v>5</v>
      </c>
      <c r="D1063">
        <v>5</v>
      </c>
      <c r="E1063">
        <v>0</v>
      </c>
      <c r="F1063">
        <v>0</v>
      </c>
      <c r="G1063">
        <v>14196</v>
      </c>
      <c r="H1063">
        <v>0</v>
      </c>
      <c r="I1063">
        <v>0</v>
      </c>
    </row>
    <row r="1064" spans="1:9" x14ac:dyDescent="0.25">
      <c r="A1064">
        <v>64</v>
      </c>
      <c r="B1064">
        <v>1</v>
      </c>
      <c r="C1064">
        <v>2</v>
      </c>
      <c r="D1064">
        <v>1</v>
      </c>
      <c r="E1064">
        <v>0</v>
      </c>
      <c r="F1064">
        <v>0</v>
      </c>
      <c r="G1064">
        <v>16044</v>
      </c>
      <c r="H1064">
        <v>0</v>
      </c>
      <c r="I1064">
        <v>0</v>
      </c>
    </row>
    <row r="1065" spans="1:9" x14ac:dyDescent="0.25">
      <c r="A1065">
        <v>64</v>
      </c>
      <c r="B1065">
        <v>0</v>
      </c>
      <c r="C1065">
        <v>71</v>
      </c>
      <c r="D1065">
        <v>4</v>
      </c>
      <c r="E1065">
        <v>3</v>
      </c>
      <c r="F1065">
        <v>0</v>
      </c>
      <c r="G1065">
        <v>300172</v>
      </c>
      <c r="H1065">
        <v>0</v>
      </c>
      <c r="I1065">
        <v>0</v>
      </c>
    </row>
    <row r="1066" spans="1:9" x14ac:dyDescent="0.25">
      <c r="A1066">
        <v>64</v>
      </c>
      <c r="B1066">
        <v>0</v>
      </c>
      <c r="C1066">
        <v>3</v>
      </c>
      <c r="D1066">
        <v>2</v>
      </c>
      <c r="E1066">
        <v>0</v>
      </c>
      <c r="F1066">
        <v>0</v>
      </c>
      <c r="G1066">
        <v>5411</v>
      </c>
      <c r="H1066">
        <v>0</v>
      </c>
      <c r="I1066">
        <v>0</v>
      </c>
    </row>
    <row r="1067" spans="1:9" x14ac:dyDescent="0.25">
      <c r="A1067">
        <v>64</v>
      </c>
      <c r="B1067">
        <v>1</v>
      </c>
      <c r="C1067">
        <v>4</v>
      </c>
      <c r="D1067">
        <v>6</v>
      </c>
      <c r="E1067">
        <v>2</v>
      </c>
      <c r="F1067">
        <v>0</v>
      </c>
      <c r="G1067">
        <v>44834</v>
      </c>
      <c r="H1067">
        <v>1</v>
      </c>
      <c r="I1067">
        <v>0</v>
      </c>
    </row>
    <row r="1068" spans="1:9" x14ac:dyDescent="0.25">
      <c r="A1068">
        <v>64</v>
      </c>
      <c r="B1068">
        <v>1</v>
      </c>
      <c r="C1068">
        <v>4</v>
      </c>
      <c r="D1068">
        <v>6</v>
      </c>
      <c r="E1068">
        <v>1</v>
      </c>
      <c r="F1068">
        <v>0</v>
      </c>
      <c r="G1068">
        <v>22738</v>
      </c>
      <c r="H1068">
        <v>1</v>
      </c>
      <c r="I1068">
        <v>0</v>
      </c>
    </row>
    <row r="1069" spans="1:9" x14ac:dyDescent="0.25">
      <c r="A1069">
        <v>64</v>
      </c>
      <c r="B1069">
        <v>0</v>
      </c>
      <c r="C1069">
        <v>19</v>
      </c>
      <c r="D1069">
        <v>4</v>
      </c>
      <c r="E1069">
        <v>6</v>
      </c>
      <c r="F1069">
        <v>0</v>
      </c>
      <c r="G1069">
        <v>63934</v>
      </c>
      <c r="H1069">
        <v>1</v>
      </c>
      <c r="I1069">
        <v>0</v>
      </c>
    </row>
    <row r="1070" spans="1:9" x14ac:dyDescent="0.25">
      <c r="A1070">
        <v>63</v>
      </c>
      <c r="B1070">
        <v>1</v>
      </c>
      <c r="C1070">
        <v>1</v>
      </c>
      <c r="D1070">
        <v>4</v>
      </c>
      <c r="E1070">
        <v>0</v>
      </c>
      <c r="F1070">
        <v>0</v>
      </c>
      <c r="G1070">
        <v>3819</v>
      </c>
      <c r="H1070">
        <v>0</v>
      </c>
      <c r="I1070">
        <v>0</v>
      </c>
    </row>
    <row r="1071" spans="1:9" x14ac:dyDescent="0.25">
      <c r="A1071">
        <v>63</v>
      </c>
      <c r="B1071">
        <v>1</v>
      </c>
      <c r="C1071">
        <v>13</v>
      </c>
      <c r="D1071">
        <v>5</v>
      </c>
      <c r="E1071">
        <v>0</v>
      </c>
      <c r="F1071">
        <v>0</v>
      </c>
      <c r="G1071">
        <v>35084</v>
      </c>
      <c r="H1071">
        <v>0</v>
      </c>
      <c r="I1071">
        <v>0</v>
      </c>
    </row>
    <row r="1072" spans="1:9" x14ac:dyDescent="0.25">
      <c r="A1072">
        <v>63</v>
      </c>
      <c r="B1072">
        <v>1</v>
      </c>
      <c r="C1072">
        <v>7</v>
      </c>
      <c r="D1072">
        <v>6</v>
      </c>
      <c r="E1072">
        <v>0</v>
      </c>
      <c r="F1072">
        <v>0</v>
      </c>
      <c r="G1072">
        <v>17382</v>
      </c>
      <c r="H1072">
        <v>0</v>
      </c>
      <c r="I1072">
        <v>0</v>
      </c>
    </row>
    <row r="1073" spans="1:9" x14ac:dyDescent="0.25">
      <c r="A1073">
        <v>63</v>
      </c>
      <c r="B1073">
        <v>1</v>
      </c>
      <c r="C1073">
        <v>2</v>
      </c>
      <c r="D1073">
        <v>5</v>
      </c>
      <c r="E1073">
        <v>0</v>
      </c>
      <c r="F1073">
        <v>0</v>
      </c>
      <c r="G1073">
        <v>6505</v>
      </c>
      <c r="H1073">
        <v>0</v>
      </c>
      <c r="I1073">
        <v>0</v>
      </c>
    </row>
    <row r="1074" spans="1:9" x14ac:dyDescent="0.25">
      <c r="A1074">
        <v>63</v>
      </c>
      <c r="B1074">
        <v>1</v>
      </c>
      <c r="C1074">
        <v>2</v>
      </c>
      <c r="D1074">
        <v>2</v>
      </c>
      <c r="E1074">
        <v>5</v>
      </c>
      <c r="F1074">
        <v>0</v>
      </c>
      <c r="G1074">
        <v>24757</v>
      </c>
      <c r="H1074">
        <v>0</v>
      </c>
      <c r="I1074">
        <v>0</v>
      </c>
    </row>
    <row r="1075" spans="1:9" x14ac:dyDescent="0.25">
      <c r="A1075">
        <v>63</v>
      </c>
      <c r="B1075">
        <v>1</v>
      </c>
      <c r="C1075">
        <v>6</v>
      </c>
      <c r="D1075">
        <v>4</v>
      </c>
      <c r="E1075">
        <v>0</v>
      </c>
      <c r="F1075">
        <v>0</v>
      </c>
      <c r="G1075">
        <v>19461</v>
      </c>
      <c r="H1075">
        <v>0</v>
      </c>
      <c r="I1075">
        <v>0</v>
      </c>
    </row>
    <row r="1076" spans="1:9" x14ac:dyDescent="0.25">
      <c r="A1076">
        <v>63</v>
      </c>
      <c r="B1076">
        <v>1</v>
      </c>
      <c r="C1076">
        <v>2</v>
      </c>
      <c r="D1076">
        <v>7</v>
      </c>
      <c r="E1076">
        <v>0</v>
      </c>
      <c r="F1076">
        <v>0</v>
      </c>
      <c r="G1076">
        <v>11483</v>
      </c>
      <c r="H1076">
        <v>0</v>
      </c>
      <c r="I1076">
        <v>0</v>
      </c>
    </row>
    <row r="1077" spans="1:9" x14ac:dyDescent="0.25">
      <c r="A1077">
        <v>63</v>
      </c>
      <c r="B1077">
        <v>1</v>
      </c>
      <c r="C1077">
        <v>5</v>
      </c>
      <c r="D1077">
        <v>6</v>
      </c>
      <c r="E1077">
        <v>0</v>
      </c>
      <c r="F1077">
        <v>0</v>
      </c>
      <c r="G1077">
        <v>9888</v>
      </c>
      <c r="H1077">
        <v>0</v>
      </c>
      <c r="I1077">
        <v>0</v>
      </c>
    </row>
    <row r="1078" spans="1:9" x14ac:dyDescent="0.25">
      <c r="A1078">
        <v>63</v>
      </c>
      <c r="B1078">
        <v>0</v>
      </c>
      <c r="C1078">
        <v>8</v>
      </c>
      <c r="D1078">
        <v>6</v>
      </c>
      <c r="E1078">
        <v>1</v>
      </c>
      <c r="F1078">
        <v>0</v>
      </c>
      <c r="G1078">
        <v>26800</v>
      </c>
      <c r="H1078">
        <v>0</v>
      </c>
      <c r="I1078">
        <v>0</v>
      </c>
    </row>
    <row r="1079" spans="1:9" x14ac:dyDescent="0.25">
      <c r="A1079">
        <v>63</v>
      </c>
      <c r="B1079">
        <v>1</v>
      </c>
      <c r="C1079">
        <v>2</v>
      </c>
      <c r="D1079">
        <v>4</v>
      </c>
      <c r="E1079">
        <v>0</v>
      </c>
      <c r="F1079">
        <v>0</v>
      </c>
      <c r="G1079">
        <v>11440</v>
      </c>
      <c r="H1079">
        <v>0</v>
      </c>
      <c r="I1079">
        <v>0</v>
      </c>
    </row>
    <row r="1080" spans="1:9" x14ac:dyDescent="0.25">
      <c r="A1080">
        <v>63</v>
      </c>
      <c r="B1080">
        <v>1</v>
      </c>
      <c r="C1080">
        <v>2</v>
      </c>
      <c r="D1080">
        <v>3</v>
      </c>
      <c r="E1080">
        <v>0</v>
      </c>
      <c r="F1080">
        <v>0</v>
      </c>
      <c r="G1080">
        <v>11680</v>
      </c>
      <c r="H1080">
        <v>0</v>
      </c>
      <c r="I1080">
        <v>0</v>
      </c>
    </row>
    <row r="1081" spans="1:9" x14ac:dyDescent="0.25">
      <c r="A1081">
        <v>63</v>
      </c>
      <c r="B1081">
        <v>0</v>
      </c>
      <c r="C1081">
        <v>22</v>
      </c>
      <c r="D1081">
        <v>4</v>
      </c>
      <c r="E1081">
        <v>1</v>
      </c>
      <c r="F1081">
        <v>0</v>
      </c>
      <c r="G1081">
        <v>54499</v>
      </c>
      <c r="H1081">
        <v>0</v>
      </c>
      <c r="I1081">
        <v>0</v>
      </c>
    </row>
    <row r="1082" spans="1:9" x14ac:dyDescent="0.25">
      <c r="A1082">
        <v>63</v>
      </c>
      <c r="B1082">
        <v>0</v>
      </c>
      <c r="C1082">
        <v>4</v>
      </c>
      <c r="D1082">
        <v>4</v>
      </c>
      <c r="E1082">
        <v>0</v>
      </c>
      <c r="F1082">
        <v>0</v>
      </c>
      <c r="G1082">
        <v>26301</v>
      </c>
      <c r="H1082">
        <v>0</v>
      </c>
      <c r="I1082">
        <v>0</v>
      </c>
    </row>
    <row r="1083" spans="1:9" x14ac:dyDescent="0.25">
      <c r="A1083">
        <v>63</v>
      </c>
      <c r="B1083">
        <v>1</v>
      </c>
      <c r="C1083">
        <v>2</v>
      </c>
      <c r="D1083">
        <v>3</v>
      </c>
      <c r="E1083">
        <v>0</v>
      </c>
      <c r="F1083">
        <v>0</v>
      </c>
      <c r="G1083">
        <v>15664</v>
      </c>
      <c r="H1083">
        <v>0</v>
      </c>
      <c r="I1083">
        <v>0</v>
      </c>
    </row>
    <row r="1084" spans="1:9" x14ac:dyDescent="0.25">
      <c r="A1084">
        <v>63</v>
      </c>
      <c r="B1084">
        <v>1</v>
      </c>
      <c r="C1084">
        <v>5</v>
      </c>
      <c r="D1084">
        <v>3</v>
      </c>
      <c r="E1084">
        <v>0</v>
      </c>
      <c r="F1084">
        <v>0</v>
      </c>
      <c r="G1084">
        <v>16840</v>
      </c>
      <c r="H1084">
        <v>0</v>
      </c>
      <c r="I1084">
        <v>0</v>
      </c>
    </row>
    <row r="1085" spans="1:9" x14ac:dyDescent="0.25">
      <c r="A1085">
        <v>63</v>
      </c>
      <c r="B1085">
        <v>0</v>
      </c>
      <c r="C1085">
        <v>28</v>
      </c>
      <c r="D1085">
        <v>3</v>
      </c>
      <c r="E1085">
        <v>3</v>
      </c>
      <c r="F1085">
        <v>0</v>
      </c>
      <c r="G1085">
        <v>70998</v>
      </c>
      <c r="H1085">
        <v>0</v>
      </c>
      <c r="I1085">
        <v>0</v>
      </c>
    </row>
    <row r="1086" spans="1:9" x14ac:dyDescent="0.25">
      <c r="A1086">
        <v>63</v>
      </c>
      <c r="B1086">
        <v>1</v>
      </c>
      <c r="C1086">
        <v>26</v>
      </c>
      <c r="D1086">
        <v>1</v>
      </c>
      <c r="E1086">
        <v>2</v>
      </c>
      <c r="F1086">
        <v>0</v>
      </c>
      <c r="G1086">
        <v>98049</v>
      </c>
      <c r="H1086">
        <v>0</v>
      </c>
      <c r="I1086">
        <v>0</v>
      </c>
    </row>
    <row r="1087" spans="1:9" x14ac:dyDescent="0.25">
      <c r="A1087">
        <v>63</v>
      </c>
      <c r="B1087">
        <v>1</v>
      </c>
      <c r="C1087">
        <v>1</v>
      </c>
      <c r="D1087">
        <v>4</v>
      </c>
      <c r="E1087">
        <v>2</v>
      </c>
      <c r="F1087">
        <v>0</v>
      </c>
      <c r="G1087">
        <v>8341</v>
      </c>
      <c r="H1087">
        <v>0</v>
      </c>
      <c r="I1087">
        <v>0</v>
      </c>
    </row>
    <row r="1088" spans="1:9" x14ac:dyDescent="0.25">
      <c r="A1088">
        <v>63</v>
      </c>
      <c r="B1088">
        <v>0</v>
      </c>
      <c r="C1088">
        <v>3</v>
      </c>
      <c r="D1088">
        <v>1</v>
      </c>
      <c r="E1088">
        <v>2</v>
      </c>
      <c r="F1088">
        <v>0</v>
      </c>
      <c r="G1088">
        <v>19209</v>
      </c>
      <c r="H1088">
        <v>0</v>
      </c>
      <c r="I1088">
        <v>0</v>
      </c>
    </row>
    <row r="1089" spans="1:9" x14ac:dyDescent="0.25">
      <c r="A1089">
        <v>63</v>
      </c>
      <c r="B1089">
        <v>0</v>
      </c>
      <c r="C1089">
        <v>3</v>
      </c>
      <c r="D1089">
        <v>4</v>
      </c>
      <c r="E1089">
        <v>0</v>
      </c>
      <c r="F1089">
        <v>0</v>
      </c>
      <c r="G1089">
        <v>14711</v>
      </c>
      <c r="H1089">
        <v>0</v>
      </c>
      <c r="I1089">
        <v>0</v>
      </c>
    </row>
    <row r="1090" spans="1:9" x14ac:dyDescent="0.25">
      <c r="A1090">
        <v>63</v>
      </c>
      <c r="B1090">
        <v>1</v>
      </c>
      <c r="C1090">
        <v>2</v>
      </c>
      <c r="D1090">
        <v>0</v>
      </c>
      <c r="E1090">
        <v>0</v>
      </c>
      <c r="F1090">
        <v>0</v>
      </c>
      <c r="G1090">
        <v>12190</v>
      </c>
      <c r="H1090">
        <v>0</v>
      </c>
      <c r="I1090">
        <v>0</v>
      </c>
    </row>
    <row r="1091" spans="1:9" x14ac:dyDescent="0.25">
      <c r="A1091">
        <v>63</v>
      </c>
      <c r="B1091">
        <v>0</v>
      </c>
      <c r="C1091">
        <v>4</v>
      </c>
      <c r="D1091">
        <v>6</v>
      </c>
      <c r="E1091">
        <v>0</v>
      </c>
      <c r="F1091">
        <v>0</v>
      </c>
      <c r="G1091">
        <v>20070</v>
      </c>
      <c r="H1091">
        <v>0</v>
      </c>
      <c r="I1091">
        <v>0</v>
      </c>
    </row>
    <row r="1092" spans="1:9" x14ac:dyDescent="0.25">
      <c r="A1092">
        <v>63</v>
      </c>
      <c r="B1092">
        <v>0</v>
      </c>
      <c r="C1092">
        <v>1</v>
      </c>
      <c r="D1092">
        <v>8</v>
      </c>
      <c r="E1092">
        <v>0</v>
      </c>
      <c r="F1092">
        <v>0</v>
      </c>
      <c r="G1092">
        <v>4647</v>
      </c>
      <c r="H1092">
        <v>0</v>
      </c>
      <c r="I1092">
        <v>0</v>
      </c>
    </row>
    <row r="1093" spans="1:9" x14ac:dyDescent="0.25">
      <c r="A1093">
        <v>63</v>
      </c>
      <c r="B1093">
        <v>0</v>
      </c>
      <c r="C1093">
        <v>4</v>
      </c>
      <c r="D1093">
        <v>4</v>
      </c>
      <c r="E1093">
        <v>0</v>
      </c>
      <c r="F1093">
        <v>0</v>
      </c>
      <c r="G1093">
        <v>10601</v>
      </c>
      <c r="H1093">
        <v>0</v>
      </c>
      <c r="I1093">
        <v>0</v>
      </c>
    </row>
    <row r="1094" spans="1:9" x14ac:dyDescent="0.25">
      <c r="A1094">
        <v>63</v>
      </c>
      <c r="B1094">
        <v>0</v>
      </c>
      <c r="C1094">
        <v>13</v>
      </c>
      <c r="D1094">
        <v>5</v>
      </c>
      <c r="E1094">
        <v>0</v>
      </c>
      <c r="F1094">
        <v>0</v>
      </c>
      <c r="G1094">
        <v>24555</v>
      </c>
      <c r="H1094">
        <v>0</v>
      </c>
      <c r="I1094">
        <v>0</v>
      </c>
    </row>
    <row r="1095" spans="1:9" x14ac:dyDescent="0.25">
      <c r="A1095">
        <v>63</v>
      </c>
      <c r="B1095">
        <v>1</v>
      </c>
      <c r="C1095">
        <v>25</v>
      </c>
      <c r="D1095">
        <v>3</v>
      </c>
      <c r="E1095">
        <v>1</v>
      </c>
      <c r="F1095">
        <v>0</v>
      </c>
      <c r="G1095">
        <v>84498</v>
      </c>
      <c r="H1095">
        <v>0</v>
      </c>
      <c r="I1095">
        <v>0</v>
      </c>
    </row>
    <row r="1096" spans="1:9" x14ac:dyDescent="0.25">
      <c r="A1096">
        <v>63</v>
      </c>
      <c r="B1096">
        <v>1</v>
      </c>
      <c r="C1096">
        <v>2</v>
      </c>
      <c r="D1096">
        <v>7</v>
      </c>
      <c r="E1096">
        <v>2</v>
      </c>
      <c r="F1096">
        <v>0</v>
      </c>
      <c r="G1096">
        <v>24117</v>
      </c>
      <c r="H1096">
        <v>1</v>
      </c>
      <c r="I1096">
        <v>0</v>
      </c>
    </row>
    <row r="1097" spans="1:9" x14ac:dyDescent="0.25">
      <c r="A1097">
        <v>63</v>
      </c>
      <c r="B1097">
        <v>0</v>
      </c>
      <c r="C1097">
        <v>4</v>
      </c>
      <c r="D1097">
        <v>4</v>
      </c>
      <c r="E1097">
        <v>1</v>
      </c>
      <c r="F1097">
        <v>0</v>
      </c>
      <c r="G1097">
        <v>46048</v>
      </c>
      <c r="H1097">
        <v>1</v>
      </c>
      <c r="I1097">
        <v>0</v>
      </c>
    </row>
    <row r="1098" spans="1:9" x14ac:dyDescent="0.25">
      <c r="A1098">
        <v>63</v>
      </c>
      <c r="B1098">
        <v>1</v>
      </c>
      <c r="C1098">
        <v>11</v>
      </c>
      <c r="D1098">
        <v>3</v>
      </c>
      <c r="E1098">
        <v>3</v>
      </c>
      <c r="F1098">
        <v>0</v>
      </c>
      <c r="G1098">
        <v>56151</v>
      </c>
      <c r="H1098">
        <v>1</v>
      </c>
      <c r="I1098">
        <v>0</v>
      </c>
    </row>
    <row r="1099" spans="1:9" x14ac:dyDescent="0.25">
      <c r="A1099">
        <v>63</v>
      </c>
      <c r="B1099">
        <v>1</v>
      </c>
      <c r="C1099">
        <v>16</v>
      </c>
      <c r="D1099">
        <v>6</v>
      </c>
      <c r="E1099">
        <v>6</v>
      </c>
      <c r="F1099">
        <v>0</v>
      </c>
      <c r="G1099">
        <v>85120</v>
      </c>
      <c r="H1099">
        <v>1</v>
      </c>
      <c r="I1099">
        <v>0</v>
      </c>
    </row>
    <row r="1100" spans="1:9" x14ac:dyDescent="0.25">
      <c r="A1100">
        <v>62</v>
      </c>
      <c r="B1100">
        <v>1</v>
      </c>
      <c r="C1100">
        <v>1</v>
      </c>
      <c r="D1100">
        <v>8</v>
      </c>
      <c r="E1100">
        <v>0</v>
      </c>
      <c r="F1100">
        <v>0</v>
      </c>
      <c r="G1100">
        <v>5177</v>
      </c>
      <c r="H1100">
        <v>0</v>
      </c>
      <c r="I1100">
        <v>0</v>
      </c>
    </row>
    <row r="1101" spans="1:9" x14ac:dyDescent="0.25">
      <c r="A1101">
        <v>62</v>
      </c>
      <c r="B1101">
        <v>1</v>
      </c>
      <c r="C1101">
        <v>5</v>
      </c>
      <c r="D1101">
        <v>6</v>
      </c>
      <c r="E1101">
        <v>0</v>
      </c>
      <c r="F1101">
        <v>0</v>
      </c>
      <c r="G1101">
        <v>26834</v>
      </c>
      <c r="H1101">
        <v>0</v>
      </c>
      <c r="I1101">
        <v>0</v>
      </c>
    </row>
    <row r="1102" spans="1:9" x14ac:dyDescent="0.25">
      <c r="A1102">
        <v>62</v>
      </c>
      <c r="B1102">
        <v>0</v>
      </c>
      <c r="C1102">
        <v>2</v>
      </c>
      <c r="D1102">
        <v>4</v>
      </c>
      <c r="E1102">
        <v>0</v>
      </c>
      <c r="F1102">
        <v>0</v>
      </c>
      <c r="G1102">
        <v>9789</v>
      </c>
      <c r="H1102">
        <v>0</v>
      </c>
      <c r="I1102">
        <v>0</v>
      </c>
    </row>
    <row r="1103" spans="1:9" x14ac:dyDescent="0.25">
      <c r="A1103">
        <v>62</v>
      </c>
      <c r="B1103">
        <v>0</v>
      </c>
      <c r="C1103">
        <v>3</v>
      </c>
      <c r="D1103">
        <v>7</v>
      </c>
      <c r="E1103">
        <v>0</v>
      </c>
      <c r="F1103">
        <v>0</v>
      </c>
      <c r="G1103">
        <v>8893</v>
      </c>
      <c r="H1103">
        <v>0</v>
      </c>
      <c r="I1103">
        <v>0</v>
      </c>
    </row>
    <row r="1104" spans="1:9" x14ac:dyDescent="0.25">
      <c r="A1104">
        <v>62</v>
      </c>
      <c r="B1104">
        <v>1</v>
      </c>
      <c r="C1104">
        <v>2</v>
      </c>
      <c r="D1104">
        <v>7</v>
      </c>
      <c r="E1104">
        <v>0</v>
      </c>
      <c r="F1104">
        <v>0</v>
      </c>
      <c r="G1104">
        <v>9653</v>
      </c>
      <c r="H1104">
        <v>0</v>
      </c>
      <c r="I1104">
        <v>0</v>
      </c>
    </row>
    <row r="1105" spans="1:9" x14ac:dyDescent="0.25">
      <c r="A1105">
        <v>62</v>
      </c>
      <c r="B1105">
        <v>0</v>
      </c>
      <c r="C1105">
        <v>1</v>
      </c>
      <c r="D1105">
        <v>5</v>
      </c>
      <c r="E1105">
        <v>0</v>
      </c>
      <c r="F1105">
        <v>0</v>
      </c>
      <c r="G1105">
        <v>6416</v>
      </c>
      <c r="H1105">
        <v>0</v>
      </c>
      <c r="I1105">
        <v>0</v>
      </c>
    </row>
    <row r="1106" spans="1:9" x14ac:dyDescent="0.25">
      <c r="A1106">
        <v>62</v>
      </c>
      <c r="B1106">
        <v>0</v>
      </c>
      <c r="C1106">
        <v>2</v>
      </c>
      <c r="D1106">
        <v>2</v>
      </c>
      <c r="E1106">
        <v>0</v>
      </c>
      <c r="F1106">
        <v>0</v>
      </c>
      <c r="G1106">
        <v>11094</v>
      </c>
      <c r="H1106">
        <v>0</v>
      </c>
      <c r="I1106">
        <v>0</v>
      </c>
    </row>
    <row r="1107" spans="1:9" x14ac:dyDescent="0.25">
      <c r="A1107">
        <v>62</v>
      </c>
      <c r="B1107">
        <v>1</v>
      </c>
      <c r="C1107">
        <v>3</v>
      </c>
      <c r="D1107">
        <v>2</v>
      </c>
      <c r="E1107">
        <v>0</v>
      </c>
      <c r="F1107">
        <v>0</v>
      </c>
      <c r="G1107">
        <v>16731</v>
      </c>
      <c r="H1107">
        <v>0</v>
      </c>
      <c r="I1107">
        <v>0</v>
      </c>
    </row>
    <row r="1108" spans="1:9" x14ac:dyDescent="0.25">
      <c r="A1108">
        <v>62</v>
      </c>
      <c r="B1108">
        <v>0</v>
      </c>
      <c r="C1108">
        <v>14</v>
      </c>
      <c r="D1108">
        <v>4</v>
      </c>
      <c r="E1108">
        <v>0</v>
      </c>
      <c r="F1108">
        <v>0</v>
      </c>
      <c r="G1108">
        <v>26301</v>
      </c>
      <c r="H1108">
        <v>0</v>
      </c>
      <c r="I1108">
        <v>0</v>
      </c>
    </row>
    <row r="1109" spans="1:9" x14ac:dyDescent="0.25">
      <c r="A1109">
        <v>62</v>
      </c>
      <c r="B1109">
        <v>0</v>
      </c>
      <c r="C1109">
        <v>3</v>
      </c>
      <c r="D1109">
        <v>5</v>
      </c>
      <c r="E1109">
        <v>0</v>
      </c>
      <c r="F1109">
        <v>0</v>
      </c>
      <c r="G1109">
        <v>14769</v>
      </c>
      <c r="H1109">
        <v>0</v>
      </c>
      <c r="I1109">
        <v>0</v>
      </c>
    </row>
    <row r="1110" spans="1:9" x14ac:dyDescent="0.25">
      <c r="A1110">
        <v>62</v>
      </c>
      <c r="B1110">
        <v>0</v>
      </c>
      <c r="C1110">
        <v>5</v>
      </c>
      <c r="D1110">
        <v>8</v>
      </c>
      <c r="E1110">
        <v>0</v>
      </c>
      <c r="F1110">
        <v>0</v>
      </c>
      <c r="G1110">
        <v>9934</v>
      </c>
      <c r="H1110">
        <v>0</v>
      </c>
      <c r="I1110">
        <v>0</v>
      </c>
    </row>
    <row r="1111" spans="1:9" x14ac:dyDescent="0.25">
      <c r="A1111">
        <v>62</v>
      </c>
      <c r="B1111">
        <v>0</v>
      </c>
      <c r="C1111">
        <v>3</v>
      </c>
      <c r="D1111">
        <v>2</v>
      </c>
      <c r="E1111">
        <v>0</v>
      </c>
      <c r="F1111">
        <v>0</v>
      </c>
      <c r="G1111">
        <v>8902</v>
      </c>
      <c r="H1111">
        <v>0</v>
      </c>
      <c r="I1111">
        <v>0</v>
      </c>
    </row>
    <row r="1112" spans="1:9" x14ac:dyDescent="0.25">
      <c r="A1112">
        <v>62</v>
      </c>
      <c r="B1112">
        <v>0</v>
      </c>
      <c r="C1112">
        <v>1</v>
      </c>
      <c r="D1112">
        <v>2</v>
      </c>
      <c r="E1112">
        <v>1</v>
      </c>
      <c r="F1112">
        <v>0</v>
      </c>
      <c r="G1112">
        <v>5794</v>
      </c>
      <c r="H1112">
        <v>0</v>
      </c>
      <c r="I1112">
        <v>0</v>
      </c>
    </row>
    <row r="1113" spans="1:9" x14ac:dyDescent="0.25">
      <c r="A1113">
        <v>62</v>
      </c>
      <c r="B1113">
        <v>0</v>
      </c>
      <c r="C1113">
        <v>6</v>
      </c>
      <c r="D1113">
        <v>6</v>
      </c>
      <c r="E1113">
        <v>1</v>
      </c>
      <c r="F1113">
        <v>0</v>
      </c>
      <c r="G1113">
        <v>21070</v>
      </c>
      <c r="H1113">
        <v>0</v>
      </c>
      <c r="I1113">
        <v>0</v>
      </c>
    </row>
    <row r="1114" spans="1:9" x14ac:dyDescent="0.25">
      <c r="A1114">
        <v>62</v>
      </c>
      <c r="B1114">
        <v>0</v>
      </c>
      <c r="C1114">
        <v>1</v>
      </c>
      <c r="D1114">
        <v>5</v>
      </c>
      <c r="E1114">
        <v>0</v>
      </c>
      <c r="F1114">
        <v>0</v>
      </c>
      <c r="G1114">
        <v>3182</v>
      </c>
      <c r="H1114">
        <v>0</v>
      </c>
      <c r="I1114">
        <v>0</v>
      </c>
    </row>
    <row r="1115" spans="1:9" x14ac:dyDescent="0.25">
      <c r="A1115">
        <v>62</v>
      </c>
      <c r="B1115">
        <v>0</v>
      </c>
      <c r="C1115">
        <v>2</v>
      </c>
      <c r="D1115">
        <v>1</v>
      </c>
      <c r="E1115">
        <v>4</v>
      </c>
      <c r="F1115">
        <v>0</v>
      </c>
      <c r="G1115">
        <v>11896</v>
      </c>
      <c r="H1115">
        <v>0</v>
      </c>
      <c r="I1115">
        <v>0</v>
      </c>
    </row>
    <row r="1116" spans="1:9" x14ac:dyDescent="0.25">
      <c r="A1116">
        <v>62</v>
      </c>
      <c r="B1116">
        <v>1</v>
      </c>
      <c r="C1116">
        <v>2</v>
      </c>
      <c r="D1116">
        <v>4</v>
      </c>
      <c r="E1116">
        <v>2</v>
      </c>
      <c r="F1116">
        <v>0</v>
      </c>
      <c r="G1116">
        <v>8256</v>
      </c>
      <c r="H1116">
        <v>0</v>
      </c>
      <c r="I1116">
        <v>0</v>
      </c>
    </row>
    <row r="1117" spans="1:9" x14ac:dyDescent="0.25">
      <c r="A1117">
        <v>62</v>
      </c>
      <c r="B1117">
        <v>0</v>
      </c>
      <c r="C1117">
        <v>10</v>
      </c>
      <c r="D1117">
        <v>5</v>
      </c>
      <c r="E1117">
        <v>3</v>
      </c>
      <c r="F1117">
        <v>0</v>
      </c>
      <c r="G1117">
        <v>23127</v>
      </c>
      <c r="H1117">
        <v>0</v>
      </c>
      <c r="I1117">
        <v>0</v>
      </c>
    </row>
    <row r="1118" spans="1:9" x14ac:dyDescent="0.25">
      <c r="A1118">
        <v>62</v>
      </c>
      <c r="B1118">
        <v>0</v>
      </c>
      <c r="C1118">
        <v>4</v>
      </c>
      <c r="D1118">
        <v>4</v>
      </c>
      <c r="E1118">
        <v>1</v>
      </c>
      <c r="F1118">
        <v>0</v>
      </c>
      <c r="G1118">
        <v>46930</v>
      </c>
      <c r="H1118">
        <v>1</v>
      </c>
      <c r="I1118">
        <v>0</v>
      </c>
    </row>
    <row r="1119" spans="1:9" x14ac:dyDescent="0.25">
      <c r="A1119">
        <v>62</v>
      </c>
      <c r="B1119">
        <v>0</v>
      </c>
      <c r="C1119">
        <v>5</v>
      </c>
      <c r="D1119">
        <v>0</v>
      </c>
      <c r="E1119">
        <v>1</v>
      </c>
      <c r="F1119">
        <v>0</v>
      </c>
      <c r="G1119">
        <v>19593</v>
      </c>
      <c r="H1119">
        <v>1</v>
      </c>
      <c r="I1119">
        <v>0</v>
      </c>
    </row>
    <row r="1120" spans="1:9" x14ac:dyDescent="0.25">
      <c r="A1120">
        <v>62</v>
      </c>
      <c r="B1120">
        <v>0</v>
      </c>
      <c r="C1120">
        <v>1</v>
      </c>
      <c r="D1120">
        <v>0</v>
      </c>
      <c r="E1120">
        <v>1</v>
      </c>
      <c r="F1120">
        <v>0</v>
      </c>
      <c r="G1120">
        <v>7979</v>
      </c>
      <c r="H1120">
        <v>1</v>
      </c>
      <c r="I1120">
        <v>0</v>
      </c>
    </row>
    <row r="1121" spans="1:9" x14ac:dyDescent="0.25">
      <c r="A1121">
        <v>62</v>
      </c>
      <c r="B1121">
        <v>1</v>
      </c>
      <c r="C1121">
        <v>1</v>
      </c>
      <c r="D1121">
        <v>0</v>
      </c>
      <c r="E1121">
        <v>1</v>
      </c>
      <c r="F1121">
        <v>0</v>
      </c>
      <c r="G1121">
        <v>9665</v>
      </c>
      <c r="H1121">
        <v>1</v>
      </c>
      <c r="I1121">
        <v>0</v>
      </c>
    </row>
    <row r="1122" spans="1:9" x14ac:dyDescent="0.25">
      <c r="A1122">
        <v>62</v>
      </c>
      <c r="B1122">
        <v>0</v>
      </c>
      <c r="C1122">
        <v>3</v>
      </c>
      <c r="D1122">
        <v>3</v>
      </c>
      <c r="E1122">
        <v>1</v>
      </c>
      <c r="F1122">
        <v>0</v>
      </c>
      <c r="G1122">
        <v>36493</v>
      </c>
      <c r="H1122">
        <v>1</v>
      </c>
      <c r="I1122">
        <v>0</v>
      </c>
    </row>
    <row r="1123" spans="1:9" x14ac:dyDescent="0.25">
      <c r="A1123">
        <v>61</v>
      </c>
      <c r="B1123">
        <v>1</v>
      </c>
      <c r="C1123">
        <v>16</v>
      </c>
      <c r="D1123">
        <v>5</v>
      </c>
      <c r="E1123">
        <v>0</v>
      </c>
      <c r="F1123">
        <v>0</v>
      </c>
      <c r="G1123">
        <v>31937</v>
      </c>
      <c r="H1123">
        <v>0</v>
      </c>
      <c r="I1123">
        <v>0</v>
      </c>
    </row>
    <row r="1124" spans="1:9" x14ac:dyDescent="0.25">
      <c r="A1124">
        <v>61</v>
      </c>
      <c r="B1124">
        <v>0</v>
      </c>
      <c r="C1124">
        <v>2</v>
      </c>
      <c r="D1124">
        <v>6</v>
      </c>
      <c r="E1124">
        <v>0</v>
      </c>
      <c r="F1124">
        <v>0</v>
      </c>
      <c r="G1124">
        <v>4010</v>
      </c>
      <c r="H1124">
        <v>0</v>
      </c>
      <c r="I1124">
        <v>0</v>
      </c>
    </row>
    <row r="1125" spans="1:9" x14ac:dyDescent="0.25">
      <c r="A1125">
        <v>61</v>
      </c>
      <c r="B1125">
        <v>0</v>
      </c>
      <c r="C1125">
        <v>1</v>
      </c>
      <c r="D1125">
        <v>5</v>
      </c>
      <c r="E1125">
        <v>0</v>
      </c>
      <c r="F1125">
        <v>0</v>
      </c>
      <c r="G1125">
        <v>5079</v>
      </c>
      <c r="H1125">
        <v>0</v>
      </c>
      <c r="I1125">
        <v>0</v>
      </c>
    </row>
    <row r="1126" spans="1:9" x14ac:dyDescent="0.25">
      <c r="A1126">
        <v>61</v>
      </c>
      <c r="B1126">
        <v>0</v>
      </c>
      <c r="C1126">
        <v>4</v>
      </c>
      <c r="D1126">
        <v>4</v>
      </c>
      <c r="E1126">
        <v>0</v>
      </c>
      <c r="F1126">
        <v>0</v>
      </c>
      <c r="G1126">
        <v>22888</v>
      </c>
      <c r="H1126">
        <v>0</v>
      </c>
      <c r="I1126">
        <v>0</v>
      </c>
    </row>
    <row r="1127" spans="1:9" x14ac:dyDescent="0.25">
      <c r="A1127">
        <v>61</v>
      </c>
      <c r="B1127">
        <v>1</v>
      </c>
      <c r="C1127">
        <v>6</v>
      </c>
      <c r="D1127">
        <v>6</v>
      </c>
      <c r="E1127">
        <v>0</v>
      </c>
      <c r="F1127">
        <v>0</v>
      </c>
      <c r="G1127">
        <v>20017</v>
      </c>
      <c r="H1127">
        <v>0</v>
      </c>
      <c r="I1127">
        <v>0</v>
      </c>
    </row>
    <row r="1128" spans="1:9" x14ac:dyDescent="0.25">
      <c r="A1128">
        <v>61</v>
      </c>
      <c r="B1128">
        <v>0</v>
      </c>
      <c r="C1128">
        <v>1</v>
      </c>
      <c r="D1128">
        <v>7</v>
      </c>
      <c r="E1128">
        <v>0</v>
      </c>
      <c r="F1128">
        <v>0</v>
      </c>
      <c r="G1128">
        <v>4373</v>
      </c>
      <c r="H1128">
        <v>0</v>
      </c>
      <c r="I1128">
        <v>0</v>
      </c>
    </row>
    <row r="1129" spans="1:9" x14ac:dyDescent="0.25">
      <c r="A1129">
        <v>61</v>
      </c>
      <c r="B1129">
        <v>1</v>
      </c>
      <c r="C1129">
        <v>3</v>
      </c>
      <c r="D1129">
        <v>5</v>
      </c>
      <c r="E1129">
        <v>0</v>
      </c>
      <c r="F1129">
        <v>0</v>
      </c>
      <c r="G1129">
        <v>7835</v>
      </c>
      <c r="H1129">
        <v>0</v>
      </c>
      <c r="I1129">
        <v>0</v>
      </c>
    </row>
    <row r="1130" spans="1:9" x14ac:dyDescent="0.25">
      <c r="A1130">
        <v>61</v>
      </c>
      <c r="B1130">
        <v>0</v>
      </c>
      <c r="C1130">
        <v>3</v>
      </c>
      <c r="D1130">
        <v>4</v>
      </c>
      <c r="E1130">
        <v>0</v>
      </c>
      <c r="F1130">
        <v>0</v>
      </c>
      <c r="G1130">
        <v>13449</v>
      </c>
      <c r="H1130">
        <v>0</v>
      </c>
      <c r="I1130">
        <v>0</v>
      </c>
    </row>
    <row r="1131" spans="1:9" x14ac:dyDescent="0.25">
      <c r="A1131">
        <v>61</v>
      </c>
      <c r="B1131">
        <v>1</v>
      </c>
      <c r="C1131">
        <v>7</v>
      </c>
      <c r="D1131">
        <v>4</v>
      </c>
      <c r="E1131">
        <v>0</v>
      </c>
      <c r="F1131">
        <v>0</v>
      </c>
      <c r="G1131">
        <v>14139</v>
      </c>
      <c r="H1131">
        <v>0</v>
      </c>
      <c r="I1131">
        <v>0</v>
      </c>
    </row>
    <row r="1132" spans="1:9" x14ac:dyDescent="0.25">
      <c r="A1132">
        <v>61</v>
      </c>
      <c r="B1132">
        <v>1</v>
      </c>
      <c r="C1132">
        <v>1</v>
      </c>
      <c r="D1132">
        <v>2</v>
      </c>
      <c r="E1132">
        <v>0</v>
      </c>
      <c r="F1132">
        <v>0</v>
      </c>
      <c r="G1132">
        <v>5390</v>
      </c>
      <c r="H1132">
        <v>0</v>
      </c>
      <c r="I1132">
        <v>0</v>
      </c>
    </row>
    <row r="1133" spans="1:9" x14ac:dyDescent="0.25">
      <c r="A1133">
        <v>61</v>
      </c>
      <c r="B1133">
        <v>1</v>
      </c>
      <c r="C1133">
        <v>2</v>
      </c>
      <c r="D1133">
        <v>3</v>
      </c>
      <c r="E1133">
        <v>1</v>
      </c>
      <c r="F1133">
        <v>0</v>
      </c>
      <c r="G1133">
        <v>16174</v>
      </c>
      <c r="H1133">
        <v>0</v>
      </c>
      <c r="I1133">
        <v>0</v>
      </c>
    </row>
    <row r="1134" spans="1:9" x14ac:dyDescent="0.25">
      <c r="A1134">
        <v>61</v>
      </c>
      <c r="B1134">
        <v>0</v>
      </c>
      <c r="C1134">
        <v>1</v>
      </c>
      <c r="D1134">
        <v>2</v>
      </c>
      <c r="E1134">
        <v>0</v>
      </c>
      <c r="F1134">
        <v>0</v>
      </c>
      <c r="G1134">
        <v>13984</v>
      </c>
      <c r="H1134">
        <v>0</v>
      </c>
      <c r="I1134">
        <v>0</v>
      </c>
    </row>
    <row r="1135" spans="1:9" x14ac:dyDescent="0.25">
      <c r="A1135">
        <v>61</v>
      </c>
      <c r="B1135">
        <v>0</v>
      </c>
      <c r="C1135">
        <v>2</v>
      </c>
      <c r="D1135">
        <v>6</v>
      </c>
      <c r="E1135">
        <v>1</v>
      </c>
      <c r="F1135">
        <v>0</v>
      </c>
      <c r="G1135">
        <v>9427</v>
      </c>
      <c r="H1135">
        <v>0</v>
      </c>
      <c r="I1135">
        <v>0</v>
      </c>
    </row>
    <row r="1136" spans="1:9" x14ac:dyDescent="0.25">
      <c r="A1136">
        <v>61</v>
      </c>
      <c r="B1136">
        <v>0</v>
      </c>
      <c r="C1136">
        <v>2</v>
      </c>
      <c r="D1136">
        <v>2</v>
      </c>
      <c r="E1136">
        <v>0</v>
      </c>
      <c r="F1136">
        <v>0</v>
      </c>
      <c r="G1136">
        <v>5774</v>
      </c>
      <c r="H1136">
        <v>0</v>
      </c>
      <c r="I1136">
        <v>0</v>
      </c>
    </row>
    <row r="1137" spans="1:9" x14ac:dyDescent="0.25">
      <c r="A1137">
        <v>61</v>
      </c>
      <c r="B1137">
        <v>1</v>
      </c>
      <c r="C1137">
        <v>6</v>
      </c>
      <c r="D1137">
        <v>4</v>
      </c>
      <c r="E1137">
        <v>0</v>
      </c>
      <c r="F1137">
        <v>0</v>
      </c>
      <c r="G1137">
        <v>37862</v>
      </c>
      <c r="H1137">
        <v>0</v>
      </c>
      <c r="I1137">
        <v>0</v>
      </c>
    </row>
    <row r="1138" spans="1:9" x14ac:dyDescent="0.25">
      <c r="A1138">
        <v>61</v>
      </c>
      <c r="B1138">
        <v>0</v>
      </c>
      <c r="C1138">
        <v>5</v>
      </c>
      <c r="D1138">
        <v>3</v>
      </c>
      <c r="E1138">
        <v>0</v>
      </c>
      <c r="F1138">
        <v>0</v>
      </c>
      <c r="G1138">
        <v>15213</v>
      </c>
      <c r="H1138">
        <v>0</v>
      </c>
      <c r="I1138">
        <v>0</v>
      </c>
    </row>
    <row r="1139" spans="1:9" x14ac:dyDescent="0.25">
      <c r="A1139">
        <v>61</v>
      </c>
      <c r="B1139">
        <v>1</v>
      </c>
      <c r="C1139">
        <v>8</v>
      </c>
      <c r="D1139">
        <v>4</v>
      </c>
      <c r="E1139">
        <v>2</v>
      </c>
      <c r="F1139">
        <v>0</v>
      </c>
      <c r="G1139">
        <v>24789</v>
      </c>
      <c r="H1139">
        <v>0</v>
      </c>
      <c r="I1139">
        <v>0</v>
      </c>
    </row>
    <row r="1140" spans="1:9" x14ac:dyDescent="0.25">
      <c r="A1140">
        <v>61</v>
      </c>
      <c r="B1140">
        <v>1</v>
      </c>
      <c r="C1140">
        <v>8</v>
      </c>
      <c r="D1140">
        <v>4</v>
      </c>
      <c r="E1140">
        <v>4</v>
      </c>
      <c r="F1140">
        <v>0</v>
      </c>
      <c r="G1140">
        <v>34506</v>
      </c>
      <c r="H1140">
        <v>1</v>
      </c>
      <c r="I1140">
        <v>0</v>
      </c>
    </row>
    <row r="1141" spans="1:9" x14ac:dyDescent="0.25">
      <c r="A1141">
        <v>61</v>
      </c>
      <c r="B1141">
        <v>1</v>
      </c>
      <c r="C1141">
        <v>2</v>
      </c>
      <c r="D1141">
        <v>1</v>
      </c>
      <c r="E1141">
        <v>3</v>
      </c>
      <c r="F1141">
        <v>0</v>
      </c>
      <c r="G1141">
        <v>21116</v>
      </c>
      <c r="H1141">
        <v>1</v>
      </c>
      <c r="I1141">
        <v>0</v>
      </c>
    </row>
    <row r="1142" spans="1:9" x14ac:dyDescent="0.25">
      <c r="A1142">
        <v>61</v>
      </c>
      <c r="B1142">
        <v>1</v>
      </c>
      <c r="C1142">
        <v>3</v>
      </c>
      <c r="D1142">
        <v>4</v>
      </c>
      <c r="E1142">
        <v>1</v>
      </c>
      <c r="F1142">
        <v>0</v>
      </c>
      <c r="G1142">
        <v>14374</v>
      </c>
      <c r="H1142">
        <v>1</v>
      </c>
      <c r="I1142">
        <v>0</v>
      </c>
    </row>
    <row r="1143" spans="1:9" x14ac:dyDescent="0.25">
      <c r="A1143">
        <v>61</v>
      </c>
      <c r="B1143">
        <v>1</v>
      </c>
      <c r="C1143">
        <v>3</v>
      </c>
      <c r="D1143">
        <v>1</v>
      </c>
      <c r="E1143">
        <v>1</v>
      </c>
      <c r="F1143">
        <v>0</v>
      </c>
      <c r="G1143">
        <v>39222</v>
      </c>
      <c r="H1143">
        <v>1</v>
      </c>
      <c r="I1143">
        <v>0</v>
      </c>
    </row>
    <row r="1144" spans="1:9" x14ac:dyDescent="0.25">
      <c r="A1144">
        <v>61</v>
      </c>
      <c r="B1144">
        <v>0</v>
      </c>
      <c r="C1144">
        <v>2</v>
      </c>
      <c r="D1144">
        <v>2</v>
      </c>
      <c r="E1144">
        <v>2</v>
      </c>
      <c r="F1144">
        <v>0</v>
      </c>
      <c r="G1144">
        <v>10862</v>
      </c>
      <c r="H1144">
        <v>1</v>
      </c>
      <c r="I1144">
        <v>0</v>
      </c>
    </row>
    <row r="1145" spans="1:9" x14ac:dyDescent="0.25">
      <c r="A1145">
        <v>61</v>
      </c>
      <c r="B1145">
        <v>0</v>
      </c>
      <c r="C1145">
        <v>6</v>
      </c>
      <c r="D1145">
        <v>6</v>
      </c>
      <c r="E1145">
        <v>4</v>
      </c>
      <c r="F1145">
        <v>0</v>
      </c>
      <c r="G1145">
        <v>23054</v>
      </c>
      <c r="H1145">
        <v>1</v>
      </c>
      <c r="I1145">
        <v>0</v>
      </c>
    </row>
    <row r="1146" spans="1:9" x14ac:dyDescent="0.25">
      <c r="A1146">
        <v>61</v>
      </c>
      <c r="B1146">
        <v>1</v>
      </c>
      <c r="C1146">
        <v>8</v>
      </c>
      <c r="D1146">
        <v>4</v>
      </c>
      <c r="E1146">
        <v>6</v>
      </c>
      <c r="F1146">
        <v>0</v>
      </c>
      <c r="G1146">
        <v>41552</v>
      </c>
      <c r="H1146">
        <v>1</v>
      </c>
      <c r="I1146">
        <v>0</v>
      </c>
    </row>
    <row r="1147" spans="1:9" x14ac:dyDescent="0.25">
      <c r="A1147">
        <v>60</v>
      </c>
      <c r="B1147">
        <v>1</v>
      </c>
      <c r="C1147">
        <v>6</v>
      </c>
      <c r="D1147">
        <v>2</v>
      </c>
      <c r="E1147">
        <v>0</v>
      </c>
      <c r="F1147">
        <v>0</v>
      </c>
      <c r="G1147">
        <v>17746</v>
      </c>
      <c r="H1147">
        <v>0</v>
      </c>
      <c r="I1147">
        <v>0</v>
      </c>
    </row>
    <row r="1148" spans="1:9" x14ac:dyDescent="0.25">
      <c r="A1148">
        <v>60</v>
      </c>
      <c r="B1148">
        <v>1</v>
      </c>
      <c r="C1148">
        <v>9</v>
      </c>
      <c r="D1148">
        <v>7</v>
      </c>
      <c r="E1148">
        <v>0</v>
      </c>
      <c r="F1148">
        <v>0</v>
      </c>
      <c r="G1148">
        <v>22091</v>
      </c>
      <c r="H1148">
        <v>0</v>
      </c>
      <c r="I1148">
        <v>0</v>
      </c>
    </row>
    <row r="1149" spans="1:9" x14ac:dyDescent="0.25">
      <c r="A1149">
        <v>60</v>
      </c>
      <c r="B1149">
        <v>1</v>
      </c>
      <c r="C1149">
        <v>5</v>
      </c>
      <c r="D1149">
        <v>7</v>
      </c>
      <c r="E1149">
        <v>0</v>
      </c>
      <c r="F1149">
        <v>0</v>
      </c>
      <c r="G1149">
        <v>11111</v>
      </c>
      <c r="H1149">
        <v>0</v>
      </c>
      <c r="I1149">
        <v>0</v>
      </c>
    </row>
    <row r="1150" spans="1:9" x14ac:dyDescent="0.25">
      <c r="A1150">
        <v>60</v>
      </c>
      <c r="B1150">
        <v>1</v>
      </c>
      <c r="C1150">
        <v>13</v>
      </c>
      <c r="D1150">
        <v>7</v>
      </c>
      <c r="E1150">
        <v>2</v>
      </c>
      <c r="F1150">
        <v>0</v>
      </c>
      <c r="G1150">
        <v>48528</v>
      </c>
      <c r="H1150">
        <v>0</v>
      </c>
      <c r="I1150">
        <v>0</v>
      </c>
    </row>
    <row r="1151" spans="1:9" x14ac:dyDescent="0.25">
      <c r="A1151">
        <v>60</v>
      </c>
      <c r="B1151">
        <v>0</v>
      </c>
      <c r="C1151">
        <v>8</v>
      </c>
      <c r="D1151">
        <v>2</v>
      </c>
      <c r="E1151">
        <v>0</v>
      </c>
      <c r="F1151">
        <v>0</v>
      </c>
      <c r="G1151">
        <v>36215</v>
      </c>
      <c r="H1151">
        <v>0</v>
      </c>
      <c r="I1151">
        <v>0</v>
      </c>
    </row>
    <row r="1152" spans="1:9" x14ac:dyDescent="0.25">
      <c r="A1152">
        <v>60</v>
      </c>
      <c r="B1152">
        <v>1</v>
      </c>
      <c r="C1152">
        <v>1</v>
      </c>
      <c r="D1152">
        <v>6</v>
      </c>
      <c r="E1152">
        <v>0</v>
      </c>
      <c r="F1152">
        <v>0</v>
      </c>
      <c r="G1152">
        <v>10224</v>
      </c>
      <c r="H1152">
        <v>0</v>
      </c>
      <c r="I1152">
        <v>0</v>
      </c>
    </row>
    <row r="1153" spans="1:9" x14ac:dyDescent="0.25">
      <c r="A1153">
        <v>60</v>
      </c>
      <c r="B1153">
        <v>1</v>
      </c>
      <c r="C1153">
        <v>3</v>
      </c>
      <c r="D1153">
        <v>7</v>
      </c>
      <c r="E1153">
        <v>0</v>
      </c>
      <c r="F1153">
        <v>0</v>
      </c>
      <c r="G1153">
        <v>12606</v>
      </c>
      <c r="H1153">
        <v>0</v>
      </c>
      <c r="I1153">
        <v>0</v>
      </c>
    </row>
    <row r="1154" spans="1:9" x14ac:dyDescent="0.25">
      <c r="A1154">
        <v>60</v>
      </c>
      <c r="B1154">
        <v>0</v>
      </c>
      <c r="C1154">
        <v>2</v>
      </c>
      <c r="D1154">
        <v>3</v>
      </c>
      <c r="E1154">
        <v>0</v>
      </c>
      <c r="F1154">
        <v>0</v>
      </c>
      <c r="G1154">
        <v>19296</v>
      </c>
      <c r="H1154">
        <v>0</v>
      </c>
      <c r="I1154">
        <v>0</v>
      </c>
    </row>
    <row r="1155" spans="1:9" x14ac:dyDescent="0.25">
      <c r="A1155">
        <v>60</v>
      </c>
      <c r="B1155">
        <v>0</v>
      </c>
      <c r="C1155">
        <v>2</v>
      </c>
      <c r="D1155">
        <v>4</v>
      </c>
      <c r="E1155">
        <v>0</v>
      </c>
      <c r="F1155">
        <v>0</v>
      </c>
      <c r="G1155">
        <v>17066</v>
      </c>
      <c r="H1155">
        <v>0</v>
      </c>
      <c r="I1155">
        <v>0</v>
      </c>
    </row>
    <row r="1156" spans="1:9" x14ac:dyDescent="0.25">
      <c r="A1156">
        <v>60</v>
      </c>
      <c r="B1156">
        <v>0</v>
      </c>
      <c r="C1156">
        <v>6</v>
      </c>
      <c r="D1156">
        <v>6</v>
      </c>
      <c r="E1156">
        <v>0</v>
      </c>
      <c r="F1156">
        <v>0</v>
      </c>
      <c r="G1156">
        <v>24969</v>
      </c>
      <c r="H1156">
        <v>0</v>
      </c>
      <c r="I1156">
        <v>0</v>
      </c>
    </row>
    <row r="1157" spans="1:9" x14ac:dyDescent="0.25">
      <c r="A1157">
        <v>60</v>
      </c>
      <c r="B1157">
        <v>1</v>
      </c>
      <c r="C1157">
        <v>4</v>
      </c>
      <c r="D1157">
        <v>7</v>
      </c>
      <c r="E1157">
        <v>0</v>
      </c>
      <c r="F1157">
        <v>0</v>
      </c>
      <c r="G1157">
        <v>7485</v>
      </c>
      <c r="H1157">
        <v>0</v>
      </c>
      <c r="I1157">
        <v>0</v>
      </c>
    </row>
    <row r="1158" spans="1:9" x14ac:dyDescent="0.25">
      <c r="A1158">
        <v>60</v>
      </c>
      <c r="B1158">
        <v>0</v>
      </c>
      <c r="C1158">
        <v>5</v>
      </c>
      <c r="D1158">
        <v>2</v>
      </c>
      <c r="E1158">
        <v>0</v>
      </c>
      <c r="F1158">
        <v>0</v>
      </c>
      <c r="G1158">
        <v>14503</v>
      </c>
      <c r="H1158">
        <v>0</v>
      </c>
      <c r="I1158">
        <v>0</v>
      </c>
    </row>
    <row r="1159" spans="1:9" x14ac:dyDescent="0.25">
      <c r="A1159">
        <v>60</v>
      </c>
      <c r="B1159">
        <v>0</v>
      </c>
      <c r="C1159">
        <v>2</v>
      </c>
      <c r="D1159">
        <v>5</v>
      </c>
      <c r="E1159">
        <v>0</v>
      </c>
      <c r="F1159">
        <v>0</v>
      </c>
      <c r="G1159">
        <v>9634</v>
      </c>
      <c r="H1159">
        <v>0</v>
      </c>
      <c r="I1159">
        <v>0</v>
      </c>
    </row>
    <row r="1160" spans="1:9" x14ac:dyDescent="0.25">
      <c r="A1160">
        <v>60</v>
      </c>
      <c r="B1160">
        <v>1</v>
      </c>
      <c r="C1160">
        <v>5</v>
      </c>
      <c r="D1160">
        <v>4</v>
      </c>
      <c r="E1160">
        <v>0</v>
      </c>
      <c r="F1160">
        <v>0</v>
      </c>
      <c r="G1160">
        <v>9075</v>
      </c>
      <c r="H1160">
        <v>0</v>
      </c>
      <c r="I1160">
        <v>0</v>
      </c>
    </row>
    <row r="1161" spans="1:9" x14ac:dyDescent="0.25">
      <c r="A1161">
        <v>60</v>
      </c>
      <c r="B1161">
        <v>0</v>
      </c>
      <c r="C1161">
        <v>9</v>
      </c>
      <c r="D1161">
        <v>4</v>
      </c>
      <c r="E1161">
        <v>0</v>
      </c>
      <c r="F1161">
        <v>0</v>
      </c>
      <c r="G1161">
        <v>18842</v>
      </c>
      <c r="H1161">
        <v>0</v>
      </c>
      <c r="I1161">
        <v>0</v>
      </c>
    </row>
    <row r="1162" spans="1:9" x14ac:dyDescent="0.25">
      <c r="A1162">
        <v>60</v>
      </c>
      <c r="B1162">
        <v>0</v>
      </c>
      <c r="C1162">
        <v>2</v>
      </c>
      <c r="D1162">
        <v>3</v>
      </c>
      <c r="E1162">
        <v>0</v>
      </c>
      <c r="F1162">
        <v>0</v>
      </c>
      <c r="G1162">
        <v>5127</v>
      </c>
      <c r="H1162">
        <v>0</v>
      </c>
      <c r="I1162">
        <v>0</v>
      </c>
    </row>
    <row r="1163" spans="1:9" x14ac:dyDescent="0.25">
      <c r="A1163">
        <v>60</v>
      </c>
      <c r="B1163">
        <v>0</v>
      </c>
      <c r="C1163">
        <v>9</v>
      </c>
      <c r="D1163">
        <v>4</v>
      </c>
      <c r="E1163">
        <v>1</v>
      </c>
      <c r="F1163">
        <v>0</v>
      </c>
      <c r="G1163">
        <v>31088</v>
      </c>
      <c r="H1163">
        <v>0</v>
      </c>
      <c r="I1163">
        <v>0</v>
      </c>
    </row>
    <row r="1164" spans="1:9" x14ac:dyDescent="0.25">
      <c r="A1164">
        <v>60</v>
      </c>
      <c r="B1164">
        <v>1</v>
      </c>
      <c r="C1164">
        <v>7</v>
      </c>
      <c r="D1164">
        <v>2</v>
      </c>
      <c r="E1164">
        <v>1</v>
      </c>
      <c r="F1164">
        <v>0</v>
      </c>
      <c r="G1164">
        <v>10358</v>
      </c>
      <c r="H1164">
        <v>0</v>
      </c>
      <c r="I1164">
        <v>0</v>
      </c>
    </row>
    <row r="1165" spans="1:9" x14ac:dyDescent="0.25">
      <c r="A1165">
        <v>60</v>
      </c>
      <c r="B1165">
        <v>1</v>
      </c>
      <c r="C1165">
        <v>3</v>
      </c>
      <c r="D1165">
        <v>4</v>
      </c>
      <c r="E1165">
        <v>1</v>
      </c>
      <c r="F1165">
        <v>0</v>
      </c>
      <c r="G1165">
        <v>25593</v>
      </c>
      <c r="H1165">
        <v>1</v>
      </c>
      <c r="I1165">
        <v>0</v>
      </c>
    </row>
    <row r="1166" spans="1:9" x14ac:dyDescent="0.25">
      <c r="A1166">
        <v>60</v>
      </c>
      <c r="B1166">
        <v>0</v>
      </c>
      <c r="C1166">
        <v>2</v>
      </c>
      <c r="D1166">
        <v>1</v>
      </c>
      <c r="E1166">
        <v>1</v>
      </c>
      <c r="F1166">
        <v>0</v>
      </c>
      <c r="G1166">
        <v>15771</v>
      </c>
      <c r="H1166">
        <v>1</v>
      </c>
      <c r="I1166">
        <v>0</v>
      </c>
    </row>
    <row r="1167" spans="1:9" x14ac:dyDescent="0.25">
      <c r="A1167">
        <v>59</v>
      </c>
      <c r="B1167">
        <v>0</v>
      </c>
      <c r="C1167">
        <v>3</v>
      </c>
      <c r="D1167">
        <v>2</v>
      </c>
      <c r="E1167">
        <v>0</v>
      </c>
      <c r="F1167">
        <v>0</v>
      </c>
      <c r="G1167">
        <v>13816</v>
      </c>
      <c r="H1167">
        <v>0</v>
      </c>
      <c r="I1167">
        <v>0</v>
      </c>
    </row>
    <row r="1168" spans="1:9" x14ac:dyDescent="0.25">
      <c r="A1168">
        <v>59</v>
      </c>
      <c r="B1168">
        <v>0</v>
      </c>
      <c r="C1168">
        <v>2</v>
      </c>
      <c r="D1168">
        <v>5</v>
      </c>
      <c r="E1168">
        <v>0</v>
      </c>
      <c r="F1168">
        <v>0</v>
      </c>
      <c r="G1168">
        <v>22107</v>
      </c>
      <c r="H1168">
        <v>0</v>
      </c>
      <c r="I1168">
        <v>0</v>
      </c>
    </row>
    <row r="1169" spans="1:9" x14ac:dyDescent="0.25">
      <c r="A1169">
        <v>59</v>
      </c>
      <c r="B1169">
        <v>0</v>
      </c>
      <c r="C1169">
        <v>8</v>
      </c>
      <c r="D1169">
        <v>5</v>
      </c>
      <c r="E1169">
        <v>0</v>
      </c>
      <c r="F1169">
        <v>0</v>
      </c>
      <c r="G1169">
        <v>17427</v>
      </c>
      <c r="H1169">
        <v>0</v>
      </c>
      <c r="I1169">
        <v>0</v>
      </c>
    </row>
    <row r="1170" spans="1:9" x14ac:dyDescent="0.25">
      <c r="A1170">
        <v>59</v>
      </c>
      <c r="B1170">
        <v>1</v>
      </c>
      <c r="C1170">
        <v>5</v>
      </c>
      <c r="D1170">
        <v>3</v>
      </c>
      <c r="E1170">
        <v>0</v>
      </c>
      <c r="F1170">
        <v>0</v>
      </c>
      <c r="G1170">
        <v>8596</v>
      </c>
      <c r="H1170">
        <v>0</v>
      </c>
      <c r="I1170">
        <v>0</v>
      </c>
    </row>
    <row r="1171" spans="1:9" x14ac:dyDescent="0.25">
      <c r="A1171">
        <v>59</v>
      </c>
      <c r="B1171">
        <v>0</v>
      </c>
      <c r="C1171">
        <v>9</v>
      </c>
      <c r="D1171">
        <v>6</v>
      </c>
      <c r="E1171">
        <v>2</v>
      </c>
      <c r="F1171">
        <v>0</v>
      </c>
      <c r="G1171">
        <v>21992</v>
      </c>
      <c r="H1171">
        <v>0</v>
      </c>
      <c r="I1171">
        <v>0</v>
      </c>
    </row>
    <row r="1172" spans="1:9" x14ac:dyDescent="0.25">
      <c r="A1172">
        <v>59</v>
      </c>
      <c r="B1172">
        <v>1</v>
      </c>
      <c r="C1172">
        <v>8</v>
      </c>
      <c r="D1172">
        <v>4</v>
      </c>
      <c r="E1172">
        <v>0</v>
      </c>
      <c r="F1172">
        <v>0</v>
      </c>
      <c r="G1172">
        <v>18747</v>
      </c>
      <c r="H1172">
        <v>0</v>
      </c>
      <c r="I1172">
        <v>0</v>
      </c>
    </row>
    <row r="1173" spans="1:9" x14ac:dyDescent="0.25">
      <c r="A1173">
        <v>59</v>
      </c>
      <c r="B1173">
        <v>1</v>
      </c>
      <c r="C1173">
        <v>8</v>
      </c>
      <c r="D1173">
        <v>3</v>
      </c>
      <c r="E1173">
        <v>0</v>
      </c>
      <c r="F1173">
        <v>0</v>
      </c>
      <c r="G1173">
        <v>14997</v>
      </c>
      <c r="H1173">
        <v>0</v>
      </c>
      <c r="I1173">
        <v>0</v>
      </c>
    </row>
    <row r="1174" spans="1:9" x14ac:dyDescent="0.25">
      <c r="A1174">
        <v>59</v>
      </c>
      <c r="B1174">
        <v>1</v>
      </c>
      <c r="C1174">
        <v>7</v>
      </c>
      <c r="D1174">
        <v>4</v>
      </c>
      <c r="E1174">
        <v>0</v>
      </c>
      <c r="F1174">
        <v>0</v>
      </c>
      <c r="G1174">
        <v>18298</v>
      </c>
      <c r="H1174">
        <v>0</v>
      </c>
      <c r="I1174">
        <v>0</v>
      </c>
    </row>
    <row r="1175" spans="1:9" x14ac:dyDescent="0.25">
      <c r="A1175">
        <v>59</v>
      </c>
      <c r="B1175">
        <v>1</v>
      </c>
      <c r="C1175">
        <v>7</v>
      </c>
      <c r="D1175">
        <v>3</v>
      </c>
      <c r="E1175">
        <v>0</v>
      </c>
      <c r="F1175">
        <v>0</v>
      </c>
      <c r="G1175">
        <v>11909</v>
      </c>
      <c r="H1175">
        <v>0</v>
      </c>
      <c r="I1175">
        <v>0</v>
      </c>
    </row>
    <row r="1176" spans="1:9" x14ac:dyDescent="0.25">
      <c r="A1176">
        <v>59</v>
      </c>
      <c r="B1176">
        <v>0</v>
      </c>
      <c r="C1176">
        <v>4</v>
      </c>
      <c r="D1176">
        <v>5</v>
      </c>
      <c r="E1176">
        <v>1</v>
      </c>
      <c r="F1176">
        <v>0</v>
      </c>
      <c r="G1176">
        <v>11326</v>
      </c>
      <c r="H1176">
        <v>0</v>
      </c>
      <c r="I1176">
        <v>0</v>
      </c>
    </row>
    <row r="1177" spans="1:9" x14ac:dyDescent="0.25">
      <c r="A1177">
        <v>59</v>
      </c>
      <c r="B1177">
        <v>0</v>
      </c>
      <c r="C1177">
        <v>3</v>
      </c>
      <c r="D1177">
        <v>5</v>
      </c>
      <c r="E1177">
        <v>0</v>
      </c>
      <c r="F1177">
        <v>0</v>
      </c>
      <c r="G1177">
        <v>10714</v>
      </c>
      <c r="H1177">
        <v>0</v>
      </c>
      <c r="I1177">
        <v>0</v>
      </c>
    </row>
    <row r="1178" spans="1:9" x14ac:dyDescent="0.25">
      <c r="A1178">
        <v>59</v>
      </c>
      <c r="B1178">
        <v>1</v>
      </c>
      <c r="C1178">
        <v>2</v>
      </c>
      <c r="D1178">
        <v>4</v>
      </c>
      <c r="E1178">
        <v>0</v>
      </c>
      <c r="F1178">
        <v>0</v>
      </c>
      <c r="G1178">
        <v>8520</v>
      </c>
      <c r="H1178">
        <v>0</v>
      </c>
      <c r="I1178">
        <v>0</v>
      </c>
    </row>
    <row r="1179" spans="1:9" x14ac:dyDescent="0.25">
      <c r="A1179">
        <v>59</v>
      </c>
      <c r="B1179">
        <v>1</v>
      </c>
      <c r="C1179">
        <v>27</v>
      </c>
      <c r="D1179">
        <v>5</v>
      </c>
      <c r="E1179">
        <v>1</v>
      </c>
      <c r="F1179">
        <v>0</v>
      </c>
      <c r="G1179">
        <v>52867</v>
      </c>
      <c r="H1179">
        <v>0</v>
      </c>
      <c r="I1179">
        <v>0</v>
      </c>
    </row>
    <row r="1180" spans="1:9" x14ac:dyDescent="0.25">
      <c r="A1180">
        <v>59</v>
      </c>
      <c r="B1180">
        <v>0</v>
      </c>
      <c r="C1180">
        <v>3</v>
      </c>
      <c r="D1180">
        <v>4</v>
      </c>
      <c r="E1180">
        <v>0</v>
      </c>
      <c r="F1180">
        <v>0</v>
      </c>
      <c r="G1180">
        <v>6247</v>
      </c>
      <c r="H1180">
        <v>0</v>
      </c>
      <c r="I1180">
        <v>0</v>
      </c>
    </row>
    <row r="1181" spans="1:9" x14ac:dyDescent="0.25">
      <c r="A1181">
        <v>59</v>
      </c>
      <c r="B1181">
        <v>0</v>
      </c>
      <c r="C1181">
        <v>8</v>
      </c>
      <c r="D1181">
        <v>4</v>
      </c>
      <c r="E1181">
        <v>1</v>
      </c>
      <c r="F1181">
        <v>0</v>
      </c>
      <c r="G1181">
        <v>14942</v>
      </c>
      <c r="H1181">
        <v>0</v>
      </c>
      <c r="I1181">
        <v>0</v>
      </c>
    </row>
    <row r="1182" spans="1:9" x14ac:dyDescent="0.25">
      <c r="A1182">
        <v>59</v>
      </c>
      <c r="B1182">
        <v>0</v>
      </c>
      <c r="C1182">
        <v>2</v>
      </c>
      <c r="D1182">
        <v>3</v>
      </c>
      <c r="E1182">
        <v>1</v>
      </c>
      <c r="F1182">
        <v>0</v>
      </c>
      <c r="G1182">
        <v>11188</v>
      </c>
      <c r="H1182">
        <v>0</v>
      </c>
      <c r="I1182">
        <v>0</v>
      </c>
    </row>
    <row r="1183" spans="1:9" x14ac:dyDescent="0.25">
      <c r="A1183">
        <v>59</v>
      </c>
      <c r="B1183">
        <v>0</v>
      </c>
      <c r="C1183">
        <v>5</v>
      </c>
      <c r="D1183">
        <v>3</v>
      </c>
      <c r="E1183">
        <v>1</v>
      </c>
      <c r="F1183">
        <v>0</v>
      </c>
      <c r="G1183">
        <v>11315</v>
      </c>
      <c r="H1183">
        <v>0</v>
      </c>
      <c r="I1183">
        <v>0</v>
      </c>
    </row>
    <row r="1184" spans="1:9" x14ac:dyDescent="0.25">
      <c r="A1184">
        <v>59</v>
      </c>
      <c r="B1184">
        <v>0</v>
      </c>
      <c r="C1184">
        <v>2</v>
      </c>
      <c r="D1184">
        <v>3</v>
      </c>
      <c r="E1184">
        <v>3</v>
      </c>
      <c r="F1184">
        <v>0</v>
      </c>
      <c r="G1184">
        <v>9451</v>
      </c>
      <c r="H1184">
        <v>0</v>
      </c>
      <c r="I1184">
        <v>0</v>
      </c>
    </row>
    <row r="1185" spans="1:9" x14ac:dyDescent="0.25">
      <c r="A1185">
        <v>59</v>
      </c>
      <c r="B1185">
        <v>0</v>
      </c>
      <c r="C1185">
        <v>4</v>
      </c>
      <c r="D1185">
        <v>6</v>
      </c>
      <c r="E1185">
        <v>2</v>
      </c>
      <c r="F1185">
        <v>0</v>
      </c>
      <c r="G1185">
        <v>18185</v>
      </c>
      <c r="H1185">
        <v>0</v>
      </c>
      <c r="I1185">
        <v>0</v>
      </c>
    </row>
    <row r="1186" spans="1:9" x14ac:dyDescent="0.25">
      <c r="A1186">
        <v>59</v>
      </c>
      <c r="B1186">
        <v>0</v>
      </c>
      <c r="C1186">
        <v>6</v>
      </c>
      <c r="D1186">
        <v>4</v>
      </c>
      <c r="E1186">
        <v>2</v>
      </c>
      <c r="F1186">
        <v>0</v>
      </c>
      <c r="G1186">
        <v>34784</v>
      </c>
      <c r="H1186">
        <v>1</v>
      </c>
      <c r="I1186">
        <v>0</v>
      </c>
    </row>
    <row r="1187" spans="1:9" x14ac:dyDescent="0.25">
      <c r="A1187">
        <v>59</v>
      </c>
      <c r="B1187">
        <v>1</v>
      </c>
      <c r="C1187">
        <v>8</v>
      </c>
      <c r="D1187">
        <v>4</v>
      </c>
      <c r="E1187">
        <v>3</v>
      </c>
      <c r="F1187">
        <v>0</v>
      </c>
      <c r="G1187">
        <v>34597</v>
      </c>
      <c r="H1187">
        <v>1</v>
      </c>
      <c r="I1187">
        <v>0</v>
      </c>
    </row>
    <row r="1188" spans="1:9" x14ac:dyDescent="0.25">
      <c r="A1188">
        <v>59</v>
      </c>
      <c r="B1188">
        <v>0</v>
      </c>
      <c r="C1188">
        <v>3</v>
      </c>
      <c r="D1188">
        <v>2</v>
      </c>
      <c r="E1188">
        <v>1</v>
      </c>
      <c r="F1188">
        <v>0</v>
      </c>
      <c r="G1188">
        <v>43886</v>
      </c>
      <c r="H1188">
        <v>1</v>
      </c>
      <c r="I1188">
        <v>0</v>
      </c>
    </row>
    <row r="1189" spans="1:9" x14ac:dyDescent="0.25">
      <c r="A1189">
        <v>58</v>
      </c>
      <c r="B1189">
        <v>0</v>
      </c>
      <c r="C1189">
        <v>2</v>
      </c>
      <c r="D1189">
        <v>4</v>
      </c>
      <c r="E1189">
        <v>0</v>
      </c>
      <c r="F1189">
        <v>0</v>
      </c>
      <c r="G1189">
        <v>9719</v>
      </c>
      <c r="H1189">
        <v>0</v>
      </c>
      <c r="I1189">
        <v>0</v>
      </c>
    </row>
    <row r="1190" spans="1:9" x14ac:dyDescent="0.25">
      <c r="A1190">
        <v>58</v>
      </c>
      <c r="B1190">
        <v>0</v>
      </c>
      <c r="C1190">
        <v>5</v>
      </c>
      <c r="D1190">
        <v>2</v>
      </c>
      <c r="E1190">
        <v>3</v>
      </c>
      <c r="F1190">
        <v>0</v>
      </c>
      <c r="G1190">
        <v>28599</v>
      </c>
      <c r="H1190">
        <v>0</v>
      </c>
      <c r="I1190">
        <v>0</v>
      </c>
    </row>
    <row r="1191" spans="1:9" x14ac:dyDescent="0.25">
      <c r="A1191">
        <v>58</v>
      </c>
      <c r="B1191">
        <v>0</v>
      </c>
      <c r="C1191">
        <v>4</v>
      </c>
      <c r="D1191">
        <v>6</v>
      </c>
      <c r="E1191">
        <v>0</v>
      </c>
      <c r="F1191">
        <v>0</v>
      </c>
      <c r="G1191">
        <v>8309</v>
      </c>
      <c r="H1191">
        <v>0</v>
      </c>
      <c r="I1191">
        <v>0</v>
      </c>
    </row>
    <row r="1192" spans="1:9" x14ac:dyDescent="0.25">
      <c r="A1192">
        <v>58</v>
      </c>
      <c r="B1192">
        <v>1</v>
      </c>
      <c r="C1192">
        <v>5</v>
      </c>
      <c r="D1192">
        <v>2</v>
      </c>
      <c r="E1192">
        <v>0</v>
      </c>
      <c r="F1192">
        <v>0</v>
      </c>
      <c r="G1192">
        <v>18035</v>
      </c>
      <c r="H1192">
        <v>0</v>
      </c>
      <c r="I1192">
        <v>0</v>
      </c>
    </row>
    <row r="1193" spans="1:9" x14ac:dyDescent="0.25">
      <c r="A1193">
        <v>58</v>
      </c>
      <c r="B1193">
        <v>0</v>
      </c>
      <c r="C1193">
        <v>4</v>
      </c>
      <c r="D1193">
        <v>2</v>
      </c>
      <c r="E1193">
        <v>0</v>
      </c>
      <c r="F1193">
        <v>0</v>
      </c>
      <c r="G1193">
        <v>20858</v>
      </c>
      <c r="H1193">
        <v>0</v>
      </c>
      <c r="I1193">
        <v>0</v>
      </c>
    </row>
    <row r="1194" spans="1:9" x14ac:dyDescent="0.25">
      <c r="A1194">
        <v>58</v>
      </c>
      <c r="B1194">
        <v>1</v>
      </c>
      <c r="C1194">
        <v>6</v>
      </c>
      <c r="D1194">
        <v>5</v>
      </c>
      <c r="E1194">
        <v>0</v>
      </c>
      <c r="F1194">
        <v>0</v>
      </c>
      <c r="G1194">
        <v>29290</v>
      </c>
      <c r="H1194">
        <v>0</v>
      </c>
      <c r="I1194">
        <v>0</v>
      </c>
    </row>
    <row r="1195" spans="1:9" x14ac:dyDescent="0.25">
      <c r="A1195">
        <v>58</v>
      </c>
      <c r="B1195">
        <v>0</v>
      </c>
      <c r="C1195">
        <v>8</v>
      </c>
      <c r="D1195">
        <v>7</v>
      </c>
      <c r="E1195">
        <v>0</v>
      </c>
      <c r="F1195">
        <v>0</v>
      </c>
      <c r="G1195">
        <v>21746</v>
      </c>
      <c r="H1195">
        <v>0</v>
      </c>
      <c r="I1195">
        <v>0</v>
      </c>
    </row>
    <row r="1196" spans="1:9" x14ac:dyDescent="0.25">
      <c r="A1196">
        <v>58</v>
      </c>
      <c r="B1196">
        <v>0</v>
      </c>
      <c r="C1196">
        <v>4</v>
      </c>
      <c r="D1196">
        <v>6</v>
      </c>
      <c r="E1196">
        <v>0</v>
      </c>
      <c r="F1196">
        <v>0</v>
      </c>
      <c r="G1196">
        <v>10260</v>
      </c>
      <c r="H1196">
        <v>0</v>
      </c>
      <c r="I1196">
        <v>0</v>
      </c>
    </row>
    <row r="1197" spans="1:9" x14ac:dyDescent="0.25">
      <c r="A1197">
        <v>58</v>
      </c>
      <c r="B1197">
        <v>0</v>
      </c>
      <c r="C1197">
        <v>9</v>
      </c>
      <c r="D1197">
        <v>5</v>
      </c>
      <c r="E1197">
        <v>1</v>
      </c>
      <c r="F1197">
        <v>0</v>
      </c>
      <c r="G1197">
        <v>26455</v>
      </c>
      <c r="H1197">
        <v>0</v>
      </c>
      <c r="I1197">
        <v>0</v>
      </c>
    </row>
    <row r="1198" spans="1:9" x14ac:dyDescent="0.25">
      <c r="A1198">
        <v>58</v>
      </c>
      <c r="B1198">
        <v>0</v>
      </c>
      <c r="C1198">
        <v>2</v>
      </c>
      <c r="D1198">
        <v>1</v>
      </c>
      <c r="E1198">
        <v>0</v>
      </c>
      <c r="F1198">
        <v>0</v>
      </c>
      <c r="G1198">
        <v>8058</v>
      </c>
      <c r="H1198">
        <v>0</v>
      </c>
      <c r="I1198">
        <v>0</v>
      </c>
    </row>
    <row r="1199" spans="1:9" x14ac:dyDescent="0.25">
      <c r="A1199">
        <v>58</v>
      </c>
      <c r="B1199">
        <v>1</v>
      </c>
      <c r="C1199">
        <v>3</v>
      </c>
      <c r="D1199">
        <v>3</v>
      </c>
      <c r="E1199">
        <v>0</v>
      </c>
      <c r="F1199">
        <v>0</v>
      </c>
      <c r="G1199">
        <v>13137</v>
      </c>
      <c r="H1199">
        <v>0</v>
      </c>
      <c r="I1199">
        <v>0</v>
      </c>
    </row>
    <row r="1200" spans="1:9" x14ac:dyDescent="0.25">
      <c r="A1200">
        <v>58</v>
      </c>
      <c r="B1200">
        <v>0</v>
      </c>
      <c r="C1200">
        <v>1</v>
      </c>
      <c r="D1200">
        <v>6</v>
      </c>
      <c r="E1200">
        <v>0</v>
      </c>
      <c r="F1200">
        <v>0</v>
      </c>
      <c r="G1200">
        <v>7783</v>
      </c>
      <c r="H1200">
        <v>0</v>
      </c>
      <c r="I1200">
        <v>0</v>
      </c>
    </row>
    <row r="1201" spans="1:9" x14ac:dyDescent="0.25">
      <c r="A1201">
        <v>58</v>
      </c>
      <c r="B1201">
        <v>1</v>
      </c>
      <c r="C1201">
        <v>2</v>
      </c>
      <c r="D1201">
        <v>2</v>
      </c>
      <c r="E1201">
        <v>1</v>
      </c>
      <c r="F1201">
        <v>0</v>
      </c>
      <c r="G1201">
        <v>6404</v>
      </c>
      <c r="H1201">
        <v>0</v>
      </c>
      <c r="I1201">
        <v>0</v>
      </c>
    </row>
    <row r="1202" spans="1:9" x14ac:dyDescent="0.25">
      <c r="A1202">
        <v>58</v>
      </c>
      <c r="B1202">
        <v>0</v>
      </c>
      <c r="C1202">
        <v>6</v>
      </c>
      <c r="D1202">
        <v>6</v>
      </c>
      <c r="E1202">
        <v>0</v>
      </c>
      <c r="F1202">
        <v>0</v>
      </c>
      <c r="G1202">
        <v>13309</v>
      </c>
      <c r="H1202">
        <v>0</v>
      </c>
      <c r="I1202">
        <v>0</v>
      </c>
    </row>
    <row r="1203" spans="1:9" x14ac:dyDescent="0.25">
      <c r="A1203">
        <v>58</v>
      </c>
      <c r="B1203">
        <v>1</v>
      </c>
      <c r="C1203">
        <v>3</v>
      </c>
      <c r="D1203">
        <v>5</v>
      </c>
      <c r="E1203">
        <v>1</v>
      </c>
      <c r="F1203">
        <v>0</v>
      </c>
      <c r="G1203">
        <v>9690</v>
      </c>
      <c r="H1203">
        <v>0</v>
      </c>
      <c r="I1203">
        <v>0</v>
      </c>
    </row>
    <row r="1204" spans="1:9" x14ac:dyDescent="0.25">
      <c r="A1204">
        <v>58</v>
      </c>
      <c r="B1204">
        <v>1</v>
      </c>
      <c r="C1204">
        <v>7</v>
      </c>
      <c r="D1204">
        <v>4</v>
      </c>
      <c r="E1204">
        <v>0</v>
      </c>
      <c r="F1204">
        <v>0</v>
      </c>
      <c r="G1204">
        <v>9063</v>
      </c>
      <c r="H1204">
        <v>0</v>
      </c>
      <c r="I1204">
        <v>0</v>
      </c>
    </row>
    <row r="1205" spans="1:9" x14ac:dyDescent="0.25">
      <c r="A1205">
        <v>58</v>
      </c>
      <c r="B1205">
        <v>1</v>
      </c>
      <c r="C1205">
        <v>3</v>
      </c>
      <c r="D1205">
        <v>7</v>
      </c>
      <c r="E1205">
        <v>3</v>
      </c>
      <c r="F1205">
        <v>0</v>
      </c>
      <c r="G1205">
        <v>18860</v>
      </c>
      <c r="H1205">
        <v>0</v>
      </c>
      <c r="I1205">
        <v>0</v>
      </c>
    </row>
    <row r="1206" spans="1:9" x14ac:dyDescent="0.25">
      <c r="A1206">
        <v>58</v>
      </c>
      <c r="B1206">
        <v>1</v>
      </c>
      <c r="C1206">
        <v>5</v>
      </c>
      <c r="D1206">
        <v>4</v>
      </c>
      <c r="E1206">
        <v>2</v>
      </c>
      <c r="F1206">
        <v>0</v>
      </c>
      <c r="G1206">
        <v>43938</v>
      </c>
      <c r="H1206">
        <v>1</v>
      </c>
      <c r="I1206">
        <v>0</v>
      </c>
    </row>
    <row r="1207" spans="1:9" x14ac:dyDescent="0.25">
      <c r="A1207">
        <v>58</v>
      </c>
      <c r="B1207">
        <v>0</v>
      </c>
      <c r="C1207">
        <v>3</v>
      </c>
      <c r="D1207">
        <v>1</v>
      </c>
      <c r="E1207">
        <v>1</v>
      </c>
      <c r="F1207">
        <v>0</v>
      </c>
      <c r="G1207">
        <v>14950</v>
      </c>
      <c r="H1207">
        <v>1</v>
      </c>
      <c r="I1207">
        <v>0</v>
      </c>
    </row>
    <row r="1208" spans="1:9" x14ac:dyDescent="0.25">
      <c r="A1208">
        <v>58</v>
      </c>
      <c r="B1208">
        <v>1</v>
      </c>
      <c r="C1208">
        <v>4</v>
      </c>
      <c r="D1208">
        <v>1</v>
      </c>
      <c r="E1208">
        <v>2</v>
      </c>
      <c r="F1208">
        <v>0</v>
      </c>
      <c r="G1208">
        <v>22637</v>
      </c>
      <c r="H1208">
        <v>1</v>
      </c>
      <c r="I1208">
        <v>0</v>
      </c>
    </row>
    <row r="1209" spans="1:9" x14ac:dyDescent="0.25">
      <c r="A1209">
        <v>58</v>
      </c>
      <c r="B1209">
        <v>0</v>
      </c>
      <c r="C1209">
        <v>5</v>
      </c>
      <c r="D1209">
        <v>5</v>
      </c>
      <c r="E1209">
        <v>2</v>
      </c>
      <c r="F1209">
        <v>0</v>
      </c>
      <c r="G1209">
        <v>29310</v>
      </c>
      <c r="H1209">
        <v>1</v>
      </c>
      <c r="I1209">
        <v>0</v>
      </c>
    </row>
    <row r="1210" spans="1:9" x14ac:dyDescent="0.25">
      <c r="A1210">
        <v>57</v>
      </c>
      <c r="B1210">
        <v>0</v>
      </c>
      <c r="C1210">
        <v>2</v>
      </c>
      <c r="D1210">
        <v>7</v>
      </c>
      <c r="E1210">
        <v>0</v>
      </c>
      <c r="F1210">
        <v>0</v>
      </c>
      <c r="G1210">
        <v>8468</v>
      </c>
      <c r="H1210">
        <v>0</v>
      </c>
      <c r="I1210">
        <v>0</v>
      </c>
    </row>
    <row r="1211" spans="1:9" x14ac:dyDescent="0.25">
      <c r="A1211">
        <v>57</v>
      </c>
      <c r="B1211">
        <v>1</v>
      </c>
      <c r="C1211">
        <v>3</v>
      </c>
      <c r="D1211">
        <v>3</v>
      </c>
      <c r="E1211">
        <v>0</v>
      </c>
      <c r="F1211">
        <v>0</v>
      </c>
      <c r="G1211">
        <v>10231</v>
      </c>
      <c r="H1211">
        <v>0</v>
      </c>
      <c r="I1211">
        <v>0</v>
      </c>
    </row>
    <row r="1212" spans="1:9" x14ac:dyDescent="0.25">
      <c r="A1212">
        <v>57</v>
      </c>
      <c r="B1212">
        <v>1</v>
      </c>
      <c r="C1212">
        <v>8</v>
      </c>
      <c r="D1212">
        <v>4</v>
      </c>
      <c r="E1212">
        <v>1</v>
      </c>
      <c r="F1212">
        <v>0</v>
      </c>
      <c r="G1212">
        <v>31428</v>
      </c>
      <c r="H1212">
        <v>0</v>
      </c>
      <c r="I1212">
        <v>0</v>
      </c>
    </row>
    <row r="1213" spans="1:9" x14ac:dyDescent="0.25">
      <c r="A1213">
        <v>57</v>
      </c>
      <c r="B1213">
        <v>0</v>
      </c>
      <c r="C1213">
        <v>1</v>
      </c>
      <c r="D1213">
        <v>5</v>
      </c>
      <c r="E1213">
        <v>0</v>
      </c>
      <c r="F1213">
        <v>0</v>
      </c>
      <c r="G1213">
        <v>5428</v>
      </c>
      <c r="H1213">
        <v>0</v>
      </c>
      <c r="I1213">
        <v>0</v>
      </c>
    </row>
    <row r="1214" spans="1:9" x14ac:dyDescent="0.25">
      <c r="A1214">
        <v>57</v>
      </c>
      <c r="B1214">
        <v>1</v>
      </c>
      <c r="C1214">
        <v>2</v>
      </c>
      <c r="D1214">
        <v>4</v>
      </c>
      <c r="E1214">
        <v>0</v>
      </c>
      <c r="F1214">
        <v>0</v>
      </c>
      <c r="G1214">
        <v>15414</v>
      </c>
      <c r="H1214">
        <v>0</v>
      </c>
      <c r="I1214">
        <v>0</v>
      </c>
    </row>
    <row r="1215" spans="1:9" x14ac:dyDescent="0.25">
      <c r="A1215">
        <v>57</v>
      </c>
      <c r="B1215">
        <v>0</v>
      </c>
      <c r="C1215">
        <v>2</v>
      </c>
      <c r="D1215">
        <v>5</v>
      </c>
      <c r="E1215">
        <v>0</v>
      </c>
      <c r="F1215">
        <v>0</v>
      </c>
      <c r="G1215">
        <v>9868</v>
      </c>
      <c r="H1215">
        <v>0</v>
      </c>
      <c r="I1215">
        <v>0</v>
      </c>
    </row>
    <row r="1216" spans="1:9" x14ac:dyDescent="0.25">
      <c r="A1216">
        <v>57</v>
      </c>
      <c r="B1216">
        <v>0</v>
      </c>
      <c r="C1216">
        <v>2</v>
      </c>
      <c r="D1216">
        <v>5</v>
      </c>
      <c r="E1216">
        <v>0</v>
      </c>
      <c r="F1216">
        <v>0</v>
      </c>
      <c r="G1216">
        <v>9496</v>
      </c>
      <c r="H1216">
        <v>0</v>
      </c>
      <c r="I1216">
        <v>0</v>
      </c>
    </row>
    <row r="1217" spans="1:9" x14ac:dyDescent="0.25">
      <c r="A1217">
        <v>57</v>
      </c>
      <c r="B1217">
        <v>1</v>
      </c>
      <c r="C1217">
        <v>3</v>
      </c>
      <c r="D1217">
        <v>6</v>
      </c>
      <c r="E1217">
        <v>0</v>
      </c>
      <c r="F1217">
        <v>0</v>
      </c>
      <c r="G1217">
        <v>12920</v>
      </c>
      <c r="H1217">
        <v>0</v>
      </c>
      <c r="I1217">
        <v>0</v>
      </c>
    </row>
    <row r="1218" spans="1:9" x14ac:dyDescent="0.25">
      <c r="A1218">
        <v>57</v>
      </c>
      <c r="B1218">
        <v>0</v>
      </c>
      <c r="C1218">
        <v>14</v>
      </c>
      <c r="D1218">
        <v>2</v>
      </c>
      <c r="E1218">
        <v>0</v>
      </c>
      <c r="F1218">
        <v>0</v>
      </c>
      <c r="G1218">
        <v>23544</v>
      </c>
      <c r="H1218">
        <v>0</v>
      </c>
      <c r="I1218">
        <v>0</v>
      </c>
    </row>
    <row r="1219" spans="1:9" x14ac:dyDescent="0.25">
      <c r="A1219">
        <v>57</v>
      </c>
      <c r="B1219">
        <v>0</v>
      </c>
      <c r="C1219">
        <v>2</v>
      </c>
      <c r="D1219">
        <v>5</v>
      </c>
      <c r="E1219">
        <v>0</v>
      </c>
      <c r="F1219">
        <v>0</v>
      </c>
      <c r="G1219">
        <v>6914</v>
      </c>
      <c r="H1219">
        <v>0</v>
      </c>
      <c r="I1219">
        <v>0</v>
      </c>
    </row>
    <row r="1220" spans="1:9" x14ac:dyDescent="0.25">
      <c r="A1220">
        <v>57</v>
      </c>
      <c r="B1220">
        <v>0</v>
      </c>
      <c r="C1220">
        <v>2</v>
      </c>
      <c r="D1220">
        <v>6</v>
      </c>
      <c r="E1220">
        <v>0</v>
      </c>
      <c r="F1220">
        <v>0</v>
      </c>
      <c r="G1220">
        <v>11888</v>
      </c>
      <c r="H1220">
        <v>0</v>
      </c>
      <c r="I1220">
        <v>0</v>
      </c>
    </row>
    <row r="1221" spans="1:9" x14ac:dyDescent="0.25">
      <c r="A1221">
        <v>57</v>
      </c>
      <c r="B1221">
        <v>0</v>
      </c>
      <c r="C1221">
        <v>11</v>
      </c>
      <c r="D1221">
        <v>3</v>
      </c>
      <c r="E1221">
        <v>1</v>
      </c>
      <c r="F1221">
        <v>0</v>
      </c>
      <c r="G1221">
        <v>41717</v>
      </c>
      <c r="H1221">
        <v>0</v>
      </c>
      <c r="I1221">
        <v>0</v>
      </c>
    </row>
    <row r="1222" spans="1:9" x14ac:dyDescent="0.25">
      <c r="A1222">
        <v>57</v>
      </c>
      <c r="B1222">
        <v>0</v>
      </c>
      <c r="C1222">
        <v>4</v>
      </c>
      <c r="D1222">
        <v>3</v>
      </c>
      <c r="E1222">
        <v>0</v>
      </c>
      <c r="F1222">
        <v>0</v>
      </c>
      <c r="G1222">
        <v>16994</v>
      </c>
      <c r="H1222">
        <v>0</v>
      </c>
      <c r="I1222">
        <v>0</v>
      </c>
    </row>
    <row r="1223" spans="1:9" x14ac:dyDescent="0.25">
      <c r="A1223">
        <v>57</v>
      </c>
      <c r="B1223">
        <v>1</v>
      </c>
      <c r="C1223">
        <v>2</v>
      </c>
      <c r="D1223">
        <v>5</v>
      </c>
      <c r="E1223">
        <v>1</v>
      </c>
      <c r="F1223">
        <v>0</v>
      </c>
      <c r="G1223">
        <v>30154</v>
      </c>
      <c r="H1223">
        <v>0</v>
      </c>
      <c r="I1223">
        <v>0</v>
      </c>
    </row>
    <row r="1224" spans="1:9" x14ac:dyDescent="0.25">
      <c r="A1224">
        <v>57</v>
      </c>
      <c r="B1224">
        <v>0</v>
      </c>
      <c r="C1224">
        <v>2</v>
      </c>
      <c r="D1224">
        <v>1</v>
      </c>
      <c r="E1224">
        <v>1</v>
      </c>
      <c r="F1224">
        <v>0</v>
      </c>
      <c r="G1224">
        <v>8017</v>
      </c>
      <c r="H1224">
        <v>0</v>
      </c>
      <c r="I1224">
        <v>0</v>
      </c>
    </row>
    <row r="1225" spans="1:9" x14ac:dyDescent="0.25">
      <c r="A1225">
        <v>57</v>
      </c>
      <c r="B1225">
        <v>0</v>
      </c>
      <c r="C1225">
        <v>3</v>
      </c>
      <c r="D1225">
        <v>2</v>
      </c>
      <c r="E1225">
        <v>0</v>
      </c>
      <c r="F1225">
        <v>0</v>
      </c>
      <c r="G1225">
        <v>18746</v>
      </c>
      <c r="H1225">
        <v>0</v>
      </c>
      <c r="I1225">
        <v>0</v>
      </c>
    </row>
    <row r="1226" spans="1:9" x14ac:dyDescent="0.25">
      <c r="A1226">
        <v>57</v>
      </c>
      <c r="B1226">
        <v>0</v>
      </c>
      <c r="C1226">
        <v>3</v>
      </c>
      <c r="D1226">
        <v>2</v>
      </c>
      <c r="E1226">
        <v>0</v>
      </c>
      <c r="F1226">
        <v>0</v>
      </c>
      <c r="G1226">
        <v>12264</v>
      </c>
      <c r="H1226">
        <v>0</v>
      </c>
      <c r="I1226">
        <v>0</v>
      </c>
    </row>
    <row r="1227" spans="1:9" x14ac:dyDescent="0.25">
      <c r="A1227">
        <v>57</v>
      </c>
      <c r="B1227">
        <v>1</v>
      </c>
      <c r="C1227">
        <v>4</v>
      </c>
      <c r="D1227">
        <v>2</v>
      </c>
      <c r="E1227">
        <v>0</v>
      </c>
      <c r="F1227">
        <v>0</v>
      </c>
      <c r="G1227">
        <v>14499</v>
      </c>
      <c r="H1227">
        <v>0</v>
      </c>
      <c r="I1227">
        <v>0</v>
      </c>
    </row>
    <row r="1228" spans="1:9" x14ac:dyDescent="0.25">
      <c r="A1228">
        <v>57</v>
      </c>
      <c r="B1228">
        <v>0</v>
      </c>
      <c r="C1228">
        <v>3</v>
      </c>
      <c r="D1228">
        <v>6</v>
      </c>
      <c r="E1228">
        <v>0</v>
      </c>
      <c r="F1228">
        <v>0</v>
      </c>
      <c r="G1228">
        <v>19050</v>
      </c>
      <c r="H1228">
        <v>0</v>
      </c>
      <c r="I1228">
        <v>0</v>
      </c>
    </row>
    <row r="1229" spans="1:9" x14ac:dyDescent="0.25">
      <c r="A1229">
        <v>57</v>
      </c>
      <c r="B1229">
        <v>0</v>
      </c>
      <c r="C1229">
        <v>6</v>
      </c>
      <c r="D1229">
        <v>1</v>
      </c>
      <c r="E1229">
        <v>0</v>
      </c>
      <c r="F1229">
        <v>0</v>
      </c>
      <c r="G1229">
        <v>29912</v>
      </c>
      <c r="H1229">
        <v>0</v>
      </c>
      <c r="I1229">
        <v>0</v>
      </c>
    </row>
    <row r="1230" spans="1:9" x14ac:dyDescent="0.25">
      <c r="A1230">
        <v>57</v>
      </c>
      <c r="B1230">
        <v>0</v>
      </c>
      <c r="C1230">
        <v>4</v>
      </c>
      <c r="D1230">
        <v>4</v>
      </c>
      <c r="E1230">
        <v>0</v>
      </c>
      <c r="F1230">
        <v>0</v>
      </c>
      <c r="G1230">
        <v>10568</v>
      </c>
      <c r="H1230">
        <v>0</v>
      </c>
      <c r="I1230">
        <v>0</v>
      </c>
    </row>
    <row r="1231" spans="1:9" x14ac:dyDescent="0.25">
      <c r="A1231">
        <v>57</v>
      </c>
      <c r="B1231">
        <v>1</v>
      </c>
      <c r="C1231">
        <v>6</v>
      </c>
      <c r="D1231">
        <v>5</v>
      </c>
      <c r="E1231">
        <v>0</v>
      </c>
      <c r="F1231">
        <v>0</v>
      </c>
      <c r="G1231">
        <v>12408</v>
      </c>
      <c r="H1231">
        <v>0</v>
      </c>
      <c r="I1231">
        <v>0</v>
      </c>
    </row>
    <row r="1232" spans="1:9" x14ac:dyDescent="0.25">
      <c r="A1232">
        <v>57</v>
      </c>
      <c r="B1232">
        <v>1</v>
      </c>
      <c r="C1232">
        <v>5</v>
      </c>
      <c r="D1232">
        <v>2</v>
      </c>
      <c r="E1232">
        <v>2</v>
      </c>
      <c r="F1232">
        <v>0</v>
      </c>
      <c r="G1232">
        <v>12209</v>
      </c>
      <c r="H1232">
        <v>0</v>
      </c>
      <c r="I1232">
        <v>0</v>
      </c>
    </row>
    <row r="1233" spans="1:9" x14ac:dyDescent="0.25">
      <c r="A1233">
        <v>57</v>
      </c>
      <c r="B1233">
        <v>1</v>
      </c>
      <c r="C1233">
        <v>6</v>
      </c>
      <c r="D1233">
        <v>1</v>
      </c>
      <c r="E1233">
        <v>0</v>
      </c>
      <c r="F1233">
        <v>0</v>
      </c>
      <c r="G1233">
        <v>13449</v>
      </c>
      <c r="H1233">
        <v>0</v>
      </c>
      <c r="I1233">
        <v>0</v>
      </c>
    </row>
    <row r="1234" spans="1:9" x14ac:dyDescent="0.25">
      <c r="A1234">
        <v>57</v>
      </c>
      <c r="B1234">
        <v>0</v>
      </c>
      <c r="C1234">
        <v>3</v>
      </c>
      <c r="D1234">
        <v>3</v>
      </c>
      <c r="E1234">
        <v>1</v>
      </c>
      <c r="F1234">
        <v>0</v>
      </c>
      <c r="G1234">
        <v>21703</v>
      </c>
      <c r="H1234">
        <v>1</v>
      </c>
      <c r="I1234">
        <v>0</v>
      </c>
    </row>
    <row r="1235" spans="1:9" x14ac:dyDescent="0.25">
      <c r="A1235">
        <v>57</v>
      </c>
      <c r="B1235">
        <v>1</v>
      </c>
      <c r="C1235">
        <v>10</v>
      </c>
      <c r="D1235">
        <v>2</v>
      </c>
      <c r="E1235">
        <v>1</v>
      </c>
      <c r="F1235">
        <v>0</v>
      </c>
      <c r="G1235">
        <v>22897</v>
      </c>
      <c r="H1235">
        <v>1</v>
      </c>
      <c r="I1235">
        <v>0</v>
      </c>
    </row>
    <row r="1236" spans="1:9" x14ac:dyDescent="0.25">
      <c r="A1236">
        <v>57</v>
      </c>
      <c r="B1236">
        <v>1</v>
      </c>
      <c r="C1236">
        <v>4</v>
      </c>
      <c r="D1236">
        <v>1</v>
      </c>
      <c r="E1236">
        <v>2</v>
      </c>
      <c r="F1236">
        <v>0</v>
      </c>
      <c r="G1236">
        <v>11390</v>
      </c>
      <c r="H1236">
        <v>1</v>
      </c>
      <c r="I1236">
        <v>0</v>
      </c>
    </row>
    <row r="1237" spans="1:9" x14ac:dyDescent="0.25">
      <c r="A1237">
        <v>57</v>
      </c>
      <c r="B1237">
        <v>1</v>
      </c>
      <c r="C1237">
        <v>3</v>
      </c>
      <c r="D1237">
        <v>1</v>
      </c>
      <c r="E1237">
        <v>1</v>
      </c>
      <c r="F1237">
        <v>0</v>
      </c>
      <c r="G1237">
        <v>37813</v>
      </c>
      <c r="H1237">
        <v>1</v>
      </c>
      <c r="I1237">
        <v>0</v>
      </c>
    </row>
    <row r="1238" spans="1:9" x14ac:dyDescent="0.25">
      <c r="A1238">
        <v>57</v>
      </c>
      <c r="B1238">
        <v>0</v>
      </c>
      <c r="C1238">
        <v>1</v>
      </c>
      <c r="D1238">
        <v>3</v>
      </c>
      <c r="E1238">
        <v>1</v>
      </c>
      <c r="F1238">
        <v>0</v>
      </c>
      <c r="G1238">
        <v>8603</v>
      </c>
      <c r="H1238">
        <v>1</v>
      </c>
      <c r="I1238">
        <v>0</v>
      </c>
    </row>
    <row r="1239" spans="1:9" x14ac:dyDescent="0.25">
      <c r="A1239">
        <v>57</v>
      </c>
      <c r="B1239">
        <v>0</v>
      </c>
      <c r="C1239">
        <v>11</v>
      </c>
      <c r="D1239">
        <v>4</v>
      </c>
      <c r="E1239">
        <v>2</v>
      </c>
      <c r="F1239">
        <v>0</v>
      </c>
      <c r="G1239">
        <v>38507</v>
      </c>
      <c r="H1239">
        <v>1</v>
      </c>
      <c r="I1239">
        <v>0</v>
      </c>
    </row>
    <row r="1240" spans="1:9" x14ac:dyDescent="0.25">
      <c r="A1240">
        <v>57</v>
      </c>
      <c r="B1240">
        <v>0</v>
      </c>
      <c r="C1240">
        <v>6</v>
      </c>
      <c r="D1240">
        <v>3</v>
      </c>
      <c r="E1240">
        <v>2</v>
      </c>
      <c r="F1240">
        <v>0</v>
      </c>
      <c r="G1240">
        <v>29654</v>
      </c>
      <c r="H1240">
        <v>1</v>
      </c>
      <c r="I1240">
        <v>0</v>
      </c>
    </row>
    <row r="1241" spans="1:9" x14ac:dyDescent="0.25">
      <c r="A1241">
        <v>57</v>
      </c>
      <c r="B1241">
        <v>0</v>
      </c>
      <c r="C1241">
        <v>5</v>
      </c>
      <c r="D1241">
        <v>0</v>
      </c>
      <c r="E1241">
        <v>2</v>
      </c>
      <c r="F1241">
        <v>0</v>
      </c>
      <c r="G1241">
        <v>28785</v>
      </c>
      <c r="H1241">
        <v>1</v>
      </c>
      <c r="I1241">
        <v>0</v>
      </c>
    </row>
    <row r="1242" spans="1:9" x14ac:dyDescent="0.25">
      <c r="A1242">
        <v>57</v>
      </c>
      <c r="B1242">
        <v>1</v>
      </c>
      <c r="C1242">
        <v>7</v>
      </c>
      <c r="D1242">
        <v>3</v>
      </c>
      <c r="E1242">
        <v>1</v>
      </c>
      <c r="F1242">
        <v>0</v>
      </c>
      <c r="G1242">
        <v>27470</v>
      </c>
      <c r="H1242">
        <v>1</v>
      </c>
      <c r="I1242">
        <v>0</v>
      </c>
    </row>
    <row r="1243" spans="1:9" x14ac:dyDescent="0.25">
      <c r="A1243">
        <v>57</v>
      </c>
      <c r="B1243">
        <v>1</v>
      </c>
      <c r="C1243">
        <v>10</v>
      </c>
      <c r="D1243">
        <v>4</v>
      </c>
      <c r="E1243">
        <v>2</v>
      </c>
      <c r="F1243">
        <v>0</v>
      </c>
      <c r="G1243">
        <v>24633</v>
      </c>
      <c r="H1243">
        <v>1</v>
      </c>
      <c r="I1243">
        <v>0</v>
      </c>
    </row>
    <row r="1244" spans="1:9" x14ac:dyDescent="0.25">
      <c r="A1244">
        <v>57</v>
      </c>
      <c r="B1244">
        <v>1</v>
      </c>
      <c r="C1244">
        <v>11</v>
      </c>
      <c r="D1244">
        <v>2</v>
      </c>
      <c r="E1244">
        <v>6</v>
      </c>
      <c r="F1244">
        <v>0</v>
      </c>
      <c r="G1244">
        <v>64496</v>
      </c>
      <c r="H1244">
        <v>1</v>
      </c>
      <c r="I1244">
        <v>0</v>
      </c>
    </row>
    <row r="1245" spans="1:9" x14ac:dyDescent="0.25">
      <c r="A1245">
        <v>56</v>
      </c>
      <c r="B1245">
        <v>0</v>
      </c>
      <c r="C1245">
        <v>2</v>
      </c>
      <c r="D1245">
        <v>3</v>
      </c>
      <c r="E1245">
        <v>0</v>
      </c>
      <c r="F1245">
        <v>0</v>
      </c>
      <c r="G1245">
        <v>13535</v>
      </c>
      <c r="H1245">
        <v>0</v>
      </c>
      <c r="I1245">
        <v>0</v>
      </c>
    </row>
    <row r="1246" spans="1:9" x14ac:dyDescent="0.25">
      <c r="A1246">
        <v>56</v>
      </c>
      <c r="B1246">
        <v>0</v>
      </c>
      <c r="C1246">
        <v>2</v>
      </c>
      <c r="D1246">
        <v>3</v>
      </c>
      <c r="E1246">
        <v>0</v>
      </c>
      <c r="F1246">
        <v>0</v>
      </c>
      <c r="G1246">
        <v>8444</v>
      </c>
      <c r="H1246">
        <v>0</v>
      </c>
      <c r="I1246">
        <v>0</v>
      </c>
    </row>
    <row r="1247" spans="1:9" x14ac:dyDescent="0.25">
      <c r="A1247">
        <v>56</v>
      </c>
      <c r="B1247">
        <v>1</v>
      </c>
      <c r="C1247">
        <v>17</v>
      </c>
      <c r="D1247">
        <v>4</v>
      </c>
      <c r="E1247">
        <v>0</v>
      </c>
      <c r="F1247">
        <v>0</v>
      </c>
      <c r="G1247">
        <v>26649</v>
      </c>
      <c r="H1247">
        <v>0</v>
      </c>
      <c r="I1247">
        <v>0</v>
      </c>
    </row>
    <row r="1248" spans="1:9" x14ac:dyDescent="0.25">
      <c r="A1248">
        <v>56</v>
      </c>
      <c r="B1248">
        <v>0</v>
      </c>
      <c r="C1248">
        <v>2</v>
      </c>
      <c r="D1248">
        <v>4</v>
      </c>
      <c r="E1248">
        <v>0</v>
      </c>
      <c r="F1248">
        <v>0</v>
      </c>
      <c r="G1248">
        <v>9966</v>
      </c>
      <c r="H1248">
        <v>0</v>
      </c>
      <c r="I1248">
        <v>0</v>
      </c>
    </row>
    <row r="1249" spans="1:9" x14ac:dyDescent="0.25">
      <c r="A1249">
        <v>56</v>
      </c>
      <c r="B1249">
        <v>1</v>
      </c>
      <c r="C1249">
        <v>4</v>
      </c>
      <c r="D1249">
        <v>4</v>
      </c>
      <c r="E1249">
        <v>1</v>
      </c>
      <c r="F1249">
        <v>0</v>
      </c>
      <c r="G1249">
        <v>28563</v>
      </c>
      <c r="H1249">
        <v>0</v>
      </c>
      <c r="I1249">
        <v>0</v>
      </c>
    </row>
    <row r="1250" spans="1:9" x14ac:dyDescent="0.25">
      <c r="A1250">
        <v>56</v>
      </c>
      <c r="B1250">
        <v>1</v>
      </c>
      <c r="C1250">
        <v>7</v>
      </c>
      <c r="D1250">
        <v>3</v>
      </c>
      <c r="E1250">
        <v>0</v>
      </c>
      <c r="F1250">
        <v>0</v>
      </c>
      <c r="G1250">
        <v>14227</v>
      </c>
      <c r="H1250">
        <v>0</v>
      </c>
      <c r="I1250">
        <v>0</v>
      </c>
    </row>
    <row r="1251" spans="1:9" x14ac:dyDescent="0.25">
      <c r="A1251">
        <v>56</v>
      </c>
      <c r="B1251">
        <v>0</v>
      </c>
      <c r="C1251">
        <v>2</v>
      </c>
      <c r="D1251">
        <v>4</v>
      </c>
      <c r="E1251">
        <v>2</v>
      </c>
      <c r="F1251">
        <v>0</v>
      </c>
      <c r="G1251">
        <v>24451</v>
      </c>
      <c r="H1251">
        <v>0</v>
      </c>
      <c r="I1251">
        <v>0</v>
      </c>
    </row>
    <row r="1252" spans="1:9" x14ac:dyDescent="0.25">
      <c r="A1252">
        <v>56</v>
      </c>
      <c r="B1252">
        <v>1</v>
      </c>
      <c r="C1252">
        <v>3</v>
      </c>
      <c r="D1252">
        <v>4</v>
      </c>
      <c r="E1252">
        <v>0</v>
      </c>
      <c r="F1252">
        <v>0</v>
      </c>
      <c r="G1252">
        <v>11777</v>
      </c>
      <c r="H1252">
        <v>0</v>
      </c>
      <c r="I1252">
        <v>0</v>
      </c>
    </row>
    <row r="1253" spans="1:9" x14ac:dyDescent="0.25">
      <c r="A1253">
        <v>56</v>
      </c>
      <c r="B1253">
        <v>0</v>
      </c>
      <c r="C1253">
        <v>2</v>
      </c>
      <c r="D1253">
        <v>6</v>
      </c>
      <c r="E1253">
        <v>0</v>
      </c>
      <c r="F1253">
        <v>0</v>
      </c>
      <c r="G1253">
        <v>8184</v>
      </c>
      <c r="H1253">
        <v>0</v>
      </c>
      <c r="I1253">
        <v>0</v>
      </c>
    </row>
    <row r="1254" spans="1:9" x14ac:dyDescent="0.25">
      <c r="A1254">
        <v>56</v>
      </c>
      <c r="B1254">
        <v>1</v>
      </c>
      <c r="C1254">
        <v>3</v>
      </c>
      <c r="D1254">
        <v>5</v>
      </c>
      <c r="E1254">
        <v>0</v>
      </c>
      <c r="F1254">
        <v>0</v>
      </c>
      <c r="G1254">
        <v>12300</v>
      </c>
      <c r="H1254">
        <v>0</v>
      </c>
      <c r="I1254">
        <v>0</v>
      </c>
    </row>
    <row r="1255" spans="1:9" x14ac:dyDescent="0.25">
      <c r="A1255">
        <v>56</v>
      </c>
      <c r="B1255">
        <v>0</v>
      </c>
      <c r="C1255">
        <v>2</v>
      </c>
      <c r="D1255">
        <v>4</v>
      </c>
      <c r="E1255">
        <v>0</v>
      </c>
      <c r="F1255">
        <v>0</v>
      </c>
      <c r="G1255">
        <v>13231</v>
      </c>
      <c r="H1255">
        <v>0</v>
      </c>
      <c r="I1255">
        <v>0</v>
      </c>
    </row>
    <row r="1256" spans="1:9" x14ac:dyDescent="0.25">
      <c r="A1256">
        <v>56</v>
      </c>
      <c r="B1256">
        <v>1</v>
      </c>
      <c r="C1256">
        <v>1</v>
      </c>
      <c r="D1256">
        <v>7</v>
      </c>
      <c r="E1256">
        <v>0</v>
      </c>
      <c r="F1256">
        <v>0</v>
      </c>
      <c r="G1256">
        <v>11350</v>
      </c>
      <c r="H1256">
        <v>0</v>
      </c>
      <c r="I1256">
        <v>0</v>
      </c>
    </row>
    <row r="1257" spans="1:9" x14ac:dyDescent="0.25">
      <c r="A1257">
        <v>56</v>
      </c>
      <c r="B1257">
        <v>1</v>
      </c>
      <c r="C1257">
        <v>4</v>
      </c>
      <c r="D1257">
        <v>3</v>
      </c>
      <c r="E1257">
        <v>0</v>
      </c>
      <c r="F1257">
        <v>0</v>
      </c>
      <c r="G1257">
        <v>12914</v>
      </c>
      <c r="H1257">
        <v>0</v>
      </c>
      <c r="I1257">
        <v>0</v>
      </c>
    </row>
    <row r="1258" spans="1:9" x14ac:dyDescent="0.25">
      <c r="A1258">
        <v>56</v>
      </c>
      <c r="B1258">
        <v>0</v>
      </c>
      <c r="C1258">
        <v>4</v>
      </c>
      <c r="D1258">
        <v>4</v>
      </c>
      <c r="E1258">
        <v>0</v>
      </c>
      <c r="F1258">
        <v>0</v>
      </c>
      <c r="G1258">
        <v>11982</v>
      </c>
      <c r="H1258">
        <v>0</v>
      </c>
      <c r="I1258">
        <v>0</v>
      </c>
    </row>
    <row r="1259" spans="1:9" x14ac:dyDescent="0.25">
      <c r="A1259">
        <v>56</v>
      </c>
      <c r="B1259">
        <v>0</v>
      </c>
      <c r="C1259">
        <v>4</v>
      </c>
      <c r="D1259">
        <v>6</v>
      </c>
      <c r="E1259">
        <v>1</v>
      </c>
      <c r="F1259">
        <v>0</v>
      </c>
      <c r="G1259">
        <v>25231</v>
      </c>
      <c r="H1259">
        <v>0</v>
      </c>
      <c r="I1259">
        <v>0</v>
      </c>
    </row>
    <row r="1260" spans="1:9" x14ac:dyDescent="0.25">
      <c r="A1260">
        <v>56</v>
      </c>
      <c r="B1260">
        <v>0</v>
      </c>
      <c r="C1260">
        <v>1</v>
      </c>
      <c r="D1260">
        <v>7</v>
      </c>
      <c r="E1260">
        <v>0</v>
      </c>
      <c r="F1260">
        <v>0</v>
      </c>
      <c r="G1260">
        <v>17118</v>
      </c>
      <c r="H1260">
        <v>0</v>
      </c>
      <c r="I1260">
        <v>0</v>
      </c>
    </row>
    <row r="1261" spans="1:9" x14ac:dyDescent="0.25">
      <c r="A1261">
        <v>56</v>
      </c>
      <c r="B1261">
        <v>0</v>
      </c>
      <c r="C1261">
        <v>18</v>
      </c>
      <c r="D1261">
        <v>5</v>
      </c>
      <c r="E1261">
        <v>1</v>
      </c>
      <c r="F1261">
        <v>0</v>
      </c>
      <c r="G1261">
        <v>55904</v>
      </c>
      <c r="H1261">
        <v>0</v>
      </c>
      <c r="I1261">
        <v>0</v>
      </c>
    </row>
    <row r="1262" spans="1:9" x14ac:dyDescent="0.25">
      <c r="A1262">
        <v>56</v>
      </c>
      <c r="B1262">
        <v>1</v>
      </c>
      <c r="C1262">
        <v>3</v>
      </c>
      <c r="D1262">
        <v>5</v>
      </c>
      <c r="E1262">
        <v>0</v>
      </c>
      <c r="F1262">
        <v>0</v>
      </c>
      <c r="G1262">
        <v>7932</v>
      </c>
      <c r="H1262">
        <v>0</v>
      </c>
      <c r="I1262">
        <v>0</v>
      </c>
    </row>
    <row r="1263" spans="1:9" x14ac:dyDescent="0.25">
      <c r="A1263">
        <v>56</v>
      </c>
      <c r="B1263">
        <v>0</v>
      </c>
      <c r="C1263">
        <v>1</v>
      </c>
      <c r="D1263">
        <v>2</v>
      </c>
      <c r="E1263">
        <v>0</v>
      </c>
      <c r="F1263">
        <v>0</v>
      </c>
      <c r="G1263">
        <v>9047</v>
      </c>
      <c r="H1263">
        <v>0</v>
      </c>
      <c r="I1263">
        <v>0</v>
      </c>
    </row>
    <row r="1264" spans="1:9" x14ac:dyDescent="0.25">
      <c r="A1264">
        <v>56</v>
      </c>
      <c r="B1264">
        <v>0</v>
      </c>
      <c r="C1264">
        <v>2</v>
      </c>
      <c r="D1264">
        <v>6</v>
      </c>
      <c r="E1264">
        <v>0</v>
      </c>
      <c r="F1264">
        <v>0</v>
      </c>
      <c r="G1264">
        <v>17833</v>
      </c>
      <c r="H1264">
        <v>0</v>
      </c>
      <c r="I1264">
        <v>0</v>
      </c>
    </row>
    <row r="1265" spans="1:9" x14ac:dyDescent="0.25">
      <c r="A1265">
        <v>56</v>
      </c>
      <c r="B1265">
        <v>0</v>
      </c>
      <c r="C1265">
        <v>0</v>
      </c>
      <c r="D1265">
        <v>6</v>
      </c>
      <c r="E1265">
        <v>0</v>
      </c>
      <c r="F1265">
        <v>0</v>
      </c>
      <c r="G1265">
        <v>11307</v>
      </c>
      <c r="H1265">
        <v>0</v>
      </c>
      <c r="I1265">
        <v>0</v>
      </c>
    </row>
    <row r="1266" spans="1:9" x14ac:dyDescent="0.25">
      <c r="A1266">
        <v>56</v>
      </c>
      <c r="B1266">
        <v>0</v>
      </c>
      <c r="C1266">
        <v>3</v>
      </c>
      <c r="D1266">
        <v>4</v>
      </c>
      <c r="E1266">
        <v>0</v>
      </c>
      <c r="F1266">
        <v>0</v>
      </c>
      <c r="G1266">
        <v>12033</v>
      </c>
      <c r="H1266">
        <v>0</v>
      </c>
      <c r="I1266">
        <v>0</v>
      </c>
    </row>
    <row r="1267" spans="1:9" x14ac:dyDescent="0.25">
      <c r="A1267">
        <v>56</v>
      </c>
      <c r="B1267">
        <v>0</v>
      </c>
      <c r="C1267">
        <v>2</v>
      </c>
      <c r="D1267">
        <v>3</v>
      </c>
      <c r="E1267">
        <v>1</v>
      </c>
      <c r="F1267">
        <v>0</v>
      </c>
      <c r="G1267">
        <v>6248</v>
      </c>
      <c r="H1267">
        <v>0</v>
      </c>
      <c r="I1267">
        <v>0</v>
      </c>
    </row>
    <row r="1268" spans="1:9" x14ac:dyDescent="0.25">
      <c r="A1268">
        <v>56</v>
      </c>
      <c r="B1268">
        <v>0</v>
      </c>
      <c r="C1268">
        <v>2</v>
      </c>
      <c r="D1268">
        <v>1</v>
      </c>
      <c r="E1268">
        <v>0</v>
      </c>
      <c r="F1268">
        <v>0</v>
      </c>
      <c r="G1268">
        <v>8739</v>
      </c>
      <c r="H1268">
        <v>0</v>
      </c>
      <c r="I1268">
        <v>0</v>
      </c>
    </row>
    <row r="1269" spans="1:9" x14ac:dyDescent="0.25">
      <c r="A1269">
        <v>56</v>
      </c>
      <c r="B1269">
        <v>0</v>
      </c>
      <c r="C1269">
        <v>3</v>
      </c>
      <c r="D1269">
        <v>5</v>
      </c>
      <c r="E1269">
        <v>0</v>
      </c>
      <c r="F1269">
        <v>0</v>
      </c>
      <c r="G1269">
        <v>12749</v>
      </c>
      <c r="H1269">
        <v>0</v>
      </c>
      <c r="I1269">
        <v>0</v>
      </c>
    </row>
    <row r="1270" spans="1:9" x14ac:dyDescent="0.25">
      <c r="A1270">
        <v>56</v>
      </c>
      <c r="B1270">
        <v>1</v>
      </c>
      <c r="C1270">
        <v>32</v>
      </c>
      <c r="D1270">
        <v>5</v>
      </c>
      <c r="E1270">
        <v>2</v>
      </c>
      <c r="F1270">
        <v>0</v>
      </c>
      <c r="G1270">
        <v>81894</v>
      </c>
      <c r="H1270">
        <v>0</v>
      </c>
      <c r="I1270">
        <v>0</v>
      </c>
    </row>
    <row r="1271" spans="1:9" x14ac:dyDescent="0.25">
      <c r="A1271">
        <v>56</v>
      </c>
      <c r="B1271">
        <v>1</v>
      </c>
      <c r="C1271">
        <v>6</v>
      </c>
      <c r="D1271">
        <v>6</v>
      </c>
      <c r="E1271">
        <v>5</v>
      </c>
      <c r="F1271">
        <v>0</v>
      </c>
      <c r="G1271">
        <v>16595</v>
      </c>
      <c r="H1271">
        <v>0</v>
      </c>
      <c r="I1271">
        <v>0</v>
      </c>
    </row>
    <row r="1272" spans="1:9" x14ac:dyDescent="0.25">
      <c r="A1272">
        <v>56</v>
      </c>
      <c r="B1272">
        <v>0</v>
      </c>
      <c r="C1272">
        <v>10</v>
      </c>
      <c r="D1272">
        <v>4</v>
      </c>
      <c r="E1272">
        <v>0</v>
      </c>
      <c r="F1272">
        <v>0</v>
      </c>
      <c r="G1272">
        <v>21599</v>
      </c>
      <c r="H1272">
        <v>0</v>
      </c>
      <c r="I1272">
        <v>0</v>
      </c>
    </row>
    <row r="1273" spans="1:9" x14ac:dyDescent="0.25">
      <c r="A1273">
        <v>56</v>
      </c>
      <c r="B1273">
        <v>1</v>
      </c>
      <c r="C1273">
        <v>5</v>
      </c>
      <c r="D1273">
        <v>4</v>
      </c>
      <c r="E1273">
        <v>0</v>
      </c>
      <c r="F1273">
        <v>0</v>
      </c>
      <c r="G1273">
        <v>17744</v>
      </c>
      <c r="H1273">
        <v>0</v>
      </c>
      <c r="I1273">
        <v>0</v>
      </c>
    </row>
    <row r="1274" spans="1:9" x14ac:dyDescent="0.25">
      <c r="A1274">
        <v>56</v>
      </c>
      <c r="B1274">
        <v>1</v>
      </c>
      <c r="C1274">
        <v>9</v>
      </c>
      <c r="D1274">
        <v>4</v>
      </c>
      <c r="E1274">
        <v>3</v>
      </c>
      <c r="F1274">
        <v>0</v>
      </c>
      <c r="G1274">
        <v>24516</v>
      </c>
      <c r="H1274">
        <v>0</v>
      </c>
      <c r="I1274">
        <v>0</v>
      </c>
    </row>
    <row r="1275" spans="1:9" x14ac:dyDescent="0.25">
      <c r="A1275">
        <v>56</v>
      </c>
      <c r="B1275">
        <v>1</v>
      </c>
      <c r="C1275">
        <v>24</v>
      </c>
      <c r="D1275">
        <v>0</v>
      </c>
      <c r="E1275">
        <v>1</v>
      </c>
      <c r="F1275">
        <v>0</v>
      </c>
      <c r="G1275">
        <v>58437</v>
      </c>
      <c r="H1275">
        <v>0</v>
      </c>
      <c r="I1275">
        <v>0</v>
      </c>
    </row>
    <row r="1276" spans="1:9" x14ac:dyDescent="0.25">
      <c r="A1276">
        <v>56</v>
      </c>
      <c r="B1276">
        <v>0</v>
      </c>
      <c r="C1276">
        <v>3</v>
      </c>
      <c r="D1276">
        <v>3</v>
      </c>
      <c r="E1276">
        <v>1</v>
      </c>
      <c r="F1276">
        <v>0</v>
      </c>
      <c r="G1276">
        <v>13887</v>
      </c>
      <c r="H1276">
        <v>1</v>
      </c>
      <c r="I1276">
        <v>0</v>
      </c>
    </row>
    <row r="1277" spans="1:9" x14ac:dyDescent="0.25">
      <c r="A1277">
        <v>56</v>
      </c>
      <c r="B1277">
        <v>0</v>
      </c>
      <c r="C1277">
        <v>9</v>
      </c>
      <c r="D1277">
        <v>1</v>
      </c>
      <c r="E1277">
        <v>2</v>
      </c>
      <c r="F1277">
        <v>0</v>
      </c>
      <c r="G1277">
        <v>68413</v>
      </c>
      <c r="H1277">
        <v>1</v>
      </c>
      <c r="I1277">
        <v>0</v>
      </c>
    </row>
    <row r="1278" spans="1:9" x14ac:dyDescent="0.25">
      <c r="A1278">
        <v>56</v>
      </c>
      <c r="B1278">
        <v>0</v>
      </c>
      <c r="C1278">
        <v>27</v>
      </c>
      <c r="D1278">
        <v>4</v>
      </c>
      <c r="E1278">
        <v>6</v>
      </c>
      <c r="F1278">
        <v>0</v>
      </c>
      <c r="G1278">
        <v>111626</v>
      </c>
      <c r="H1278">
        <v>1</v>
      </c>
      <c r="I1278">
        <v>0</v>
      </c>
    </row>
    <row r="1279" spans="1:9" x14ac:dyDescent="0.25">
      <c r="A1279">
        <v>56</v>
      </c>
      <c r="B1279">
        <v>1</v>
      </c>
      <c r="C1279">
        <v>5</v>
      </c>
      <c r="D1279">
        <v>5</v>
      </c>
      <c r="E1279">
        <v>6</v>
      </c>
      <c r="F1279">
        <v>0</v>
      </c>
      <c r="G1279">
        <v>40733</v>
      </c>
      <c r="H1279">
        <v>1</v>
      </c>
      <c r="I1279">
        <v>0</v>
      </c>
    </row>
    <row r="1280" spans="1:9" x14ac:dyDescent="0.25">
      <c r="A1280">
        <v>55</v>
      </c>
      <c r="B1280">
        <v>1</v>
      </c>
      <c r="C1280">
        <v>2</v>
      </c>
      <c r="D1280">
        <v>3</v>
      </c>
      <c r="E1280">
        <v>0</v>
      </c>
      <c r="F1280">
        <v>0</v>
      </c>
      <c r="G1280">
        <v>5051</v>
      </c>
      <c r="H1280">
        <v>0</v>
      </c>
      <c r="I1280">
        <v>0</v>
      </c>
    </row>
    <row r="1281" spans="1:9" x14ac:dyDescent="0.25">
      <c r="A1281">
        <v>55</v>
      </c>
      <c r="B1281">
        <v>1</v>
      </c>
      <c r="C1281">
        <v>2</v>
      </c>
      <c r="D1281">
        <v>4</v>
      </c>
      <c r="E1281">
        <v>0</v>
      </c>
      <c r="F1281">
        <v>0</v>
      </c>
      <c r="G1281">
        <v>11091</v>
      </c>
      <c r="H1281">
        <v>0</v>
      </c>
      <c r="I1281">
        <v>0</v>
      </c>
    </row>
    <row r="1282" spans="1:9" x14ac:dyDescent="0.25">
      <c r="A1282">
        <v>55</v>
      </c>
      <c r="B1282">
        <v>0</v>
      </c>
      <c r="C1282">
        <v>3</v>
      </c>
      <c r="D1282">
        <v>6</v>
      </c>
      <c r="E1282">
        <v>0</v>
      </c>
      <c r="F1282">
        <v>0</v>
      </c>
      <c r="G1282">
        <v>11040</v>
      </c>
      <c r="H1282">
        <v>0</v>
      </c>
      <c r="I1282">
        <v>0</v>
      </c>
    </row>
    <row r="1283" spans="1:9" x14ac:dyDescent="0.25">
      <c r="A1283">
        <v>55</v>
      </c>
      <c r="B1283">
        <v>1</v>
      </c>
      <c r="C1283">
        <v>2</v>
      </c>
      <c r="D1283">
        <v>2</v>
      </c>
      <c r="E1283">
        <v>0</v>
      </c>
      <c r="F1283">
        <v>0</v>
      </c>
      <c r="G1283">
        <v>4217</v>
      </c>
      <c r="H1283">
        <v>0</v>
      </c>
      <c r="I1283">
        <v>0</v>
      </c>
    </row>
    <row r="1284" spans="1:9" x14ac:dyDescent="0.25">
      <c r="A1284">
        <v>55</v>
      </c>
      <c r="B1284">
        <v>1</v>
      </c>
      <c r="C1284">
        <v>6</v>
      </c>
      <c r="D1284">
        <v>3</v>
      </c>
      <c r="E1284">
        <v>0</v>
      </c>
      <c r="F1284">
        <v>0</v>
      </c>
      <c r="G1284">
        <v>12099</v>
      </c>
      <c r="H1284">
        <v>0</v>
      </c>
      <c r="I1284">
        <v>0</v>
      </c>
    </row>
    <row r="1285" spans="1:9" x14ac:dyDescent="0.25">
      <c r="A1285">
        <v>55</v>
      </c>
      <c r="B1285">
        <v>1</v>
      </c>
      <c r="C1285">
        <v>1</v>
      </c>
      <c r="D1285">
        <v>5</v>
      </c>
      <c r="E1285">
        <v>0</v>
      </c>
      <c r="F1285">
        <v>0</v>
      </c>
      <c r="G1285">
        <v>7634</v>
      </c>
      <c r="H1285">
        <v>0</v>
      </c>
      <c r="I1285">
        <v>0</v>
      </c>
    </row>
    <row r="1286" spans="1:9" x14ac:dyDescent="0.25">
      <c r="A1286">
        <v>55</v>
      </c>
      <c r="B1286">
        <v>1</v>
      </c>
      <c r="C1286">
        <v>2</v>
      </c>
      <c r="D1286">
        <v>6</v>
      </c>
      <c r="E1286">
        <v>0</v>
      </c>
      <c r="F1286">
        <v>0</v>
      </c>
      <c r="G1286">
        <v>6237</v>
      </c>
      <c r="H1286">
        <v>0</v>
      </c>
      <c r="I1286">
        <v>0</v>
      </c>
    </row>
    <row r="1287" spans="1:9" x14ac:dyDescent="0.25">
      <c r="A1287">
        <v>55</v>
      </c>
      <c r="B1287">
        <v>1</v>
      </c>
      <c r="C1287">
        <v>6</v>
      </c>
      <c r="D1287">
        <v>4</v>
      </c>
      <c r="E1287">
        <v>0</v>
      </c>
      <c r="F1287">
        <v>0</v>
      </c>
      <c r="G1287">
        <v>10907</v>
      </c>
      <c r="H1287">
        <v>0</v>
      </c>
      <c r="I1287">
        <v>0</v>
      </c>
    </row>
    <row r="1288" spans="1:9" x14ac:dyDescent="0.25">
      <c r="A1288">
        <v>55</v>
      </c>
      <c r="B1288">
        <v>0</v>
      </c>
      <c r="C1288">
        <v>5</v>
      </c>
      <c r="D1288">
        <v>5</v>
      </c>
      <c r="E1288">
        <v>1</v>
      </c>
      <c r="F1288">
        <v>0</v>
      </c>
      <c r="G1288">
        <v>13962</v>
      </c>
      <c r="H1288">
        <v>0</v>
      </c>
      <c r="I1288">
        <v>0</v>
      </c>
    </row>
    <row r="1289" spans="1:9" x14ac:dyDescent="0.25">
      <c r="A1289">
        <v>55</v>
      </c>
      <c r="B1289">
        <v>0</v>
      </c>
      <c r="C1289">
        <v>2</v>
      </c>
      <c r="D1289">
        <v>6</v>
      </c>
      <c r="E1289">
        <v>0</v>
      </c>
      <c r="F1289">
        <v>0</v>
      </c>
      <c r="G1289">
        <v>11955</v>
      </c>
      <c r="H1289">
        <v>0</v>
      </c>
      <c r="I1289">
        <v>0</v>
      </c>
    </row>
    <row r="1290" spans="1:9" x14ac:dyDescent="0.25">
      <c r="A1290">
        <v>55</v>
      </c>
      <c r="B1290">
        <v>0</v>
      </c>
      <c r="C1290">
        <v>2</v>
      </c>
      <c r="D1290">
        <v>8</v>
      </c>
      <c r="E1290">
        <v>0</v>
      </c>
      <c r="F1290">
        <v>0</v>
      </c>
      <c r="G1290">
        <v>12056</v>
      </c>
      <c r="H1290">
        <v>0</v>
      </c>
      <c r="I1290">
        <v>0</v>
      </c>
    </row>
    <row r="1291" spans="1:9" x14ac:dyDescent="0.25">
      <c r="A1291">
        <v>55</v>
      </c>
      <c r="B1291">
        <v>1</v>
      </c>
      <c r="C1291">
        <v>3</v>
      </c>
      <c r="D1291">
        <v>2</v>
      </c>
      <c r="E1291">
        <v>1</v>
      </c>
      <c r="F1291">
        <v>0</v>
      </c>
      <c r="G1291">
        <v>13338</v>
      </c>
      <c r="H1291">
        <v>0</v>
      </c>
      <c r="I1291">
        <v>0</v>
      </c>
    </row>
    <row r="1292" spans="1:9" x14ac:dyDescent="0.25">
      <c r="A1292">
        <v>55</v>
      </c>
      <c r="B1292">
        <v>0</v>
      </c>
      <c r="C1292">
        <v>12</v>
      </c>
      <c r="D1292">
        <v>5</v>
      </c>
      <c r="E1292">
        <v>1</v>
      </c>
      <c r="F1292">
        <v>0</v>
      </c>
      <c r="G1292">
        <v>33055</v>
      </c>
      <c r="H1292">
        <v>0</v>
      </c>
      <c r="I1292">
        <v>0</v>
      </c>
    </row>
    <row r="1293" spans="1:9" x14ac:dyDescent="0.25">
      <c r="A1293">
        <v>55</v>
      </c>
      <c r="B1293">
        <v>0</v>
      </c>
      <c r="C1293">
        <v>4</v>
      </c>
      <c r="D1293">
        <v>4</v>
      </c>
      <c r="E1293">
        <v>0</v>
      </c>
      <c r="F1293">
        <v>0</v>
      </c>
      <c r="G1293">
        <v>15246</v>
      </c>
      <c r="H1293">
        <v>0</v>
      </c>
      <c r="I1293">
        <v>0</v>
      </c>
    </row>
    <row r="1294" spans="1:9" x14ac:dyDescent="0.25">
      <c r="A1294">
        <v>55</v>
      </c>
      <c r="B1294">
        <v>0</v>
      </c>
      <c r="C1294">
        <v>2</v>
      </c>
      <c r="D1294">
        <v>3</v>
      </c>
      <c r="E1294">
        <v>0</v>
      </c>
      <c r="F1294">
        <v>0</v>
      </c>
      <c r="G1294">
        <v>15776</v>
      </c>
      <c r="H1294">
        <v>0</v>
      </c>
      <c r="I1294">
        <v>0</v>
      </c>
    </row>
    <row r="1295" spans="1:9" x14ac:dyDescent="0.25">
      <c r="A1295">
        <v>55</v>
      </c>
      <c r="B1295">
        <v>1</v>
      </c>
      <c r="C1295">
        <v>1</v>
      </c>
      <c r="D1295">
        <v>2</v>
      </c>
      <c r="E1295">
        <v>0</v>
      </c>
      <c r="F1295">
        <v>0</v>
      </c>
      <c r="G1295">
        <v>12873</v>
      </c>
      <c r="H1295">
        <v>0</v>
      </c>
      <c r="I1295">
        <v>0</v>
      </c>
    </row>
    <row r="1296" spans="1:9" x14ac:dyDescent="0.25">
      <c r="A1296">
        <v>55</v>
      </c>
      <c r="B1296">
        <v>1</v>
      </c>
      <c r="C1296">
        <v>7</v>
      </c>
      <c r="D1296">
        <v>6</v>
      </c>
      <c r="E1296">
        <v>0</v>
      </c>
      <c r="F1296">
        <v>0</v>
      </c>
      <c r="G1296">
        <v>26683</v>
      </c>
      <c r="H1296">
        <v>0</v>
      </c>
      <c r="I1296">
        <v>0</v>
      </c>
    </row>
    <row r="1297" spans="1:9" x14ac:dyDescent="0.25">
      <c r="A1297">
        <v>55</v>
      </c>
      <c r="B1297">
        <v>1</v>
      </c>
      <c r="C1297">
        <v>11</v>
      </c>
      <c r="D1297">
        <v>2</v>
      </c>
      <c r="E1297">
        <v>0</v>
      </c>
      <c r="F1297">
        <v>0</v>
      </c>
      <c r="G1297">
        <v>22923</v>
      </c>
      <c r="H1297">
        <v>0</v>
      </c>
      <c r="I1297">
        <v>0</v>
      </c>
    </row>
    <row r="1298" spans="1:9" x14ac:dyDescent="0.25">
      <c r="A1298">
        <v>55</v>
      </c>
      <c r="B1298">
        <v>0</v>
      </c>
      <c r="C1298">
        <v>15</v>
      </c>
      <c r="D1298">
        <v>4</v>
      </c>
      <c r="E1298">
        <v>0</v>
      </c>
      <c r="F1298">
        <v>0</v>
      </c>
      <c r="G1298">
        <v>30483</v>
      </c>
      <c r="H1298">
        <v>0</v>
      </c>
      <c r="I1298">
        <v>0</v>
      </c>
    </row>
    <row r="1299" spans="1:9" x14ac:dyDescent="0.25">
      <c r="A1299">
        <v>55</v>
      </c>
      <c r="B1299">
        <v>0</v>
      </c>
      <c r="C1299">
        <v>5</v>
      </c>
      <c r="D1299">
        <v>4</v>
      </c>
      <c r="E1299">
        <v>0</v>
      </c>
      <c r="F1299">
        <v>0</v>
      </c>
      <c r="G1299">
        <v>27600</v>
      </c>
      <c r="H1299">
        <v>0</v>
      </c>
      <c r="I1299">
        <v>0</v>
      </c>
    </row>
    <row r="1300" spans="1:9" x14ac:dyDescent="0.25">
      <c r="A1300">
        <v>55</v>
      </c>
      <c r="B1300">
        <v>0</v>
      </c>
      <c r="C1300">
        <v>1</v>
      </c>
      <c r="D1300">
        <v>5</v>
      </c>
      <c r="E1300">
        <v>0</v>
      </c>
      <c r="F1300">
        <v>0</v>
      </c>
      <c r="G1300">
        <v>5491</v>
      </c>
      <c r="H1300">
        <v>0</v>
      </c>
      <c r="I1300">
        <v>0</v>
      </c>
    </row>
    <row r="1301" spans="1:9" x14ac:dyDescent="0.25">
      <c r="A1301">
        <v>55</v>
      </c>
      <c r="B1301">
        <v>0</v>
      </c>
      <c r="C1301">
        <v>2</v>
      </c>
      <c r="D1301">
        <v>4</v>
      </c>
      <c r="E1301">
        <v>0</v>
      </c>
      <c r="F1301">
        <v>0</v>
      </c>
      <c r="G1301">
        <v>7557</v>
      </c>
      <c r="H1301">
        <v>0</v>
      </c>
      <c r="I1301">
        <v>0</v>
      </c>
    </row>
    <row r="1302" spans="1:9" x14ac:dyDescent="0.25">
      <c r="A1302">
        <v>55</v>
      </c>
      <c r="B1302">
        <v>1</v>
      </c>
      <c r="C1302">
        <v>8</v>
      </c>
      <c r="D1302">
        <v>5</v>
      </c>
      <c r="E1302">
        <v>0</v>
      </c>
      <c r="F1302">
        <v>0</v>
      </c>
      <c r="G1302">
        <v>14093</v>
      </c>
      <c r="H1302">
        <v>0</v>
      </c>
      <c r="I1302">
        <v>0</v>
      </c>
    </row>
    <row r="1303" spans="1:9" x14ac:dyDescent="0.25">
      <c r="A1303">
        <v>55</v>
      </c>
      <c r="B1303">
        <v>1</v>
      </c>
      <c r="C1303">
        <v>3</v>
      </c>
      <c r="D1303">
        <v>6</v>
      </c>
      <c r="E1303">
        <v>0</v>
      </c>
      <c r="F1303">
        <v>0</v>
      </c>
      <c r="G1303">
        <v>24765</v>
      </c>
      <c r="H1303">
        <v>0</v>
      </c>
      <c r="I1303">
        <v>0</v>
      </c>
    </row>
    <row r="1304" spans="1:9" x14ac:dyDescent="0.25">
      <c r="A1304">
        <v>55</v>
      </c>
      <c r="B1304">
        <v>1</v>
      </c>
      <c r="C1304">
        <v>9</v>
      </c>
      <c r="D1304">
        <v>3</v>
      </c>
      <c r="E1304">
        <v>1</v>
      </c>
      <c r="F1304">
        <v>0</v>
      </c>
      <c r="G1304">
        <v>21921</v>
      </c>
      <c r="H1304">
        <v>0</v>
      </c>
      <c r="I1304">
        <v>0</v>
      </c>
    </row>
    <row r="1305" spans="1:9" x14ac:dyDescent="0.25">
      <c r="A1305">
        <v>55</v>
      </c>
      <c r="B1305">
        <v>1</v>
      </c>
      <c r="C1305">
        <v>7</v>
      </c>
      <c r="D1305">
        <v>6</v>
      </c>
      <c r="E1305">
        <v>2</v>
      </c>
      <c r="F1305">
        <v>0</v>
      </c>
      <c r="G1305">
        <v>29783</v>
      </c>
      <c r="H1305">
        <v>0</v>
      </c>
      <c r="I1305">
        <v>0</v>
      </c>
    </row>
    <row r="1306" spans="1:9" x14ac:dyDescent="0.25">
      <c r="A1306">
        <v>55</v>
      </c>
      <c r="B1306">
        <v>0</v>
      </c>
      <c r="C1306">
        <v>2</v>
      </c>
      <c r="D1306">
        <v>3</v>
      </c>
      <c r="E1306">
        <v>0</v>
      </c>
      <c r="F1306">
        <v>0</v>
      </c>
      <c r="G1306">
        <v>10337</v>
      </c>
      <c r="H1306">
        <v>0</v>
      </c>
      <c r="I1306">
        <v>0</v>
      </c>
    </row>
    <row r="1307" spans="1:9" x14ac:dyDescent="0.25">
      <c r="A1307">
        <v>55</v>
      </c>
      <c r="B1307">
        <v>0</v>
      </c>
      <c r="C1307">
        <v>3</v>
      </c>
      <c r="D1307">
        <v>3</v>
      </c>
      <c r="E1307">
        <v>3</v>
      </c>
      <c r="F1307">
        <v>0</v>
      </c>
      <c r="G1307">
        <v>27009</v>
      </c>
      <c r="H1307">
        <v>0</v>
      </c>
      <c r="I1307">
        <v>0</v>
      </c>
    </row>
    <row r="1308" spans="1:9" x14ac:dyDescent="0.25">
      <c r="A1308">
        <v>55</v>
      </c>
      <c r="B1308">
        <v>1</v>
      </c>
      <c r="C1308">
        <v>3</v>
      </c>
      <c r="D1308">
        <v>3</v>
      </c>
      <c r="E1308">
        <v>0</v>
      </c>
      <c r="F1308">
        <v>0</v>
      </c>
      <c r="G1308">
        <v>5821</v>
      </c>
      <c r="H1308">
        <v>0</v>
      </c>
      <c r="I1308">
        <v>0</v>
      </c>
    </row>
    <row r="1309" spans="1:9" x14ac:dyDescent="0.25">
      <c r="A1309">
        <v>55</v>
      </c>
      <c r="B1309">
        <v>1</v>
      </c>
      <c r="C1309">
        <v>8</v>
      </c>
      <c r="D1309">
        <v>3</v>
      </c>
      <c r="E1309">
        <v>0</v>
      </c>
      <c r="F1309">
        <v>0</v>
      </c>
      <c r="G1309">
        <v>15750</v>
      </c>
      <c r="H1309">
        <v>0</v>
      </c>
      <c r="I1309">
        <v>0</v>
      </c>
    </row>
    <row r="1310" spans="1:9" x14ac:dyDescent="0.25">
      <c r="A1310">
        <v>55</v>
      </c>
      <c r="B1310">
        <v>0</v>
      </c>
      <c r="C1310">
        <v>3</v>
      </c>
      <c r="D1310">
        <v>2</v>
      </c>
      <c r="E1310">
        <v>0</v>
      </c>
      <c r="F1310">
        <v>0</v>
      </c>
      <c r="G1310">
        <v>7722</v>
      </c>
      <c r="H1310">
        <v>0</v>
      </c>
      <c r="I1310">
        <v>0</v>
      </c>
    </row>
    <row r="1311" spans="1:9" x14ac:dyDescent="0.25">
      <c r="A1311">
        <v>55</v>
      </c>
      <c r="B1311">
        <v>0</v>
      </c>
      <c r="C1311">
        <v>0</v>
      </c>
      <c r="D1311">
        <v>6</v>
      </c>
      <c r="E1311">
        <v>0</v>
      </c>
      <c r="F1311">
        <v>0</v>
      </c>
      <c r="G1311">
        <v>11495</v>
      </c>
      <c r="H1311">
        <v>0</v>
      </c>
      <c r="I1311">
        <v>0</v>
      </c>
    </row>
    <row r="1312" spans="1:9" x14ac:dyDescent="0.25">
      <c r="A1312">
        <v>55</v>
      </c>
      <c r="B1312">
        <v>0</v>
      </c>
      <c r="C1312">
        <v>7</v>
      </c>
      <c r="D1312">
        <v>2</v>
      </c>
      <c r="E1312">
        <v>0</v>
      </c>
      <c r="F1312">
        <v>0</v>
      </c>
      <c r="G1312">
        <v>15806</v>
      </c>
      <c r="H1312">
        <v>0</v>
      </c>
      <c r="I1312">
        <v>0</v>
      </c>
    </row>
    <row r="1313" spans="1:9" x14ac:dyDescent="0.25">
      <c r="A1313">
        <v>55</v>
      </c>
      <c r="B1313">
        <v>1</v>
      </c>
      <c r="C1313">
        <v>7</v>
      </c>
      <c r="D1313">
        <v>4</v>
      </c>
      <c r="E1313">
        <v>0</v>
      </c>
      <c r="F1313">
        <v>0</v>
      </c>
      <c r="G1313">
        <v>10195</v>
      </c>
      <c r="H1313">
        <v>0</v>
      </c>
      <c r="I1313">
        <v>0</v>
      </c>
    </row>
    <row r="1314" spans="1:9" x14ac:dyDescent="0.25">
      <c r="A1314">
        <v>55</v>
      </c>
      <c r="B1314">
        <v>1</v>
      </c>
      <c r="C1314">
        <v>4</v>
      </c>
      <c r="D1314">
        <v>1</v>
      </c>
      <c r="E1314">
        <v>0</v>
      </c>
      <c r="F1314">
        <v>0</v>
      </c>
      <c r="G1314">
        <v>5993</v>
      </c>
      <c r="H1314">
        <v>0</v>
      </c>
      <c r="I1314">
        <v>0</v>
      </c>
    </row>
    <row r="1315" spans="1:9" x14ac:dyDescent="0.25">
      <c r="A1315">
        <v>55</v>
      </c>
      <c r="B1315">
        <v>1</v>
      </c>
      <c r="C1315">
        <v>5</v>
      </c>
      <c r="D1315">
        <v>3</v>
      </c>
      <c r="E1315">
        <v>0</v>
      </c>
      <c r="F1315">
        <v>0</v>
      </c>
      <c r="G1315">
        <v>12391</v>
      </c>
      <c r="H1315">
        <v>0</v>
      </c>
      <c r="I1315">
        <v>0</v>
      </c>
    </row>
    <row r="1316" spans="1:9" x14ac:dyDescent="0.25">
      <c r="A1316">
        <v>55</v>
      </c>
      <c r="B1316">
        <v>1</v>
      </c>
      <c r="C1316">
        <v>2</v>
      </c>
      <c r="D1316">
        <v>4</v>
      </c>
      <c r="E1316">
        <v>0</v>
      </c>
      <c r="F1316">
        <v>0</v>
      </c>
      <c r="G1316">
        <v>6149</v>
      </c>
      <c r="H1316">
        <v>0</v>
      </c>
      <c r="I1316">
        <v>0</v>
      </c>
    </row>
    <row r="1317" spans="1:9" x14ac:dyDescent="0.25">
      <c r="A1317">
        <v>55</v>
      </c>
      <c r="B1317">
        <v>1</v>
      </c>
      <c r="C1317">
        <v>4</v>
      </c>
      <c r="D1317">
        <v>2</v>
      </c>
      <c r="E1317">
        <v>0</v>
      </c>
      <c r="F1317">
        <v>0</v>
      </c>
      <c r="G1317">
        <v>6826</v>
      </c>
      <c r="H1317">
        <v>0</v>
      </c>
      <c r="I1317">
        <v>0</v>
      </c>
    </row>
    <row r="1318" spans="1:9" x14ac:dyDescent="0.25">
      <c r="A1318">
        <v>55</v>
      </c>
      <c r="B1318">
        <v>1</v>
      </c>
      <c r="C1318">
        <v>6</v>
      </c>
      <c r="D1318">
        <v>2</v>
      </c>
      <c r="E1318">
        <v>2</v>
      </c>
      <c r="F1318">
        <v>0</v>
      </c>
      <c r="G1318">
        <v>23291</v>
      </c>
      <c r="H1318">
        <v>0</v>
      </c>
      <c r="I1318">
        <v>0</v>
      </c>
    </row>
    <row r="1319" spans="1:9" x14ac:dyDescent="0.25">
      <c r="A1319">
        <v>55</v>
      </c>
      <c r="B1319">
        <v>0</v>
      </c>
      <c r="C1319">
        <v>4</v>
      </c>
      <c r="D1319">
        <v>7</v>
      </c>
      <c r="E1319">
        <v>1</v>
      </c>
      <c r="F1319">
        <v>0</v>
      </c>
      <c r="G1319">
        <v>27987</v>
      </c>
      <c r="H1319">
        <v>0</v>
      </c>
      <c r="I1319">
        <v>0</v>
      </c>
    </row>
    <row r="1320" spans="1:9" x14ac:dyDescent="0.25">
      <c r="A1320">
        <v>55</v>
      </c>
      <c r="B1320">
        <v>1</v>
      </c>
      <c r="C1320">
        <v>5</v>
      </c>
      <c r="D1320">
        <v>8</v>
      </c>
      <c r="E1320">
        <v>1</v>
      </c>
      <c r="F1320">
        <v>0</v>
      </c>
      <c r="G1320">
        <v>31171</v>
      </c>
      <c r="H1320">
        <v>0</v>
      </c>
      <c r="I1320">
        <v>0</v>
      </c>
    </row>
    <row r="1321" spans="1:9" x14ac:dyDescent="0.25">
      <c r="A1321">
        <v>55</v>
      </c>
      <c r="B1321">
        <v>1</v>
      </c>
      <c r="C1321">
        <v>1</v>
      </c>
      <c r="D1321">
        <v>0</v>
      </c>
      <c r="E1321">
        <v>0</v>
      </c>
      <c r="F1321">
        <v>0</v>
      </c>
      <c r="G1321">
        <v>4595</v>
      </c>
      <c r="H1321">
        <v>0</v>
      </c>
      <c r="I1321">
        <v>0</v>
      </c>
    </row>
    <row r="1322" spans="1:9" x14ac:dyDescent="0.25">
      <c r="A1322">
        <v>55</v>
      </c>
      <c r="B1322">
        <v>0</v>
      </c>
      <c r="C1322">
        <v>2</v>
      </c>
      <c r="D1322">
        <v>0</v>
      </c>
      <c r="E1322">
        <v>1</v>
      </c>
      <c r="F1322">
        <v>0</v>
      </c>
      <c r="G1322">
        <v>10342</v>
      </c>
      <c r="H1322">
        <v>1</v>
      </c>
      <c r="I1322">
        <v>0</v>
      </c>
    </row>
    <row r="1323" spans="1:9" x14ac:dyDescent="0.25">
      <c r="A1323">
        <v>55</v>
      </c>
      <c r="B1323">
        <v>0</v>
      </c>
      <c r="C1323">
        <v>4</v>
      </c>
      <c r="D1323">
        <v>6</v>
      </c>
      <c r="E1323">
        <v>3</v>
      </c>
      <c r="F1323">
        <v>0</v>
      </c>
      <c r="G1323">
        <v>40123</v>
      </c>
      <c r="H1323">
        <v>1</v>
      </c>
      <c r="I1323">
        <v>0</v>
      </c>
    </row>
    <row r="1324" spans="1:9" x14ac:dyDescent="0.25">
      <c r="A1324">
        <v>55</v>
      </c>
      <c r="B1324">
        <v>1</v>
      </c>
      <c r="C1324">
        <v>4</v>
      </c>
      <c r="D1324">
        <v>1</v>
      </c>
      <c r="E1324">
        <v>1</v>
      </c>
      <c r="F1324">
        <v>0</v>
      </c>
      <c r="G1324">
        <v>42664</v>
      </c>
      <c r="H1324">
        <v>1</v>
      </c>
      <c r="I1324">
        <v>0</v>
      </c>
    </row>
    <row r="1325" spans="1:9" x14ac:dyDescent="0.25">
      <c r="A1325">
        <v>55</v>
      </c>
      <c r="B1325">
        <v>1</v>
      </c>
      <c r="C1325">
        <v>6</v>
      </c>
      <c r="D1325">
        <v>1</v>
      </c>
      <c r="E1325">
        <v>1</v>
      </c>
      <c r="F1325">
        <v>0</v>
      </c>
      <c r="G1325">
        <v>28208</v>
      </c>
      <c r="H1325">
        <v>1</v>
      </c>
      <c r="I1325">
        <v>0</v>
      </c>
    </row>
    <row r="1326" spans="1:9" x14ac:dyDescent="0.25">
      <c r="A1326">
        <v>55</v>
      </c>
      <c r="B1326">
        <v>0</v>
      </c>
      <c r="C1326">
        <v>9</v>
      </c>
      <c r="D1326">
        <v>5</v>
      </c>
      <c r="E1326">
        <v>1</v>
      </c>
      <c r="F1326">
        <v>0</v>
      </c>
      <c r="G1326">
        <v>40240</v>
      </c>
      <c r="H1326">
        <v>1</v>
      </c>
      <c r="I1326">
        <v>0</v>
      </c>
    </row>
    <row r="1327" spans="1:9" x14ac:dyDescent="0.25">
      <c r="A1327">
        <v>55</v>
      </c>
      <c r="B1327">
        <v>1</v>
      </c>
      <c r="C1327">
        <v>2</v>
      </c>
      <c r="D1327">
        <v>7</v>
      </c>
      <c r="E1327">
        <v>3</v>
      </c>
      <c r="F1327">
        <v>0</v>
      </c>
      <c r="G1327">
        <v>14389</v>
      </c>
      <c r="H1327">
        <v>1</v>
      </c>
      <c r="I1327">
        <v>0</v>
      </c>
    </row>
    <row r="1328" spans="1:9" x14ac:dyDescent="0.25">
      <c r="A1328">
        <v>55</v>
      </c>
      <c r="B1328">
        <v>1</v>
      </c>
      <c r="C1328">
        <v>8</v>
      </c>
      <c r="D1328">
        <v>6</v>
      </c>
      <c r="E1328">
        <v>2</v>
      </c>
      <c r="F1328">
        <v>0</v>
      </c>
      <c r="G1328">
        <v>51642</v>
      </c>
      <c r="H1328">
        <v>1</v>
      </c>
      <c r="I1328">
        <v>0</v>
      </c>
    </row>
    <row r="1329" spans="1:9" x14ac:dyDescent="0.25">
      <c r="A1329">
        <v>55</v>
      </c>
      <c r="B1329">
        <v>1</v>
      </c>
      <c r="C1329">
        <v>3</v>
      </c>
      <c r="D1329">
        <v>3</v>
      </c>
      <c r="E1329">
        <v>1</v>
      </c>
      <c r="F1329">
        <v>0</v>
      </c>
      <c r="G1329">
        <v>36907</v>
      </c>
      <c r="H1329">
        <v>1</v>
      </c>
      <c r="I1329">
        <v>0</v>
      </c>
    </row>
    <row r="1330" spans="1:9" x14ac:dyDescent="0.25">
      <c r="A1330">
        <v>55</v>
      </c>
      <c r="B1330">
        <v>0</v>
      </c>
      <c r="C1330">
        <v>10</v>
      </c>
      <c r="D1330">
        <v>1</v>
      </c>
      <c r="E1330">
        <v>6</v>
      </c>
      <c r="F1330">
        <v>0</v>
      </c>
      <c r="G1330">
        <v>52955</v>
      </c>
      <c r="H1330">
        <v>1</v>
      </c>
      <c r="I1330">
        <v>0</v>
      </c>
    </row>
    <row r="1331" spans="1:9" x14ac:dyDescent="0.25">
      <c r="A1331">
        <v>54</v>
      </c>
      <c r="B1331">
        <v>1</v>
      </c>
      <c r="C1331">
        <v>2</v>
      </c>
      <c r="D1331">
        <v>2</v>
      </c>
      <c r="E1331">
        <v>0</v>
      </c>
      <c r="F1331">
        <v>0</v>
      </c>
      <c r="G1331">
        <v>6786</v>
      </c>
      <c r="H1331">
        <v>0</v>
      </c>
      <c r="I1331">
        <v>0</v>
      </c>
    </row>
    <row r="1332" spans="1:9" x14ac:dyDescent="0.25">
      <c r="A1332">
        <v>54</v>
      </c>
      <c r="B1332">
        <v>0</v>
      </c>
      <c r="C1332">
        <v>4</v>
      </c>
      <c r="D1332">
        <v>2</v>
      </c>
      <c r="E1332">
        <v>0</v>
      </c>
      <c r="F1332">
        <v>0</v>
      </c>
      <c r="G1332">
        <v>13111</v>
      </c>
      <c r="H1332">
        <v>0</v>
      </c>
      <c r="I1332">
        <v>0</v>
      </c>
    </row>
    <row r="1333" spans="1:9" x14ac:dyDescent="0.25">
      <c r="A1333">
        <v>54</v>
      </c>
      <c r="B1333">
        <v>0</v>
      </c>
      <c r="C1333">
        <v>18</v>
      </c>
      <c r="D1333">
        <v>3</v>
      </c>
      <c r="E1333">
        <v>0</v>
      </c>
      <c r="F1333">
        <v>0</v>
      </c>
      <c r="G1333">
        <v>32567</v>
      </c>
      <c r="H1333">
        <v>0</v>
      </c>
      <c r="I1333">
        <v>0</v>
      </c>
    </row>
    <row r="1334" spans="1:9" x14ac:dyDescent="0.25">
      <c r="A1334">
        <v>54</v>
      </c>
      <c r="B1334">
        <v>0</v>
      </c>
      <c r="C1334">
        <v>6</v>
      </c>
      <c r="D1334">
        <v>5</v>
      </c>
      <c r="E1334">
        <v>0</v>
      </c>
      <c r="F1334">
        <v>0</v>
      </c>
      <c r="G1334">
        <v>15625</v>
      </c>
      <c r="H1334">
        <v>0</v>
      </c>
      <c r="I1334">
        <v>0</v>
      </c>
    </row>
    <row r="1335" spans="1:9" x14ac:dyDescent="0.25">
      <c r="A1335">
        <v>54</v>
      </c>
      <c r="B1335">
        <v>0</v>
      </c>
      <c r="C1335">
        <v>10</v>
      </c>
      <c r="D1335">
        <v>4</v>
      </c>
      <c r="E1335">
        <v>0</v>
      </c>
      <c r="F1335">
        <v>0</v>
      </c>
      <c r="G1335">
        <v>17218</v>
      </c>
      <c r="H1335">
        <v>0</v>
      </c>
      <c r="I1335">
        <v>0</v>
      </c>
    </row>
    <row r="1336" spans="1:9" x14ac:dyDescent="0.25">
      <c r="A1336">
        <v>54</v>
      </c>
      <c r="B1336">
        <v>1</v>
      </c>
      <c r="C1336">
        <v>2</v>
      </c>
      <c r="D1336">
        <v>3</v>
      </c>
      <c r="E1336">
        <v>0</v>
      </c>
      <c r="F1336">
        <v>0</v>
      </c>
      <c r="G1336">
        <v>6632</v>
      </c>
      <c r="H1336">
        <v>0</v>
      </c>
      <c r="I1336">
        <v>0</v>
      </c>
    </row>
    <row r="1337" spans="1:9" x14ac:dyDescent="0.25">
      <c r="A1337">
        <v>54</v>
      </c>
      <c r="B1337">
        <v>0</v>
      </c>
      <c r="C1337">
        <v>11</v>
      </c>
      <c r="D1337">
        <v>3</v>
      </c>
      <c r="E1337">
        <v>0</v>
      </c>
      <c r="F1337">
        <v>0</v>
      </c>
      <c r="G1337">
        <v>21628</v>
      </c>
      <c r="H1337">
        <v>0</v>
      </c>
      <c r="I1337">
        <v>0</v>
      </c>
    </row>
    <row r="1338" spans="1:9" x14ac:dyDescent="0.25">
      <c r="A1338">
        <v>54</v>
      </c>
      <c r="B1338">
        <v>1</v>
      </c>
      <c r="C1338">
        <v>3</v>
      </c>
      <c r="D1338">
        <v>6</v>
      </c>
      <c r="E1338">
        <v>0</v>
      </c>
      <c r="F1338">
        <v>0</v>
      </c>
      <c r="G1338">
        <v>11809</v>
      </c>
      <c r="H1338">
        <v>0</v>
      </c>
      <c r="I1338">
        <v>0</v>
      </c>
    </row>
    <row r="1339" spans="1:9" x14ac:dyDescent="0.25">
      <c r="A1339">
        <v>54</v>
      </c>
      <c r="B1339">
        <v>0</v>
      </c>
      <c r="C1339">
        <v>2</v>
      </c>
      <c r="D1339">
        <v>2</v>
      </c>
      <c r="E1339">
        <v>0</v>
      </c>
      <c r="F1339">
        <v>0</v>
      </c>
      <c r="G1339">
        <v>5856</v>
      </c>
      <c r="H1339">
        <v>0</v>
      </c>
      <c r="I1339">
        <v>0</v>
      </c>
    </row>
    <row r="1340" spans="1:9" x14ac:dyDescent="0.25">
      <c r="A1340">
        <v>54</v>
      </c>
      <c r="B1340">
        <v>0</v>
      </c>
      <c r="C1340">
        <v>3</v>
      </c>
      <c r="D1340">
        <v>3</v>
      </c>
      <c r="E1340">
        <v>0</v>
      </c>
      <c r="F1340">
        <v>0</v>
      </c>
      <c r="G1340">
        <v>4486</v>
      </c>
      <c r="H1340">
        <v>0</v>
      </c>
      <c r="I1340">
        <v>0</v>
      </c>
    </row>
    <row r="1341" spans="1:9" x14ac:dyDescent="0.25">
      <c r="A1341">
        <v>54</v>
      </c>
      <c r="B1341">
        <v>0</v>
      </c>
      <c r="C1341">
        <v>1</v>
      </c>
      <c r="D1341">
        <v>3</v>
      </c>
      <c r="E1341">
        <v>0</v>
      </c>
      <c r="F1341">
        <v>0</v>
      </c>
      <c r="G1341">
        <v>5693</v>
      </c>
      <c r="H1341">
        <v>0</v>
      </c>
      <c r="I1341">
        <v>0</v>
      </c>
    </row>
    <row r="1342" spans="1:9" x14ac:dyDescent="0.25">
      <c r="A1342">
        <v>54</v>
      </c>
      <c r="B1342">
        <v>0</v>
      </c>
      <c r="C1342">
        <v>9</v>
      </c>
      <c r="D1342">
        <v>2</v>
      </c>
      <c r="E1342">
        <v>0</v>
      </c>
      <c r="F1342">
        <v>0</v>
      </c>
      <c r="G1342">
        <v>13384</v>
      </c>
      <c r="H1342">
        <v>0</v>
      </c>
      <c r="I1342">
        <v>0</v>
      </c>
    </row>
    <row r="1343" spans="1:9" x14ac:dyDescent="0.25">
      <c r="A1343">
        <v>54</v>
      </c>
      <c r="B1343">
        <v>0</v>
      </c>
      <c r="C1343">
        <v>2</v>
      </c>
      <c r="D1343">
        <v>4</v>
      </c>
      <c r="E1343">
        <v>0</v>
      </c>
      <c r="F1343">
        <v>0</v>
      </c>
      <c r="G1343">
        <v>13381</v>
      </c>
      <c r="H1343">
        <v>0</v>
      </c>
      <c r="I1343">
        <v>0</v>
      </c>
    </row>
    <row r="1344" spans="1:9" x14ac:dyDescent="0.25">
      <c r="A1344">
        <v>54</v>
      </c>
      <c r="B1344">
        <v>0</v>
      </c>
      <c r="C1344">
        <v>15</v>
      </c>
      <c r="D1344">
        <v>3</v>
      </c>
      <c r="E1344">
        <v>0</v>
      </c>
      <c r="F1344">
        <v>0</v>
      </c>
      <c r="G1344">
        <v>27533</v>
      </c>
      <c r="H1344">
        <v>0</v>
      </c>
      <c r="I1344">
        <v>0</v>
      </c>
    </row>
    <row r="1345" spans="1:9" x14ac:dyDescent="0.25">
      <c r="A1345">
        <v>54</v>
      </c>
      <c r="B1345">
        <v>1</v>
      </c>
      <c r="C1345">
        <v>2</v>
      </c>
      <c r="D1345">
        <v>5</v>
      </c>
      <c r="E1345">
        <v>0</v>
      </c>
      <c r="F1345">
        <v>0</v>
      </c>
      <c r="G1345">
        <v>12039</v>
      </c>
      <c r="H1345">
        <v>0</v>
      </c>
      <c r="I1345">
        <v>0</v>
      </c>
    </row>
    <row r="1346" spans="1:9" x14ac:dyDescent="0.25">
      <c r="A1346">
        <v>54</v>
      </c>
      <c r="B1346">
        <v>1</v>
      </c>
      <c r="C1346">
        <v>5</v>
      </c>
      <c r="D1346">
        <v>6</v>
      </c>
      <c r="E1346">
        <v>0</v>
      </c>
      <c r="F1346">
        <v>0</v>
      </c>
      <c r="G1346">
        <v>13028</v>
      </c>
      <c r="H1346">
        <v>0</v>
      </c>
      <c r="I1346">
        <v>0</v>
      </c>
    </row>
    <row r="1347" spans="1:9" x14ac:dyDescent="0.25">
      <c r="A1347">
        <v>54</v>
      </c>
      <c r="B1347">
        <v>0</v>
      </c>
      <c r="C1347">
        <v>2</v>
      </c>
      <c r="D1347">
        <v>2</v>
      </c>
      <c r="E1347">
        <v>0</v>
      </c>
      <c r="F1347">
        <v>0</v>
      </c>
      <c r="G1347">
        <v>7182</v>
      </c>
      <c r="H1347">
        <v>0</v>
      </c>
      <c r="I1347">
        <v>0</v>
      </c>
    </row>
    <row r="1348" spans="1:9" x14ac:dyDescent="0.25">
      <c r="A1348">
        <v>54</v>
      </c>
      <c r="B1348">
        <v>1</v>
      </c>
      <c r="C1348">
        <v>1</v>
      </c>
      <c r="D1348">
        <v>3</v>
      </c>
      <c r="E1348">
        <v>0</v>
      </c>
      <c r="F1348">
        <v>0</v>
      </c>
      <c r="G1348">
        <v>8855</v>
      </c>
      <c r="H1348">
        <v>0</v>
      </c>
      <c r="I1348">
        <v>0</v>
      </c>
    </row>
    <row r="1349" spans="1:9" x14ac:dyDescent="0.25">
      <c r="A1349">
        <v>54</v>
      </c>
      <c r="B1349">
        <v>0</v>
      </c>
      <c r="C1349">
        <v>8</v>
      </c>
      <c r="D1349">
        <v>2</v>
      </c>
      <c r="E1349">
        <v>0</v>
      </c>
      <c r="F1349">
        <v>0</v>
      </c>
      <c r="G1349">
        <v>15172</v>
      </c>
      <c r="H1349">
        <v>0</v>
      </c>
      <c r="I1349">
        <v>0</v>
      </c>
    </row>
    <row r="1350" spans="1:9" x14ac:dyDescent="0.25">
      <c r="A1350">
        <v>54</v>
      </c>
      <c r="B1350">
        <v>0</v>
      </c>
      <c r="C1350">
        <v>2</v>
      </c>
      <c r="D1350">
        <v>4</v>
      </c>
      <c r="E1350">
        <v>0</v>
      </c>
      <c r="F1350">
        <v>0</v>
      </c>
      <c r="G1350">
        <v>13227</v>
      </c>
      <c r="H1350">
        <v>0</v>
      </c>
      <c r="I1350">
        <v>0</v>
      </c>
    </row>
    <row r="1351" spans="1:9" x14ac:dyDescent="0.25">
      <c r="A1351">
        <v>54</v>
      </c>
      <c r="B1351">
        <v>1</v>
      </c>
      <c r="C1351">
        <v>1</v>
      </c>
      <c r="D1351">
        <v>2</v>
      </c>
      <c r="E1351">
        <v>2</v>
      </c>
      <c r="F1351">
        <v>0</v>
      </c>
      <c r="G1351">
        <v>17202</v>
      </c>
      <c r="H1351">
        <v>0</v>
      </c>
      <c r="I1351">
        <v>0</v>
      </c>
    </row>
    <row r="1352" spans="1:9" x14ac:dyDescent="0.25">
      <c r="A1352">
        <v>54</v>
      </c>
      <c r="B1352">
        <v>1</v>
      </c>
      <c r="C1352">
        <v>1</v>
      </c>
      <c r="D1352">
        <v>7</v>
      </c>
      <c r="E1352">
        <v>0</v>
      </c>
      <c r="F1352">
        <v>0</v>
      </c>
      <c r="G1352">
        <v>12165</v>
      </c>
      <c r="H1352">
        <v>0</v>
      </c>
      <c r="I1352">
        <v>0</v>
      </c>
    </row>
    <row r="1353" spans="1:9" x14ac:dyDescent="0.25">
      <c r="A1353">
        <v>54</v>
      </c>
      <c r="B1353">
        <v>1</v>
      </c>
      <c r="C1353">
        <v>8</v>
      </c>
      <c r="D1353">
        <v>6</v>
      </c>
      <c r="E1353">
        <v>1</v>
      </c>
      <c r="F1353">
        <v>0</v>
      </c>
      <c r="G1353">
        <v>19399</v>
      </c>
      <c r="H1353">
        <v>0</v>
      </c>
      <c r="I1353">
        <v>0</v>
      </c>
    </row>
    <row r="1354" spans="1:9" x14ac:dyDescent="0.25">
      <c r="A1354">
        <v>54</v>
      </c>
      <c r="B1354">
        <v>1</v>
      </c>
      <c r="C1354">
        <v>4</v>
      </c>
      <c r="D1354">
        <v>3</v>
      </c>
      <c r="E1354">
        <v>0</v>
      </c>
      <c r="F1354">
        <v>0</v>
      </c>
      <c r="G1354">
        <v>13649</v>
      </c>
      <c r="H1354">
        <v>0</v>
      </c>
      <c r="I1354">
        <v>0</v>
      </c>
    </row>
    <row r="1355" spans="1:9" x14ac:dyDescent="0.25">
      <c r="A1355">
        <v>54</v>
      </c>
      <c r="B1355">
        <v>0</v>
      </c>
      <c r="C1355">
        <v>5</v>
      </c>
      <c r="D1355">
        <v>5</v>
      </c>
      <c r="E1355">
        <v>0</v>
      </c>
      <c r="F1355">
        <v>0</v>
      </c>
      <c r="G1355">
        <v>13242</v>
      </c>
      <c r="H1355">
        <v>0</v>
      </c>
      <c r="I1355">
        <v>0</v>
      </c>
    </row>
    <row r="1356" spans="1:9" x14ac:dyDescent="0.25">
      <c r="A1356">
        <v>54</v>
      </c>
      <c r="B1356">
        <v>1</v>
      </c>
      <c r="C1356">
        <v>10</v>
      </c>
      <c r="D1356">
        <v>7</v>
      </c>
      <c r="E1356">
        <v>4</v>
      </c>
      <c r="F1356">
        <v>0</v>
      </c>
      <c r="G1356">
        <v>29875</v>
      </c>
      <c r="H1356">
        <v>0</v>
      </c>
      <c r="I1356">
        <v>0</v>
      </c>
    </row>
    <row r="1357" spans="1:9" x14ac:dyDescent="0.25">
      <c r="A1357">
        <v>54</v>
      </c>
      <c r="B1357">
        <v>1</v>
      </c>
      <c r="C1357">
        <v>3</v>
      </c>
      <c r="D1357">
        <v>5</v>
      </c>
      <c r="E1357">
        <v>0</v>
      </c>
      <c r="F1357">
        <v>0</v>
      </c>
      <c r="G1357">
        <v>6786</v>
      </c>
      <c r="H1357">
        <v>0</v>
      </c>
      <c r="I1357">
        <v>0</v>
      </c>
    </row>
    <row r="1358" spans="1:9" x14ac:dyDescent="0.25">
      <c r="A1358">
        <v>54</v>
      </c>
      <c r="B1358">
        <v>1</v>
      </c>
      <c r="C1358">
        <v>10</v>
      </c>
      <c r="D1358">
        <v>2</v>
      </c>
      <c r="E1358">
        <v>0</v>
      </c>
      <c r="F1358">
        <v>0</v>
      </c>
      <c r="G1358">
        <v>18562</v>
      </c>
      <c r="H1358">
        <v>0</v>
      </c>
      <c r="I1358">
        <v>0</v>
      </c>
    </row>
    <row r="1359" spans="1:9" x14ac:dyDescent="0.25">
      <c r="A1359">
        <v>54</v>
      </c>
      <c r="B1359">
        <v>1</v>
      </c>
      <c r="C1359">
        <v>3</v>
      </c>
      <c r="D1359">
        <v>0</v>
      </c>
      <c r="E1359">
        <v>2</v>
      </c>
      <c r="F1359">
        <v>0</v>
      </c>
      <c r="G1359">
        <v>37250</v>
      </c>
      <c r="H1359">
        <v>1</v>
      </c>
      <c r="I1359">
        <v>0</v>
      </c>
    </row>
    <row r="1360" spans="1:9" x14ac:dyDescent="0.25">
      <c r="A1360">
        <v>54</v>
      </c>
      <c r="B1360">
        <v>1</v>
      </c>
      <c r="C1360">
        <v>1</v>
      </c>
      <c r="D1360">
        <v>2</v>
      </c>
      <c r="E1360">
        <v>1</v>
      </c>
      <c r="F1360">
        <v>0</v>
      </c>
      <c r="G1360">
        <v>21475</v>
      </c>
      <c r="H1360">
        <v>1</v>
      </c>
      <c r="I1360">
        <v>0</v>
      </c>
    </row>
    <row r="1361" spans="1:9" x14ac:dyDescent="0.25">
      <c r="A1361">
        <v>54</v>
      </c>
      <c r="B1361">
        <v>0</v>
      </c>
      <c r="C1361">
        <v>1</v>
      </c>
      <c r="D1361">
        <v>2</v>
      </c>
      <c r="E1361">
        <v>3</v>
      </c>
      <c r="F1361">
        <v>0</v>
      </c>
      <c r="G1361">
        <v>8654</v>
      </c>
      <c r="H1361">
        <v>1</v>
      </c>
      <c r="I1361">
        <v>0</v>
      </c>
    </row>
    <row r="1362" spans="1:9" x14ac:dyDescent="0.25">
      <c r="A1362">
        <v>54</v>
      </c>
      <c r="B1362">
        <v>1</v>
      </c>
      <c r="C1362">
        <v>3</v>
      </c>
      <c r="D1362">
        <v>0</v>
      </c>
      <c r="E1362">
        <v>1</v>
      </c>
      <c r="F1362">
        <v>0</v>
      </c>
      <c r="G1362">
        <v>16774</v>
      </c>
      <c r="H1362">
        <v>1</v>
      </c>
      <c r="I1362">
        <v>0</v>
      </c>
    </row>
    <row r="1363" spans="1:9" x14ac:dyDescent="0.25">
      <c r="A1363">
        <v>54</v>
      </c>
      <c r="B1363">
        <v>1</v>
      </c>
      <c r="C1363">
        <v>3</v>
      </c>
      <c r="D1363">
        <v>5</v>
      </c>
      <c r="E1363">
        <v>1</v>
      </c>
      <c r="F1363">
        <v>0</v>
      </c>
      <c r="G1363">
        <v>25013</v>
      </c>
      <c r="H1363">
        <v>1</v>
      </c>
      <c r="I1363">
        <v>0</v>
      </c>
    </row>
    <row r="1364" spans="1:9" x14ac:dyDescent="0.25">
      <c r="A1364">
        <v>54</v>
      </c>
      <c r="B1364">
        <v>0</v>
      </c>
      <c r="C1364">
        <v>2</v>
      </c>
      <c r="D1364">
        <v>3</v>
      </c>
      <c r="E1364">
        <v>2</v>
      </c>
      <c r="F1364">
        <v>0</v>
      </c>
      <c r="G1364">
        <v>12897</v>
      </c>
      <c r="H1364">
        <v>1</v>
      </c>
      <c r="I1364">
        <v>0</v>
      </c>
    </row>
    <row r="1365" spans="1:9" x14ac:dyDescent="0.25">
      <c r="A1365">
        <v>54</v>
      </c>
      <c r="B1365">
        <v>1</v>
      </c>
      <c r="C1365">
        <v>4</v>
      </c>
      <c r="D1365">
        <v>5</v>
      </c>
      <c r="E1365">
        <v>3</v>
      </c>
      <c r="F1365">
        <v>0</v>
      </c>
      <c r="G1365">
        <v>29217</v>
      </c>
      <c r="H1365">
        <v>1</v>
      </c>
      <c r="I1365">
        <v>0</v>
      </c>
    </row>
    <row r="1366" spans="1:9" x14ac:dyDescent="0.25">
      <c r="A1366">
        <v>54</v>
      </c>
      <c r="B1366">
        <v>0</v>
      </c>
      <c r="C1366">
        <v>6</v>
      </c>
      <c r="D1366">
        <v>3</v>
      </c>
      <c r="E1366">
        <v>2</v>
      </c>
      <c r="F1366">
        <v>0</v>
      </c>
      <c r="G1366">
        <v>19138</v>
      </c>
      <c r="H1366">
        <v>1</v>
      </c>
      <c r="I1366">
        <v>0</v>
      </c>
    </row>
    <row r="1367" spans="1:9" x14ac:dyDescent="0.25">
      <c r="A1367">
        <v>54</v>
      </c>
      <c r="B1367">
        <v>1</v>
      </c>
      <c r="C1367">
        <v>2</v>
      </c>
      <c r="D1367">
        <v>0</v>
      </c>
      <c r="E1367">
        <v>1</v>
      </c>
      <c r="F1367">
        <v>0</v>
      </c>
      <c r="G1367">
        <v>10349</v>
      </c>
      <c r="H1367">
        <v>1</v>
      </c>
      <c r="I1367">
        <v>0</v>
      </c>
    </row>
    <row r="1368" spans="1:9" x14ac:dyDescent="0.25">
      <c r="A1368">
        <v>54</v>
      </c>
      <c r="B1368">
        <v>0</v>
      </c>
      <c r="C1368">
        <v>4</v>
      </c>
      <c r="D1368">
        <v>2</v>
      </c>
      <c r="E1368">
        <v>1</v>
      </c>
      <c r="F1368">
        <v>0</v>
      </c>
      <c r="G1368">
        <v>37703</v>
      </c>
      <c r="H1368">
        <v>1</v>
      </c>
      <c r="I1368">
        <v>0</v>
      </c>
    </row>
    <row r="1369" spans="1:9" x14ac:dyDescent="0.25">
      <c r="A1369">
        <v>54</v>
      </c>
      <c r="B1369">
        <v>1</v>
      </c>
      <c r="C1369">
        <v>29</v>
      </c>
      <c r="D1369">
        <v>6</v>
      </c>
      <c r="E1369">
        <v>6</v>
      </c>
      <c r="F1369">
        <v>0</v>
      </c>
      <c r="G1369">
        <v>122860</v>
      </c>
      <c r="H1369">
        <v>1</v>
      </c>
      <c r="I1369">
        <v>0</v>
      </c>
    </row>
    <row r="1370" spans="1:9" x14ac:dyDescent="0.25">
      <c r="A1370">
        <v>53</v>
      </c>
      <c r="B1370">
        <v>1</v>
      </c>
      <c r="C1370">
        <v>7</v>
      </c>
      <c r="D1370">
        <v>5</v>
      </c>
      <c r="E1370">
        <v>0</v>
      </c>
      <c r="F1370">
        <v>0</v>
      </c>
      <c r="G1370">
        <v>11872</v>
      </c>
      <c r="H1370">
        <v>0</v>
      </c>
      <c r="I1370">
        <v>0</v>
      </c>
    </row>
    <row r="1371" spans="1:9" x14ac:dyDescent="0.25">
      <c r="A1371">
        <v>53</v>
      </c>
      <c r="B1371">
        <v>1</v>
      </c>
      <c r="C1371">
        <v>2</v>
      </c>
      <c r="D1371">
        <v>1</v>
      </c>
      <c r="E1371">
        <v>2</v>
      </c>
      <c r="F1371">
        <v>0</v>
      </c>
      <c r="G1371">
        <v>24048</v>
      </c>
      <c r="H1371">
        <v>1</v>
      </c>
      <c r="I1371">
        <v>0</v>
      </c>
    </row>
    <row r="1372" spans="1:9" x14ac:dyDescent="0.25">
      <c r="A1372">
        <v>53</v>
      </c>
      <c r="B1372">
        <v>1</v>
      </c>
      <c r="C1372">
        <v>2</v>
      </c>
      <c r="D1372">
        <v>1</v>
      </c>
      <c r="E1372">
        <v>1</v>
      </c>
      <c r="F1372">
        <v>0</v>
      </c>
      <c r="G1372">
        <v>19768</v>
      </c>
      <c r="H1372">
        <v>1</v>
      </c>
      <c r="I1372">
        <v>0</v>
      </c>
    </row>
    <row r="1373" spans="1:9" x14ac:dyDescent="0.25">
      <c r="A1373">
        <v>53</v>
      </c>
      <c r="B1373">
        <v>0</v>
      </c>
      <c r="C1373">
        <v>3</v>
      </c>
      <c r="D1373">
        <v>5</v>
      </c>
      <c r="E1373">
        <v>2</v>
      </c>
      <c r="F1373">
        <v>0</v>
      </c>
      <c r="G1373">
        <v>47825</v>
      </c>
      <c r="H1373">
        <v>1</v>
      </c>
      <c r="I1373">
        <v>0</v>
      </c>
    </row>
    <row r="1374" spans="1:9" x14ac:dyDescent="0.25">
      <c r="A1374">
        <v>53</v>
      </c>
      <c r="B1374">
        <v>0</v>
      </c>
      <c r="C1374">
        <v>11</v>
      </c>
      <c r="D1374">
        <v>5</v>
      </c>
      <c r="E1374">
        <v>4</v>
      </c>
      <c r="F1374">
        <v>0</v>
      </c>
      <c r="G1374">
        <v>68908</v>
      </c>
      <c r="H1374">
        <v>1</v>
      </c>
      <c r="I1374">
        <v>0</v>
      </c>
    </row>
    <row r="1375" spans="1:9" x14ac:dyDescent="0.25">
      <c r="A1375">
        <v>52</v>
      </c>
      <c r="B1375">
        <v>0</v>
      </c>
      <c r="C1375">
        <v>6</v>
      </c>
      <c r="D1375">
        <v>5</v>
      </c>
      <c r="E1375">
        <v>0</v>
      </c>
      <c r="F1375">
        <v>0</v>
      </c>
      <c r="G1375">
        <v>8251</v>
      </c>
      <c r="H1375">
        <v>0</v>
      </c>
      <c r="I1375">
        <v>0</v>
      </c>
    </row>
    <row r="1376" spans="1:9" x14ac:dyDescent="0.25">
      <c r="A1376">
        <v>52</v>
      </c>
      <c r="B1376">
        <v>1</v>
      </c>
      <c r="C1376">
        <v>4</v>
      </c>
      <c r="D1376">
        <v>6</v>
      </c>
      <c r="E1376">
        <v>0</v>
      </c>
      <c r="F1376">
        <v>0</v>
      </c>
      <c r="G1376">
        <v>8031</v>
      </c>
      <c r="H1376">
        <v>0</v>
      </c>
      <c r="I1376">
        <v>0</v>
      </c>
    </row>
    <row r="1377" spans="1:9" x14ac:dyDescent="0.25">
      <c r="A1377">
        <v>52</v>
      </c>
      <c r="B1377">
        <v>1</v>
      </c>
      <c r="C1377">
        <v>7</v>
      </c>
      <c r="D1377">
        <v>2</v>
      </c>
      <c r="E1377">
        <v>0</v>
      </c>
      <c r="F1377">
        <v>0</v>
      </c>
      <c r="G1377">
        <v>10809</v>
      </c>
      <c r="H1377">
        <v>0</v>
      </c>
      <c r="I1377">
        <v>0</v>
      </c>
    </row>
    <row r="1378" spans="1:9" x14ac:dyDescent="0.25">
      <c r="A1378">
        <v>52</v>
      </c>
      <c r="B1378">
        <v>1</v>
      </c>
      <c r="C1378">
        <v>4</v>
      </c>
      <c r="D1378">
        <v>4</v>
      </c>
      <c r="E1378">
        <v>0</v>
      </c>
      <c r="F1378">
        <v>0</v>
      </c>
      <c r="G1378">
        <v>6662</v>
      </c>
      <c r="H1378">
        <v>0</v>
      </c>
      <c r="I1378">
        <v>0</v>
      </c>
    </row>
    <row r="1379" spans="1:9" x14ac:dyDescent="0.25">
      <c r="A1379">
        <v>52</v>
      </c>
      <c r="B1379">
        <v>0</v>
      </c>
      <c r="C1379">
        <v>3</v>
      </c>
      <c r="D1379">
        <v>5</v>
      </c>
      <c r="E1379">
        <v>0</v>
      </c>
      <c r="F1379">
        <v>0</v>
      </c>
      <c r="G1379">
        <v>18174</v>
      </c>
      <c r="H1379">
        <v>0</v>
      </c>
      <c r="I1379">
        <v>0</v>
      </c>
    </row>
    <row r="1380" spans="1:9" x14ac:dyDescent="0.25">
      <c r="A1380">
        <v>52</v>
      </c>
      <c r="B1380">
        <v>0</v>
      </c>
      <c r="C1380">
        <v>2</v>
      </c>
      <c r="D1380">
        <v>4</v>
      </c>
      <c r="E1380">
        <v>0</v>
      </c>
      <c r="F1380">
        <v>0</v>
      </c>
      <c r="G1380">
        <v>5819</v>
      </c>
      <c r="H1380">
        <v>0</v>
      </c>
      <c r="I1380">
        <v>0</v>
      </c>
    </row>
    <row r="1381" spans="1:9" x14ac:dyDescent="0.25">
      <c r="A1381">
        <v>52</v>
      </c>
      <c r="B1381">
        <v>0</v>
      </c>
      <c r="C1381">
        <v>9</v>
      </c>
      <c r="D1381">
        <v>4</v>
      </c>
      <c r="E1381">
        <v>0</v>
      </c>
      <c r="F1381">
        <v>0</v>
      </c>
      <c r="G1381">
        <v>17727</v>
      </c>
      <c r="H1381">
        <v>0</v>
      </c>
      <c r="I1381">
        <v>0</v>
      </c>
    </row>
    <row r="1382" spans="1:9" x14ac:dyDescent="0.25">
      <c r="A1382">
        <v>52</v>
      </c>
      <c r="B1382">
        <v>0</v>
      </c>
      <c r="C1382">
        <v>5</v>
      </c>
      <c r="D1382">
        <v>4</v>
      </c>
      <c r="E1382">
        <v>0</v>
      </c>
      <c r="F1382">
        <v>0</v>
      </c>
      <c r="G1382">
        <v>17006</v>
      </c>
      <c r="H1382">
        <v>0</v>
      </c>
      <c r="I1382">
        <v>0</v>
      </c>
    </row>
    <row r="1383" spans="1:9" x14ac:dyDescent="0.25">
      <c r="A1383">
        <v>52</v>
      </c>
      <c r="B1383">
        <v>1</v>
      </c>
      <c r="C1383">
        <v>2</v>
      </c>
      <c r="D1383">
        <v>4</v>
      </c>
      <c r="E1383">
        <v>0</v>
      </c>
      <c r="F1383">
        <v>0</v>
      </c>
      <c r="G1383">
        <v>3183</v>
      </c>
      <c r="H1383">
        <v>0</v>
      </c>
      <c r="I1383">
        <v>0</v>
      </c>
    </row>
    <row r="1384" spans="1:9" x14ac:dyDescent="0.25">
      <c r="A1384">
        <v>52</v>
      </c>
      <c r="B1384">
        <v>1</v>
      </c>
      <c r="C1384">
        <v>3</v>
      </c>
      <c r="D1384">
        <v>2</v>
      </c>
      <c r="E1384">
        <v>0</v>
      </c>
      <c r="F1384">
        <v>0</v>
      </c>
      <c r="G1384">
        <v>15042</v>
      </c>
      <c r="H1384">
        <v>0</v>
      </c>
      <c r="I1384">
        <v>0</v>
      </c>
    </row>
    <row r="1385" spans="1:9" x14ac:dyDescent="0.25">
      <c r="A1385">
        <v>52</v>
      </c>
      <c r="B1385">
        <v>0</v>
      </c>
      <c r="C1385">
        <v>2</v>
      </c>
      <c r="D1385">
        <v>3</v>
      </c>
      <c r="E1385">
        <v>0</v>
      </c>
      <c r="F1385">
        <v>0</v>
      </c>
      <c r="G1385">
        <v>10113</v>
      </c>
      <c r="H1385">
        <v>0</v>
      </c>
      <c r="I1385">
        <v>0</v>
      </c>
    </row>
    <row r="1386" spans="1:9" x14ac:dyDescent="0.25">
      <c r="A1386">
        <v>52</v>
      </c>
      <c r="B1386">
        <v>1</v>
      </c>
      <c r="C1386">
        <v>3</v>
      </c>
      <c r="D1386">
        <v>3</v>
      </c>
      <c r="E1386">
        <v>0</v>
      </c>
      <c r="F1386">
        <v>0</v>
      </c>
      <c r="G1386">
        <v>20713</v>
      </c>
      <c r="H1386">
        <v>0</v>
      </c>
      <c r="I1386">
        <v>0</v>
      </c>
    </row>
    <row r="1387" spans="1:9" x14ac:dyDescent="0.25">
      <c r="A1387">
        <v>52</v>
      </c>
      <c r="B1387">
        <v>1</v>
      </c>
      <c r="C1387">
        <v>1</v>
      </c>
      <c r="D1387">
        <v>6</v>
      </c>
      <c r="E1387">
        <v>0</v>
      </c>
      <c r="F1387">
        <v>0</v>
      </c>
      <c r="G1387">
        <v>6119</v>
      </c>
      <c r="H1387">
        <v>0</v>
      </c>
      <c r="I1387">
        <v>0</v>
      </c>
    </row>
    <row r="1388" spans="1:9" x14ac:dyDescent="0.25">
      <c r="A1388">
        <v>52</v>
      </c>
      <c r="B1388">
        <v>0</v>
      </c>
      <c r="C1388">
        <v>4</v>
      </c>
      <c r="D1388">
        <v>4</v>
      </c>
      <c r="E1388">
        <v>1</v>
      </c>
      <c r="F1388">
        <v>0</v>
      </c>
      <c r="G1388">
        <v>24285</v>
      </c>
      <c r="H1388">
        <v>0</v>
      </c>
      <c r="I1388">
        <v>0</v>
      </c>
    </row>
    <row r="1389" spans="1:9" x14ac:dyDescent="0.25">
      <c r="A1389">
        <v>52</v>
      </c>
      <c r="B1389">
        <v>0</v>
      </c>
      <c r="C1389">
        <v>2</v>
      </c>
      <c r="D1389">
        <v>4</v>
      </c>
      <c r="E1389">
        <v>0</v>
      </c>
      <c r="F1389">
        <v>0</v>
      </c>
      <c r="G1389">
        <v>9177</v>
      </c>
      <c r="H1389">
        <v>0</v>
      </c>
      <c r="I1389">
        <v>0</v>
      </c>
    </row>
    <row r="1390" spans="1:9" x14ac:dyDescent="0.25">
      <c r="A1390">
        <v>52</v>
      </c>
      <c r="B1390">
        <v>0</v>
      </c>
      <c r="C1390">
        <v>2</v>
      </c>
      <c r="D1390">
        <v>3</v>
      </c>
      <c r="E1390">
        <v>0</v>
      </c>
      <c r="F1390">
        <v>0</v>
      </c>
      <c r="G1390">
        <v>4919</v>
      </c>
      <c r="H1390">
        <v>0</v>
      </c>
      <c r="I1390">
        <v>0</v>
      </c>
    </row>
    <row r="1391" spans="1:9" x14ac:dyDescent="0.25">
      <c r="A1391">
        <v>52</v>
      </c>
      <c r="B1391">
        <v>0</v>
      </c>
      <c r="C1391">
        <v>5</v>
      </c>
      <c r="D1391">
        <v>4</v>
      </c>
      <c r="E1391">
        <v>0</v>
      </c>
      <c r="F1391">
        <v>0</v>
      </c>
      <c r="G1391">
        <v>20726</v>
      </c>
      <c r="H1391">
        <v>0</v>
      </c>
      <c r="I1391">
        <v>0</v>
      </c>
    </row>
    <row r="1392" spans="1:9" x14ac:dyDescent="0.25">
      <c r="A1392">
        <v>52</v>
      </c>
      <c r="B1392">
        <v>1</v>
      </c>
      <c r="C1392">
        <v>3</v>
      </c>
      <c r="D1392">
        <v>5</v>
      </c>
      <c r="E1392">
        <v>0</v>
      </c>
      <c r="F1392">
        <v>0</v>
      </c>
      <c r="G1392">
        <v>11438</v>
      </c>
      <c r="H1392">
        <v>0</v>
      </c>
      <c r="I1392">
        <v>0</v>
      </c>
    </row>
    <row r="1393" spans="1:9" x14ac:dyDescent="0.25">
      <c r="A1393">
        <v>52</v>
      </c>
      <c r="B1393">
        <v>0</v>
      </c>
      <c r="C1393">
        <v>4</v>
      </c>
      <c r="D1393">
        <v>3</v>
      </c>
      <c r="E1393">
        <v>0</v>
      </c>
      <c r="F1393">
        <v>0</v>
      </c>
      <c r="G1393">
        <v>16284</v>
      </c>
      <c r="H1393">
        <v>0</v>
      </c>
      <c r="I1393">
        <v>0</v>
      </c>
    </row>
    <row r="1394" spans="1:9" x14ac:dyDescent="0.25">
      <c r="A1394">
        <v>52</v>
      </c>
      <c r="B1394">
        <v>1</v>
      </c>
      <c r="C1394">
        <v>9</v>
      </c>
      <c r="D1394">
        <v>3</v>
      </c>
      <c r="E1394">
        <v>0</v>
      </c>
      <c r="F1394">
        <v>0</v>
      </c>
      <c r="G1394">
        <v>33955</v>
      </c>
      <c r="H1394">
        <v>0</v>
      </c>
      <c r="I1394">
        <v>0</v>
      </c>
    </row>
    <row r="1395" spans="1:9" x14ac:dyDescent="0.25">
      <c r="A1395">
        <v>52</v>
      </c>
      <c r="B1395">
        <v>0</v>
      </c>
      <c r="C1395">
        <v>2</v>
      </c>
      <c r="D1395">
        <v>7</v>
      </c>
      <c r="E1395">
        <v>0</v>
      </c>
      <c r="F1395">
        <v>0</v>
      </c>
      <c r="G1395">
        <v>11200</v>
      </c>
      <c r="H1395">
        <v>0</v>
      </c>
      <c r="I1395">
        <v>0</v>
      </c>
    </row>
    <row r="1396" spans="1:9" x14ac:dyDescent="0.25">
      <c r="A1396">
        <v>52</v>
      </c>
      <c r="B1396">
        <v>0</v>
      </c>
      <c r="C1396">
        <v>3</v>
      </c>
      <c r="D1396">
        <v>3</v>
      </c>
      <c r="E1396">
        <v>1</v>
      </c>
      <c r="F1396">
        <v>0</v>
      </c>
      <c r="G1396">
        <v>10114</v>
      </c>
      <c r="H1396">
        <v>0</v>
      </c>
      <c r="I1396">
        <v>0</v>
      </c>
    </row>
    <row r="1397" spans="1:9" x14ac:dyDescent="0.25">
      <c r="A1397">
        <v>52</v>
      </c>
      <c r="B1397">
        <v>0</v>
      </c>
      <c r="C1397">
        <v>4</v>
      </c>
      <c r="D1397">
        <v>3</v>
      </c>
      <c r="E1397">
        <v>0</v>
      </c>
      <c r="F1397">
        <v>0</v>
      </c>
      <c r="G1397">
        <v>7854</v>
      </c>
      <c r="H1397">
        <v>0</v>
      </c>
      <c r="I1397">
        <v>0</v>
      </c>
    </row>
    <row r="1398" spans="1:9" x14ac:dyDescent="0.25">
      <c r="A1398">
        <v>52</v>
      </c>
      <c r="B1398">
        <v>1</v>
      </c>
      <c r="C1398">
        <v>5</v>
      </c>
      <c r="D1398">
        <v>8</v>
      </c>
      <c r="E1398">
        <v>2</v>
      </c>
      <c r="F1398">
        <v>0</v>
      </c>
      <c r="G1398">
        <v>17174</v>
      </c>
      <c r="H1398">
        <v>0</v>
      </c>
      <c r="I1398">
        <v>0</v>
      </c>
    </row>
    <row r="1399" spans="1:9" x14ac:dyDescent="0.25">
      <c r="A1399">
        <v>52</v>
      </c>
      <c r="B1399">
        <v>0</v>
      </c>
      <c r="C1399">
        <v>1</v>
      </c>
      <c r="D1399">
        <v>2</v>
      </c>
      <c r="E1399">
        <v>0</v>
      </c>
      <c r="F1399">
        <v>0</v>
      </c>
      <c r="G1399">
        <v>4140</v>
      </c>
      <c r="H1399">
        <v>0</v>
      </c>
      <c r="I1399">
        <v>0</v>
      </c>
    </row>
    <row r="1400" spans="1:9" x14ac:dyDescent="0.25">
      <c r="A1400">
        <v>52</v>
      </c>
      <c r="B1400">
        <v>1</v>
      </c>
      <c r="C1400">
        <v>7</v>
      </c>
      <c r="D1400">
        <v>6</v>
      </c>
      <c r="E1400">
        <v>0</v>
      </c>
      <c r="F1400">
        <v>0</v>
      </c>
      <c r="G1400">
        <v>18355</v>
      </c>
      <c r="H1400">
        <v>0</v>
      </c>
      <c r="I1400">
        <v>0</v>
      </c>
    </row>
    <row r="1401" spans="1:9" x14ac:dyDescent="0.25">
      <c r="A1401">
        <v>52</v>
      </c>
      <c r="B1401">
        <v>1</v>
      </c>
      <c r="C1401">
        <v>5</v>
      </c>
      <c r="D1401">
        <v>3</v>
      </c>
      <c r="E1401">
        <v>0</v>
      </c>
      <c r="F1401">
        <v>0</v>
      </c>
      <c r="G1401">
        <v>11223</v>
      </c>
      <c r="H1401">
        <v>0</v>
      </c>
      <c r="I1401">
        <v>0</v>
      </c>
    </row>
    <row r="1402" spans="1:9" x14ac:dyDescent="0.25">
      <c r="A1402">
        <v>52</v>
      </c>
      <c r="B1402">
        <v>0</v>
      </c>
      <c r="C1402">
        <v>2</v>
      </c>
      <c r="D1402">
        <v>3</v>
      </c>
      <c r="E1402">
        <v>2</v>
      </c>
      <c r="F1402">
        <v>0</v>
      </c>
      <c r="G1402">
        <v>16922</v>
      </c>
      <c r="H1402">
        <v>1</v>
      </c>
      <c r="I1402">
        <v>0</v>
      </c>
    </row>
    <row r="1403" spans="1:9" x14ac:dyDescent="0.25">
      <c r="A1403">
        <v>52</v>
      </c>
      <c r="B1403">
        <v>0</v>
      </c>
      <c r="C1403">
        <v>11</v>
      </c>
      <c r="D1403">
        <v>0</v>
      </c>
      <c r="E1403">
        <v>1</v>
      </c>
      <c r="F1403">
        <v>0</v>
      </c>
      <c r="G1403">
        <v>138981</v>
      </c>
      <c r="H1403">
        <v>1</v>
      </c>
      <c r="I1403">
        <v>0</v>
      </c>
    </row>
    <row r="1404" spans="1:9" x14ac:dyDescent="0.25">
      <c r="A1404">
        <v>52</v>
      </c>
      <c r="B1404">
        <v>0</v>
      </c>
      <c r="C1404">
        <v>3</v>
      </c>
      <c r="D1404">
        <v>1</v>
      </c>
      <c r="E1404">
        <v>2</v>
      </c>
      <c r="F1404">
        <v>0</v>
      </c>
      <c r="G1404">
        <v>14655</v>
      </c>
      <c r="H1404">
        <v>1</v>
      </c>
      <c r="I1404">
        <v>0</v>
      </c>
    </row>
    <row r="1405" spans="1:9" x14ac:dyDescent="0.25">
      <c r="A1405">
        <v>51</v>
      </c>
      <c r="B1405">
        <v>1</v>
      </c>
      <c r="C1405">
        <v>26</v>
      </c>
      <c r="D1405">
        <v>7</v>
      </c>
      <c r="E1405">
        <v>0</v>
      </c>
      <c r="F1405">
        <v>0</v>
      </c>
      <c r="G1405">
        <v>43360</v>
      </c>
      <c r="H1405">
        <v>0</v>
      </c>
      <c r="I1405">
        <v>0</v>
      </c>
    </row>
    <row r="1406" spans="1:9" x14ac:dyDescent="0.25">
      <c r="A1406">
        <v>51</v>
      </c>
      <c r="B1406">
        <v>1</v>
      </c>
      <c r="C1406">
        <v>7</v>
      </c>
      <c r="D1406">
        <v>5</v>
      </c>
      <c r="E1406">
        <v>0</v>
      </c>
      <c r="F1406">
        <v>0</v>
      </c>
      <c r="G1406">
        <v>13211</v>
      </c>
      <c r="H1406">
        <v>0</v>
      </c>
      <c r="I1406">
        <v>0</v>
      </c>
    </row>
    <row r="1407" spans="1:9" x14ac:dyDescent="0.25">
      <c r="A1407">
        <v>51</v>
      </c>
      <c r="B1407">
        <v>1</v>
      </c>
      <c r="C1407">
        <v>6</v>
      </c>
      <c r="D1407">
        <v>2</v>
      </c>
      <c r="E1407">
        <v>0</v>
      </c>
      <c r="F1407">
        <v>0</v>
      </c>
      <c r="G1407">
        <v>29239</v>
      </c>
      <c r="H1407">
        <v>0</v>
      </c>
      <c r="I1407">
        <v>0</v>
      </c>
    </row>
    <row r="1408" spans="1:9" x14ac:dyDescent="0.25">
      <c r="A1408">
        <v>51</v>
      </c>
      <c r="B1408">
        <v>0</v>
      </c>
      <c r="C1408">
        <v>6</v>
      </c>
      <c r="D1408">
        <v>3</v>
      </c>
      <c r="E1408">
        <v>0</v>
      </c>
      <c r="F1408">
        <v>0</v>
      </c>
      <c r="G1408">
        <v>9546</v>
      </c>
      <c r="H1408">
        <v>0</v>
      </c>
      <c r="I1408">
        <v>0</v>
      </c>
    </row>
    <row r="1409" spans="1:9" x14ac:dyDescent="0.25">
      <c r="A1409">
        <v>51</v>
      </c>
      <c r="B1409">
        <v>1</v>
      </c>
      <c r="C1409">
        <v>5</v>
      </c>
      <c r="D1409">
        <v>5</v>
      </c>
      <c r="E1409">
        <v>0</v>
      </c>
      <c r="F1409">
        <v>0</v>
      </c>
      <c r="G1409">
        <v>6838</v>
      </c>
      <c r="H1409">
        <v>0</v>
      </c>
      <c r="I1409">
        <v>0</v>
      </c>
    </row>
    <row r="1410" spans="1:9" x14ac:dyDescent="0.25">
      <c r="A1410">
        <v>51</v>
      </c>
      <c r="B1410">
        <v>0</v>
      </c>
      <c r="C1410">
        <v>2</v>
      </c>
      <c r="D1410">
        <v>7</v>
      </c>
      <c r="E1410">
        <v>0</v>
      </c>
      <c r="F1410">
        <v>0</v>
      </c>
      <c r="G1410">
        <v>14492</v>
      </c>
      <c r="H1410">
        <v>0</v>
      </c>
      <c r="I1410">
        <v>0</v>
      </c>
    </row>
    <row r="1411" spans="1:9" x14ac:dyDescent="0.25">
      <c r="A1411">
        <v>51</v>
      </c>
      <c r="B1411">
        <v>0</v>
      </c>
      <c r="C1411">
        <v>2</v>
      </c>
      <c r="D1411">
        <v>6</v>
      </c>
      <c r="E1411">
        <v>0</v>
      </c>
      <c r="F1411">
        <v>0</v>
      </c>
      <c r="G1411">
        <v>14141</v>
      </c>
      <c r="H1411">
        <v>0</v>
      </c>
      <c r="I1411">
        <v>0</v>
      </c>
    </row>
    <row r="1412" spans="1:9" x14ac:dyDescent="0.25">
      <c r="A1412">
        <v>51</v>
      </c>
      <c r="B1412">
        <v>0</v>
      </c>
      <c r="C1412">
        <v>5</v>
      </c>
      <c r="D1412">
        <v>4</v>
      </c>
      <c r="E1412">
        <v>0</v>
      </c>
      <c r="F1412">
        <v>0</v>
      </c>
      <c r="G1412">
        <v>22349</v>
      </c>
      <c r="H1412">
        <v>0</v>
      </c>
      <c r="I1412">
        <v>0</v>
      </c>
    </row>
    <row r="1413" spans="1:9" x14ac:dyDescent="0.25">
      <c r="A1413">
        <v>51</v>
      </c>
      <c r="B1413">
        <v>0</v>
      </c>
      <c r="C1413">
        <v>4</v>
      </c>
      <c r="D1413">
        <v>4</v>
      </c>
      <c r="E1413">
        <v>0</v>
      </c>
      <c r="F1413">
        <v>0</v>
      </c>
      <c r="G1413">
        <v>8995</v>
      </c>
      <c r="H1413">
        <v>0</v>
      </c>
      <c r="I1413">
        <v>0</v>
      </c>
    </row>
    <row r="1414" spans="1:9" x14ac:dyDescent="0.25">
      <c r="A1414">
        <v>51</v>
      </c>
      <c r="B1414">
        <v>1</v>
      </c>
      <c r="C1414">
        <v>9</v>
      </c>
      <c r="D1414">
        <v>3</v>
      </c>
      <c r="E1414">
        <v>0</v>
      </c>
      <c r="F1414">
        <v>0</v>
      </c>
      <c r="G1414">
        <v>16373</v>
      </c>
      <c r="H1414">
        <v>0</v>
      </c>
      <c r="I1414">
        <v>0</v>
      </c>
    </row>
    <row r="1415" spans="1:9" x14ac:dyDescent="0.25">
      <c r="A1415">
        <v>51</v>
      </c>
      <c r="B1415">
        <v>0</v>
      </c>
      <c r="C1415">
        <v>4</v>
      </c>
      <c r="D1415">
        <v>4</v>
      </c>
      <c r="E1415">
        <v>0</v>
      </c>
      <c r="F1415">
        <v>0</v>
      </c>
      <c r="G1415">
        <v>5530</v>
      </c>
      <c r="H1415">
        <v>0</v>
      </c>
      <c r="I1415">
        <v>0</v>
      </c>
    </row>
    <row r="1416" spans="1:9" x14ac:dyDescent="0.25">
      <c r="A1416">
        <v>51</v>
      </c>
      <c r="B1416">
        <v>0</v>
      </c>
      <c r="C1416">
        <v>4</v>
      </c>
      <c r="D1416">
        <v>5</v>
      </c>
      <c r="E1416">
        <v>0</v>
      </c>
      <c r="F1416">
        <v>0</v>
      </c>
      <c r="G1416">
        <v>22429</v>
      </c>
      <c r="H1416">
        <v>0</v>
      </c>
      <c r="I1416">
        <v>0</v>
      </c>
    </row>
    <row r="1417" spans="1:9" x14ac:dyDescent="0.25">
      <c r="A1417">
        <v>51</v>
      </c>
      <c r="B1417">
        <v>1</v>
      </c>
      <c r="C1417">
        <v>4</v>
      </c>
      <c r="D1417">
        <v>3</v>
      </c>
      <c r="E1417">
        <v>0</v>
      </c>
      <c r="F1417">
        <v>0</v>
      </c>
      <c r="G1417">
        <v>10120</v>
      </c>
      <c r="H1417">
        <v>0</v>
      </c>
      <c r="I1417">
        <v>0</v>
      </c>
    </row>
    <row r="1418" spans="1:9" x14ac:dyDescent="0.25">
      <c r="A1418">
        <v>51</v>
      </c>
      <c r="B1418">
        <v>0</v>
      </c>
      <c r="C1418">
        <v>9</v>
      </c>
      <c r="D1418">
        <v>2</v>
      </c>
      <c r="E1418">
        <v>1</v>
      </c>
      <c r="F1418">
        <v>0</v>
      </c>
      <c r="G1418">
        <v>31721</v>
      </c>
      <c r="H1418">
        <v>0</v>
      </c>
      <c r="I1418">
        <v>0</v>
      </c>
    </row>
    <row r="1419" spans="1:9" x14ac:dyDescent="0.25">
      <c r="A1419">
        <v>51</v>
      </c>
      <c r="B1419">
        <v>0</v>
      </c>
      <c r="C1419">
        <v>10</v>
      </c>
      <c r="D1419">
        <v>5</v>
      </c>
      <c r="E1419">
        <v>0</v>
      </c>
      <c r="F1419">
        <v>0</v>
      </c>
      <c r="G1419">
        <v>13553</v>
      </c>
      <c r="H1419">
        <v>0</v>
      </c>
      <c r="I1419">
        <v>0</v>
      </c>
    </row>
    <row r="1420" spans="1:9" x14ac:dyDescent="0.25">
      <c r="A1420">
        <v>51</v>
      </c>
      <c r="B1420">
        <v>1</v>
      </c>
      <c r="C1420">
        <v>1</v>
      </c>
      <c r="D1420">
        <v>3</v>
      </c>
      <c r="E1420">
        <v>0</v>
      </c>
      <c r="F1420">
        <v>0</v>
      </c>
      <c r="G1420">
        <v>7153</v>
      </c>
      <c r="H1420">
        <v>0</v>
      </c>
      <c r="I1420">
        <v>0</v>
      </c>
    </row>
    <row r="1421" spans="1:9" x14ac:dyDescent="0.25">
      <c r="A1421">
        <v>51</v>
      </c>
      <c r="B1421">
        <v>0</v>
      </c>
      <c r="C1421">
        <v>5</v>
      </c>
      <c r="D1421">
        <v>2</v>
      </c>
      <c r="E1421">
        <v>0</v>
      </c>
      <c r="F1421">
        <v>0</v>
      </c>
      <c r="G1421">
        <v>16399</v>
      </c>
      <c r="H1421">
        <v>0</v>
      </c>
      <c r="I1421">
        <v>0</v>
      </c>
    </row>
    <row r="1422" spans="1:9" x14ac:dyDescent="0.25">
      <c r="A1422">
        <v>51</v>
      </c>
      <c r="B1422">
        <v>0</v>
      </c>
      <c r="C1422">
        <v>5</v>
      </c>
      <c r="D1422">
        <v>3</v>
      </c>
      <c r="E1422">
        <v>1</v>
      </c>
      <c r="F1422">
        <v>0</v>
      </c>
      <c r="G1422">
        <v>27083</v>
      </c>
      <c r="H1422">
        <v>0</v>
      </c>
      <c r="I1422">
        <v>0</v>
      </c>
    </row>
    <row r="1423" spans="1:9" x14ac:dyDescent="0.25">
      <c r="A1423">
        <v>51</v>
      </c>
      <c r="B1423">
        <v>0</v>
      </c>
      <c r="C1423">
        <v>3</v>
      </c>
      <c r="D1423">
        <v>5</v>
      </c>
      <c r="E1423">
        <v>0</v>
      </c>
      <c r="F1423">
        <v>0</v>
      </c>
      <c r="G1423">
        <v>21810</v>
      </c>
      <c r="H1423">
        <v>0</v>
      </c>
      <c r="I1423">
        <v>0</v>
      </c>
    </row>
    <row r="1424" spans="1:9" x14ac:dyDescent="0.25">
      <c r="A1424">
        <v>51</v>
      </c>
      <c r="B1424">
        <v>0</v>
      </c>
      <c r="C1424">
        <v>3</v>
      </c>
      <c r="D1424">
        <v>4</v>
      </c>
      <c r="E1424">
        <v>0</v>
      </c>
      <c r="F1424">
        <v>0</v>
      </c>
      <c r="G1424">
        <v>13770</v>
      </c>
      <c r="H1424">
        <v>0</v>
      </c>
      <c r="I1424">
        <v>0</v>
      </c>
    </row>
    <row r="1425" spans="1:9" x14ac:dyDescent="0.25">
      <c r="A1425">
        <v>51</v>
      </c>
      <c r="B1425">
        <v>0</v>
      </c>
      <c r="C1425">
        <v>4</v>
      </c>
      <c r="D1425">
        <v>1</v>
      </c>
      <c r="E1425">
        <v>0</v>
      </c>
      <c r="F1425">
        <v>0</v>
      </c>
      <c r="G1425">
        <v>13082</v>
      </c>
      <c r="H1425">
        <v>0</v>
      </c>
      <c r="I1425">
        <v>0</v>
      </c>
    </row>
    <row r="1426" spans="1:9" x14ac:dyDescent="0.25">
      <c r="A1426">
        <v>51</v>
      </c>
      <c r="B1426">
        <v>1</v>
      </c>
      <c r="C1426">
        <v>1</v>
      </c>
      <c r="D1426">
        <v>3</v>
      </c>
      <c r="E1426">
        <v>0</v>
      </c>
      <c r="F1426">
        <v>0</v>
      </c>
      <c r="G1426">
        <v>13045</v>
      </c>
      <c r="H1426">
        <v>0</v>
      </c>
      <c r="I1426">
        <v>0</v>
      </c>
    </row>
    <row r="1427" spans="1:9" x14ac:dyDescent="0.25">
      <c r="A1427">
        <v>51</v>
      </c>
      <c r="B1427">
        <v>0</v>
      </c>
      <c r="C1427">
        <v>2</v>
      </c>
      <c r="D1427">
        <v>1</v>
      </c>
      <c r="E1427">
        <v>0</v>
      </c>
      <c r="F1427">
        <v>0</v>
      </c>
      <c r="G1427">
        <v>4153</v>
      </c>
      <c r="H1427">
        <v>0</v>
      </c>
      <c r="I1427">
        <v>0</v>
      </c>
    </row>
    <row r="1428" spans="1:9" x14ac:dyDescent="0.25">
      <c r="A1428">
        <v>51</v>
      </c>
      <c r="B1428">
        <v>1</v>
      </c>
      <c r="C1428">
        <v>3</v>
      </c>
      <c r="D1428">
        <v>5</v>
      </c>
      <c r="E1428">
        <v>0</v>
      </c>
      <c r="F1428">
        <v>0</v>
      </c>
      <c r="G1428">
        <v>17423</v>
      </c>
      <c r="H1428">
        <v>0</v>
      </c>
      <c r="I1428">
        <v>0</v>
      </c>
    </row>
    <row r="1429" spans="1:9" x14ac:dyDescent="0.25">
      <c r="A1429">
        <v>51</v>
      </c>
      <c r="B1429">
        <v>1</v>
      </c>
      <c r="C1429">
        <v>2</v>
      </c>
      <c r="D1429">
        <v>3</v>
      </c>
      <c r="E1429">
        <v>0</v>
      </c>
      <c r="F1429">
        <v>0</v>
      </c>
      <c r="G1429">
        <v>5928</v>
      </c>
      <c r="H1429">
        <v>0</v>
      </c>
      <c r="I1429">
        <v>0</v>
      </c>
    </row>
    <row r="1430" spans="1:9" x14ac:dyDescent="0.25">
      <c r="A1430">
        <v>51</v>
      </c>
      <c r="B1430">
        <v>0</v>
      </c>
      <c r="C1430">
        <v>4</v>
      </c>
      <c r="D1430">
        <v>7</v>
      </c>
      <c r="E1430">
        <v>1</v>
      </c>
      <c r="F1430">
        <v>0</v>
      </c>
      <c r="G1430">
        <v>19368</v>
      </c>
      <c r="H1430">
        <v>0</v>
      </c>
      <c r="I1430">
        <v>0</v>
      </c>
    </row>
    <row r="1431" spans="1:9" x14ac:dyDescent="0.25">
      <c r="A1431">
        <v>50</v>
      </c>
      <c r="B1431">
        <v>1</v>
      </c>
      <c r="C1431">
        <v>2</v>
      </c>
      <c r="D1431">
        <v>0</v>
      </c>
      <c r="E1431">
        <v>2</v>
      </c>
      <c r="F1431">
        <v>0</v>
      </c>
      <c r="G1431">
        <v>27450</v>
      </c>
      <c r="H1431">
        <v>1</v>
      </c>
      <c r="I1431">
        <v>0</v>
      </c>
    </row>
    <row r="1432" spans="1:9" x14ac:dyDescent="0.25">
      <c r="A1432">
        <v>50</v>
      </c>
      <c r="B1432">
        <v>0</v>
      </c>
      <c r="C1432">
        <v>4</v>
      </c>
      <c r="D1432">
        <v>2</v>
      </c>
      <c r="E1432">
        <v>1</v>
      </c>
      <c r="F1432">
        <v>0</v>
      </c>
      <c r="G1432">
        <v>20143</v>
      </c>
      <c r="H1432">
        <v>1</v>
      </c>
      <c r="I1432">
        <v>0</v>
      </c>
    </row>
    <row r="1433" spans="1:9" x14ac:dyDescent="0.25">
      <c r="A1433">
        <v>50</v>
      </c>
      <c r="B1433">
        <v>1</v>
      </c>
      <c r="C1433">
        <v>3</v>
      </c>
      <c r="D1433">
        <v>7</v>
      </c>
      <c r="E1433">
        <v>2</v>
      </c>
      <c r="F1433">
        <v>0</v>
      </c>
      <c r="G1433">
        <v>22250</v>
      </c>
      <c r="H1433">
        <v>1</v>
      </c>
      <c r="I1433">
        <v>0</v>
      </c>
    </row>
    <row r="1434" spans="1:9" x14ac:dyDescent="0.25">
      <c r="A1434">
        <v>50</v>
      </c>
      <c r="B1434">
        <v>1</v>
      </c>
      <c r="C1434">
        <v>2</v>
      </c>
      <c r="D1434">
        <v>2</v>
      </c>
      <c r="E1434">
        <v>1</v>
      </c>
      <c r="F1434">
        <v>0</v>
      </c>
      <c r="G1434">
        <v>11400</v>
      </c>
      <c r="H1434">
        <v>1</v>
      </c>
      <c r="I1434">
        <v>0</v>
      </c>
    </row>
    <row r="1435" spans="1:9" x14ac:dyDescent="0.25">
      <c r="A1435">
        <v>50</v>
      </c>
      <c r="B1435">
        <v>0</v>
      </c>
      <c r="C1435">
        <v>6</v>
      </c>
      <c r="D1435">
        <v>7</v>
      </c>
      <c r="E1435">
        <v>5</v>
      </c>
      <c r="F1435">
        <v>0</v>
      </c>
      <c r="G1435">
        <v>32268</v>
      </c>
      <c r="H1435">
        <v>1</v>
      </c>
      <c r="I1435">
        <v>0</v>
      </c>
    </row>
    <row r="1436" spans="1:9" x14ac:dyDescent="0.25">
      <c r="A1436">
        <v>50</v>
      </c>
      <c r="B1436">
        <v>1</v>
      </c>
      <c r="C1436">
        <v>5</v>
      </c>
      <c r="D1436">
        <v>8</v>
      </c>
      <c r="E1436">
        <v>1</v>
      </c>
      <c r="F1436">
        <v>0</v>
      </c>
      <c r="G1436">
        <v>31154</v>
      </c>
      <c r="H1436">
        <v>1</v>
      </c>
      <c r="I1436">
        <v>0</v>
      </c>
    </row>
    <row r="1437" spans="1:9" x14ac:dyDescent="0.25">
      <c r="A1437">
        <v>50</v>
      </c>
      <c r="B1437">
        <v>0</v>
      </c>
      <c r="C1437">
        <v>3</v>
      </c>
      <c r="D1437">
        <v>1</v>
      </c>
      <c r="E1437">
        <v>2</v>
      </c>
      <c r="F1437">
        <v>0</v>
      </c>
      <c r="G1437">
        <v>63286</v>
      </c>
      <c r="H1437">
        <v>1</v>
      </c>
      <c r="I1437">
        <v>0</v>
      </c>
    </row>
    <row r="1438" spans="1:9" x14ac:dyDescent="0.25">
      <c r="A1438">
        <v>49</v>
      </c>
      <c r="B1438">
        <v>0</v>
      </c>
      <c r="C1438">
        <v>18</v>
      </c>
      <c r="D1438">
        <v>3</v>
      </c>
      <c r="E1438">
        <v>1</v>
      </c>
      <c r="F1438">
        <v>0</v>
      </c>
      <c r="G1438">
        <v>49168</v>
      </c>
      <c r="H1438">
        <v>0</v>
      </c>
      <c r="I1438">
        <v>0</v>
      </c>
    </row>
    <row r="1439" spans="1:9" x14ac:dyDescent="0.25">
      <c r="A1439">
        <v>49</v>
      </c>
      <c r="B1439">
        <v>1</v>
      </c>
      <c r="C1439">
        <v>3</v>
      </c>
      <c r="D1439">
        <v>2</v>
      </c>
      <c r="E1439">
        <v>1</v>
      </c>
      <c r="F1439">
        <v>0</v>
      </c>
      <c r="G1439">
        <v>17657</v>
      </c>
      <c r="H1439">
        <v>0</v>
      </c>
      <c r="I1439">
        <v>0</v>
      </c>
    </row>
    <row r="1440" spans="1:9" x14ac:dyDescent="0.25">
      <c r="A1440">
        <v>49</v>
      </c>
      <c r="B1440">
        <v>0</v>
      </c>
      <c r="C1440">
        <v>26</v>
      </c>
      <c r="D1440">
        <v>2</v>
      </c>
      <c r="E1440">
        <v>0</v>
      </c>
      <c r="F1440">
        <v>0</v>
      </c>
      <c r="G1440">
        <v>35599</v>
      </c>
      <c r="H1440">
        <v>0</v>
      </c>
      <c r="I1440">
        <v>0</v>
      </c>
    </row>
    <row r="1441" spans="1:9" x14ac:dyDescent="0.25">
      <c r="A1441">
        <v>49</v>
      </c>
      <c r="B1441">
        <v>1</v>
      </c>
      <c r="C1441">
        <v>2</v>
      </c>
      <c r="D1441">
        <v>2</v>
      </c>
      <c r="E1441">
        <v>0</v>
      </c>
      <c r="F1441">
        <v>0</v>
      </c>
      <c r="G1441">
        <v>11257</v>
      </c>
      <c r="H1441">
        <v>0</v>
      </c>
      <c r="I1441">
        <v>0</v>
      </c>
    </row>
    <row r="1442" spans="1:9" x14ac:dyDescent="0.25">
      <c r="A1442">
        <v>49</v>
      </c>
      <c r="B1442">
        <v>0</v>
      </c>
      <c r="C1442">
        <v>7</v>
      </c>
      <c r="D1442">
        <v>4</v>
      </c>
      <c r="E1442">
        <v>0</v>
      </c>
      <c r="F1442">
        <v>0</v>
      </c>
      <c r="G1442">
        <v>10253</v>
      </c>
      <c r="H1442">
        <v>0</v>
      </c>
      <c r="I1442">
        <v>0</v>
      </c>
    </row>
    <row r="1443" spans="1:9" x14ac:dyDescent="0.25">
      <c r="A1443">
        <v>49</v>
      </c>
      <c r="B1443">
        <v>0</v>
      </c>
      <c r="C1443">
        <v>1</v>
      </c>
      <c r="D1443">
        <v>4</v>
      </c>
      <c r="E1443">
        <v>0</v>
      </c>
      <c r="F1443">
        <v>0</v>
      </c>
      <c r="G1443">
        <v>5401</v>
      </c>
      <c r="H1443">
        <v>0</v>
      </c>
      <c r="I1443">
        <v>0</v>
      </c>
    </row>
    <row r="1444" spans="1:9" x14ac:dyDescent="0.25">
      <c r="A1444">
        <v>49</v>
      </c>
      <c r="B1444">
        <v>1</v>
      </c>
      <c r="C1444">
        <v>7</v>
      </c>
      <c r="D1444">
        <v>5</v>
      </c>
      <c r="E1444">
        <v>0</v>
      </c>
      <c r="F1444">
        <v>0</v>
      </c>
      <c r="G1444">
        <v>10942</v>
      </c>
      <c r="H1444">
        <v>0</v>
      </c>
      <c r="I1444">
        <v>0</v>
      </c>
    </row>
    <row r="1445" spans="1:9" x14ac:dyDescent="0.25">
      <c r="A1445">
        <v>49</v>
      </c>
      <c r="B1445">
        <v>0</v>
      </c>
      <c r="C1445">
        <v>7</v>
      </c>
      <c r="D1445">
        <v>5</v>
      </c>
      <c r="E1445">
        <v>0</v>
      </c>
      <c r="F1445">
        <v>0</v>
      </c>
      <c r="G1445">
        <v>9984</v>
      </c>
      <c r="H1445">
        <v>0</v>
      </c>
      <c r="I1445">
        <v>0</v>
      </c>
    </row>
    <row r="1446" spans="1:9" x14ac:dyDescent="0.25">
      <c r="A1446">
        <v>49</v>
      </c>
      <c r="B1446">
        <v>0</v>
      </c>
      <c r="C1446">
        <v>9</v>
      </c>
      <c r="D1446">
        <v>2</v>
      </c>
      <c r="E1446">
        <v>0</v>
      </c>
      <c r="F1446">
        <v>0</v>
      </c>
      <c r="G1446">
        <v>16132</v>
      </c>
      <c r="H1446">
        <v>0</v>
      </c>
      <c r="I1446">
        <v>0</v>
      </c>
    </row>
    <row r="1447" spans="1:9" x14ac:dyDescent="0.25">
      <c r="A1447">
        <v>49</v>
      </c>
      <c r="B1447">
        <v>1</v>
      </c>
      <c r="C1447">
        <v>8</v>
      </c>
      <c r="D1447">
        <v>4</v>
      </c>
      <c r="E1447">
        <v>0</v>
      </c>
      <c r="F1447">
        <v>0</v>
      </c>
      <c r="G1447">
        <v>14336</v>
      </c>
      <c r="H1447">
        <v>0</v>
      </c>
      <c r="I1447">
        <v>0</v>
      </c>
    </row>
    <row r="1448" spans="1:9" x14ac:dyDescent="0.25">
      <c r="A1448">
        <v>49</v>
      </c>
      <c r="B1448">
        <v>1</v>
      </c>
      <c r="C1448">
        <v>2</v>
      </c>
      <c r="D1448">
        <v>3</v>
      </c>
      <c r="E1448">
        <v>0</v>
      </c>
      <c r="F1448">
        <v>0</v>
      </c>
      <c r="G1448">
        <v>8797</v>
      </c>
      <c r="H1448">
        <v>0</v>
      </c>
      <c r="I1448">
        <v>0</v>
      </c>
    </row>
    <row r="1449" spans="1:9" x14ac:dyDescent="0.25">
      <c r="A1449">
        <v>49</v>
      </c>
      <c r="B1449">
        <v>0</v>
      </c>
      <c r="C1449">
        <v>13</v>
      </c>
      <c r="D1449">
        <v>3</v>
      </c>
      <c r="E1449">
        <v>0</v>
      </c>
      <c r="F1449">
        <v>0</v>
      </c>
      <c r="G1449">
        <v>22149</v>
      </c>
      <c r="H1449">
        <v>0</v>
      </c>
      <c r="I1449">
        <v>0</v>
      </c>
    </row>
    <row r="1450" spans="1:9" x14ac:dyDescent="0.25">
      <c r="A1450">
        <v>49</v>
      </c>
      <c r="B1450">
        <v>0</v>
      </c>
      <c r="C1450">
        <v>2</v>
      </c>
      <c r="D1450">
        <v>3</v>
      </c>
      <c r="E1450">
        <v>0</v>
      </c>
      <c r="F1450">
        <v>0</v>
      </c>
      <c r="G1450">
        <v>6971</v>
      </c>
      <c r="H1450">
        <v>0</v>
      </c>
      <c r="I1450">
        <v>0</v>
      </c>
    </row>
    <row r="1451" spans="1:9" x14ac:dyDescent="0.25">
      <c r="A1451">
        <v>49</v>
      </c>
      <c r="B1451">
        <v>1</v>
      </c>
      <c r="C1451">
        <v>7</v>
      </c>
      <c r="D1451">
        <v>5</v>
      </c>
      <c r="E1451">
        <v>0</v>
      </c>
      <c r="F1451">
        <v>0</v>
      </c>
      <c r="G1451">
        <v>10793</v>
      </c>
      <c r="H1451">
        <v>0</v>
      </c>
      <c r="I1451">
        <v>0</v>
      </c>
    </row>
    <row r="1452" spans="1:9" x14ac:dyDescent="0.25">
      <c r="A1452">
        <v>49</v>
      </c>
      <c r="B1452">
        <v>0</v>
      </c>
      <c r="C1452">
        <v>5</v>
      </c>
      <c r="D1452">
        <v>4</v>
      </c>
      <c r="E1452">
        <v>0</v>
      </c>
      <c r="F1452">
        <v>0</v>
      </c>
      <c r="G1452">
        <v>9754</v>
      </c>
      <c r="H1452">
        <v>0</v>
      </c>
      <c r="I1452">
        <v>0</v>
      </c>
    </row>
    <row r="1453" spans="1:9" x14ac:dyDescent="0.25">
      <c r="A1453">
        <v>49</v>
      </c>
      <c r="B1453">
        <v>0</v>
      </c>
      <c r="C1453">
        <v>12</v>
      </c>
      <c r="D1453">
        <v>4</v>
      </c>
      <c r="E1453">
        <v>0</v>
      </c>
      <c r="F1453">
        <v>0</v>
      </c>
      <c r="G1453">
        <v>19873</v>
      </c>
      <c r="H1453">
        <v>0</v>
      </c>
      <c r="I1453">
        <v>0</v>
      </c>
    </row>
    <row r="1454" spans="1:9" x14ac:dyDescent="0.25">
      <c r="A1454">
        <v>49</v>
      </c>
      <c r="B1454">
        <v>1</v>
      </c>
      <c r="C1454">
        <v>7</v>
      </c>
      <c r="D1454">
        <v>3</v>
      </c>
      <c r="E1454">
        <v>0</v>
      </c>
      <c r="F1454">
        <v>0</v>
      </c>
      <c r="G1454">
        <v>15824</v>
      </c>
      <c r="H1454">
        <v>0</v>
      </c>
      <c r="I1454">
        <v>0</v>
      </c>
    </row>
    <row r="1455" spans="1:9" x14ac:dyDescent="0.25">
      <c r="A1455">
        <v>49</v>
      </c>
      <c r="B1455">
        <v>1</v>
      </c>
      <c r="C1455">
        <v>11</v>
      </c>
      <c r="D1455">
        <v>3</v>
      </c>
      <c r="E1455">
        <v>0</v>
      </c>
      <c r="F1455">
        <v>0</v>
      </c>
      <c r="G1455">
        <v>18787</v>
      </c>
      <c r="H1455">
        <v>0</v>
      </c>
      <c r="I1455">
        <v>0</v>
      </c>
    </row>
    <row r="1456" spans="1:9" x14ac:dyDescent="0.25">
      <c r="A1456">
        <v>49</v>
      </c>
      <c r="B1456">
        <v>1</v>
      </c>
      <c r="C1456">
        <v>9</v>
      </c>
      <c r="D1456">
        <v>4</v>
      </c>
      <c r="E1456">
        <v>0</v>
      </c>
      <c r="F1456">
        <v>0</v>
      </c>
      <c r="G1456">
        <v>14917</v>
      </c>
      <c r="H1456">
        <v>0</v>
      </c>
      <c r="I1456">
        <v>0</v>
      </c>
    </row>
    <row r="1457" spans="1:9" x14ac:dyDescent="0.25">
      <c r="A1457">
        <v>49</v>
      </c>
      <c r="B1457">
        <v>1</v>
      </c>
      <c r="C1457">
        <v>31</v>
      </c>
      <c r="D1457">
        <v>6</v>
      </c>
      <c r="E1457">
        <v>0</v>
      </c>
      <c r="F1457">
        <v>0</v>
      </c>
      <c r="G1457">
        <v>57042</v>
      </c>
      <c r="H1457">
        <v>0</v>
      </c>
      <c r="I1457">
        <v>0</v>
      </c>
    </row>
    <row r="1458" spans="1:9" x14ac:dyDescent="0.25">
      <c r="A1458">
        <v>49</v>
      </c>
      <c r="B1458">
        <v>1</v>
      </c>
      <c r="C1458">
        <v>5</v>
      </c>
      <c r="D1458">
        <v>4</v>
      </c>
      <c r="E1458">
        <v>2</v>
      </c>
      <c r="F1458">
        <v>0</v>
      </c>
      <c r="G1458">
        <v>17934</v>
      </c>
      <c r="H1458">
        <v>0</v>
      </c>
      <c r="I1458">
        <v>0</v>
      </c>
    </row>
    <row r="1459" spans="1:9" x14ac:dyDescent="0.25">
      <c r="A1459">
        <v>49</v>
      </c>
      <c r="B1459">
        <v>1</v>
      </c>
      <c r="C1459">
        <v>3</v>
      </c>
      <c r="D1459">
        <v>3</v>
      </c>
      <c r="E1459">
        <v>0</v>
      </c>
      <c r="F1459">
        <v>0</v>
      </c>
      <c r="G1459">
        <v>11810</v>
      </c>
      <c r="H1459">
        <v>0</v>
      </c>
      <c r="I1459">
        <v>0</v>
      </c>
    </row>
    <row r="1460" spans="1:9" x14ac:dyDescent="0.25">
      <c r="A1460">
        <v>49</v>
      </c>
      <c r="B1460">
        <v>1</v>
      </c>
      <c r="C1460">
        <v>1</v>
      </c>
      <c r="D1460">
        <v>3</v>
      </c>
      <c r="E1460">
        <v>4</v>
      </c>
      <c r="F1460">
        <v>0</v>
      </c>
      <c r="G1460">
        <v>11445</v>
      </c>
      <c r="H1460">
        <v>0</v>
      </c>
      <c r="I1460">
        <v>0</v>
      </c>
    </row>
    <row r="1461" spans="1:9" x14ac:dyDescent="0.25">
      <c r="A1461">
        <v>49</v>
      </c>
      <c r="B1461">
        <v>0</v>
      </c>
      <c r="C1461">
        <v>3</v>
      </c>
      <c r="D1461">
        <v>4</v>
      </c>
      <c r="E1461">
        <v>0</v>
      </c>
      <c r="F1461">
        <v>0</v>
      </c>
      <c r="G1461">
        <v>10621</v>
      </c>
      <c r="H1461">
        <v>0</v>
      </c>
      <c r="I1461">
        <v>0</v>
      </c>
    </row>
    <row r="1462" spans="1:9" x14ac:dyDescent="0.25">
      <c r="A1462">
        <v>49</v>
      </c>
      <c r="B1462">
        <v>1</v>
      </c>
      <c r="C1462">
        <v>3</v>
      </c>
      <c r="D1462">
        <v>5</v>
      </c>
      <c r="E1462">
        <v>3</v>
      </c>
      <c r="F1462">
        <v>0</v>
      </c>
      <c r="G1462">
        <v>15862</v>
      </c>
      <c r="H1462">
        <v>0</v>
      </c>
      <c r="I1462">
        <v>0</v>
      </c>
    </row>
    <row r="1463" spans="1:9" x14ac:dyDescent="0.25">
      <c r="A1463">
        <v>49</v>
      </c>
      <c r="B1463">
        <v>1</v>
      </c>
      <c r="C1463">
        <v>2</v>
      </c>
      <c r="D1463">
        <v>4</v>
      </c>
      <c r="E1463">
        <v>0</v>
      </c>
      <c r="F1463">
        <v>0</v>
      </c>
      <c r="G1463">
        <v>8408</v>
      </c>
      <c r="H1463">
        <v>0</v>
      </c>
      <c r="I1463">
        <v>0</v>
      </c>
    </row>
    <row r="1464" spans="1:9" x14ac:dyDescent="0.25">
      <c r="A1464">
        <v>49</v>
      </c>
      <c r="B1464">
        <v>1</v>
      </c>
      <c r="C1464">
        <v>2</v>
      </c>
      <c r="D1464">
        <v>0</v>
      </c>
      <c r="E1464">
        <v>1</v>
      </c>
      <c r="F1464">
        <v>0</v>
      </c>
      <c r="G1464">
        <v>29567</v>
      </c>
      <c r="H1464">
        <v>1</v>
      </c>
      <c r="I1464">
        <v>0</v>
      </c>
    </row>
    <row r="1465" spans="1:9" x14ac:dyDescent="0.25">
      <c r="A1465">
        <v>49</v>
      </c>
      <c r="B1465">
        <v>1</v>
      </c>
      <c r="C1465">
        <v>13</v>
      </c>
      <c r="D1465">
        <v>5</v>
      </c>
      <c r="E1465">
        <v>1</v>
      </c>
      <c r="F1465">
        <v>0</v>
      </c>
      <c r="G1465">
        <v>45645</v>
      </c>
      <c r="H1465">
        <v>1</v>
      </c>
      <c r="I1465">
        <v>0</v>
      </c>
    </row>
    <row r="1466" spans="1:9" x14ac:dyDescent="0.25">
      <c r="A1466">
        <v>49</v>
      </c>
      <c r="B1466">
        <v>1</v>
      </c>
      <c r="C1466">
        <v>2</v>
      </c>
      <c r="D1466">
        <v>4</v>
      </c>
      <c r="E1466">
        <v>1</v>
      </c>
      <c r="F1466">
        <v>0</v>
      </c>
      <c r="G1466">
        <v>17560</v>
      </c>
      <c r="H1466">
        <v>1</v>
      </c>
      <c r="I1466">
        <v>0</v>
      </c>
    </row>
    <row r="1467" spans="1:9" x14ac:dyDescent="0.25">
      <c r="A1467">
        <v>49</v>
      </c>
      <c r="B1467">
        <v>0</v>
      </c>
      <c r="C1467">
        <v>8</v>
      </c>
      <c r="D1467">
        <v>2</v>
      </c>
      <c r="E1467">
        <v>2</v>
      </c>
      <c r="F1467">
        <v>0</v>
      </c>
      <c r="G1467">
        <v>53041</v>
      </c>
      <c r="H1467">
        <v>1</v>
      </c>
      <c r="I1467">
        <v>0</v>
      </c>
    </row>
    <row r="1468" spans="1:9" x14ac:dyDescent="0.25">
      <c r="A1468">
        <v>49</v>
      </c>
      <c r="B1468">
        <v>0</v>
      </c>
      <c r="C1468">
        <v>3</v>
      </c>
      <c r="D1468">
        <v>2</v>
      </c>
      <c r="E1468">
        <v>1</v>
      </c>
      <c r="F1468">
        <v>0</v>
      </c>
      <c r="G1468">
        <v>24921</v>
      </c>
      <c r="H1468">
        <v>1</v>
      </c>
      <c r="I1468">
        <v>0</v>
      </c>
    </row>
    <row r="1469" spans="1:9" x14ac:dyDescent="0.25">
      <c r="A1469">
        <v>49</v>
      </c>
      <c r="B1469">
        <v>0</v>
      </c>
      <c r="C1469">
        <v>3</v>
      </c>
      <c r="D1469">
        <v>2</v>
      </c>
      <c r="E1469">
        <v>1</v>
      </c>
      <c r="F1469">
        <v>0</v>
      </c>
      <c r="G1469">
        <v>29842</v>
      </c>
      <c r="H1469">
        <v>1</v>
      </c>
      <c r="I1469">
        <v>0</v>
      </c>
    </row>
    <row r="1470" spans="1:9" x14ac:dyDescent="0.25">
      <c r="A1470">
        <v>49</v>
      </c>
      <c r="B1470">
        <v>0</v>
      </c>
      <c r="C1470">
        <v>3</v>
      </c>
      <c r="D1470">
        <v>2</v>
      </c>
      <c r="E1470">
        <v>2</v>
      </c>
      <c r="F1470">
        <v>0</v>
      </c>
      <c r="G1470">
        <v>23730</v>
      </c>
      <c r="H1470">
        <v>1</v>
      </c>
      <c r="I1470">
        <v>0</v>
      </c>
    </row>
    <row r="1471" spans="1:9" x14ac:dyDescent="0.25">
      <c r="A1471">
        <v>49</v>
      </c>
      <c r="B1471">
        <v>0</v>
      </c>
      <c r="C1471">
        <v>5</v>
      </c>
      <c r="D1471">
        <v>4</v>
      </c>
      <c r="E1471">
        <v>2</v>
      </c>
      <c r="F1471">
        <v>0</v>
      </c>
      <c r="G1471">
        <v>20874</v>
      </c>
      <c r="H1471">
        <v>1</v>
      </c>
      <c r="I1471">
        <v>0</v>
      </c>
    </row>
    <row r="1472" spans="1:9" x14ac:dyDescent="0.25">
      <c r="A1472">
        <v>48</v>
      </c>
      <c r="B1472">
        <v>1</v>
      </c>
      <c r="C1472">
        <v>2</v>
      </c>
      <c r="D1472">
        <v>3</v>
      </c>
      <c r="E1472">
        <v>1</v>
      </c>
      <c r="F1472">
        <v>0</v>
      </c>
      <c r="G1472">
        <v>13013</v>
      </c>
      <c r="H1472">
        <v>0</v>
      </c>
      <c r="I1472">
        <v>0</v>
      </c>
    </row>
    <row r="1473" spans="1:9" x14ac:dyDescent="0.25">
      <c r="A1473">
        <v>48</v>
      </c>
      <c r="B1473">
        <v>1</v>
      </c>
      <c r="C1473">
        <v>5</v>
      </c>
      <c r="D1473">
        <v>6</v>
      </c>
      <c r="E1473">
        <v>0</v>
      </c>
      <c r="F1473">
        <v>0</v>
      </c>
      <c r="G1473">
        <v>10420</v>
      </c>
      <c r="H1473">
        <v>0</v>
      </c>
      <c r="I1473">
        <v>0</v>
      </c>
    </row>
    <row r="1474" spans="1:9" x14ac:dyDescent="0.25">
      <c r="A1474">
        <v>48</v>
      </c>
      <c r="B1474">
        <v>0</v>
      </c>
      <c r="C1474">
        <v>7</v>
      </c>
      <c r="D1474">
        <v>3</v>
      </c>
      <c r="E1474">
        <v>0</v>
      </c>
      <c r="F1474">
        <v>0</v>
      </c>
      <c r="G1474">
        <v>9244</v>
      </c>
      <c r="H1474">
        <v>0</v>
      </c>
      <c r="I1474">
        <v>0</v>
      </c>
    </row>
    <row r="1475" spans="1:9" x14ac:dyDescent="0.25">
      <c r="A1475">
        <v>48</v>
      </c>
      <c r="B1475">
        <v>0</v>
      </c>
      <c r="C1475">
        <v>13</v>
      </c>
      <c r="D1475">
        <v>1</v>
      </c>
      <c r="E1475">
        <v>0</v>
      </c>
      <c r="F1475">
        <v>0</v>
      </c>
      <c r="G1475">
        <v>21980</v>
      </c>
      <c r="H1475">
        <v>0</v>
      </c>
      <c r="I1475">
        <v>0</v>
      </c>
    </row>
    <row r="1476" spans="1:9" x14ac:dyDescent="0.25">
      <c r="A1476">
        <v>48</v>
      </c>
      <c r="B1476">
        <v>1</v>
      </c>
      <c r="C1476">
        <v>7</v>
      </c>
      <c r="D1476">
        <v>4</v>
      </c>
      <c r="E1476">
        <v>0</v>
      </c>
      <c r="F1476">
        <v>0</v>
      </c>
      <c r="G1476">
        <v>9417</v>
      </c>
      <c r="H1476">
        <v>0</v>
      </c>
      <c r="I1476">
        <v>0</v>
      </c>
    </row>
    <row r="1477" spans="1:9" x14ac:dyDescent="0.25">
      <c r="A1477">
        <v>48</v>
      </c>
      <c r="B1477">
        <v>1</v>
      </c>
      <c r="C1477">
        <v>3</v>
      </c>
      <c r="D1477">
        <v>1</v>
      </c>
      <c r="E1477">
        <v>0</v>
      </c>
      <c r="F1477">
        <v>0</v>
      </c>
      <c r="G1477">
        <v>10091</v>
      </c>
      <c r="H1477">
        <v>0</v>
      </c>
      <c r="I1477">
        <v>0</v>
      </c>
    </row>
    <row r="1478" spans="1:9" x14ac:dyDescent="0.25">
      <c r="A1478">
        <v>48</v>
      </c>
      <c r="B1478">
        <v>0</v>
      </c>
      <c r="C1478">
        <v>0</v>
      </c>
      <c r="D1478">
        <v>4</v>
      </c>
      <c r="E1478">
        <v>0</v>
      </c>
      <c r="F1478">
        <v>0</v>
      </c>
      <c r="G1478">
        <v>3878</v>
      </c>
      <c r="H1478">
        <v>0</v>
      </c>
      <c r="I1478">
        <v>0</v>
      </c>
    </row>
    <row r="1479" spans="1:9" x14ac:dyDescent="0.25">
      <c r="A1479">
        <v>48</v>
      </c>
      <c r="B1479">
        <v>1</v>
      </c>
      <c r="C1479">
        <v>2</v>
      </c>
      <c r="D1479">
        <v>5</v>
      </c>
      <c r="E1479">
        <v>0</v>
      </c>
      <c r="F1479">
        <v>0</v>
      </c>
      <c r="G1479">
        <v>7044</v>
      </c>
      <c r="H1479">
        <v>0</v>
      </c>
      <c r="I1479">
        <v>0</v>
      </c>
    </row>
    <row r="1480" spans="1:9" x14ac:dyDescent="0.25">
      <c r="A1480">
        <v>48</v>
      </c>
      <c r="B1480">
        <v>1</v>
      </c>
      <c r="C1480">
        <v>2</v>
      </c>
      <c r="D1480">
        <v>3</v>
      </c>
      <c r="E1480">
        <v>0</v>
      </c>
      <c r="F1480">
        <v>0</v>
      </c>
      <c r="G1480">
        <v>10621</v>
      </c>
      <c r="H1480">
        <v>0</v>
      </c>
      <c r="I1480">
        <v>0</v>
      </c>
    </row>
    <row r="1481" spans="1:9" x14ac:dyDescent="0.25">
      <c r="A1481">
        <v>48</v>
      </c>
      <c r="B1481">
        <v>0</v>
      </c>
      <c r="C1481">
        <v>4</v>
      </c>
      <c r="D1481">
        <v>5</v>
      </c>
      <c r="E1481">
        <v>0</v>
      </c>
      <c r="F1481">
        <v>0</v>
      </c>
      <c r="G1481">
        <v>8889</v>
      </c>
      <c r="H1481">
        <v>0</v>
      </c>
      <c r="I1481">
        <v>0</v>
      </c>
    </row>
    <row r="1482" spans="1:9" x14ac:dyDescent="0.25">
      <c r="A1482">
        <v>48</v>
      </c>
      <c r="B1482">
        <v>0</v>
      </c>
      <c r="C1482">
        <v>2</v>
      </c>
      <c r="D1482">
        <v>2</v>
      </c>
      <c r="E1482">
        <v>0</v>
      </c>
      <c r="F1482">
        <v>0</v>
      </c>
      <c r="G1482">
        <v>3704</v>
      </c>
      <c r="H1482">
        <v>0</v>
      </c>
      <c r="I1482">
        <v>0</v>
      </c>
    </row>
    <row r="1483" spans="1:9" x14ac:dyDescent="0.25">
      <c r="A1483">
        <v>48</v>
      </c>
      <c r="B1483">
        <v>1</v>
      </c>
      <c r="C1483">
        <v>0</v>
      </c>
      <c r="D1483">
        <v>7</v>
      </c>
      <c r="E1483">
        <v>0</v>
      </c>
      <c r="F1483">
        <v>0</v>
      </c>
      <c r="G1483">
        <v>8490</v>
      </c>
      <c r="H1483">
        <v>0</v>
      </c>
      <c r="I1483">
        <v>0</v>
      </c>
    </row>
    <row r="1484" spans="1:9" x14ac:dyDescent="0.25">
      <c r="A1484">
        <v>48</v>
      </c>
      <c r="B1484">
        <v>1</v>
      </c>
      <c r="C1484">
        <v>2</v>
      </c>
      <c r="D1484">
        <v>1</v>
      </c>
      <c r="E1484">
        <v>0</v>
      </c>
      <c r="F1484">
        <v>0</v>
      </c>
      <c r="G1484">
        <v>6609</v>
      </c>
      <c r="H1484">
        <v>0</v>
      </c>
      <c r="I1484">
        <v>0</v>
      </c>
    </row>
    <row r="1485" spans="1:9" x14ac:dyDescent="0.25">
      <c r="A1485">
        <v>48</v>
      </c>
      <c r="B1485">
        <v>1</v>
      </c>
      <c r="C1485">
        <v>2</v>
      </c>
      <c r="D1485">
        <v>3</v>
      </c>
      <c r="E1485">
        <v>0</v>
      </c>
      <c r="F1485">
        <v>0</v>
      </c>
      <c r="G1485">
        <v>20409</v>
      </c>
      <c r="H1485">
        <v>0</v>
      </c>
      <c r="I1485">
        <v>0</v>
      </c>
    </row>
    <row r="1486" spans="1:9" x14ac:dyDescent="0.25">
      <c r="A1486">
        <v>48</v>
      </c>
      <c r="B1486">
        <v>0</v>
      </c>
      <c r="C1486">
        <v>0</v>
      </c>
      <c r="D1486">
        <v>4</v>
      </c>
      <c r="E1486">
        <v>0</v>
      </c>
      <c r="F1486">
        <v>0</v>
      </c>
      <c r="G1486">
        <v>5737</v>
      </c>
      <c r="H1486">
        <v>0</v>
      </c>
      <c r="I1486">
        <v>0</v>
      </c>
    </row>
    <row r="1487" spans="1:9" x14ac:dyDescent="0.25">
      <c r="A1487">
        <v>48</v>
      </c>
      <c r="B1487">
        <v>1</v>
      </c>
      <c r="C1487">
        <v>1</v>
      </c>
      <c r="D1487">
        <v>2</v>
      </c>
      <c r="E1487">
        <v>0</v>
      </c>
      <c r="F1487">
        <v>0</v>
      </c>
      <c r="G1487">
        <v>8722</v>
      </c>
      <c r="H1487">
        <v>0</v>
      </c>
      <c r="I1487">
        <v>0</v>
      </c>
    </row>
    <row r="1488" spans="1:9" x14ac:dyDescent="0.25">
      <c r="A1488">
        <v>48</v>
      </c>
      <c r="B1488">
        <v>0</v>
      </c>
      <c r="C1488">
        <v>5</v>
      </c>
      <c r="D1488">
        <v>3</v>
      </c>
      <c r="E1488">
        <v>0</v>
      </c>
      <c r="F1488">
        <v>0</v>
      </c>
      <c r="G1488">
        <v>16371</v>
      </c>
      <c r="H1488">
        <v>0</v>
      </c>
      <c r="I1488">
        <v>0</v>
      </c>
    </row>
    <row r="1489" spans="1:9" x14ac:dyDescent="0.25">
      <c r="A1489">
        <v>48</v>
      </c>
      <c r="B1489">
        <v>0</v>
      </c>
      <c r="C1489">
        <v>10</v>
      </c>
      <c r="D1489">
        <v>4</v>
      </c>
      <c r="E1489">
        <v>0</v>
      </c>
      <c r="F1489">
        <v>0</v>
      </c>
      <c r="G1489">
        <v>23199</v>
      </c>
      <c r="H1489">
        <v>0</v>
      </c>
      <c r="I1489">
        <v>0</v>
      </c>
    </row>
    <row r="1490" spans="1:9" x14ac:dyDescent="0.25">
      <c r="A1490">
        <v>48</v>
      </c>
      <c r="B1490">
        <v>1</v>
      </c>
      <c r="C1490">
        <v>3</v>
      </c>
      <c r="D1490">
        <v>5</v>
      </c>
      <c r="E1490">
        <v>0</v>
      </c>
      <c r="F1490">
        <v>0</v>
      </c>
      <c r="G1490">
        <v>6031</v>
      </c>
      <c r="H1490">
        <v>0</v>
      </c>
      <c r="I1490">
        <v>0</v>
      </c>
    </row>
    <row r="1491" spans="1:9" x14ac:dyDescent="0.25">
      <c r="A1491">
        <v>48</v>
      </c>
      <c r="B1491">
        <v>1</v>
      </c>
      <c r="C1491">
        <v>4</v>
      </c>
      <c r="D1491">
        <v>7</v>
      </c>
      <c r="E1491">
        <v>0</v>
      </c>
      <c r="F1491">
        <v>0</v>
      </c>
      <c r="G1491">
        <v>9588</v>
      </c>
      <c r="H1491">
        <v>0</v>
      </c>
      <c r="I1491">
        <v>0</v>
      </c>
    </row>
    <row r="1492" spans="1:9" x14ac:dyDescent="0.25">
      <c r="A1492">
        <v>48</v>
      </c>
      <c r="B1492">
        <v>0</v>
      </c>
      <c r="C1492">
        <v>10</v>
      </c>
      <c r="D1492">
        <v>4</v>
      </c>
      <c r="E1492">
        <v>3</v>
      </c>
      <c r="F1492">
        <v>0</v>
      </c>
      <c r="G1492">
        <v>36024</v>
      </c>
      <c r="H1492">
        <v>0</v>
      </c>
      <c r="I1492">
        <v>0</v>
      </c>
    </row>
    <row r="1493" spans="1:9" x14ac:dyDescent="0.25">
      <c r="A1493">
        <v>48</v>
      </c>
      <c r="B1493">
        <v>0</v>
      </c>
      <c r="C1493">
        <v>16</v>
      </c>
      <c r="D1493">
        <v>7</v>
      </c>
      <c r="E1493">
        <v>2</v>
      </c>
      <c r="F1493">
        <v>0</v>
      </c>
      <c r="G1493">
        <v>41626</v>
      </c>
      <c r="H1493">
        <v>0</v>
      </c>
      <c r="I1493">
        <v>0</v>
      </c>
    </row>
    <row r="1494" spans="1:9" x14ac:dyDescent="0.25">
      <c r="A1494">
        <v>48</v>
      </c>
      <c r="B1494">
        <v>1</v>
      </c>
      <c r="C1494">
        <v>3</v>
      </c>
      <c r="D1494">
        <v>1</v>
      </c>
      <c r="E1494">
        <v>2</v>
      </c>
      <c r="F1494">
        <v>0</v>
      </c>
      <c r="G1494">
        <v>28180</v>
      </c>
      <c r="H1494">
        <v>1</v>
      </c>
      <c r="I1494">
        <v>0</v>
      </c>
    </row>
    <row r="1495" spans="1:9" x14ac:dyDescent="0.25">
      <c r="A1495">
        <v>48</v>
      </c>
      <c r="B1495">
        <v>1</v>
      </c>
      <c r="C1495">
        <v>5</v>
      </c>
      <c r="D1495">
        <v>2</v>
      </c>
      <c r="E1495">
        <v>2</v>
      </c>
      <c r="F1495">
        <v>0</v>
      </c>
      <c r="G1495">
        <v>24258</v>
      </c>
      <c r="H1495">
        <v>1</v>
      </c>
      <c r="I1495">
        <v>0</v>
      </c>
    </row>
    <row r="1496" spans="1:9" x14ac:dyDescent="0.25">
      <c r="A1496">
        <v>48</v>
      </c>
      <c r="B1496">
        <v>1</v>
      </c>
      <c r="C1496">
        <v>2</v>
      </c>
      <c r="D1496">
        <v>2</v>
      </c>
      <c r="E1496">
        <v>1</v>
      </c>
      <c r="F1496">
        <v>0</v>
      </c>
      <c r="G1496">
        <v>11421</v>
      </c>
      <c r="H1496">
        <v>1</v>
      </c>
      <c r="I1496">
        <v>0</v>
      </c>
    </row>
    <row r="1497" spans="1:9" x14ac:dyDescent="0.25">
      <c r="A1497">
        <v>48</v>
      </c>
      <c r="B1497">
        <v>1</v>
      </c>
      <c r="C1497">
        <v>5</v>
      </c>
      <c r="D1497">
        <v>6</v>
      </c>
      <c r="E1497">
        <v>6</v>
      </c>
      <c r="F1497">
        <v>0</v>
      </c>
      <c r="G1497">
        <v>38309</v>
      </c>
      <c r="H1497">
        <v>1</v>
      </c>
      <c r="I1497">
        <v>0</v>
      </c>
    </row>
    <row r="1498" spans="1:9" x14ac:dyDescent="0.25">
      <c r="A1498">
        <v>47</v>
      </c>
      <c r="B1498">
        <v>0</v>
      </c>
      <c r="C1498">
        <v>0</v>
      </c>
      <c r="D1498">
        <v>1</v>
      </c>
      <c r="E1498">
        <v>0</v>
      </c>
      <c r="F1498">
        <v>0</v>
      </c>
      <c r="G1498">
        <v>3903</v>
      </c>
      <c r="H1498">
        <v>0</v>
      </c>
      <c r="I1498">
        <v>0</v>
      </c>
    </row>
    <row r="1499" spans="1:9" x14ac:dyDescent="0.25">
      <c r="A1499">
        <v>47</v>
      </c>
      <c r="B1499">
        <v>0</v>
      </c>
      <c r="C1499">
        <v>3</v>
      </c>
      <c r="D1499">
        <v>1</v>
      </c>
      <c r="E1499">
        <v>1</v>
      </c>
      <c r="F1499">
        <v>0</v>
      </c>
      <c r="G1499">
        <v>20138</v>
      </c>
      <c r="H1499">
        <v>0</v>
      </c>
      <c r="I1499">
        <v>0</v>
      </c>
    </row>
    <row r="1500" spans="1:9" x14ac:dyDescent="0.25">
      <c r="A1500">
        <v>47</v>
      </c>
      <c r="B1500">
        <v>0</v>
      </c>
      <c r="C1500">
        <v>4</v>
      </c>
      <c r="D1500">
        <v>3</v>
      </c>
      <c r="E1500">
        <v>0</v>
      </c>
      <c r="F1500">
        <v>0</v>
      </c>
      <c r="G1500">
        <v>8653</v>
      </c>
      <c r="H1500">
        <v>0</v>
      </c>
      <c r="I1500">
        <v>0</v>
      </c>
    </row>
    <row r="1501" spans="1:9" x14ac:dyDescent="0.25">
      <c r="A1501">
        <v>47</v>
      </c>
      <c r="B1501">
        <v>1</v>
      </c>
      <c r="C1501">
        <v>2</v>
      </c>
      <c r="D1501">
        <v>4</v>
      </c>
      <c r="E1501">
        <v>0</v>
      </c>
      <c r="F1501">
        <v>0</v>
      </c>
      <c r="G1501">
        <v>10468</v>
      </c>
      <c r="H1501">
        <v>0</v>
      </c>
      <c r="I1501">
        <v>0</v>
      </c>
    </row>
    <row r="1502" spans="1:9" x14ac:dyDescent="0.25">
      <c r="A1502">
        <v>47</v>
      </c>
      <c r="B1502">
        <v>0</v>
      </c>
      <c r="C1502">
        <v>4</v>
      </c>
      <c r="D1502">
        <v>3</v>
      </c>
      <c r="E1502">
        <v>0</v>
      </c>
      <c r="F1502">
        <v>0</v>
      </c>
      <c r="G1502">
        <v>11770</v>
      </c>
      <c r="H1502">
        <v>0</v>
      </c>
      <c r="I1502">
        <v>0</v>
      </c>
    </row>
    <row r="1503" spans="1:9" x14ac:dyDescent="0.25">
      <c r="A1503">
        <v>47</v>
      </c>
      <c r="B1503">
        <v>0</v>
      </c>
      <c r="C1503">
        <v>6</v>
      </c>
      <c r="D1503">
        <v>1</v>
      </c>
      <c r="E1503">
        <v>0</v>
      </c>
      <c r="F1503">
        <v>0</v>
      </c>
      <c r="G1503">
        <v>8452</v>
      </c>
      <c r="H1503">
        <v>0</v>
      </c>
      <c r="I1503">
        <v>0</v>
      </c>
    </row>
    <row r="1504" spans="1:9" x14ac:dyDescent="0.25">
      <c r="A1504">
        <v>47</v>
      </c>
      <c r="B1504">
        <v>1</v>
      </c>
      <c r="C1504">
        <v>6</v>
      </c>
      <c r="D1504">
        <v>5</v>
      </c>
      <c r="E1504">
        <v>0</v>
      </c>
      <c r="F1504">
        <v>0</v>
      </c>
      <c r="G1504">
        <v>14028</v>
      </c>
      <c r="H1504">
        <v>0</v>
      </c>
      <c r="I1504">
        <v>0</v>
      </c>
    </row>
    <row r="1505" spans="1:9" x14ac:dyDescent="0.25">
      <c r="A1505">
        <v>47</v>
      </c>
      <c r="B1505">
        <v>0</v>
      </c>
      <c r="C1505">
        <v>26</v>
      </c>
      <c r="D1505">
        <v>3</v>
      </c>
      <c r="E1505">
        <v>0</v>
      </c>
      <c r="F1505">
        <v>0</v>
      </c>
      <c r="G1505">
        <v>40045</v>
      </c>
      <c r="H1505">
        <v>0</v>
      </c>
      <c r="I1505">
        <v>0</v>
      </c>
    </row>
    <row r="1506" spans="1:9" x14ac:dyDescent="0.25">
      <c r="A1506">
        <v>47</v>
      </c>
      <c r="B1506">
        <v>1</v>
      </c>
      <c r="C1506">
        <v>8</v>
      </c>
      <c r="D1506">
        <v>4</v>
      </c>
      <c r="E1506">
        <v>0</v>
      </c>
      <c r="F1506">
        <v>0</v>
      </c>
      <c r="G1506">
        <v>10845</v>
      </c>
      <c r="H1506">
        <v>0</v>
      </c>
      <c r="I1506">
        <v>0</v>
      </c>
    </row>
    <row r="1507" spans="1:9" x14ac:dyDescent="0.25">
      <c r="A1507">
        <v>47</v>
      </c>
      <c r="B1507">
        <v>0</v>
      </c>
      <c r="C1507">
        <v>3</v>
      </c>
      <c r="D1507">
        <v>1</v>
      </c>
      <c r="E1507">
        <v>1</v>
      </c>
      <c r="F1507">
        <v>0</v>
      </c>
      <c r="G1507">
        <v>16384</v>
      </c>
      <c r="H1507">
        <v>0</v>
      </c>
      <c r="I1507">
        <v>0</v>
      </c>
    </row>
    <row r="1508" spans="1:9" x14ac:dyDescent="0.25">
      <c r="A1508">
        <v>47</v>
      </c>
      <c r="B1508">
        <v>1</v>
      </c>
      <c r="C1508">
        <v>16</v>
      </c>
      <c r="D1508">
        <v>3</v>
      </c>
      <c r="E1508">
        <v>0</v>
      </c>
      <c r="F1508">
        <v>0</v>
      </c>
      <c r="G1508">
        <v>28703</v>
      </c>
      <c r="H1508">
        <v>0</v>
      </c>
      <c r="I1508">
        <v>0</v>
      </c>
    </row>
    <row r="1509" spans="1:9" x14ac:dyDescent="0.25">
      <c r="A1509">
        <v>47</v>
      </c>
      <c r="B1509">
        <v>1</v>
      </c>
      <c r="C1509">
        <v>9</v>
      </c>
      <c r="D1509">
        <v>1</v>
      </c>
      <c r="E1509">
        <v>0</v>
      </c>
      <c r="F1509">
        <v>0</v>
      </c>
      <c r="G1509">
        <v>15464</v>
      </c>
      <c r="H1509">
        <v>0</v>
      </c>
      <c r="I1509">
        <v>0</v>
      </c>
    </row>
    <row r="1510" spans="1:9" x14ac:dyDescent="0.25">
      <c r="A1510">
        <v>47</v>
      </c>
      <c r="B1510">
        <v>1</v>
      </c>
      <c r="C1510">
        <v>7</v>
      </c>
      <c r="D1510">
        <v>3</v>
      </c>
      <c r="E1510">
        <v>0</v>
      </c>
      <c r="F1510">
        <v>0</v>
      </c>
      <c r="G1510">
        <v>10839</v>
      </c>
      <c r="H1510">
        <v>0</v>
      </c>
      <c r="I1510">
        <v>0</v>
      </c>
    </row>
    <row r="1511" spans="1:9" x14ac:dyDescent="0.25">
      <c r="A1511">
        <v>47</v>
      </c>
      <c r="B1511">
        <v>1</v>
      </c>
      <c r="C1511">
        <v>8</v>
      </c>
      <c r="D1511">
        <v>4</v>
      </c>
      <c r="E1511">
        <v>0</v>
      </c>
      <c r="F1511">
        <v>0</v>
      </c>
      <c r="G1511">
        <v>14185</v>
      </c>
      <c r="H1511">
        <v>0</v>
      </c>
      <c r="I1511">
        <v>0</v>
      </c>
    </row>
    <row r="1512" spans="1:9" x14ac:dyDescent="0.25">
      <c r="A1512">
        <v>47</v>
      </c>
      <c r="B1512">
        <v>0</v>
      </c>
      <c r="C1512">
        <v>14</v>
      </c>
      <c r="D1512">
        <v>6</v>
      </c>
      <c r="E1512">
        <v>0</v>
      </c>
      <c r="F1512">
        <v>0</v>
      </c>
      <c r="G1512">
        <v>28033</v>
      </c>
      <c r="H1512">
        <v>0</v>
      </c>
      <c r="I1512">
        <v>0</v>
      </c>
    </row>
    <row r="1513" spans="1:9" x14ac:dyDescent="0.25">
      <c r="A1513">
        <v>47</v>
      </c>
      <c r="B1513">
        <v>1</v>
      </c>
      <c r="C1513">
        <v>8</v>
      </c>
      <c r="D1513">
        <v>2</v>
      </c>
      <c r="E1513">
        <v>0</v>
      </c>
      <c r="F1513">
        <v>0</v>
      </c>
      <c r="G1513">
        <v>14022</v>
      </c>
      <c r="H1513">
        <v>0</v>
      </c>
      <c r="I1513">
        <v>0</v>
      </c>
    </row>
    <row r="1514" spans="1:9" x14ac:dyDescent="0.25">
      <c r="A1514">
        <v>47</v>
      </c>
      <c r="B1514">
        <v>1</v>
      </c>
      <c r="C1514">
        <v>3</v>
      </c>
      <c r="D1514">
        <v>4</v>
      </c>
      <c r="E1514">
        <v>0</v>
      </c>
      <c r="F1514">
        <v>0</v>
      </c>
      <c r="G1514">
        <v>16952</v>
      </c>
      <c r="H1514">
        <v>0</v>
      </c>
      <c r="I1514">
        <v>0</v>
      </c>
    </row>
    <row r="1515" spans="1:9" x14ac:dyDescent="0.25">
      <c r="A1515">
        <v>47</v>
      </c>
      <c r="B1515">
        <v>1</v>
      </c>
      <c r="C1515">
        <v>7</v>
      </c>
      <c r="D1515">
        <v>2</v>
      </c>
      <c r="E1515">
        <v>1</v>
      </c>
      <c r="F1515">
        <v>0</v>
      </c>
      <c r="G1515">
        <v>18656</v>
      </c>
      <c r="H1515">
        <v>0</v>
      </c>
      <c r="I1515">
        <v>0</v>
      </c>
    </row>
    <row r="1516" spans="1:9" x14ac:dyDescent="0.25">
      <c r="A1516">
        <v>47</v>
      </c>
      <c r="B1516">
        <v>0</v>
      </c>
      <c r="C1516">
        <v>21</v>
      </c>
      <c r="D1516">
        <v>4</v>
      </c>
      <c r="E1516">
        <v>4</v>
      </c>
      <c r="F1516">
        <v>0</v>
      </c>
      <c r="G1516">
        <v>48721</v>
      </c>
      <c r="H1516">
        <v>0</v>
      </c>
      <c r="I1516">
        <v>0</v>
      </c>
    </row>
    <row r="1517" spans="1:9" x14ac:dyDescent="0.25">
      <c r="A1517">
        <v>47</v>
      </c>
      <c r="B1517">
        <v>0</v>
      </c>
      <c r="C1517">
        <v>3</v>
      </c>
      <c r="D1517">
        <v>4</v>
      </c>
      <c r="E1517">
        <v>0</v>
      </c>
      <c r="F1517">
        <v>0</v>
      </c>
      <c r="G1517">
        <v>14554</v>
      </c>
      <c r="H1517">
        <v>0</v>
      </c>
      <c r="I1517">
        <v>0</v>
      </c>
    </row>
    <row r="1518" spans="1:9" x14ac:dyDescent="0.25">
      <c r="A1518">
        <v>47</v>
      </c>
      <c r="B1518">
        <v>0</v>
      </c>
      <c r="C1518">
        <v>4</v>
      </c>
      <c r="D1518">
        <v>4</v>
      </c>
      <c r="E1518">
        <v>1</v>
      </c>
      <c r="F1518">
        <v>0</v>
      </c>
      <c r="G1518">
        <v>9548</v>
      </c>
      <c r="H1518">
        <v>0</v>
      </c>
      <c r="I1518">
        <v>0</v>
      </c>
    </row>
    <row r="1519" spans="1:9" x14ac:dyDescent="0.25">
      <c r="A1519">
        <v>47</v>
      </c>
      <c r="B1519">
        <v>1</v>
      </c>
      <c r="C1519">
        <v>2</v>
      </c>
      <c r="D1519">
        <v>3</v>
      </c>
      <c r="E1519">
        <v>0</v>
      </c>
      <c r="F1519">
        <v>0</v>
      </c>
      <c r="G1519">
        <v>5706</v>
      </c>
      <c r="H1519">
        <v>0</v>
      </c>
      <c r="I1519">
        <v>0</v>
      </c>
    </row>
    <row r="1520" spans="1:9" x14ac:dyDescent="0.25">
      <c r="A1520">
        <v>47</v>
      </c>
      <c r="B1520">
        <v>1</v>
      </c>
      <c r="C1520">
        <v>2</v>
      </c>
      <c r="D1520">
        <v>0</v>
      </c>
      <c r="E1520">
        <v>1</v>
      </c>
      <c r="F1520">
        <v>0</v>
      </c>
      <c r="G1520">
        <v>25862</v>
      </c>
      <c r="H1520">
        <v>1</v>
      </c>
      <c r="I1520">
        <v>0</v>
      </c>
    </row>
    <row r="1521" spans="1:9" x14ac:dyDescent="0.25">
      <c r="A1521">
        <v>46</v>
      </c>
      <c r="B1521">
        <v>0</v>
      </c>
      <c r="C1521">
        <v>9</v>
      </c>
      <c r="D1521">
        <v>7</v>
      </c>
      <c r="E1521">
        <v>0</v>
      </c>
      <c r="F1521">
        <v>0</v>
      </c>
      <c r="G1521">
        <v>17883</v>
      </c>
      <c r="H1521">
        <v>0</v>
      </c>
      <c r="I1521">
        <v>0</v>
      </c>
    </row>
    <row r="1522" spans="1:9" x14ac:dyDescent="0.25">
      <c r="A1522">
        <v>46</v>
      </c>
      <c r="B1522">
        <v>0</v>
      </c>
      <c r="C1522">
        <v>3</v>
      </c>
      <c r="D1522">
        <v>5</v>
      </c>
      <c r="E1522">
        <v>0</v>
      </c>
      <c r="F1522">
        <v>0</v>
      </c>
      <c r="G1522">
        <v>9914</v>
      </c>
      <c r="H1522">
        <v>0</v>
      </c>
      <c r="I1522">
        <v>0</v>
      </c>
    </row>
    <row r="1523" spans="1:9" x14ac:dyDescent="0.25">
      <c r="A1523">
        <v>46</v>
      </c>
      <c r="B1523">
        <v>0</v>
      </c>
      <c r="C1523">
        <v>3</v>
      </c>
      <c r="D1523">
        <v>3</v>
      </c>
      <c r="E1523">
        <v>0</v>
      </c>
      <c r="F1523">
        <v>0</v>
      </c>
      <c r="G1523">
        <v>4844</v>
      </c>
      <c r="H1523">
        <v>0</v>
      </c>
      <c r="I1523">
        <v>0</v>
      </c>
    </row>
    <row r="1524" spans="1:9" x14ac:dyDescent="0.25">
      <c r="A1524">
        <v>46</v>
      </c>
      <c r="B1524">
        <v>0</v>
      </c>
      <c r="C1524">
        <v>19</v>
      </c>
      <c r="D1524">
        <v>4</v>
      </c>
      <c r="E1524">
        <v>0</v>
      </c>
      <c r="F1524">
        <v>0</v>
      </c>
      <c r="G1524">
        <v>32416</v>
      </c>
      <c r="H1524">
        <v>0</v>
      </c>
      <c r="I1524">
        <v>0</v>
      </c>
    </row>
    <row r="1525" spans="1:9" x14ac:dyDescent="0.25">
      <c r="A1525">
        <v>46</v>
      </c>
      <c r="B1525">
        <v>1</v>
      </c>
      <c r="C1525">
        <v>4</v>
      </c>
      <c r="D1525">
        <v>5</v>
      </c>
      <c r="E1525">
        <v>0</v>
      </c>
      <c r="F1525">
        <v>0</v>
      </c>
      <c r="G1525">
        <v>18071</v>
      </c>
      <c r="H1525">
        <v>0</v>
      </c>
      <c r="I1525">
        <v>0</v>
      </c>
    </row>
    <row r="1526" spans="1:9" x14ac:dyDescent="0.25">
      <c r="A1526">
        <v>46</v>
      </c>
      <c r="B1526">
        <v>0</v>
      </c>
      <c r="C1526">
        <v>8</v>
      </c>
      <c r="D1526">
        <v>5</v>
      </c>
      <c r="E1526">
        <v>2</v>
      </c>
      <c r="F1526">
        <v>0</v>
      </c>
      <c r="G1526">
        <v>42394</v>
      </c>
      <c r="H1526">
        <v>0</v>
      </c>
      <c r="I1526">
        <v>0</v>
      </c>
    </row>
    <row r="1527" spans="1:9" x14ac:dyDescent="0.25">
      <c r="A1527">
        <v>46</v>
      </c>
      <c r="B1527">
        <v>0</v>
      </c>
      <c r="C1527">
        <v>5</v>
      </c>
      <c r="D1527">
        <v>3</v>
      </c>
      <c r="E1527">
        <v>0</v>
      </c>
      <c r="F1527">
        <v>0</v>
      </c>
      <c r="G1527">
        <v>9747</v>
      </c>
      <c r="H1527">
        <v>0</v>
      </c>
      <c r="I1527">
        <v>0</v>
      </c>
    </row>
    <row r="1528" spans="1:9" x14ac:dyDescent="0.25">
      <c r="A1528">
        <v>46</v>
      </c>
      <c r="B1528">
        <v>0</v>
      </c>
      <c r="C1528">
        <v>5</v>
      </c>
      <c r="D1528">
        <v>6</v>
      </c>
      <c r="E1528">
        <v>0</v>
      </c>
      <c r="F1528">
        <v>0</v>
      </c>
      <c r="G1528">
        <v>15025</v>
      </c>
      <c r="H1528">
        <v>0</v>
      </c>
      <c r="I1528">
        <v>0</v>
      </c>
    </row>
    <row r="1529" spans="1:9" x14ac:dyDescent="0.25">
      <c r="A1529">
        <v>46</v>
      </c>
      <c r="B1529">
        <v>1</v>
      </c>
      <c r="C1529">
        <v>8</v>
      </c>
      <c r="D1529">
        <v>5</v>
      </c>
      <c r="E1529">
        <v>0</v>
      </c>
      <c r="F1529">
        <v>0</v>
      </c>
      <c r="G1529">
        <v>22923</v>
      </c>
      <c r="H1529">
        <v>0</v>
      </c>
      <c r="I1529">
        <v>0</v>
      </c>
    </row>
    <row r="1530" spans="1:9" x14ac:dyDescent="0.25">
      <c r="A1530">
        <v>46</v>
      </c>
      <c r="B1530">
        <v>0</v>
      </c>
      <c r="C1530">
        <v>6</v>
      </c>
      <c r="D1530">
        <v>2</v>
      </c>
      <c r="E1530">
        <v>0</v>
      </c>
      <c r="F1530">
        <v>0</v>
      </c>
      <c r="G1530">
        <v>14741</v>
      </c>
      <c r="H1530">
        <v>0</v>
      </c>
      <c r="I1530">
        <v>0</v>
      </c>
    </row>
    <row r="1531" spans="1:9" x14ac:dyDescent="0.25">
      <c r="A1531">
        <v>46</v>
      </c>
      <c r="B1531">
        <v>1</v>
      </c>
      <c r="C1531">
        <v>40</v>
      </c>
      <c r="D1531">
        <v>4</v>
      </c>
      <c r="E1531">
        <v>4</v>
      </c>
      <c r="F1531">
        <v>0</v>
      </c>
      <c r="G1531">
        <v>92788</v>
      </c>
      <c r="H1531">
        <v>0</v>
      </c>
      <c r="I1531">
        <v>0</v>
      </c>
    </row>
    <row r="1532" spans="1:9" x14ac:dyDescent="0.25">
      <c r="A1532">
        <v>46</v>
      </c>
      <c r="B1532">
        <v>1</v>
      </c>
      <c r="C1532">
        <v>3</v>
      </c>
      <c r="D1532">
        <v>2</v>
      </c>
      <c r="E1532">
        <v>0</v>
      </c>
      <c r="F1532">
        <v>0</v>
      </c>
      <c r="G1532">
        <v>10658</v>
      </c>
      <c r="H1532">
        <v>0</v>
      </c>
      <c r="I1532">
        <v>0</v>
      </c>
    </row>
    <row r="1533" spans="1:9" x14ac:dyDescent="0.25">
      <c r="A1533">
        <v>46</v>
      </c>
      <c r="B1533">
        <v>0</v>
      </c>
      <c r="C1533">
        <v>2</v>
      </c>
      <c r="D1533">
        <v>0</v>
      </c>
      <c r="E1533">
        <v>0</v>
      </c>
      <c r="F1533">
        <v>0</v>
      </c>
      <c r="G1533">
        <v>10925</v>
      </c>
      <c r="H1533">
        <v>0</v>
      </c>
      <c r="I1533">
        <v>0</v>
      </c>
    </row>
    <row r="1534" spans="1:9" x14ac:dyDescent="0.25">
      <c r="A1534">
        <v>46</v>
      </c>
      <c r="B1534">
        <v>0</v>
      </c>
      <c r="C1534">
        <v>10</v>
      </c>
      <c r="D1534">
        <v>2</v>
      </c>
      <c r="E1534">
        <v>3</v>
      </c>
      <c r="F1534">
        <v>0</v>
      </c>
      <c r="G1534">
        <v>28399</v>
      </c>
      <c r="H1534">
        <v>0</v>
      </c>
      <c r="I1534">
        <v>0</v>
      </c>
    </row>
    <row r="1535" spans="1:9" x14ac:dyDescent="0.25">
      <c r="A1535">
        <v>46</v>
      </c>
      <c r="B1535">
        <v>1</v>
      </c>
      <c r="C1535">
        <v>3</v>
      </c>
      <c r="D1535">
        <v>5</v>
      </c>
      <c r="E1535">
        <v>0</v>
      </c>
      <c r="F1535">
        <v>0</v>
      </c>
      <c r="G1535">
        <v>5527</v>
      </c>
      <c r="H1535">
        <v>0</v>
      </c>
      <c r="I1535">
        <v>0</v>
      </c>
    </row>
    <row r="1536" spans="1:9" x14ac:dyDescent="0.25">
      <c r="A1536">
        <v>46</v>
      </c>
      <c r="B1536">
        <v>1</v>
      </c>
      <c r="C1536">
        <v>5</v>
      </c>
      <c r="D1536">
        <v>4</v>
      </c>
      <c r="E1536">
        <v>1</v>
      </c>
      <c r="F1536">
        <v>0</v>
      </c>
      <c r="G1536">
        <v>18938</v>
      </c>
      <c r="H1536">
        <v>0</v>
      </c>
      <c r="I1536">
        <v>0</v>
      </c>
    </row>
    <row r="1537" spans="1:9" x14ac:dyDescent="0.25">
      <c r="A1537">
        <v>45</v>
      </c>
      <c r="B1537">
        <v>1</v>
      </c>
      <c r="C1537">
        <v>5</v>
      </c>
      <c r="D1537">
        <v>4</v>
      </c>
      <c r="E1537">
        <v>1</v>
      </c>
      <c r="F1537">
        <v>0</v>
      </c>
      <c r="G1537">
        <v>15214</v>
      </c>
      <c r="H1537">
        <v>0</v>
      </c>
      <c r="I1537">
        <v>0</v>
      </c>
    </row>
    <row r="1538" spans="1:9" x14ac:dyDescent="0.25">
      <c r="A1538">
        <v>45</v>
      </c>
      <c r="B1538">
        <v>1</v>
      </c>
      <c r="C1538">
        <v>4</v>
      </c>
      <c r="D1538">
        <v>1</v>
      </c>
      <c r="E1538">
        <v>0</v>
      </c>
      <c r="F1538">
        <v>0</v>
      </c>
      <c r="G1538">
        <v>5897</v>
      </c>
      <c r="H1538">
        <v>0</v>
      </c>
      <c r="I1538">
        <v>0</v>
      </c>
    </row>
    <row r="1539" spans="1:9" x14ac:dyDescent="0.25">
      <c r="A1539">
        <v>45</v>
      </c>
      <c r="B1539">
        <v>1</v>
      </c>
      <c r="C1539">
        <v>3</v>
      </c>
      <c r="D1539">
        <v>1</v>
      </c>
      <c r="E1539">
        <v>0</v>
      </c>
      <c r="F1539">
        <v>0</v>
      </c>
      <c r="G1539">
        <v>15238</v>
      </c>
      <c r="H1539">
        <v>0</v>
      </c>
      <c r="I1539">
        <v>0</v>
      </c>
    </row>
    <row r="1540" spans="1:9" x14ac:dyDescent="0.25">
      <c r="A1540">
        <v>45</v>
      </c>
      <c r="B1540">
        <v>0</v>
      </c>
      <c r="C1540">
        <v>7</v>
      </c>
      <c r="D1540">
        <v>4</v>
      </c>
      <c r="E1540">
        <v>0</v>
      </c>
      <c r="F1540">
        <v>0</v>
      </c>
      <c r="G1540">
        <v>11877</v>
      </c>
      <c r="H1540">
        <v>0</v>
      </c>
      <c r="I1540">
        <v>0</v>
      </c>
    </row>
    <row r="1541" spans="1:9" x14ac:dyDescent="0.25">
      <c r="A1541">
        <v>45</v>
      </c>
      <c r="B1541">
        <v>1</v>
      </c>
      <c r="C1541">
        <v>4</v>
      </c>
      <c r="D1541">
        <v>4</v>
      </c>
      <c r="E1541">
        <v>0</v>
      </c>
      <c r="F1541">
        <v>0</v>
      </c>
      <c r="G1541">
        <v>27689</v>
      </c>
      <c r="H1541">
        <v>0</v>
      </c>
      <c r="I1541">
        <v>0</v>
      </c>
    </row>
    <row r="1542" spans="1:9" x14ac:dyDescent="0.25">
      <c r="A1542">
        <v>45</v>
      </c>
      <c r="B1542">
        <v>1</v>
      </c>
      <c r="C1542">
        <v>10</v>
      </c>
      <c r="D1542">
        <v>3</v>
      </c>
      <c r="E1542">
        <v>0</v>
      </c>
      <c r="F1542">
        <v>0</v>
      </c>
      <c r="G1542">
        <v>17868</v>
      </c>
      <c r="H1542">
        <v>0</v>
      </c>
      <c r="I1542">
        <v>0</v>
      </c>
    </row>
    <row r="1543" spans="1:9" x14ac:dyDescent="0.25">
      <c r="A1543">
        <v>45</v>
      </c>
      <c r="B1543">
        <v>0</v>
      </c>
      <c r="C1543">
        <v>3</v>
      </c>
      <c r="D1543">
        <v>2</v>
      </c>
      <c r="E1543">
        <v>0</v>
      </c>
      <c r="F1543">
        <v>0</v>
      </c>
      <c r="G1543">
        <v>4213</v>
      </c>
      <c r="H1543">
        <v>0</v>
      </c>
      <c r="I1543">
        <v>0</v>
      </c>
    </row>
    <row r="1544" spans="1:9" x14ac:dyDescent="0.25">
      <c r="A1544">
        <v>45</v>
      </c>
      <c r="B1544">
        <v>0</v>
      </c>
      <c r="C1544">
        <v>3</v>
      </c>
      <c r="D1544">
        <v>3</v>
      </c>
      <c r="E1544">
        <v>2</v>
      </c>
      <c r="F1544">
        <v>0</v>
      </c>
      <c r="G1544">
        <v>22498</v>
      </c>
      <c r="H1544">
        <v>0</v>
      </c>
      <c r="I1544">
        <v>0</v>
      </c>
    </row>
    <row r="1545" spans="1:9" x14ac:dyDescent="0.25">
      <c r="A1545">
        <v>45</v>
      </c>
      <c r="B1545">
        <v>1</v>
      </c>
      <c r="C1545">
        <v>3</v>
      </c>
      <c r="D1545">
        <v>1</v>
      </c>
      <c r="E1545">
        <v>0</v>
      </c>
      <c r="F1545">
        <v>0</v>
      </c>
      <c r="G1545">
        <v>9682</v>
      </c>
      <c r="H1545">
        <v>0</v>
      </c>
      <c r="I1545">
        <v>0</v>
      </c>
    </row>
    <row r="1546" spans="1:9" x14ac:dyDescent="0.25">
      <c r="A1546">
        <v>45</v>
      </c>
      <c r="B1546">
        <v>0</v>
      </c>
      <c r="C1546">
        <v>4</v>
      </c>
      <c r="D1546">
        <v>2</v>
      </c>
      <c r="E1546">
        <v>0</v>
      </c>
      <c r="F1546">
        <v>0</v>
      </c>
      <c r="G1546">
        <v>8890</v>
      </c>
      <c r="H1546">
        <v>0</v>
      </c>
      <c r="I1546">
        <v>0</v>
      </c>
    </row>
    <row r="1547" spans="1:9" x14ac:dyDescent="0.25">
      <c r="A1547">
        <v>45</v>
      </c>
      <c r="B1547">
        <v>1</v>
      </c>
      <c r="C1547">
        <v>3</v>
      </c>
      <c r="D1547">
        <v>4</v>
      </c>
      <c r="E1547">
        <v>0</v>
      </c>
      <c r="F1547">
        <v>0</v>
      </c>
      <c r="G1547">
        <v>4781</v>
      </c>
      <c r="H1547">
        <v>0</v>
      </c>
      <c r="I1547">
        <v>0</v>
      </c>
    </row>
    <row r="1548" spans="1:9" x14ac:dyDescent="0.25">
      <c r="A1548">
        <v>45</v>
      </c>
      <c r="B1548">
        <v>1</v>
      </c>
      <c r="C1548">
        <v>16</v>
      </c>
      <c r="D1548">
        <v>5</v>
      </c>
      <c r="E1548">
        <v>1</v>
      </c>
      <c r="F1548">
        <v>0</v>
      </c>
      <c r="G1548">
        <v>38789</v>
      </c>
      <c r="H1548">
        <v>0</v>
      </c>
      <c r="I1548">
        <v>0</v>
      </c>
    </row>
    <row r="1549" spans="1:9" x14ac:dyDescent="0.25">
      <c r="A1549">
        <v>45</v>
      </c>
      <c r="B1549">
        <v>0</v>
      </c>
      <c r="C1549">
        <v>3</v>
      </c>
      <c r="D1549">
        <v>2</v>
      </c>
      <c r="E1549">
        <v>1</v>
      </c>
      <c r="F1549">
        <v>0</v>
      </c>
      <c r="G1549">
        <v>5612</v>
      </c>
      <c r="H1549">
        <v>0</v>
      </c>
      <c r="I1549">
        <v>0</v>
      </c>
    </row>
    <row r="1550" spans="1:9" x14ac:dyDescent="0.25">
      <c r="A1550">
        <v>45</v>
      </c>
      <c r="B1550">
        <v>0</v>
      </c>
      <c r="C1550">
        <v>4</v>
      </c>
      <c r="D1550">
        <v>2</v>
      </c>
      <c r="E1550">
        <v>0</v>
      </c>
      <c r="F1550">
        <v>0</v>
      </c>
      <c r="G1550">
        <v>15202</v>
      </c>
      <c r="H1550">
        <v>0</v>
      </c>
      <c r="I1550">
        <v>0</v>
      </c>
    </row>
    <row r="1551" spans="1:9" x14ac:dyDescent="0.25">
      <c r="A1551">
        <v>45</v>
      </c>
      <c r="B1551">
        <v>1</v>
      </c>
      <c r="C1551">
        <v>2</v>
      </c>
      <c r="D1551">
        <v>2</v>
      </c>
      <c r="E1551">
        <v>1</v>
      </c>
      <c r="F1551">
        <v>0</v>
      </c>
      <c r="G1551">
        <v>15035</v>
      </c>
      <c r="H1551">
        <v>1</v>
      </c>
      <c r="I1551">
        <v>0</v>
      </c>
    </row>
    <row r="1552" spans="1:9" x14ac:dyDescent="0.25">
      <c r="A1552">
        <v>45</v>
      </c>
      <c r="B1552">
        <v>0</v>
      </c>
      <c r="C1552">
        <v>11</v>
      </c>
      <c r="D1552">
        <v>2</v>
      </c>
      <c r="E1552">
        <v>2</v>
      </c>
      <c r="F1552">
        <v>0</v>
      </c>
      <c r="G1552">
        <v>29697</v>
      </c>
      <c r="H1552">
        <v>1</v>
      </c>
      <c r="I1552">
        <v>0</v>
      </c>
    </row>
    <row r="1553" spans="1:9" x14ac:dyDescent="0.25">
      <c r="A1553">
        <v>45</v>
      </c>
      <c r="B1553">
        <v>0</v>
      </c>
      <c r="C1553">
        <v>9</v>
      </c>
      <c r="D1553">
        <v>2</v>
      </c>
      <c r="E1553">
        <v>2</v>
      </c>
      <c r="F1553">
        <v>0</v>
      </c>
      <c r="G1553">
        <v>49603</v>
      </c>
      <c r="H1553">
        <v>1</v>
      </c>
      <c r="I1553">
        <v>0</v>
      </c>
    </row>
    <row r="1554" spans="1:9" x14ac:dyDescent="0.25">
      <c r="A1554">
        <v>44</v>
      </c>
      <c r="B1554">
        <v>1</v>
      </c>
      <c r="C1554">
        <v>1</v>
      </c>
      <c r="D1554">
        <v>3</v>
      </c>
      <c r="E1554">
        <v>0</v>
      </c>
      <c r="F1554">
        <v>0</v>
      </c>
      <c r="G1554">
        <v>7930</v>
      </c>
      <c r="H1554">
        <v>0</v>
      </c>
      <c r="I1554">
        <v>0</v>
      </c>
    </row>
    <row r="1555" spans="1:9" x14ac:dyDescent="0.25">
      <c r="A1555">
        <v>44</v>
      </c>
      <c r="B1555">
        <v>1</v>
      </c>
      <c r="C1555">
        <v>4</v>
      </c>
      <c r="D1555">
        <v>4</v>
      </c>
      <c r="E1555">
        <v>0</v>
      </c>
      <c r="F1555">
        <v>0</v>
      </c>
      <c r="G1555">
        <v>9777</v>
      </c>
      <c r="H1555">
        <v>0</v>
      </c>
      <c r="I1555">
        <v>0</v>
      </c>
    </row>
    <row r="1556" spans="1:9" x14ac:dyDescent="0.25">
      <c r="A1556">
        <v>44</v>
      </c>
      <c r="B1556">
        <v>0</v>
      </c>
      <c r="C1556">
        <v>7</v>
      </c>
      <c r="D1556">
        <v>4</v>
      </c>
      <c r="E1556">
        <v>0</v>
      </c>
      <c r="F1556">
        <v>0</v>
      </c>
      <c r="G1556">
        <v>27532</v>
      </c>
      <c r="H1556">
        <v>0</v>
      </c>
      <c r="I1556">
        <v>0</v>
      </c>
    </row>
    <row r="1557" spans="1:9" x14ac:dyDescent="0.25">
      <c r="A1557">
        <v>44</v>
      </c>
      <c r="B1557">
        <v>1</v>
      </c>
      <c r="C1557">
        <v>3</v>
      </c>
      <c r="D1557">
        <v>2</v>
      </c>
      <c r="E1557">
        <v>0</v>
      </c>
      <c r="F1557">
        <v>0</v>
      </c>
      <c r="G1557">
        <v>8058</v>
      </c>
      <c r="H1557">
        <v>0</v>
      </c>
      <c r="I1557">
        <v>0</v>
      </c>
    </row>
    <row r="1558" spans="1:9" x14ac:dyDescent="0.25">
      <c r="A1558">
        <v>44</v>
      </c>
      <c r="B1558">
        <v>0</v>
      </c>
      <c r="C1558">
        <v>4</v>
      </c>
      <c r="D1558">
        <v>2</v>
      </c>
      <c r="E1558">
        <v>0</v>
      </c>
      <c r="F1558">
        <v>0</v>
      </c>
      <c r="G1558">
        <v>22117</v>
      </c>
      <c r="H1558">
        <v>0</v>
      </c>
      <c r="I1558">
        <v>0</v>
      </c>
    </row>
    <row r="1559" spans="1:9" x14ac:dyDescent="0.25">
      <c r="A1559">
        <v>44</v>
      </c>
      <c r="B1559">
        <v>1</v>
      </c>
      <c r="C1559">
        <v>7</v>
      </c>
      <c r="D1559">
        <v>4</v>
      </c>
      <c r="E1559">
        <v>0</v>
      </c>
      <c r="F1559">
        <v>0</v>
      </c>
      <c r="G1559">
        <v>11546</v>
      </c>
      <c r="H1559">
        <v>0</v>
      </c>
      <c r="I1559">
        <v>0</v>
      </c>
    </row>
    <row r="1560" spans="1:9" x14ac:dyDescent="0.25">
      <c r="A1560">
        <v>44</v>
      </c>
      <c r="B1560">
        <v>1</v>
      </c>
      <c r="C1560">
        <v>5</v>
      </c>
      <c r="D1560">
        <v>5</v>
      </c>
      <c r="E1560">
        <v>0</v>
      </c>
      <c r="F1560">
        <v>0</v>
      </c>
      <c r="G1560">
        <v>6808</v>
      </c>
      <c r="H1560">
        <v>0</v>
      </c>
      <c r="I1560">
        <v>0</v>
      </c>
    </row>
    <row r="1561" spans="1:9" x14ac:dyDescent="0.25">
      <c r="A1561">
        <v>44</v>
      </c>
      <c r="B1561">
        <v>1</v>
      </c>
      <c r="C1561">
        <v>13</v>
      </c>
      <c r="D1561">
        <v>4</v>
      </c>
      <c r="E1561">
        <v>0</v>
      </c>
      <c r="F1561">
        <v>0</v>
      </c>
      <c r="G1561">
        <v>19701</v>
      </c>
      <c r="H1561">
        <v>0</v>
      </c>
      <c r="I1561">
        <v>0</v>
      </c>
    </row>
    <row r="1562" spans="1:9" x14ac:dyDescent="0.25">
      <c r="A1562">
        <v>44</v>
      </c>
      <c r="B1562">
        <v>1</v>
      </c>
      <c r="C1562">
        <v>3</v>
      </c>
      <c r="D1562">
        <v>4</v>
      </c>
      <c r="E1562">
        <v>0</v>
      </c>
      <c r="F1562">
        <v>0</v>
      </c>
      <c r="G1562">
        <v>12681</v>
      </c>
      <c r="H1562">
        <v>0</v>
      </c>
      <c r="I1562">
        <v>0</v>
      </c>
    </row>
    <row r="1563" spans="1:9" x14ac:dyDescent="0.25">
      <c r="A1563">
        <v>44</v>
      </c>
      <c r="B1563">
        <v>1</v>
      </c>
      <c r="C1563">
        <v>2</v>
      </c>
      <c r="D1563">
        <v>3</v>
      </c>
      <c r="E1563">
        <v>0</v>
      </c>
      <c r="F1563">
        <v>0</v>
      </c>
      <c r="G1563">
        <v>15085</v>
      </c>
      <c r="H1563">
        <v>0</v>
      </c>
      <c r="I1563">
        <v>0</v>
      </c>
    </row>
    <row r="1564" spans="1:9" x14ac:dyDescent="0.25">
      <c r="A1564">
        <v>44</v>
      </c>
      <c r="B1564">
        <v>1</v>
      </c>
      <c r="C1564">
        <v>14</v>
      </c>
      <c r="D1564">
        <v>4</v>
      </c>
      <c r="E1564">
        <v>0</v>
      </c>
      <c r="F1564">
        <v>0</v>
      </c>
      <c r="G1564">
        <v>27959</v>
      </c>
      <c r="H1564">
        <v>0</v>
      </c>
      <c r="I1564">
        <v>0</v>
      </c>
    </row>
    <row r="1565" spans="1:9" x14ac:dyDescent="0.25">
      <c r="A1565">
        <v>44</v>
      </c>
      <c r="B1565">
        <v>0</v>
      </c>
      <c r="C1565">
        <v>7</v>
      </c>
      <c r="D1565">
        <v>4</v>
      </c>
      <c r="E1565">
        <v>0</v>
      </c>
      <c r="F1565">
        <v>0</v>
      </c>
      <c r="G1565">
        <v>12376</v>
      </c>
      <c r="H1565">
        <v>0</v>
      </c>
      <c r="I1565">
        <v>0</v>
      </c>
    </row>
    <row r="1566" spans="1:9" x14ac:dyDescent="0.25">
      <c r="A1566">
        <v>44</v>
      </c>
      <c r="B1566">
        <v>1</v>
      </c>
      <c r="C1566">
        <v>3</v>
      </c>
      <c r="D1566">
        <v>0</v>
      </c>
      <c r="E1566">
        <v>0</v>
      </c>
      <c r="F1566">
        <v>0</v>
      </c>
      <c r="G1566">
        <v>8820</v>
      </c>
      <c r="H1566">
        <v>0</v>
      </c>
      <c r="I1566">
        <v>0</v>
      </c>
    </row>
    <row r="1567" spans="1:9" x14ac:dyDescent="0.25">
      <c r="A1567">
        <v>44</v>
      </c>
      <c r="B1567">
        <v>1</v>
      </c>
      <c r="C1567">
        <v>1</v>
      </c>
      <c r="D1567">
        <v>5</v>
      </c>
      <c r="E1567">
        <v>0</v>
      </c>
      <c r="F1567">
        <v>0</v>
      </c>
      <c r="G1567">
        <v>8397</v>
      </c>
      <c r="H1567">
        <v>0</v>
      </c>
      <c r="I1567">
        <v>0</v>
      </c>
    </row>
    <row r="1568" spans="1:9" x14ac:dyDescent="0.25">
      <c r="A1568">
        <v>44</v>
      </c>
      <c r="B1568">
        <v>0</v>
      </c>
      <c r="C1568">
        <v>4</v>
      </c>
      <c r="D1568">
        <v>2</v>
      </c>
      <c r="E1568">
        <v>1</v>
      </c>
      <c r="F1568">
        <v>0</v>
      </c>
      <c r="G1568">
        <v>26980</v>
      </c>
      <c r="H1568">
        <v>0</v>
      </c>
      <c r="I1568">
        <v>0</v>
      </c>
    </row>
    <row r="1569" spans="1:9" x14ac:dyDescent="0.25">
      <c r="A1569">
        <v>44</v>
      </c>
      <c r="B1569">
        <v>0</v>
      </c>
      <c r="C1569">
        <v>7</v>
      </c>
      <c r="D1569">
        <v>5</v>
      </c>
      <c r="E1569">
        <v>0</v>
      </c>
      <c r="F1569">
        <v>0</v>
      </c>
      <c r="G1569">
        <v>11121</v>
      </c>
      <c r="H1569">
        <v>0</v>
      </c>
      <c r="I1569">
        <v>0</v>
      </c>
    </row>
    <row r="1570" spans="1:9" x14ac:dyDescent="0.25">
      <c r="A1570">
        <v>44</v>
      </c>
      <c r="B1570">
        <v>1</v>
      </c>
      <c r="C1570">
        <v>2</v>
      </c>
      <c r="D1570">
        <v>5</v>
      </c>
      <c r="E1570">
        <v>0</v>
      </c>
      <c r="F1570">
        <v>0</v>
      </c>
      <c r="G1570">
        <v>6439</v>
      </c>
      <c r="H1570">
        <v>0</v>
      </c>
      <c r="I1570">
        <v>0</v>
      </c>
    </row>
    <row r="1571" spans="1:9" x14ac:dyDescent="0.25">
      <c r="A1571">
        <v>44</v>
      </c>
      <c r="B1571">
        <v>0</v>
      </c>
      <c r="C1571">
        <v>3</v>
      </c>
      <c r="D1571">
        <v>2</v>
      </c>
      <c r="E1571">
        <v>1</v>
      </c>
      <c r="F1571">
        <v>0</v>
      </c>
      <c r="G1571">
        <v>9100</v>
      </c>
      <c r="H1571">
        <v>0</v>
      </c>
      <c r="I1571">
        <v>0</v>
      </c>
    </row>
    <row r="1572" spans="1:9" x14ac:dyDescent="0.25">
      <c r="A1572">
        <v>44</v>
      </c>
      <c r="B1572">
        <v>1</v>
      </c>
      <c r="C1572">
        <v>4</v>
      </c>
      <c r="D1572">
        <v>0</v>
      </c>
      <c r="E1572">
        <v>0</v>
      </c>
      <c r="F1572">
        <v>0</v>
      </c>
      <c r="G1572">
        <v>10841</v>
      </c>
      <c r="H1572">
        <v>0</v>
      </c>
      <c r="I1572">
        <v>0</v>
      </c>
    </row>
    <row r="1573" spans="1:9" x14ac:dyDescent="0.25">
      <c r="A1573">
        <v>44</v>
      </c>
      <c r="B1573">
        <v>1</v>
      </c>
      <c r="C1573">
        <v>3</v>
      </c>
      <c r="D1573">
        <v>4</v>
      </c>
      <c r="E1573">
        <v>0</v>
      </c>
      <c r="F1573">
        <v>0</v>
      </c>
      <c r="G1573">
        <v>13291</v>
      </c>
      <c r="H1573">
        <v>0</v>
      </c>
      <c r="I1573">
        <v>0</v>
      </c>
    </row>
    <row r="1574" spans="1:9" x14ac:dyDescent="0.25">
      <c r="A1574">
        <v>44</v>
      </c>
      <c r="B1574">
        <v>1</v>
      </c>
      <c r="C1574">
        <v>3</v>
      </c>
      <c r="D1574">
        <v>2</v>
      </c>
      <c r="E1574">
        <v>1</v>
      </c>
      <c r="F1574">
        <v>0</v>
      </c>
      <c r="G1574">
        <v>16199</v>
      </c>
      <c r="H1574">
        <v>1</v>
      </c>
      <c r="I1574">
        <v>0</v>
      </c>
    </row>
    <row r="1575" spans="1:9" x14ac:dyDescent="0.25">
      <c r="A1575">
        <v>44</v>
      </c>
      <c r="B1575">
        <v>1</v>
      </c>
      <c r="C1575">
        <v>3</v>
      </c>
      <c r="D1575">
        <v>1</v>
      </c>
      <c r="E1575">
        <v>1</v>
      </c>
      <c r="F1575">
        <v>0</v>
      </c>
      <c r="G1575">
        <v>21235</v>
      </c>
      <c r="H1575">
        <v>1</v>
      </c>
      <c r="I1575">
        <v>0</v>
      </c>
    </row>
    <row r="1576" spans="1:9" x14ac:dyDescent="0.25">
      <c r="A1576">
        <v>44</v>
      </c>
      <c r="B1576">
        <v>1</v>
      </c>
      <c r="C1576">
        <v>2</v>
      </c>
      <c r="D1576">
        <v>1</v>
      </c>
      <c r="E1576">
        <v>2</v>
      </c>
      <c r="F1576">
        <v>0</v>
      </c>
      <c r="G1576">
        <v>16220</v>
      </c>
      <c r="H1576">
        <v>1</v>
      </c>
      <c r="I1576">
        <v>0</v>
      </c>
    </row>
    <row r="1577" spans="1:9" x14ac:dyDescent="0.25">
      <c r="A1577">
        <v>44</v>
      </c>
      <c r="B1577">
        <v>1</v>
      </c>
      <c r="C1577">
        <v>43</v>
      </c>
      <c r="D1577">
        <v>5</v>
      </c>
      <c r="E1577">
        <v>6</v>
      </c>
      <c r="F1577">
        <v>0</v>
      </c>
      <c r="G1577">
        <v>196938</v>
      </c>
      <c r="H1577">
        <v>1</v>
      </c>
      <c r="I1577">
        <v>0</v>
      </c>
    </row>
    <row r="1578" spans="1:9" x14ac:dyDescent="0.25">
      <c r="A1578">
        <v>44</v>
      </c>
      <c r="B1578">
        <v>0</v>
      </c>
      <c r="C1578">
        <v>33</v>
      </c>
      <c r="D1578">
        <v>3</v>
      </c>
      <c r="E1578">
        <v>6</v>
      </c>
      <c r="F1578">
        <v>0</v>
      </c>
      <c r="G1578">
        <v>105179</v>
      </c>
      <c r="H1578">
        <v>1</v>
      </c>
      <c r="I1578">
        <v>0</v>
      </c>
    </row>
    <row r="1579" spans="1:9" x14ac:dyDescent="0.25">
      <c r="A1579">
        <v>43</v>
      </c>
      <c r="B1579">
        <v>1</v>
      </c>
      <c r="C1579">
        <v>9</v>
      </c>
      <c r="D1579">
        <v>5</v>
      </c>
      <c r="E1579">
        <v>0</v>
      </c>
      <c r="F1579">
        <v>0</v>
      </c>
      <c r="G1579">
        <v>13508</v>
      </c>
      <c r="H1579">
        <v>0</v>
      </c>
      <c r="I1579">
        <v>0</v>
      </c>
    </row>
    <row r="1580" spans="1:9" x14ac:dyDescent="0.25">
      <c r="A1580">
        <v>43</v>
      </c>
      <c r="B1580">
        <v>0</v>
      </c>
      <c r="C1580">
        <v>7</v>
      </c>
      <c r="D1580">
        <v>4</v>
      </c>
      <c r="E1580">
        <v>0</v>
      </c>
      <c r="F1580">
        <v>0</v>
      </c>
      <c r="G1580">
        <v>10610</v>
      </c>
      <c r="H1580">
        <v>0</v>
      </c>
      <c r="I1580">
        <v>0</v>
      </c>
    </row>
    <row r="1581" spans="1:9" x14ac:dyDescent="0.25">
      <c r="A1581">
        <v>43</v>
      </c>
      <c r="B1581">
        <v>1</v>
      </c>
      <c r="C1581">
        <v>11</v>
      </c>
      <c r="D1581">
        <v>6</v>
      </c>
      <c r="E1581">
        <v>0</v>
      </c>
      <c r="F1581">
        <v>0</v>
      </c>
      <c r="G1581">
        <v>20623</v>
      </c>
      <c r="H1581">
        <v>0</v>
      </c>
      <c r="I1581">
        <v>0</v>
      </c>
    </row>
    <row r="1582" spans="1:9" x14ac:dyDescent="0.25">
      <c r="A1582">
        <v>43</v>
      </c>
      <c r="B1582">
        <v>1</v>
      </c>
      <c r="C1582">
        <v>4</v>
      </c>
      <c r="D1582">
        <v>4</v>
      </c>
      <c r="E1582">
        <v>0</v>
      </c>
      <c r="F1582">
        <v>0</v>
      </c>
      <c r="G1582">
        <v>5673</v>
      </c>
      <c r="H1582">
        <v>0</v>
      </c>
      <c r="I1582">
        <v>0</v>
      </c>
    </row>
    <row r="1583" spans="1:9" x14ac:dyDescent="0.25">
      <c r="A1583">
        <v>43</v>
      </c>
      <c r="B1583">
        <v>0</v>
      </c>
      <c r="C1583">
        <v>4</v>
      </c>
      <c r="D1583">
        <v>3</v>
      </c>
      <c r="E1583">
        <v>0</v>
      </c>
      <c r="F1583">
        <v>0</v>
      </c>
      <c r="G1583">
        <v>12953</v>
      </c>
      <c r="H1583">
        <v>0</v>
      </c>
      <c r="I1583">
        <v>0</v>
      </c>
    </row>
    <row r="1584" spans="1:9" x14ac:dyDescent="0.25">
      <c r="A1584">
        <v>43</v>
      </c>
      <c r="B1584">
        <v>0</v>
      </c>
      <c r="C1584">
        <v>2</v>
      </c>
      <c r="D1584">
        <v>4</v>
      </c>
      <c r="E1584">
        <v>0</v>
      </c>
      <c r="F1584">
        <v>0</v>
      </c>
      <c r="G1584">
        <v>9198</v>
      </c>
      <c r="H1584">
        <v>0</v>
      </c>
      <c r="I1584">
        <v>0</v>
      </c>
    </row>
    <row r="1585" spans="1:9" x14ac:dyDescent="0.25">
      <c r="A1585">
        <v>43</v>
      </c>
      <c r="B1585">
        <v>1</v>
      </c>
      <c r="C1585">
        <v>2</v>
      </c>
      <c r="D1585">
        <v>4</v>
      </c>
      <c r="E1585">
        <v>0</v>
      </c>
      <c r="F1585">
        <v>0</v>
      </c>
      <c r="G1585">
        <v>10503</v>
      </c>
      <c r="H1585">
        <v>0</v>
      </c>
      <c r="I1585">
        <v>0</v>
      </c>
    </row>
    <row r="1586" spans="1:9" x14ac:dyDescent="0.25">
      <c r="A1586">
        <v>43</v>
      </c>
      <c r="B1586">
        <v>1</v>
      </c>
      <c r="C1586">
        <v>6</v>
      </c>
      <c r="D1586">
        <v>3</v>
      </c>
      <c r="E1586">
        <v>0</v>
      </c>
      <c r="F1586">
        <v>0</v>
      </c>
      <c r="G1586">
        <v>19540</v>
      </c>
      <c r="H1586">
        <v>0</v>
      </c>
      <c r="I1586">
        <v>0</v>
      </c>
    </row>
    <row r="1587" spans="1:9" x14ac:dyDescent="0.25">
      <c r="A1587">
        <v>43</v>
      </c>
      <c r="B1587">
        <v>0</v>
      </c>
      <c r="C1587">
        <v>0</v>
      </c>
      <c r="D1587">
        <v>6</v>
      </c>
      <c r="E1587">
        <v>0</v>
      </c>
      <c r="F1587">
        <v>0</v>
      </c>
      <c r="G1587">
        <v>9831</v>
      </c>
      <c r="H1587">
        <v>0</v>
      </c>
      <c r="I1587">
        <v>0</v>
      </c>
    </row>
    <row r="1588" spans="1:9" x14ac:dyDescent="0.25">
      <c r="A1588">
        <v>43</v>
      </c>
      <c r="B1588">
        <v>0</v>
      </c>
      <c r="C1588">
        <v>6</v>
      </c>
      <c r="D1588">
        <v>3</v>
      </c>
      <c r="E1588">
        <v>0</v>
      </c>
      <c r="F1588">
        <v>0</v>
      </c>
      <c r="G1588">
        <v>8566</v>
      </c>
      <c r="H1588">
        <v>0</v>
      </c>
      <c r="I1588">
        <v>0</v>
      </c>
    </row>
    <row r="1589" spans="1:9" x14ac:dyDescent="0.25">
      <c r="A1589">
        <v>43</v>
      </c>
      <c r="B1589">
        <v>0</v>
      </c>
      <c r="C1589">
        <v>0</v>
      </c>
      <c r="D1589">
        <v>3</v>
      </c>
      <c r="E1589">
        <v>0</v>
      </c>
      <c r="F1589">
        <v>0</v>
      </c>
      <c r="G1589">
        <v>9652</v>
      </c>
      <c r="H1589">
        <v>0</v>
      </c>
      <c r="I1589">
        <v>0</v>
      </c>
    </row>
    <row r="1590" spans="1:9" x14ac:dyDescent="0.25">
      <c r="A1590">
        <v>43</v>
      </c>
      <c r="B1590">
        <v>0</v>
      </c>
      <c r="C1590">
        <v>9</v>
      </c>
      <c r="D1590">
        <v>2</v>
      </c>
      <c r="E1590">
        <v>0</v>
      </c>
      <c r="F1590">
        <v>0</v>
      </c>
      <c r="G1590">
        <v>18029</v>
      </c>
      <c r="H1590">
        <v>0</v>
      </c>
      <c r="I1590">
        <v>0</v>
      </c>
    </row>
    <row r="1591" spans="1:9" x14ac:dyDescent="0.25">
      <c r="A1591">
        <v>43</v>
      </c>
      <c r="B1591">
        <v>1</v>
      </c>
      <c r="C1591">
        <v>8</v>
      </c>
      <c r="D1591">
        <v>2</v>
      </c>
      <c r="E1591">
        <v>0</v>
      </c>
      <c r="F1591">
        <v>0</v>
      </c>
      <c r="G1591">
        <v>16720</v>
      </c>
      <c r="H1591">
        <v>0</v>
      </c>
      <c r="I1591">
        <v>0</v>
      </c>
    </row>
    <row r="1592" spans="1:9" x14ac:dyDescent="0.25">
      <c r="A1592">
        <v>43</v>
      </c>
      <c r="B1592">
        <v>1</v>
      </c>
      <c r="C1592">
        <v>2</v>
      </c>
      <c r="D1592">
        <v>2</v>
      </c>
      <c r="E1592">
        <v>0</v>
      </c>
      <c r="F1592">
        <v>0</v>
      </c>
      <c r="G1592">
        <v>5202</v>
      </c>
      <c r="H1592">
        <v>0</v>
      </c>
      <c r="I1592">
        <v>0</v>
      </c>
    </row>
    <row r="1593" spans="1:9" x14ac:dyDescent="0.25">
      <c r="A1593">
        <v>43</v>
      </c>
      <c r="B1593">
        <v>0</v>
      </c>
      <c r="C1593">
        <v>7</v>
      </c>
      <c r="D1593">
        <v>4</v>
      </c>
      <c r="E1593">
        <v>0</v>
      </c>
      <c r="F1593">
        <v>0</v>
      </c>
      <c r="G1593">
        <v>13145</v>
      </c>
      <c r="H1593">
        <v>0</v>
      </c>
      <c r="I1593">
        <v>0</v>
      </c>
    </row>
    <row r="1594" spans="1:9" x14ac:dyDescent="0.25">
      <c r="A1594">
        <v>43</v>
      </c>
      <c r="B1594">
        <v>0</v>
      </c>
      <c r="C1594">
        <v>3</v>
      </c>
      <c r="D1594">
        <v>4</v>
      </c>
      <c r="E1594">
        <v>3</v>
      </c>
      <c r="F1594">
        <v>0</v>
      </c>
      <c r="G1594">
        <v>20593</v>
      </c>
      <c r="H1594">
        <v>0</v>
      </c>
      <c r="I1594">
        <v>0</v>
      </c>
    </row>
    <row r="1595" spans="1:9" x14ac:dyDescent="0.25">
      <c r="A1595">
        <v>43</v>
      </c>
      <c r="B1595">
        <v>0</v>
      </c>
      <c r="C1595">
        <v>5</v>
      </c>
      <c r="D1595">
        <v>2</v>
      </c>
      <c r="E1595">
        <v>1</v>
      </c>
      <c r="F1595">
        <v>0</v>
      </c>
      <c r="G1595">
        <v>19406</v>
      </c>
      <c r="H1595">
        <v>0</v>
      </c>
      <c r="I1595">
        <v>0</v>
      </c>
    </row>
    <row r="1596" spans="1:9" x14ac:dyDescent="0.25">
      <c r="A1596">
        <v>43</v>
      </c>
      <c r="B1596">
        <v>0</v>
      </c>
      <c r="C1596">
        <v>2</v>
      </c>
      <c r="D1596">
        <v>6</v>
      </c>
      <c r="E1596">
        <v>0</v>
      </c>
      <c r="F1596">
        <v>0</v>
      </c>
      <c r="G1596">
        <v>7594</v>
      </c>
      <c r="H1596">
        <v>0</v>
      </c>
      <c r="I1596">
        <v>0</v>
      </c>
    </row>
    <row r="1597" spans="1:9" x14ac:dyDescent="0.25">
      <c r="A1597">
        <v>43</v>
      </c>
      <c r="B1597">
        <v>1</v>
      </c>
      <c r="C1597">
        <v>6</v>
      </c>
      <c r="D1597">
        <v>2</v>
      </c>
      <c r="E1597">
        <v>2</v>
      </c>
      <c r="F1597">
        <v>0</v>
      </c>
      <c r="G1597">
        <v>22504</v>
      </c>
      <c r="H1597">
        <v>1</v>
      </c>
      <c r="I1597">
        <v>0</v>
      </c>
    </row>
    <row r="1598" spans="1:9" x14ac:dyDescent="0.25">
      <c r="A1598">
        <v>43</v>
      </c>
      <c r="B1598">
        <v>1</v>
      </c>
      <c r="C1598">
        <v>7</v>
      </c>
      <c r="D1598">
        <v>4</v>
      </c>
      <c r="E1598">
        <v>1</v>
      </c>
      <c r="F1598">
        <v>0</v>
      </c>
      <c r="G1598">
        <v>21819</v>
      </c>
      <c r="H1598">
        <v>1</v>
      </c>
      <c r="I1598">
        <v>0</v>
      </c>
    </row>
    <row r="1599" spans="1:9" x14ac:dyDescent="0.25">
      <c r="A1599">
        <v>43</v>
      </c>
      <c r="B1599">
        <v>1</v>
      </c>
      <c r="C1599">
        <v>3</v>
      </c>
      <c r="D1599">
        <v>1</v>
      </c>
      <c r="E1599">
        <v>1</v>
      </c>
      <c r="F1599">
        <v>0</v>
      </c>
      <c r="G1599">
        <v>42228</v>
      </c>
      <c r="H1599">
        <v>1</v>
      </c>
      <c r="I1599">
        <v>0</v>
      </c>
    </row>
    <row r="1600" spans="1:9" x14ac:dyDescent="0.25">
      <c r="A1600">
        <v>43</v>
      </c>
      <c r="B1600">
        <v>1</v>
      </c>
      <c r="C1600">
        <v>5</v>
      </c>
      <c r="D1600">
        <v>5</v>
      </c>
      <c r="E1600">
        <v>1</v>
      </c>
      <c r="F1600">
        <v>0</v>
      </c>
      <c r="G1600">
        <v>25545</v>
      </c>
      <c r="H1600">
        <v>1</v>
      </c>
      <c r="I1600">
        <v>0</v>
      </c>
    </row>
    <row r="1601" spans="1:9" x14ac:dyDescent="0.25">
      <c r="A1601">
        <v>43</v>
      </c>
      <c r="B1601">
        <v>1</v>
      </c>
      <c r="C1601">
        <v>1</v>
      </c>
      <c r="D1601">
        <v>8</v>
      </c>
      <c r="E1601">
        <v>2</v>
      </c>
      <c r="F1601">
        <v>0</v>
      </c>
      <c r="G1601">
        <v>20748</v>
      </c>
      <c r="H1601">
        <v>1</v>
      </c>
      <c r="I1601">
        <v>0</v>
      </c>
    </row>
    <row r="1602" spans="1:9" x14ac:dyDescent="0.25">
      <c r="A1602">
        <v>43</v>
      </c>
      <c r="B1602">
        <v>1</v>
      </c>
      <c r="C1602">
        <v>5</v>
      </c>
      <c r="D1602">
        <v>0</v>
      </c>
      <c r="E1602">
        <v>1</v>
      </c>
      <c r="F1602">
        <v>0</v>
      </c>
      <c r="G1602">
        <v>79450</v>
      </c>
      <c r="H1602">
        <v>1</v>
      </c>
      <c r="I1602">
        <v>0</v>
      </c>
    </row>
    <row r="1603" spans="1:9" x14ac:dyDescent="0.25">
      <c r="A1603">
        <v>42</v>
      </c>
      <c r="B1603">
        <v>1</v>
      </c>
      <c r="C1603">
        <v>2</v>
      </c>
      <c r="D1603">
        <v>0</v>
      </c>
      <c r="E1603">
        <v>1</v>
      </c>
      <c r="F1603">
        <v>0</v>
      </c>
      <c r="G1603">
        <v>5218</v>
      </c>
      <c r="H1603">
        <v>0</v>
      </c>
      <c r="I1603">
        <v>0</v>
      </c>
    </row>
    <row r="1604" spans="1:9" x14ac:dyDescent="0.25">
      <c r="A1604">
        <v>42</v>
      </c>
      <c r="B1604">
        <v>0</v>
      </c>
      <c r="C1604">
        <v>6</v>
      </c>
      <c r="D1604">
        <v>1</v>
      </c>
      <c r="E1604">
        <v>1</v>
      </c>
      <c r="F1604">
        <v>0</v>
      </c>
      <c r="G1604">
        <v>14522</v>
      </c>
      <c r="H1604">
        <v>0</v>
      </c>
      <c r="I1604">
        <v>0</v>
      </c>
    </row>
    <row r="1605" spans="1:9" x14ac:dyDescent="0.25">
      <c r="A1605">
        <v>42</v>
      </c>
      <c r="B1605">
        <v>0</v>
      </c>
      <c r="C1605">
        <v>2</v>
      </c>
      <c r="D1605">
        <v>3</v>
      </c>
      <c r="E1605">
        <v>0</v>
      </c>
      <c r="F1605">
        <v>0</v>
      </c>
      <c r="G1605">
        <v>14546</v>
      </c>
      <c r="H1605">
        <v>0</v>
      </c>
      <c r="I1605">
        <v>0</v>
      </c>
    </row>
    <row r="1606" spans="1:9" x14ac:dyDescent="0.25">
      <c r="A1606">
        <v>42</v>
      </c>
      <c r="B1606">
        <v>0</v>
      </c>
      <c r="C1606">
        <v>1</v>
      </c>
      <c r="D1606">
        <v>5</v>
      </c>
      <c r="E1606">
        <v>0</v>
      </c>
      <c r="F1606">
        <v>0</v>
      </c>
      <c r="G1606">
        <v>13038</v>
      </c>
      <c r="H1606">
        <v>0</v>
      </c>
      <c r="I1606">
        <v>0</v>
      </c>
    </row>
    <row r="1607" spans="1:9" x14ac:dyDescent="0.25">
      <c r="A1607">
        <v>42</v>
      </c>
      <c r="B1607">
        <v>0</v>
      </c>
      <c r="C1607">
        <v>6</v>
      </c>
      <c r="D1607">
        <v>2</v>
      </c>
      <c r="E1607">
        <v>0</v>
      </c>
      <c r="F1607">
        <v>0</v>
      </c>
      <c r="G1607">
        <v>9855</v>
      </c>
      <c r="H1607">
        <v>0</v>
      </c>
      <c r="I1607">
        <v>0</v>
      </c>
    </row>
    <row r="1608" spans="1:9" x14ac:dyDescent="0.25">
      <c r="A1608">
        <v>42</v>
      </c>
      <c r="B1608">
        <v>1</v>
      </c>
      <c r="C1608">
        <v>1</v>
      </c>
      <c r="D1608">
        <v>0</v>
      </c>
      <c r="E1608">
        <v>0</v>
      </c>
      <c r="F1608">
        <v>0</v>
      </c>
      <c r="G1608">
        <v>8095</v>
      </c>
      <c r="H1608">
        <v>0</v>
      </c>
      <c r="I1608">
        <v>0</v>
      </c>
    </row>
    <row r="1609" spans="1:9" x14ac:dyDescent="0.25">
      <c r="A1609">
        <v>42</v>
      </c>
      <c r="B1609">
        <v>1</v>
      </c>
      <c r="C1609">
        <v>10</v>
      </c>
      <c r="D1609">
        <v>5</v>
      </c>
      <c r="E1609">
        <v>0</v>
      </c>
      <c r="F1609">
        <v>0</v>
      </c>
      <c r="G1609">
        <v>14231</v>
      </c>
      <c r="H1609">
        <v>0</v>
      </c>
      <c r="I1609">
        <v>0</v>
      </c>
    </row>
    <row r="1610" spans="1:9" x14ac:dyDescent="0.25">
      <c r="A1610">
        <v>42</v>
      </c>
      <c r="B1610">
        <v>1</v>
      </c>
      <c r="C1610">
        <v>5</v>
      </c>
      <c r="D1610">
        <v>2</v>
      </c>
      <c r="E1610">
        <v>1</v>
      </c>
      <c r="F1610">
        <v>0</v>
      </c>
      <c r="G1610">
        <v>17534</v>
      </c>
      <c r="H1610">
        <v>0</v>
      </c>
      <c r="I1610">
        <v>0</v>
      </c>
    </row>
    <row r="1611" spans="1:9" x14ac:dyDescent="0.25">
      <c r="A1611">
        <v>42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4762</v>
      </c>
      <c r="H1611">
        <v>0</v>
      </c>
      <c r="I1611">
        <v>0</v>
      </c>
    </row>
    <row r="1612" spans="1:9" x14ac:dyDescent="0.25">
      <c r="A1612">
        <v>42</v>
      </c>
      <c r="B1612">
        <v>0</v>
      </c>
      <c r="C1612">
        <v>3</v>
      </c>
      <c r="D1612">
        <v>3</v>
      </c>
      <c r="E1612">
        <v>0</v>
      </c>
      <c r="F1612">
        <v>0</v>
      </c>
      <c r="G1612">
        <v>15235</v>
      </c>
      <c r="H1612">
        <v>0</v>
      </c>
      <c r="I1612">
        <v>0</v>
      </c>
    </row>
    <row r="1613" spans="1:9" x14ac:dyDescent="0.25">
      <c r="A1613">
        <v>42</v>
      </c>
      <c r="B1613">
        <v>0</v>
      </c>
      <c r="C1613">
        <v>4</v>
      </c>
      <c r="D1613">
        <v>2</v>
      </c>
      <c r="E1613">
        <v>0</v>
      </c>
      <c r="F1613">
        <v>0</v>
      </c>
      <c r="G1613">
        <v>9160</v>
      </c>
      <c r="H1613">
        <v>0</v>
      </c>
      <c r="I1613">
        <v>0</v>
      </c>
    </row>
    <row r="1614" spans="1:9" x14ac:dyDescent="0.25">
      <c r="A1614">
        <v>42</v>
      </c>
      <c r="B1614">
        <v>1</v>
      </c>
      <c r="C1614">
        <v>6</v>
      </c>
      <c r="D1614">
        <v>3</v>
      </c>
      <c r="E1614">
        <v>0</v>
      </c>
      <c r="F1614">
        <v>0</v>
      </c>
      <c r="G1614">
        <v>10856</v>
      </c>
      <c r="H1614">
        <v>0</v>
      </c>
      <c r="I1614">
        <v>0</v>
      </c>
    </row>
    <row r="1615" spans="1:9" x14ac:dyDescent="0.25">
      <c r="A1615">
        <v>42</v>
      </c>
      <c r="B1615">
        <v>0</v>
      </c>
      <c r="C1615">
        <v>4</v>
      </c>
      <c r="D1615">
        <v>2</v>
      </c>
      <c r="E1615">
        <v>1</v>
      </c>
      <c r="F1615">
        <v>0</v>
      </c>
      <c r="G1615">
        <v>24999</v>
      </c>
      <c r="H1615">
        <v>0</v>
      </c>
      <c r="I1615">
        <v>0</v>
      </c>
    </row>
    <row r="1616" spans="1:9" x14ac:dyDescent="0.25">
      <c r="A1616">
        <v>42</v>
      </c>
      <c r="B1616">
        <v>0</v>
      </c>
      <c r="C1616">
        <v>3</v>
      </c>
      <c r="D1616">
        <v>6</v>
      </c>
      <c r="E1616">
        <v>1</v>
      </c>
      <c r="F1616">
        <v>0</v>
      </c>
      <c r="G1616">
        <v>12983</v>
      </c>
      <c r="H1616">
        <v>0</v>
      </c>
      <c r="I1616">
        <v>0</v>
      </c>
    </row>
    <row r="1617" spans="1:9" x14ac:dyDescent="0.25">
      <c r="A1617">
        <v>42</v>
      </c>
      <c r="B1617">
        <v>1</v>
      </c>
      <c r="C1617">
        <v>5</v>
      </c>
      <c r="D1617">
        <v>5</v>
      </c>
      <c r="E1617">
        <v>0</v>
      </c>
      <c r="F1617">
        <v>0</v>
      </c>
      <c r="G1617">
        <v>13618</v>
      </c>
      <c r="H1617">
        <v>0</v>
      </c>
      <c r="I1617">
        <v>0</v>
      </c>
    </row>
    <row r="1618" spans="1:9" x14ac:dyDescent="0.25">
      <c r="A1618">
        <v>42</v>
      </c>
      <c r="B1618">
        <v>1</v>
      </c>
      <c r="C1618">
        <v>41</v>
      </c>
      <c r="D1618">
        <v>3</v>
      </c>
      <c r="E1618">
        <v>2</v>
      </c>
      <c r="F1618">
        <v>0</v>
      </c>
      <c r="G1618">
        <v>85552</v>
      </c>
      <c r="H1618">
        <v>0</v>
      </c>
      <c r="I1618">
        <v>0</v>
      </c>
    </row>
    <row r="1619" spans="1:9" x14ac:dyDescent="0.25">
      <c r="A1619">
        <v>42</v>
      </c>
      <c r="B1619">
        <v>1</v>
      </c>
      <c r="C1619">
        <v>2</v>
      </c>
      <c r="D1619">
        <v>0</v>
      </c>
      <c r="E1619">
        <v>2</v>
      </c>
      <c r="F1619">
        <v>0</v>
      </c>
      <c r="G1619">
        <v>10013</v>
      </c>
      <c r="H1619">
        <v>1</v>
      </c>
      <c r="I1619">
        <v>0</v>
      </c>
    </row>
    <row r="1620" spans="1:9" x14ac:dyDescent="0.25">
      <c r="A1620">
        <v>42</v>
      </c>
      <c r="B1620">
        <v>1</v>
      </c>
      <c r="C1620">
        <v>4</v>
      </c>
      <c r="D1620">
        <v>6</v>
      </c>
      <c r="E1620">
        <v>1</v>
      </c>
      <c r="F1620">
        <v>0</v>
      </c>
      <c r="G1620">
        <v>21601</v>
      </c>
      <c r="H1620">
        <v>1</v>
      </c>
      <c r="I1620">
        <v>0</v>
      </c>
    </row>
    <row r="1621" spans="1:9" x14ac:dyDescent="0.25">
      <c r="A1621">
        <v>42</v>
      </c>
      <c r="B1621">
        <v>1</v>
      </c>
      <c r="C1621">
        <v>5</v>
      </c>
      <c r="D1621">
        <v>0</v>
      </c>
      <c r="E1621">
        <v>1</v>
      </c>
      <c r="F1621">
        <v>0</v>
      </c>
      <c r="G1621">
        <v>29187</v>
      </c>
      <c r="H1621">
        <v>1</v>
      </c>
      <c r="I1621">
        <v>0</v>
      </c>
    </row>
    <row r="1622" spans="1:9" x14ac:dyDescent="0.25">
      <c r="A1622">
        <v>42</v>
      </c>
      <c r="B1622">
        <v>0</v>
      </c>
      <c r="C1622">
        <v>6</v>
      </c>
      <c r="D1622">
        <v>0</v>
      </c>
      <c r="E1622">
        <v>2</v>
      </c>
      <c r="F1622">
        <v>0</v>
      </c>
      <c r="G1622">
        <v>28006</v>
      </c>
      <c r="H1622">
        <v>1</v>
      </c>
      <c r="I1622">
        <v>0</v>
      </c>
    </row>
    <row r="1623" spans="1:9" x14ac:dyDescent="0.25">
      <c r="A1623">
        <v>42</v>
      </c>
      <c r="B1623">
        <v>1</v>
      </c>
      <c r="C1623">
        <v>3</v>
      </c>
      <c r="D1623">
        <v>2</v>
      </c>
      <c r="E1623">
        <v>1</v>
      </c>
      <c r="F1623">
        <v>0</v>
      </c>
      <c r="G1623">
        <v>37366</v>
      </c>
      <c r="H1623">
        <v>1</v>
      </c>
      <c r="I1623">
        <v>0</v>
      </c>
    </row>
    <row r="1624" spans="1:9" x14ac:dyDescent="0.25">
      <c r="A1624">
        <v>42</v>
      </c>
      <c r="B1624">
        <v>0</v>
      </c>
      <c r="C1624">
        <v>4</v>
      </c>
      <c r="D1624">
        <v>4</v>
      </c>
      <c r="E1624">
        <v>1</v>
      </c>
      <c r="F1624">
        <v>0</v>
      </c>
      <c r="G1624">
        <v>40867</v>
      </c>
      <c r="H1624">
        <v>1</v>
      </c>
      <c r="I1624">
        <v>0</v>
      </c>
    </row>
    <row r="1625" spans="1:9" x14ac:dyDescent="0.25">
      <c r="A1625">
        <v>42</v>
      </c>
      <c r="B1625">
        <v>1</v>
      </c>
      <c r="C1625">
        <v>3</v>
      </c>
      <c r="D1625">
        <v>0</v>
      </c>
      <c r="E1625">
        <v>2</v>
      </c>
      <c r="F1625">
        <v>0</v>
      </c>
      <c r="G1625">
        <v>9593</v>
      </c>
      <c r="H1625">
        <v>1</v>
      </c>
      <c r="I1625">
        <v>0</v>
      </c>
    </row>
    <row r="1626" spans="1:9" x14ac:dyDescent="0.25">
      <c r="A1626">
        <v>41</v>
      </c>
      <c r="B1626">
        <v>1</v>
      </c>
      <c r="C1626">
        <v>5</v>
      </c>
      <c r="D1626">
        <v>5</v>
      </c>
      <c r="E1626">
        <v>0</v>
      </c>
      <c r="F1626">
        <v>0</v>
      </c>
      <c r="G1626">
        <v>14416</v>
      </c>
      <c r="H1626">
        <v>0</v>
      </c>
      <c r="I1626">
        <v>0</v>
      </c>
    </row>
    <row r="1627" spans="1:9" x14ac:dyDescent="0.25">
      <c r="A1627">
        <v>41</v>
      </c>
      <c r="B1627">
        <v>1</v>
      </c>
      <c r="C1627">
        <v>8</v>
      </c>
      <c r="D1627">
        <v>7</v>
      </c>
      <c r="E1627">
        <v>0</v>
      </c>
      <c r="F1627">
        <v>0</v>
      </c>
      <c r="G1627">
        <v>13249</v>
      </c>
      <c r="H1627">
        <v>0</v>
      </c>
      <c r="I1627">
        <v>0</v>
      </c>
    </row>
    <row r="1628" spans="1:9" x14ac:dyDescent="0.25">
      <c r="A1628">
        <v>41</v>
      </c>
      <c r="B1628">
        <v>0</v>
      </c>
      <c r="C1628">
        <v>3</v>
      </c>
      <c r="D1628">
        <v>3</v>
      </c>
      <c r="E1628">
        <v>0</v>
      </c>
      <c r="F1628">
        <v>0</v>
      </c>
      <c r="G1628">
        <v>5681</v>
      </c>
      <c r="H1628">
        <v>0</v>
      </c>
      <c r="I1628">
        <v>0</v>
      </c>
    </row>
    <row r="1629" spans="1:9" x14ac:dyDescent="0.25">
      <c r="A1629">
        <v>41</v>
      </c>
      <c r="B1629">
        <v>0</v>
      </c>
      <c r="C1629">
        <v>0</v>
      </c>
      <c r="D1629">
        <v>3</v>
      </c>
      <c r="E1629">
        <v>0</v>
      </c>
      <c r="F1629">
        <v>0</v>
      </c>
      <c r="G1629">
        <v>6231</v>
      </c>
      <c r="H1629">
        <v>0</v>
      </c>
      <c r="I1629">
        <v>0</v>
      </c>
    </row>
    <row r="1630" spans="1:9" x14ac:dyDescent="0.25">
      <c r="A1630">
        <v>41</v>
      </c>
      <c r="B1630">
        <v>0</v>
      </c>
      <c r="C1630">
        <v>4</v>
      </c>
      <c r="D1630">
        <v>2</v>
      </c>
      <c r="E1630">
        <v>0</v>
      </c>
      <c r="F1630">
        <v>0</v>
      </c>
      <c r="G1630">
        <v>6022</v>
      </c>
      <c r="H1630">
        <v>0</v>
      </c>
      <c r="I1630">
        <v>0</v>
      </c>
    </row>
    <row r="1631" spans="1:9" x14ac:dyDescent="0.25">
      <c r="A1631">
        <v>41</v>
      </c>
      <c r="B1631">
        <v>0</v>
      </c>
      <c r="C1631">
        <v>9</v>
      </c>
      <c r="D1631">
        <v>3</v>
      </c>
      <c r="E1631">
        <v>0</v>
      </c>
      <c r="F1631">
        <v>0</v>
      </c>
      <c r="G1631">
        <v>12023</v>
      </c>
      <c r="H1631">
        <v>0</v>
      </c>
      <c r="I1631">
        <v>0</v>
      </c>
    </row>
    <row r="1632" spans="1:9" x14ac:dyDescent="0.25">
      <c r="A1632">
        <v>41</v>
      </c>
      <c r="B1632">
        <v>1</v>
      </c>
      <c r="C1632">
        <v>4</v>
      </c>
      <c r="D1632">
        <v>4</v>
      </c>
      <c r="E1632">
        <v>0</v>
      </c>
      <c r="F1632">
        <v>0</v>
      </c>
      <c r="G1632">
        <v>22605</v>
      </c>
      <c r="H1632">
        <v>0</v>
      </c>
      <c r="I1632">
        <v>0</v>
      </c>
    </row>
    <row r="1633" spans="1:9" x14ac:dyDescent="0.25">
      <c r="A1633">
        <v>41</v>
      </c>
      <c r="B1633">
        <v>0</v>
      </c>
      <c r="C1633">
        <v>2</v>
      </c>
      <c r="D1633">
        <v>5</v>
      </c>
      <c r="E1633">
        <v>0</v>
      </c>
      <c r="F1633">
        <v>0</v>
      </c>
      <c r="G1633">
        <v>12049</v>
      </c>
      <c r="H1633">
        <v>0</v>
      </c>
      <c r="I1633">
        <v>0</v>
      </c>
    </row>
    <row r="1634" spans="1:9" x14ac:dyDescent="0.25">
      <c r="A1634">
        <v>41</v>
      </c>
      <c r="B1634">
        <v>1</v>
      </c>
      <c r="C1634">
        <v>7</v>
      </c>
      <c r="D1634">
        <v>4</v>
      </c>
      <c r="E1634">
        <v>0</v>
      </c>
      <c r="F1634">
        <v>0</v>
      </c>
      <c r="G1634">
        <v>15402</v>
      </c>
      <c r="H1634">
        <v>0</v>
      </c>
      <c r="I1634">
        <v>0</v>
      </c>
    </row>
    <row r="1635" spans="1:9" x14ac:dyDescent="0.25">
      <c r="A1635">
        <v>41</v>
      </c>
      <c r="B1635">
        <v>0</v>
      </c>
      <c r="C1635">
        <v>2</v>
      </c>
      <c r="D1635">
        <v>0</v>
      </c>
      <c r="E1635">
        <v>0</v>
      </c>
      <c r="F1635">
        <v>0</v>
      </c>
      <c r="G1635">
        <v>10323</v>
      </c>
      <c r="H1635">
        <v>0</v>
      </c>
      <c r="I1635">
        <v>0</v>
      </c>
    </row>
    <row r="1636" spans="1:9" x14ac:dyDescent="0.25">
      <c r="A1636">
        <v>41</v>
      </c>
      <c r="B1636">
        <v>0</v>
      </c>
      <c r="C1636">
        <v>3</v>
      </c>
      <c r="D1636">
        <v>1</v>
      </c>
      <c r="E1636">
        <v>1</v>
      </c>
      <c r="F1636">
        <v>0</v>
      </c>
      <c r="G1636">
        <v>17264</v>
      </c>
      <c r="H1636">
        <v>0</v>
      </c>
      <c r="I1636">
        <v>0</v>
      </c>
    </row>
    <row r="1637" spans="1:9" x14ac:dyDescent="0.25">
      <c r="A1637">
        <v>41</v>
      </c>
      <c r="B1637">
        <v>0</v>
      </c>
      <c r="C1637">
        <v>4</v>
      </c>
      <c r="D1637">
        <v>2</v>
      </c>
      <c r="E1637">
        <v>0</v>
      </c>
      <c r="F1637">
        <v>0</v>
      </c>
      <c r="G1637">
        <v>6355</v>
      </c>
      <c r="H1637">
        <v>0</v>
      </c>
      <c r="I1637">
        <v>0</v>
      </c>
    </row>
    <row r="1638" spans="1:9" x14ac:dyDescent="0.25">
      <c r="A1638">
        <v>41</v>
      </c>
      <c r="B1638">
        <v>1</v>
      </c>
      <c r="C1638">
        <v>5</v>
      </c>
      <c r="D1638">
        <v>5</v>
      </c>
      <c r="E1638">
        <v>0</v>
      </c>
      <c r="F1638">
        <v>0</v>
      </c>
      <c r="G1638">
        <v>7606</v>
      </c>
      <c r="H1638">
        <v>0</v>
      </c>
      <c r="I1638">
        <v>0</v>
      </c>
    </row>
    <row r="1639" spans="1:9" x14ac:dyDescent="0.25">
      <c r="A1639">
        <v>41</v>
      </c>
      <c r="B1639">
        <v>1</v>
      </c>
      <c r="C1639">
        <v>7</v>
      </c>
      <c r="D1639">
        <v>4</v>
      </c>
      <c r="E1639">
        <v>0</v>
      </c>
      <c r="F1639">
        <v>0</v>
      </c>
      <c r="G1639">
        <v>12165</v>
      </c>
      <c r="H1639">
        <v>0</v>
      </c>
      <c r="I1639">
        <v>0</v>
      </c>
    </row>
    <row r="1640" spans="1:9" x14ac:dyDescent="0.25">
      <c r="A1640">
        <v>41</v>
      </c>
      <c r="B1640">
        <v>1</v>
      </c>
      <c r="C1640">
        <v>5</v>
      </c>
      <c r="D1640">
        <v>6</v>
      </c>
      <c r="E1640">
        <v>0</v>
      </c>
      <c r="F1640">
        <v>0</v>
      </c>
      <c r="G1640">
        <v>19849</v>
      </c>
      <c r="H1640">
        <v>0</v>
      </c>
      <c r="I1640">
        <v>0</v>
      </c>
    </row>
    <row r="1641" spans="1:9" x14ac:dyDescent="0.25">
      <c r="A1641">
        <v>41</v>
      </c>
      <c r="B1641">
        <v>1</v>
      </c>
      <c r="C1641">
        <v>6</v>
      </c>
      <c r="D1641">
        <v>2</v>
      </c>
      <c r="E1641">
        <v>0</v>
      </c>
      <c r="F1641">
        <v>0</v>
      </c>
      <c r="G1641">
        <v>8867</v>
      </c>
      <c r="H1641">
        <v>0</v>
      </c>
      <c r="I1641">
        <v>0</v>
      </c>
    </row>
    <row r="1642" spans="1:9" x14ac:dyDescent="0.25">
      <c r="A1642">
        <v>41</v>
      </c>
      <c r="B1642">
        <v>1</v>
      </c>
      <c r="C1642">
        <v>6</v>
      </c>
      <c r="D1642">
        <v>3</v>
      </c>
      <c r="E1642">
        <v>1</v>
      </c>
      <c r="F1642">
        <v>0</v>
      </c>
      <c r="G1642">
        <v>9943</v>
      </c>
      <c r="H1642">
        <v>0</v>
      </c>
      <c r="I1642">
        <v>0</v>
      </c>
    </row>
    <row r="1643" spans="1:9" x14ac:dyDescent="0.25">
      <c r="A1643">
        <v>41</v>
      </c>
      <c r="B1643">
        <v>0</v>
      </c>
      <c r="C1643">
        <v>6</v>
      </c>
      <c r="D1643">
        <v>3</v>
      </c>
      <c r="E1643">
        <v>3</v>
      </c>
      <c r="F1643">
        <v>0</v>
      </c>
      <c r="G1643">
        <v>59870</v>
      </c>
      <c r="H1643">
        <v>0</v>
      </c>
      <c r="I1643">
        <v>0</v>
      </c>
    </row>
    <row r="1644" spans="1:9" x14ac:dyDescent="0.25">
      <c r="A1644">
        <v>41</v>
      </c>
      <c r="B1644">
        <v>1</v>
      </c>
      <c r="C1644">
        <v>6</v>
      </c>
      <c r="D1644">
        <v>3</v>
      </c>
      <c r="E1644">
        <v>0</v>
      </c>
      <c r="F1644">
        <v>0</v>
      </c>
      <c r="G1644">
        <v>15116</v>
      </c>
      <c r="H1644">
        <v>0</v>
      </c>
      <c r="I1644">
        <v>0</v>
      </c>
    </row>
    <row r="1645" spans="1:9" x14ac:dyDescent="0.25">
      <c r="A1645">
        <v>41</v>
      </c>
      <c r="B1645">
        <v>1</v>
      </c>
      <c r="C1645">
        <v>1</v>
      </c>
      <c r="D1645">
        <v>3</v>
      </c>
      <c r="E1645">
        <v>1</v>
      </c>
      <c r="F1645">
        <v>0</v>
      </c>
      <c r="G1645">
        <v>27631</v>
      </c>
      <c r="H1645">
        <v>1</v>
      </c>
      <c r="I1645">
        <v>0</v>
      </c>
    </row>
    <row r="1646" spans="1:9" x14ac:dyDescent="0.25">
      <c r="A1646">
        <v>41</v>
      </c>
      <c r="B1646">
        <v>1</v>
      </c>
      <c r="C1646">
        <v>2</v>
      </c>
      <c r="D1646">
        <v>1</v>
      </c>
      <c r="E1646">
        <v>1</v>
      </c>
      <c r="F1646">
        <v>0</v>
      </c>
      <c r="G1646">
        <v>26873</v>
      </c>
      <c r="H1646">
        <v>1</v>
      </c>
      <c r="I1646">
        <v>0</v>
      </c>
    </row>
    <row r="1647" spans="1:9" x14ac:dyDescent="0.25">
      <c r="A1647">
        <v>41</v>
      </c>
      <c r="B1647">
        <v>0</v>
      </c>
      <c r="C1647">
        <v>6</v>
      </c>
      <c r="D1647">
        <v>1</v>
      </c>
      <c r="E1647">
        <v>3</v>
      </c>
      <c r="F1647">
        <v>0</v>
      </c>
      <c r="G1647">
        <v>44014</v>
      </c>
      <c r="H1647">
        <v>1</v>
      </c>
      <c r="I1647">
        <v>0</v>
      </c>
    </row>
    <row r="1648" spans="1:9" x14ac:dyDescent="0.25">
      <c r="A1648">
        <v>41</v>
      </c>
      <c r="B1648">
        <v>1</v>
      </c>
      <c r="C1648">
        <v>2</v>
      </c>
      <c r="D1648">
        <v>0</v>
      </c>
      <c r="E1648">
        <v>2</v>
      </c>
      <c r="F1648">
        <v>0</v>
      </c>
      <c r="G1648">
        <v>11026</v>
      </c>
      <c r="H1648">
        <v>1</v>
      </c>
      <c r="I1648">
        <v>0</v>
      </c>
    </row>
    <row r="1649" spans="1:9" x14ac:dyDescent="0.25">
      <c r="A1649">
        <v>40</v>
      </c>
      <c r="B1649">
        <v>1</v>
      </c>
      <c r="C1649">
        <v>5</v>
      </c>
      <c r="D1649">
        <v>8</v>
      </c>
      <c r="E1649">
        <v>0</v>
      </c>
      <c r="F1649">
        <v>0</v>
      </c>
      <c r="G1649">
        <v>8814</v>
      </c>
      <c r="H1649">
        <v>0</v>
      </c>
      <c r="I1649">
        <v>0</v>
      </c>
    </row>
    <row r="1650" spans="1:9" x14ac:dyDescent="0.25">
      <c r="A1650">
        <v>40</v>
      </c>
      <c r="B1650">
        <v>0</v>
      </c>
      <c r="C1650">
        <v>9</v>
      </c>
      <c r="D1650">
        <v>4</v>
      </c>
      <c r="E1650">
        <v>0</v>
      </c>
      <c r="F1650">
        <v>0</v>
      </c>
      <c r="G1650">
        <v>14137</v>
      </c>
      <c r="H1650">
        <v>0</v>
      </c>
      <c r="I1650">
        <v>0</v>
      </c>
    </row>
    <row r="1651" spans="1:9" x14ac:dyDescent="0.25">
      <c r="A1651">
        <v>40</v>
      </c>
      <c r="B1651">
        <v>0</v>
      </c>
      <c r="C1651">
        <v>8</v>
      </c>
      <c r="D1651">
        <v>3</v>
      </c>
      <c r="E1651">
        <v>0</v>
      </c>
      <c r="F1651">
        <v>0</v>
      </c>
      <c r="G1651">
        <v>12977</v>
      </c>
      <c r="H1651">
        <v>0</v>
      </c>
      <c r="I1651">
        <v>0</v>
      </c>
    </row>
    <row r="1652" spans="1:9" x14ac:dyDescent="0.25">
      <c r="A1652">
        <v>40</v>
      </c>
      <c r="B1652">
        <v>0</v>
      </c>
      <c r="C1652">
        <v>2</v>
      </c>
      <c r="D1652">
        <v>3</v>
      </c>
      <c r="E1652">
        <v>0</v>
      </c>
      <c r="F1652">
        <v>0</v>
      </c>
      <c r="G1652">
        <v>11613</v>
      </c>
      <c r="H1652">
        <v>0</v>
      </c>
      <c r="I1652">
        <v>0</v>
      </c>
    </row>
    <row r="1653" spans="1:9" x14ac:dyDescent="0.25">
      <c r="A1653">
        <v>40</v>
      </c>
      <c r="B1653">
        <v>0</v>
      </c>
      <c r="C1653">
        <v>2</v>
      </c>
      <c r="D1653">
        <v>4</v>
      </c>
      <c r="E1653">
        <v>0</v>
      </c>
      <c r="F1653">
        <v>0</v>
      </c>
      <c r="G1653">
        <v>13853</v>
      </c>
      <c r="H1653">
        <v>0</v>
      </c>
      <c r="I1653">
        <v>0</v>
      </c>
    </row>
    <row r="1654" spans="1:9" x14ac:dyDescent="0.25">
      <c r="A1654">
        <v>40</v>
      </c>
      <c r="B1654">
        <v>1</v>
      </c>
      <c r="C1654">
        <v>3</v>
      </c>
      <c r="D1654">
        <v>1</v>
      </c>
      <c r="E1654">
        <v>0</v>
      </c>
      <c r="F1654">
        <v>0</v>
      </c>
      <c r="G1654">
        <v>4310</v>
      </c>
      <c r="H1654">
        <v>0</v>
      </c>
      <c r="I1654">
        <v>0</v>
      </c>
    </row>
    <row r="1655" spans="1:9" x14ac:dyDescent="0.25">
      <c r="A1655">
        <v>40</v>
      </c>
      <c r="B1655">
        <v>0</v>
      </c>
      <c r="C1655">
        <v>2</v>
      </c>
      <c r="D1655">
        <v>1</v>
      </c>
      <c r="E1655">
        <v>0</v>
      </c>
      <c r="F1655">
        <v>0</v>
      </c>
      <c r="G1655">
        <v>8739</v>
      </c>
      <c r="H1655">
        <v>0</v>
      </c>
      <c r="I1655">
        <v>0</v>
      </c>
    </row>
    <row r="1656" spans="1:9" x14ac:dyDescent="0.25">
      <c r="A1656">
        <v>40</v>
      </c>
      <c r="B1656">
        <v>1</v>
      </c>
      <c r="C1656">
        <v>4</v>
      </c>
      <c r="D1656">
        <v>4</v>
      </c>
      <c r="E1656">
        <v>0</v>
      </c>
      <c r="F1656">
        <v>0</v>
      </c>
      <c r="G1656">
        <v>17882</v>
      </c>
      <c r="H1656">
        <v>0</v>
      </c>
      <c r="I1656">
        <v>0</v>
      </c>
    </row>
    <row r="1657" spans="1:9" x14ac:dyDescent="0.25">
      <c r="A1657">
        <v>40</v>
      </c>
      <c r="B1657">
        <v>1</v>
      </c>
      <c r="C1657">
        <v>12</v>
      </c>
      <c r="D1657">
        <v>1</v>
      </c>
      <c r="E1657">
        <v>0</v>
      </c>
      <c r="F1657">
        <v>0</v>
      </c>
      <c r="G1657">
        <v>19196</v>
      </c>
      <c r="H1657">
        <v>0</v>
      </c>
      <c r="I1657">
        <v>0</v>
      </c>
    </row>
    <row r="1658" spans="1:9" x14ac:dyDescent="0.25">
      <c r="A1658">
        <v>40</v>
      </c>
      <c r="B1658">
        <v>1</v>
      </c>
      <c r="C1658">
        <v>1</v>
      </c>
      <c r="D1658">
        <v>1</v>
      </c>
      <c r="E1658">
        <v>0</v>
      </c>
      <c r="F1658">
        <v>0</v>
      </c>
      <c r="G1658">
        <v>1883</v>
      </c>
      <c r="H1658">
        <v>0</v>
      </c>
      <c r="I1658">
        <v>0</v>
      </c>
    </row>
    <row r="1659" spans="1:9" x14ac:dyDescent="0.25">
      <c r="A1659">
        <v>40</v>
      </c>
      <c r="B1659">
        <v>0</v>
      </c>
      <c r="C1659">
        <v>1</v>
      </c>
      <c r="D1659">
        <v>3</v>
      </c>
      <c r="E1659">
        <v>0</v>
      </c>
      <c r="F1659">
        <v>0</v>
      </c>
      <c r="G1659">
        <v>4097</v>
      </c>
      <c r="H1659">
        <v>0</v>
      </c>
      <c r="I1659">
        <v>0</v>
      </c>
    </row>
    <row r="1660" spans="1:9" x14ac:dyDescent="0.25">
      <c r="A1660">
        <v>40</v>
      </c>
      <c r="B1660">
        <v>1</v>
      </c>
      <c r="C1660">
        <v>5</v>
      </c>
      <c r="D1660">
        <v>0</v>
      </c>
      <c r="E1660">
        <v>2</v>
      </c>
      <c r="F1660">
        <v>0</v>
      </c>
      <c r="G1660">
        <v>17779</v>
      </c>
      <c r="H1660">
        <v>0</v>
      </c>
      <c r="I1660">
        <v>0</v>
      </c>
    </row>
    <row r="1661" spans="1:9" x14ac:dyDescent="0.25">
      <c r="A1661">
        <v>40</v>
      </c>
      <c r="B1661">
        <v>1</v>
      </c>
      <c r="C1661">
        <v>6</v>
      </c>
      <c r="D1661">
        <v>0</v>
      </c>
      <c r="E1661">
        <v>0</v>
      </c>
      <c r="F1661">
        <v>0</v>
      </c>
      <c r="G1661">
        <v>11927</v>
      </c>
      <c r="H1661">
        <v>0</v>
      </c>
      <c r="I1661">
        <v>0</v>
      </c>
    </row>
    <row r="1662" spans="1:9" x14ac:dyDescent="0.25">
      <c r="A1662">
        <v>40</v>
      </c>
      <c r="B1662">
        <v>1</v>
      </c>
      <c r="C1662">
        <v>5</v>
      </c>
      <c r="D1662">
        <v>3</v>
      </c>
      <c r="E1662">
        <v>1</v>
      </c>
      <c r="F1662">
        <v>0</v>
      </c>
      <c r="G1662">
        <v>7840</v>
      </c>
      <c r="H1662">
        <v>0</v>
      </c>
      <c r="I1662">
        <v>0</v>
      </c>
    </row>
    <row r="1663" spans="1:9" x14ac:dyDescent="0.25">
      <c r="A1663">
        <v>40</v>
      </c>
      <c r="B1663">
        <v>0</v>
      </c>
      <c r="C1663">
        <v>5</v>
      </c>
      <c r="D1663">
        <v>3</v>
      </c>
      <c r="E1663">
        <v>1</v>
      </c>
      <c r="F1663">
        <v>0</v>
      </c>
      <c r="G1663">
        <v>22218</v>
      </c>
      <c r="H1663">
        <v>1</v>
      </c>
      <c r="I1663">
        <v>0</v>
      </c>
    </row>
    <row r="1664" spans="1:9" x14ac:dyDescent="0.25">
      <c r="A1664">
        <v>40</v>
      </c>
      <c r="B1664">
        <v>1</v>
      </c>
      <c r="C1664">
        <v>11</v>
      </c>
      <c r="D1664">
        <v>4</v>
      </c>
      <c r="E1664">
        <v>6</v>
      </c>
      <c r="F1664">
        <v>0</v>
      </c>
      <c r="G1664">
        <v>72193</v>
      </c>
      <c r="H1664">
        <v>1</v>
      </c>
      <c r="I1664">
        <v>0</v>
      </c>
    </row>
    <row r="1665" spans="1:9" x14ac:dyDescent="0.25">
      <c r="A1665">
        <v>40</v>
      </c>
      <c r="B1665">
        <v>1</v>
      </c>
      <c r="C1665">
        <v>2</v>
      </c>
      <c r="D1665">
        <v>2</v>
      </c>
      <c r="E1665">
        <v>1</v>
      </c>
      <c r="F1665">
        <v>0</v>
      </c>
      <c r="G1665">
        <v>22199</v>
      </c>
      <c r="H1665">
        <v>1</v>
      </c>
      <c r="I1665">
        <v>0</v>
      </c>
    </row>
    <row r="1666" spans="1:9" x14ac:dyDescent="0.25">
      <c r="A1666">
        <v>39</v>
      </c>
      <c r="B1666">
        <v>1</v>
      </c>
      <c r="C1666">
        <v>6</v>
      </c>
      <c r="D1666">
        <v>3</v>
      </c>
      <c r="E1666">
        <v>0</v>
      </c>
      <c r="F1666">
        <v>0</v>
      </c>
      <c r="G1666">
        <v>10155</v>
      </c>
      <c r="H1666">
        <v>0</v>
      </c>
      <c r="I1666">
        <v>0</v>
      </c>
    </row>
    <row r="1667" spans="1:9" x14ac:dyDescent="0.25">
      <c r="A1667">
        <v>39</v>
      </c>
      <c r="B1667">
        <v>0</v>
      </c>
      <c r="C1667">
        <v>8</v>
      </c>
      <c r="D1667">
        <v>2</v>
      </c>
      <c r="E1667">
        <v>0</v>
      </c>
      <c r="F1667">
        <v>0</v>
      </c>
      <c r="G1667">
        <v>13657</v>
      </c>
      <c r="H1667">
        <v>0</v>
      </c>
      <c r="I1667">
        <v>0</v>
      </c>
    </row>
    <row r="1668" spans="1:9" x14ac:dyDescent="0.25">
      <c r="A1668">
        <v>39</v>
      </c>
      <c r="B1668">
        <v>1</v>
      </c>
      <c r="C1668">
        <v>1</v>
      </c>
      <c r="D1668">
        <v>5</v>
      </c>
      <c r="E1668">
        <v>0</v>
      </c>
      <c r="F1668">
        <v>0</v>
      </c>
      <c r="G1668">
        <v>7777</v>
      </c>
      <c r="H1668">
        <v>0</v>
      </c>
      <c r="I1668">
        <v>0</v>
      </c>
    </row>
    <row r="1669" spans="1:9" x14ac:dyDescent="0.25">
      <c r="A1669">
        <v>39</v>
      </c>
      <c r="B1669">
        <v>1</v>
      </c>
      <c r="C1669">
        <v>1</v>
      </c>
      <c r="D1669">
        <v>0</v>
      </c>
      <c r="E1669">
        <v>1</v>
      </c>
      <c r="F1669">
        <v>0</v>
      </c>
      <c r="G1669">
        <v>5794</v>
      </c>
      <c r="H1669">
        <v>0</v>
      </c>
      <c r="I1669">
        <v>0</v>
      </c>
    </row>
    <row r="1670" spans="1:9" x14ac:dyDescent="0.25">
      <c r="A1670">
        <v>39</v>
      </c>
      <c r="B1670">
        <v>1</v>
      </c>
      <c r="C1670">
        <v>7</v>
      </c>
      <c r="D1670">
        <v>6</v>
      </c>
      <c r="E1670">
        <v>0</v>
      </c>
      <c r="F1670">
        <v>0</v>
      </c>
      <c r="G1670">
        <v>9740</v>
      </c>
      <c r="H1670">
        <v>0</v>
      </c>
      <c r="I1670">
        <v>0</v>
      </c>
    </row>
    <row r="1671" spans="1:9" x14ac:dyDescent="0.25">
      <c r="A1671">
        <v>39</v>
      </c>
      <c r="B1671">
        <v>1</v>
      </c>
      <c r="C1671">
        <v>12</v>
      </c>
      <c r="D1671">
        <v>3</v>
      </c>
      <c r="E1671">
        <v>0</v>
      </c>
      <c r="F1671">
        <v>0</v>
      </c>
      <c r="G1671">
        <v>18955</v>
      </c>
      <c r="H1671">
        <v>0</v>
      </c>
      <c r="I1671">
        <v>0</v>
      </c>
    </row>
    <row r="1672" spans="1:9" x14ac:dyDescent="0.25">
      <c r="A1672">
        <v>39</v>
      </c>
      <c r="B1672">
        <v>1</v>
      </c>
      <c r="C1672">
        <v>5</v>
      </c>
      <c r="D1672">
        <v>2</v>
      </c>
      <c r="E1672">
        <v>0</v>
      </c>
      <c r="F1672">
        <v>0</v>
      </c>
      <c r="G1672">
        <v>17966</v>
      </c>
      <c r="H1672">
        <v>0</v>
      </c>
      <c r="I1672">
        <v>0</v>
      </c>
    </row>
    <row r="1673" spans="1:9" x14ac:dyDescent="0.25">
      <c r="A1673">
        <v>39</v>
      </c>
      <c r="B1673">
        <v>1</v>
      </c>
      <c r="C1673">
        <v>5</v>
      </c>
      <c r="D1673">
        <v>2</v>
      </c>
      <c r="E1673">
        <v>0</v>
      </c>
      <c r="F1673">
        <v>0</v>
      </c>
      <c r="G1673">
        <v>9848</v>
      </c>
      <c r="H1673">
        <v>0</v>
      </c>
      <c r="I1673">
        <v>0</v>
      </c>
    </row>
    <row r="1674" spans="1:9" x14ac:dyDescent="0.25">
      <c r="A1674">
        <v>39</v>
      </c>
      <c r="B1674">
        <v>0</v>
      </c>
      <c r="C1674">
        <v>9</v>
      </c>
      <c r="D1674">
        <v>4</v>
      </c>
      <c r="E1674">
        <v>0</v>
      </c>
      <c r="F1674">
        <v>0</v>
      </c>
      <c r="G1674">
        <v>18965</v>
      </c>
      <c r="H1674">
        <v>0</v>
      </c>
      <c r="I1674">
        <v>0</v>
      </c>
    </row>
    <row r="1675" spans="1:9" x14ac:dyDescent="0.25">
      <c r="A1675">
        <v>39</v>
      </c>
      <c r="B1675">
        <v>1</v>
      </c>
      <c r="C1675">
        <v>4</v>
      </c>
      <c r="D1675">
        <v>5</v>
      </c>
      <c r="E1675">
        <v>0</v>
      </c>
      <c r="F1675">
        <v>0</v>
      </c>
      <c r="G1675">
        <v>6343</v>
      </c>
      <c r="H1675">
        <v>0</v>
      </c>
      <c r="I1675">
        <v>0</v>
      </c>
    </row>
    <row r="1676" spans="1:9" x14ac:dyDescent="0.25">
      <c r="A1676">
        <v>39</v>
      </c>
      <c r="B1676">
        <v>1</v>
      </c>
      <c r="C1676">
        <v>1</v>
      </c>
      <c r="D1676">
        <v>5</v>
      </c>
      <c r="E1676">
        <v>0</v>
      </c>
      <c r="F1676">
        <v>0</v>
      </c>
      <c r="G1676">
        <v>6279</v>
      </c>
      <c r="H1676">
        <v>0</v>
      </c>
      <c r="I1676">
        <v>0</v>
      </c>
    </row>
    <row r="1677" spans="1:9" x14ac:dyDescent="0.25">
      <c r="A1677">
        <v>39</v>
      </c>
      <c r="B1677">
        <v>1</v>
      </c>
      <c r="C1677">
        <v>11</v>
      </c>
      <c r="D1677">
        <v>1</v>
      </c>
      <c r="E1677">
        <v>0</v>
      </c>
      <c r="F1677">
        <v>0</v>
      </c>
      <c r="G1677">
        <v>16819</v>
      </c>
      <c r="H1677">
        <v>0</v>
      </c>
      <c r="I1677">
        <v>0</v>
      </c>
    </row>
    <row r="1678" spans="1:9" x14ac:dyDescent="0.25">
      <c r="A1678">
        <v>39</v>
      </c>
      <c r="B1678">
        <v>0</v>
      </c>
      <c r="C1678">
        <v>8</v>
      </c>
      <c r="D1678">
        <v>4</v>
      </c>
      <c r="E1678">
        <v>0</v>
      </c>
      <c r="F1678">
        <v>0</v>
      </c>
      <c r="G1678">
        <v>13768</v>
      </c>
      <c r="H1678">
        <v>0</v>
      </c>
      <c r="I1678">
        <v>0</v>
      </c>
    </row>
    <row r="1679" spans="1:9" x14ac:dyDescent="0.25">
      <c r="A1679">
        <v>39</v>
      </c>
      <c r="B1679">
        <v>1</v>
      </c>
      <c r="C1679">
        <v>2</v>
      </c>
      <c r="D1679">
        <v>2</v>
      </c>
      <c r="E1679">
        <v>0</v>
      </c>
      <c r="F1679">
        <v>0</v>
      </c>
      <c r="G1679">
        <v>12552</v>
      </c>
      <c r="H1679">
        <v>0</v>
      </c>
      <c r="I1679">
        <v>0</v>
      </c>
    </row>
    <row r="1680" spans="1:9" x14ac:dyDescent="0.25">
      <c r="A1680">
        <v>39</v>
      </c>
      <c r="B1680">
        <v>1</v>
      </c>
      <c r="C1680">
        <v>8</v>
      </c>
      <c r="D1680">
        <v>2</v>
      </c>
      <c r="E1680">
        <v>0</v>
      </c>
      <c r="F1680">
        <v>0</v>
      </c>
      <c r="G1680">
        <v>15864</v>
      </c>
      <c r="H1680">
        <v>0</v>
      </c>
      <c r="I1680">
        <v>0</v>
      </c>
    </row>
    <row r="1681" spans="1:9" x14ac:dyDescent="0.25">
      <c r="A1681">
        <v>39</v>
      </c>
      <c r="B1681">
        <v>1</v>
      </c>
      <c r="C1681">
        <v>7</v>
      </c>
      <c r="D1681">
        <v>4</v>
      </c>
      <c r="E1681">
        <v>0</v>
      </c>
      <c r="F1681">
        <v>0</v>
      </c>
      <c r="G1681">
        <v>10291</v>
      </c>
      <c r="H1681">
        <v>0</v>
      </c>
      <c r="I1681">
        <v>0</v>
      </c>
    </row>
    <row r="1682" spans="1:9" x14ac:dyDescent="0.25">
      <c r="A1682">
        <v>39</v>
      </c>
      <c r="B1682">
        <v>1</v>
      </c>
      <c r="C1682">
        <v>3</v>
      </c>
      <c r="D1682">
        <v>3</v>
      </c>
      <c r="E1682">
        <v>0</v>
      </c>
      <c r="F1682">
        <v>0</v>
      </c>
      <c r="G1682">
        <v>7747</v>
      </c>
      <c r="H1682">
        <v>0</v>
      </c>
      <c r="I1682">
        <v>0</v>
      </c>
    </row>
    <row r="1683" spans="1:9" x14ac:dyDescent="0.25">
      <c r="A1683">
        <v>39</v>
      </c>
      <c r="B1683">
        <v>0</v>
      </c>
      <c r="C1683">
        <v>2</v>
      </c>
      <c r="D1683">
        <v>8</v>
      </c>
      <c r="E1683">
        <v>3</v>
      </c>
      <c r="F1683">
        <v>0</v>
      </c>
      <c r="G1683">
        <v>16182</v>
      </c>
      <c r="H1683">
        <v>0</v>
      </c>
      <c r="I1683">
        <v>0</v>
      </c>
    </row>
    <row r="1684" spans="1:9" x14ac:dyDescent="0.25">
      <c r="A1684">
        <v>39</v>
      </c>
      <c r="B1684">
        <v>1</v>
      </c>
      <c r="C1684">
        <v>2</v>
      </c>
      <c r="D1684">
        <v>1</v>
      </c>
      <c r="E1684">
        <v>1</v>
      </c>
      <c r="F1684">
        <v>0</v>
      </c>
      <c r="G1684">
        <v>7021</v>
      </c>
      <c r="H1684">
        <v>0</v>
      </c>
      <c r="I1684">
        <v>0</v>
      </c>
    </row>
    <row r="1685" spans="1:9" x14ac:dyDescent="0.25">
      <c r="A1685">
        <v>39</v>
      </c>
      <c r="B1685">
        <v>1</v>
      </c>
      <c r="C1685">
        <v>3</v>
      </c>
      <c r="D1685">
        <v>0</v>
      </c>
      <c r="E1685">
        <v>2</v>
      </c>
      <c r="F1685">
        <v>0</v>
      </c>
      <c r="G1685">
        <v>10653</v>
      </c>
      <c r="H1685">
        <v>0</v>
      </c>
      <c r="I1685">
        <v>0</v>
      </c>
    </row>
    <row r="1686" spans="1:9" x14ac:dyDescent="0.25">
      <c r="A1686">
        <v>39</v>
      </c>
      <c r="B1686">
        <v>0</v>
      </c>
      <c r="C1686">
        <v>1</v>
      </c>
      <c r="D1686">
        <v>1</v>
      </c>
      <c r="E1686">
        <v>1</v>
      </c>
      <c r="F1686">
        <v>0</v>
      </c>
      <c r="G1686">
        <v>7245</v>
      </c>
      <c r="H1686">
        <v>0</v>
      </c>
      <c r="I1686">
        <v>0</v>
      </c>
    </row>
    <row r="1687" spans="1:9" x14ac:dyDescent="0.25">
      <c r="A1687">
        <v>39</v>
      </c>
      <c r="B1687">
        <v>1</v>
      </c>
      <c r="C1687">
        <v>2</v>
      </c>
      <c r="D1687">
        <v>0</v>
      </c>
      <c r="E1687">
        <v>3</v>
      </c>
      <c r="F1687">
        <v>0</v>
      </c>
      <c r="G1687">
        <v>6313</v>
      </c>
      <c r="H1687">
        <v>0</v>
      </c>
      <c r="I1687">
        <v>0</v>
      </c>
    </row>
    <row r="1688" spans="1:9" x14ac:dyDescent="0.25">
      <c r="A1688">
        <v>39</v>
      </c>
      <c r="B1688">
        <v>0</v>
      </c>
      <c r="C1688">
        <v>6</v>
      </c>
      <c r="D1688">
        <v>2</v>
      </c>
      <c r="E1688">
        <v>2</v>
      </c>
      <c r="F1688">
        <v>0</v>
      </c>
      <c r="G1688">
        <v>24000</v>
      </c>
      <c r="H1688">
        <v>1</v>
      </c>
      <c r="I1688">
        <v>0</v>
      </c>
    </row>
    <row r="1689" spans="1:9" x14ac:dyDescent="0.25">
      <c r="A1689">
        <v>39</v>
      </c>
      <c r="B1689">
        <v>1</v>
      </c>
      <c r="C1689">
        <v>3</v>
      </c>
      <c r="D1689">
        <v>2</v>
      </c>
      <c r="E1689">
        <v>2</v>
      </c>
      <c r="F1689">
        <v>0</v>
      </c>
      <c r="G1689">
        <v>22921</v>
      </c>
      <c r="H1689">
        <v>1</v>
      </c>
      <c r="I1689">
        <v>0</v>
      </c>
    </row>
    <row r="1690" spans="1:9" x14ac:dyDescent="0.25">
      <c r="A1690">
        <v>39</v>
      </c>
      <c r="B1690">
        <v>1</v>
      </c>
      <c r="C1690">
        <v>3</v>
      </c>
      <c r="D1690">
        <v>1</v>
      </c>
      <c r="E1690">
        <v>1</v>
      </c>
      <c r="F1690">
        <v>0</v>
      </c>
      <c r="G1690">
        <v>24163</v>
      </c>
      <c r="H1690">
        <v>1</v>
      </c>
      <c r="I1690">
        <v>0</v>
      </c>
    </row>
    <row r="1691" spans="1:9" x14ac:dyDescent="0.25">
      <c r="A1691">
        <v>39</v>
      </c>
      <c r="B1691">
        <v>1</v>
      </c>
      <c r="C1691">
        <v>3</v>
      </c>
      <c r="D1691">
        <v>0</v>
      </c>
      <c r="E1691">
        <v>1</v>
      </c>
      <c r="F1691">
        <v>0</v>
      </c>
      <c r="G1691">
        <v>15871</v>
      </c>
      <c r="H1691">
        <v>1</v>
      </c>
      <c r="I1691">
        <v>0</v>
      </c>
    </row>
    <row r="1692" spans="1:9" x14ac:dyDescent="0.25">
      <c r="A1692">
        <v>39</v>
      </c>
      <c r="B1692">
        <v>1</v>
      </c>
      <c r="C1692">
        <v>4</v>
      </c>
      <c r="D1692">
        <v>2</v>
      </c>
      <c r="E1692">
        <v>1</v>
      </c>
      <c r="F1692">
        <v>0</v>
      </c>
      <c r="G1692">
        <v>12656</v>
      </c>
      <c r="H1692">
        <v>1</v>
      </c>
      <c r="I1692">
        <v>0</v>
      </c>
    </row>
    <row r="1693" spans="1:9" x14ac:dyDescent="0.25">
      <c r="A1693">
        <v>39</v>
      </c>
      <c r="B1693">
        <v>1</v>
      </c>
      <c r="C1693">
        <v>4</v>
      </c>
      <c r="D1693">
        <v>2</v>
      </c>
      <c r="E1693">
        <v>2</v>
      </c>
      <c r="F1693">
        <v>0</v>
      </c>
      <c r="G1693">
        <v>9774</v>
      </c>
      <c r="H1693">
        <v>1</v>
      </c>
      <c r="I1693">
        <v>0</v>
      </c>
    </row>
    <row r="1694" spans="1:9" x14ac:dyDescent="0.25">
      <c r="A1694">
        <v>38</v>
      </c>
      <c r="B1694">
        <v>1</v>
      </c>
      <c r="C1694">
        <v>9</v>
      </c>
      <c r="D1694">
        <v>3</v>
      </c>
      <c r="E1694">
        <v>0</v>
      </c>
      <c r="F1694">
        <v>0</v>
      </c>
      <c r="G1694">
        <v>23434</v>
      </c>
      <c r="H1694">
        <v>0</v>
      </c>
      <c r="I1694">
        <v>0</v>
      </c>
    </row>
    <row r="1695" spans="1:9" x14ac:dyDescent="0.25">
      <c r="A1695">
        <v>38</v>
      </c>
      <c r="B1695">
        <v>1</v>
      </c>
      <c r="C1695">
        <v>5</v>
      </c>
      <c r="D1695">
        <v>3</v>
      </c>
      <c r="E1695">
        <v>0</v>
      </c>
      <c r="F1695">
        <v>0</v>
      </c>
      <c r="G1695">
        <v>9992</v>
      </c>
      <c r="H1695">
        <v>0</v>
      </c>
      <c r="I1695">
        <v>0</v>
      </c>
    </row>
    <row r="1696" spans="1:9" x14ac:dyDescent="0.25">
      <c r="A1696">
        <v>38</v>
      </c>
      <c r="B1696">
        <v>0</v>
      </c>
      <c r="C1696">
        <v>5</v>
      </c>
      <c r="D1696">
        <v>4</v>
      </c>
      <c r="E1696">
        <v>0</v>
      </c>
      <c r="F1696">
        <v>0</v>
      </c>
      <c r="G1696">
        <v>9137</v>
      </c>
      <c r="H1696">
        <v>0</v>
      </c>
      <c r="I1696">
        <v>0</v>
      </c>
    </row>
    <row r="1697" spans="1:9" x14ac:dyDescent="0.25">
      <c r="A1697">
        <v>38</v>
      </c>
      <c r="B1697">
        <v>1</v>
      </c>
      <c r="C1697">
        <v>1</v>
      </c>
      <c r="D1697">
        <v>2</v>
      </c>
      <c r="E1697">
        <v>0</v>
      </c>
      <c r="F1697">
        <v>0</v>
      </c>
      <c r="G1697">
        <v>4166</v>
      </c>
      <c r="H1697">
        <v>0</v>
      </c>
      <c r="I1697">
        <v>0</v>
      </c>
    </row>
    <row r="1698" spans="1:9" x14ac:dyDescent="0.25">
      <c r="A1698">
        <v>38</v>
      </c>
      <c r="B1698">
        <v>1</v>
      </c>
      <c r="C1698">
        <v>4</v>
      </c>
      <c r="D1698">
        <v>1</v>
      </c>
      <c r="E1698">
        <v>0</v>
      </c>
      <c r="F1698">
        <v>0</v>
      </c>
      <c r="G1698">
        <v>7956</v>
      </c>
      <c r="H1698">
        <v>0</v>
      </c>
      <c r="I1698">
        <v>0</v>
      </c>
    </row>
    <row r="1699" spans="1:9" x14ac:dyDescent="0.25">
      <c r="A1699">
        <v>38</v>
      </c>
      <c r="B1699">
        <v>1</v>
      </c>
      <c r="C1699">
        <v>6</v>
      </c>
      <c r="D1699">
        <v>4</v>
      </c>
      <c r="E1699">
        <v>0</v>
      </c>
      <c r="F1699">
        <v>0</v>
      </c>
      <c r="G1699">
        <v>10790</v>
      </c>
      <c r="H1699">
        <v>0</v>
      </c>
      <c r="I1699">
        <v>0</v>
      </c>
    </row>
    <row r="1700" spans="1:9" x14ac:dyDescent="0.25">
      <c r="A1700">
        <v>38</v>
      </c>
      <c r="B1700">
        <v>1</v>
      </c>
      <c r="C1700">
        <v>5</v>
      </c>
      <c r="D1700">
        <v>6</v>
      </c>
      <c r="E1700">
        <v>0</v>
      </c>
      <c r="F1700">
        <v>0</v>
      </c>
      <c r="G1700">
        <v>9871</v>
      </c>
      <c r="H1700">
        <v>0</v>
      </c>
      <c r="I1700">
        <v>0</v>
      </c>
    </row>
    <row r="1701" spans="1:9" x14ac:dyDescent="0.25">
      <c r="A1701">
        <v>38</v>
      </c>
      <c r="B1701">
        <v>1</v>
      </c>
      <c r="C1701">
        <v>9</v>
      </c>
      <c r="D1701">
        <v>4</v>
      </c>
      <c r="E1701">
        <v>0</v>
      </c>
      <c r="F1701">
        <v>0</v>
      </c>
      <c r="G1701">
        <v>17633</v>
      </c>
      <c r="H1701">
        <v>0</v>
      </c>
      <c r="I1701">
        <v>0</v>
      </c>
    </row>
    <row r="1702" spans="1:9" x14ac:dyDescent="0.25">
      <c r="A1702">
        <v>38</v>
      </c>
      <c r="B1702">
        <v>1</v>
      </c>
      <c r="C1702">
        <v>4</v>
      </c>
      <c r="D1702">
        <v>1</v>
      </c>
      <c r="E1702">
        <v>0</v>
      </c>
      <c r="F1702">
        <v>0</v>
      </c>
      <c r="G1702">
        <v>9291</v>
      </c>
      <c r="H1702">
        <v>0</v>
      </c>
      <c r="I1702">
        <v>0</v>
      </c>
    </row>
    <row r="1703" spans="1:9" x14ac:dyDescent="0.25">
      <c r="A1703">
        <v>38</v>
      </c>
      <c r="B1703">
        <v>1</v>
      </c>
      <c r="C1703">
        <v>2</v>
      </c>
      <c r="D1703">
        <v>0</v>
      </c>
      <c r="E1703">
        <v>0</v>
      </c>
      <c r="F1703">
        <v>0</v>
      </c>
      <c r="G1703">
        <v>1898</v>
      </c>
      <c r="H1703">
        <v>0</v>
      </c>
      <c r="I1703">
        <v>0</v>
      </c>
    </row>
    <row r="1704" spans="1:9" x14ac:dyDescent="0.25">
      <c r="A1704">
        <v>38</v>
      </c>
      <c r="B1704">
        <v>1</v>
      </c>
      <c r="C1704">
        <v>6</v>
      </c>
      <c r="D1704">
        <v>3</v>
      </c>
      <c r="E1704">
        <v>3</v>
      </c>
      <c r="F1704">
        <v>0</v>
      </c>
      <c r="G1704">
        <v>21283</v>
      </c>
      <c r="H1704">
        <v>0</v>
      </c>
      <c r="I1704">
        <v>0</v>
      </c>
    </row>
    <row r="1705" spans="1:9" x14ac:dyDescent="0.25">
      <c r="A1705">
        <v>38</v>
      </c>
      <c r="B1705">
        <v>1</v>
      </c>
      <c r="C1705">
        <v>3</v>
      </c>
      <c r="D1705">
        <v>0</v>
      </c>
      <c r="E1705">
        <v>2</v>
      </c>
      <c r="F1705">
        <v>0</v>
      </c>
      <c r="G1705">
        <v>8121</v>
      </c>
      <c r="H1705">
        <v>0</v>
      </c>
      <c r="I1705">
        <v>0</v>
      </c>
    </row>
    <row r="1706" spans="1:9" x14ac:dyDescent="0.25">
      <c r="A1706">
        <v>38</v>
      </c>
      <c r="B1706">
        <v>1</v>
      </c>
      <c r="C1706">
        <v>4</v>
      </c>
      <c r="D1706">
        <v>3</v>
      </c>
      <c r="E1706">
        <v>1</v>
      </c>
      <c r="F1706">
        <v>0</v>
      </c>
      <c r="G1706">
        <v>14490</v>
      </c>
      <c r="H1706">
        <v>0</v>
      </c>
      <c r="I1706">
        <v>0</v>
      </c>
    </row>
    <row r="1707" spans="1:9" x14ac:dyDescent="0.25">
      <c r="A1707">
        <v>38</v>
      </c>
      <c r="B1707">
        <v>1</v>
      </c>
      <c r="C1707">
        <v>3</v>
      </c>
      <c r="D1707">
        <v>0</v>
      </c>
      <c r="E1707">
        <v>2</v>
      </c>
      <c r="F1707">
        <v>0</v>
      </c>
      <c r="G1707">
        <v>25444</v>
      </c>
      <c r="H1707">
        <v>1</v>
      </c>
      <c r="I1707">
        <v>0</v>
      </c>
    </row>
    <row r="1708" spans="1:9" x14ac:dyDescent="0.25">
      <c r="A1708">
        <v>38</v>
      </c>
      <c r="B1708">
        <v>1</v>
      </c>
      <c r="C1708">
        <v>6</v>
      </c>
      <c r="D1708">
        <v>3</v>
      </c>
      <c r="E1708">
        <v>1</v>
      </c>
      <c r="F1708">
        <v>0</v>
      </c>
      <c r="G1708">
        <v>31284</v>
      </c>
      <c r="H1708">
        <v>1</v>
      </c>
      <c r="I1708">
        <v>0</v>
      </c>
    </row>
    <row r="1709" spans="1:9" x14ac:dyDescent="0.25">
      <c r="A1709">
        <v>38</v>
      </c>
      <c r="B1709">
        <v>1</v>
      </c>
      <c r="C1709">
        <v>44</v>
      </c>
      <c r="D1709">
        <v>0</v>
      </c>
      <c r="E1709">
        <v>2</v>
      </c>
      <c r="F1709">
        <v>0</v>
      </c>
      <c r="G1709">
        <v>67449</v>
      </c>
      <c r="H1709">
        <v>1</v>
      </c>
      <c r="I1709">
        <v>0</v>
      </c>
    </row>
    <row r="1710" spans="1:9" x14ac:dyDescent="0.25">
      <c r="A1710">
        <v>38</v>
      </c>
      <c r="B1710">
        <v>1</v>
      </c>
      <c r="C1710">
        <v>7</v>
      </c>
      <c r="D1710">
        <v>3</v>
      </c>
      <c r="E1710">
        <v>6</v>
      </c>
      <c r="F1710">
        <v>0</v>
      </c>
      <c r="G1710">
        <v>75666</v>
      </c>
      <c r="H1710">
        <v>1</v>
      </c>
      <c r="I1710">
        <v>0</v>
      </c>
    </row>
    <row r="1711" spans="1:9" x14ac:dyDescent="0.25">
      <c r="A1711">
        <v>38</v>
      </c>
      <c r="B1711">
        <v>1</v>
      </c>
      <c r="C1711">
        <v>3</v>
      </c>
      <c r="D1711">
        <v>0</v>
      </c>
      <c r="E1711">
        <v>2</v>
      </c>
      <c r="F1711">
        <v>0</v>
      </c>
      <c r="G1711">
        <v>8144</v>
      </c>
      <c r="H1711">
        <v>1</v>
      </c>
      <c r="I1711">
        <v>0</v>
      </c>
    </row>
    <row r="1712" spans="1:9" x14ac:dyDescent="0.25">
      <c r="A1712">
        <v>38</v>
      </c>
      <c r="B1712">
        <v>1</v>
      </c>
      <c r="C1712">
        <v>8</v>
      </c>
      <c r="D1712">
        <v>1</v>
      </c>
      <c r="E1712">
        <v>1</v>
      </c>
      <c r="F1712">
        <v>0</v>
      </c>
      <c r="G1712">
        <v>25568</v>
      </c>
      <c r="H1712">
        <v>1</v>
      </c>
      <c r="I1712">
        <v>0</v>
      </c>
    </row>
    <row r="1713" spans="1:9" x14ac:dyDescent="0.25">
      <c r="A1713">
        <v>37</v>
      </c>
      <c r="B1713">
        <v>1</v>
      </c>
      <c r="C1713">
        <v>8</v>
      </c>
      <c r="D1713">
        <v>4</v>
      </c>
      <c r="E1713">
        <v>0</v>
      </c>
      <c r="F1713">
        <v>0</v>
      </c>
      <c r="G1713">
        <v>11752</v>
      </c>
      <c r="H1713">
        <v>0</v>
      </c>
      <c r="I1713">
        <v>0</v>
      </c>
    </row>
    <row r="1714" spans="1:9" x14ac:dyDescent="0.25">
      <c r="A1714">
        <v>37</v>
      </c>
      <c r="B1714">
        <v>1</v>
      </c>
      <c r="C1714">
        <v>4</v>
      </c>
      <c r="D1714">
        <v>2</v>
      </c>
      <c r="E1714">
        <v>0</v>
      </c>
      <c r="F1714">
        <v>0</v>
      </c>
      <c r="G1714">
        <v>24066</v>
      </c>
      <c r="H1714">
        <v>0</v>
      </c>
      <c r="I1714">
        <v>0</v>
      </c>
    </row>
    <row r="1715" spans="1:9" x14ac:dyDescent="0.25">
      <c r="A1715">
        <v>37</v>
      </c>
      <c r="B1715">
        <v>1</v>
      </c>
      <c r="C1715">
        <v>2</v>
      </c>
      <c r="D1715">
        <v>4</v>
      </c>
      <c r="E1715">
        <v>1</v>
      </c>
      <c r="F1715">
        <v>0</v>
      </c>
      <c r="G1715">
        <v>5272</v>
      </c>
      <c r="H1715">
        <v>0</v>
      </c>
      <c r="I1715">
        <v>0</v>
      </c>
    </row>
    <row r="1716" spans="1:9" x14ac:dyDescent="0.25">
      <c r="A1716">
        <v>37</v>
      </c>
      <c r="B1716">
        <v>1</v>
      </c>
      <c r="C1716">
        <v>4</v>
      </c>
      <c r="D1716">
        <v>3</v>
      </c>
      <c r="E1716">
        <v>2</v>
      </c>
      <c r="F1716">
        <v>0</v>
      </c>
      <c r="G1716">
        <v>23740</v>
      </c>
      <c r="H1716">
        <v>0</v>
      </c>
      <c r="I1716">
        <v>0</v>
      </c>
    </row>
    <row r="1717" spans="1:9" x14ac:dyDescent="0.25">
      <c r="A1717">
        <v>37</v>
      </c>
      <c r="B1717">
        <v>1</v>
      </c>
      <c r="C1717">
        <v>9</v>
      </c>
      <c r="D1717">
        <v>4</v>
      </c>
      <c r="E1717">
        <v>0</v>
      </c>
      <c r="F1717">
        <v>0</v>
      </c>
      <c r="G1717">
        <v>16999</v>
      </c>
      <c r="H1717">
        <v>0</v>
      </c>
      <c r="I1717">
        <v>0</v>
      </c>
    </row>
    <row r="1718" spans="1:9" x14ac:dyDescent="0.25">
      <c r="A1718">
        <v>37</v>
      </c>
      <c r="B1718">
        <v>0</v>
      </c>
      <c r="C1718">
        <v>6</v>
      </c>
      <c r="D1718">
        <v>4</v>
      </c>
      <c r="E1718">
        <v>0</v>
      </c>
      <c r="F1718">
        <v>0</v>
      </c>
      <c r="G1718">
        <v>12172</v>
      </c>
      <c r="H1718">
        <v>0</v>
      </c>
      <c r="I1718">
        <v>0</v>
      </c>
    </row>
    <row r="1719" spans="1:9" x14ac:dyDescent="0.25">
      <c r="A1719">
        <v>37</v>
      </c>
      <c r="B1719">
        <v>1</v>
      </c>
      <c r="C1719">
        <v>7</v>
      </c>
      <c r="D1719">
        <v>8</v>
      </c>
      <c r="E1719">
        <v>0</v>
      </c>
      <c r="F1719">
        <v>0</v>
      </c>
      <c r="G1719">
        <v>13078</v>
      </c>
      <c r="H1719">
        <v>0</v>
      </c>
      <c r="I1719">
        <v>0</v>
      </c>
    </row>
    <row r="1720" spans="1:9" x14ac:dyDescent="0.25">
      <c r="A1720">
        <v>35</v>
      </c>
      <c r="B1720">
        <v>1</v>
      </c>
      <c r="C1720">
        <v>2</v>
      </c>
      <c r="D1720">
        <v>0</v>
      </c>
      <c r="E1720">
        <v>2</v>
      </c>
      <c r="F1720">
        <v>0</v>
      </c>
      <c r="G1720">
        <v>7080</v>
      </c>
      <c r="H1720">
        <v>0</v>
      </c>
      <c r="I1720">
        <v>0</v>
      </c>
    </row>
    <row r="1721" spans="1:9" x14ac:dyDescent="0.25">
      <c r="A1721">
        <v>35</v>
      </c>
      <c r="B1721">
        <v>1</v>
      </c>
      <c r="C1721">
        <v>1</v>
      </c>
      <c r="D1721">
        <v>3</v>
      </c>
      <c r="E1721">
        <v>0</v>
      </c>
      <c r="F1721">
        <v>0</v>
      </c>
      <c r="G1721">
        <v>7743</v>
      </c>
      <c r="H1721">
        <v>0</v>
      </c>
      <c r="I1721">
        <v>0</v>
      </c>
    </row>
    <row r="1722" spans="1:9" x14ac:dyDescent="0.25">
      <c r="A1722">
        <v>35</v>
      </c>
      <c r="B1722">
        <v>0</v>
      </c>
      <c r="C1722">
        <v>5</v>
      </c>
      <c r="D1722">
        <v>3</v>
      </c>
      <c r="E1722">
        <v>0</v>
      </c>
      <c r="F1722">
        <v>0</v>
      </c>
      <c r="G1722">
        <v>10505</v>
      </c>
      <c r="H1722">
        <v>0</v>
      </c>
      <c r="I1722">
        <v>0</v>
      </c>
    </row>
    <row r="1723" spans="1:9" x14ac:dyDescent="0.25">
      <c r="A1723">
        <v>35</v>
      </c>
      <c r="B1723">
        <v>1</v>
      </c>
      <c r="C1723">
        <v>7</v>
      </c>
      <c r="D1723">
        <v>2</v>
      </c>
      <c r="E1723">
        <v>0</v>
      </c>
      <c r="F1723">
        <v>0</v>
      </c>
      <c r="G1723">
        <v>10254</v>
      </c>
      <c r="H1723">
        <v>0</v>
      </c>
      <c r="I1723">
        <v>0</v>
      </c>
    </row>
    <row r="1724" spans="1:9" x14ac:dyDescent="0.25">
      <c r="A1724">
        <v>35</v>
      </c>
      <c r="B1724">
        <v>1</v>
      </c>
      <c r="C1724">
        <v>2</v>
      </c>
      <c r="D1724">
        <v>3</v>
      </c>
      <c r="E1724">
        <v>0</v>
      </c>
      <c r="F1724">
        <v>0</v>
      </c>
      <c r="G1724">
        <v>5659</v>
      </c>
      <c r="H1724">
        <v>0</v>
      </c>
      <c r="I1724">
        <v>0</v>
      </c>
    </row>
    <row r="1725" spans="1:9" x14ac:dyDescent="0.25">
      <c r="A1725">
        <v>35</v>
      </c>
      <c r="B1725">
        <v>0</v>
      </c>
      <c r="C1725">
        <v>3</v>
      </c>
      <c r="D1725">
        <v>3</v>
      </c>
      <c r="E1725">
        <v>0</v>
      </c>
      <c r="F1725">
        <v>0</v>
      </c>
      <c r="G1725">
        <v>4886</v>
      </c>
      <c r="H1725">
        <v>0</v>
      </c>
      <c r="I1725">
        <v>0</v>
      </c>
    </row>
    <row r="1726" spans="1:9" x14ac:dyDescent="0.25">
      <c r="A1726">
        <v>35</v>
      </c>
      <c r="B1726">
        <v>0</v>
      </c>
      <c r="C1726">
        <v>3</v>
      </c>
      <c r="D1726">
        <v>2</v>
      </c>
      <c r="E1726">
        <v>1</v>
      </c>
      <c r="F1726">
        <v>0</v>
      </c>
      <c r="G1726">
        <v>9745</v>
      </c>
      <c r="H1726">
        <v>0</v>
      </c>
      <c r="I1726">
        <v>0</v>
      </c>
    </row>
    <row r="1727" spans="1:9" x14ac:dyDescent="0.25">
      <c r="A1727">
        <v>35</v>
      </c>
      <c r="B1727">
        <v>0</v>
      </c>
      <c r="C1727">
        <v>8</v>
      </c>
      <c r="D1727">
        <v>3</v>
      </c>
      <c r="E1727">
        <v>1</v>
      </c>
      <c r="F1727">
        <v>0</v>
      </c>
      <c r="G1727">
        <v>12315</v>
      </c>
      <c r="H1727">
        <v>0</v>
      </c>
      <c r="I1727">
        <v>0</v>
      </c>
    </row>
    <row r="1728" spans="1:9" x14ac:dyDescent="0.25">
      <c r="A1728">
        <v>35</v>
      </c>
      <c r="B1728">
        <v>1</v>
      </c>
      <c r="C1728">
        <v>2</v>
      </c>
      <c r="D1728">
        <v>1</v>
      </c>
      <c r="E1728">
        <v>2</v>
      </c>
      <c r="F1728">
        <v>0</v>
      </c>
      <c r="G1728">
        <v>8557</v>
      </c>
      <c r="H1728">
        <v>0</v>
      </c>
      <c r="I1728">
        <v>0</v>
      </c>
    </row>
    <row r="1729" spans="1:9" x14ac:dyDescent="0.25">
      <c r="A1729">
        <v>35</v>
      </c>
      <c r="B1729">
        <v>1</v>
      </c>
      <c r="C1729">
        <v>2</v>
      </c>
      <c r="D1729">
        <v>3</v>
      </c>
      <c r="E1729">
        <v>2</v>
      </c>
      <c r="F1729">
        <v>0</v>
      </c>
      <c r="G1729">
        <v>18051</v>
      </c>
      <c r="H1729">
        <v>1</v>
      </c>
      <c r="I1729">
        <v>0</v>
      </c>
    </row>
    <row r="1730" spans="1:9" x14ac:dyDescent="0.25">
      <c r="A1730">
        <v>35</v>
      </c>
      <c r="B1730">
        <v>1</v>
      </c>
      <c r="C1730">
        <v>4</v>
      </c>
      <c r="D1730">
        <v>0</v>
      </c>
      <c r="E1730">
        <v>2</v>
      </c>
      <c r="F1730">
        <v>0</v>
      </c>
      <c r="G1730">
        <v>18239</v>
      </c>
      <c r="H1730">
        <v>1</v>
      </c>
      <c r="I1730">
        <v>0</v>
      </c>
    </row>
    <row r="1731" spans="1:9" x14ac:dyDescent="0.25">
      <c r="A1731">
        <v>35</v>
      </c>
      <c r="B1731">
        <v>1</v>
      </c>
      <c r="C1731">
        <v>3</v>
      </c>
      <c r="D1731">
        <v>0</v>
      </c>
      <c r="E1731">
        <v>1</v>
      </c>
      <c r="F1731">
        <v>0</v>
      </c>
      <c r="G1731">
        <v>16308</v>
      </c>
      <c r="H1731">
        <v>1</v>
      </c>
      <c r="I1731">
        <v>0</v>
      </c>
    </row>
    <row r="1732" spans="1:9" x14ac:dyDescent="0.25">
      <c r="A1732">
        <v>35</v>
      </c>
      <c r="B1732">
        <v>1</v>
      </c>
      <c r="C1732">
        <v>4</v>
      </c>
      <c r="D1732">
        <v>0</v>
      </c>
      <c r="E1732">
        <v>3</v>
      </c>
      <c r="F1732">
        <v>0</v>
      </c>
      <c r="G1732">
        <v>13624</v>
      </c>
      <c r="H1732">
        <v>1</v>
      </c>
      <c r="I1732">
        <v>0</v>
      </c>
    </row>
    <row r="1733" spans="1:9" x14ac:dyDescent="0.25">
      <c r="A1733">
        <v>34</v>
      </c>
      <c r="B1733">
        <v>0</v>
      </c>
      <c r="C1733">
        <v>4</v>
      </c>
      <c r="D1733">
        <v>2</v>
      </c>
      <c r="E1733">
        <v>0</v>
      </c>
      <c r="F1733">
        <v>0</v>
      </c>
      <c r="G1733">
        <v>13522</v>
      </c>
      <c r="H1733">
        <v>0</v>
      </c>
      <c r="I1733">
        <v>0</v>
      </c>
    </row>
    <row r="1734" spans="1:9" x14ac:dyDescent="0.25">
      <c r="A1734">
        <v>34</v>
      </c>
      <c r="B1734">
        <v>1</v>
      </c>
      <c r="C1734">
        <v>4</v>
      </c>
      <c r="D1734">
        <v>2</v>
      </c>
      <c r="E1734">
        <v>0</v>
      </c>
      <c r="F1734">
        <v>0</v>
      </c>
      <c r="G1734">
        <v>5832</v>
      </c>
      <c r="H1734">
        <v>0</v>
      </c>
      <c r="I1734">
        <v>0</v>
      </c>
    </row>
    <row r="1735" spans="1:9" x14ac:dyDescent="0.25">
      <c r="A1735">
        <v>34</v>
      </c>
      <c r="B1735">
        <v>1</v>
      </c>
      <c r="C1735">
        <v>8</v>
      </c>
      <c r="D1735">
        <v>6</v>
      </c>
      <c r="E1735">
        <v>0</v>
      </c>
      <c r="F1735">
        <v>0</v>
      </c>
      <c r="G1735">
        <v>17714</v>
      </c>
      <c r="H1735">
        <v>0</v>
      </c>
      <c r="I1735">
        <v>0</v>
      </c>
    </row>
    <row r="1736" spans="1:9" x14ac:dyDescent="0.25">
      <c r="A1736">
        <v>34</v>
      </c>
      <c r="B1736">
        <v>1</v>
      </c>
      <c r="C1736">
        <v>2</v>
      </c>
      <c r="D1736">
        <v>2</v>
      </c>
      <c r="E1736">
        <v>0</v>
      </c>
      <c r="F1736">
        <v>0</v>
      </c>
      <c r="G1736">
        <v>10480</v>
      </c>
      <c r="H1736">
        <v>0</v>
      </c>
      <c r="I1736">
        <v>0</v>
      </c>
    </row>
    <row r="1737" spans="1:9" x14ac:dyDescent="0.25">
      <c r="A1737">
        <v>34</v>
      </c>
      <c r="B1737">
        <v>1</v>
      </c>
      <c r="C1737">
        <v>4</v>
      </c>
      <c r="D1737">
        <v>4</v>
      </c>
      <c r="E1737">
        <v>1</v>
      </c>
      <c r="F1737">
        <v>0</v>
      </c>
      <c r="G1737">
        <v>15580</v>
      </c>
      <c r="H1737">
        <v>0</v>
      </c>
      <c r="I1737">
        <v>0</v>
      </c>
    </row>
    <row r="1738" spans="1:9" x14ac:dyDescent="0.25">
      <c r="A1738">
        <v>34</v>
      </c>
      <c r="B1738">
        <v>1</v>
      </c>
      <c r="C1738">
        <v>3</v>
      </c>
      <c r="D1738">
        <v>7</v>
      </c>
      <c r="E1738">
        <v>0</v>
      </c>
      <c r="F1738">
        <v>0</v>
      </c>
      <c r="G1738">
        <v>15722</v>
      </c>
      <c r="H1738">
        <v>0</v>
      </c>
      <c r="I1738">
        <v>0</v>
      </c>
    </row>
    <row r="1739" spans="1:9" x14ac:dyDescent="0.25">
      <c r="A1739">
        <v>34</v>
      </c>
      <c r="B1739">
        <v>1</v>
      </c>
      <c r="C1739">
        <v>3</v>
      </c>
      <c r="D1739">
        <v>2</v>
      </c>
      <c r="E1739">
        <v>0</v>
      </c>
      <c r="F1739">
        <v>0</v>
      </c>
      <c r="G1739">
        <v>15241</v>
      </c>
      <c r="H1739">
        <v>0</v>
      </c>
      <c r="I1739">
        <v>0</v>
      </c>
    </row>
    <row r="1740" spans="1:9" x14ac:dyDescent="0.25">
      <c r="A1740">
        <v>34</v>
      </c>
      <c r="B1740">
        <v>1</v>
      </c>
      <c r="C1740">
        <v>3</v>
      </c>
      <c r="D1740">
        <v>2</v>
      </c>
      <c r="E1740">
        <v>0</v>
      </c>
      <c r="F1740">
        <v>0</v>
      </c>
      <c r="G1740">
        <v>9159</v>
      </c>
      <c r="H1740">
        <v>0</v>
      </c>
      <c r="I1740">
        <v>0</v>
      </c>
    </row>
    <row r="1741" spans="1:9" x14ac:dyDescent="0.25">
      <c r="A1741">
        <v>34</v>
      </c>
      <c r="B1741">
        <v>1</v>
      </c>
      <c r="C1741">
        <v>4</v>
      </c>
      <c r="D1741">
        <v>1</v>
      </c>
      <c r="E1741">
        <v>0</v>
      </c>
      <c r="F1741">
        <v>0</v>
      </c>
      <c r="G1741">
        <v>8781</v>
      </c>
      <c r="H1741">
        <v>0</v>
      </c>
      <c r="I1741">
        <v>0</v>
      </c>
    </row>
    <row r="1742" spans="1:9" x14ac:dyDescent="0.25">
      <c r="A1742">
        <v>34</v>
      </c>
      <c r="B1742">
        <v>1</v>
      </c>
      <c r="C1742">
        <v>2</v>
      </c>
      <c r="D1742">
        <v>0</v>
      </c>
      <c r="E1742">
        <v>0</v>
      </c>
      <c r="F1742">
        <v>0</v>
      </c>
      <c r="G1742">
        <v>5707</v>
      </c>
      <c r="H1742">
        <v>0</v>
      </c>
      <c r="I1742">
        <v>0</v>
      </c>
    </row>
    <row r="1743" spans="1:9" x14ac:dyDescent="0.25">
      <c r="A1743">
        <v>34</v>
      </c>
      <c r="B1743">
        <v>0</v>
      </c>
      <c r="C1743">
        <v>4</v>
      </c>
      <c r="D1743">
        <v>0</v>
      </c>
      <c r="E1743">
        <v>1</v>
      </c>
      <c r="F1743">
        <v>0</v>
      </c>
      <c r="G1743">
        <v>6500</v>
      </c>
      <c r="H1743">
        <v>0</v>
      </c>
      <c r="I1743">
        <v>0</v>
      </c>
    </row>
    <row r="1744" spans="1:9" x14ac:dyDescent="0.25">
      <c r="A1744">
        <v>34</v>
      </c>
      <c r="B1744">
        <v>1</v>
      </c>
      <c r="C1744">
        <v>3</v>
      </c>
      <c r="D1744">
        <v>0</v>
      </c>
      <c r="E1744">
        <v>0</v>
      </c>
      <c r="F1744">
        <v>0</v>
      </c>
      <c r="G1744">
        <v>7811</v>
      </c>
      <c r="H1744">
        <v>0</v>
      </c>
      <c r="I1744">
        <v>0</v>
      </c>
    </row>
    <row r="1745" spans="1:9" x14ac:dyDescent="0.25">
      <c r="A1745">
        <v>34</v>
      </c>
      <c r="B1745">
        <v>0</v>
      </c>
      <c r="C1745">
        <v>4</v>
      </c>
      <c r="D1745">
        <v>2</v>
      </c>
      <c r="E1745">
        <v>0</v>
      </c>
      <c r="F1745">
        <v>0</v>
      </c>
      <c r="G1745">
        <v>11556</v>
      </c>
      <c r="H1745">
        <v>0</v>
      </c>
      <c r="I1745">
        <v>0</v>
      </c>
    </row>
    <row r="1746" spans="1:9" x14ac:dyDescent="0.25">
      <c r="A1746">
        <v>34</v>
      </c>
      <c r="B1746">
        <v>1</v>
      </c>
      <c r="C1746">
        <v>10</v>
      </c>
      <c r="D1746">
        <v>1</v>
      </c>
      <c r="E1746">
        <v>2</v>
      </c>
      <c r="F1746">
        <v>0</v>
      </c>
      <c r="G1746">
        <v>43056</v>
      </c>
      <c r="H1746">
        <v>1</v>
      </c>
      <c r="I1746">
        <v>0</v>
      </c>
    </row>
    <row r="1747" spans="1:9" x14ac:dyDescent="0.25">
      <c r="A1747">
        <v>34</v>
      </c>
      <c r="B1747">
        <v>0</v>
      </c>
      <c r="C1747">
        <v>2</v>
      </c>
      <c r="D1747">
        <v>2</v>
      </c>
      <c r="E1747">
        <v>2</v>
      </c>
      <c r="F1747">
        <v>0</v>
      </c>
      <c r="G1747">
        <v>9188</v>
      </c>
      <c r="H1747">
        <v>1</v>
      </c>
      <c r="I1747">
        <v>0</v>
      </c>
    </row>
    <row r="1748" spans="1:9" x14ac:dyDescent="0.25">
      <c r="A1748">
        <v>34</v>
      </c>
      <c r="B1748">
        <v>1</v>
      </c>
      <c r="C1748">
        <v>4</v>
      </c>
      <c r="D1748">
        <v>0</v>
      </c>
      <c r="E1748">
        <v>1</v>
      </c>
      <c r="F1748">
        <v>0</v>
      </c>
      <c r="G1748">
        <v>9757</v>
      </c>
      <c r="H1748">
        <v>1</v>
      </c>
      <c r="I1748">
        <v>0</v>
      </c>
    </row>
    <row r="1749" spans="1:9" x14ac:dyDescent="0.25">
      <c r="A1749">
        <v>33</v>
      </c>
      <c r="B1749">
        <v>0</v>
      </c>
      <c r="C1749">
        <v>2</v>
      </c>
      <c r="D1749">
        <v>3</v>
      </c>
      <c r="E1749">
        <v>0</v>
      </c>
      <c r="F1749">
        <v>0</v>
      </c>
      <c r="G1749">
        <v>7499</v>
      </c>
      <c r="H1749">
        <v>0</v>
      </c>
      <c r="I1749">
        <v>0</v>
      </c>
    </row>
    <row r="1750" spans="1:9" x14ac:dyDescent="0.25">
      <c r="A1750">
        <v>33</v>
      </c>
      <c r="B1750">
        <v>1</v>
      </c>
      <c r="C1750">
        <v>3</v>
      </c>
      <c r="D1750">
        <v>1</v>
      </c>
      <c r="E1750">
        <v>0</v>
      </c>
      <c r="F1750">
        <v>0</v>
      </c>
      <c r="G1750">
        <v>11506</v>
      </c>
      <c r="H1750">
        <v>0</v>
      </c>
      <c r="I1750">
        <v>0</v>
      </c>
    </row>
    <row r="1751" spans="1:9" x14ac:dyDescent="0.25">
      <c r="A1751">
        <v>33</v>
      </c>
      <c r="B1751">
        <v>0</v>
      </c>
      <c r="C1751">
        <v>3</v>
      </c>
      <c r="D1751">
        <v>4</v>
      </c>
      <c r="E1751">
        <v>0</v>
      </c>
      <c r="F1751">
        <v>0</v>
      </c>
      <c r="G1751">
        <v>4170</v>
      </c>
      <c r="H1751">
        <v>0</v>
      </c>
      <c r="I1751">
        <v>0</v>
      </c>
    </row>
    <row r="1752" spans="1:9" x14ac:dyDescent="0.25">
      <c r="A1752">
        <v>33</v>
      </c>
      <c r="B1752">
        <v>0</v>
      </c>
      <c r="C1752">
        <v>7</v>
      </c>
      <c r="D1752">
        <v>3</v>
      </c>
      <c r="E1752">
        <v>0</v>
      </c>
      <c r="F1752">
        <v>0</v>
      </c>
      <c r="G1752">
        <v>11029</v>
      </c>
      <c r="H1752">
        <v>0</v>
      </c>
      <c r="I1752">
        <v>0</v>
      </c>
    </row>
    <row r="1753" spans="1:9" x14ac:dyDescent="0.25">
      <c r="A1753">
        <v>33</v>
      </c>
      <c r="B1753">
        <v>1</v>
      </c>
      <c r="C1753">
        <v>2</v>
      </c>
      <c r="D1753">
        <v>0</v>
      </c>
      <c r="E1753">
        <v>1</v>
      </c>
      <c r="F1753">
        <v>0</v>
      </c>
      <c r="G1753">
        <v>7576</v>
      </c>
      <c r="H1753">
        <v>0</v>
      </c>
      <c r="I1753">
        <v>0</v>
      </c>
    </row>
    <row r="1754" spans="1:9" x14ac:dyDescent="0.25">
      <c r="A1754">
        <v>33</v>
      </c>
      <c r="B1754">
        <v>0</v>
      </c>
      <c r="C1754">
        <v>7</v>
      </c>
      <c r="D1754">
        <v>3</v>
      </c>
      <c r="E1754">
        <v>0</v>
      </c>
      <c r="F1754">
        <v>0</v>
      </c>
      <c r="G1754">
        <v>10092</v>
      </c>
      <c r="H1754">
        <v>0</v>
      </c>
      <c r="I1754">
        <v>0</v>
      </c>
    </row>
    <row r="1755" spans="1:9" x14ac:dyDescent="0.25">
      <c r="A1755">
        <v>33</v>
      </c>
      <c r="B1755">
        <v>1</v>
      </c>
      <c r="C1755">
        <v>2</v>
      </c>
      <c r="D1755">
        <v>0</v>
      </c>
      <c r="E1755">
        <v>2</v>
      </c>
      <c r="F1755">
        <v>0</v>
      </c>
      <c r="G1755">
        <v>7011</v>
      </c>
      <c r="H1755">
        <v>0</v>
      </c>
      <c r="I1755">
        <v>0</v>
      </c>
    </row>
    <row r="1756" spans="1:9" x14ac:dyDescent="0.25">
      <c r="A1756">
        <v>33</v>
      </c>
      <c r="B1756">
        <v>1</v>
      </c>
      <c r="C1756">
        <v>77</v>
      </c>
      <c r="D1756">
        <v>0</v>
      </c>
      <c r="E1756">
        <v>0</v>
      </c>
      <c r="F1756">
        <v>0</v>
      </c>
      <c r="G1756">
        <v>97572</v>
      </c>
      <c r="H1756">
        <v>0</v>
      </c>
      <c r="I1756">
        <v>0</v>
      </c>
    </row>
    <row r="1757" spans="1:9" x14ac:dyDescent="0.25">
      <c r="A1757">
        <v>33</v>
      </c>
      <c r="B1757">
        <v>1</v>
      </c>
      <c r="C1757">
        <v>2</v>
      </c>
      <c r="D1757">
        <v>0</v>
      </c>
      <c r="E1757">
        <v>1</v>
      </c>
      <c r="F1757">
        <v>0</v>
      </c>
      <c r="G1757">
        <v>10818</v>
      </c>
      <c r="H1757">
        <v>0</v>
      </c>
      <c r="I1757">
        <v>0</v>
      </c>
    </row>
    <row r="1758" spans="1:9" x14ac:dyDescent="0.25">
      <c r="A1758">
        <v>33</v>
      </c>
      <c r="B1758">
        <v>1</v>
      </c>
      <c r="C1758">
        <v>2</v>
      </c>
      <c r="D1758">
        <v>0</v>
      </c>
      <c r="E1758">
        <v>1</v>
      </c>
      <c r="F1758">
        <v>0</v>
      </c>
      <c r="G1758">
        <v>5933</v>
      </c>
      <c r="H1758">
        <v>0</v>
      </c>
      <c r="I1758">
        <v>0</v>
      </c>
    </row>
    <row r="1759" spans="1:9" x14ac:dyDescent="0.25">
      <c r="A1759">
        <v>33</v>
      </c>
      <c r="B1759">
        <v>0</v>
      </c>
      <c r="C1759">
        <v>2</v>
      </c>
      <c r="D1759">
        <v>4</v>
      </c>
      <c r="E1759">
        <v>0</v>
      </c>
      <c r="F1759">
        <v>0</v>
      </c>
      <c r="G1759">
        <v>8713</v>
      </c>
      <c r="H1759">
        <v>0</v>
      </c>
      <c r="I1759">
        <v>0</v>
      </c>
    </row>
    <row r="1760" spans="1:9" x14ac:dyDescent="0.25">
      <c r="A1760">
        <v>33</v>
      </c>
      <c r="B1760">
        <v>1</v>
      </c>
      <c r="C1760">
        <v>3</v>
      </c>
      <c r="D1760">
        <v>1</v>
      </c>
      <c r="E1760">
        <v>2</v>
      </c>
      <c r="F1760">
        <v>0</v>
      </c>
      <c r="G1760">
        <v>9183</v>
      </c>
      <c r="H1760">
        <v>0</v>
      </c>
      <c r="I1760">
        <v>0</v>
      </c>
    </row>
    <row r="1761" spans="1:9" x14ac:dyDescent="0.25">
      <c r="A1761">
        <v>33</v>
      </c>
      <c r="B1761">
        <v>1</v>
      </c>
      <c r="C1761">
        <v>2</v>
      </c>
      <c r="D1761">
        <v>0</v>
      </c>
      <c r="E1761">
        <v>3</v>
      </c>
      <c r="F1761">
        <v>0</v>
      </c>
      <c r="G1761">
        <v>11949</v>
      </c>
      <c r="H1761">
        <v>1</v>
      </c>
      <c r="I1761">
        <v>0</v>
      </c>
    </row>
    <row r="1762" spans="1:9" x14ac:dyDescent="0.25">
      <c r="A1762">
        <v>33</v>
      </c>
      <c r="B1762">
        <v>0</v>
      </c>
      <c r="C1762">
        <v>3</v>
      </c>
      <c r="D1762">
        <v>0</v>
      </c>
      <c r="E1762">
        <v>6</v>
      </c>
      <c r="F1762">
        <v>0</v>
      </c>
      <c r="G1762">
        <v>15608</v>
      </c>
      <c r="H1762">
        <v>1</v>
      </c>
      <c r="I1762">
        <v>0</v>
      </c>
    </row>
    <row r="1763" spans="1:9" x14ac:dyDescent="0.25">
      <c r="A1763">
        <v>33</v>
      </c>
      <c r="B1763">
        <v>1</v>
      </c>
      <c r="C1763">
        <v>31</v>
      </c>
      <c r="D1763">
        <v>2</v>
      </c>
      <c r="E1763">
        <v>2</v>
      </c>
      <c r="F1763">
        <v>0</v>
      </c>
      <c r="G1763">
        <v>57715</v>
      </c>
      <c r="H1763">
        <v>1</v>
      </c>
      <c r="I1763">
        <v>0</v>
      </c>
    </row>
    <row r="1764" spans="1:9" x14ac:dyDescent="0.25">
      <c r="A1764">
        <v>33</v>
      </c>
      <c r="B1764">
        <v>1</v>
      </c>
      <c r="C1764">
        <v>5</v>
      </c>
      <c r="D1764">
        <v>6</v>
      </c>
      <c r="E1764">
        <v>3</v>
      </c>
      <c r="F1764">
        <v>0</v>
      </c>
      <c r="G1764">
        <v>59927</v>
      </c>
      <c r="H1764">
        <v>1</v>
      </c>
      <c r="I1764">
        <v>0</v>
      </c>
    </row>
    <row r="1765" spans="1:9" x14ac:dyDescent="0.25">
      <c r="A1765">
        <v>33</v>
      </c>
      <c r="B1765">
        <v>1</v>
      </c>
      <c r="C1765">
        <v>2</v>
      </c>
      <c r="D1765">
        <v>1</v>
      </c>
      <c r="E1765">
        <v>1</v>
      </c>
      <c r="F1765">
        <v>0</v>
      </c>
      <c r="G1765">
        <v>6267</v>
      </c>
      <c r="H1765">
        <v>1</v>
      </c>
      <c r="I1765">
        <v>0</v>
      </c>
    </row>
    <row r="1766" spans="1:9" x14ac:dyDescent="0.25">
      <c r="A1766">
        <v>33</v>
      </c>
      <c r="B1766">
        <v>1</v>
      </c>
      <c r="C1766">
        <v>3</v>
      </c>
      <c r="D1766">
        <v>0</v>
      </c>
      <c r="E1766">
        <v>2</v>
      </c>
      <c r="F1766">
        <v>0</v>
      </c>
      <c r="G1766">
        <v>10037</v>
      </c>
      <c r="H1766">
        <v>1</v>
      </c>
      <c r="I1766">
        <v>0</v>
      </c>
    </row>
    <row r="1767" spans="1:9" x14ac:dyDescent="0.25">
      <c r="A1767">
        <v>32</v>
      </c>
      <c r="B1767">
        <v>1</v>
      </c>
      <c r="C1767">
        <v>1</v>
      </c>
      <c r="D1767">
        <v>1</v>
      </c>
      <c r="E1767">
        <v>0</v>
      </c>
      <c r="F1767">
        <v>0</v>
      </c>
      <c r="G1767">
        <v>11118</v>
      </c>
      <c r="H1767">
        <v>0</v>
      </c>
      <c r="I1767">
        <v>0</v>
      </c>
    </row>
    <row r="1768" spans="1:9" x14ac:dyDescent="0.25">
      <c r="A1768">
        <v>32</v>
      </c>
      <c r="B1768">
        <v>0</v>
      </c>
      <c r="C1768">
        <v>4</v>
      </c>
      <c r="D1768">
        <v>1</v>
      </c>
      <c r="E1768">
        <v>0</v>
      </c>
      <c r="F1768">
        <v>0</v>
      </c>
      <c r="G1768">
        <v>5405</v>
      </c>
      <c r="H1768">
        <v>0</v>
      </c>
      <c r="I1768">
        <v>0</v>
      </c>
    </row>
    <row r="1769" spans="1:9" x14ac:dyDescent="0.25">
      <c r="A1769">
        <v>32</v>
      </c>
      <c r="B1769">
        <v>0</v>
      </c>
      <c r="C1769">
        <v>3</v>
      </c>
      <c r="D1769">
        <v>5</v>
      </c>
      <c r="E1769">
        <v>0</v>
      </c>
      <c r="F1769">
        <v>0</v>
      </c>
      <c r="G1769">
        <v>6514</v>
      </c>
      <c r="H1769">
        <v>0</v>
      </c>
      <c r="I1769">
        <v>0</v>
      </c>
    </row>
    <row r="1770" spans="1:9" x14ac:dyDescent="0.25">
      <c r="A1770">
        <v>32</v>
      </c>
      <c r="B1770">
        <v>1</v>
      </c>
      <c r="C1770">
        <v>2</v>
      </c>
      <c r="D1770">
        <v>1</v>
      </c>
      <c r="E1770">
        <v>1</v>
      </c>
      <c r="F1770">
        <v>0</v>
      </c>
      <c r="G1770">
        <v>6990</v>
      </c>
      <c r="H1770">
        <v>0</v>
      </c>
      <c r="I1770">
        <v>0</v>
      </c>
    </row>
    <row r="1771" spans="1:9" x14ac:dyDescent="0.25">
      <c r="A1771">
        <v>32</v>
      </c>
      <c r="B1771">
        <v>0</v>
      </c>
      <c r="C1771">
        <v>4</v>
      </c>
      <c r="D1771">
        <v>2</v>
      </c>
      <c r="E1771">
        <v>0</v>
      </c>
      <c r="F1771">
        <v>0</v>
      </c>
      <c r="G1771">
        <v>5821</v>
      </c>
      <c r="H1771">
        <v>0</v>
      </c>
      <c r="I1771">
        <v>0</v>
      </c>
    </row>
    <row r="1772" spans="1:9" x14ac:dyDescent="0.25">
      <c r="A1772">
        <v>32</v>
      </c>
      <c r="B1772">
        <v>1</v>
      </c>
      <c r="C1772">
        <v>6</v>
      </c>
      <c r="D1772">
        <v>2</v>
      </c>
      <c r="E1772">
        <v>0</v>
      </c>
      <c r="F1772">
        <v>0</v>
      </c>
      <c r="G1772">
        <v>39237</v>
      </c>
      <c r="H1772">
        <v>0</v>
      </c>
      <c r="I1772">
        <v>0</v>
      </c>
    </row>
    <row r="1773" spans="1:9" x14ac:dyDescent="0.25">
      <c r="A1773">
        <v>32</v>
      </c>
      <c r="B1773">
        <v>1</v>
      </c>
      <c r="C1773">
        <v>4</v>
      </c>
      <c r="D1773">
        <v>2</v>
      </c>
      <c r="E1773">
        <v>0</v>
      </c>
      <c r="F1773">
        <v>0</v>
      </c>
      <c r="G1773">
        <v>9698</v>
      </c>
      <c r="H1773">
        <v>0</v>
      </c>
      <c r="I1773">
        <v>0</v>
      </c>
    </row>
    <row r="1774" spans="1:9" x14ac:dyDescent="0.25">
      <c r="A1774">
        <v>32</v>
      </c>
      <c r="B1774">
        <v>1</v>
      </c>
      <c r="C1774">
        <v>3</v>
      </c>
      <c r="D1774">
        <v>2</v>
      </c>
      <c r="E1774">
        <v>0</v>
      </c>
      <c r="F1774">
        <v>0</v>
      </c>
      <c r="G1774">
        <v>6121</v>
      </c>
      <c r="H1774">
        <v>0</v>
      </c>
      <c r="I1774">
        <v>0</v>
      </c>
    </row>
    <row r="1775" spans="1:9" x14ac:dyDescent="0.25">
      <c r="A1775">
        <v>32</v>
      </c>
      <c r="B1775">
        <v>0</v>
      </c>
      <c r="C1775">
        <v>1</v>
      </c>
      <c r="D1775">
        <v>2</v>
      </c>
      <c r="E1775">
        <v>2</v>
      </c>
      <c r="F1775">
        <v>0</v>
      </c>
      <c r="G1775">
        <v>15560</v>
      </c>
      <c r="H1775">
        <v>0</v>
      </c>
      <c r="I1775">
        <v>0</v>
      </c>
    </row>
    <row r="1776" spans="1:9" x14ac:dyDescent="0.25">
      <c r="A1776">
        <v>32</v>
      </c>
      <c r="B1776">
        <v>1</v>
      </c>
      <c r="C1776">
        <v>1</v>
      </c>
      <c r="D1776">
        <v>2</v>
      </c>
      <c r="E1776">
        <v>0</v>
      </c>
      <c r="F1776">
        <v>0</v>
      </c>
      <c r="G1776">
        <v>7557</v>
      </c>
      <c r="H1776">
        <v>0</v>
      </c>
      <c r="I1776">
        <v>0</v>
      </c>
    </row>
    <row r="1777" spans="1:9" x14ac:dyDescent="0.25">
      <c r="A1777">
        <v>32</v>
      </c>
      <c r="B1777">
        <v>0</v>
      </c>
      <c r="C1777">
        <v>7</v>
      </c>
      <c r="D1777">
        <v>3</v>
      </c>
      <c r="E1777">
        <v>0</v>
      </c>
      <c r="F1777">
        <v>0</v>
      </c>
      <c r="G1777">
        <v>12889</v>
      </c>
      <c r="H1777">
        <v>0</v>
      </c>
      <c r="I1777">
        <v>0</v>
      </c>
    </row>
    <row r="1778" spans="1:9" x14ac:dyDescent="0.25">
      <c r="A1778">
        <v>32</v>
      </c>
      <c r="B1778">
        <v>0</v>
      </c>
      <c r="C1778">
        <v>6</v>
      </c>
      <c r="D1778">
        <v>2</v>
      </c>
      <c r="E1778">
        <v>0</v>
      </c>
      <c r="F1778">
        <v>0</v>
      </c>
      <c r="G1778">
        <v>9644</v>
      </c>
      <c r="H1778">
        <v>0</v>
      </c>
      <c r="I1778">
        <v>0</v>
      </c>
    </row>
    <row r="1779" spans="1:9" x14ac:dyDescent="0.25">
      <c r="A1779">
        <v>32</v>
      </c>
      <c r="B1779">
        <v>0</v>
      </c>
      <c r="C1779">
        <v>6</v>
      </c>
      <c r="D1779">
        <v>1</v>
      </c>
      <c r="E1779">
        <v>0</v>
      </c>
      <c r="F1779">
        <v>0</v>
      </c>
      <c r="G1779">
        <v>13401</v>
      </c>
      <c r="H1779">
        <v>0</v>
      </c>
      <c r="I1779">
        <v>0</v>
      </c>
    </row>
    <row r="1780" spans="1:9" x14ac:dyDescent="0.25">
      <c r="A1780">
        <v>32</v>
      </c>
      <c r="B1780">
        <v>0</v>
      </c>
      <c r="C1780">
        <v>5</v>
      </c>
      <c r="D1780">
        <v>4</v>
      </c>
      <c r="E1780">
        <v>0</v>
      </c>
      <c r="F1780">
        <v>0</v>
      </c>
      <c r="G1780">
        <v>7151</v>
      </c>
      <c r="H1780">
        <v>0</v>
      </c>
      <c r="I1780">
        <v>0</v>
      </c>
    </row>
    <row r="1781" spans="1:9" x14ac:dyDescent="0.25">
      <c r="A1781">
        <v>32</v>
      </c>
      <c r="B1781">
        <v>0</v>
      </c>
      <c r="C1781">
        <v>2</v>
      </c>
      <c r="D1781">
        <v>3</v>
      </c>
      <c r="E1781">
        <v>1</v>
      </c>
      <c r="F1781">
        <v>0</v>
      </c>
      <c r="G1781">
        <v>14984</v>
      </c>
      <c r="H1781">
        <v>0</v>
      </c>
      <c r="I1781">
        <v>0</v>
      </c>
    </row>
    <row r="1782" spans="1:9" x14ac:dyDescent="0.25">
      <c r="A1782">
        <v>32</v>
      </c>
      <c r="B1782">
        <v>1</v>
      </c>
      <c r="C1782">
        <v>8</v>
      </c>
      <c r="D1782">
        <v>6</v>
      </c>
      <c r="E1782">
        <v>1</v>
      </c>
      <c r="F1782">
        <v>0</v>
      </c>
      <c r="G1782">
        <v>24530</v>
      </c>
      <c r="H1782">
        <v>0</v>
      </c>
      <c r="I1782">
        <v>0</v>
      </c>
    </row>
    <row r="1783" spans="1:9" x14ac:dyDescent="0.25">
      <c r="A1783">
        <v>32</v>
      </c>
      <c r="B1783">
        <v>1</v>
      </c>
      <c r="C1783">
        <v>2</v>
      </c>
      <c r="D1783">
        <v>1</v>
      </c>
      <c r="E1783">
        <v>1</v>
      </c>
      <c r="F1783">
        <v>0</v>
      </c>
      <c r="G1783">
        <v>10607</v>
      </c>
      <c r="H1783">
        <v>0</v>
      </c>
      <c r="I1783">
        <v>0</v>
      </c>
    </row>
    <row r="1784" spans="1:9" x14ac:dyDescent="0.25">
      <c r="A1784">
        <v>32</v>
      </c>
      <c r="B1784">
        <v>0</v>
      </c>
      <c r="C1784">
        <v>5</v>
      </c>
      <c r="D1784">
        <v>3</v>
      </c>
      <c r="E1784">
        <v>0</v>
      </c>
      <c r="F1784">
        <v>0</v>
      </c>
      <c r="G1784">
        <v>8214</v>
      </c>
      <c r="H1784">
        <v>0</v>
      </c>
      <c r="I1784">
        <v>0</v>
      </c>
    </row>
    <row r="1785" spans="1:9" x14ac:dyDescent="0.25">
      <c r="A1785">
        <v>32</v>
      </c>
      <c r="B1785">
        <v>1</v>
      </c>
      <c r="C1785">
        <v>3</v>
      </c>
      <c r="D1785">
        <v>0</v>
      </c>
      <c r="E1785">
        <v>3</v>
      </c>
      <c r="F1785">
        <v>0</v>
      </c>
      <c r="G1785">
        <v>10341</v>
      </c>
      <c r="H1785">
        <v>0</v>
      </c>
      <c r="I1785">
        <v>0</v>
      </c>
    </row>
    <row r="1786" spans="1:9" x14ac:dyDescent="0.25">
      <c r="A1786">
        <v>32</v>
      </c>
      <c r="B1786">
        <v>1</v>
      </c>
      <c r="C1786">
        <v>2</v>
      </c>
      <c r="D1786">
        <v>0</v>
      </c>
      <c r="E1786">
        <v>1</v>
      </c>
      <c r="F1786">
        <v>0</v>
      </c>
      <c r="G1786">
        <v>13358</v>
      </c>
      <c r="H1786">
        <v>0</v>
      </c>
      <c r="I1786">
        <v>0</v>
      </c>
    </row>
    <row r="1787" spans="1:9" x14ac:dyDescent="0.25">
      <c r="A1787">
        <v>32</v>
      </c>
      <c r="B1787">
        <v>1</v>
      </c>
      <c r="C1787">
        <v>3</v>
      </c>
      <c r="D1787">
        <v>0</v>
      </c>
      <c r="E1787">
        <v>4</v>
      </c>
      <c r="F1787">
        <v>0</v>
      </c>
      <c r="G1787">
        <v>8688</v>
      </c>
      <c r="H1787">
        <v>0</v>
      </c>
      <c r="I1787">
        <v>0</v>
      </c>
    </row>
    <row r="1788" spans="1:9" x14ac:dyDescent="0.25">
      <c r="A1788">
        <v>32</v>
      </c>
      <c r="B1788">
        <v>1</v>
      </c>
      <c r="C1788">
        <v>2</v>
      </c>
      <c r="D1788">
        <v>1</v>
      </c>
      <c r="E1788">
        <v>1</v>
      </c>
      <c r="F1788">
        <v>0</v>
      </c>
      <c r="G1788">
        <v>6612</v>
      </c>
      <c r="H1788">
        <v>0</v>
      </c>
      <c r="I1788">
        <v>0</v>
      </c>
    </row>
    <row r="1789" spans="1:9" x14ac:dyDescent="0.25">
      <c r="A1789">
        <v>32</v>
      </c>
      <c r="B1789">
        <v>1</v>
      </c>
      <c r="C1789">
        <v>3</v>
      </c>
      <c r="D1789">
        <v>1</v>
      </c>
      <c r="E1789">
        <v>2</v>
      </c>
      <c r="F1789">
        <v>0</v>
      </c>
      <c r="G1789">
        <v>14738</v>
      </c>
      <c r="H1789">
        <v>1</v>
      </c>
      <c r="I1789">
        <v>0</v>
      </c>
    </row>
    <row r="1790" spans="1:9" x14ac:dyDescent="0.25">
      <c r="A1790">
        <v>32</v>
      </c>
      <c r="B1790">
        <v>1</v>
      </c>
      <c r="C1790">
        <v>3</v>
      </c>
      <c r="D1790">
        <v>0</v>
      </c>
      <c r="E1790">
        <v>2</v>
      </c>
      <c r="F1790">
        <v>0</v>
      </c>
      <c r="G1790">
        <v>14891</v>
      </c>
      <c r="H1790">
        <v>1</v>
      </c>
      <c r="I1790">
        <v>0</v>
      </c>
    </row>
    <row r="1791" spans="1:9" x14ac:dyDescent="0.25">
      <c r="A1791">
        <v>32</v>
      </c>
      <c r="B1791">
        <v>1</v>
      </c>
      <c r="C1791">
        <v>4</v>
      </c>
      <c r="D1791">
        <v>0</v>
      </c>
      <c r="E1791">
        <v>2</v>
      </c>
      <c r="F1791">
        <v>0</v>
      </c>
      <c r="G1791">
        <v>9803</v>
      </c>
      <c r="H1791">
        <v>1</v>
      </c>
      <c r="I1791">
        <v>0</v>
      </c>
    </row>
    <row r="1792" spans="1:9" x14ac:dyDescent="0.25">
      <c r="A1792">
        <v>32</v>
      </c>
      <c r="B1792">
        <v>1</v>
      </c>
      <c r="C1792">
        <v>2</v>
      </c>
      <c r="D1792">
        <v>0</v>
      </c>
      <c r="E1792">
        <v>2</v>
      </c>
      <c r="F1792">
        <v>0</v>
      </c>
      <c r="G1792">
        <v>11309</v>
      </c>
      <c r="H1792">
        <v>1</v>
      </c>
      <c r="I1792">
        <v>0</v>
      </c>
    </row>
    <row r="1793" spans="1:9" x14ac:dyDescent="0.25">
      <c r="A1793">
        <v>31</v>
      </c>
      <c r="B1793">
        <v>0</v>
      </c>
      <c r="C1793">
        <v>3</v>
      </c>
      <c r="D1793">
        <v>4</v>
      </c>
      <c r="E1793">
        <v>0</v>
      </c>
      <c r="F1793">
        <v>0</v>
      </c>
      <c r="G1793">
        <v>9892</v>
      </c>
      <c r="H1793">
        <v>0</v>
      </c>
      <c r="I1793">
        <v>0</v>
      </c>
    </row>
    <row r="1794" spans="1:9" x14ac:dyDescent="0.25">
      <c r="A1794">
        <v>31</v>
      </c>
      <c r="B1794">
        <v>1</v>
      </c>
      <c r="C1794">
        <v>2</v>
      </c>
      <c r="D1794">
        <v>0</v>
      </c>
      <c r="E1794">
        <v>1</v>
      </c>
      <c r="F1794">
        <v>0</v>
      </c>
      <c r="G1794">
        <v>5106</v>
      </c>
      <c r="H1794">
        <v>0</v>
      </c>
      <c r="I1794">
        <v>0</v>
      </c>
    </row>
    <row r="1795" spans="1:9" x14ac:dyDescent="0.25">
      <c r="A1795">
        <v>31</v>
      </c>
      <c r="B1795">
        <v>1</v>
      </c>
      <c r="C1795">
        <v>12</v>
      </c>
      <c r="D1795">
        <v>6</v>
      </c>
      <c r="E1795">
        <v>0</v>
      </c>
      <c r="F1795">
        <v>0</v>
      </c>
      <c r="G1795">
        <v>23613</v>
      </c>
      <c r="H1795">
        <v>0</v>
      </c>
      <c r="I1795">
        <v>0</v>
      </c>
    </row>
    <row r="1796" spans="1:9" x14ac:dyDescent="0.25">
      <c r="A1796">
        <v>31</v>
      </c>
      <c r="B1796">
        <v>1</v>
      </c>
      <c r="C1796">
        <v>2</v>
      </c>
      <c r="D1796">
        <v>0</v>
      </c>
      <c r="E1796">
        <v>2</v>
      </c>
      <c r="F1796">
        <v>0</v>
      </c>
      <c r="G1796">
        <v>12550</v>
      </c>
      <c r="H1796">
        <v>0</v>
      </c>
      <c r="I1796">
        <v>0</v>
      </c>
    </row>
    <row r="1797" spans="1:9" x14ac:dyDescent="0.25">
      <c r="A1797">
        <v>31</v>
      </c>
      <c r="B1797">
        <v>1</v>
      </c>
      <c r="C1797">
        <v>3</v>
      </c>
      <c r="D1797">
        <v>2</v>
      </c>
      <c r="E1797">
        <v>0</v>
      </c>
      <c r="F1797">
        <v>0</v>
      </c>
      <c r="G1797">
        <v>8842</v>
      </c>
      <c r="H1797">
        <v>0</v>
      </c>
      <c r="I1797">
        <v>0</v>
      </c>
    </row>
    <row r="1798" spans="1:9" x14ac:dyDescent="0.25">
      <c r="A1798">
        <v>31</v>
      </c>
      <c r="B1798">
        <v>1</v>
      </c>
      <c r="C1798">
        <v>3</v>
      </c>
      <c r="D1798">
        <v>0</v>
      </c>
      <c r="E1798">
        <v>0</v>
      </c>
      <c r="F1798">
        <v>0</v>
      </c>
      <c r="G1798">
        <v>3968</v>
      </c>
      <c r="H1798">
        <v>0</v>
      </c>
      <c r="I1798">
        <v>0</v>
      </c>
    </row>
    <row r="1799" spans="1:9" x14ac:dyDescent="0.25">
      <c r="A1799">
        <v>31</v>
      </c>
      <c r="B1799">
        <v>0</v>
      </c>
      <c r="C1799">
        <v>11</v>
      </c>
      <c r="D1799">
        <v>3</v>
      </c>
      <c r="E1799">
        <v>0</v>
      </c>
      <c r="F1799">
        <v>0</v>
      </c>
      <c r="G1799">
        <v>16531</v>
      </c>
      <c r="H1799">
        <v>0</v>
      </c>
      <c r="I1799">
        <v>0</v>
      </c>
    </row>
    <row r="1800" spans="1:9" x14ac:dyDescent="0.25">
      <c r="A1800">
        <v>31</v>
      </c>
      <c r="B1800">
        <v>1</v>
      </c>
      <c r="C1800">
        <v>3</v>
      </c>
      <c r="D1800">
        <v>2</v>
      </c>
      <c r="E1800">
        <v>0</v>
      </c>
      <c r="F1800">
        <v>0</v>
      </c>
      <c r="G1800">
        <v>6179</v>
      </c>
      <c r="H1800">
        <v>0</v>
      </c>
      <c r="I1800">
        <v>0</v>
      </c>
    </row>
    <row r="1801" spans="1:9" x14ac:dyDescent="0.25">
      <c r="A1801">
        <v>31</v>
      </c>
      <c r="B1801">
        <v>1</v>
      </c>
      <c r="C1801">
        <v>2</v>
      </c>
      <c r="D1801">
        <v>0</v>
      </c>
      <c r="E1801">
        <v>2</v>
      </c>
      <c r="F1801">
        <v>0</v>
      </c>
      <c r="G1801">
        <v>13858</v>
      </c>
      <c r="H1801">
        <v>0</v>
      </c>
      <c r="I1801">
        <v>0</v>
      </c>
    </row>
    <row r="1802" spans="1:9" x14ac:dyDescent="0.25">
      <c r="A1802">
        <v>31</v>
      </c>
      <c r="B1802">
        <v>1</v>
      </c>
      <c r="C1802">
        <v>2</v>
      </c>
      <c r="D1802">
        <v>0</v>
      </c>
      <c r="E1802">
        <v>0</v>
      </c>
      <c r="F1802">
        <v>0</v>
      </c>
      <c r="G1802">
        <v>3361</v>
      </c>
      <c r="H1802">
        <v>0</v>
      </c>
      <c r="I1802">
        <v>0</v>
      </c>
    </row>
    <row r="1803" spans="1:9" x14ac:dyDescent="0.25">
      <c r="A1803">
        <v>31</v>
      </c>
      <c r="B1803">
        <v>1</v>
      </c>
      <c r="C1803">
        <v>2</v>
      </c>
      <c r="D1803">
        <v>0</v>
      </c>
      <c r="E1803">
        <v>1</v>
      </c>
      <c r="F1803">
        <v>0</v>
      </c>
      <c r="G1803">
        <v>7787</v>
      </c>
      <c r="H1803">
        <v>0</v>
      </c>
      <c r="I1803">
        <v>0</v>
      </c>
    </row>
    <row r="1804" spans="1:9" x14ac:dyDescent="0.25">
      <c r="A1804">
        <v>31</v>
      </c>
      <c r="B1804">
        <v>0</v>
      </c>
      <c r="C1804">
        <v>5</v>
      </c>
      <c r="D1804">
        <v>2</v>
      </c>
      <c r="E1804">
        <v>0</v>
      </c>
      <c r="F1804">
        <v>0</v>
      </c>
      <c r="G1804">
        <v>7057</v>
      </c>
      <c r="H1804">
        <v>0</v>
      </c>
      <c r="I1804">
        <v>0</v>
      </c>
    </row>
    <row r="1805" spans="1:9" x14ac:dyDescent="0.25">
      <c r="A1805">
        <v>31</v>
      </c>
      <c r="B1805">
        <v>1</v>
      </c>
      <c r="C1805">
        <v>4</v>
      </c>
      <c r="D1805">
        <v>5</v>
      </c>
      <c r="E1805">
        <v>0</v>
      </c>
      <c r="F1805">
        <v>0</v>
      </c>
      <c r="G1805">
        <v>10824</v>
      </c>
      <c r="H1805">
        <v>0</v>
      </c>
      <c r="I1805">
        <v>0</v>
      </c>
    </row>
    <row r="1806" spans="1:9" x14ac:dyDescent="0.25">
      <c r="A1806">
        <v>31</v>
      </c>
      <c r="B1806">
        <v>1</v>
      </c>
      <c r="C1806">
        <v>3</v>
      </c>
      <c r="D1806">
        <v>4</v>
      </c>
      <c r="E1806">
        <v>0</v>
      </c>
      <c r="F1806">
        <v>0</v>
      </c>
      <c r="G1806">
        <v>6674</v>
      </c>
      <c r="H1806">
        <v>0</v>
      </c>
      <c r="I1806">
        <v>0</v>
      </c>
    </row>
    <row r="1807" spans="1:9" x14ac:dyDescent="0.25">
      <c r="A1807">
        <v>31</v>
      </c>
      <c r="B1807">
        <v>0</v>
      </c>
      <c r="C1807">
        <v>0</v>
      </c>
      <c r="D1807">
        <v>2</v>
      </c>
      <c r="E1807">
        <v>0</v>
      </c>
      <c r="F1807">
        <v>0</v>
      </c>
      <c r="G1807">
        <v>1411</v>
      </c>
      <c r="H1807">
        <v>0</v>
      </c>
      <c r="I1807">
        <v>0</v>
      </c>
    </row>
    <row r="1808" spans="1:9" x14ac:dyDescent="0.25">
      <c r="A1808">
        <v>31</v>
      </c>
      <c r="B1808">
        <v>1</v>
      </c>
      <c r="C1808">
        <v>3</v>
      </c>
      <c r="D1808">
        <v>0</v>
      </c>
      <c r="E1808">
        <v>3</v>
      </c>
      <c r="F1808">
        <v>0</v>
      </c>
      <c r="G1808">
        <v>11124</v>
      </c>
      <c r="H1808">
        <v>0</v>
      </c>
      <c r="I1808">
        <v>0</v>
      </c>
    </row>
    <row r="1809" spans="1:9" x14ac:dyDescent="0.25">
      <c r="A1809">
        <v>31</v>
      </c>
      <c r="B1809">
        <v>1</v>
      </c>
      <c r="C1809">
        <v>3</v>
      </c>
      <c r="D1809">
        <v>1</v>
      </c>
      <c r="E1809">
        <v>3</v>
      </c>
      <c r="F1809">
        <v>0</v>
      </c>
      <c r="G1809">
        <v>8709</v>
      </c>
      <c r="H1809">
        <v>0</v>
      </c>
      <c r="I1809">
        <v>0</v>
      </c>
    </row>
    <row r="1810" spans="1:9" x14ac:dyDescent="0.25">
      <c r="A1810">
        <v>31</v>
      </c>
      <c r="B1810">
        <v>0</v>
      </c>
      <c r="C1810">
        <v>15</v>
      </c>
      <c r="D1810">
        <v>5</v>
      </c>
      <c r="E1810">
        <v>1</v>
      </c>
      <c r="F1810">
        <v>0</v>
      </c>
      <c r="G1810">
        <v>30182</v>
      </c>
      <c r="H1810">
        <v>0</v>
      </c>
      <c r="I1810">
        <v>0</v>
      </c>
    </row>
    <row r="1811" spans="1:9" x14ac:dyDescent="0.25">
      <c r="A1811">
        <v>31</v>
      </c>
      <c r="B1811">
        <v>0</v>
      </c>
      <c r="C1811">
        <v>8</v>
      </c>
      <c r="D1811">
        <v>2</v>
      </c>
      <c r="E1811">
        <v>0</v>
      </c>
      <c r="F1811">
        <v>0</v>
      </c>
      <c r="G1811">
        <v>12396</v>
      </c>
      <c r="H1811">
        <v>0</v>
      </c>
      <c r="I1811">
        <v>0</v>
      </c>
    </row>
    <row r="1812" spans="1:9" x14ac:dyDescent="0.25">
      <c r="A1812">
        <v>31</v>
      </c>
      <c r="B1812">
        <v>1</v>
      </c>
      <c r="C1812">
        <v>2</v>
      </c>
      <c r="D1812">
        <v>0</v>
      </c>
      <c r="E1812">
        <v>4</v>
      </c>
      <c r="F1812">
        <v>0</v>
      </c>
      <c r="G1812">
        <v>7956</v>
      </c>
      <c r="H1812">
        <v>0</v>
      </c>
      <c r="I1812">
        <v>0</v>
      </c>
    </row>
    <row r="1813" spans="1:9" x14ac:dyDescent="0.25">
      <c r="A1813">
        <v>31</v>
      </c>
      <c r="B1813">
        <v>0</v>
      </c>
      <c r="C1813">
        <v>3</v>
      </c>
      <c r="D1813">
        <v>2</v>
      </c>
      <c r="E1813">
        <v>4</v>
      </c>
      <c r="F1813">
        <v>0</v>
      </c>
      <c r="G1813">
        <v>17228</v>
      </c>
      <c r="H1813">
        <v>0</v>
      </c>
      <c r="I1813">
        <v>0</v>
      </c>
    </row>
    <row r="1814" spans="1:9" x14ac:dyDescent="0.25">
      <c r="A1814">
        <v>31</v>
      </c>
      <c r="B1814">
        <v>0</v>
      </c>
      <c r="C1814">
        <v>2</v>
      </c>
      <c r="D1814">
        <v>1</v>
      </c>
      <c r="E1814">
        <v>2</v>
      </c>
      <c r="F1814">
        <v>0</v>
      </c>
      <c r="G1814">
        <v>12666</v>
      </c>
      <c r="H1814">
        <v>1</v>
      </c>
      <c r="I1814">
        <v>0</v>
      </c>
    </row>
    <row r="1815" spans="1:9" x14ac:dyDescent="0.25">
      <c r="A1815">
        <v>31</v>
      </c>
      <c r="B1815">
        <v>1</v>
      </c>
      <c r="C1815">
        <v>3</v>
      </c>
      <c r="D1815">
        <v>1</v>
      </c>
      <c r="E1815">
        <v>2</v>
      </c>
      <c r="F1815">
        <v>0</v>
      </c>
      <c r="G1815">
        <v>18054</v>
      </c>
      <c r="H1815">
        <v>1</v>
      </c>
      <c r="I1815">
        <v>0</v>
      </c>
    </row>
    <row r="1816" spans="1:9" x14ac:dyDescent="0.25">
      <c r="A1816">
        <v>31</v>
      </c>
      <c r="B1816">
        <v>1</v>
      </c>
      <c r="C1816">
        <v>4</v>
      </c>
      <c r="D1816">
        <v>0</v>
      </c>
      <c r="E1816">
        <v>1</v>
      </c>
      <c r="F1816">
        <v>0</v>
      </c>
      <c r="G1816">
        <v>15517</v>
      </c>
      <c r="H1816">
        <v>1</v>
      </c>
      <c r="I1816">
        <v>0</v>
      </c>
    </row>
    <row r="1817" spans="1:9" x14ac:dyDescent="0.25">
      <c r="A1817">
        <v>31</v>
      </c>
      <c r="B1817">
        <v>1</v>
      </c>
      <c r="C1817">
        <v>3</v>
      </c>
      <c r="D1817">
        <v>0</v>
      </c>
      <c r="E1817">
        <v>3</v>
      </c>
      <c r="F1817">
        <v>0</v>
      </c>
      <c r="G1817">
        <v>12004</v>
      </c>
      <c r="H1817">
        <v>1</v>
      </c>
      <c r="I1817">
        <v>0</v>
      </c>
    </row>
    <row r="1818" spans="1:9" x14ac:dyDescent="0.25">
      <c r="A1818">
        <v>30</v>
      </c>
      <c r="B1818">
        <v>0</v>
      </c>
      <c r="C1818">
        <v>14</v>
      </c>
      <c r="D1818">
        <v>2</v>
      </c>
      <c r="E1818">
        <v>0</v>
      </c>
      <c r="F1818">
        <v>0</v>
      </c>
      <c r="G1818">
        <v>21229</v>
      </c>
      <c r="H1818">
        <v>0</v>
      </c>
      <c r="I1818">
        <v>0</v>
      </c>
    </row>
    <row r="1819" spans="1:9" x14ac:dyDescent="0.25">
      <c r="A1819">
        <v>30</v>
      </c>
      <c r="B1819">
        <v>0</v>
      </c>
      <c r="C1819">
        <v>8</v>
      </c>
      <c r="D1819">
        <v>6</v>
      </c>
      <c r="E1819">
        <v>0</v>
      </c>
      <c r="F1819">
        <v>0</v>
      </c>
      <c r="G1819">
        <v>13254</v>
      </c>
      <c r="H1819">
        <v>0</v>
      </c>
      <c r="I1819">
        <v>0</v>
      </c>
    </row>
    <row r="1820" spans="1:9" x14ac:dyDescent="0.25">
      <c r="A1820">
        <v>30</v>
      </c>
      <c r="B1820">
        <v>1</v>
      </c>
      <c r="C1820">
        <v>5</v>
      </c>
      <c r="D1820">
        <v>1</v>
      </c>
      <c r="E1820">
        <v>1</v>
      </c>
      <c r="F1820">
        <v>0</v>
      </c>
      <c r="G1820">
        <v>21110</v>
      </c>
      <c r="H1820">
        <v>0</v>
      </c>
      <c r="I1820">
        <v>0</v>
      </c>
    </row>
    <row r="1821" spans="1:9" x14ac:dyDescent="0.25">
      <c r="A1821">
        <v>30</v>
      </c>
      <c r="B1821">
        <v>1</v>
      </c>
      <c r="C1821">
        <v>5</v>
      </c>
      <c r="D1821">
        <v>2</v>
      </c>
      <c r="E1821">
        <v>0</v>
      </c>
      <c r="F1821">
        <v>0</v>
      </c>
      <c r="G1821">
        <v>7597</v>
      </c>
      <c r="H1821">
        <v>0</v>
      </c>
      <c r="I1821">
        <v>0</v>
      </c>
    </row>
    <row r="1822" spans="1:9" x14ac:dyDescent="0.25">
      <c r="A1822">
        <v>30</v>
      </c>
      <c r="B1822">
        <v>1</v>
      </c>
      <c r="C1822">
        <v>16</v>
      </c>
      <c r="D1822">
        <v>3</v>
      </c>
      <c r="E1822">
        <v>0</v>
      </c>
      <c r="F1822">
        <v>0</v>
      </c>
      <c r="G1822">
        <v>27522</v>
      </c>
      <c r="H1822">
        <v>0</v>
      </c>
      <c r="I1822">
        <v>0</v>
      </c>
    </row>
    <row r="1823" spans="1:9" x14ac:dyDescent="0.25">
      <c r="A1823">
        <v>30</v>
      </c>
      <c r="B1823">
        <v>0</v>
      </c>
      <c r="C1823">
        <v>3</v>
      </c>
      <c r="D1823">
        <v>4</v>
      </c>
      <c r="E1823">
        <v>0</v>
      </c>
      <c r="F1823">
        <v>0</v>
      </c>
      <c r="G1823">
        <v>4050</v>
      </c>
      <c r="H1823">
        <v>0</v>
      </c>
      <c r="I1823">
        <v>0</v>
      </c>
    </row>
    <row r="1824" spans="1:9" x14ac:dyDescent="0.25">
      <c r="A1824">
        <v>30</v>
      </c>
      <c r="B1824">
        <v>1</v>
      </c>
      <c r="C1824">
        <v>2</v>
      </c>
      <c r="D1824">
        <v>0</v>
      </c>
      <c r="E1824">
        <v>1</v>
      </c>
      <c r="F1824">
        <v>0</v>
      </c>
      <c r="G1824">
        <v>4802</v>
      </c>
      <c r="H1824">
        <v>0</v>
      </c>
      <c r="I1824">
        <v>0</v>
      </c>
    </row>
    <row r="1825" spans="1:9" x14ac:dyDescent="0.25">
      <c r="A1825">
        <v>30</v>
      </c>
      <c r="B1825">
        <v>0</v>
      </c>
      <c r="C1825">
        <v>7</v>
      </c>
      <c r="D1825">
        <v>3</v>
      </c>
      <c r="E1825">
        <v>0</v>
      </c>
      <c r="F1825">
        <v>0</v>
      </c>
      <c r="G1825">
        <v>9912</v>
      </c>
      <c r="H1825">
        <v>0</v>
      </c>
      <c r="I1825">
        <v>0</v>
      </c>
    </row>
    <row r="1826" spans="1:9" x14ac:dyDescent="0.25">
      <c r="A1826">
        <v>30</v>
      </c>
      <c r="B1826">
        <v>1</v>
      </c>
      <c r="C1826">
        <v>2</v>
      </c>
      <c r="D1826">
        <v>0</v>
      </c>
      <c r="E1826">
        <v>1</v>
      </c>
      <c r="F1826">
        <v>0</v>
      </c>
      <c r="G1826">
        <v>5916</v>
      </c>
      <c r="H1826">
        <v>0</v>
      </c>
      <c r="I1826">
        <v>0</v>
      </c>
    </row>
    <row r="1827" spans="1:9" x14ac:dyDescent="0.25">
      <c r="A1827">
        <v>30</v>
      </c>
      <c r="B1827">
        <v>0</v>
      </c>
      <c r="C1827">
        <v>7</v>
      </c>
      <c r="D1827">
        <v>2</v>
      </c>
      <c r="E1827">
        <v>0</v>
      </c>
      <c r="F1827">
        <v>0</v>
      </c>
      <c r="G1827">
        <v>9637</v>
      </c>
      <c r="H1827">
        <v>0</v>
      </c>
      <c r="I1827">
        <v>0</v>
      </c>
    </row>
    <row r="1828" spans="1:9" x14ac:dyDescent="0.25">
      <c r="A1828">
        <v>30</v>
      </c>
      <c r="B1828">
        <v>1</v>
      </c>
      <c r="C1828">
        <v>7</v>
      </c>
      <c r="D1828">
        <v>2</v>
      </c>
      <c r="E1828">
        <v>0</v>
      </c>
      <c r="F1828">
        <v>0</v>
      </c>
      <c r="G1828">
        <v>10687</v>
      </c>
      <c r="H1828">
        <v>0</v>
      </c>
      <c r="I1828">
        <v>0</v>
      </c>
    </row>
    <row r="1829" spans="1:9" x14ac:dyDescent="0.25">
      <c r="A1829">
        <v>30</v>
      </c>
      <c r="B1829">
        <v>1</v>
      </c>
      <c r="C1829">
        <v>1</v>
      </c>
      <c r="D1829">
        <v>4</v>
      </c>
      <c r="E1829">
        <v>2</v>
      </c>
      <c r="F1829">
        <v>0</v>
      </c>
      <c r="G1829">
        <v>17969</v>
      </c>
      <c r="H1829">
        <v>0</v>
      </c>
      <c r="I1829">
        <v>0</v>
      </c>
    </row>
    <row r="1830" spans="1:9" x14ac:dyDescent="0.25">
      <c r="A1830">
        <v>30</v>
      </c>
      <c r="B1830">
        <v>1</v>
      </c>
      <c r="C1830">
        <v>2</v>
      </c>
      <c r="D1830">
        <v>0</v>
      </c>
      <c r="E1830">
        <v>2</v>
      </c>
      <c r="F1830">
        <v>0</v>
      </c>
      <c r="G1830">
        <v>6569</v>
      </c>
      <c r="H1830">
        <v>0</v>
      </c>
      <c r="I1830">
        <v>0</v>
      </c>
    </row>
    <row r="1831" spans="1:9" x14ac:dyDescent="0.25">
      <c r="A1831">
        <v>30</v>
      </c>
      <c r="B1831">
        <v>1</v>
      </c>
      <c r="C1831">
        <v>2</v>
      </c>
      <c r="D1831">
        <v>1</v>
      </c>
      <c r="E1831">
        <v>0</v>
      </c>
      <c r="F1831">
        <v>0</v>
      </c>
      <c r="G1831">
        <v>7977</v>
      </c>
      <c r="H1831">
        <v>0</v>
      </c>
      <c r="I1831">
        <v>0</v>
      </c>
    </row>
    <row r="1832" spans="1:9" x14ac:dyDescent="0.25">
      <c r="A1832">
        <v>30</v>
      </c>
      <c r="B1832">
        <v>1</v>
      </c>
      <c r="C1832">
        <v>2</v>
      </c>
      <c r="D1832">
        <v>0</v>
      </c>
      <c r="E1832">
        <v>0</v>
      </c>
      <c r="F1832">
        <v>0</v>
      </c>
      <c r="G1832">
        <v>7575</v>
      </c>
      <c r="H1832">
        <v>0</v>
      </c>
      <c r="I1832">
        <v>0</v>
      </c>
    </row>
    <row r="1833" spans="1:9" x14ac:dyDescent="0.25">
      <c r="A1833">
        <v>30</v>
      </c>
      <c r="B1833">
        <v>1</v>
      </c>
      <c r="C1833">
        <v>2</v>
      </c>
      <c r="D1833">
        <v>0</v>
      </c>
      <c r="E1833">
        <v>1</v>
      </c>
      <c r="F1833">
        <v>0</v>
      </c>
      <c r="G1833">
        <v>6597</v>
      </c>
      <c r="H1833">
        <v>0</v>
      </c>
      <c r="I1833">
        <v>0</v>
      </c>
    </row>
    <row r="1834" spans="1:9" x14ac:dyDescent="0.25">
      <c r="A1834">
        <v>30</v>
      </c>
      <c r="B1834">
        <v>0</v>
      </c>
      <c r="C1834">
        <v>8</v>
      </c>
      <c r="D1834">
        <v>3</v>
      </c>
      <c r="E1834">
        <v>0</v>
      </c>
      <c r="F1834">
        <v>0</v>
      </c>
      <c r="G1834">
        <v>12855</v>
      </c>
      <c r="H1834">
        <v>0</v>
      </c>
      <c r="I1834">
        <v>0</v>
      </c>
    </row>
    <row r="1835" spans="1:9" x14ac:dyDescent="0.25">
      <c r="A1835">
        <v>30</v>
      </c>
      <c r="B1835">
        <v>1</v>
      </c>
      <c r="C1835">
        <v>2</v>
      </c>
      <c r="D1835">
        <v>0</v>
      </c>
      <c r="E1835">
        <v>1</v>
      </c>
      <c r="F1835">
        <v>0</v>
      </c>
      <c r="G1835">
        <v>7440</v>
      </c>
      <c r="H1835">
        <v>0</v>
      </c>
      <c r="I1835">
        <v>0</v>
      </c>
    </row>
    <row r="1836" spans="1:9" x14ac:dyDescent="0.25">
      <c r="A1836">
        <v>30</v>
      </c>
      <c r="B1836">
        <v>1</v>
      </c>
      <c r="C1836">
        <v>43</v>
      </c>
      <c r="D1836">
        <v>0</v>
      </c>
      <c r="E1836">
        <v>1</v>
      </c>
      <c r="F1836">
        <v>0</v>
      </c>
      <c r="G1836">
        <v>56501</v>
      </c>
      <c r="H1836">
        <v>0</v>
      </c>
      <c r="I1836">
        <v>0</v>
      </c>
    </row>
    <row r="1837" spans="1:9" x14ac:dyDescent="0.25">
      <c r="A1837">
        <v>30</v>
      </c>
      <c r="B1837">
        <v>1</v>
      </c>
      <c r="C1837">
        <v>2</v>
      </c>
      <c r="D1837">
        <v>0</v>
      </c>
      <c r="E1837">
        <v>1</v>
      </c>
      <c r="F1837">
        <v>0</v>
      </c>
      <c r="G1837">
        <v>4733</v>
      </c>
      <c r="H1837">
        <v>0</v>
      </c>
      <c r="I1837">
        <v>0</v>
      </c>
    </row>
    <row r="1838" spans="1:9" x14ac:dyDescent="0.25">
      <c r="A1838">
        <v>30</v>
      </c>
      <c r="B1838">
        <v>0</v>
      </c>
      <c r="C1838">
        <v>10</v>
      </c>
      <c r="D1838">
        <v>4</v>
      </c>
      <c r="E1838">
        <v>0</v>
      </c>
      <c r="F1838">
        <v>0</v>
      </c>
      <c r="G1838">
        <v>17664</v>
      </c>
      <c r="H1838">
        <v>0</v>
      </c>
      <c r="I1838">
        <v>0</v>
      </c>
    </row>
    <row r="1839" spans="1:9" x14ac:dyDescent="0.25">
      <c r="A1839">
        <v>30</v>
      </c>
      <c r="B1839">
        <v>1</v>
      </c>
      <c r="C1839">
        <v>8</v>
      </c>
      <c r="D1839">
        <v>3</v>
      </c>
      <c r="E1839">
        <v>0</v>
      </c>
      <c r="F1839">
        <v>0</v>
      </c>
      <c r="G1839">
        <v>12932</v>
      </c>
      <c r="H1839">
        <v>0</v>
      </c>
      <c r="I1839">
        <v>0</v>
      </c>
    </row>
    <row r="1840" spans="1:9" x14ac:dyDescent="0.25">
      <c r="A1840">
        <v>30</v>
      </c>
      <c r="B1840">
        <v>1</v>
      </c>
      <c r="C1840">
        <v>3</v>
      </c>
      <c r="D1840">
        <v>0</v>
      </c>
      <c r="E1840">
        <v>2</v>
      </c>
      <c r="F1840">
        <v>0</v>
      </c>
      <c r="G1840">
        <v>11301</v>
      </c>
      <c r="H1840">
        <v>0</v>
      </c>
      <c r="I1840">
        <v>0</v>
      </c>
    </row>
    <row r="1841" spans="1:9" x14ac:dyDescent="0.25">
      <c r="A1841">
        <v>30</v>
      </c>
      <c r="B1841">
        <v>1</v>
      </c>
      <c r="C1841">
        <v>6</v>
      </c>
      <c r="D1841">
        <v>3</v>
      </c>
      <c r="E1841">
        <v>0</v>
      </c>
      <c r="F1841">
        <v>0</v>
      </c>
      <c r="G1841">
        <v>18906</v>
      </c>
      <c r="H1841">
        <v>0</v>
      </c>
      <c r="I1841">
        <v>0</v>
      </c>
    </row>
    <row r="1842" spans="1:9" x14ac:dyDescent="0.25">
      <c r="A1842">
        <v>30</v>
      </c>
      <c r="B1842">
        <v>1</v>
      </c>
      <c r="C1842">
        <v>3</v>
      </c>
      <c r="D1842">
        <v>0</v>
      </c>
      <c r="E1842">
        <v>3</v>
      </c>
      <c r="F1842">
        <v>0</v>
      </c>
      <c r="G1842">
        <v>9400</v>
      </c>
      <c r="H1842">
        <v>0</v>
      </c>
      <c r="I1842">
        <v>0</v>
      </c>
    </row>
    <row r="1843" spans="1:9" x14ac:dyDescent="0.25">
      <c r="A1843">
        <v>30</v>
      </c>
      <c r="B1843">
        <v>1</v>
      </c>
      <c r="C1843">
        <v>2</v>
      </c>
      <c r="D1843">
        <v>0</v>
      </c>
      <c r="E1843">
        <v>2</v>
      </c>
      <c r="F1843">
        <v>0</v>
      </c>
      <c r="G1843">
        <v>5818</v>
      </c>
      <c r="H1843">
        <v>0</v>
      </c>
      <c r="I1843">
        <v>0</v>
      </c>
    </row>
    <row r="1844" spans="1:9" x14ac:dyDescent="0.25">
      <c r="A1844">
        <v>30</v>
      </c>
      <c r="B1844">
        <v>1</v>
      </c>
      <c r="C1844">
        <v>2</v>
      </c>
      <c r="D1844">
        <v>0</v>
      </c>
      <c r="E1844">
        <v>3</v>
      </c>
      <c r="F1844">
        <v>0</v>
      </c>
      <c r="G1844">
        <v>7661</v>
      </c>
      <c r="H1844">
        <v>0</v>
      </c>
      <c r="I1844">
        <v>0</v>
      </c>
    </row>
    <row r="1845" spans="1:9" x14ac:dyDescent="0.25">
      <c r="A1845">
        <v>30</v>
      </c>
      <c r="B1845">
        <v>1</v>
      </c>
      <c r="C1845">
        <v>2</v>
      </c>
      <c r="D1845">
        <v>0</v>
      </c>
      <c r="E1845">
        <v>1</v>
      </c>
      <c r="F1845">
        <v>0</v>
      </c>
      <c r="G1845">
        <v>19577</v>
      </c>
      <c r="H1845">
        <v>1</v>
      </c>
      <c r="I1845">
        <v>0</v>
      </c>
    </row>
    <row r="1846" spans="1:9" x14ac:dyDescent="0.25">
      <c r="A1846">
        <v>30</v>
      </c>
      <c r="B1846">
        <v>1</v>
      </c>
      <c r="C1846">
        <v>5</v>
      </c>
      <c r="D1846">
        <v>2</v>
      </c>
      <c r="E1846">
        <v>2</v>
      </c>
      <c r="F1846">
        <v>0</v>
      </c>
      <c r="G1846">
        <v>22499</v>
      </c>
      <c r="H1846">
        <v>1</v>
      </c>
      <c r="I1846">
        <v>0</v>
      </c>
    </row>
    <row r="1847" spans="1:9" x14ac:dyDescent="0.25">
      <c r="A1847">
        <v>30</v>
      </c>
      <c r="B1847">
        <v>1</v>
      </c>
      <c r="C1847">
        <v>2</v>
      </c>
      <c r="D1847">
        <v>0</v>
      </c>
      <c r="E1847">
        <v>2</v>
      </c>
      <c r="F1847">
        <v>0</v>
      </c>
      <c r="G1847">
        <v>18742</v>
      </c>
      <c r="H1847">
        <v>1</v>
      </c>
      <c r="I1847">
        <v>0</v>
      </c>
    </row>
    <row r="1848" spans="1:9" x14ac:dyDescent="0.25">
      <c r="A1848">
        <v>30</v>
      </c>
      <c r="B1848">
        <v>1</v>
      </c>
      <c r="C1848">
        <v>2</v>
      </c>
      <c r="D1848">
        <v>0</v>
      </c>
      <c r="E1848">
        <v>1</v>
      </c>
      <c r="F1848">
        <v>0</v>
      </c>
      <c r="G1848">
        <v>7835</v>
      </c>
      <c r="H1848">
        <v>1</v>
      </c>
      <c r="I1848">
        <v>0</v>
      </c>
    </row>
    <row r="1849" spans="1:9" x14ac:dyDescent="0.25">
      <c r="A1849">
        <v>30</v>
      </c>
      <c r="B1849">
        <v>0</v>
      </c>
      <c r="C1849">
        <v>2</v>
      </c>
      <c r="D1849">
        <v>0</v>
      </c>
      <c r="E1849">
        <v>1</v>
      </c>
      <c r="F1849">
        <v>0</v>
      </c>
      <c r="G1849">
        <v>16561</v>
      </c>
      <c r="H1849">
        <v>1</v>
      </c>
      <c r="I1849">
        <v>0</v>
      </c>
    </row>
    <row r="1850" spans="1:9" x14ac:dyDescent="0.25">
      <c r="A1850">
        <v>30</v>
      </c>
      <c r="B1850">
        <v>1</v>
      </c>
      <c r="C1850">
        <v>2</v>
      </c>
      <c r="D1850">
        <v>0</v>
      </c>
      <c r="E1850">
        <v>2</v>
      </c>
      <c r="F1850">
        <v>0</v>
      </c>
      <c r="G1850">
        <v>13352</v>
      </c>
      <c r="H1850">
        <v>1</v>
      </c>
      <c r="I1850">
        <v>0</v>
      </c>
    </row>
    <row r="1851" spans="1:9" x14ac:dyDescent="0.25">
      <c r="A1851">
        <v>30</v>
      </c>
      <c r="B1851">
        <v>1</v>
      </c>
      <c r="C1851">
        <v>2</v>
      </c>
      <c r="D1851">
        <v>2</v>
      </c>
      <c r="E1851">
        <v>1</v>
      </c>
      <c r="F1851">
        <v>0</v>
      </c>
      <c r="G1851">
        <v>14703</v>
      </c>
      <c r="H1851">
        <v>1</v>
      </c>
      <c r="I1851">
        <v>0</v>
      </c>
    </row>
    <row r="1852" spans="1:9" x14ac:dyDescent="0.25">
      <c r="A1852">
        <v>29</v>
      </c>
      <c r="B1852">
        <v>1</v>
      </c>
      <c r="C1852">
        <v>2</v>
      </c>
      <c r="D1852">
        <v>1</v>
      </c>
      <c r="E1852">
        <v>1</v>
      </c>
      <c r="F1852">
        <v>0</v>
      </c>
      <c r="G1852">
        <v>5176</v>
      </c>
      <c r="H1852">
        <v>0</v>
      </c>
      <c r="I1852">
        <v>0</v>
      </c>
    </row>
    <row r="1853" spans="1:9" x14ac:dyDescent="0.25">
      <c r="A1853">
        <v>29</v>
      </c>
      <c r="B1853">
        <v>1</v>
      </c>
      <c r="C1853">
        <v>3</v>
      </c>
      <c r="D1853">
        <v>3</v>
      </c>
      <c r="E1853">
        <v>0</v>
      </c>
      <c r="F1853">
        <v>0</v>
      </c>
      <c r="G1853">
        <v>12423</v>
      </c>
      <c r="H1853">
        <v>0</v>
      </c>
      <c r="I1853">
        <v>0</v>
      </c>
    </row>
    <row r="1854" spans="1:9" x14ac:dyDescent="0.25">
      <c r="A1854">
        <v>29</v>
      </c>
      <c r="B1854">
        <v>0</v>
      </c>
      <c r="C1854">
        <v>5</v>
      </c>
      <c r="D1854">
        <v>2</v>
      </c>
      <c r="E1854">
        <v>0</v>
      </c>
      <c r="F1854">
        <v>0</v>
      </c>
      <c r="G1854">
        <v>8512</v>
      </c>
      <c r="H1854">
        <v>0</v>
      </c>
      <c r="I1854">
        <v>0</v>
      </c>
    </row>
    <row r="1855" spans="1:9" x14ac:dyDescent="0.25">
      <c r="A1855">
        <v>29</v>
      </c>
      <c r="B1855">
        <v>0</v>
      </c>
      <c r="C1855">
        <v>15</v>
      </c>
      <c r="D1855">
        <v>2</v>
      </c>
      <c r="E1855">
        <v>0</v>
      </c>
      <c r="F1855">
        <v>0</v>
      </c>
      <c r="G1855">
        <v>23405</v>
      </c>
      <c r="H1855">
        <v>0</v>
      </c>
      <c r="I1855">
        <v>0</v>
      </c>
    </row>
    <row r="1856" spans="1:9" x14ac:dyDescent="0.25">
      <c r="A1856">
        <v>29</v>
      </c>
      <c r="B1856">
        <v>0</v>
      </c>
      <c r="C1856">
        <v>6</v>
      </c>
      <c r="D1856">
        <v>1</v>
      </c>
      <c r="E1856">
        <v>0</v>
      </c>
      <c r="F1856">
        <v>0</v>
      </c>
      <c r="G1856">
        <v>11268</v>
      </c>
      <c r="H1856">
        <v>0</v>
      </c>
      <c r="I1856">
        <v>0</v>
      </c>
    </row>
    <row r="1857" spans="1:9" x14ac:dyDescent="0.25">
      <c r="A1857">
        <v>29</v>
      </c>
      <c r="B1857">
        <v>1</v>
      </c>
      <c r="C1857">
        <v>3</v>
      </c>
      <c r="D1857">
        <v>0</v>
      </c>
      <c r="E1857">
        <v>0</v>
      </c>
      <c r="F1857">
        <v>0</v>
      </c>
      <c r="G1857">
        <v>11096</v>
      </c>
      <c r="H1857">
        <v>0</v>
      </c>
      <c r="I1857">
        <v>0</v>
      </c>
    </row>
    <row r="1858" spans="1:9" x14ac:dyDescent="0.25">
      <c r="A1858">
        <v>29</v>
      </c>
      <c r="B1858">
        <v>1</v>
      </c>
      <c r="C1858">
        <v>2</v>
      </c>
      <c r="D1858">
        <v>0</v>
      </c>
      <c r="E1858">
        <v>2</v>
      </c>
      <c r="F1858">
        <v>0</v>
      </c>
      <c r="G1858">
        <v>8110</v>
      </c>
      <c r="H1858">
        <v>0</v>
      </c>
      <c r="I1858">
        <v>0</v>
      </c>
    </row>
    <row r="1859" spans="1:9" x14ac:dyDescent="0.25">
      <c r="A1859">
        <v>29</v>
      </c>
      <c r="B1859">
        <v>0</v>
      </c>
      <c r="C1859">
        <v>3</v>
      </c>
      <c r="D1859">
        <v>4</v>
      </c>
      <c r="E1859">
        <v>1</v>
      </c>
      <c r="F1859">
        <v>0</v>
      </c>
      <c r="G1859">
        <v>13930</v>
      </c>
      <c r="H1859">
        <v>0</v>
      </c>
      <c r="I1859">
        <v>0</v>
      </c>
    </row>
    <row r="1860" spans="1:9" x14ac:dyDescent="0.25">
      <c r="A1860">
        <v>29</v>
      </c>
      <c r="B1860">
        <v>1</v>
      </c>
      <c r="C1860">
        <v>2</v>
      </c>
      <c r="D1860">
        <v>0</v>
      </c>
      <c r="E1860">
        <v>1</v>
      </c>
      <c r="F1860">
        <v>0</v>
      </c>
      <c r="G1860">
        <v>6658</v>
      </c>
      <c r="H1860">
        <v>0</v>
      </c>
      <c r="I1860">
        <v>0</v>
      </c>
    </row>
    <row r="1861" spans="1:9" x14ac:dyDescent="0.25">
      <c r="A1861">
        <v>29</v>
      </c>
      <c r="B1861">
        <v>1</v>
      </c>
      <c r="C1861">
        <v>3</v>
      </c>
      <c r="D1861">
        <v>0</v>
      </c>
      <c r="E1861">
        <v>2</v>
      </c>
      <c r="F1861">
        <v>0</v>
      </c>
      <c r="G1861">
        <v>9999</v>
      </c>
      <c r="H1861">
        <v>0</v>
      </c>
      <c r="I1861">
        <v>0</v>
      </c>
    </row>
    <row r="1862" spans="1:9" x14ac:dyDescent="0.25">
      <c r="A1862">
        <v>29</v>
      </c>
      <c r="B1862">
        <v>0</v>
      </c>
      <c r="C1862">
        <v>4</v>
      </c>
      <c r="D1862">
        <v>1</v>
      </c>
      <c r="E1862">
        <v>0</v>
      </c>
      <c r="F1862">
        <v>0</v>
      </c>
      <c r="G1862">
        <v>7124</v>
      </c>
      <c r="H1862">
        <v>0</v>
      </c>
      <c r="I1862">
        <v>0</v>
      </c>
    </row>
    <row r="1863" spans="1:9" x14ac:dyDescent="0.25">
      <c r="A1863">
        <v>29</v>
      </c>
      <c r="B1863">
        <v>1</v>
      </c>
      <c r="C1863">
        <v>2</v>
      </c>
      <c r="D1863">
        <v>0</v>
      </c>
      <c r="E1863">
        <v>2</v>
      </c>
      <c r="F1863">
        <v>0</v>
      </c>
      <c r="G1863">
        <v>6610</v>
      </c>
      <c r="H1863">
        <v>0</v>
      </c>
      <c r="I1863">
        <v>0</v>
      </c>
    </row>
    <row r="1864" spans="1:9" x14ac:dyDescent="0.25">
      <c r="A1864">
        <v>29</v>
      </c>
      <c r="B1864">
        <v>1</v>
      </c>
      <c r="C1864">
        <v>2</v>
      </c>
      <c r="D1864">
        <v>0</v>
      </c>
      <c r="E1864">
        <v>2</v>
      </c>
      <c r="F1864">
        <v>0</v>
      </c>
      <c r="G1864">
        <v>7972</v>
      </c>
      <c r="H1864">
        <v>0</v>
      </c>
      <c r="I1864">
        <v>0</v>
      </c>
    </row>
    <row r="1865" spans="1:9" x14ac:dyDescent="0.25">
      <c r="A1865">
        <v>28</v>
      </c>
      <c r="B1865">
        <v>0</v>
      </c>
      <c r="C1865">
        <v>5</v>
      </c>
      <c r="D1865">
        <v>3</v>
      </c>
      <c r="E1865">
        <v>1</v>
      </c>
      <c r="F1865">
        <v>0</v>
      </c>
      <c r="G1865">
        <v>14669</v>
      </c>
      <c r="H1865">
        <v>1</v>
      </c>
      <c r="I1865">
        <v>0</v>
      </c>
    </row>
    <row r="1866" spans="1:9" x14ac:dyDescent="0.25">
      <c r="A1866">
        <v>28</v>
      </c>
      <c r="B1866">
        <v>0</v>
      </c>
      <c r="C1866">
        <v>5</v>
      </c>
      <c r="D1866">
        <v>5</v>
      </c>
      <c r="E1866">
        <v>2</v>
      </c>
      <c r="F1866">
        <v>0</v>
      </c>
      <c r="G1866">
        <v>27686</v>
      </c>
      <c r="H1866">
        <v>1</v>
      </c>
      <c r="I1866">
        <v>0</v>
      </c>
    </row>
    <row r="1867" spans="1:9" x14ac:dyDescent="0.25">
      <c r="A1867">
        <v>28</v>
      </c>
      <c r="B1867">
        <v>1</v>
      </c>
      <c r="C1867">
        <v>8</v>
      </c>
      <c r="D1867">
        <v>1</v>
      </c>
      <c r="E1867">
        <v>1</v>
      </c>
      <c r="F1867">
        <v>0</v>
      </c>
      <c r="G1867">
        <v>37435</v>
      </c>
      <c r="H1867">
        <v>1</v>
      </c>
      <c r="I1867">
        <v>0</v>
      </c>
    </row>
    <row r="1868" spans="1:9" x14ac:dyDescent="0.25">
      <c r="A1868">
        <v>28</v>
      </c>
      <c r="B1868">
        <v>1</v>
      </c>
      <c r="C1868">
        <v>3</v>
      </c>
      <c r="D1868">
        <v>0</v>
      </c>
      <c r="E1868">
        <v>4</v>
      </c>
      <c r="F1868">
        <v>0</v>
      </c>
      <c r="G1868">
        <v>19292</v>
      </c>
      <c r="H1868">
        <v>1</v>
      </c>
      <c r="I1868">
        <v>0</v>
      </c>
    </row>
    <row r="1869" spans="1:9" x14ac:dyDescent="0.25">
      <c r="A1869">
        <v>28</v>
      </c>
      <c r="B1869">
        <v>1</v>
      </c>
      <c r="C1869">
        <v>3</v>
      </c>
      <c r="D1869">
        <v>0</v>
      </c>
      <c r="E1869">
        <v>1</v>
      </c>
      <c r="F1869">
        <v>0</v>
      </c>
      <c r="G1869">
        <v>14468</v>
      </c>
      <c r="H1869">
        <v>1</v>
      </c>
      <c r="I1869">
        <v>0</v>
      </c>
    </row>
    <row r="1870" spans="1:9" x14ac:dyDescent="0.25">
      <c r="A1870">
        <v>28</v>
      </c>
      <c r="B1870">
        <v>1</v>
      </c>
      <c r="C1870">
        <v>3</v>
      </c>
      <c r="D1870">
        <v>0</v>
      </c>
      <c r="E1870">
        <v>1</v>
      </c>
      <c r="F1870">
        <v>0</v>
      </c>
      <c r="G1870">
        <v>18373</v>
      </c>
      <c r="H1870">
        <v>1</v>
      </c>
      <c r="I1870">
        <v>0</v>
      </c>
    </row>
    <row r="1871" spans="1:9" x14ac:dyDescent="0.25">
      <c r="A1871">
        <v>28</v>
      </c>
      <c r="B1871">
        <v>1</v>
      </c>
      <c r="C1871">
        <v>2</v>
      </c>
      <c r="D1871">
        <v>1</v>
      </c>
      <c r="E1871">
        <v>1</v>
      </c>
      <c r="F1871">
        <v>0</v>
      </c>
      <c r="G1871">
        <v>15304</v>
      </c>
      <c r="H1871">
        <v>1</v>
      </c>
      <c r="I1871">
        <v>0</v>
      </c>
    </row>
    <row r="1872" spans="1:9" x14ac:dyDescent="0.25">
      <c r="A1872">
        <v>28</v>
      </c>
      <c r="B1872">
        <v>1</v>
      </c>
      <c r="C1872">
        <v>3</v>
      </c>
      <c r="D1872">
        <v>0</v>
      </c>
      <c r="E1872">
        <v>1</v>
      </c>
      <c r="F1872">
        <v>0</v>
      </c>
      <c r="G1872">
        <v>16944</v>
      </c>
      <c r="H1872">
        <v>1</v>
      </c>
      <c r="I1872">
        <v>0</v>
      </c>
    </row>
    <row r="1873" spans="1:9" x14ac:dyDescent="0.25">
      <c r="A1873">
        <v>28</v>
      </c>
      <c r="B1873">
        <v>1</v>
      </c>
      <c r="C1873">
        <v>1</v>
      </c>
      <c r="D1873">
        <v>0</v>
      </c>
      <c r="E1873">
        <v>1</v>
      </c>
      <c r="F1873">
        <v>0</v>
      </c>
      <c r="G1873">
        <v>14248</v>
      </c>
      <c r="H1873">
        <v>1</v>
      </c>
      <c r="I1873">
        <v>0</v>
      </c>
    </row>
    <row r="1874" spans="1:9" x14ac:dyDescent="0.25">
      <c r="A1874">
        <v>28</v>
      </c>
      <c r="B1874">
        <v>1</v>
      </c>
      <c r="C1874">
        <v>22</v>
      </c>
      <c r="D1874">
        <v>1</v>
      </c>
      <c r="E1874">
        <v>2</v>
      </c>
      <c r="F1874">
        <v>0</v>
      </c>
      <c r="G1874">
        <v>51522</v>
      </c>
      <c r="H1874">
        <v>1</v>
      </c>
      <c r="I1874">
        <v>0</v>
      </c>
    </row>
    <row r="1875" spans="1:9" x14ac:dyDescent="0.25">
      <c r="A1875">
        <v>28</v>
      </c>
      <c r="B1875">
        <v>1</v>
      </c>
      <c r="C1875">
        <v>3</v>
      </c>
      <c r="D1875">
        <v>0</v>
      </c>
      <c r="E1875">
        <v>2</v>
      </c>
      <c r="F1875">
        <v>0</v>
      </c>
      <c r="G1875">
        <v>10480</v>
      </c>
      <c r="H1875">
        <v>1</v>
      </c>
      <c r="I1875">
        <v>0</v>
      </c>
    </row>
    <row r="1876" spans="1:9" x14ac:dyDescent="0.25">
      <c r="A1876">
        <v>28</v>
      </c>
      <c r="B1876">
        <v>1</v>
      </c>
      <c r="C1876">
        <v>4</v>
      </c>
      <c r="D1876">
        <v>1</v>
      </c>
      <c r="E1876">
        <v>1</v>
      </c>
      <c r="F1876">
        <v>0</v>
      </c>
      <c r="G1876">
        <v>13186</v>
      </c>
      <c r="H1876">
        <v>1</v>
      </c>
      <c r="I1876">
        <v>0</v>
      </c>
    </row>
    <row r="1877" spans="1:9" x14ac:dyDescent="0.25">
      <c r="A1877">
        <v>28</v>
      </c>
      <c r="B1877">
        <v>1</v>
      </c>
      <c r="C1877">
        <v>2</v>
      </c>
      <c r="D1877">
        <v>3</v>
      </c>
      <c r="E1877">
        <v>1</v>
      </c>
      <c r="F1877">
        <v>0</v>
      </c>
      <c r="G1877">
        <v>4871</v>
      </c>
      <c r="H1877">
        <v>1</v>
      </c>
      <c r="I1877">
        <v>0</v>
      </c>
    </row>
    <row r="1878" spans="1:9" x14ac:dyDescent="0.25">
      <c r="A1878">
        <v>27</v>
      </c>
      <c r="B1878">
        <v>0</v>
      </c>
      <c r="C1878">
        <v>4</v>
      </c>
      <c r="D1878">
        <v>1</v>
      </c>
      <c r="E1878">
        <v>0</v>
      </c>
      <c r="F1878">
        <v>0</v>
      </c>
      <c r="G1878">
        <v>17384</v>
      </c>
      <c r="H1878">
        <v>0</v>
      </c>
      <c r="I1878">
        <v>0</v>
      </c>
    </row>
    <row r="1879" spans="1:9" x14ac:dyDescent="0.25">
      <c r="A1879">
        <v>27</v>
      </c>
      <c r="B1879">
        <v>1</v>
      </c>
      <c r="C1879">
        <v>5</v>
      </c>
      <c r="D1879">
        <v>4</v>
      </c>
      <c r="E1879">
        <v>0</v>
      </c>
      <c r="F1879">
        <v>0</v>
      </c>
      <c r="G1879">
        <v>7399</v>
      </c>
      <c r="H1879">
        <v>0</v>
      </c>
      <c r="I1879">
        <v>0</v>
      </c>
    </row>
    <row r="1880" spans="1:9" x14ac:dyDescent="0.25">
      <c r="A1880">
        <v>27</v>
      </c>
      <c r="B1880">
        <v>1</v>
      </c>
      <c r="C1880">
        <v>13</v>
      </c>
      <c r="D1880">
        <v>1</v>
      </c>
      <c r="E1880">
        <v>0</v>
      </c>
      <c r="F1880">
        <v>0</v>
      </c>
      <c r="G1880">
        <v>20972</v>
      </c>
      <c r="H1880">
        <v>0</v>
      </c>
      <c r="I1880">
        <v>0</v>
      </c>
    </row>
    <row r="1881" spans="1:9" x14ac:dyDescent="0.25">
      <c r="A1881">
        <v>27</v>
      </c>
      <c r="B1881">
        <v>0</v>
      </c>
      <c r="C1881">
        <v>3</v>
      </c>
      <c r="D1881">
        <v>4</v>
      </c>
      <c r="E1881">
        <v>0</v>
      </c>
      <c r="F1881">
        <v>0</v>
      </c>
      <c r="G1881">
        <v>10379</v>
      </c>
      <c r="H1881">
        <v>0</v>
      </c>
      <c r="I1881">
        <v>0</v>
      </c>
    </row>
    <row r="1882" spans="1:9" x14ac:dyDescent="0.25">
      <c r="A1882">
        <v>27</v>
      </c>
      <c r="B1882">
        <v>1</v>
      </c>
      <c r="C1882">
        <v>2</v>
      </c>
      <c r="D1882">
        <v>0</v>
      </c>
      <c r="E1882">
        <v>2</v>
      </c>
      <c r="F1882">
        <v>0</v>
      </c>
      <c r="G1882">
        <v>5720</v>
      </c>
      <c r="H1882">
        <v>0</v>
      </c>
      <c r="I1882">
        <v>0</v>
      </c>
    </row>
    <row r="1883" spans="1:9" x14ac:dyDescent="0.25">
      <c r="A1883">
        <v>27</v>
      </c>
      <c r="B1883">
        <v>1</v>
      </c>
      <c r="C1883">
        <v>3</v>
      </c>
      <c r="D1883">
        <v>0</v>
      </c>
      <c r="E1883">
        <v>0</v>
      </c>
      <c r="F1883">
        <v>0</v>
      </c>
      <c r="G1883">
        <v>6423</v>
      </c>
      <c r="H1883">
        <v>0</v>
      </c>
      <c r="I1883">
        <v>0</v>
      </c>
    </row>
    <row r="1884" spans="1:9" x14ac:dyDescent="0.25">
      <c r="A1884">
        <v>27</v>
      </c>
      <c r="B1884">
        <v>0</v>
      </c>
      <c r="C1884">
        <v>2</v>
      </c>
      <c r="D1884">
        <v>1</v>
      </c>
      <c r="E1884">
        <v>0</v>
      </c>
      <c r="F1884">
        <v>0</v>
      </c>
      <c r="G1884">
        <v>5645</v>
      </c>
      <c r="H1884">
        <v>0</v>
      </c>
      <c r="I1884">
        <v>0</v>
      </c>
    </row>
    <row r="1885" spans="1:9" x14ac:dyDescent="0.25">
      <c r="A1885">
        <v>27</v>
      </c>
      <c r="B1885">
        <v>1</v>
      </c>
      <c r="C1885">
        <v>2</v>
      </c>
      <c r="D1885">
        <v>1</v>
      </c>
      <c r="E1885">
        <v>1</v>
      </c>
      <c r="F1885">
        <v>0</v>
      </c>
      <c r="G1885">
        <v>6812</v>
      </c>
      <c r="H1885">
        <v>0</v>
      </c>
      <c r="I1885">
        <v>0</v>
      </c>
    </row>
    <row r="1886" spans="1:9" x14ac:dyDescent="0.25">
      <c r="A1886">
        <v>27</v>
      </c>
      <c r="B1886">
        <v>0</v>
      </c>
      <c r="C1886">
        <v>7</v>
      </c>
      <c r="D1886">
        <v>2</v>
      </c>
      <c r="E1886">
        <v>0</v>
      </c>
      <c r="F1886">
        <v>0</v>
      </c>
      <c r="G1886">
        <v>10160</v>
      </c>
      <c r="H1886">
        <v>0</v>
      </c>
      <c r="I1886">
        <v>0</v>
      </c>
    </row>
    <row r="1887" spans="1:9" x14ac:dyDescent="0.25">
      <c r="A1887">
        <v>27</v>
      </c>
      <c r="B1887">
        <v>1</v>
      </c>
      <c r="C1887">
        <v>7</v>
      </c>
      <c r="D1887">
        <v>4</v>
      </c>
      <c r="E1887">
        <v>0</v>
      </c>
      <c r="F1887">
        <v>0</v>
      </c>
      <c r="G1887">
        <v>9773</v>
      </c>
      <c r="H1887">
        <v>0</v>
      </c>
      <c r="I1887">
        <v>0</v>
      </c>
    </row>
    <row r="1888" spans="1:9" x14ac:dyDescent="0.25">
      <c r="A1888">
        <v>27</v>
      </c>
      <c r="B1888">
        <v>1</v>
      </c>
      <c r="C1888">
        <v>3</v>
      </c>
      <c r="D1888">
        <v>0</v>
      </c>
      <c r="E1888">
        <v>0</v>
      </c>
      <c r="F1888">
        <v>0</v>
      </c>
      <c r="G1888">
        <v>6880</v>
      </c>
      <c r="H1888">
        <v>0</v>
      </c>
      <c r="I1888">
        <v>0</v>
      </c>
    </row>
    <row r="1889" spans="1:9" x14ac:dyDescent="0.25">
      <c r="A1889">
        <v>27</v>
      </c>
      <c r="B1889">
        <v>1</v>
      </c>
      <c r="C1889">
        <v>6</v>
      </c>
      <c r="D1889">
        <v>6</v>
      </c>
      <c r="E1889">
        <v>0</v>
      </c>
      <c r="F1889">
        <v>0</v>
      </c>
      <c r="G1889">
        <v>12014</v>
      </c>
      <c r="H1889">
        <v>0</v>
      </c>
      <c r="I1889">
        <v>0</v>
      </c>
    </row>
    <row r="1890" spans="1:9" x14ac:dyDescent="0.25">
      <c r="A1890">
        <v>27</v>
      </c>
      <c r="B1890">
        <v>1</v>
      </c>
      <c r="C1890">
        <v>2</v>
      </c>
      <c r="D1890">
        <v>0</v>
      </c>
      <c r="E1890">
        <v>1</v>
      </c>
      <c r="F1890">
        <v>0</v>
      </c>
      <c r="G1890">
        <v>5769</v>
      </c>
      <c r="H1890">
        <v>0</v>
      </c>
      <c r="I1890">
        <v>0</v>
      </c>
    </row>
    <row r="1891" spans="1:9" x14ac:dyDescent="0.25">
      <c r="A1891">
        <v>27</v>
      </c>
      <c r="B1891">
        <v>0</v>
      </c>
      <c r="C1891">
        <v>3</v>
      </c>
      <c r="D1891">
        <v>2</v>
      </c>
      <c r="E1891">
        <v>0</v>
      </c>
      <c r="F1891">
        <v>0</v>
      </c>
      <c r="G1891">
        <v>7903</v>
      </c>
      <c r="H1891">
        <v>0</v>
      </c>
      <c r="I1891">
        <v>0</v>
      </c>
    </row>
    <row r="1892" spans="1:9" x14ac:dyDescent="0.25">
      <c r="A1892">
        <v>27</v>
      </c>
      <c r="B1892">
        <v>0</v>
      </c>
      <c r="C1892">
        <v>2</v>
      </c>
      <c r="D1892">
        <v>1</v>
      </c>
      <c r="E1892">
        <v>0</v>
      </c>
      <c r="F1892">
        <v>0</v>
      </c>
      <c r="G1892">
        <v>2840</v>
      </c>
      <c r="H1892">
        <v>0</v>
      </c>
      <c r="I1892">
        <v>0</v>
      </c>
    </row>
    <row r="1893" spans="1:9" x14ac:dyDescent="0.25">
      <c r="A1893">
        <v>27</v>
      </c>
      <c r="B1893">
        <v>1</v>
      </c>
      <c r="C1893">
        <v>1</v>
      </c>
      <c r="D1893">
        <v>0</v>
      </c>
      <c r="E1893">
        <v>0</v>
      </c>
      <c r="F1893">
        <v>0</v>
      </c>
      <c r="G1893">
        <v>3881</v>
      </c>
      <c r="H1893">
        <v>0</v>
      </c>
      <c r="I1893">
        <v>0</v>
      </c>
    </row>
    <row r="1894" spans="1:9" x14ac:dyDescent="0.25">
      <c r="A1894">
        <v>27</v>
      </c>
      <c r="B1894">
        <v>0</v>
      </c>
      <c r="C1894">
        <v>7</v>
      </c>
      <c r="D1894">
        <v>3</v>
      </c>
      <c r="E1894">
        <v>0</v>
      </c>
      <c r="F1894">
        <v>0</v>
      </c>
      <c r="G1894">
        <v>10260</v>
      </c>
      <c r="H1894">
        <v>0</v>
      </c>
      <c r="I1894">
        <v>0</v>
      </c>
    </row>
    <row r="1895" spans="1:9" x14ac:dyDescent="0.25">
      <c r="A1895">
        <v>27</v>
      </c>
      <c r="B1895">
        <v>1</v>
      </c>
      <c r="C1895">
        <v>3</v>
      </c>
      <c r="D1895">
        <v>0</v>
      </c>
      <c r="E1895">
        <v>1</v>
      </c>
      <c r="F1895">
        <v>0</v>
      </c>
      <c r="G1895">
        <v>11237</v>
      </c>
      <c r="H1895">
        <v>0</v>
      </c>
      <c r="I1895">
        <v>0</v>
      </c>
    </row>
    <row r="1896" spans="1:9" x14ac:dyDescent="0.25">
      <c r="A1896">
        <v>27</v>
      </c>
      <c r="B1896">
        <v>0</v>
      </c>
      <c r="C1896">
        <v>15</v>
      </c>
      <c r="D1896">
        <v>1</v>
      </c>
      <c r="E1896">
        <v>0</v>
      </c>
      <c r="F1896">
        <v>0</v>
      </c>
      <c r="G1896">
        <v>25257</v>
      </c>
      <c r="H1896">
        <v>0</v>
      </c>
      <c r="I1896">
        <v>0</v>
      </c>
    </row>
    <row r="1897" spans="1:9" x14ac:dyDescent="0.25">
      <c r="A1897">
        <v>27</v>
      </c>
      <c r="B1897">
        <v>1</v>
      </c>
      <c r="C1897">
        <v>6</v>
      </c>
      <c r="D1897">
        <v>0</v>
      </c>
      <c r="E1897">
        <v>0</v>
      </c>
      <c r="F1897">
        <v>0</v>
      </c>
      <c r="G1897">
        <v>7784</v>
      </c>
      <c r="H1897">
        <v>0</v>
      </c>
      <c r="I1897">
        <v>0</v>
      </c>
    </row>
    <row r="1898" spans="1:9" x14ac:dyDescent="0.25">
      <c r="A1898">
        <v>27</v>
      </c>
      <c r="B1898">
        <v>1</v>
      </c>
      <c r="C1898">
        <v>2</v>
      </c>
      <c r="D1898">
        <v>0</v>
      </c>
      <c r="E1898">
        <v>1</v>
      </c>
      <c r="F1898">
        <v>0</v>
      </c>
      <c r="G1898">
        <v>6411</v>
      </c>
      <c r="H1898">
        <v>0</v>
      </c>
      <c r="I1898">
        <v>0</v>
      </c>
    </row>
    <row r="1899" spans="1:9" x14ac:dyDescent="0.25">
      <c r="A1899">
        <v>27</v>
      </c>
      <c r="B1899">
        <v>1</v>
      </c>
      <c r="C1899">
        <v>3</v>
      </c>
      <c r="D1899">
        <v>0</v>
      </c>
      <c r="E1899">
        <v>1</v>
      </c>
      <c r="F1899">
        <v>0</v>
      </c>
      <c r="G1899">
        <v>8673</v>
      </c>
      <c r="H1899">
        <v>0</v>
      </c>
      <c r="I1899">
        <v>0</v>
      </c>
    </row>
    <row r="1900" spans="1:9" x14ac:dyDescent="0.25">
      <c r="A1900">
        <v>27</v>
      </c>
      <c r="B1900">
        <v>0</v>
      </c>
      <c r="C1900">
        <v>3</v>
      </c>
      <c r="D1900">
        <v>5</v>
      </c>
      <c r="E1900">
        <v>0</v>
      </c>
      <c r="F1900">
        <v>0</v>
      </c>
      <c r="G1900">
        <v>9408</v>
      </c>
      <c r="H1900">
        <v>0</v>
      </c>
      <c r="I1900">
        <v>0</v>
      </c>
    </row>
    <row r="1901" spans="1:9" x14ac:dyDescent="0.25">
      <c r="A1901">
        <v>27</v>
      </c>
      <c r="B1901">
        <v>0</v>
      </c>
      <c r="C1901">
        <v>4</v>
      </c>
      <c r="D1901">
        <v>2</v>
      </c>
      <c r="E1901">
        <v>0</v>
      </c>
      <c r="F1901">
        <v>0</v>
      </c>
      <c r="G1901">
        <v>5781</v>
      </c>
      <c r="H1901">
        <v>0</v>
      </c>
      <c r="I1901">
        <v>0</v>
      </c>
    </row>
    <row r="1902" spans="1:9" x14ac:dyDescent="0.25">
      <c r="A1902">
        <v>27</v>
      </c>
      <c r="B1902">
        <v>1</v>
      </c>
      <c r="C1902">
        <v>3</v>
      </c>
      <c r="D1902">
        <v>0</v>
      </c>
      <c r="E1902">
        <v>1</v>
      </c>
      <c r="F1902">
        <v>0</v>
      </c>
      <c r="G1902">
        <v>9617</v>
      </c>
      <c r="H1902">
        <v>0</v>
      </c>
      <c r="I1902">
        <v>0</v>
      </c>
    </row>
    <row r="1903" spans="1:9" x14ac:dyDescent="0.25">
      <c r="A1903">
        <v>27</v>
      </c>
      <c r="B1903">
        <v>1</v>
      </c>
      <c r="C1903">
        <v>2</v>
      </c>
      <c r="D1903">
        <v>0</v>
      </c>
      <c r="E1903">
        <v>2</v>
      </c>
      <c r="F1903">
        <v>0</v>
      </c>
      <c r="G1903">
        <v>4948</v>
      </c>
      <c r="H1903">
        <v>0</v>
      </c>
      <c r="I1903">
        <v>0</v>
      </c>
    </row>
    <row r="1904" spans="1:9" x14ac:dyDescent="0.25">
      <c r="A1904">
        <v>27</v>
      </c>
      <c r="B1904">
        <v>1</v>
      </c>
      <c r="C1904">
        <v>9</v>
      </c>
      <c r="D1904">
        <v>0</v>
      </c>
      <c r="E1904">
        <v>2</v>
      </c>
      <c r="F1904">
        <v>0</v>
      </c>
      <c r="G1904">
        <v>25884</v>
      </c>
      <c r="H1904">
        <v>0</v>
      </c>
      <c r="I1904">
        <v>0</v>
      </c>
    </row>
    <row r="1905" spans="1:9" x14ac:dyDescent="0.25">
      <c r="A1905">
        <v>27</v>
      </c>
      <c r="B1905">
        <v>1</v>
      </c>
      <c r="C1905">
        <v>2</v>
      </c>
      <c r="D1905">
        <v>0</v>
      </c>
      <c r="E1905">
        <v>2</v>
      </c>
      <c r="F1905">
        <v>0</v>
      </c>
      <c r="G1905">
        <v>10564</v>
      </c>
      <c r="H1905">
        <v>0</v>
      </c>
      <c r="I1905">
        <v>0</v>
      </c>
    </row>
    <row r="1906" spans="1:9" x14ac:dyDescent="0.25">
      <c r="A1906">
        <v>27</v>
      </c>
      <c r="B1906">
        <v>1</v>
      </c>
      <c r="C1906">
        <v>2</v>
      </c>
      <c r="D1906">
        <v>0</v>
      </c>
      <c r="E1906">
        <v>2</v>
      </c>
      <c r="F1906">
        <v>0</v>
      </c>
      <c r="G1906">
        <v>9124</v>
      </c>
      <c r="H1906">
        <v>0</v>
      </c>
      <c r="I1906">
        <v>0</v>
      </c>
    </row>
    <row r="1907" spans="1:9" x14ac:dyDescent="0.25">
      <c r="A1907">
        <v>27</v>
      </c>
      <c r="B1907">
        <v>0</v>
      </c>
      <c r="C1907">
        <v>3</v>
      </c>
      <c r="D1907">
        <v>1</v>
      </c>
      <c r="E1907">
        <v>2</v>
      </c>
      <c r="F1907">
        <v>0</v>
      </c>
      <c r="G1907">
        <v>16526</v>
      </c>
      <c r="H1907">
        <v>0</v>
      </c>
      <c r="I1907">
        <v>0</v>
      </c>
    </row>
    <row r="1908" spans="1:9" x14ac:dyDescent="0.25">
      <c r="A1908">
        <v>27</v>
      </c>
      <c r="B1908">
        <v>1</v>
      </c>
      <c r="C1908">
        <v>2</v>
      </c>
      <c r="D1908">
        <v>0</v>
      </c>
      <c r="E1908">
        <v>2</v>
      </c>
      <c r="F1908">
        <v>0</v>
      </c>
      <c r="G1908">
        <v>8587</v>
      </c>
      <c r="H1908">
        <v>0</v>
      </c>
      <c r="I1908">
        <v>0</v>
      </c>
    </row>
    <row r="1909" spans="1:9" x14ac:dyDescent="0.25">
      <c r="A1909">
        <v>27</v>
      </c>
      <c r="B1909">
        <v>1</v>
      </c>
      <c r="C1909">
        <v>4</v>
      </c>
      <c r="D1909">
        <v>2</v>
      </c>
      <c r="E1909">
        <v>0</v>
      </c>
      <c r="F1909">
        <v>0</v>
      </c>
      <c r="G1909">
        <v>7159</v>
      </c>
      <c r="H1909">
        <v>0</v>
      </c>
      <c r="I1909">
        <v>0</v>
      </c>
    </row>
    <row r="1910" spans="1:9" x14ac:dyDescent="0.25">
      <c r="A1910">
        <v>27</v>
      </c>
      <c r="B1910">
        <v>1</v>
      </c>
      <c r="C1910">
        <v>2</v>
      </c>
      <c r="D1910">
        <v>2</v>
      </c>
      <c r="E1910">
        <v>1</v>
      </c>
      <c r="F1910">
        <v>0</v>
      </c>
      <c r="G1910">
        <v>6191</v>
      </c>
      <c r="H1910">
        <v>0</v>
      </c>
      <c r="I1910">
        <v>0</v>
      </c>
    </row>
    <row r="1911" spans="1:9" x14ac:dyDescent="0.25">
      <c r="A1911">
        <v>27</v>
      </c>
      <c r="B1911">
        <v>0</v>
      </c>
      <c r="C1911">
        <v>2</v>
      </c>
      <c r="D1911">
        <v>0</v>
      </c>
      <c r="E1911">
        <v>1</v>
      </c>
      <c r="F1911">
        <v>0</v>
      </c>
      <c r="G1911">
        <v>20442</v>
      </c>
      <c r="H1911">
        <v>1</v>
      </c>
      <c r="I1911">
        <v>0</v>
      </c>
    </row>
    <row r="1912" spans="1:9" x14ac:dyDescent="0.25">
      <c r="A1912">
        <v>27</v>
      </c>
      <c r="B1912">
        <v>1</v>
      </c>
      <c r="C1912">
        <v>2</v>
      </c>
      <c r="D1912">
        <v>0</v>
      </c>
      <c r="E1912">
        <v>3</v>
      </c>
      <c r="F1912">
        <v>0</v>
      </c>
      <c r="G1912">
        <v>16372</v>
      </c>
      <c r="H1912">
        <v>1</v>
      </c>
      <c r="I1912">
        <v>0</v>
      </c>
    </row>
    <row r="1913" spans="1:9" x14ac:dyDescent="0.25">
      <c r="A1913">
        <v>27</v>
      </c>
      <c r="B1913">
        <v>1</v>
      </c>
      <c r="C1913">
        <v>3</v>
      </c>
      <c r="D1913">
        <v>0</v>
      </c>
      <c r="E1913">
        <v>3</v>
      </c>
      <c r="F1913">
        <v>0</v>
      </c>
      <c r="G1913">
        <v>33711</v>
      </c>
      <c r="H1913">
        <v>1</v>
      </c>
      <c r="I1913">
        <v>0</v>
      </c>
    </row>
    <row r="1914" spans="1:9" x14ac:dyDescent="0.25">
      <c r="A1914">
        <v>27</v>
      </c>
      <c r="B1914">
        <v>1</v>
      </c>
      <c r="C1914">
        <v>2</v>
      </c>
      <c r="D1914">
        <v>1</v>
      </c>
      <c r="E1914">
        <v>1</v>
      </c>
      <c r="F1914">
        <v>0</v>
      </c>
      <c r="G1914">
        <v>23430</v>
      </c>
      <c r="H1914">
        <v>1</v>
      </c>
      <c r="I1914">
        <v>0</v>
      </c>
    </row>
    <row r="1915" spans="1:9" x14ac:dyDescent="0.25">
      <c r="A1915">
        <v>27</v>
      </c>
      <c r="B1915">
        <v>1</v>
      </c>
      <c r="C1915">
        <v>3</v>
      </c>
      <c r="D1915">
        <v>0</v>
      </c>
      <c r="E1915">
        <v>1</v>
      </c>
      <c r="F1915">
        <v>0</v>
      </c>
      <c r="G1915">
        <v>18529</v>
      </c>
      <c r="H1915">
        <v>1</v>
      </c>
      <c r="I1915">
        <v>0</v>
      </c>
    </row>
    <row r="1916" spans="1:9" x14ac:dyDescent="0.25">
      <c r="A1916">
        <v>27</v>
      </c>
      <c r="B1916">
        <v>1</v>
      </c>
      <c r="C1916">
        <v>3</v>
      </c>
      <c r="D1916">
        <v>0</v>
      </c>
      <c r="E1916">
        <v>2</v>
      </c>
      <c r="F1916">
        <v>0</v>
      </c>
      <c r="G1916">
        <v>8724</v>
      </c>
      <c r="H1916">
        <v>1</v>
      </c>
      <c r="I1916">
        <v>0</v>
      </c>
    </row>
    <row r="1917" spans="1:9" x14ac:dyDescent="0.25">
      <c r="A1917">
        <v>27</v>
      </c>
      <c r="B1917">
        <v>1</v>
      </c>
      <c r="C1917">
        <v>3</v>
      </c>
      <c r="D1917">
        <v>0</v>
      </c>
      <c r="E1917">
        <v>3</v>
      </c>
      <c r="F1917">
        <v>0</v>
      </c>
      <c r="G1917">
        <v>12126</v>
      </c>
      <c r="H1917">
        <v>1</v>
      </c>
      <c r="I1917">
        <v>0</v>
      </c>
    </row>
    <row r="1918" spans="1:9" x14ac:dyDescent="0.25">
      <c r="A1918">
        <v>26</v>
      </c>
      <c r="B1918">
        <v>1</v>
      </c>
      <c r="C1918">
        <v>4</v>
      </c>
      <c r="D1918">
        <v>0</v>
      </c>
      <c r="E1918">
        <v>0</v>
      </c>
      <c r="F1918">
        <v>0</v>
      </c>
      <c r="G1918">
        <v>5525</v>
      </c>
      <c r="H1918">
        <v>0</v>
      </c>
      <c r="I1918">
        <v>0</v>
      </c>
    </row>
    <row r="1919" spans="1:9" x14ac:dyDescent="0.25">
      <c r="A1919">
        <v>26</v>
      </c>
      <c r="B1919">
        <v>1</v>
      </c>
      <c r="C1919">
        <v>8</v>
      </c>
      <c r="D1919">
        <v>7</v>
      </c>
      <c r="E1919">
        <v>0</v>
      </c>
      <c r="F1919">
        <v>0</v>
      </c>
      <c r="G1919">
        <v>12332</v>
      </c>
      <c r="H1919">
        <v>0</v>
      </c>
      <c r="I1919">
        <v>0</v>
      </c>
    </row>
    <row r="1920" spans="1:9" x14ac:dyDescent="0.25">
      <c r="A1920">
        <v>26</v>
      </c>
      <c r="B1920">
        <v>1</v>
      </c>
      <c r="C1920">
        <v>3</v>
      </c>
      <c r="D1920">
        <v>0</v>
      </c>
      <c r="E1920">
        <v>1</v>
      </c>
      <c r="F1920">
        <v>0</v>
      </c>
      <c r="G1920">
        <v>7329</v>
      </c>
      <c r="H1920">
        <v>0</v>
      </c>
      <c r="I1920">
        <v>0</v>
      </c>
    </row>
    <row r="1921" spans="1:9" x14ac:dyDescent="0.25">
      <c r="A1921">
        <v>26</v>
      </c>
      <c r="B1921">
        <v>1</v>
      </c>
      <c r="C1921">
        <v>1</v>
      </c>
      <c r="D1921">
        <v>0</v>
      </c>
      <c r="E1921">
        <v>0</v>
      </c>
      <c r="F1921">
        <v>0</v>
      </c>
      <c r="G1921">
        <v>2396</v>
      </c>
      <c r="H1921">
        <v>0</v>
      </c>
      <c r="I1921">
        <v>0</v>
      </c>
    </row>
    <row r="1922" spans="1:9" x14ac:dyDescent="0.25">
      <c r="A1922">
        <v>26</v>
      </c>
      <c r="B1922">
        <v>1</v>
      </c>
      <c r="C1922">
        <v>2</v>
      </c>
      <c r="D1922">
        <v>0</v>
      </c>
      <c r="E1922">
        <v>1</v>
      </c>
      <c r="F1922">
        <v>0</v>
      </c>
      <c r="G1922">
        <v>6750</v>
      </c>
      <c r="H1922">
        <v>0</v>
      </c>
      <c r="I1922">
        <v>0</v>
      </c>
    </row>
    <row r="1923" spans="1:9" x14ac:dyDescent="0.25">
      <c r="A1923">
        <v>26</v>
      </c>
      <c r="B1923">
        <v>1</v>
      </c>
      <c r="C1923">
        <v>2</v>
      </c>
      <c r="D1923">
        <v>3</v>
      </c>
      <c r="E1923">
        <v>0</v>
      </c>
      <c r="F1923">
        <v>0</v>
      </c>
      <c r="G1923">
        <v>6863</v>
      </c>
      <c r="H1923">
        <v>0</v>
      </c>
      <c r="I1923">
        <v>0</v>
      </c>
    </row>
    <row r="1924" spans="1:9" x14ac:dyDescent="0.25">
      <c r="A1924">
        <v>26</v>
      </c>
      <c r="B1924">
        <v>0</v>
      </c>
      <c r="C1924">
        <v>10</v>
      </c>
      <c r="D1924">
        <v>4</v>
      </c>
      <c r="E1924">
        <v>0</v>
      </c>
      <c r="F1924">
        <v>0</v>
      </c>
      <c r="G1924">
        <v>16720</v>
      </c>
      <c r="H1924">
        <v>0</v>
      </c>
      <c r="I1924">
        <v>0</v>
      </c>
    </row>
    <row r="1925" spans="1:9" x14ac:dyDescent="0.25">
      <c r="A1925">
        <v>26</v>
      </c>
      <c r="B1925">
        <v>0</v>
      </c>
      <c r="C1925">
        <v>4</v>
      </c>
      <c r="D1925">
        <v>3</v>
      </c>
      <c r="E1925">
        <v>0</v>
      </c>
      <c r="F1925">
        <v>0</v>
      </c>
      <c r="G1925">
        <v>5688</v>
      </c>
      <c r="H1925">
        <v>0</v>
      </c>
      <c r="I1925">
        <v>0</v>
      </c>
    </row>
    <row r="1926" spans="1:9" x14ac:dyDescent="0.25">
      <c r="A1926">
        <v>26</v>
      </c>
      <c r="B1926">
        <v>0</v>
      </c>
      <c r="C1926">
        <v>2</v>
      </c>
      <c r="D1926">
        <v>3</v>
      </c>
      <c r="E1926">
        <v>0</v>
      </c>
      <c r="F1926">
        <v>0</v>
      </c>
      <c r="G1926">
        <v>9704</v>
      </c>
      <c r="H1926">
        <v>0</v>
      </c>
      <c r="I1926">
        <v>0</v>
      </c>
    </row>
    <row r="1927" spans="1:9" x14ac:dyDescent="0.25">
      <c r="A1927">
        <v>26</v>
      </c>
      <c r="B1927">
        <v>1</v>
      </c>
      <c r="C1927">
        <v>2</v>
      </c>
      <c r="D1927">
        <v>0</v>
      </c>
      <c r="E1927">
        <v>1</v>
      </c>
      <c r="F1927">
        <v>0</v>
      </c>
      <c r="G1927">
        <v>12019</v>
      </c>
      <c r="H1927">
        <v>0</v>
      </c>
      <c r="I1927">
        <v>0</v>
      </c>
    </row>
    <row r="1928" spans="1:9" x14ac:dyDescent="0.25">
      <c r="A1928">
        <v>26</v>
      </c>
      <c r="B1928">
        <v>1</v>
      </c>
      <c r="C1928">
        <v>3</v>
      </c>
      <c r="D1928">
        <v>3</v>
      </c>
      <c r="E1928">
        <v>0</v>
      </c>
      <c r="F1928">
        <v>0</v>
      </c>
      <c r="G1928">
        <v>17820</v>
      </c>
      <c r="H1928">
        <v>0</v>
      </c>
      <c r="I1928">
        <v>0</v>
      </c>
    </row>
    <row r="1929" spans="1:9" x14ac:dyDescent="0.25">
      <c r="A1929">
        <v>26</v>
      </c>
      <c r="B1929">
        <v>1</v>
      </c>
      <c r="C1929">
        <v>2</v>
      </c>
      <c r="D1929">
        <v>0</v>
      </c>
      <c r="E1929">
        <v>2</v>
      </c>
      <c r="F1929">
        <v>0</v>
      </c>
      <c r="G1929">
        <v>6621</v>
      </c>
      <c r="H1929">
        <v>0</v>
      </c>
      <c r="I1929">
        <v>0</v>
      </c>
    </row>
    <row r="1930" spans="1:9" x14ac:dyDescent="0.25">
      <c r="A1930">
        <v>26</v>
      </c>
      <c r="B1930">
        <v>0</v>
      </c>
      <c r="C1930">
        <v>6</v>
      </c>
      <c r="D1930">
        <v>1</v>
      </c>
      <c r="E1930">
        <v>0</v>
      </c>
      <c r="F1930">
        <v>0</v>
      </c>
      <c r="G1930">
        <v>8478</v>
      </c>
      <c r="H1930">
        <v>0</v>
      </c>
      <c r="I1930">
        <v>0</v>
      </c>
    </row>
    <row r="1931" spans="1:9" x14ac:dyDescent="0.25">
      <c r="A1931">
        <v>26</v>
      </c>
      <c r="B1931">
        <v>1</v>
      </c>
      <c r="C1931">
        <v>9</v>
      </c>
      <c r="D1931">
        <v>3</v>
      </c>
      <c r="E1931">
        <v>0</v>
      </c>
      <c r="F1931">
        <v>0</v>
      </c>
      <c r="G1931">
        <v>13507</v>
      </c>
      <c r="H1931">
        <v>0</v>
      </c>
      <c r="I1931">
        <v>0</v>
      </c>
    </row>
    <row r="1932" spans="1:9" x14ac:dyDescent="0.25">
      <c r="A1932">
        <v>26</v>
      </c>
      <c r="B1932">
        <v>1</v>
      </c>
      <c r="C1932">
        <v>2</v>
      </c>
      <c r="D1932">
        <v>0</v>
      </c>
      <c r="E1932">
        <v>1</v>
      </c>
      <c r="F1932">
        <v>0</v>
      </c>
      <c r="G1932">
        <v>6714</v>
      </c>
      <c r="H1932">
        <v>0</v>
      </c>
      <c r="I1932">
        <v>0</v>
      </c>
    </row>
    <row r="1933" spans="1:9" x14ac:dyDescent="0.25">
      <c r="A1933">
        <v>26</v>
      </c>
      <c r="B1933">
        <v>1</v>
      </c>
      <c r="C1933">
        <v>2</v>
      </c>
      <c r="D1933">
        <v>4</v>
      </c>
      <c r="E1933">
        <v>0</v>
      </c>
      <c r="F1933">
        <v>0</v>
      </c>
      <c r="G1933">
        <v>11134</v>
      </c>
      <c r="H1933">
        <v>0</v>
      </c>
      <c r="I1933">
        <v>0</v>
      </c>
    </row>
    <row r="1934" spans="1:9" x14ac:dyDescent="0.25">
      <c r="A1934">
        <v>26</v>
      </c>
      <c r="B1934">
        <v>0</v>
      </c>
      <c r="C1934">
        <v>3</v>
      </c>
      <c r="D1934">
        <v>0</v>
      </c>
      <c r="E1934">
        <v>0</v>
      </c>
      <c r="F1934">
        <v>0</v>
      </c>
      <c r="G1934">
        <v>15543</v>
      </c>
      <c r="H1934">
        <v>0</v>
      </c>
      <c r="I1934">
        <v>0</v>
      </c>
    </row>
    <row r="1935" spans="1:9" x14ac:dyDescent="0.25">
      <c r="A1935">
        <v>26</v>
      </c>
      <c r="B1935">
        <v>0</v>
      </c>
      <c r="C1935">
        <v>3</v>
      </c>
      <c r="D1935">
        <v>2</v>
      </c>
      <c r="E1935">
        <v>1</v>
      </c>
      <c r="F1935">
        <v>0</v>
      </c>
      <c r="G1935">
        <v>6228</v>
      </c>
      <c r="H1935">
        <v>0</v>
      </c>
      <c r="I1935">
        <v>0</v>
      </c>
    </row>
    <row r="1936" spans="1:9" x14ac:dyDescent="0.25">
      <c r="A1936">
        <v>26</v>
      </c>
      <c r="B1936">
        <v>1</v>
      </c>
      <c r="C1936">
        <v>1</v>
      </c>
      <c r="D1936">
        <v>0</v>
      </c>
      <c r="E1936">
        <v>2</v>
      </c>
      <c r="F1936">
        <v>0</v>
      </c>
      <c r="G1936">
        <v>4375</v>
      </c>
      <c r="H1936">
        <v>0</v>
      </c>
      <c r="I1936">
        <v>0</v>
      </c>
    </row>
    <row r="1937" spans="1:9" x14ac:dyDescent="0.25">
      <c r="A1937">
        <v>26</v>
      </c>
      <c r="B1937">
        <v>1</v>
      </c>
      <c r="C1937">
        <v>2</v>
      </c>
      <c r="D1937">
        <v>0</v>
      </c>
      <c r="E1937">
        <v>2</v>
      </c>
      <c r="F1937">
        <v>0</v>
      </c>
      <c r="G1937">
        <v>7064</v>
      </c>
      <c r="H1937">
        <v>0</v>
      </c>
      <c r="I1937">
        <v>0</v>
      </c>
    </row>
    <row r="1938" spans="1:9" x14ac:dyDescent="0.25">
      <c r="A1938">
        <v>26</v>
      </c>
      <c r="B1938">
        <v>0</v>
      </c>
      <c r="C1938">
        <v>2</v>
      </c>
      <c r="D1938">
        <v>1</v>
      </c>
      <c r="E1938">
        <v>0</v>
      </c>
      <c r="F1938">
        <v>0</v>
      </c>
      <c r="G1938">
        <v>6748</v>
      </c>
      <c r="H1938">
        <v>0</v>
      </c>
      <c r="I1938">
        <v>0</v>
      </c>
    </row>
    <row r="1939" spans="1:9" x14ac:dyDescent="0.25">
      <c r="A1939">
        <v>26</v>
      </c>
      <c r="B1939">
        <v>1</v>
      </c>
      <c r="C1939">
        <v>3</v>
      </c>
      <c r="D1939">
        <v>0</v>
      </c>
      <c r="E1939">
        <v>3</v>
      </c>
      <c r="F1939">
        <v>0</v>
      </c>
      <c r="G1939">
        <v>7589</v>
      </c>
      <c r="H1939">
        <v>0</v>
      </c>
      <c r="I1939">
        <v>0</v>
      </c>
    </row>
    <row r="1940" spans="1:9" x14ac:dyDescent="0.25">
      <c r="A1940">
        <v>26</v>
      </c>
      <c r="B1940">
        <v>0</v>
      </c>
      <c r="C1940">
        <v>2</v>
      </c>
      <c r="D1940">
        <v>0</v>
      </c>
      <c r="E1940">
        <v>2</v>
      </c>
      <c r="F1940">
        <v>0</v>
      </c>
      <c r="G1940">
        <v>13292</v>
      </c>
      <c r="H1940">
        <v>0</v>
      </c>
      <c r="I1940">
        <v>0</v>
      </c>
    </row>
    <row r="1941" spans="1:9" x14ac:dyDescent="0.25">
      <c r="A1941">
        <v>26</v>
      </c>
      <c r="B1941">
        <v>1</v>
      </c>
      <c r="C1941">
        <v>7</v>
      </c>
      <c r="D1941">
        <v>0</v>
      </c>
      <c r="E1941">
        <v>1</v>
      </c>
      <c r="F1941">
        <v>0</v>
      </c>
      <c r="G1941">
        <v>22862</v>
      </c>
      <c r="H1941">
        <v>0</v>
      </c>
      <c r="I1941">
        <v>0</v>
      </c>
    </row>
    <row r="1942" spans="1:9" x14ac:dyDescent="0.25">
      <c r="A1942">
        <v>26</v>
      </c>
      <c r="B1942">
        <v>1</v>
      </c>
      <c r="C1942">
        <v>3</v>
      </c>
      <c r="D1942">
        <v>0</v>
      </c>
      <c r="E1942">
        <v>4</v>
      </c>
      <c r="F1942">
        <v>0</v>
      </c>
      <c r="G1942">
        <v>7121</v>
      </c>
      <c r="H1942">
        <v>0</v>
      </c>
      <c r="I1942">
        <v>0</v>
      </c>
    </row>
    <row r="1943" spans="1:9" x14ac:dyDescent="0.25">
      <c r="A1943">
        <v>26</v>
      </c>
      <c r="B1943">
        <v>1</v>
      </c>
      <c r="C1943">
        <v>2</v>
      </c>
      <c r="D1943">
        <v>0</v>
      </c>
      <c r="E1943">
        <v>2</v>
      </c>
      <c r="F1943">
        <v>0</v>
      </c>
      <c r="G1943">
        <v>9384</v>
      </c>
      <c r="H1943">
        <v>0</v>
      </c>
      <c r="I1943">
        <v>0</v>
      </c>
    </row>
    <row r="1944" spans="1:9" x14ac:dyDescent="0.25">
      <c r="A1944">
        <v>26</v>
      </c>
      <c r="B1944">
        <v>1</v>
      </c>
      <c r="C1944">
        <v>3</v>
      </c>
      <c r="D1944">
        <v>0</v>
      </c>
      <c r="E1944">
        <v>3</v>
      </c>
      <c r="F1944">
        <v>0</v>
      </c>
      <c r="G1944">
        <v>8834</v>
      </c>
      <c r="H1944">
        <v>0</v>
      </c>
      <c r="I1944">
        <v>0</v>
      </c>
    </row>
    <row r="1945" spans="1:9" x14ac:dyDescent="0.25">
      <c r="A1945">
        <v>26</v>
      </c>
      <c r="B1945">
        <v>1</v>
      </c>
      <c r="C1945">
        <v>2</v>
      </c>
      <c r="D1945">
        <v>2</v>
      </c>
      <c r="E1945">
        <v>3</v>
      </c>
      <c r="F1945">
        <v>0</v>
      </c>
      <c r="G1945">
        <v>7942</v>
      </c>
      <c r="H1945">
        <v>0</v>
      </c>
      <c r="I1945">
        <v>0</v>
      </c>
    </row>
    <row r="1946" spans="1:9" x14ac:dyDescent="0.25">
      <c r="A1946">
        <v>26</v>
      </c>
      <c r="B1946">
        <v>1</v>
      </c>
      <c r="C1946">
        <v>3</v>
      </c>
      <c r="D1946">
        <v>0</v>
      </c>
      <c r="E1946">
        <v>1</v>
      </c>
      <c r="F1946">
        <v>0</v>
      </c>
      <c r="G1946">
        <v>18039</v>
      </c>
      <c r="H1946">
        <v>1</v>
      </c>
      <c r="I1946">
        <v>0</v>
      </c>
    </row>
    <row r="1947" spans="1:9" x14ac:dyDescent="0.25">
      <c r="A1947">
        <v>26</v>
      </c>
      <c r="B1947">
        <v>1</v>
      </c>
      <c r="C1947">
        <v>2</v>
      </c>
      <c r="D1947">
        <v>0</v>
      </c>
      <c r="E1947">
        <v>2</v>
      </c>
      <c r="F1947">
        <v>0</v>
      </c>
      <c r="G1947">
        <v>11141</v>
      </c>
      <c r="H1947">
        <v>1</v>
      </c>
      <c r="I1947">
        <v>0</v>
      </c>
    </row>
    <row r="1948" spans="1:9" x14ac:dyDescent="0.25">
      <c r="A1948">
        <v>26</v>
      </c>
      <c r="B1948">
        <v>1</v>
      </c>
      <c r="C1948">
        <v>2</v>
      </c>
      <c r="D1948">
        <v>0</v>
      </c>
      <c r="E1948">
        <v>1</v>
      </c>
      <c r="F1948">
        <v>0</v>
      </c>
      <c r="G1948">
        <v>14608</v>
      </c>
      <c r="H1948">
        <v>1</v>
      </c>
      <c r="I1948">
        <v>0</v>
      </c>
    </row>
    <row r="1949" spans="1:9" x14ac:dyDescent="0.25">
      <c r="A1949">
        <v>26</v>
      </c>
      <c r="B1949">
        <v>1</v>
      </c>
      <c r="C1949">
        <v>2</v>
      </c>
      <c r="D1949">
        <v>0</v>
      </c>
      <c r="E1949">
        <v>1</v>
      </c>
      <c r="F1949">
        <v>0</v>
      </c>
      <c r="G1949">
        <v>14161</v>
      </c>
      <c r="H1949">
        <v>1</v>
      </c>
      <c r="I1949">
        <v>0</v>
      </c>
    </row>
    <row r="1950" spans="1:9" x14ac:dyDescent="0.25">
      <c r="A1950">
        <v>26</v>
      </c>
      <c r="B1950">
        <v>1</v>
      </c>
      <c r="C1950">
        <v>2</v>
      </c>
      <c r="D1950">
        <v>0</v>
      </c>
      <c r="E1950">
        <v>5</v>
      </c>
      <c r="F1950">
        <v>0</v>
      </c>
      <c r="G1950">
        <v>11229</v>
      </c>
      <c r="H1950">
        <v>1</v>
      </c>
      <c r="I1950">
        <v>0</v>
      </c>
    </row>
    <row r="1951" spans="1:9" x14ac:dyDescent="0.25">
      <c r="A1951">
        <v>26</v>
      </c>
      <c r="B1951">
        <v>1</v>
      </c>
      <c r="C1951">
        <v>2</v>
      </c>
      <c r="D1951">
        <v>0</v>
      </c>
      <c r="E1951">
        <v>1</v>
      </c>
      <c r="F1951">
        <v>0</v>
      </c>
      <c r="G1951">
        <v>10555</v>
      </c>
      <c r="H1951">
        <v>1</v>
      </c>
      <c r="I1951">
        <v>0</v>
      </c>
    </row>
    <row r="1952" spans="1:9" x14ac:dyDescent="0.25">
      <c r="A1952">
        <v>26</v>
      </c>
      <c r="B1952">
        <v>1</v>
      </c>
      <c r="C1952">
        <v>3</v>
      </c>
      <c r="D1952">
        <v>0</v>
      </c>
      <c r="E1952">
        <v>1</v>
      </c>
      <c r="F1952">
        <v>0</v>
      </c>
      <c r="G1952">
        <v>11761</v>
      </c>
      <c r="H1952">
        <v>1</v>
      </c>
      <c r="I1952">
        <v>0</v>
      </c>
    </row>
    <row r="1953" spans="1:9" x14ac:dyDescent="0.25">
      <c r="A1953">
        <v>26</v>
      </c>
      <c r="B1953">
        <v>1</v>
      </c>
      <c r="C1953">
        <v>2</v>
      </c>
      <c r="D1953">
        <v>0</v>
      </c>
      <c r="E1953">
        <v>2</v>
      </c>
      <c r="F1953">
        <v>0</v>
      </c>
      <c r="G1953">
        <v>8879</v>
      </c>
      <c r="H1953">
        <v>1</v>
      </c>
      <c r="I1953">
        <v>0</v>
      </c>
    </row>
    <row r="1954" spans="1:9" x14ac:dyDescent="0.25">
      <c r="A1954">
        <v>26</v>
      </c>
      <c r="B1954">
        <v>1</v>
      </c>
      <c r="C1954">
        <v>2</v>
      </c>
      <c r="D1954">
        <v>0</v>
      </c>
      <c r="E1954">
        <v>1</v>
      </c>
      <c r="F1954">
        <v>0</v>
      </c>
      <c r="G1954">
        <v>6977</v>
      </c>
      <c r="H1954">
        <v>1</v>
      </c>
      <c r="I1954">
        <v>0</v>
      </c>
    </row>
    <row r="1955" spans="1:9" x14ac:dyDescent="0.25">
      <c r="A1955">
        <v>26</v>
      </c>
      <c r="B1955">
        <v>1</v>
      </c>
      <c r="C1955">
        <v>4</v>
      </c>
      <c r="D1955">
        <v>2</v>
      </c>
      <c r="E1955">
        <v>1</v>
      </c>
      <c r="F1955">
        <v>0</v>
      </c>
      <c r="G1955">
        <v>9177</v>
      </c>
      <c r="H1955">
        <v>1</v>
      </c>
      <c r="I1955">
        <v>0</v>
      </c>
    </row>
    <row r="1956" spans="1:9" x14ac:dyDescent="0.25">
      <c r="A1956">
        <v>25</v>
      </c>
      <c r="B1956">
        <v>1</v>
      </c>
      <c r="C1956">
        <v>2</v>
      </c>
      <c r="D1956">
        <v>0</v>
      </c>
      <c r="E1956">
        <v>1</v>
      </c>
      <c r="F1956">
        <v>0</v>
      </c>
      <c r="G1956">
        <v>5761</v>
      </c>
      <c r="H1956">
        <v>0</v>
      </c>
      <c r="I1956">
        <v>0</v>
      </c>
    </row>
    <row r="1957" spans="1:9" x14ac:dyDescent="0.25">
      <c r="A1957">
        <v>25</v>
      </c>
      <c r="B1957">
        <v>1</v>
      </c>
      <c r="C1957">
        <v>2</v>
      </c>
      <c r="D1957">
        <v>0</v>
      </c>
      <c r="E1957">
        <v>0</v>
      </c>
      <c r="F1957">
        <v>0</v>
      </c>
      <c r="G1957">
        <v>4800</v>
      </c>
      <c r="H1957">
        <v>0</v>
      </c>
      <c r="I1957">
        <v>0</v>
      </c>
    </row>
    <row r="1958" spans="1:9" x14ac:dyDescent="0.25">
      <c r="A1958">
        <v>25</v>
      </c>
      <c r="B1958">
        <v>0</v>
      </c>
      <c r="C1958">
        <v>13</v>
      </c>
      <c r="D1958">
        <v>1</v>
      </c>
      <c r="E1958">
        <v>0</v>
      </c>
      <c r="F1958">
        <v>0</v>
      </c>
      <c r="G1958">
        <v>20464</v>
      </c>
      <c r="H1958">
        <v>0</v>
      </c>
      <c r="I1958">
        <v>0</v>
      </c>
    </row>
    <row r="1959" spans="1:9" x14ac:dyDescent="0.25">
      <c r="A1959">
        <v>25</v>
      </c>
      <c r="B1959">
        <v>1</v>
      </c>
      <c r="C1959">
        <v>2</v>
      </c>
      <c r="D1959">
        <v>2</v>
      </c>
      <c r="E1959">
        <v>0</v>
      </c>
      <c r="F1959">
        <v>0</v>
      </c>
      <c r="G1959">
        <v>6203</v>
      </c>
      <c r="H1959">
        <v>0</v>
      </c>
      <c r="I1959">
        <v>0</v>
      </c>
    </row>
    <row r="1960" spans="1:9" x14ac:dyDescent="0.25">
      <c r="A1960">
        <v>25</v>
      </c>
      <c r="B1960">
        <v>1</v>
      </c>
      <c r="C1960">
        <v>2</v>
      </c>
      <c r="D1960">
        <v>0</v>
      </c>
      <c r="E1960">
        <v>1</v>
      </c>
      <c r="F1960">
        <v>0</v>
      </c>
      <c r="G1960">
        <v>14179</v>
      </c>
      <c r="H1960">
        <v>0</v>
      </c>
      <c r="I1960">
        <v>0</v>
      </c>
    </row>
    <row r="1961" spans="1:9" x14ac:dyDescent="0.25">
      <c r="A1961">
        <v>25</v>
      </c>
      <c r="B1961">
        <v>1</v>
      </c>
      <c r="C1961">
        <v>6</v>
      </c>
      <c r="D1961">
        <v>3</v>
      </c>
      <c r="E1961">
        <v>0</v>
      </c>
      <c r="F1961">
        <v>0</v>
      </c>
      <c r="G1961">
        <v>8712</v>
      </c>
      <c r="H1961">
        <v>0</v>
      </c>
      <c r="I1961">
        <v>0</v>
      </c>
    </row>
    <row r="1962" spans="1:9" x14ac:dyDescent="0.25">
      <c r="A1962">
        <v>25</v>
      </c>
      <c r="B1962">
        <v>1</v>
      </c>
      <c r="C1962">
        <v>3</v>
      </c>
      <c r="D1962">
        <v>0</v>
      </c>
      <c r="E1962">
        <v>1</v>
      </c>
      <c r="F1962">
        <v>0</v>
      </c>
      <c r="G1962">
        <v>8373</v>
      </c>
      <c r="H1962">
        <v>0</v>
      </c>
      <c r="I1962">
        <v>0</v>
      </c>
    </row>
    <row r="1963" spans="1:9" x14ac:dyDescent="0.25">
      <c r="A1963">
        <v>25</v>
      </c>
      <c r="B1963">
        <v>1</v>
      </c>
      <c r="C1963">
        <v>11</v>
      </c>
      <c r="D1963">
        <v>3</v>
      </c>
      <c r="E1963">
        <v>0</v>
      </c>
      <c r="F1963">
        <v>0</v>
      </c>
      <c r="G1963">
        <v>15310</v>
      </c>
      <c r="H1963">
        <v>0</v>
      </c>
      <c r="I1963">
        <v>0</v>
      </c>
    </row>
    <row r="1964" spans="1:9" x14ac:dyDescent="0.25">
      <c r="A1964">
        <v>25</v>
      </c>
      <c r="B1964">
        <v>1</v>
      </c>
      <c r="C1964">
        <v>3</v>
      </c>
      <c r="D1964">
        <v>1</v>
      </c>
      <c r="E1964">
        <v>0</v>
      </c>
      <c r="F1964">
        <v>0</v>
      </c>
      <c r="G1964">
        <v>11102</v>
      </c>
      <c r="H1964">
        <v>0</v>
      </c>
      <c r="I1964">
        <v>0</v>
      </c>
    </row>
    <row r="1965" spans="1:9" x14ac:dyDescent="0.25">
      <c r="A1965">
        <v>25</v>
      </c>
      <c r="B1965">
        <v>0</v>
      </c>
      <c r="C1965">
        <v>12</v>
      </c>
      <c r="D1965">
        <v>1</v>
      </c>
      <c r="E1965">
        <v>0</v>
      </c>
      <c r="F1965">
        <v>0</v>
      </c>
      <c r="G1965">
        <v>19955</v>
      </c>
      <c r="H1965">
        <v>0</v>
      </c>
      <c r="I1965">
        <v>0</v>
      </c>
    </row>
    <row r="1966" spans="1:9" x14ac:dyDescent="0.25">
      <c r="A1966">
        <v>25</v>
      </c>
      <c r="B1966">
        <v>0</v>
      </c>
      <c r="C1966">
        <v>5</v>
      </c>
      <c r="D1966">
        <v>3</v>
      </c>
      <c r="E1966">
        <v>0</v>
      </c>
      <c r="F1966">
        <v>0</v>
      </c>
      <c r="G1966">
        <v>10604</v>
      </c>
      <c r="H1966">
        <v>0</v>
      </c>
      <c r="I1966">
        <v>0</v>
      </c>
    </row>
    <row r="1967" spans="1:9" x14ac:dyDescent="0.25">
      <c r="A1967">
        <v>25</v>
      </c>
      <c r="B1967">
        <v>0</v>
      </c>
      <c r="C1967">
        <v>2</v>
      </c>
      <c r="D1967">
        <v>0</v>
      </c>
      <c r="E1967">
        <v>0</v>
      </c>
      <c r="F1967">
        <v>0</v>
      </c>
      <c r="G1967">
        <v>2787</v>
      </c>
      <c r="H1967">
        <v>0</v>
      </c>
      <c r="I1967">
        <v>0</v>
      </c>
    </row>
    <row r="1968" spans="1:9" x14ac:dyDescent="0.25">
      <c r="A1968">
        <v>25</v>
      </c>
      <c r="B1968">
        <v>1</v>
      </c>
      <c r="C1968">
        <v>2</v>
      </c>
      <c r="D1968">
        <v>0</v>
      </c>
      <c r="E1968">
        <v>3</v>
      </c>
      <c r="F1968">
        <v>0</v>
      </c>
      <c r="G1968">
        <v>8412</v>
      </c>
      <c r="H1968">
        <v>0</v>
      </c>
      <c r="I1968">
        <v>0</v>
      </c>
    </row>
    <row r="1969" spans="1:9" x14ac:dyDescent="0.25">
      <c r="A1969">
        <v>25</v>
      </c>
      <c r="B1969">
        <v>1</v>
      </c>
      <c r="C1969">
        <v>3</v>
      </c>
      <c r="D1969">
        <v>0</v>
      </c>
      <c r="E1969">
        <v>1</v>
      </c>
      <c r="F1969">
        <v>0</v>
      </c>
      <c r="G1969">
        <v>8267</v>
      </c>
      <c r="H1969">
        <v>0</v>
      </c>
      <c r="I1969">
        <v>0</v>
      </c>
    </row>
    <row r="1970" spans="1:9" x14ac:dyDescent="0.25">
      <c r="A1970">
        <v>25</v>
      </c>
      <c r="B1970">
        <v>1</v>
      </c>
      <c r="C1970">
        <v>1</v>
      </c>
      <c r="D1970">
        <v>0</v>
      </c>
      <c r="E1970">
        <v>0</v>
      </c>
      <c r="F1970">
        <v>0</v>
      </c>
      <c r="G1970">
        <v>9207</v>
      </c>
      <c r="H1970">
        <v>0</v>
      </c>
      <c r="I1970">
        <v>0</v>
      </c>
    </row>
    <row r="1971" spans="1:9" x14ac:dyDescent="0.25">
      <c r="A1971">
        <v>25</v>
      </c>
      <c r="B1971">
        <v>1</v>
      </c>
      <c r="C1971">
        <v>7</v>
      </c>
      <c r="D1971">
        <v>4</v>
      </c>
      <c r="E1971">
        <v>0</v>
      </c>
      <c r="F1971">
        <v>0</v>
      </c>
      <c r="G1971">
        <v>11697</v>
      </c>
      <c r="H1971">
        <v>0</v>
      </c>
      <c r="I1971">
        <v>0</v>
      </c>
    </row>
    <row r="1972" spans="1:9" x14ac:dyDescent="0.25">
      <c r="A1972">
        <v>25</v>
      </c>
      <c r="B1972">
        <v>1</v>
      </c>
      <c r="C1972">
        <v>2</v>
      </c>
      <c r="D1972">
        <v>0</v>
      </c>
      <c r="E1972">
        <v>1</v>
      </c>
      <c r="F1972">
        <v>0</v>
      </c>
      <c r="G1972">
        <v>6487</v>
      </c>
      <c r="H1972">
        <v>0</v>
      </c>
      <c r="I1972">
        <v>0</v>
      </c>
    </row>
    <row r="1973" spans="1:9" x14ac:dyDescent="0.25">
      <c r="A1973">
        <v>25</v>
      </c>
      <c r="B1973">
        <v>0</v>
      </c>
      <c r="C1973">
        <v>8</v>
      </c>
      <c r="D1973">
        <v>2</v>
      </c>
      <c r="E1973">
        <v>0</v>
      </c>
      <c r="F1973">
        <v>0</v>
      </c>
      <c r="G1973">
        <v>13274</v>
      </c>
      <c r="H1973">
        <v>0</v>
      </c>
      <c r="I1973">
        <v>0</v>
      </c>
    </row>
    <row r="1974" spans="1:9" x14ac:dyDescent="0.25">
      <c r="A1974">
        <v>25</v>
      </c>
      <c r="B1974">
        <v>1</v>
      </c>
      <c r="C1974">
        <v>1</v>
      </c>
      <c r="D1974">
        <v>0</v>
      </c>
      <c r="E1974">
        <v>1</v>
      </c>
      <c r="F1974">
        <v>0</v>
      </c>
      <c r="G1974">
        <v>10023</v>
      </c>
      <c r="H1974">
        <v>0</v>
      </c>
      <c r="I1974">
        <v>0</v>
      </c>
    </row>
    <row r="1975" spans="1:9" x14ac:dyDescent="0.25">
      <c r="A1975">
        <v>25</v>
      </c>
      <c r="B1975">
        <v>1</v>
      </c>
      <c r="C1975">
        <v>2</v>
      </c>
      <c r="D1975">
        <v>0</v>
      </c>
      <c r="E1975">
        <v>1</v>
      </c>
      <c r="F1975">
        <v>0</v>
      </c>
      <c r="G1975">
        <v>9053</v>
      </c>
      <c r="H1975">
        <v>0</v>
      </c>
      <c r="I1975">
        <v>0</v>
      </c>
    </row>
    <row r="1976" spans="1:9" x14ac:dyDescent="0.25">
      <c r="A1976">
        <v>25</v>
      </c>
      <c r="B1976">
        <v>1</v>
      </c>
      <c r="C1976">
        <v>3</v>
      </c>
      <c r="D1976">
        <v>3</v>
      </c>
      <c r="E1976">
        <v>4</v>
      </c>
      <c r="F1976">
        <v>0</v>
      </c>
      <c r="G1976">
        <v>9295</v>
      </c>
      <c r="H1976">
        <v>0</v>
      </c>
      <c r="I1976">
        <v>0</v>
      </c>
    </row>
    <row r="1977" spans="1:9" x14ac:dyDescent="0.25">
      <c r="A1977">
        <v>25</v>
      </c>
      <c r="B1977">
        <v>1</v>
      </c>
      <c r="C1977">
        <v>3</v>
      </c>
      <c r="D1977">
        <v>0</v>
      </c>
      <c r="E1977">
        <v>2</v>
      </c>
      <c r="F1977">
        <v>0</v>
      </c>
      <c r="G1977">
        <v>10004</v>
      </c>
      <c r="H1977">
        <v>0</v>
      </c>
      <c r="I1977">
        <v>0</v>
      </c>
    </row>
    <row r="1978" spans="1:9" x14ac:dyDescent="0.25">
      <c r="A1978">
        <v>25</v>
      </c>
      <c r="B1978">
        <v>1</v>
      </c>
      <c r="C1978">
        <v>2</v>
      </c>
      <c r="D1978">
        <v>0</v>
      </c>
      <c r="E1978">
        <v>1</v>
      </c>
      <c r="F1978">
        <v>0</v>
      </c>
      <c r="G1978">
        <v>4937</v>
      </c>
      <c r="H1978">
        <v>0</v>
      </c>
      <c r="I1978">
        <v>0</v>
      </c>
    </row>
    <row r="1979" spans="1:9" x14ac:dyDescent="0.25">
      <c r="A1979">
        <v>25</v>
      </c>
      <c r="B1979">
        <v>1</v>
      </c>
      <c r="C1979">
        <v>2</v>
      </c>
      <c r="D1979">
        <v>0</v>
      </c>
      <c r="E1979">
        <v>2</v>
      </c>
      <c r="F1979">
        <v>0</v>
      </c>
      <c r="G1979">
        <v>5531</v>
      </c>
      <c r="H1979">
        <v>0</v>
      </c>
      <c r="I1979">
        <v>0</v>
      </c>
    </row>
    <row r="1980" spans="1:9" x14ac:dyDescent="0.25">
      <c r="A1980">
        <v>25</v>
      </c>
      <c r="B1980">
        <v>1</v>
      </c>
      <c r="C1980">
        <v>2</v>
      </c>
      <c r="D1980">
        <v>0</v>
      </c>
      <c r="E1980">
        <v>3</v>
      </c>
      <c r="F1980">
        <v>0</v>
      </c>
      <c r="G1980">
        <v>6954</v>
      </c>
      <c r="H1980">
        <v>0</v>
      </c>
      <c r="I1980">
        <v>0</v>
      </c>
    </row>
    <row r="1981" spans="1:9" x14ac:dyDescent="0.25">
      <c r="A1981">
        <v>25</v>
      </c>
      <c r="B1981">
        <v>1</v>
      </c>
      <c r="C1981">
        <v>3</v>
      </c>
      <c r="D1981">
        <v>2</v>
      </c>
      <c r="E1981">
        <v>2</v>
      </c>
      <c r="F1981">
        <v>0</v>
      </c>
      <c r="G1981">
        <v>10587</v>
      </c>
      <c r="H1981">
        <v>0</v>
      </c>
      <c r="I1981">
        <v>0</v>
      </c>
    </row>
    <row r="1982" spans="1:9" x14ac:dyDescent="0.25">
      <c r="A1982">
        <v>25</v>
      </c>
      <c r="B1982">
        <v>1</v>
      </c>
      <c r="C1982">
        <v>2</v>
      </c>
      <c r="D1982">
        <v>0</v>
      </c>
      <c r="E1982">
        <v>3</v>
      </c>
      <c r="F1982">
        <v>0</v>
      </c>
      <c r="G1982">
        <v>7392</v>
      </c>
      <c r="H1982">
        <v>0</v>
      </c>
      <c r="I1982">
        <v>0</v>
      </c>
    </row>
    <row r="1983" spans="1:9" x14ac:dyDescent="0.25">
      <c r="A1983">
        <v>25</v>
      </c>
      <c r="B1983">
        <v>1</v>
      </c>
      <c r="C1983">
        <v>3</v>
      </c>
      <c r="D1983">
        <v>0</v>
      </c>
      <c r="E1983">
        <v>1</v>
      </c>
      <c r="F1983">
        <v>0</v>
      </c>
      <c r="G1983">
        <v>8014</v>
      </c>
      <c r="H1983">
        <v>0</v>
      </c>
      <c r="I1983">
        <v>0</v>
      </c>
    </row>
    <row r="1984" spans="1:9" x14ac:dyDescent="0.25">
      <c r="A1984">
        <v>25</v>
      </c>
      <c r="B1984">
        <v>1</v>
      </c>
      <c r="C1984">
        <v>2</v>
      </c>
      <c r="D1984">
        <v>0</v>
      </c>
      <c r="E1984">
        <v>2</v>
      </c>
      <c r="F1984">
        <v>0</v>
      </c>
      <c r="G1984">
        <v>9095</v>
      </c>
      <c r="H1984">
        <v>0</v>
      </c>
      <c r="I1984">
        <v>0</v>
      </c>
    </row>
    <row r="1985" spans="1:9" x14ac:dyDescent="0.25">
      <c r="A1985">
        <v>25</v>
      </c>
      <c r="B1985">
        <v>1</v>
      </c>
      <c r="C1985">
        <v>3</v>
      </c>
      <c r="D1985">
        <v>0</v>
      </c>
      <c r="E1985">
        <v>1</v>
      </c>
      <c r="F1985">
        <v>0</v>
      </c>
      <c r="G1985">
        <v>16135</v>
      </c>
      <c r="H1985">
        <v>1</v>
      </c>
      <c r="I1985">
        <v>0</v>
      </c>
    </row>
    <row r="1986" spans="1:9" x14ac:dyDescent="0.25">
      <c r="A1986">
        <v>25</v>
      </c>
      <c r="B1986">
        <v>1</v>
      </c>
      <c r="C1986">
        <v>2</v>
      </c>
      <c r="D1986">
        <v>0</v>
      </c>
      <c r="E1986">
        <v>2</v>
      </c>
      <c r="F1986">
        <v>0</v>
      </c>
      <c r="G1986">
        <v>11411</v>
      </c>
      <c r="H1986">
        <v>1</v>
      </c>
      <c r="I1986">
        <v>0</v>
      </c>
    </row>
    <row r="1987" spans="1:9" x14ac:dyDescent="0.25">
      <c r="A1987">
        <v>25</v>
      </c>
      <c r="B1987">
        <v>1</v>
      </c>
      <c r="C1987">
        <v>7</v>
      </c>
      <c r="D1987">
        <v>3</v>
      </c>
      <c r="E1987">
        <v>1</v>
      </c>
      <c r="F1987">
        <v>0</v>
      </c>
      <c r="G1987">
        <v>21128</v>
      </c>
      <c r="H1987">
        <v>1</v>
      </c>
      <c r="I1987">
        <v>0</v>
      </c>
    </row>
    <row r="1988" spans="1:9" x14ac:dyDescent="0.25">
      <c r="A1988">
        <v>25</v>
      </c>
      <c r="B1988">
        <v>1</v>
      </c>
      <c r="C1988">
        <v>3</v>
      </c>
      <c r="D1988">
        <v>1</v>
      </c>
      <c r="E1988">
        <v>1</v>
      </c>
      <c r="F1988">
        <v>0</v>
      </c>
      <c r="G1988">
        <v>11698</v>
      </c>
      <c r="H1988">
        <v>1</v>
      </c>
      <c r="I1988">
        <v>0</v>
      </c>
    </row>
    <row r="1989" spans="1:9" x14ac:dyDescent="0.25">
      <c r="A1989">
        <v>25</v>
      </c>
      <c r="B1989">
        <v>1</v>
      </c>
      <c r="C1989">
        <v>2</v>
      </c>
      <c r="D1989">
        <v>0</v>
      </c>
      <c r="E1989">
        <v>1</v>
      </c>
      <c r="F1989">
        <v>0</v>
      </c>
      <c r="G1989">
        <v>11864</v>
      </c>
      <c r="H1989">
        <v>1</v>
      </c>
      <c r="I1989">
        <v>0</v>
      </c>
    </row>
    <row r="1990" spans="1:9" x14ac:dyDescent="0.25">
      <c r="A1990">
        <v>25</v>
      </c>
      <c r="B1990">
        <v>1</v>
      </c>
      <c r="C1990">
        <v>3</v>
      </c>
      <c r="D1990">
        <v>0</v>
      </c>
      <c r="E1990">
        <v>1</v>
      </c>
      <c r="F1990">
        <v>0</v>
      </c>
      <c r="G1990">
        <v>14242</v>
      </c>
      <c r="H1990">
        <v>1</v>
      </c>
      <c r="I1990">
        <v>0</v>
      </c>
    </row>
    <row r="1991" spans="1:9" x14ac:dyDescent="0.25">
      <c r="A1991">
        <v>25</v>
      </c>
      <c r="B1991">
        <v>1</v>
      </c>
      <c r="C1991">
        <v>2</v>
      </c>
      <c r="D1991">
        <v>0</v>
      </c>
      <c r="E1991">
        <v>3</v>
      </c>
      <c r="F1991">
        <v>0</v>
      </c>
      <c r="G1991">
        <v>11208</v>
      </c>
      <c r="H1991">
        <v>1</v>
      </c>
      <c r="I1991">
        <v>0</v>
      </c>
    </row>
    <row r="1992" spans="1:9" x14ac:dyDescent="0.25">
      <c r="A1992">
        <v>25</v>
      </c>
      <c r="B1992">
        <v>1</v>
      </c>
      <c r="C1992">
        <v>3</v>
      </c>
      <c r="D1992">
        <v>1</v>
      </c>
      <c r="E1992">
        <v>1</v>
      </c>
      <c r="F1992">
        <v>0</v>
      </c>
      <c r="G1992">
        <v>9685</v>
      </c>
      <c r="H1992">
        <v>1</v>
      </c>
      <c r="I1992">
        <v>0</v>
      </c>
    </row>
    <row r="1993" spans="1:9" x14ac:dyDescent="0.25">
      <c r="A1993">
        <v>24</v>
      </c>
      <c r="B1993">
        <v>0</v>
      </c>
      <c r="C1993">
        <v>3</v>
      </c>
      <c r="D1993">
        <v>4</v>
      </c>
      <c r="E1993">
        <v>0</v>
      </c>
      <c r="F1993">
        <v>0</v>
      </c>
      <c r="G1993">
        <v>3938</v>
      </c>
      <c r="H1993">
        <v>0</v>
      </c>
      <c r="I1993">
        <v>0</v>
      </c>
    </row>
    <row r="1994" spans="1:9" x14ac:dyDescent="0.25">
      <c r="A1994">
        <v>24</v>
      </c>
      <c r="B1994">
        <v>1</v>
      </c>
      <c r="C1994">
        <v>2</v>
      </c>
      <c r="D1994">
        <v>0</v>
      </c>
      <c r="E1994">
        <v>2</v>
      </c>
      <c r="F1994">
        <v>0</v>
      </c>
      <c r="G1994">
        <v>7086</v>
      </c>
      <c r="H1994">
        <v>0</v>
      </c>
      <c r="I1994">
        <v>0</v>
      </c>
    </row>
    <row r="1995" spans="1:9" x14ac:dyDescent="0.25">
      <c r="A1995">
        <v>24</v>
      </c>
      <c r="B1995">
        <v>1</v>
      </c>
      <c r="C1995">
        <v>2</v>
      </c>
      <c r="D1995">
        <v>0</v>
      </c>
      <c r="E1995">
        <v>1</v>
      </c>
      <c r="F1995">
        <v>0</v>
      </c>
      <c r="G1995">
        <v>5512</v>
      </c>
      <c r="H1995">
        <v>0</v>
      </c>
      <c r="I1995">
        <v>0</v>
      </c>
    </row>
    <row r="1996" spans="1:9" x14ac:dyDescent="0.25">
      <c r="A1996">
        <v>24</v>
      </c>
      <c r="B1996">
        <v>1</v>
      </c>
      <c r="C1996">
        <v>13</v>
      </c>
      <c r="D1996">
        <v>3</v>
      </c>
      <c r="E1996">
        <v>0</v>
      </c>
      <c r="F1996">
        <v>0</v>
      </c>
      <c r="G1996">
        <v>18412</v>
      </c>
      <c r="H1996">
        <v>0</v>
      </c>
      <c r="I1996">
        <v>0</v>
      </c>
    </row>
    <row r="1997" spans="1:9" x14ac:dyDescent="0.25">
      <c r="A1997">
        <v>24</v>
      </c>
      <c r="B1997">
        <v>0</v>
      </c>
      <c r="C1997">
        <v>7</v>
      </c>
      <c r="D1997">
        <v>2</v>
      </c>
      <c r="E1997">
        <v>0</v>
      </c>
      <c r="F1997">
        <v>0</v>
      </c>
      <c r="G1997">
        <v>12146</v>
      </c>
      <c r="H1997">
        <v>0</v>
      </c>
      <c r="I1997">
        <v>0</v>
      </c>
    </row>
    <row r="1998" spans="1:9" x14ac:dyDescent="0.25">
      <c r="A1998">
        <v>24</v>
      </c>
      <c r="B1998">
        <v>0</v>
      </c>
      <c r="C1998">
        <v>7</v>
      </c>
      <c r="D1998">
        <v>1</v>
      </c>
      <c r="E1998">
        <v>0</v>
      </c>
      <c r="F1998">
        <v>0</v>
      </c>
      <c r="G1998">
        <v>10408</v>
      </c>
      <c r="H1998">
        <v>0</v>
      </c>
      <c r="I1998">
        <v>0</v>
      </c>
    </row>
    <row r="1999" spans="1:9" x14ac:dyDescent="0.25">
      <c r="A1999">
        <v>24</v>
      </c>
      <c r="B1999">
        <v>1</v>
      </c>
      <c r="C1999">
        <v>2</v>
      </c>
      <c r="D1999">
        <v>0</v>
      </c>
      <c r="E1999">
        <v>2</v>
      </c>
      <c r="F1999">
        <v>0</v>
      </c>
      <c r="G1999">
        <v>5975</v>
      </c>
      <c r="H1999">
        <v>0</v>
      </c>
      <c r="I1999">
        <v>0</v>
      </c>
    </row>
    <row r="2000" spans="1:9" x14ac:dyDescent="0.25">
      <c r="A2000">
        <v>24</v>
      </c>
      <c r="B2000">
        <v>1</v>
      </c>
      <c r="C2000">
        <v>4</v>
      </c>
      <c r="D2000">
        <v>0</v>
      </c>
      <c r="E2000">
        <v>0</v>
      </c>
      <c r="F2000">
        <v>0</v>
      </c>
      <c r="G2000">
        <v>6180</v>
      </c>
      <c r="H2000">
        <v>0</v>
      </c>
      <c r="I2000">
        <v>0</v>
      </c>
    </row>
    <row r="2001" spans="1:9" x14ac:dyDescent="0.25">
      <c r="A2001">
        <v>24</v>
      </c>
      <c r="B2001">
        <v>0</v>
      </c>
      <c r="C2001">
        <v>2</v>
      </c>
      <c r="D2001">
        <v>3</v>
      </c>
      <c r="E2001">
        <v>0</v>
      </c>
      <c r="F2001">
        <v>0</v>
      </c>
      <c r="G2001">
        <v>11018</v>
      </c>
      <c r="H2001">
        <v>0</v>
      </c>
      <c r="I2001">
        <v>0</v>
      </c>
    </row>
    <row r="2002" spans="1:9" x14ac:dyDescent="0.25">
      <c r="A2002">
        <v>24</v>
      </c>
      <c r="B2002">
        <v>1</v>
      </c>
      <c r="C2002">
        <v>3</v>
      </c>
      <c r="D2002">
        <v>0</v>
      </c>
      <c r="E2002">
        <v>0</v>
      </c>
      <c r="F2002">
        <v>0</v>
      </c>
      <c r="G2002">
        <v>5348</v>
      </c>
      <c r="H2002">
        <v>0</v>
      </c>
      <c r="I2002">
        <v>0</v>
      </c>
    </row>
    <row r="2003" spans="1:9" x14ac:dyDescent="0.25">
      <c r="A2003">
        <v>24</v>
      </c>
      <c r="B2003">
        <v>1</v>
      </c>
      <c r="C2003">
        <v>3</v>
      </c>
      <c r="D2003">
        <v>0</v>
      </c>
      <c r="E2003">
        <v>2</v>
      </c>
      <c r="F2003">
        <v>0</v>
      </c>
      <c r="G2003">
        <v>6732</v>
      </c>
      <c r="H2003">
        <v>0</v>
      </c>
      <c r="I2003">
        <v>0</v>
      </c>
    </row>
    <row r="2004" spans="1:9" x14ac:dyDescent="0.25">
      <c r="A2004">
        <v>24</v>
      </c>
      <c r="B2004">
        <v>1</v>
      </c>
      <c r="C2004">
        <v>17</v>
      </c>
      <c r="D2004">
        <v>1</v>
      </c>
      <c r="E2004">
        <v>0</v>
      </c>
      <c r="F2004">
        <v>0</v>
      </c>
      <c r="G2004">
        <v>27318</v>
      </c>
      <c r="H2004">
        <v>0</v>
      </c>
      <c r="I2004">
        <v>0</v>
      </c>
    </row>
    <row r="2005" spans="1:9" x14ac:dyDescent="0.25">
      <c r="A2005">
        <v>24</v>
      </c>
      <c r="B2005">
        <v>1</v>
      </c>
      <c r="C2005">
        <v>3</v>
      </c>
      <c r="D2005">
        <v>0</v>
      </c>
      <c r="E2005">
        <v>2</v>
      </c>
      <c r="F2005">
        <v>0</v>
      </c>
      <c r="G2005">
        <v>10283</v>
      </c>
      <c r="H2005">
        <v>0</v>
      </c>
      <c r="I2005">
        <v>0</v>
      </c>
    </row>
    <row r="2006" spans="1:9" x14ac:dyDescent="0.25">
      <c r="A2006">
        <v>24</v>
      </c>
      <c r="B2006">
        <v>0</v>
      </c>
      <c r="C2006">
        <v>14</v>
      </c>
      <c r="D2006">
        <v>3</v>
      </c>
      <c r="E2006">
        <v>0</v>
      </c>
      <c r="F2006">
        <v>0</v>
      </c>
      <c r="G2006">
        <v>20833</v>
      </c>
      <c r="H2006">
        <v>0</v>
      </c>
      <c r="I2006">
        <v>0</v>
      </c>
    </row>
    <row r="2007" spans="1:9" x14ac:dyDescent="0.25">
      <c r="A2007">
        <v>24</v>
      </c>
      <c r="B2007">
        <v>1</v>
      </c>
      <c r="C2007">
        <v>2</v>
      </c>
      <c r="D2007">
        <v>0</v>
      </c>
      <c r="E2007">
        <v>0</v>
      </c>
      <c r="F2007">
        <v>0</v>
      </c>
      <c r="G2007">
        <v>8764</v>
      </c>
      <c r="H2007">
        <v>0</v>
      </c>
      <c r="I2007">
        <v>0</v>
      </c>
    </row>
    <row r="2008" spans="1:9" x14ac:dyDescent="0.25">
      <c r="A2008">
        <v>24</v>
      </c>
      <c r="B2008">
        <v>1</v>
      </c>
      <c r="C2008">
        <v>4</v>
      </c>
      <c r="D2008">
        <v>1</v>
      </c>
      <c r="E2008">
        <v>0</v>
      </c>
      <c r="F2008">
        <v>0</v>
      </c>
      <c r="G2008">
        <v>8160</v>
      </c>
      <c r="H2008">
        <v>0</v>
      </c>
      <c r="I2008">
        <v>0</v>
      </c>
    </row>
    <row r="2009" spans="1:9" x14ac:dyDescent="0.25">
      <c r="A2009">
        <v>24</v>
      </c>
      <c r="B2009">
        <v>1</v>
      </c>
      <c r="C2009">
        <v>2</v>
      </c>
      <c r="D2009">
        <v>0</v>
      </c>
      <c r="E2009">
        <v>1</v>
      </c>
      <c r="F2009">
        <v>0</v>
      </c>
      <c r="G2009">
        <v>6671</v>
      </c>
      <c r="H2009">
        <v>0</v>
      </c>
      <c r="I2009">
        <v>0</v>
      </c>
    </row>
    <row r="2010" spans="1:9" x14ac:dyDescent="0.25">
      <c r="A2010">
        <v>24</v>
      </c>
      <c r="B2010">
        <v>1</v>
      </c>
      <c r="C2010">
        <v>2</v>
      </c>
      <c r="D2010">
        <v>0</v>
      </c>
      <c r="E2010">
        <v>1</v>
      </c>
      <c r="F2010">
        <v>0</v>
      </c>
      <c r="G2010">
        <v>6592</v>
      </c>
      <c r="H2010">
        <v>0</v>
      </c>
      <c r="I2010">
        <v>0</v>
      </c>
    </row>
    <row r="2011" spans="1:9" x14ac:dyDescent="0.25">
      <c r="A2011">
        <v>24</v>
      </c>
      <c r="B2011">
        <v>1</v>
      </c>
      <c r="C2011">
        <v>3</v>
      </c>
      <c r="D2011">
        <v>0</v>
      </c>
      <c r="E2011">
        <v>1</v>
      </c>
      <c r="F2011">
        <v>0</v>
      </c>
      <c r="G2011">
        <v>8366</v>
      </c>
      <c r="H2011">
        <v>0</v>
      </c>
      <c r="I2011">
        <v>0</v>
      </c>
    </row>
    <row r="2012" spans="1:9" x14ac:dyDescent="0.25">
      <c r="A2012">
        <v>24</v>
      </c>
      <c r="B2012">
        <v>1</v>
      </c>
      <c r="C2012">
        <v>5</v>
      </c>
      <c r="D2012">
        <v>4</v>
      </c>
      <c r="E2012">
        <v>0</v>
      </c>
      <c r="F2012">
        <v>0</v>
      </c>
      <c r="G2012">
        <v>9128</v>
      </c>
      <c r="H2012">
        <v>0</v>
      </c>
      <c r="I2012">
        <v>0</v>
      </c>
    </row>
    <row r="2013" spans="1:9" x14ac:dyDescent="0.25">
      <c r="A2013">
        <v>24</v>
      </c>
      <c r="B2013">
        <v>1</v>
      </c>
      <c r="C2013">
        <v>2</v>
      </c>
      <c r="D2013">
        <v>2</v>
      </c>
      <c r="E2013">
        <v>1</v>
      </c>
      <c r="F2013">
        <v>0</v>
      </c>
      <c r="G2013">
        <v>7305</v>
      </c>
      <c r="H2013">
        <v>0</v>
      </c>
      <c r="I2013">
        <v>0</v>
      </c>
    </row>
    <row r="2014" spans="1:9" x14ac:dyDescent="0.25">
      <c r="A2014">
        <v>24</v>
      </c>
      <c r="B2014">
        <v>1</v>
      </c>
      <c r="C2014">
        <v>3</v>
      </c>
      <c r="D2014">
        <v>0</v>
      </c>
      <c r="E2014">
        <v>3</v>
      </c>
      <c r="F2014">
        <v>0</v>
      </c>
      <c r="G2014">
        <v>12280</v>
      </c>
      <c r="H2014">
        <v>0</v>
      </c>
      <c r="I2014">
        <v>0</v>
      </c>
    </row>
    <row r="2015" spans="1:9" x14ac:dyDescent="0.25">
      <c r="A2015">
        <v>24</v>
      </c>
      <c r="B2015">
        <v>1</v>
      </c>
      <c r="C2015">
        <v>4</v>
      </c>
      <c r="D2015">
        <v>0</v>
      </c>
      <c r="E2015">
        <v>2</v>
      </c>
      <c r="F2015">
        <v>0</v>
      </c>
      <c r="G2015">
        <v>15492</v>
      </c>
      <c r="H2015">
        <v>0</v>
      </c>
      <c r="I2015">
        <v>0</v>
      </c>
    </row>
    <row r="2016" spans="1:9" x14ac:dyDescent="0.25">
      <c r="A2016">
        <v>24</v>
      </c>
      <c r="B2016">
        <v>1</v>
      </c>
      <c r="C2016">
        <v>2</v>
      </c>
      <c r="D2016">
        <v>0</v>
      </c>
      <c r="E2016">
        <v>2</v>
      </c>
      <c r="F2016">
        <v>0</v>
      </c>
      <c r="G2016">
        <v>10740</v>
      </c>
      <c r="H2016">
        <v>0</v>
      </c>
      <c r="I2016">
        <v>0</v>
      </c>
    </row>
    <row r="2017" spans="1:9" x14ac:dyDescent="0.25">
      <c r="A2017">
        <v>24</v>
      </c>
      <c r="B2017">
        <v>1</v>
      </c>
      <c r="C2017">
        <v>3</v>
      </c>
      <c r="D2017">
        <v>0</v>
      </c>
      <c r="E2017">
        <v>5</v>
      </c>
      <c r="F2017">
        <v>0</v>
      </c>
      <c r="G2017">
        <v>7886</v>
      </c>
      <c r="H2017">
        <v>0</v>
      </c>
      <c r="I2017">
        <v>0</v>
      </c>
    </row>
    <row r="2018" spans="1:9" x14ac:dyDescent="0.25">
      <c r="A2018">
        <v>24</v>
      </c>
      <c r="B2018">
        <v>1</v>
      </c>
      <c r="C2018">
        <v>3</v>
      </c>
      <c r="D2018">
        <v>0</v>
      </c>
      <c r="E2018">
        <v>2</v>
      </c>
      <c r="F2018">
        <v>0</v>
      </c>
      <c r="G2018">
        <v>8601</v>
      </c>
      <c r="H2018">
        <v>0</v>
      </c>
      <c r="I2018">
        <v>0</v>
      </c>
    </row>
    <row r="2019" spans="1:9" x14ac:dyDescent="0.25">
      <c r="A2019">
        <v>24</v>
      </c>
      <c r="B2019">
        <v>1</v>
      </c>
      <c r="C2019">
        <v>2</v>
      </c>
      <c r="D2019">
        <v>1</v>
      </c>
      <c r="E2019">
        <v>1</v>
      </c>
      <c r="F2019">
        <v>0</v>
      </c>
      <c r="G2019">
        <v>8731</v>
      </c>
      <c r="H2019">
        <v>0</v>
      </c>
      <c r="I2019">
        <v>0</v>
      </c>
    </row>
    <row r="2020" spans="1:9" x14ac:dyDescent="0.25">
      <c r="A2020">
        <v>24</v>
      </c>
      <c r="B2020">
        <v>1</v>
      </c>
      <c r="C2020">
        <v>2</v>
      </c>
      <c r="D2020">
        <v>3</v>
      </c>
      <c r="E2020">
        <v>0</v>
      </c>
      <c r="F2020">
        <v>0</v>
      </c>
      <c r="G2020">
        <v>9316</v>
      </c>
      <c r="H2020">
        <v>0</v>
      </c>
      <c r="I2020">
        <v>0</v>
      </c>
    </row>
    <row r="2021" spans="1:9" x14ac:dyDescent="0.25">
      <c r="A2021">
        <v>24</v>
      </c>
      <c r="B2021">
        <v>1</v>
      </c>
      <c r="C2021">
        <v>2</v>
      </c>
      <c r="D2021">
        <v>0</v>
      </c>
      <c r="E2021">
        <v>4</v>
      </c>
      <c r="F2021">
        <v>0</v>
      </c>
      <c r="G2021">
        <v>9112</v>
      </c>
      <c r="H2021">
        <v>0</v>
      </c>
      <c r="I2021">
        <v>0</v>
      </c>
    </row>
    <row r="2022" spans="1:9" x14ac:dyDescent="0.25">
      <c r="A2022">
        <v>24</v>
      </c>
      <c r="B2022">
        <v>1</v>
      </c>
      <c r="C2022">
        <v>2</v>
      </c>
      <c r="D2022">
        <v>0</v>
      </c>
      <c r="E2022">
        <v>1</v>
      </c>
      <c r="F2022">
        <v>0</v>
      </c>
      <c r="G2022">
        <v>5797</v>
      </c>
      <c r="H2022">
        <v>0</v>
      </c>
      <c r="I2022">
        <v>0</v>
      </c>
    </row>
    <row r="2023" spans="1:9" x14ac:dyDescent="0.25">
      <c r="A2023">
        <v>24</v>
      </c>
      <c r="B2023">
        <v>1</v>
      </c>
      <c r="C2023">
        <v>2</v>
      </c>
      <c r="D2023">
        <v>0</v>
      </c>
      <c r="E2023">
        <v>1</v>
      </c>
      <c r="F2023">
        <v>0</v>
      </c>
      <c r="G2023">
        <v>7513</v>
      </c>
      <c r="H2023">
        <v>0</v>
      </c>
      <c r="I2023">
        <v>0</v>
      </c>
    </row>
    <row r="2024" spans="1:9" x14ac:dyDescent="0.25">
      <c r="A2024">
        <v>24</v>
      </c>
      <c r="B2024">
        <v>0</v>
      </c>
      <c r="C2024">
        <v>7</v>
      </c>
      <c r="D2024">
        <v>1</v>
      </c>
      <c r="E2024">
        <v>1</v>
      </c>
      <c r="F2024">
        <v>0</v>
      </c>
      <c r="G2024">
        <v>26367</v>
      </c>
      <c r="H2024">
        <v>1</v>
      </c>
      <c r="I2024">
        <v>0</v>
      </c>
    </row>
    <row r="2025" spans="1:9" x14ac:dyDescent="0.25">
      <c r="A2025">
        <v>24</v>
      </c>
      <c r="B2025">
        <v>1</v>
      </c>
      <c r="C2025">
        <v>3</v>
      </c>
      <c r="D2025">
        <v>0</v>
      </c>
      <c r="E2025">
        <v>2</v>
      </c>
      <c r="F2025">
        <v>0</v>
      </c>
      <c r="G2025">
        <v>17978</v>
      </c>
      <c r="H2025">
        <v>1</v>
      </c>
      <c r="I2025">
        <v>0</v>
      </c>
    </row>
    <row r="2026" spans="1:9" x14ac:dyDescent="0.25">
      <c r="A2026">
        <v>24</v>
      </c>
      <c r="B2026">
        <v>1</v>
      </c>
      <c r="C2026">
        <v>2</v>
      </c>
      <c r="D2026">
        <v>0</v>
      </c>
      <c r="E2026">
        <v>1</v>
      </c>
      <c r="F2026">
        <v>0</v>
      </c>
      <c r="G2026">
        <v>13849</v>
      </c>
      <c r="H2026">
        <v>1</v>
      </c>
      <c r="I2026">
        <v>0</v>
      </c>
    </row>
    <row r="2027" spans="1:9" x14ac:dyDescent="0.25">
      <c r="A2027">
        <v>24</v>
      </c>
      <c r="B2027">
        <v>0</v>
      </c>
      <c r="C2027">
        <v>44</v>
      </c>
      <c r="D2027">
        <v>1</v>
      </c>
      <c r="E2027">
        <v>6</v>
      </c>
      <c r="F2027">
        <v>0</v>
      </c>
      <c r="G2027">
        <v>347068</v>
      </c>
      <c r="H2027">
        <v>1</v>
      </c>
      <c r="I2027">
        <v>0</v>
      </c>
    </row>
    <row r="2028" spans="1:9" x14ac:dyDescent="0.25">
      <c r="A2028">
        <v>24</v>
      </c>
      <c r="B2028">
        <v>1</v>
      </c>
      <c r="C2028">
        <v>3</v>
      </c>
      <c r="D2028">
        <v>0</v>
      </c>
      <c r="E2028">
        <v>2</v>
      </c>
      <c r="F2028">
        <v>0</v>
      </c>
      <c r="G2028">
        <v>12964</v>
      </c>
      <c r="H2028">
        <v>1</v>
      </c>
      <c r="I2028">
        <v>0</v>
      </c>
    </row>
    <row r="2029" spans="1:9" x14ac:dyDescent="0.25">
      <c r="A2029">
        <v>24</v>
      </c>
      <c r="B2029">
        <v>1</v>
      </c>
      <c r="C2029">
        <v>3</v>
      </c>
      <c r="D2029">
        <v>0</v>
      </c>
      <c r="E2029">
        <v>2</v>
      </c>
      <c r="F2029">
        <v>0</v>
      </c>
      <c r="G2029">
        <v>12793</v>
      </c>
      <c r="H2029">
        <v>1</v>
      </c>
      <c r="I2029">
        <v>0</v>
      </c>
    </row>
    <row r="2030" spans="1:9" x14ac:dyDescent="0.25">
      <c r="A2030">
        <v>24</v>
      </c>
      <c r="B2030">
        <v>1</v>
      </c>
      <c r="C2030">
        <v>3</v>
      </c>
      <c r="D2030">
        <v>0</v>
      </c>
      <c r="E2030">
        <v>2</v>
      </c>
      <c r="F2030">
        <v>0</v>
      </c>
      <c r="G2030">
        <v>10078</v>
      </c>
      <c r="H2030">
        <v>1</v>
      </c>
      <c r="I2030">
        <v>0</v>
      </c>
    </row>
    <row r="2031" spans="1:9" x14ac:dyDescent="0.25">
      <c r="A2031">
        <v>24</v>
      </c>
      <c r="B2031">
        <v>1</v>
      </c>
      <c r="C2031">
        <v>4</v>
      </c>
      <c r="D2031">
        <v>0</v>
      </c>
      <c r="E2031">
        <v>1</v>
      </c>
      <c r="F2031">
        <v>0</v>
      </c>
      <c r="G2031">
        <v>17402</v>
      </c>
      <c r="H2031">
        <v>1</v>
      </c>
      <c r="I2031">
        <v>0</v>
      </c>
    </row>
    <row r="2032" spans="1:9" x14ac:dyDescent="0.25">
      <c r="A2032">
        <v>24</v>
      </c>
      <c r="B2032">
        <v>1</v>
      </c>
      <c r="C2032">
        <v>4</v>
      </c>
      <c r="D2032">
        <v>0</v>
      </c>
      <c r="E2032">
        <v>1</v>
      </c>
      <c r="F2032">
        <v>0</v>
      </c>
      <c r="G2032">
        <v>17915</v>
      </c>
      <c r="H2032">
        <v>1</v>
      </c>
      <c r="I2032">
        <v>0</v>
      </c>
    </row>
    <row r="2033" spans="1:9" x14ac:dyDescent="0.25">
      <c r="A2033">
        <v>24</v>
      </c>
      <c r="B2033">
        <v>1</v>
      </c>
      <c r="C2033">
        <v>5</v>
      </c>
      <c r="D2033">
        <v>2</v>
      </c>
      <c r="E2033">
        <v>5</v>
      </c>
      <c r="F2033">
        <v>0</v>
      </c>
      <c r="G2033">
        <v>34700</v>
      </c>
      <c r="H2033">
        <v>1</v>
      </c>
      <c r="I2033">
        <v>0</v>
      </c>
    </row>
    <row r="2034" spans="1:9" x14ac:dyDescent="0.25">
      <c r="A2034">
        <v>23</v>
      </c>
      <c r="B2034">
        <v>1</v>
      </c>
      <c r="C2034">
        <v>2</v>
      </c>
      <c r="D2034">
        <v>0</v>
      </c>
      <c r="E2034">
        <v>1</v>
      </c>
      <c r="F2034">
        <v>0</v>
      </c>
      <c r="G2034">
        <v>5856</v>
      </c>
      <c r="H2034">
        <v>0</v>
      </c>
      <c r="I2034">
        <v>0</v>
      </c>
    </row>
    <row r="2035" spans="1:9" x14ac:dyDescent="0.25">
      <c r="A2035">
        <v>23</v>
      </c>
      <c r="B2035">
        <v>0</v>
      </c>
      <c r="C2035">
        <v>7</v>
      </c>
      <c r="D2035">
        <v>4</v>
      </c>
      <c r="E2035">
        <v>0</v>
      </c>
      <c r="F2035">
        <v>0</v>
      </c>
      <c r="G2035">
        <v>12376</v>
      </c>
      <c r="H2035">
        <v>0</v>
      </c>
      <c r="I2035">
        <v>0</v>
      </c>
    </row>
    <row r="2036" spans="1:9" x14ac:dyDescent="0.25">
      <c r="A2036">
        <v>23</v>
      </c>
      <c r="B2036">
        <v>0</v>
      </c>
      <c r="C2036">
        <v>5</v>
      </c>
      <c r="D2036">
        <v>3</v>
      </c>
      <c r="E2036">
        <v>0</v>
      </c>
      <c r="F2036">
        <v>0</v>
      </c>
      <c r="G2036">
        <v>6766</v>
      </c>
      <c r="H2036">
        <v>0</v>
      </c>
      <c r="I2036">
        <v>0</v>
      </c>
    </row>
    <row r="2037" spans="1:9" x14ac:dyDescent="0.25">
      <c r="A2037">
        <v>23</v>
      </c>
      <c r="B2037">
        <v>1</v>
      </c>
      <c r="C2037">
        <v>2</v>
      </c>
      <c r="D2037">
        <v>0</v>
      </c>
      <c r="E2037">
        <v>1</v>
      </c>
      <c r="F2037">
        <v>0</v>
      </c>
      <c r="G2037">
        <v>5775</v>
      </c>
      <c r="H2037">
        <v>0</v>
      </c>
      <c r="I2037">
        <v>0</v>
      </c>
    </row>
    <row r="2038" spans="1:9" x14ac:dyDescent="0.25">
      <c r="A2038">
        <v>23</v>
      </c>
      <c r="B2038">
        <v>0</v>
      </c>
      <c r="C2038">
        <v>6</v>
      </c>
      <c r="D2038">
        <v>5</v>
      </c>
      <c r="E2038">
        <v>0</v>
      </c>
      <c r="F2038">
        <v>0</v>
      </c>
      <c r="G2038">
        <v>8441</v>
      </c>
      <c r="H2038">
        <v>0</v>
      </c>
      <c r="I2038">
        <v>0</v>
      </c>
    </row>
    <row r="2039" spans="1:9" x14ac:dyDescent="0.25">
      <c r="A2039">
        <v>23</v>
      </c>
      <c r="B2039">
        <v>1</v>
      </c>
      <c r="C2039">
        <v>3</v>
      </c>
      <c r="D2039">
        <v>2</v>
      </c>
      <c r="E2039">
        <v>0</v>
      </c>
      <c r="F2039">
        <v>0</v>
      </c>
      <c r="G2039">
        <v>7375</v>
      </c>
      <c r="H2039">
        <v>0</v>
      </c>
      <c r="I2039">
        <v>0</v>
      </c>
    </row>
    <row r="2040" spans="1:9" x14ac:dyDescent="0.25">
      <c r="A2040">
        <v>23</v>
      </c>
      <c r="B2040">
        <v>0</v>
      </c>
      <c r="C2040">
        <v>3</v>
      </c>
      <c r="D2040">
        <v>4</v>
      </c>
      <c r="E2040">
        <v>0</v>
      </c>
      <c r="F2040">
        <v>0</v>
      </c>
      <c r="G2040">
        <v>4167</v>
      </c>
      <c r="H2040">
        <v>0</v>
      </c>
      <c r="I2040">
        <v>0</v>
      </c>
    </row>
    <row r="2041" spans="1:9" x14ac:dyDescent="0.25">
      <c r="A2041">
        <v>23</v>
      </c>
      <c r="B2041">
        <v>1</v>
      </c>
      <c r="C2041">
        <v>4</v>
      </c>
      <c r="D2041">
        <v>2</v>
      </c>
      <c r="E2041">
        <v>0</v>
      </c>
      <c r="F2041">
        <v>0</v>
      </c>
      <c r="G2041">
        <v>5863</v>
      </c>
      <c r="H2041">
        <v>0</v>
      </c>
      <c r="I2041">
        <v>0</v>
      </c>
    </row>
    <row r="2042" spans="1:9" x14ac:dyDescent="0.25">
      <c r="A2042">
        <v>23</v>
      </c>
      <c r="B2042">
        <v>1</v>
      </c>
      <c r="C2042">
        <v>3</v>
      </c>
      <c r="D2042">
        <v>0</v>
      </c>
      <c r="E2042">
        <v>2</v>
      </c>
      <c r="F2042">
        <v>0</v>
      </c>
      <c r="G2042">
        <v>7784</v>
      </c>
      <c r="H2042">
        <v>0</v>
      </c>
      <c r="I2042">
        <v>0</v>
      </c>
    </row>
    <row r="2043" spans="1:9" x14ac:dyDescent="0.25">
      <c r="A2043">
        <v>23</v>
      </c>
      <c r="B2043">
        <v>1</v>
      </c>
      <c r="C2043">
        <v>3</v>
      </c>
      <c r="D2043">
        <v>0</v>
      </c>
      <c r="E2043">
        <v>0</v>
      </c>
      <c r="F2043">
        <v>0</v>
      </c>
      <c r="G2043">
        <v>3589</v>
      </c>
      <c r="H2043">
        <v>0</v>
      </c>
      <c r="I2043">
        <v>0</v>
      </c>
    </row>
    <row r="2044" spans="1:9" x14ac:dyDescent="0.25">
      <c r="A2044">
        <v>23</v>
      </c>
      <c r="B2044">
        <v>1</v>
      </c>
      <c r="C2044">
        <v>3</v>
      </c>
      <c r="D2044">
        <v>0</v>
      </c>
      <c r="E2044">
        <v>2</v>
      </c>
      <c r="F2044">
        <v>0</v>
      </c>
      <c r="G2044">
        <v>11340</v>
      </c>
      <c r="H2044">
        <v>0</v>
      </c>
      <c r="I2044">
        <v>0</v>
      </c>
    </row>
    <row r="2045" spans="1:9" x14ac:dyDescent="0.25">
      <c r="A2045">
        <v>23</v>
      </c>
      <c r="B2045">
        <v>0</v>
      </c>
      <c r="C2045">
        <v>5</v>
      </c>
      <c r="D2045">
        <v>3</v>
      </c>
      <c r="E2045">
        <v>0</v>
      </c>
      <c r="F2045">
        <v>0</v>
      </c>
      <c r="G2045">
        <v>6728</v>
      </c>
      <c r="H2045">
        <v>0</v>
      </c>
      <c r="I2045">
        <v>0</v>
      </c>
    </row>
    <row r="2046" spans="1:9" x14ac:dyDescent="0.25">
      <c r="A2046">
        <v>23</v>
      </c>
      <c r="B2046">
        <v>1</v>
      </c>
      <c r="C2046">
        <v>2</v>
      </c>
      <c r="D2046">
        <v>0</v>
      </c>
      <c r="E2046">
        <v>1</v>
      </c>
      <c r="F2046">
        <v>0</v>
      </c>
      <c r="G2046">
        <v>5839</v>
      </c>
      <c r="H2046">
        <v>0</v>
      </c>
      <c r="I2046">
        <v>0</v>
      </c>
    </row>
    <row r="2047" spans="1:9" x14ac:dyDescent="0.25">
      <c r="A2047">
        <v>23</v>
      </c>
      <c r="B2047">
        <v>1</v>
      </c>
      <c r="C2047">
        <v>2</v>
      </c>
      <c r="D2047">
        <v>0</v>
      </c>
      <c r="E2047">
        <v>1</v>
      </c>
      <c r="F2047">
        <v>0</v>
      </c>
      <c r="G2047">
        <v>6820</v>
      </c>
      <c r="H2047">
        <v>0</v>
      </c>
      <c r="I2047">
        <v>0</v>
      </c>
    </row>
    <row r="2048" spans="1:9" x14ac:dyDescent="0.25">
      <c r="A2048">
        <v>23</v>
      </c>
      <c r="B2048">
        <v>1</v>
      </c>
      <c r="C2048">
        <v>1</v>
      </c>
      <c r="D2048">
        <v>1</v>
      </c>
      <c r="E2048">
        <v>1</v>
      </c>
      <c r="F2048">
        <v>0</v>
      </c>
      <c r="G2048">
        <v>9533</v>
      </c>
      <c r="H2048">
        <v>0</v>
      </c>
      <c r="I2048">
        <v>0</v>
      </c>
    </row>
    <row r="2049" spans="1:9" x14ac:dyDescent="0.25">
      <c r="A2049">
        <v>23</v>
      </c>
      <c r="B2049">
        <v>1</v>
      </c>
      <c r="C2049">
        <v>3</v>
      </c>
      <c r="D2049">
        <v>0</v>
      </c>
      <c r="E2049">
        <v>2</v>
      </c>
      <c r="F2049">
        <v>0</v>
      </c>
      <c r="G2049">
        <v>7232</v>
      </c>
      <c r="H2049">
        <v>0</v>
      </c>
      <c r="I2049">
        <v>0</v>
      </c>
    </row>
    <row r="2050" spans="1:9" x14ac:dyDescent="0.25">
      <c r="A2050">
        <v>23</v>
      </c>
      <c r="B2050">
        <v>0</v>
      </c>
      <c r="C2050">
        <v>6</v>
      </c>
      <c r="D2050">
        <v>4</v>
      </c>
      <c r="E2050">
        <v>0</v>
      </c>
      <c r="F2050">
        <v>0</v>
      </c>
      <c r="G2050">
        <v>9011</v>
      </c>
      <c r="H2050">
        <v>0</v>
      </c>
      <c r="I2050">
        <v>0</v>
      </c>
    </row>
    <row r="2051" spans="1:9" x14ac:dyDescent="0.25">
      <c r="A2051">
        <v>23</v>
      </c>
      <c r="B2051">
        <v>1</v>
      </c>
      <c r="C2051">
        <v>1</v>
      </c>
      <c r="D2051">
        <v>1</v>
      </c>
      <c r="E2051">
        <v>1</v>
      </c>
      <c r="F2051">
        <v>0</v>
      </c>
      <c r="G2051">
        <v>4799</v>
      </c>
      <c r="H2051">
        <v>0</v>
      </c>
      <c r="I2051">
        <v>0</v>
      </c>
    </row>
    <row r="2052" spans="1:9" x14ac:dyDescent="0.25">
      <c r="A2052">
        <v>23</v>
      </c>
      <c r="B2052">
        <v>1</v>
      </c>
      <c r="C2052">
        <v>3</v>
      </c>
      <c r="D2052">
        <v>0</v>
      </c>
      <c r="E2052">
        <v>2</v>
      </c>
      <c r="F2052">
        <v>0</v>
      </c>
      <c r="G2052">
        <v>9911</v>
      </c>
      <c r="H2052">
        <v>0</v>
      </c>
      <c r="I2052">
        <v>0</v>
      </c>
    </row>
    <row r="2053" spans="1:9" x14ac:dyDescent="0.25">
      <c r="A2053">
        <v>23</v>
      </c>
      <c r="B2053">
        <v>0</v>
      </c>
      <c r="C2053">
        <v>7</v>
      </c>
      <c r="D2053">
        <v>3</v>
      </c>
      <c r="E2053">
        <v>0</v>
      </c>
      <c r="F2053">
        <v>0</v>
      </c>
      <c r="G2053">
        <v>11169</v>
      </c>
      <c r="H2053">
        <v>0</v>
      </c>
      <c r="I2053">
        <v>0</v>
      </c>
    </row>
    <row r="2054" spans="1:9" x14ac:dyDescent="0.25">
      <c r="A2054">
        <v>23</v>
      </c>
      <c r="B2054">
        <v>1</v>
      </c>
      <c r="C2054">
        <v>3</v>
      </c>
      <c r="D2054">
        <v>1</v>
      </c>
      <c r="E2054">
        <v>2</v>
      </c>
      <c r="F2054">
        <v>0</v>
      </c>
      <c r="G2054">
        <v>7971</v>
      </c>
      <c r="H2054">
        <v>0</v>
      </c>
      <c r="I2054">
        <v>0</v>
      </c>
    </row>
    <row r="2055" spans="1:9" x14ac:dyDescent="0.25">
      <c r="A2055">
        <v>23</v>
      </c>
      <c r="B2055">
        <v>1</v>
      </c>
      <c r="C2055">
        <v>2</v>
      </c>
      <c r="D2055">
        <v>1</v>
      </c>
      <c r="E2055">
        <v>0</v>
      </c>
      <c r="F2055">
        <v>0</v>
      </c>
      <c r="G2055">
        <v>6259</v>
      </c>
      <c r="H2055">
        <v>0</v>
      </c>
      <c r="I2055">
        <v>0</v>
      </c>
    </row>
    <row r="2056" spans="1:9" x14ac:dyDescent="0.25">
      <c r="A2056">
        <v>23</v>
      </c>
      <c r="B2056">
        <v>1</v>
      </c>
      <c r="C2056">
        <v>2</v>
      </c>
      <c r="D2056">
        <v>0</v>
      </c>
      <c r="E2056">
        <v>2</v>
      </c>
      <c r="F2056">
        <v>0</v>
      </c>
      <c r="G2056">
        <v>7445</v>
      </c>
      <c r="H2056">
        <v>0</v>
      </c>
      <c r="I2056">
        <v>0</v>
      </c>
    </row>
    <row r="2057" spans="1:9" x14ac:dyDescent="0.25">
      <c r="A2057">
        <v>23</v>
      </c>
      <c r="B2057">
        <v>0</v>
      </c>
      <c r="C2057">
        <v>8</v>
      </c>
      <c r="D2057">
        <v>4</v>
      </c>
      <c r="E2057">
        <v>0</v>
      </c>
      <c r="F2057">
        <v>0</v>
      </c>
      <c r="G2057">
        <v>14924</v>
      </c>
      <c r="H2057">
        <v>0</v>
      </c>
      <c r="I2057">
        <v>0</v>
      </c>
    </row>
    <row r="2058" spans="1:9" x14ac:dyDescent="0.25">
      <c r="A2058">
        <v>23</v>
      </c>
      <c r="B2058">
        <v>0</v>
      </c>
      <c r="C2058">
        <v>2</v>
      </c>
      <c r="D2058">
        <v>1</v>
      </c>
      <c r="E2058">
        <v>0</v>
      </c>
      <c r="F2058">
        <v>0</v>
      </c>
      <c r="G2058">
        <v>10804</v>
      </c>
      <c r="H2058">
        <v>0</v>
      </c>
      <c r="I2058">
        <v>0</v>
      </c>
    </row>
    <row r="2059" spans="1:9" x14ac:dyDescent="0.25">
      <c r="A2059">
        <v>23</v>
      </c>
      <c r="B2059">
        <v>0</v>
      </c>
      <c r="C2059">
        <v>3</v>
      </c>
      <c r="D2059">
        <v>3</v>
      </c>
      <c r="E2059">
        <v>0</v>
      </c>
      <c r="F2059">
        <v>0</v>
      </c>
      <c r="G2059">
        <v>7644</v>
      </c>
      <c r="H2059">
        <v>0</v>
      </c>
      <c r="I2059">
        <v>0</v>
      </c>
    </row>
    <row r="2060" spans="1:9" x14ac:dyDescent="0.25">
      <c r="A2060">
        <v>23</v>
      </c>
      <c r="B2060">
        <v>1</v>
      </c>
      <c r="C2060">
        <v>2</v>
      </c>
      <c r="D2060">
        <v>0</v>
      </c>
      <c r="E2060">
        <v>1</v>
      </c>
      <c r="F2060">
        <v>0</v>
      </c>
      <c r="G2060">
        <v>5572</v>
      </c>
      <c r="H2060">
        <v>0</v>
      </c>
      <c r="I2060">
        <v>0</v>
      </c>
    </row>
    <row r="2061" spans="1:9" x14ac:dyDescent="0.25">
      <c r="A2061">
        <v>23</v>
      </c>
      <c r="B2061">
        <v>0</v>
      </c>
      <c r="C2061">
        <v>13</v>
      </c>
      <c r="D2061">
        <v>3</v>
      </c>
      <c r="E2061">
        <v>1</v>
      </c>
      <c r="F2061">
        <v>0</v>
      </c>
      <c r="G2061">
        <v>59332</v>
      </c>
      <c r="H2061">
        <v>0</v>
      </c>
      <c r="I2061">
        <v>0</v>
      </c>
    </row>
    <row r="2062" spans="1:9" x14ac:dyDescent="0.25">
      <c r="A2062">
        <v>23</v>
      </c>
      <c r="B2062">
        <v>1</v>
      </c>
      <c r="C2062">
        <v>3</v>
      </c>
      <c r="D2062">
        <v>0</v>
      </c>
      <c r="E2062">
        <v>3</v>
      </c>
      <c r="F2062">
        <v>0</v>
      </c>
      <c r="G2062">
        <v>12728</v>
      </c>
      <c r="H2062">
        <v>0</v>
      </c>
      <c r="I2062">
        <v>0</v>
      </c>
    </row>
    <row r="2063" spans="1:9" x14ac:dyDescent="0.25">
      <c r="A2063">
        <v>23</v>
      </c>
      <c r="B2063">
        <v>1</v>
      </c>
      <c r="C2063">
        <v>4</v>
      </c>
      <c r="D2063">
        <v>0</v>
      </c>
      <c r="E2063">
        <v>4</v>
      </c>
      <c r="F2063">
        <v>0</v>
      </c>
      <c r="G2063">
        <v>8136</v>
      </c>
      <c r="H2063">
        <v>0</v>
      </c>
      <c r="I2063">
        <v>0</v>
      </c>
    </row>
    <row r="2064" spans="1:9" x14ac:dyDescent="0.25">
      <c r="A2064">
        <v>23</v>
      </c>
      <c r="B2064">
        <v>1</v>
      </c>
      <c r="C2064">
        <v>3</v>
      </c>
      <c r="D2064">
        <v>0</v>
      </c>
      <c r="E2064">
        <v>2</v>
      </c>
      <c r="F2064">
        <v>0</v>
      </c>
      <c r="G2064">
        <v>10104</v>
      </c>
      <c r="H2064">
        <v>0</v>
      </c>
      <c r="I2064">
        <v>0</v>
      </c>
    </row>
    <row r="2065" spans="1:9" x14ac:dyDescent="0.25">
      <c r="A2065">
        <v>23</v>
      </c>
      <c r="B2065">
        <v>1</v>
      </c>
      <c r="C2065">
        <v>3</v>
      </c>
      <c r="D2065">
        <v>3</v>
      </c>
      <c r="E2065">
        <v>0</v>
      </c>
      <c r="F2065">
        <v>0</v>
      </c>
      <c r="G2065">
        <v>10473</v>
      </c>
      <c r="H2065">
        <v>0</v>
      </c>
      <c r="I2065">
        <v>0</v>
      </c>
    </row>
    <row r="2066" spans="1:9" x14ac:dyDescent="0.25">
      <c r="A2066">
        <v>23</v>
      </c>
      <c r="B2066">
        <v>1</v>
      </c>
      <c r="C2066">
        <v>2</v>
      </c>
      <c r="D2066">
        <v>0</v>
      </c>
      <c r="E2066">
        <v>3</v>
      </c>
      <c r="F2066">
        <v>0</v>
      </c>
      <c r="G2066">
        <v>7778</v>
      </c>
      <c r="H2066">
        <v>0</v>
      </c>
      <c r="I2066">
        <v>0</v>
      </c>
    </row>
    <row r="2067" spans="1:9" x14ac:dyDescent="0.25">
      <c r="A2067">
        <v>23</v>
      </c>
      <c r="B2067">
        <v>1</v>
      </c>
      <c r="C2067">
        <v>2</v>
      </c>
      <c r="D2067">
        <v>0</v>
      </c>
      <c r="E2067">
        <v>3</v>
      </c>
      <c r="F2067">
        <v>0</v>
      </c>
      <c r="G2067">
        <v>8734</v>
      </c>
      <c r="H2067">
        <v>0</v>
      </c>
      <c r="I2067">
        <v>0</v>
      </c>
    </row>
    <row r="2068" spans="1:9" x14ac:dyDescent="0.25">
      <c r="A2068">
        <v>23</v>
      </c>
      <c r="B2068">
        <v>1</v>
      </c>
      <c r="C2068">
        <v>2</v>
      </c>
      <c r="D2068">
        <v>0</v>
      </c>
      <c r="E2068">
        <v>1</v>
      </c>
      <c r="F2068">
        <v>0</v>
      </c>
      <c r="G2068">
        <v>8401</v>
      </c>
      <c r="H2068">
        <v>0</v>
      </c>
      <c r="I2068">
        <v>0</v>
      </c>
    </row>
    <row r="2069" spans="1:9" x14ac:dyDescent="0.25">
      <c r="A2069">
        <v>23</v>
      </c>
      <c r="B2069">
        <v>1</v>
      </c>
      <c r="C2069">
        <v>1</v>
      </c>
      <c r="D2069">
        <v>0</v>
      </c>
      <c r="E2069">
        <v>0</v>
      </c>
      <c r="F2069">
        <v>0</v>
      </c>
      <c r="G2069">
        <v>5172</v>
      </c>
      <c r="H2069">
        <v>0</v>
      </c>
      <c r="I2069">
        <v>0</v>
      </c>
    </row>
    <row r="2070" spans="1:9" x14ac:dyDescent="0.25">
      <c r="A2070">
        <v>23</v>
      </c>
      <c r="B2070">
        <v>1</v>
      </c>
      <c r="C2070">
        <v>6</v>
      </c>
      <c r="D2070">
        <v>9</v>
      </c>
      <c r="E2070">
        <v>0</v>
      </c>
      <c r="F2070">
        <v>0</v>
      </c>
      <c r="G2070">
        <v>11181</v>
      </c>
      <c r="H2070">
        <v>0</v>
      </c>
      <c r="I2070">
        <v>0</v>
      </c>
    </row>
    <row r="2071" spans="1:9" x14ac:dyDescent="0.25">
      <c r="A2071">
        <v>23</v>
      </c>
      <c r="B2071">
        <v>1</v>
      </c>
      <c r="C2071">
        <v>3</v>
      </c>
      <c r="D2071">
        <v>0</v>
      </c>
      <c r="E2071">
        <v>1</v>
      </c>
      <c r="F2071">
        <v>0</v>
      </c>
      <c r="G2071">
        <v>15381</v>
      </c>
      <c r="H2071">
        <v>1</v>
      </c>
      <c r="I2071">
        <v>0</v>
      </c>
    </row>
    <row r="2072" spans="1:9" x14ac:dyDescent="0.25">
      <c r="A2072">
        <v>23</v>
      </c>
      <c r="B2072">
        <v>1</v>
      </c>
      <c r="C2072">
        <v>2</v>
      </c>
      <c r="D2072">
        <v>1</v>
      </c>
      <c r="E2072">
        <v>1</v>
      </c>
      <c r="F2072">
        <v>0</v>
      </c>
      <c r="G2072">
        <v>12566</v>
      </c>
      <c r="H2072">
        <v>1</v>
      </c>
      <c r="I2072">
        <v>0</v>
      </c>
    </row>
    <row r="2073" spans="1:9" x14ac:dyDescent="0.25">
      <c r="A2073">
        <v>23</v>
      </c>
      <c r="B2073">
        <v>1</v>
      </c>
      <c r="C2073">
        <v>3</v>
      </c>
      <c r="D2073">
        <v>0</v>
      </c>
      <c r="E2073">
        <v>1</v>
      </c>
      <c r="F2073">
        <v>0</v>
      </c>
      <c r="G2073">
        <v>15381</v>
      </c>
      <c r="H2073">
        <v>1</v>
      </c>
      <c r="I2073">
        <v>0</v>
      </c>
    </row>
    <row r="2074" spans="1:9" x14ac:dyDescent="0.25">
      <c r="A2074">
        <v>23</v>
      </c>
      <c r="B2074">
        <v>1</v>
      </c>
      <c r="C2074">
        <v>5</v>
      </c>
      <c r="D2074">
        <v>3</v>
      </c>
      <c r="E2074">
        <v>1</v>
      </c>
      <c r="F2074">
        <v>0</v>
      </c>
      <c r="G2074">
        <v>22168</v>
      </c>
      <c r="H2074">
        <v>1</v>
      </c>
      <c r="I2074">
        <v>0</v>
      </c>
    </row>
    <row r="2075" spans="1:9" x14ac:dyDescent="0.25">
      <c r="A2075">
        <v>23</v>
      </c>
      <c r="B2075">
        <v>1</v>
      </c>
      <c r="C2075">
        <v>4</v>
      </c>
      <c r="D2075">
        <v>0</v>
      </c>
      <c r="E2075">
        <v>2</v>
      </c>
      <c r="F2075">
        <v>0</v>
      </c>
      <c r="G2075">
        <v>18695</v>
      </c>
      <c r="H2075">
        <v>1</v>
      </c>
      <c r="I2075">
        <v>0</v>
      </c>
    </row>
    <row r="2076" spans="1:9" x14ac:dyDescent="0.25">
      <c r="A2076">
        <v>23</v>
      </c>
      <c r="B2076">
        <v>1</v>
      </c>
      <c r="C2076">
        <v>4</v>
      </c>
      <c r="D2076">
        <v>0</v>
      </c>
      <c r="E2076">
        <v>3</v>
      </c>
      <c r="F2076">
        <v>0</v>
      </c>
      <c r="G2076">
        <v>12827</v>
      </c>
      <c r="H2076">
        <v>1</v>
      </c>
      <c r="I2076">
        <v>0</v>
      </c>
    </row>
    <row r="2077" spans="1:9" x14ac:dyDescent="0.25">
      <c r="A2077">
        <v>23</v>
      </c>
      <c r="B2077">
        <v>1</v>
      </c>
      <c r="C2077">
        <v>8</v>
      </c>
      <c r="D2077">
        <v>0</v>
      </c>
      <c r="E2077">
        <v>1</v>
      </c>
      <c r="F2077">
        <v>0</v>
      </c>
      <c r="G2077">
        <v>35679</v>
      </c>
      <c r="H2077">
        <v>1</v>
      </c>
      <c r="I2077">
        <v>0</v>
      </c>
    </row>
    <row r="2078" spans="1:9" x14ac:dyDescent="0.25">
      <c r="A2078">
        <v>23</v>
      </c>
      <c r="B2078">
        <v>1</v>
      </c>
      <c r="C2078">
        <v>4</v>
      </c>
      <c r="D2078">
        <v>0</v>
      </c>
      <c r="E2078">
        <v>1</v>
      </c>
      <c r="F2078">
        <v>0</v>
      </c>
      <c r="G2078">
        <v>20625</v>
      </c>
      <c r="H2078">
        <v>1</v>
      </c>
      <c r="I2078">
        <v>0</v>
      </c>
    </row>
    <row r="2079" spans="1:9" x14ac:dyDescent="0.25">
      <c r="A2079">
        <v>23</v>
      </c>
      <c r="B2079">
        <v>1</v>
      </c>
      <c r="C2079">
        <v>3</v>
      </c>
      <c r="D2079">
        <v>0</v>
      </c>
      <c r="E2079">
        <v>1</v>
      </c>
      <c r="F2079">
        <v>0</v>
      </c>
      <c r="G2079">
        <v>12958</v>
      </c>
      <c r="H2079">
        <v>1</v>
      </c>
      <c r="I2079">
        <v>0</v>
      </c>
    </row>
    <row r="2080" spans="1:9" x14ac:dyDescent="0.25">
      <c r="A2080">
        <v>22</v>
      </c>
      <c r="B2080">
        <v>0</v>
      </c>
      <c r="C2080">
        <v>7</v>
      </c>
      <c r="D2080">
        <v>4</v>
      </c>
      <c r="E2080">
        <v>0</v>
      </c>
      <c r="F2080">
        <v>0</v>
      </c>
      <c r="G2080">
        <v>9360</v>
      </c>
      <c r="H2080">
        <v>0</v>
      </c>
      <c r="I2080">
        <v>0</v>
      </c>
    </row>
    <row r="2081" spans="1:9" x14ac:dyDescent="0.25">
      <c r="A2081">
        <v>22</v>
      </c>
      <c r="B2081">
        <v>1</v>
      </c>
      <c r="C2081">
        <v>5</v>
      </c>
      <c r="D2081">
        <v>1</v>
      </c>
      <c r="E2081">
        <v>2</v>
      </c>
      <c r="F2081">
        <v>0</v>
      </c>
      <c r="G2081">
        <v>14318</v>
      </c>
      <c r="H2081">
        <v>0</v>
      </c>
      <c r="I2081">
        <v>0</v>
      </c>
    </row>
    <row r="2082" spans="1:9" x14ac:dyDescent="0.25">
      <c r="A2082">
        <v>22</v>
      </c>
      <c r="B2082">
        <v>1</v>
      </c>
      <c r="C2082">
        <v>2</v>
      </c>
      <c r="D2082">
        <v>2</v>
      </c>
      <c r="E2082">
        <v>1</v>
      </c>
      <c r="F2082">
        <v>0</v>
      </c>
      <c r="G2082">
        <v>12216</v>
      </c>
      <c r="H2082">
        <v>0</v>
      </c>
      <c r="I2082">
        <v>0</v>
      </c>
    </row>
    <row r="2083" spans="1:9" x14ac:dyDescent="0.25">
      <c r="A2083">
        <v>22</v>
      </c>
      <c r="B2083">
        <v>1</v>
      </c>
      <c r="C2083">
        <v>3</v>
      </c>
      <c r="D2083">
        <v>0</v>
      </c>
      <c r="E2083">
        <v>0</v>
      </c>
      <c r="F2083">
        <v>0</v>
      </c>
      <c r="G2083">
        <v>7469</v>
      </c>
      <c r="H2083">
        <v>0</v>
      </c>
      <c r="I2083">
        <v>0</v>
      </c>
    </row>
    <row r="2084" spans="1:9" x14ac:dyDescent="0.25">
      <c r="A2084">
        <v>22</v>
      </c>
      <c r="B2084">
        <v>1</v>
      </c>
      <c r="C2084">
        <v>3</v>
      </c>
      <c r="D2084">
        <v>0</v>
      </c>
      <c r="E2084">
        <v>0</v>
      </c>
      <c r="F2084">
        <v>0</v>
      </c>
      <c r="G2084">
        <v>3782</v>
      </c>
      <c r="H2084">
        <v>0</v>
      </c>
      <c r="I2084">
        <v>0</v>
      </c>
    </row>
    <row r="2085" spans="1:9" x14ac:dyDescent="0.25">
      <c r="A2085">
        <v>22</v>
      </c>
      <c r="B2085">
        <v>1</v>
      </c>
      <c r="C2085">
        <v>2</v>
      </c>
      <c r="D2085">
        <v>0</v>
      </c>
      <c r="E2085">
        <v>0</v>
      </c>
      <c r="F2085">
        <v>0</v>
      </c>
      <c r="G2085">
        <v>6687</v>
      </c>
      <c r="H2085">
        <v>0</v>
      </c>
      <c r="I2085">
        <v>0</v>
      </c>
    </row>
    <row r="2086" spans="1:9" x14ac:dyDescent="0.25">
      <c r="A2086">
        <v>22</v>
      </c>
      <c r="B2086">
        <v>1</v>
      </c>
      <c r="C2086">
        <v>2</v>
      </c>
      <c r="D2086">
        <v>0</v>
      </c>
      <c r="E2086">
        <v>1</v>
      </c>
      <c r="F2086">
        <v>0</v>
      </c>
      <c r="G2086">
        <v>6447</v>
      </c>
      <c r="H2086">
        <v>0</v>
      </c>
      <c r="I2086">
        <v>0</v>
      </c>
    </row>
    <row r="2087" spans="1:9" x14ac:dyDescent="0.25">
      <c r="A2087">
        <v>22</v>
      </c>
      <c r="B2087">
        <v>0</v>
      </c>
      <c r="C2087">
        <v>5</v>
      </c>
      <c r="D2087">
        <v>4</v>
      </c>
      <c r="E2087">
        <v>0</v>
      </c>
      <c r="F2087">
        <v>0</v>
      </c>
      <c r="G2087">
        <v>9617</v>
      </c>
      <c r="H2087">
        <v>0</v>
      </c>
      <c r="I2087">
        <v>0</v>
      </c>
    </row>
    <row r="2088" spans="1:9" x14ac:dyDescent="0.25">
      <c r="A2088">
        <v>22</v>
      </c>
      <c r="B2088">
        <v>1</v>
      </c>
      <c r="C2088">
        <v>2</v>
      </c>
      <c r="D2088">
        <v>2</v>
      </c>
      <c r="E2088">
        <v>1</v>
      </c>
      <c r="F2088">
        <v>0</v>
      </c>
      <c r="G2088">
        <v>5696</v>
      </c>
      <c r="H2088">
        <v>0</v>
      </c>
      <c r="I2088">
        <v>0</v>
      </c>
    </row>
    <row r="2089" spans="1:9" x14ac:dyDescent="0.25">
      <c r="A2089">
        <v>22</v>
      </c>
      <c r="B2089">
        <v>1</v>
      </c>
      <c r="C2089">
        <v>10</v>
      </c>
      <c r="D2089">
        <v>0</v>
      </c>
      <c r="E2089">
        <v>1</v>
      </c>
      <c r="F2089">
        <v>0</v>
      </c>
      <c r="G2089">
        <v>21816</v>
      </c>
      <c r="H2089">
        <v>0</v>
      </c>
      <c r="I2089">
        <v>0</v>
      </c>
    </row>
    <row r="2090" spans="1:9" x14ac:dyDescent="0.25">
      <c r="A2090">
        <v>22</v>
      </c>
      <c r="B2090">
        <v>1</v>
      </c>
      <c r="C2090">
        <v>2</v>
      </c>
      <c r="D2090">
        <v>0</v>
      </c>
      <c r="E2090">
        <v>1</v>
      </c>
      <c r="F2090">
        <v>0</v>
      </c>
      <c r="G2090">
        <v>5476</v>
      </c>
      <c r="H2090">
        <v>0</v>
      </c>
      <c r="I2090">
        <v>0</v>
      </c>
    </row>
    <row r="2091" spans="1:9" x14ac:dyDescent="0.25">
      <c r="A2091">
        <v>22</v>
      </c>
      <c r="B2091">
        <v>0</v>
      </c>
      <c r="C2091">
        <v>6</v>
      </c>
      <c r="D2091">
        <v>3</v>
      </c>
      <c r="E2091">
        <v>0</v>
      </c>
      <c r="F2091">
        <v>0</v>
      </c>
      <c r="G2091">
        <v>8890</v>
      </c>
      <c r="H2091">
        <v>0</v>
      </c>
      <c r="I2091">
        <v>0</v>
      </c>
    </row>
    <row r="2092" spans="1:9" x14ac:dyDescent="0.25">
      <c r="A2092">
        <v>22</v>
      </c>
      <c r="B2092">
        <v>1</v>
      </c>
      <c r="C2092">
        <v>3</v>
      </c>
      <c r="D2092">
        <v>3</v>
      </c>
      <c r="E2092">
        <v>0</v>
      </c>
      <c r="F2092">
        <v>0</v>
      </c>
      <c r="G2092">
        <v>4983</v>
      </c>
      <c r="H2092">
        <v>0</v>
      </c>
      <c r="I2092">
        <v>0</v>
      </c>
    </row>
    <row r="2093" spans="1:9" x14ac:dyDescent="0.25">
      <c r="A2093">
        <v>22</v>
      </c>
      <c r="B2093">
        <v>1</v>
      </c>
      <c r="C2093">
        <v>2</v>
      </c>
      <c r="D2093">
        <v>0</v>
      </c>
      <c r="E2093">
        <v>2</v>
      </c>
      <c r="F2093">
        <v>0</v>
      </c>
      <c r="G2093">
        <v>8423</v>
      </c>
      <c r="H2093">
        <v>0</v>
      </c>
      <c r="I2093">
        <v>0</v>
      </c>
    </row>
    <row r="2094" spans="1:9" x14ac:dyDescent="0.25">
      <c r="A2094">
        <v>22</v>
      </c>
      <c r="B2094">
        <v>0</v>
      </c>
      <c r="C2094">
        <v>5</v>
      </c>
      <c r="D2094">
        <v>2</v>
      </c>
      <c r="E2094">
        <v>0</v>
      </c>
      <c r="F2094">
        <v>0</v>
      </c>
      <c r="G2094">
        <v>9352</v>
      </c>
      <c r="H2094">
        <v>0</v>
      </c>
      <c r="I2094">
        <v>0</v>
      </c>
    </row>
    <row r="2095" spans="1:9" x14ac:dyDescent="0.25">
      <c r="A2095">
        <v>22</v>
      </c>
      <c r="B2095">
        <v>0</v>
      </c>
      <c r="C2095">
        <v>13</v>
      </c>
      <c r="D2095">
        <v>2</v>
      </c>
      <c r="E2095">
        <v>0</v>
      </c>
      <c r="F2095">
        <v>0</v>
      </c>
      <c r="G2095">
        <v>29017</v>
      </c>
      <c r="H2095">
        <v>0</v>
      </c>
      <c r="I2095">
        <v>0</v>
      </c>
    </row>
    <row r="2096" spans="1:9" x14ac:dyDescent="0.25">
      <c r="A2096">
        <v>22</v>
      </c>
      <c r="B2096">
        <v>1</v>
      </c>
      <c r="C2096">
        <v>10</v>
      </c>
      <c r="D2096">
        <v>2</v>
      </c>
      <c r="E2096">
        <v>0</v>
      </c>
      <c r="F2096">
        <v>0</v>
      </c>
      <c r="G2096">
        <v>17470</v>
      </c>
      <c r="H2096">
        <v>0</v>
      </c>
      <c r="I2096">
        <v>0</v>
      </c>
    </row>
    <row r="2097" spans="1:9" x14ac:dyDescent="0.25">
      <c r="A2097">
        <v>22</v>
      </c>
      <c r="B2097">
        <v>1</v>
      </c>
      <c r="C2097">
        <v>2</v>
      </c>
      <c r="D2097">
        <v>0</v>
      </c>
      <c r="E2097">
        <v>1</v>
      </c>
      <c r="F2097">
        <v>0</v>
      </c>
      <c r="G2097">
        <v>6466</v>
      </c>
      <c r="H2097">
        <v>0</v>
      </c>
      <c r="I2097">
        <v>0</v>
      </c>
    </row>
    <row r="2098" spans="1:9" x14ac:dyDescent="0.25">
      <c r="A2098">
        <v>22</v>
      </c>
      <c r="B2098">
        <v>1</v>
      </c>
      <c r="C2098">
        <v>4</v>
      </c>
      <c r="D2098">
        <v>0</v>
      </c>
      <c r="E2098">
        <v>0</v>
      </c>
      <c r="F2098">
        <v>0</v>
      </c>
      <c r="G2098">
        <v>9949</v>
      </c>
      <c r="H2098">
        <v>0</v>
      </c>
      <c r="I2098">
        <v>0</v>
      </c>
    </row>
    <row r="2099" spans="1:9" x14ac:dyDescent="0.25">
      <c r="A2099">
        <v>22</v>
      </c>
      <c r="B2099">
        <v>1</v>
      </c>
      <c r="C2099">
        <v>3</v>
      </c>
      <c r="D2099">
        <v>1</v>
      </c>
      <c r="E2099">
        <v>0</v>
      </c>
      <c r="F2099">
        <v>0</v>
      </c>
      <c r="G2099">
        <v>13756</v>
      </c>
      <c r="H2099">
        <v>0</v>
      </c>
      <c r="I2099">
        <v>0</v>
      </c>
    </row>
    <row r="2100" spans="1:9" x14ac:dyDescent="0.25">
      <c r="A2100">
        <v>22</v>
      </c>
      <c r="B2100">
        <v>1</v>
      </c>
      <c r="C2100">
        <v>3</v>
      </c>
      <c r="D2100">
        <v>0</v>
      </c>
      <c r="E2100">
        <v>1</v>
      </c>
      <c r="F2100">
        <v>0</v>
      </c>
      <c r="G2100">
        <v>8436</v>
      </c>
      <c r="H2100">
        <v>0</v>
      </c>
      <c r="I2100">
        <v>0</v>
      </c>
    </row>
    <row r="2101" spans="1:9" x14ac:dyDescent="0.25">
      <c r="A2101">
        <v>22</v>
      </c>
      <c r="B2101">
        <v>1</v>
      </c>
      <c r="C2101">
        <v>2</v>
      </c>
      <c r="D2101">
        <v>0</v>
      </c>
      <c r="E2101">
        <v>1</v>
      </c>
      <c r="F2101">
        <v>0</v>
      </c>
      <c r="G2101">
        <v>5528</v>
      </c>
      <c r="H2101">
        <v>0</v>
      </c>
      <c r="I2101">
        <v>0</v>
      </c>
    </row>
    <row r="2102" spans="1:9" x14ac:dyDescent="0.25">
      <c r="A2102">
        <v>22</v>
      </c>
      <c r="B2102">
        <v>1</v>
      </c>
      <c r="C2102">
        <v>7</v>
      </c>
      <c r="D2102">
        <v>3</v>
      </c>
      <c r="E2102">
        <v>0</v>
      </c>
      <c r="F2102">
        <v>0</v>
      </c>
      <c r="G2102">
        <v>10140</v>
      </c>
      <c r="H2102">
        <v>0</v>
      </c>
      <c r="I2102">
        <v>0</v>
      </c>
    </row>
    <row r="2103" spans="1:9" x14ac:dyDescent="0.25">
      <c r="A2103">
        <v>22</v>
      </c>
      <c r="B2103">
        <v>1</v>
      </c>
      <c r="C2103">
        <v>2</v>
      </c>
      <c r="D2103">
        <v>0</v>
      </c>
      <c r="E2103">
        <v>1</v>
      </c>
      <c r="F2103">
        <v>0</v>
      </c>
      <c r="G2103">
        <v>9428</v>
      </c>
      <c r="H2103">
        <v>0</v>
      </c>
      <c r="I2103">
        <v>0</v>
      </c>
    </row>
    <row r="2104" spans="1:9" x14ac:dyDescent="0.25">
      <c r="A2104">
        <v>22</v>
      </c>
      <c r="B2104">
        <v>1</v>
      </c>
      <c r="C2104">
        <v>2</v>
      </c>
      <c r="D2104">
        <v>0</v>
      </c>
      <c r="E2104">
        <v>0</v>
      </c>
      <c r="F2104">
        <v>0</v>
      </c>
      <c r="G2104">
        <v>7300</v>
      </c>
      <c r="H2104">
        <v>0</v>
      </c>
      <c r="I2104">
        <v>0</v>
      </c>
    </row>
    <row r="2105" spans="1:9" x14ac:dyDescent="0.25">
      <c r="A2105">
        <v>22</v>
      </c>
      <c r="B2105">
        <v>1</v>
      </c>
      <c r="C2105">
        <v>2</v>
      </c>
      <c r="D2105">
        <v>0</v>
      </c>
      <c r="E2105">
        <v>2</v>
      </c>
      <c r="F2105">
        <v>0</v>
      </c>
      <c r="G2105">
        <v>2513</v>
      </c>
      <c r="H2105">
        <v>0</v>
      </c>
      <c r="I2105">
        <v>0</v>
      </c>
    </row>
    <row r="2106" spans="1:9" x14ac:dyDescent="0.25">
      <c r="A2106">
        <v>22</v>
      </c>
      <c r="B2106">
        <v>1</v>
      </c>
      <c r="C2106">
        <v>2</v>
      </c>
      <c r="D2106">
        <v>0</v>
      </c>
      <c r="E2106">
        <v>3</v>
      </c>
      <c r="F2106">
        <v>0</v>
      </c>
      <c r="G2106">
        <v>9635</v>
      </c>
      <c r="H2106">
        <v>0</v>
      </c>
      <c r="I2106">
        <v>0</v>
      </c>
    </row>
    <row r="2107" spans="1:9" x14ac:dyDescent="0.25">
      <c r="A2107">
        <v>22</v>
      </c>
      <c r="B2107">
        <v>1</v>
      </c>
      <c r="C2107">
        <v>6</v>
      </c>
      <c r="D2107">
        <v>0</v>
      </c>
      <c r="E2107">
        <v>3</v>
      </c>
      <c r="F2107">
        <v>0</v>
      </c>
      <c r="G2107">
        <v>22276</v>
      </c>
      <c r="H2107">
        <v>0</v>
      </c>
      <c r="I2107">
        <v>0</v>
      </c>
    </row>
    <row r="2108" spans="1:9" x14ac:dyDescent="0.25">
      <c r="A2108">
        <v>22</v>
      </c>
      <c r="B2108">
        <v>0</v>
      </c>
      <c r="C2108">
        <v>3</v>
      </c>
      <c r="D2108">
        <v>1</v>
      </c>
      <c r="E2108">
        <v>0</v>
      </c>
      <c r="F2108">
        <v>0</v>
      </c>
      <c r="G2108">
        <v>6197</v>
      </c>
      <c r="H2108">
        <v>0</v>
      </c>
      <c r="I2108">
        <v>0</v>
      </c>
    </row>
    <row r="2109" spans="1:9" x14ac:dyDescent="0.25">
      <c r="A2109">
        <v>22</v>
      </c>
      <c r="B2109">
        <v>1</v>
      </c>
      <c r="C2109">
        <v>2</v>
      </c>
      <c r="D2109">
        <v>2</v>
      </c>
      <c r="E2109">
        <v>3</v>
      </c>
      <c r="F2109">
        <v>0</v>
      </c>
      <c r="G2109">
        <v>8758</v>
      </c>
      <c r="H2109">
        <v>0</v>
      </c>
      <c r="I2109">
        <v>0</v>
      </c>
    </row>
    <row r="2110" spans="1:9" x14ac:dyDescent="0.25">
      <c r="A2110">
        <v>22</v>
      </c>
      <c r="B2110">
        <v>1</v>
      </c>
      <c r="C2110">
        <v>2</v>
      </c>
      <c r="D2110">
        <v>0</v>
      </c>
      <c r="E2110">
        <v>3</v>
      </c>
      <c r="F2110">
        <v>0</v>
      </c>
      <c r="G2110">
        <v>9965</v>
      </c>
      <c r="H2110">
        <v>0</v>
      </c>
      <c r="I2110">
        <v>0</v>
      </c>
    </row>
    <row r="2111" spans="1:9" x14ac:dyDescent="0.25">
      <c r="A2111">
        <v>22</v>
      </c>
      <c r="B2111">
        <v>1</v>
      </c>
      <c r="C2111">
        <v>3</v>
      </c>
      <c r="D2111">
        <v>0</v>
      </c>
      <c r="E2111">
        <v>1</v>
      </c>
      <c r="F2111">
        <v>0</v>
      </c>
      <c r="G2111">
        <v>7733</v>
      </c>
      <c r="H2111">
        <v>0</v>
      </c>
      <c r="I2111">
        <v>0</v>
      </c>
    </row>
    <row r="2112" spans="1:9" x14ac:dyDescent="0.25">
      <c r="A2112">
        <v>22</v>
      </c>
      <c r="B2112">
        <v>1</v>
      </c>
      <c r="C2112">
        <v>3</v>
      </c>
      <c r="D2112">
        <v>0</v>
      </c>
      <c r="E2112">
        <v>3</v>
      </c>
      <c r="F2112">
        <v>0</v>
      </c>
      <c r="G2112">
        <v>10067</v>
      </c>
      <c r="H2112">
        <v>0</v>
      </c>
      <c r="I2112">
        <v>0</v>
      </c>
    </row>
    <row r="2113" spans="1:9" x14ac:dyDescent="0.25">
      <c r="A2113">
        <v>22</v>
      </c>
      <c r="B2113">
        <v>1</v>
      </c>
      <c r="C2113">
        <v>2</v>
      </c>
      <c r="D2113">
        <v>0</v>
      </c>
      <c r="E2113">
        <v>2</v>
      </c>
      <c r="F2113">
        <v>0</v>
      </c>
      <c r="G2113">
        <v>10204</v>
      </c>
      <c r="H2113">
        <v>0</v>
      </c>
      <c r="I2113">
        <v>0</v>
      </c>
    </row>
    <row r="2114" spans="1:9" x14ac:dyDescent="0.25">
      <c r="A2114">
        <v>22</v>
      </c>
      <c r="B2114">
        <v>1</v>
      </c>
      <c r="C2114">
        <v>2</v>
      </c>
      <c r="D2114">
        <v>1</v>
      </c>
      <c r="E2114">
        <v>2</v>
      </c>
      <c r="F2114">
        <v>0</v>
      </c>
      <c r="G2114">
        <v>7328</v>
      </c>
      <c r="H2114">
        <v>0</v>
      </c>
      <c r="I2114">
        <v>0</v>
      </c>
    </row>
    <row r="2115" spans="1:9" x14ac:dyDescent="0.25">
      <c r="A2115">
        <v>22</v>
      </c>
      <c r="B2115">
        <v>1</v>
      </c>
      <c r="C2115">
        <v>2</v>
      </c>
      <c r="D2115">
        <v>0</v>
      </c>
      <c r="E2115">
        <v>2</v>
      </c>
      <c r="F2115">
        <v>0</v>
      </c>
      <c r="G2115">
        <v>5107</v>
      </c>
      <c r="H2115">
        <v>0</v>
      </c>
      <c r="I2115">
        <v>0</v>
      </c>
    </row>
    <row r="2116" spans="1:9" x14ac:dyDescent="0.25">
      <c r="A2116">
        <v>22</v>
      </c>
      <c r="B2116">
        <v>1</v>
      </c>
      <c r="C2116">
        <v>2</v>
      </c>
      <c r="D2116">
        <v>0</v>
      </c>
      <c r="E2116">
        <v>2</v>
      </c>
      <c r="F2116">
        <v>0</v>
      </c>
      <c r="G2116">
        <v>7193</v>
      </c>
      <c r="H2116">
        <v>0</v>
      </c>
      <c r="I2116">
        <v>0</v>
      </c>
    </row>
    <row r="2117" spans="1:9" x14ac:dyDescent="0.25">
      <c r="A2117">
        <v>22</v>
      </c>
      <c r="B2117">
        <v>1</v>
      </c>
      <c r="C2117">
        <v>2</v>
      </c>
      <c r="D2117">
        <v>1</v>
      </c>
      <c r="E2117">
        <v>3</v>
      </c>
      <c r="F2117">
        <v>0</v>
      </c>
      <c r="G2117">
        <v>9139</v>
      </c>
      <c r="H2117">
        <v>0</v>
      </c>
      <c r="I2117">
        <v>0</v>
      </c>
    </row>
    <row r="2118" spans="1:9" x14ac:dyDescent="0.25">
      <c r="A2118">
        <v>22</v>
      </c>
      <c r="B2118">
        <v>1</v>
      </c>
      <c r="C2118">
        <v>3</v>
      </c>
      <c r="D2118">
        <v>0</v>
      </c>
      <c r="E2118">
        <v>2</v>
      </c>
      <c r="F2118">
        <v>0</v>
      </c>
      <c r="G2118">
        <v>15433</v>
      </c>
      <c r="H2118">
        <v>1</v>
      </c>
      <c r="I2118">
        <v>0</v>
      </c>
    </row>
    <row r="2119" spans="1:9" x14ac:dyDescent="0.25">
      <c r="A2119">
        <v>22</v>
      </c>
      <c r="B2119">
        <v>1</v>
      </c>
      <c r="C2119">
        <v>4</v>
      </c>
      <c r="D2119">
        <v>0</v>
      </c>
      <c r="E2119">
        <v>1</v>
      </c>
      <c r="F2119">
        <v>0</v>
      </c>
      <c r="G2119">
        <v>17316</v>
      </c>
      <c r="H2119">
        <v>1</v>
      </c>
      <c r="I2119">
        <v>0</v>
      </c>
    </row>
    <row r="2120" spans="1:9" x14ac:dyDescent="0.25">
      <c r="A2120">
        <v>22</v>
      </c>
      <c r="B2120">
        <v>1</v>
      </c>
      <c r="C2120">
        <v>3</v>
      </c>
      <c r="D2120">
        <v>0</v>
      </c>
      <c r="E2120">
        <v>1</v>
      </c>
      <c r="F2120">
        <v>0</v>
      </c>
      <c r="G2120">
        <v>18312</v>
      </c>
      <c r="H2120">
        <v>1</v>
      </c>
      <c r="I2120">
        <v>0</v>
      </c>
    </row>
    <row r="2121" spans="1:9" x14ac:dyDescent="0.25">
      <c r="A2121">
        <v>22</v>
      </c>
      <c r="B2121">
        <v>1</v>
      </c>
      <c r="C2121">
        <v>3</v>
      </c>
      <c r="D2121">
        <v>0</v>
      </c>
      <c r="E2121">
        <v>1</v>
      </c>
      <c r="F2121">
        <v>0</v>
      </c>
      <c r="G2121">
        <v>16400</v>
      </c>
      <c r="H2121">
        <v>1</v>
      </c>
      <c r="I2121">
        <v>0</v>
      </c>
    </row>
    <row r="2122" spans="1:9" x14ac:dyDescent="0.25">
      <c r="A2122">
        <v>22</v>
      </c>
      <c r="B2122">
        <v>1</v>
      </c>
      <c r="C2122">
        <v>3</v>
      </c>
      <c r="D2122">
        <v>4</v>
      </c>
      <c r="E2122">
        <v>1</v>
      </c>
      <c r="F2122">
        <v>0</v>
      </c>
      <c r="G2122">
        <v>17665</v>
      </c>
      <c r="H2122">
        <v>1</v>
      </c>
      <c r="I2122">
        <v>0</v>
      </c>
    </row>
    <row r="2123" spans="1:9" x14ac:dyDescent="0.25">
      <c r="A2123">
        <v>22</v>
      </c>
      <c r="B2123">
        <v>1</v>
      </c>
      <c r="C2123">
        <v>5</v>
      </c>
      <c r="D2123">
        <v>2</v>
      </c>
      <c r="E2123">
        <v>1</v>
      </c>
      <c r="F2123">
        <v>0</v>
      </c>
      <c r="G2123">
        <v>12091</v>
      </c>
      <c r="H2123">
        <v>1</v>
      </c>
      <c r="I2123">
        <v>0</v>
      </c>
    </row>
    <row r="2124" spans="1:9" x14ac:dyDescent="0.25">
      <c r="A2124">
        <v>21</v>
      </c>
      <c r="B2124">
        <v>1</v>
      </c>
      <c r="C2124">
        <v>2</v>
      </c>
      <c r="D2124">
        <v>0</v>
      </c>
      <c r="E2124">
        <v>1</v>
      </c>
      <c r="F2124">
        <v>0</v>
      </c>
      <c r="G2124">
        <v>5316</v>
      </c>
      <c r="H2124">
        <v>0</v>
      </c>
      <c r="I2124">
        <v>0</v>
      </c>
    </row>
    <row r="2125" spans="1:9" x14ac:dyDescent="0.25">
      <c r="A2125">
        <v>21</v>
      </c>
      <c r="B2125">
        <v>1</v>
      </c>
      <c r="C2125">
        <v>3</v>
      </c>
      <c r="D2125">
        <v>3</v>
      </c>
      <c r="E2125">
        <v>0</v>
      </c>
      <c r="F2125">
        <v>0</v>
      </c>
      <c r="G2125">
        <v>2611</v>
      </c>
      <c r="H2125">
        <v>0</v>
      </c>
      <c r="I2125">
        <v>0</v>
      </c>
    </row>
    <row r="2126" spans="1:9" x14ac:dyDescent="0.25">
      <c r="A2126">
        <v>21</v>
      </c>
      <c r="B2126">
        <v>0</v>
      </c>
      <c r="C2126">
        <v>2</v>
      </c>
      <c r="D2126">
        <v>4</v>
      </c>
      <c r="E2126">
        <v>0</v>
      </c>
      <c r="F2126">
        <v>0</v>
      </c>
      <c r="G2126">
        <v>12889</v>
      </c>
      <c r="H2126">
        <v>0</v>
      </c>
      <c r="I2126">
        <v>0</v>
      </c>
    </row>
    <row r="2127" spans="1:9" x14ac:dyDescent="0.25">
      <c r="A2127">
        <v>21</v>
      </c>
      <c r="B2127">
        <v>1</v>
      </c>
      <c r="C2127">
        <v>2</v>
      </c>
      <c r="D2127">
        <v>0</v>
      </c>
      <c r="E2127">
        <v>1</v>
      </c>
      <c r="F2127">
        <v>0</v>
      </c>
      <c r="G2127">
        <v>5559</v>
      </c>
      <c r="H2127">
        <v>0</v>
      </c>
      <c r="I2127">
        <v>0</v>
      </c>
    </row>
    <row r="2128" spans="1:9" x14ac:dyDescent="0.25">
      <c r="A2128">
        <v>21</v>
      </c>
      <c r="B2128">
        <v>1</v>
      </c>
      <c r="C2128">
        <v>3</v>
      </c>
      <c r="D2128">
        <v>0</v>
      </c>
      <c r="E2128">
        <v>1</v>
      </c>
      <c r="F2128">
        <v>0</v>
      </c>
      <c r="G2128">
        <v>8957</v>
      </c>
      <c r="H2128">
        <v>0</v>
      </c>
      <c r="I2128">
        <v>0</v>
      </c>
    </row>
    <row r="2129" spans="1:9" x14ac:dyDescent="0.25">
      <c r="A2129">
        <v>21</v>
      </c>
      <c r="B2129">
        <v>0</v>
      </c>
      <c r="C2129">
        <v>11</v>
      </c>
      <c r="D2129">
        <v>5</v>
      </c>
      <c r="E2129">
        <v>0</v>
      </c>
      <c r="F2129">
        <v>0</v>
      </c>
      <c r="G2129">
        <v>18179</v>
      </c>
      <c r="H2129">
        <v>0</v>
      </c>
      <c r="I2129">
        <v>0</v>
      </c>
    </row>
    <row r="2130" spans="1:9" x14ac:dyDescent="0.25">
      <c r="A2130">
        <v>21</v>
      </c>
      <c r="B2130">
        <v>1</v>
      </c>
      <c r="C2130">
        <v>5</v>
      </c>
      <c r="D2130">
        <v>2</v>
      </c>
      <c r="E2130">
        <v>0</v>
      </c>
      <c r="F2130">
        <v>0</v>
      </c>
      <c r="G2130">
        <v>6647</v>
      </c>
      <c r="H2130">
        <v>0</v>
      </c>
      <c r="I2130">
        <v>0</v>
      </c>
    </row>
    <row r="2131" spans="1:9" x14ac:dyDescent="0.25">
      <c r="A2131">
        <v>21</v>
      </c>
      <c r="B2131">
        <v>1</v>
      </c>
      <c r="C2131">
        <v>4</v>
      </c>
      <c r="D2131">
        <v>2</v>
      </c>
      <c r="E2131">
        <v>0</v>
      </c>
      <c r="F2131">
        <v>0</v>
      </c>
      <c r="G2131">
        <v>8088</v>
      </c>
      <c r="H2131">
        <v>0</v>
      </c>
      <c r="I2131">
        <v>0</v>
      </c>
    </row>
    <row r="2132" spans="1:9" x14ac:dyDescent="0.25">
      <c r="A2132">
        <v>21</v>
      </c>
      <c r="B2132">
        <v>1</v>
      </c>
      <c r="C2132">
        <v>2</v>
      </c>
      <c r="D2132">
        <v>3</v>
      </c>
      <c r="E2132">
        <v>0</v>
      </c>
      <c r="F2132">
        <v>0</v>
      </c>
      <c r="G2132">
        <v>1782</v>
      </c>
      <c r="H2132">
        <v>0</v>
      </c>
      <c r="I2132">
        <v>0</v>
      </c>
    </row>
    <row r="2133" spans="1:9" x14ac:dyDescent="0.25">
      <c r="A2133">
        <v>21</v>
      </c>
      <c r="B2133">
        <v>1</v>
      </c>
      <c r="C2133">
        <v>4</v>
      </c>
      <c r="D2133">
        <v>3</v>
      </c>
      <c r="E2133">
        <v>0</v>
      </c>
      <c r="F2133">
        <v>0</v>
      </c>
      <c r="G2133">
        <v>6527</v>
      </c>
      <c r="H2133">
        <v>0</v>
      </c>
      <c r="I2133">
        <v>0</v>
      </c>
    </row>
    <row r="2134" spans="1:9" x14ac:dyDescent="0.25">
      <c r="A2134">
        <v>21</v>
      </c>
      <c r="B2134">
        <v>1</v>
      </c>
      <c r="C2134">
        <v>3</v>
      </c>
      <c r="D2134">
        <v>0</v>
      </c>
      <c r="E2134">
        <v>1</v>
      </c>
      <c r="F2134">
        <v>0</v>
      </c>
      <c r="G2134">
        <v>7740</v>
      </c>
      <c r="H2134">
        <v>0</v>
      </c>
      <c r="I2134">
        <v>0</v>
      </c>
    </row>
    <row r="2135" spans="1:9" x14ac:dyDescent="0.25">
      <c r="A2135">
        <v>21</v>
      </c>
      <c r="B2135">
        <v>1</v>
      </c>
      <c r="C2135">
        <v>7</v>
      </c>
      <c r="D2135">
        <v>3</v>
      </c>
      <c r="E2135">
        <v>0</v>
      </c>
      <c r="F2135">
        <v>0</v>
      </c>
      <c r="G2135">
        <v>10149</v>
      </c>
      <c r="H2135">
        <v>0</v>
      </c>
      <c r="I2135">
        <v>0</v>
      </c>
    </row>
    <row r="2136" spans="1:9" x14ac:dyDescent="0.25">
      <c r="A2136">
        <v>21</v>
      </c>
      <c r="B2136">
        <v>1</v>
      </c>
      <c r="C2136">
        <v>2</v>
      </c>
      <c r="D2136">
        <v>0</v>
      </c>
      <c r="E2136">
        <v>2</v>
      </c>
      <c r="F2136">
        <v>0</v>
      </c>
      <c r="G2136">
        <v>5344</v>
      </c>
      <c r="H2136">
        <v>0</v>
      </c>
      <c r="I2136">
        <v>0</v>
      </c>
    </row>
    <row r="2137" spans="1:9" x14ac:dyDescent="0.25">
      <c r="A2137">
        <v>21</v>
      </c>
      <c r="B2137">
        <v>1</v>
      </c>
      <c r="C2137">
        <v>2</v>
      </c>
      <c r="D2137">
        <v>1</v>
      </c>
      <c r="E2137">
        <v>1</v>
      </c>
      <c r="F2137">
        <v>0</v>
      </c>
      <c r="G2137">
        <v>5539</v>
      </c>
      <c r="H2137">
        <v>0</v>
      </c>
      <c r="I2137">
        <v>0</v>
      </c>
    </row>
    <row r="2138" spans="1:9" x14ac:dyDescent="0.25">
      <c r="A2138">
        <v>21</v>
      </c>
      <c r="B2138">
        <v>1</v>
      </c>
      <c r="C2138">
        <v>8</v>
      </c>
      <c r="D2138">
        <v>6</v>
      </c>
      <c r="E2138">
        <v>0</v>
      </c>
      <c r="F2138">
        <v>0</v>
      </c>
      <c r="G2138">
        <v>12206</v>
      </c>
      <c r="H2138">
        <v>0</v>
      </c>
      <c r="I2138">
        <v>0</v>
      </c>
    </row>
    <row r="2139" spans="1:9" x14ac:dyDescent="0.25">
      <c r="A2139">
        <v>21</v>
      </c>
      <c r="B2139">
        <v>1</v>
      </c>
      <c r="C2139">
        <v>3</v>
      </c>
      <c r="D2139">
        <v>0</v>
      </c>
      <c r="E2139">
        <v>1</v>
      </c>
      <c r="F2139">
        <v>0</v>
      </c>
      <c r="G2139">
        <v>8241</v>
      </c>
      <c r="H2139">
        <v>0</v>
      </c>
      <c r="I2139">
        <v>0</v>
      </c>
    </row>
    <row r="2140" spans="1:9" x14ac:dyDescent="0.25">
      <c r="A2140">
        <v>21</v>
      </c>
      <c r="B2140">
        <v>1</v>
      </c>
      <c r="C2140">
        <v>6</v>
      </c>
      <c r="D2140">
        <v>3</v>
      </c>
      <c r="E2140">
        <v>0</v>
      </c>
      <c r="F2140">
        <v>0</v>
      </c>
      <c r="G2140">
        <v>13103</v>
      </c>
      <c r="H2140">
        <v>0</v>
      </c>
      <c r="I2140">
        <v>0</v>
      </c>
    </row>
    <row r="2141" spans="1:9" x14ac:dyDescent="0.25">
      <c r="A2141">
        <v>21</v>
      </c>
      <c r="B2141">
        <v>1</v>
      </c>
      <c r="C2141">
        <v>2</v>
      </c>
      <c r="D2141">
        <v>0</v>
      </c>
      <c r="E2141">
        <v>1</v>
      </c>
      <c r="F2141">
        <v>0</v>
      </c>
      <c r="G2141">
        <v>6057</v>
      </c>
      <c r="H2141">
        <v>0</v>
      </c>
      <c r="I2141">
        <v>0</v>
      </c>
    </row>
    <row r="2142" spans="1:9" x14ac:dyDescent="0.25">
      <c r="A2142">
        <v>21</v>
      </c>
      <c r="B2142">
        <v>1</v>
      </c>
      <c r="C2142">
        <v>2</v>
      </c>
      <c r="D2142">
        <v>1</v>
      </c>
      <c r="E2142">
        <v>1</v>
      </c>
      <c r="F2142">
        <v>0</v>
      </c>
      <c r="G2142">
        <v>9514</v>
      </c>
      <c r="H2142">
        <v>0</v>
      </c>
      <c r="I2142">
        <v>0</v>
      </c>
    </row>
    <row r="2143" spans="1:9" x14ac:dyDescent="0.25">
      <c r="A2143">
        <v>21</v>
      </c>
      <c r="B2143">
        <v>0</v>
      </c>
      <c r="C2143">
        <v>7</v>
      </c>
      <c r="D2143">
        <v>3</v>
      </c>
      <c r="E2143">
        <v>0</v>
      </c>
      <c r="F2143">
        <v>0</v>
      </c>
      <c r="G2143">
        <v>10219</v>
      </c>
      <c r="H2143">
        <v>0</v>
      </c>
      <c r="I2143">
        <v>0</v>
      </c>
    </row>
    <row r="2144" spans="1:9" x14ac:dyDescent="0.25">
      <c r="A2144">
        <v>21</v>
      </c>
      <c r="B2144">
        <v>1</v>
      </c>
      <c r="C2144">
        <v>2</v>
      </c>
      <c r="D2144">
        <v>2</v>
      </c>
      <c r="E2144">
        <v>1</v>
      </c>
      <c r="F2144">
        <v>0</v>
      </c>
      <c r="G2144">
        <v>6079</v>
      </c>
      <c r="H2144">
        <v>0</v>
      </c>
      <c r="I2144">
        <v>0</v>
      </c>
    </row>
    <row r="2145" spans="1:9" x14ac:dyDescent="0.25">
      <c r="A2145">
        <v>21</v>
      </c>
      <c r="B2145">
        <v>1</v>
      </c>
      <c r="C2145">
        <v>8</v>
      </c>
      <c r="D2145">
        <v>1</v>
      </c>
      <c r="E2145">
        <v>0</v>
      </c>
      <c r="F2145">
        <v>0</v>
      </c>
      <c r="G2145">
        <v>11879</v>
      </c>
      <c r="H2145">
        <v>0</v>
      </c>
      <c r="I2145">
        <v>0</v>
      </c>
    </row>
    <row r="2146" spans="1:9" x14ac:dyDescent="0.25">
      <c r="A2146">
        <v>21</v>
      </c>
      <c r="B2146">
        <v>1</v>
      </c>
      <c r="C2146">
        <v>2</v>
      </c>
      <c r="D2146">
        <v>2</v>
      </c>
      <c r="E2146">
        <v>1</v>
      </c>
      <c r="F2146">
        <v>0</v>
      </c>
      <c r="G2146">
        <v>7355</v>
      </c>
      <c r="H2146">
        <v>0</v>
      </c>
      <c r="I2146">
        <v>0</v>
      </c>
    </row>
    <row r="2147" spans="1:9" x14ac:dyDescent="0.25">
      <c r="A2147">
        <v>21</v>
      </c>
      <c r="B2147">
        <v>0</v>
      </c>
      <c r="C2147">
        <v>6</v>
      </c>
      <c r="D2147">
        <v>2</v>
      </c>
      <c r="E2147">
        <v>0</v>
      </c>
      <c r="F2147">
        <v>0</v>
      </c>
      <c r="G2147">
        <v>10585</v>
      </c>
      <c r="H2147">
        <v>0</v>
      </c>
      <c r="I2147">
        <v>0</v>
      </c>
    </row>
    <row r="2148" spans="1:9" x14ac:dyDescent="0.25">
      <c r="A2148">
        <v>21</v>
      </c>
      <c r="B2148">
        <v>1</v>
      </c>
      <c r="C2148">
        <v>2</v>
      </c>
      <c r="D2148">
        <v>1</v>
      </c>
      <c r="E2148">
        <v>4</v>
      </c>
      <c r="F2148">
        <v>0</v>
      </c>
      <c r="G2148">
        <v>7367</v>
      </c>
      <c r="H2148">
        <v>0</v>
      </c>
      <c r="I2148">
        <v>0</v>
      </c>
    </row>
    <row r="2149" spans="1:9" x14ac:dyDescent="0.25">
      <c r="A2149">
        <v>21</v>
      </c>
      <c r="B2149">
        <v>1</v>
      </c>
      <c r="C2149">
        <v>2</v>
      </c>
      <c r="D2149">
        <v>0</v>
      </c>
      <c r="E2149">
        <v>2</v>
      </c>
      <c r="F2149">
        <v>0</v>
      </c>
      <c r="G2149">
        <v>7884</v>
      </c>
      <c r="H2149">
        <v>0</v>
      </c>
      <c r="I2149">
        <v>0</v>
      </c>
    </row>
    <row r="2150" spans="1:9" x14ac:dyDescent="0.25">
      <c r="A2150">
        <v>21</v>
      </c>
      <c r="B2150">
        <v>1</v>
      </c>
      <c r="C2150">
        <v>2</v>
      </c>
      <c r="D2150">
        <v>1</v>
      </c>
      <c r="E2150">
        <v>2</v>
      </c>
      <c r="F2150">
        <v>0</v>
      </c>
      <c r="G2150">
        <v>10135</v>
      </c>
      <c r="H2150">
        <v>0</v>
      </c>
      <c r="I2150">
        <v>0</v>
      </c>
    </row>
    <row r="2151" spans="1:9" x14ac:dyDescent="0.25">
      <c r="A2151">
        <v>21</v>
      </c>
      <c r="B2151">
        <v>1</v>
      </c>
      <c r="C2151">
        <v>4</v>
      </c>
      <c r="D2151">
        <v>2</v>
      </c>
      <c r="E2151">
        <v>0</v>
      </c>
      <c r="F2151">
        <v>0</v>
      </c>
      <c r="G2151">
        <v>7985</v>
      </c>
      <c r="H2151">
        <v>0</v>
      </c>
      <c r="I2151">
        <v>0</v>
      </c>
    </row>
    <row r="2152" spans="1:9" x14ac:dyDescent="0.25">
      <c r="A2152">
        <v>21</v>
      </c>
      <c r="B2152">
        <v>1</v>
      </c>
      <c r="C2152">
        <v>2</v>
      </c>
      <c r="D2152">
        <v>0</v>
      </c>
      <c r="E2152">
        <v>1</v>
      </c>
      <c r="F2152">
        <v>0</v>
      </c>
      <c r="G2152">
        <v>7961</v>
      </c>
      <c r="H2152">
        <v>0</v>
      </c>
      <c r="I2152">
        <v>0</v>
      </c>
    </row>
    <row r="2153" spans="1:9" x14ac:dyDescent="0.25">
      <c r="A2153">
        <v>21</v>
      </c>
      <c r="B2153">
        <v>1</v>
      </c>
      <c r="C2153">
        <v>2</v>
      </c>
      <c r="D2153">
        <v>0</v>
      </c>
      <c r="E2153">
        <v>3</v>
      </c>
      <c r="F2153">
        <v>0</v>
      </c>
      <c r="G2153">
        <v>7940</v>
      </c>
      <c r="H2153">
        <v>0</v>
      </c>
      <c r="I2153">
        <v>0</v>
      </c>
    </row>
    <row r="2154" spans="1:9" x14ac:dyDescent="0.25">
      <c r="A2154">
        <v>21</v>
      </c>
      <c r="B2154">
        <v>1</v>
      </c>
      <c r="C2154">
        <v>2</v>
      </c>
      <c r="D2154">
        <v>0</v>
      </c>
      <c r="E2154">
        <v>1</v>
      </c>
      <c r="F2154">
        <v>0</v>
      </c>
      <c r="G2154">
        <v>7774</v>
      </c>
      <c r="H2154">
        <v>0</v>
      </c>
      <c r="I2154">
        <v>0</v>
      </c>
    </row>
    <row r="2155" spans="1:9" x14ac:dyDescent="0.25">
      <c r="A2155">
        <v>21</v>
      </c>
      <c r="B2155">
        <v>0</v>
      </c>
      <c r="C2155">
        <v>1</v>
      </c>
      <c r="D2155">
        <v>0</v>
      </c>
      <c r="E2155">
        <v>1</v>
      </c>
      <c r="F2155">
        <v>0</v>
      </c>
      <c r="G2155">
        <v>14936</v>
      </c>
      <c r="H2155">
        <v>1</v>
      </c>
      <c r="I2155">
        <v>0</v>
      </c>
    </row>
    <row r="2156" spans="1:9" x14ac:dyDescent="0.25">
      <c r="A2156">
        <v>21</v>
      </c>
      <c r="B2156">
        <v>1</v>
      </c>
      <c r="C2156">
        <v>3</v>
      </c>
      <c r="D2156">
        <v>0</v>
      </c>
      <c r="E2156">
        <v>2</v>
      </c>
      <c r="F2156">
        <v>0</v>
      </c>
      <c r="G2156">
        <v>10647</v>
      </c>
      <c r="H2156">
        <v>1</v>
      </c>
      <c r="I2156">
        <v>0</v>
      </c>
    </row>
    <row r="2157" spans="1:9" x14ac:dyDescent="0.25">
      <c r="A2157">
        <v>21</v>
      </c>
      <c r="B2157">
        <v>1</v>
      </c>
      <c r="C2157">
        <v>3</v>
      </c>
      <c r="D2157">
        <v>0</v>
      </c>
      <c r="E2157">
        <v>1</v>
      </c>
      <c r="F2157">
        <v>0</v>
      </c>
      <c r="G2157">
        <v>10841</v>
      </c>
      <c r="H2157">
        <v>1</v>
      </c>
      <c r="I2157">
        <v>0</v>
      </c>
    </row>
    <row r="2158" spans="1:9" x14ac:dyDescent="0.25">
      <c r="A2158">
        <v>21</v>
      </c>
      <c r="B2158">
        <v>1</v>
      </c>
      <c r="C2158">
        <v>3</v>
      </c>
      <c r="D2158">
        <v>0</v>
      </c>
      <c r="E2158">
        <v>1</v>
      </c>
      <c r="F2158">
        <v>0</v>
      </c>
      <c r="G2158">
        <v>14726</v>
      </c>
      <c r="H2158">
        <v>1</v>
      </c>
      <c r="I2158">
        <v>0</v>
      </c>
    </row>
    <row r="2159" spans="1:9" x14ac:dyDescent="0.25">
      <c r="A2159">
        <v>20</v>
      </c>
      <c r="B2159">
        <v>1</v>
      </c>
      <c r="C2159">
        <v>4</v>
      </c>
      <c r="D2159">
        <v>3</v>
      </c>
      <c r="E2159">
        <v>0</v>
      </c>
      <c r="F2159">
        <v>0</v>
      </c>
      <c r="G2159">
        <v>5413</v>
      </c>
      <c r="H2159">
        <v>0</v>
      </c>
      <c r="I2159">
        <v>0</v>
      </c>
    </row>
    <row r="2160" spans="1:9" x14ac:dyDescent="0.25">
      <c r="A2160">
        <v>20</v>
      </c>
      <c r="B2160">
        <v>1</v>
      </c>
      <c r="C2160">
        <v>3</v>
      </c>
      <c r="D2160">
        <v>3</v>
      </c>
      <c r="E2160">
        <v>0</v>
      </c>
      <c r="F2160">
        <v>0</v>
      </c>
      <c r="G2160">
        <v>13776</v>
      </c>
      <c r="H2160">
        <v>0</v>
      </c>
      <c r="I2160">
        <v>0</v>
      </c>
    </row>
    <row r="2161" spans="1:9" x14ac:dyDescent="0.25">
      <c r="A2161">
        <v>20</v>
      </c>
      <c r="B2161">
        <v>1</v>
      </c>
      <c r="C2161">
        <v>3</v>
      </c>
      <c r="D2161">
        <v>0</v>
      </c>
      <c r="E2161">
        <v>2</v>
      </c>
      <c r="F2161">
        <v>0</v>
      </c>
      <c r="G2161">
        <v>6880</v>
      </c>
      <c r="H2161">
        <v>0</v>
      </c>
      <c r="I2161">
        <v>0</v>
      </c>
    </row>
    <row r="2162" spans="1:9" x14ac:dyDescent="0.25">
      <c r="A2162">
        <v>20</v>
      </c>
      <c r="B2162">
        <v>1</v>
      </c>
      <c r="C2162">
        <v>2</v>
      </c>
      <c r="D2162">
        <v>1</v>
      </c>
      <c r="E2162">
        <v>2</v>
      </c>
      <c r="F2162">
        <v>0</v>
      </c>
      <c r="G2162">
        <v>7043</v>
      </c>
      <c r="H2162">
        <v>0</v>
      </c>
      <c r="I2162">
        <v>0</v>
      </c>
    </row>
    <row r="2163" spans="1:9" x14ac:dyDescent="0.25">
      <c r="A2163">
        <v>20</v>
      </c>
      <c r="B2163">
        <v>1</v>
      </c>
      <c r="C2163">
        <v>3</v>
      </c>
      <c r="D2163">
        <v>0</v>
      </c>
      <c r="E2163">
        <v>1</v>
      </c>
      <c r="F2163">
        <v>0</v>
      </c>
      <c r="G2163">
        <v>9481</v>
      </c>
      <c r="H2163">
        <v>0</v>
      </c>
      <c r="I2163">
        <v>0</v>
      </c>
    </row>
    <row r="2164" spans="1:9" x14ac:dyDescent="0.25">
      <c r="A2164">
        <v>20</v>
      </c>
      <c r="B2164">
        <v>1</v>
      </c>
      <c r="C2164">
        <v>3</v>
      </c>
      <c r="D2164">
        <v>0</v>
      </c>
      <c r="E2164">
        <v>2</v>
      </c>
      <c r="F2164">
        <v>0</v>
      </c>
      <c r="G2164">
        <v>10014</v>
      </c>
      <c r="H2164">
        <v>0</v>
      </c>
      <c r="I2164">
        <v>0</v>
      </c>
    </row>
    <row r="2165" spans="1:9" x14ac:dyDescent="0.25">
      <c r="A2165">
        <v>20</v>
      </c>
      <c r="B2165">
        <v>1</v>
      </c>
      <c r="C2165">
        <v>3</v>
      </c>
      <c r="D2165">
        <v>0</v>
      </c>
      <c r="E2165">
        <v>3</v>
      </c>
      <c r="F2165">
        <v>0</v>
      </c>
      <c r="G2165">
        <v>8466</v>
      </c>
      <c r="H2165">
        <v>0</v>
      </c>
      <c r="I2165">
        <v>0</v>
      </c>
    </row>
    <row r="2166" spans="1:9" x14ac:dyDescent="0.25">
      <c r="A2166">
        <v>20</v>
      </c>
      <c r="B2166">
        <v>0</v>
      </c>
      <c r="C2166">
        <v>1</v>
      </c>
      <c r="D2166">
        <v>0</v>
      </c>
      <c r="E2166">
        <v>0</v>
      </c>
      <c r="F2166">
        <v>0</v>
      </c>
      <c r="G2166">
        <v>11786</v>
      </c>
      <c r="H2166">
        <v>0</v>
      </c>
      <c r="I2166">
        <v>0</v>
      </c>
    </row>
    <row r="2167" spans="1:9" x14ac:dyDescent="0.25">
      <c r="A2167">
        <v>20</v>
      </c>
      <c r="B2167">
        <v>0</v>
      </c>
      <c r="C2167">
        <v>7</v>
      </c>
      <c r="D2167">
        <v>3</v>
      </c>
      <c r="E2167">
        <v>0</v>
      </c>
      <c r="F2167">
        <v>0</v>
      </c>
      <c r="G2167">
        <v>9475</v>
      </c>
      <c r="H2167">
        <v>0</v>
      </c>
      <c r="I2167">
        <v>0</v>
      </c>
    </row>
    <row r="2168" spans="1:9" x14ac:dyDescent="0.25">
      <c r="A2168">
        <v>20</v>
      </c>
      <c r="B2168">
        <v>1</v>
      </c>
      <c r="C2168">
        <v>6</v>
      </c>
      <c r="D2168">
        <v>1</v>
      </c>
      <c r="E2168">
        <v>0</v>
      </c>
      <c r="F2168">
        <v>0</v>
      </c>
      <c r="G2168">
        <v>7883</v>
      </c>
      <c r="H2168">
        <v>0</v>
      </c>
      <c r="I2168">
        <v>0</v>
      </c>
    </row>
    <row r="2169" spans="1:9" x14ac:dyDescent="0.25">
      <c r="A2169">
        <v>20</v>
      </c>
      <c r="B2169">
        <v>1</v>
      </c>
      <c r="C2169">
        <v>3</v>
      </c>
      <c r="D2169">
        <v>0</v>
      </c>
      <c r="E2169">
        <v>0</v>
      </c>
      <c r="F2169">
        <v>0</v>
      </c>
      <c r="G2169">
        <v>5750</v>
      </c>
      <c r="H2169">
        <v>0</v>
      </c>
      <c r="I2169">
        <v>0</v>
      </c>
    </row>
    <row r="2170" spans="1:9" x14ac:dyDescent="0.25">
      <c r="A2170">
        <v>20</v>
      </c>
      <c r="B2170">
        <v>0</v>
      </c>
      <c r="C2170">
        <v>10</v>
      </c>
      <c r="D2170">
        <v>3</v>
      </c>
      <c r="E2170">
        <v>0</v>
      </c>
      <c r="F2170">
        <v>0</v>
      </c>
      <c r="G2170">
        <v>13162</v>
      </c>
      <c r="H2170">
        <v>0</v>
      </c>
      <c r="I2170">
        <v>0</v>
      </c>
    </row>
    <row r="2171" spans="1:9" x14ac:dyDescent="0.25">
      <c r="A2171">
        <v>20</v>
      </c>
      <c r="B2171">
        <v>1</v>
      </c>
      <c r="C2171">
        <v>2</v>
      </c>
      <c r="D2171">
        <v>0</v>
      </c>
      <c r="E2171">
        <v>1</v>
      </c>
      <c r="F2171">
        <v>0</v>
      </c>
      <c r="G2171">
        <v>6276</v>
      </c>
      <c r="H2171">
        <v>0</v>
      </c>
      <c r="I2171">
        <v>0</v>
      </c>
    </row>
    <row r="2172" spans="1:9" x14ac:dyDescent="0.25">
      <c r="A2172">
        <v>20</v>
      </c>
      <c r="B2172">
        <v>1</v>
      </c>
      <c r="C2172">
        <v>1</v>
      </c>
      <c r="D2172">
        <v>0</v>
      </c>
      <c r="E2172">
        <v>0</v>
      </c>
      <c r="F2172">
        <v>0</v>
      </c>
      <c r="G2172">
        <v>6710</v>
      </c>
      <c r="H2172">
        <v>0</v>
      </c>
      <c r="I2172">
        <v>0</v>
      </c>
    </row>
    <row r="2173" spans="1:9" x14ac:dyDescent="0.25">
      <c r="A2173">
        <v>20</v>
      </c>
      <c r="B2173">
        <v>0</v>
      </c>
      <c r="C2173">
        <v>2</v>
      </c>
      <c r="D2173">
        <v>1</v>
      </c>
      <c r="E2173">
        <v>0</v>
      </c>
      <c r="F2173">
        <v>0</v>
      </c>
      <c r="G2173">
        <v>12021</v>
      </c>
      <c r="H2173">
        <v>0</v>
      </c>
      <c r="I2173">
        <v>0</v>
      </c>
    </row>
    <row r="2174" spans="1:9" x14ac:dyDescent="0.25">
      <c r="A2174">
        <v>20</v>
      </c>
      <c r="B2174">
        <v>1</v>
      </c>
      <c r="C2174">
        <v>5</v>
      </c>
      <c r="D2174">
        <v>2</v>
      </c>
      <c r="E2174">
        <v>0</v>
      </c>
      <c r="F2174">
        <v>0</v>
      </c>
      <c r="G2174">
        <v>7916</v>
      </c>
      <c r="H2174">
        <v>0</v>
      </c>
      <c r="I2174">
        <v>0</v>
      </c>
    </row>
    <row r="2175" spans="1:9" x14ac:dyDescent="0.25">
      <c r="A2175">
        <v>20</v>
      </c>
      <c r="B2175">
        <v>0</v>
      </c>
      <c r="C2175">
        <v>16</v>
      </c>
      <c r="D2175">
        <v>2</v>
      </c>
      <c r="E2175">
        <v>0</v>
      </c>
      <c r="F2175">
        <v>0</v>
      </c>
      <c r="G2175">
        <v>24804</v>
      </c>
      <c r="H2175">
        <v>0</v>
      </c>
      <c r="I2175">
        <v>0</v>
      </c>
    </row>
    <row r="2176" spans="1:9" x14ac:dyDescent="0.25">
      <c r="A2176">
        <v>20</v>
      </c>
      <c r="B2176">
        <v>1</v>
      </c>
      <c r="C2176">
        <v>3</v>
      </c>
      <c r="D2176">
        <v>0</v>
      </c>
      <c r="E2176">
        <v>1</v>
      </c>
      <c r="F2176">
        <v>0</v>
      </c>
      <c r="G2176">
        <v>10000</v>
      </c>
      <c r="H2176">
        <v>0</v>
      </c>
      <c r="I2176">
        <v>0</v>
      </c>
    </row>
    <row r="2177" spans="1:9" x14ac:dyDescent="0.25">
      <c r="A2177">
        <v>20</v>
      </c>
      <c r="B2177">
        <v>1</v>
      </c>
      <c r="C2177">
        <v>2</v>
      </c>
      <c r="D2177">
        <v>0</v>
      </c>
      <c r="E2177">
        <v>2</v>
      </c>
      <c r="F2177">
        <v>0</v>
      </c>
      <c r="G2177">
        <v>6770</v>
      </c>
      <c r="H2177">
        <v>0</v>
      </c>
      <c r="I2177">
        <v>0</v>
      </c>
    </row>
    <row r="2178" spans="1:9" x14ac:dyDescent="0.25">
      <c r="A2178">
        <v>20</v>
      </c>
      <c r="B2178">
        <v>1</v>
      </c>
      <c r="C2178">
        <v>2</v>
      </c>
      <c r="D2178">
        <v>0</v>
      </c>
      <c r="E2178">
        <v>1</v>
      </c>
      <c r="F2178">
        <v>0</v>
      </c>
      <c r="G2178">
        <v>7572</v>
      </c>
      <c r="H2178">
        <v>0</v>
      </c>
      <c r="I2178">
        <v>0</v>
      </c>
    </row>
    <row r="2179" spans="1:9" x14ac:dyDescent="0.25">
      <c r="A2179">
        <v>20</v>
      </c>
      <c r="B2179">
        <v>1</v>
      </c>
      <c r="C2179">
        <v>3</v>
      </c>
      <c r="D2179">
        <v>0</v>
      </c>
      <c r="E2179">
        <v>0</v>
      </c>
      <c r="F2179">
        <v>0</v>
      </c>
      <c r="G2179">
        <v>7123</v>
      </c>
      <c r="H2179">
        <v>0</v>
      </c>
      <c r="I2179">
        <v>0</v>
      </c>
    </row>
    <row r="2180" spans="1:9" x14ac:dyDescent="0.25">
      <c r="A2180">
        <v>20</v>
      </c>
      <c r="B2180">
        <v>1</v>
      </c>
      <c r="C2180">
        <v>2</v>
      </c>
      <c r="D2180">
        <v>0</v>
      </c>
      <c r="E2180">
        <v>2</v>
      </c>
      <c r="F2180">
        <v>0</v>
      </c>
      <c r="G2180">
        <v>8668</v>
      </c>
      <c r="H2180">
        <v>0</v>
      </c>
      <c r="I2180">
        <v>0</v>
      </c>
    </row>
    <row r="2181" spans="1:9" x14ac:dyDescent="0.25">
      <c r="A2181">
        <v>20</v>
      </c>
      <c r="B2181">
        <v>0</v>
      </c>
      <c r="C2181">
        <v>2</v>
      </c>
      <c r="D2181">
        <v>1</v>
      </c>
      <c r="E2181">
        <v>1</v>
      </c>
      <c r="F2181">
        <v>0</v>
      </c>
      <c r="G2181">
        <v>7223</v>
      </c>
      <c r="H2181">
        <v>0</v>
      </c>
      <c r="I2181">
        <v>0</v>
      </c>
    </row>
    <row r="2182" spans="1:9" x14ac:dyDescent="0.25">
      <c r="A2182">
        <v>20</v>
      </c>
      <c r="B2182">
        <v>1</v>
      </c>
      <c r="C2182">
        <v>2</v>
      </c>
      <c r="D2182">
        <v>2</v>
      </c>
      <c r="E2182">
        <v>1</v>
      </c>
      <c r="F2182">
        <v>0</v>
      </c>
      <c r="G2182">
        <v>13162</v>
      </c>
      <c r="H2182">
        <v>1</v>
      </c>
      <c r="I2182">
        <v>0</v>
      </c>
    </row>
    <row r="2183" spans="1:9" x14ac:dyDescent="0.25">
      <c r="A2183">
        <v>20</v>
      </c>
      <c r="B2183">
        <v>1</v>
      </c>
      <c r="C2183">
        <v>2</v>
      </c>
      <c r="D2183">
        <v>0</v>
      </c>
      <c r="E2183">
        <v>1</v>
      </c>
      <c r="F2183">
        <v>0</v>
      </c>
      <c r="G2183">
        <v>11550</v>
      </c>
      <c r="H2183">
        <v>1</v>
      </c>
      <c r="I2183">
        <v>0</v>
      </c>
    </row>
    <row r="2184" spans="1:9" x14ac:dyDescent="0.25">
      <c r="A2184">
        <v>20</v>
      </c>
      <c r="B2184">
        <v>1</v>
      </c>
      <c r="C2184">
        <v>3</v>
      </c>
      <c r="D2184">
        <v>0</v>
      </c>
      <c r="E2184">
        <v>1</v>
      </c>
      <c r="F2184">
        <v>0</v>
      </c>
      <c r="G2184">
        <v>15334</v>
      </c>
      <c r="H2184">
        <v>1</v>
      </c>
      <c r="I2184">
        <v>0</v>
      </c>
    </row>
    <row r="2185" spans="1:9" x14ac:dyDescent="0.25">
      <c r="A2185">
        <v>20</v>
      </c>
      <c r="B2185">
        <v>1</v>
      </c>
      <c r="C2185">
        <v>7</v>
      </c>
      <c r="D2185">
        <v>0</v>
      </c>
      <c r="E2185">
        <v>1</v>
      </c>
      <c r="F2185">
        <v>0</v>
      </c>
      <c r="G2185">
        <v>21235</v>
      </c>
      <c r="H2185">
        <v>1</v>
      </c>
      <c r="I2185">
        <v>0</v>
      </c>
    </row>
    <row r="2186" spans="1:9" x14ac:dyDescent="0.25">
      <c r="A2186">
        <v>20</v>
      </c>
      <c r="B2186">
        <v>0</v>
      </c>
      <c r="C2186">
        <v>2</v>
      </c>
      <c r="D2186">
        <v>0</v>
      </c>
      <c r="E2186">
        <v>1</v>
      </c>
      <c r="F2186">
        <v>0</v>
      </c>
      <c r="G2186">
        <v>27077</v>
      </c>
      <c r="H2186">
        <v>1</v>
      </c>
      <c r="I2186">
        <v>0</v>
      </c>
    </row>
    <row r="2187" spans="1:9" x14ac:dyDescent="0.25">
      <c r="A2187">
        <v>20</v>
      </c>
      <c r="B2187">
        <v>0</v>
      </c>
      <c r="C2187">
        <v>2</v>
      </c>
      <c r="D2187">
        <v>0</v>
      </c>
      <c r="E2187">
        <v>1</v>
      </c>
      <c r="F2187">
        <v>0</v>
      </c>
      <c r="G2187">
        <v>18306</v>
      </c>
      <c r="H2187">
        <v>1</v>
      </c>
      <c r="I2187">
        <v>0</v>
      </c>
    </row>
    <row r="2188" spans="1:9" x14ac:dyDescent="0.25">
      <c r="A2188">
        <v>20</v>
      </c>
      <c r="B2188">
        <v>1</v>
      </c>
      <c r="C2188">
        <v>4</v>
      </c>
      <c r="D2188">
        <v>3</v>
      </c>
      <c r="E2188">
        <v>2</v>
      </c>
      <c r="F2188">
        <v>0</v>
      </c>
      <c r="G2188">
        <v>18747</v>
      </c>
      <c r="H2188">
        <v>1</v>
      </c>
      <c r="I2188">
        <v>0</v>
      </c>
    </row>
    <row r="2189" spans="1:9" x14ac:dyDescent="0.25">
      <c r="A2189">
        <v>20</v>
      </c>
      <c r="B2189">
        <v>1</v>
      </c>
      <c r="C2189">
        <v>3</v>
      </c>
      <c r="D2189">
        <v>0</v>
      </c>
      <c r="E2189">
        <v>1</v>
      </c>
      <c r="F2189">
        <v>0</v>
      </c>
      <c r="G2189">
        <v>15051</v>
      </c>
      <c r="H2189">
        <v>1</v>
      </c>
      <c r="I2189">
        <v>0</v>
      </c>
    </row>
    <row r="2190" spans="1:9" x14ac:dyDescent="0.25">
      <c r="A2190">
        <v>20</v>
      </c>
      <c r="B2190">
        <v>1</v>
      </c>
      <c r="C2190">
        <v>3</v>
      </c>
      <c r="D2190">
        <v>0</v>
      </c>
      <c r="E2190">
        <v>1</v>
      </c>
      <c r="F2190">
        <v>0</v>
      </c>
      <c r="G2190">
        <v>14479</v>
      </c>
      <c r="H2190">
        <v>1</v>
      </c>
      <c r="I2190">
        <v>0</v>
      </c>
    </row>
    <row r="2191" spans="1:9" x14ac:dyDescent="0.25">
      <c r="A2191">
        <v>20</v>
      </c>
      <c r="B2191">
        <v>1</v>
      </c>
      <c r="C2191">
        <v>3</v>
      </c>
      <c r="D2191">
        <v>0</v>
      </c>
      <c r="E2191">
        <v>2</v>
      </c>
      <c r="F2191">
        <v>0</v>
      </c>
      <c r="G2191">
        <v>13839</v>
      </c>
      <c r="H2191">
        <v>1</v>
      </c>
      <c r="I2191">
        <v>0</v>
      </c>
    </row>
    <row r="2192" spans="1:9" x14ac:dyDescent="0.25">
      <c r="A2192">
        <v>19</v>
      </c>
      <c r="B2192">
        <v>1</v>
      </c>
      <c r="C2192">
        <v>3</v>
      </c>
      <c r="D2192">
        <v>3</v>
      </c>
      <c r="E2192">
        <v>0</v>
      </c>
      <c r="F2192">
        <v>0</v>
      </c>
      <c r="G2192">
        <v>11451</v>
      </c>
      <c r="H2192">
        <v>0</v>
      </c>
      <c r="I2192">
        <v>0</v>
      </c>
    </row>
    <row r="2193" spans="1:9" x14ac:dyDescent="0.25">
      <c r="A2193">
        <v>19</v>
      </c>
      <c r="B2193">
        <v>1</v>
      </c>
      <c r="C2193">
        <v>2</v>
      </c>
      <c r="D2193">
        <v>0</v>
      </c>
      <c r="E2193">
        <v>1</v>
      </c>
      <c r="F2193">
        <v>0</v>
      </c>
      <c r="G2193">
        <v>5791</v>
      </c>
      <c r="H2193">
        <v>0</v>
      </c>
      <c r="I2193">
        <v>0</v>
      </c>
    </row>
    <row r="2194" spans="1:9" x14ac:dyDescent="0.25">
      <c r="A2194">
        <v>19</v>
      </c>
      <c r="B2194">
        <v>0</v>
      </c>
      <c r="C2194">
        <v>6</v>
      </c>
      <c r="D2194">
        <v>3</v>
      </c>
      <c r="E2194">
        <v>0</v>
      </c>
      <c r="F2194">
        <v>0</v>
      </c>
      <c r="G2194">
        <v>8431</v>
      </c>
      <c r="H2194">
        <v>0</v>
      </c>
      <c r="I2194">
        <v>0</v>
      </c>
    </row>
    <row r="2195" spans="1:9" x14ac:dyDescent="0.25">
      <c r="A2195">
        <v>19</v>
      </c>
      <c r="B2195">
        <v>0</v>
      </c>
      <c r="C2195">
        <v>5</v>
      </c>
      <c r="D2195">
        <v>1</v>
      </c>
      <c r="E2195">
        <v>0</v>
      </c>
      <c r="F2195">
        <v>0</v>
      </c>
      <c r="G2195">
        <v>7297</v>
      </c>
      <c r="H2195">
        <v>0</v>
      </c>
      <c r="I2195">
        <v>0</v>
      </c>
    </row>
    <row r="2196" spans="1:9" x14ac:dyDescent="0.25">
      <c r="A2196">
        <v>19</v>
      </c>
      <c r="B2196">
        <v>1</v>
      </c>
      <c r="C2196">
        <v>2</v>
      </c>
      <c r="D2196">
        <v>0</v>
      </c>
      <c r="E2196">
        <v>2</v>
      </c>
      <c r="F2196">
        <v>0</v>
      </c>
      <c r="G2196">
        <v>7368</v>
      </c>
      <c r="H2196">
        <v>0</v>
      </c>
      <c r="I2196">
        <v>0</v>
      </c>
    </row>
    <row r="2197" spans="1:9" x14ac:dyDescent="0.25">
      <c r="A2197">
        <v>19</v>
      </c>
      <c r="B2197">
        <v>0</v>
      </c>
      <c r="C2197">
        <v>8</v>
      </c>
      <c r="D2197">
        <v>2</v>
      </c>
      <c r="E2197">
        <v>0</v>
      </c>
      <c r="F2197">
        <v>0</v>
      </c>
      <c r="G2197">
        <v>11918</v>
      </c>
      <c r="H2197">
        <v>0</v>
      </c>
      <c r="I2197">
        <v>0</v>
      </c>
    </row>
    <row r="2198" spans="1:9" x14ac:dyDescent="0.25">
      <c r="A2198">
        <v>19</v>
      </c>
      <c r="B2198">
        <v>0</v>
      </c>
      <c r="C2198">
        <v>7</v>
      </c>
      <c r="D2198">
        <v>3</v>
      </c>
      <c r="E2198">
        <v>0</v>
      </c>
      <c r="F2198">
        <v>0</v>
      </c>
      <c r="G2198">
        <v>14581</v>
      </c>
      <c r="H2198">
        <v>0</v>
      </c>
      <c r="I2198">
        <v>0</v>
      </c>
    </row>
    <row r="2199" spans="1:9" x14ac:dyDescent="0.25">
      <c r="A2199">
        <v>19</v>
      </c>
      <c r="B2199">
        <v>1</v>
      </c>
      <c r="C2199">
        <v>2</v>
      </c>
      <c r="D2199">
        <v>0</v>
      </c>
      <c r="E2199">
        <v>2</v>
      </c>
      <c r="F2199">
        <v>0</v>
      </c>
      <c r="G2199">
        <v>7775</v>
      </c>
      <c r="H2199">
        <v>0</v>
      </c>
      <c r="I2199">
        <v>0</v>
      </c>
    </row>
    <row r="2200" spans="1:9" x14ac:dyDescent="0.25">
      <c r="A2200">
        <v>19</v>
      </c>
      <c r="B2200">
        <v>1</v>
      </c>
      <c r="C2200">
        <v>2</v>
      </c>
      <c r="D2200">
        <v>0</v>
      </c>
      <c r="E2200">
        <v>0</v>
      </c>
      <c r="F2200">
        <v>0</v>
      </c>
      <c r="G2200">
        <v>10614</v>
      </c>
      <c r="H2200">
        <v>0</v>
      </c>
      <c r="I2200">
        <v>0</v>
      </c>
    </row>
    <row r="2201" spans="1:9" x14ac:dyDescent="0.25">
      <c r="A2201">
        <v>19</v>
      </c>
      <c r="B2201">
        <v>1</v>
      </c>
      <c r="C2201">
        <v>2</v>
      </c>
      <c r="D2201">
        <v>0</v>
      </c>
      <c r="E2201">
        <v>1</v>
      </c>
      <c r="F2201">
        <v>0</v>
      </c>
      <c r="G2201">
        <v>5443</v>
      </c>
      <c r="H2201">
        <v>0</v>
      </c>
      <c r="I2201">
        <v>0</v>
      </c>
    </row>
    <row r="2202" spans="1:9" x14ac:dyDescent="0.25">
      <c r="A2202">
        <v>19</v>
      </c>
      <c r="B2202">
        <v>1</v>
      </c>
      <c r="C2202">
        <v>2</v>
      </c>
      <c r="D2202">
        <v>0</v>
      </c>
      <c r="E2202">
        <v>2</v>
      </c>
      <c r="F2202">
        <v>0</v>
      </c>
      <c r="G2202">
        <v>11284</v>
      </c>
      <c r="H2202">
        <v>0</v>
      </c>
      <c r="I2202">
        <v>0</v>
      </c>
    </row>
    <row r="2203" spans="1:9" x14ac:dyDescent="0.25">
      <c r="A2203">
        <v>19</v>
      </c>
      <c r="B2203">
        <v>1</v>
      </c>
      <c r="C2203">
        <v>2</v>
      </c>
      <c r="D2203">
        <v>0</v>
      </c>
      <c r="E2203">
        <v>4</v>
      </c>
      <c r="F2203">
        <v>0</v>
      </c>
      <c r="G2203">
        <v>8657</v>
      </c>
      <c r="H2203">
        <v>0</v>
      </c>
      <c r="I2203">
        <v>0</v>
      </c>
    </row>
    <row r="2204" spans="1:9" x14ac:dyDescent="0.25">
      <c r="A2204">
        <v>19</v>
      </c>
      <c r="B2204">
        <v>0</v>
      </c>
      <c r="C2204">
        <v>6</v>
      </c>
      <c r="D2204">
        <v>3</v>
      </c>
      <c r="E2204">
        <v>0</v>
      </c>
      <c r="F2204">
        <v>0</v>
      </c>
      <c r="G2204">
        <v>12586</v>
      </c>
      <c r="H2204">
        <v>0</v>
      </c>
      <c r="I2204">
        <v>0</v>
      </c>
    </row>
    <row r="2205" spans="1:9" x14ac:dyDescent="0.25">
      <c r="A2205">
        <v>19</v>
      </c>
      <c r="B2205">
        <v>1</v>
      </c>
      <c r="C2205">
        <v>2</v>
      </c>
      <c r="D2205">
        <v>2</v>
      </c>
      <c r="E2205">
        <v>3</v>
      </c>
      <c r="F2205">
        <v>0</v>
      </c>
      <c r="G2205">
        <v>8138</v>
      </c>
      <c r="H2205">
        <v>0</v>
      </c>
      <c r="I2205">
        <v>0</v>
      </c>
    </row>
    <row r="2206" spans="1:9" x14ac:dyDescent="0.25">
      <c r="A2206">
        <v>19</v>
      </c>
      <c r="B2206">
        <v>1</v>
      </c>
      <c r="C2206">
        <v>2</v>
      </c>
      <c r="D2206">
        <v>0</v>
      </c>
      <c r="E2206">
        <v>1</v>
      </c>
      <c r="F2206">
        <v>0</v>
      </c>
      <c r="G2206">
        <v>7239</v>
      </c>
      <c r="H2206">
        <v>0</v>
      </c>
      <c r="I2206">
        <v>0</v>
      </c>
    </row>
    <row r="2207" spans="1:9" x14ac:dyDescent="0.25">
      <c r="A2207">
        <v>19</v>
      </c>
      <c r="B2207">
        <v>1</v>
      </c>
      <c r="C2207">
        <v>2</v>
      </c>
      <c r="D2207">
        <v>0</v>
      </c>
      <c r="E2207">
        <v>3</v>
      </c>
      <c r="F2207">
        <v>0</v>
      </c>
      <c r="G2207">
        <v>9941</v>
      </c>
      <c r="H2207">
        <v>0</v>
      </c>
      <c r="I2207">
        <v>0</v>
      </c>
    </row>
    <row r="2208" spans="1:9" x14ac:dyDescent="0.25">
      <c r="A2208">
        <v>19</v>
      </c>
      <c r="B2208">
        <v>1</v>
      </c>
      <c r="C2208">
        <v>3</v>
      </c>
      <c r="D2208">
        <v>0</v>
      </c>
      <c r="E2208">
        <v>2</v>
      </c>
      <c r="F2208">
        <v>0</v>
      </c>
      <c r="G2208">
        <v>12729</v>
      </c>
      <c r="H2208">
        <v>0</v>
      </c>
      <c r="I2208">
        <v>0</v>
      </c>
    </row>
    <row r="2209" spans="1:9" x14ac:dyDescent="0.25">
      <c r="A2209">
        <v>19</v>
      </c>
      <c r="B2209">
        <v>1</v>
      </c>
      <c r="C2209">
        <v>3</v>
      </c>
      <c r="D2209">
        <v>0</v>
      </c>
      <c r="E2209">
        <v>1</v>
      </c>
      <c r="F2209">
        <v>0</v>
      </c>
      <c r="G2209">
        <v>13396</v>
      </c>
      <c r="H2209">
        <v>1</v>
      </c>
      <c r="I2209">
        <v>0</v>
      </c>
    </row>
    <row r="2210" spans="1:9" x14ac:dyDescent="0.25">
      <c r="A2210">
        <v>19</v>
      </c>
      <c r="B2210">
        <v>1</v>
      </c>
      <c r="C2210">
        <v>3</v>
      </c>
      <c r="D2210">
        <v>0</v>
      </c>
      <c r="E2210">
        <v>1</v>
      </c>
      <c r="F2210">
        <v>0</v>
      </c>
      <c r="G2210">
        <v>18673</v>
      </c>
      <c r="H2210">
        <v>1</v>
      </c>
      <c r="I2210">
        <v>0</v>
      </c>
    </row>
    <row r="2211" spans="1:9" x14ac:dyDescent="0.25">
      <c r="A2211">
        <v>19</v>
      </c>
      <c r="B2211">
        <v>1</v>
      </c>
      <c r="C2211">
        <v>5</v>
      </c>
      <c r="D2211">
        <v>0</v>
      </c>
      <c r="E2211">
        <v>1</v>
      </c>
      <c r="F2211">
        <v>0</v>
      </c>
      <c r="G2211">
        <v>16935</v>
      </c>
      <c r="H2211">
        <v>1</v>
      </c>
      <c r="I2211">
        <v>0</v>
      </c>
    </row>
    <row r="2212" spans="1:9" x14ac:dyDescent="0.25">
      <c r="A2212">
        <v>19</v>
      </c>
      <c r="B2212">
        <v>1</v>
      </c>
      <c r="C2212">
        <v>2</v>
      </c>
      <c r="D2212">
        <v>0</v>
      </c>
      <c r="E2212">
        <v>1</v>
      </c>
      <c r="F2212">
        <v>0</v>
      </c>
      <c r="G2212">
        <v>12440</v>
      </c>
      <c r="H2212">
        <v>1</v>
      </c>
      <c r="I2212">
        <v>0</v>
      </c>
    </row>
    <row r="2213" spans="1:9" x14ac:dyDescent="0.25">
      <c r="A2213">
        <v>19</v>
      </c>
      <c r="B2213">
        <v>1</v>
      </c>
      <c r="C2213">
        <v>5</v>
      </c>
      <c r="D2213">
        <v>0</v>
      </c>
      <c r="E2213">
        <v>3</v>
      </c>
      <c r="F2213">
        <v>0</v>
      </c>
      <c r="G2213">
        <v>14394</v>
      </c>
      <c r="H2213">
        <v>1</v>
      </c>
      <c r="I2213">
        <v>0</v>
      </c>
    </row>
    <row r="2214" spans="1:9" x14ac:dyDescent="0.25">
      <c r="A2214">
        <v>19</v>
      </c>
      <c r="B2214">
        <v>1</v>
      </c>
      <c r="C2214">
        <v>3</v>
      </c>
      <c r="D2214">
        <v>0</v>
      </c>
      <c r="E2214">
        <v>2</v>
      </c>
      <c r="F2214">
        <v>0</v>
      </c>
      <c r="G2214">
        <v>14775</v>
      </c>
      <c r="H2214">
        <v>1</v>
      </c>
      <c r="I2214">
        <v>0</v>
      </c>
    </row>
    <row r="2215" spans="1:9" x14ac:dyDescent="0.25">
      <c r="A2215">
        <v>19</v>
      </c>
      <c r="B2215">
        <v>1</v>
      </c>
      <c r="C2215">
        <v>3</v>
      </c>
      <c r="D2215">
        <v>0</v>
      </c>
      <c r="E2215">
        <v>1</v>
      </c>
      <c r="F2215">
        <v>0</v>
      </c>
      <c r="G2215">
        <v>9512</v>
      </c>
      <c r="H2215">
        <v>1</v>
      </c>
      <c r="I2215">
        <v>0</v>
      </c>
    </row>
    <row r="2216" spans="1:9" x14ac:dyDescent="0.25">
      <c r="A2216">
        <v>18</v>
      </c>
      <c r="B2216">
        <v>1</v>
      </c>
      <c r="C2216">
        <v>2</v>
      </c>
      <c r="D2216">
        <v>0</v>
      </c>
      <c r="E2216">
        <v>1</v>
      </c>
      <c r="F2216">
        <v>0</v>
      </c>
      <c r="G2216">
        <v>6610</v>
      </c>
      <c r="H2216">
        <v>0</v>
      </c>
      <c r="I2216">
        <v>0</v>
      </c>
    </row>
    <row r="2217" spans="1:9" x14ac:dyDescent="0.25">
      <c r="A2217">
        <v>18</v>
      </c>
      <c r="B2217">
        <v>0</v>
      </c>
      <c r="C2217">
        <v>1</v>
      </c>
      <c r="D2217">
        <v>0</v>
      </c>
      <c r="E2217">
        <v>1</v>
      </c>
      <c r="F2217">
        <v>0</v>
      </c>
      <c r="G2217">
        <v>6607</v>
      </c>
      <c r="H2217">
        <v>0</v>
      </c>
      <c r="I2217">
        <v>0</v>
      </c>
    </row>
    <row r="2218" spans="1:9" x14ac:dyDescent="0.25">
      <c r="A2218">
        <v>18</v>
      </c>
      <c r="B2218">
        <v>1</v>
      </c>
      <c r="C2218">
        <v>3</v>
      </c>
      <c r="D2218">
        <v>2</v>
      </c>
      <c r="E2218">
        <v>2</v>
      </c>
      <c r="F2218">
        <v>0</v>
      </c>
      <c r="G2218">
        <v>9475</v>
      </c>
      <c r="H2218">
        <v>0</v>
      </c>
      <c r="I2218">
        <v>0</v>
      </c>
    </row>
    <row r="2219" spans="1:9" x14ac:dyDescent="0.25">
      <c r="A2219">
        <v>18</v>
      </c>
      <c r="B2219">
        <v>1</v>
      </c>
      <c r="C2219">
        <v>2</v>
      </c>
      <c r="D2219">
        <v>0</v>
      </c>
      <c r="E2219">
        <v>2</v>
      </c>
      <c r="F2219">
        <v>0</v>
      </c>
      <c r="G2219">
        <v>5793</v>
      </c>
      <c r="H2219">
        <v>0</v>
      </c>
      <c r="I2219">
        <v>0</v>
      </c>
    </row>
    <row r="2220" spans="1:9" x14ac:dyDescent="0.25">
      <c r="A2220">
        <v>18</v>
      </c>
      <c r="B2220">
        <v>1</v>
      </c>
      <c r="C2220">
        <v>3</v>
      </c>
      <c r="D2220">
        <v>0</v>
      </c>
      <c r="E2220">
        <v>2</v>
      </c>
      <c r="F2220">
        <v>0</v>
      </c>
      <c r="G2220">
        <v>8903</v>
      </c>
      <c r="H2220">
        <v>0</v>
      </c>
      <c r="I2220">
        <v>0</v>
      </c>
    </row>
    <row r="2221" spans="1:9" x14ac:dyDescent="0.25">
      <c r="A2221">
        <v>18</v>
      </c>
      <c r="B2221">
        <v>0</v>
      </c>
      <c r="C2221">
        <v>4</v>
      </c>
      <c r="D2221">
        <v>0</v>
      </c>
      <c r="E2221">
        <v>1</v>
      </c>
      <c r="F2221">
        <v>0</v>
      </c>
      <c r="G2221">
        <v>17645</v>
      </c>
      <c r="H2221">
        <v>0</v>
      </c>
      <c r="I2221">
        <v>0</v>
      </c>
    </row>
    <row r="2222" spans="1:9" x14ac:dyDescent="0.25">
      <c r="A2222">
        <v>18</v>
      </c>
      <c r="B2222">
        <v>1</v>
      </c>
      <c r="C2222">
        <v>5</v>
      </c>
      <c r="D2222">
        <v>0</v>
      </c>
      <c r="E2222">
        <v>0</v>
      </c>
      <c r="F2222">
        <v>0</v>
      </c>
      <c r="G2222">
        <v>13088</v>
      </c>
      <c r="H2222">
        <v>0</v>
      </c>
      <c r="I2222">
        <v>0</v>
      </c>
    </row>
    <row r="2223" spans="1:9" x14ac:dyDescent="0.25">
      <c r="A2223">
        <v>18</v>
      </c>
      <c r="B2223">
        <v>1</v>
      </c>
      <c r="C2223">
        <v>2</v>
      </c>
      <c r="D2223">
        <v>0</v>
      </c>
      <c r="E2223">
        <v>1</v>
      </c>
      <c r="F2223">
        <v>0</v>
      </c>
      <c r="G2223">
        <v>9683</v>
      </c>
      <c r="H2223">
        <v>0</v>
      </c>
      <c r="I2223">
        <v>0</v>
      </c>
    </row>
    <row r="2224" spans="1:9" x14ac:dyDescent="0.25">
      <c r="A2224">
        <v>18</v>
      </c>
      <c r="B2224">
        <v>1</v>
      </c>
      <c r="C2224">
        <v>2</v>
      </c>
      <c r="D2224">
        <v>0</v>
      </c>
      <c r="E2224">
        <v>1</v>
      </c>
      <c r="F2224">
        <v>0</v>
      </c>
      <c r="G2224">
        <v>5484</v>
      </c>
      <c r="H2224">
        <v>0</v>
      </c>
      <c r="I2224">
        <v>0</v>
      </c>
    </row>
    <row r="2225" spans="1:9" x14ac:dyDescent="0.25">
      <c r="A2225">
        <v>18</v>
      </c>
      <c r="B2225">
        <v>0</v>
      </c>
      <c r="C2225">
        <v>2</v>
      </c>
      <c r="D2225">
        <v>3</v>
      </c>
      <c r="E2225">
        <v>0</v>
      </c>
      <c r="F2225">
        <v>0</v>
      </c>
      <c r="G2225">
        <v>2867</v>
      </c>
      <c r="H2225">
        <v>0</v>
      </c>
      <c r="I2225">
        <v>0</v>
      </c>
    </row>
    <row r="2226" spans="1:9" x14ac:dyDescent="0.25">
      <c r="A2226">
        <v>18</v>
      </c>
      <c r="B2226">
        <v>1</v>
      </c>
      <c r="C2226">
        <v>2</v>
      </c>
      <c r="D2226">
        <v>0</v>
      </c>
      <c r="E2226">
        <v>2</v>
      </c>
      <c r="F2226">
        <v>0</v>
      </c>
      <c r="G2226">
        <v>6463</v>
      </c>
      <c r="H2226">
        <v>0</v>
      </c>
      <c r="I2226">
        <v>0</v>
      </c>
    </row>
    <row r="2227" spans="1:9" x14ac:dyDescent="0.25">
      <c r="A2227">
        <v>18</v>
      </c>
      <c r="B2227">
        <v>1</v>
      </c>
      <c r="C2227">
        <v>4</v>
      </c>
      <c r="D2227">
        <v>0</v>
      </c>
      <c r="E2227">
        <v>2</v>
      </c>
      <c r="F2227">
        <v>0</v>
      </c>
      <c r="G2227">
        <v>14954</v>
      </c>
      <c r="H2227">
        <v>0</v>
      </c>
      <c r="I2227">
        <v>0</v>
      </c>
    </row>
    <row r="2228" spans="1:9" x14ac:dyDescent="0.25">
      <c r="A2228">
        <v>18</v>
      </c>
      <c r="B2228">
        <v>1</v>
      </c>
      <c r="C2228">
        <v>1</v>
      </c>
      <c r="D2228">
        <v>0</v>
      </c>
      <c r="E2228">
        <v>0</v>
      </c>
      <c r="F2228">
        <v>0</v>
      </c>
      <c r="G2228">
        <v>4882</v>
      </c>
      <c r="H2228">
        <v>0</v>
      </c>
      <c r="I2228">
        <v>0</v>
      </c>
    </row>
    <row r="2229" spans="1:9" x14ac:dyDescent="0.25">
      <c r="A2229">
        <v>18</v>
      </c>
      <c r="B2229">
        <v>1</v>
      </c>
      <c r="C2229">
        <v>2</v>
      </c>
      <c r="D2229">
        <v>0</v>
      </c>
      <c r="E2229">
        <v>1</v>
      </c>
      <c r="F2229">
        <v>0</v>
      </c>
      <c r="G2229">
        <v>9597</v>
      </c>
      <c r="H2229">
        <v>0</v>
      </c>
      <c r="I2229">
        <v>0</v>
      </c>
    </row>
    <row r="2230" spans="1:9" x14ac:dyDescent="0.25">
      <c r="A2230">
        <v>18</v>
      </c>
      <c r="B2230">
        <v>1</v>
      </c>
      <c r="C2230">
        <v>2</v>
      </c>
      <c r="D2230">
        <v>0</v>
      </c>
      <c r="E2230">
        <v>1</v>
      </c>
      <c r="F2230">
        <v>0</v>
      </c>
      <c r="G2230">
        <v>6708</v>
      </c>
      <c r="H2230">
        <v>0</v>
      </c>
      <c r="I2230">
        <v>0</v>
      </c>
    </row>
    <row r="2231" spans="1:9" x14ac:dyDescent="0.25">
      <c r="A2231">
        <v>18</v>
      </c>
      <c r="B2231">
        <v>1</v>
      </c>
      <c r="C2231">
        <v>2</v>
      </c>
      <c r="D2231">
        <v>0</v>
      </c>
      <c r="E2231">
        <v>1</v>
      </c>
      <c r="F2231">
        <v>0</v>
      </c>
      <c r="G2231">
        <v>7651</v>
      </c>
      <c r="H2231">
        <v>0</v>
      </c>
      <c r="I2231">
        <v>0</v>
      </c>
    </row>
    <row r="2232" spans="1:9" x14ac:dyDescent="0.25">
      <c r="A2232">
        <v>18</v>
      </c>
      <c r="B2232">
        <v>1</v>
      </c>
      <c r="C2232">
        <v>3</v>
      </c>
      <c r="D2232">
        <v>0</v>
      </c>
      <c r="E2232">
        <v>1</v>
      </c>
      <c r="F2232">
        <v>0</v>
      </c>
      <c r="G2232">
        <v>7902</v>
      </c>
      <c r="H2232">
        <v>0</v>
      </c>
      <c r="I2232">
        <v>0</v>
      </c>
    </row>
    <row r="2233" spans="1:9" x14ac:dyDescent="0.25">
      <c r="A2233">
        <v>18</v>
      </c>
      <c r="B2233">
        <v>0</v>
      </c>
      <c r="C2233">
        <v>6</v>
      </c>
      <c r="D2233">
        <v>3</v>
      </c>
      <c r="E2233">
        <v>0</v>
      </c>
      <c r="F2233">
        <v>0</v>
      </c>
      <c r="G2233">
        <v>8529</v>
      </c>
      <c r="H2233">
        <v>0</v>
      </c>
      <c r="I2233">
        <v>0</v>
      </c>
    </row>
    <row r="2234" spans="1:9" x14ac:dyDescent="0.25">
      <c r="A2234">
        <v>18</v>
      </c>
      <c r="B2234">
        <v>1</v>
      </c>
      <c r="C2234">
        <v>2</v>
      </c>
      <c r="D2234">
        <v>1</v>
      </c>
      <c r="E2234">
        <v>4</v>
      </c>
      <c r="F2234">
        <v>0</v>
      </c>
      <c r="G2234">
        <v>7153</v>
      </c>
      <c r="H2234">
        <v>0</v>
      </c>
      <c r="I2234">
        <v>0</v>
      </c>
    </row>
    <row r="2235" spans="1:9" x14ac:dyDescent="0.25">
      <c r="A2235">
        <v>18</v>
      </c>
      <c r="B2235">
        <v>1</v>
      </c>
      <c r="C2235">
        <v>2</v>
      </c>
      <c r="D2235">
        <v>0</v>
      </c>
      <c r="E2235">
        <v>3</v>
      </c>
      <c r="F2235">
        <v>0</v>
      </c>
      <c r="G2235">
        <v>9957</v>
      </c>
      <c r="H2235">
        <v>0</v>
      </c>
      <c r="I2235">
        <v>0</v>
      </c>
    </row>
    <row r="2236" spans="1:9" x14ac:dyDescent="0.25">
      <c r="A2236">
        <v>18</v>
      </c>
      <c r="B2236">
        <v>1</v>
      </c>
      <c r="C2236">
        <v>2</v>
      </c>
      <c r="D2236">
        <v>0</v>
      </c>
      <c r="E2236">
        <v>2</v>
      </c>
      <c r="F2236">
        <v>0</v>
      </c>
      <c r="G2236">
        <v>9412</v>
      </c>
      <c r="H2236">
        <v>0</v>
      </c>
      <c r="I2236">
        <v>0</v>
      </c>
    </row>
    <row r="2237" spans="1:9" x14ac:dyDescent="0.25">
      <c r="A2237">
        <v>18</v>
      </c>
      <c r="B2237">
        <v>1</v>
      </c>
      <c r="C2237">
        <v>3</v>
      </c>
      <c r="D2237">
        <v>2</v>
      </c>
      <c r="E2237">
        <v>1</v>
      </c>
      <c r="F2237">
        <v>0</v>
      </c>
      <c r="G2237">
        <v>17801</v>
      </c>
      <c r="H2237">
        <v>1</v>
      </c>
      <c r="I2237">
        <v>0</v>
      </c>
    </row>
    <row r="2238" spans="1:9" x14ac:dyDescent="0.25">
      <c r="A2238">
        <v>18</v>
      </c>
      <c r="B2238">
        <v>1</v>
      </c>
      <c r="C2238">
        <v>5</v>
      </c>
      <c r="D2238">
        <v>1</v>
      </c>
      <c r="E2238">
        <v>1</v>
      </c>
      <c r="F2238">
        <v>0</v>
      </c>
      <c r="G2238">
        <v>21632</v>
      </c>
      <c r="H2238">
        <v>1</v>
      </c>
      <c r="I2238">
        <v>0</v>
      </c>
    </row>
    <row r="2239" spans="1:9" x14ac:dyDescent="0.25">
      <c r="A2239">
        <v>18</v>
      </c>
      <c r="B2239">
        <v>1</v>
      </c>
      <c r="C2239">
        <v>3</v>
      </c>
      <c r="D2239">
        <v>0</v>
      </c>
      <c r="E2239">
        <v>2</v>
      </c>
      <c r="F2239">
        <v>0</v>
      </c>
      <c r="G2239">
        <v>17027</v>
      </c>
      <c r="H2239">
        <v>1</v>
      </c>
      <c r="I2239">
        <v>0</v>
      </c>
    </row>
    <row r="2240" spans="1:9" x14ac:dyDescent="0.25">
      <c r="A2240">
        <v>18</v>
      </c>
      <c r="B2240">
        <v>1</v>
      </c>
      <c r="C2240">
        <v>3</v>
      </c>
      <c r="D2240">
        <v>0</v>
      </c>
      <c r="E2240">
        <v>3</v>
      </c>
      <c r="F2240">
        <v>0</v>
      </c>
      <c r="G2240">
        <v>9228</v>
      </c>
      <c r="H2240">
        <v>1</v>
      </c>
      <c r="I2240">
        <v>0</v>
      </c>
    </row>
    <row r="2241" spans="1:9" x14ac:dyDescent="0.25">
      <c r="A2241">
        <v>17</v>
      </c>
      <c r="B2241">
        <v>1</v>
      </c>
      <c r="C2241">
        <v>2</v>
      </c>
      <c r="D2241">
        <v>0</v>
      </c>
      <c r="E2241">
        <v>2</v>
      </c>
      <c r="F2241">
        <v>0</v>
      </c>
      <c r="G2241">
        <v>6066</v>
      </c>
      <c r="H2241">
        <v>0</v>
      </c>
      <c r="I2241">
        <v>0</v>
      </c>
    </row>
    <row r="2242" spans="1:9" x14ac:dyDescent="0.25">
      <c r="A2242">
        <v>17</v>
      </c>
      <c r="B2242">
        <v>1</v>
      </c>
      <c r="C2242">
        <v>4</v>
      </c>
      <c r="D2242">
        <v>0</v>
      </c>
      <c r="E2242">
        <v>2</v>
      </c>
      <c r="F2242">
        <v>0</v>
      </c>
      <c r="G2242">
        <v>7447</v>
      </c>
      <c r="H2242">
        <v>0</v>
      </c>
      <c r="I2242">
        <v>0</v>
      </c>
    </row>
    <row r="2243" spans="1:9" x14ac:dyDescent="0.25">
      <c r="A2243">
        <v>17</v>
      </c>
      <c r="B2243">
        <v>1</v>
      </c>
      <c r="C2243">
        <v>2</v>
      </c>
      <c r="D2243">
        <v>0</v>
      </c>
      <c r="E2243">
        <v>1</v>
      </c>
      <c r="F2243">
        <v>0</v>
      </c>
      <c r="G2243">
        <v>8925</v>
      </c>
      <c r="H2243">
        <v>0</v>
      </c>
      <c r="I2243">
        <v>0</v>
      </c>
    </row>
    <row r="2244" spans="1:9" x14ac:dyDescent="0.25">
      <c r="A2244">
        <v>17</v>
      </c>
      <c r="B2244">
        <v>1</v>
      </c>
      <c r="C2244">
        <v>3</v>
      </c>
      <c r="D2244">
        <v>0</v>
      </c>
      <c r="E2244">
        <v>0</v>
      </c>
      <c r="F2244">
        <v>0</v>
      </c>
      <c r="G2244">
        <v>10509</v>
      </c>
      <c r="H2244">
        <v>0</v>
      </c>
      <c r="I2244">
        <v>0</v>
      </c>
    </row>
    <row r="2245" spans="1:9" x14ac:dyDescent="0.25">
      <c r="A2245">
        <v>17</v>
      </c>
      <c r="B2245">
        <v>1</v>
      </c>
      <c r="C2245">
        <v>3</v>
      </c>
      <c r="D2245">
        <v>0</v>
      </c>
      <c r="E2245">
        <v>3</v>
      </c>
      <c r="F2245">
        <v>0</v>
      </c>
      <c r="G2245">
        <v>9225</v>
      </c>
      <c r="H2245">
        <v>0</v>
      </c>
      <c r="I2245">
        <v>0</v>
      </c>
    </row>
    <row r="2246" spans="1:9" x14ac:dyDescent="0.25">
      <c r="A2246">
        <v>17</v>
      </c>
      <c r="B2246">
        <v>1</v>
      </c>
      <c r="C2246">
        <v>2</v>
      </c>
      <c r="D2246">
        <v>0</v>
      </c>
      <c r="E2246">
        <v>2</v>
      </c>
      <c r="F2246">
        <v>0</v>
      </c>
      <c r="G2246">
        <v>12029</v>
      </c>
      <c r="H2246">
        <v>0</v>
      </c>
      <c r="I2246">
        <v>0</v>
      </c>
    </row>
    <row r="2247" spans="1:9" x14ac:dyDescent="0.25">
      <c r="A2247">
        <v>17</v>
      </c>
      <c r="B2247">
        <v>0</v>
      </c>
      <c r="C2247">
        <v>2</v>
      </c>
      <c r="D2247">
        <v>0</v>
      </c>
      <c r="E2247">
        <v>1</v>
      </c>
      <c r="F2247">
        <v>0</v>
      </c>
      <c r="G2247">
        <v>16055</v>
      </c>
      <c r="H2247">
        <v>1</v>
      </c>
      <c r="I2247">
        <v>0</v>
      </c>
    </row>
    <row r="2248" spans="1:9" x14ac:dyDescent="0.25">
      <c r="A2248">
        <v>17</v>
      </c>
      <c r="B2248">
        <v>1</v>
      </c>
      <c r="C2248">
        <v>43</v>
      </c>
      <c r="D2248">
        <v>0</v>
      </c>
      <c r="E2248">
        <v>1</v>
      </c>
      <c r="F2248">
        <v>0</v>
      </c>
      <c r="G2248">
        <v>74306</v>
      </c>
      <c r="H2248">
        <v>1</v>
      </c>
      <c r="I2248">
        <v>0</v>
      </c>
    </row>
    <row r="2249" spans="1:9" x14ac:dyDescent="0.25">
      <c r="A2249">
        <v>16</v>
      </c>
      <c r="B2249">
        <v>1</v>
      </c>
      <c r="C2249">
        <v>2</v>
      </c>
      <c r="D2249">
        <v>0</v>
      </c>
      <c r="E2249">
        <v>2</v>
      </c>
      <c r="F2249">
        <v>0</v>
      </c>
      <c r="G2249">
        <v>5104</v>
      </c>
      <c r="H2249">
        <v>0</v>
      </c>
      <c r="I2249">
        <v>0</v>
      </c>
    </row>
    <row r="2250" spans="1:9" x14ac:dyDescent="0.25">
      <c r="A2250">
        <v>16</v>
      </c>
      <c r="B2250">
        <v>1</v>
      </c>
      <c r="C2250">
        <v>2</v>
      </c>
      <c r="D2250">
        <v>1</v>
      </c>
      <c r="E2250">
        <v>1</v>
      </c>
      <c r="F2250">
        <v>0</v>
      </c>
      <c r="G2250">
        <v>8523</v>
      </c>
      <c r="H2250">
        <v>0</v>
      </c>
      <c r="I2250">
        <v>0</v>
      </c>
    </row>
    <row r="2251" spans="1:9" x14ac:dyDescent="0.25">
      <c r="A2251">
        <v>16</v>
      </c>
      <c r="B2251">
        <v>1</v>
      </c>
      <c r="C2251">
        <v>3</v>
      </c>
      <c r="D2251">
        <v>0</v>
      </c>
      <c r="E2251">
        <v>3</v>
      </c>
      <c r="F2251">
        <v>0</v>
      </c>
      <c r="G2251">
        <v>9739</v>
      </c>
      <c r="H2251">
        <v>0</v>
      </c>
      <c r="I2251">
        <v>0</v>
      </c>
    </row>
    <row r="2252" spans="1:9" x14ac:dyDescent="0.25">
      <c r="A2252">
        <v>16</v>
      </c>
      <c r="B2252">
        <v>1</v>
      </c>
      <c r="C2252">
        <v>2</v>
      </c>
      <c r="D2252">
        <v>0</v>
      </c>
      <c r="E2252">
        <v>1</v>
      </c>
      <c r="F2252">
        <v>0</v>
      </c>
      <c r="G2252">
        <v>12360</v>
      </c>
      <c r="H2252">
        <v>0</v>
      </c>
      <c r="I2252">
        <v>0</v>
      </c>
    </row>
    <row r="2253" spans="1:9" x14ac:dyDescent="0.25">
      <c r="A2253">
        <v>16</v>
      </c>
      <c r="B2253">
        <v>1</v>
      </c>
      <c r="C2253">
        <v>2</v>
      </c>
      <c r="D2253">
        <v>0</v>
      </c>
      <c r="E2253">
        <v>1</v>
      </c>
      <c r="F2253">
        <v>0</v>
      </c>
      <c r="G2253">
        <v>7814</v>
      </c>
      <c r="H2253">
        <v>0</v>
      </c>
      <c r="I2253">
        <v>0</v>
      </c>
    </row>
    <row r="2254" spans="1:9" x14ac:dyDescent="0.25">
      <c r="A2254">
        <v>16</v>
      </c>
      <c r="B2254">
        <v>1</v>
      </c>
      <c r="C2254">
        <v>2</v>
      </c>
      <c r="D2254">
        <v>0</v>
      </c>
      <c r="E2254">
        <v>2</v>
      </c>
      <c r="F2254">
        <v>0</v>
      </c>
      <c r="G2254">
        <v>8429</v>
      </c>
      <c r="H2254">
        <v>0</v>
      </c>
      <c r="I2254">
        <v>0</v>
      </c>
    </row>
    <row r="2255" spans="1:9" x14ac:dyDescent="0.25">
      <c r="A2255">
        <v>16</v>
      </c>
      <c r="B2255">
        <v>1</v>
      </c>
      <c r="C2255">
        <v>3</v>
      </c>
      <c r="D2255">
        <v>0</v>
      </c>
      <c r="E2255">
        <v>3</v>
      </c>
      <c r="F2255">
        <v>0</v>
      </c>
      <c r="G2255">
        <v>12588</v>
      </c>
      <c r="H2255">
        <v>0</v>
      </c>
      <c r="I2255">
        <v>0</v>
      </c>
    </row>
    <row r="2256" spans="1:9" x14ac:dyDescent="0.25">
      <c r="A2256">
        <v>16</v>
      </c>
      <c r="B2256">
        <v>0</v>
      </c>
      <c r="C2256">
        <v>1</v>
      </c>
      <c r="D2256">
        <v>0</v>
      </c>
      <c r="E2256">
        <v>1</v>
      </c>
      <c r="F2256">
        <v>0</v>
      </c>
      <c r="G2256">
        <v>21418</v>
      </c>
      <c r="H2256">
        <v>1</v>
      </c>
      <c r="I2256">
        <v>0</v>
      </c>
    </row>
    <row r="2257" spans="1:9" x14ac:dyDescent="0.25">
      <c r="A2257">
        <v>16</v>
      </c>
      <c r="B2257">
        <v>1</v>
      </c>
      <c r="C2257">
        <v>4</v>
      </c>
      <c r="D2257">
        <v>0</v>
      </c>
      <c r="E2257">
        <v>3</v>
      </c>
      <c r="F2257">
        <v>0</v>
      </c>
      <c r="G2257">
        <v>18479</v>
      </c>
      <c r="H2257">
        <v>1</v>
      </c>
      <c r="I2257">
        <v>0</v>
      </c>
    </row>
    <row r="2258" spans="1:9" x14ac:dyDescent="0.25">
      <c r="A2258">
        <v>15</v>
      </c>
      <c r="B2258">
        <v>1</v>
      </c>
      <c r="C2258">
        <v>3</v>
      </c>
      <c r="D2258">
        <v>0</v>
      </c>
      <c r="E2258">
        <v>0</v>
      </c>
      <c r="F2258">
        <v>0</v>
      </c>
      <c r="G2258">
        <v>4173</v>
      </c>
      <c r="H2258">
        <v>0</v>
      </c>
      <c r="I2258">
        <v>0</v>
      </c>
    </row>
    <row r="2259" spans="1:9" x14ac:dyDescent="0.25">
      <c r="A2259">
        <v>15</v>
      </c>
      <c r="B2259">
        <v>1</v>
      </c>
      <c r="C2259">
        <v>2</v>
      </c>
      <c r="D2259">
        <v>0</v>
      </c>
      <c r="E2259">
        <v>1</v>
      </c>
      <c r="F2259">
        <v>0</v>
      </c>
      <c r="G2259">
        <v>4986</v>
      </c>
      <c r="H2259">
        <v>0</v>
      </c>
      <c r="I2259">
        <v>0</v>
      </c>
    </row>
    <row r="2260" spans="1:9" x14ac:dyDescent="0.25">
      <c r="A2260">
        <v>15</v>
      </c>
      <c r="B2260">
        <v>1</v>
      </c>
      <c r="C2260">
        <v>3</v>
      </c>
      <c r="D2260">
        <v>0</v>
      </c>
      <c r="E2260">
        <v>2</v>
      </c>
      <c r="F2260">
        <v>0</v>
      </c>
      <c r="G2260">
        <v>8017</v>
      </c>
      <c r="H2260">
        <v>0</v>
      </c>
      <c r="I2260">
        <v>0</v>
      </c>
    </row>
    <row r="2261" spans="1:9" x14ac:dyDescent="0.25">
      <c r="A2261">
        <v>14</v>
      </c>
      <c r="B2261">
        <v>1</v>
      </c>
      <c r="C2261">
        <v>2</v>
      </c>
      <c r="D2261">
        <v>0</v>
      </c>
      <c r="E2261">
        <v>2</v>
      </c>
      <c r="F2261">
        <v>0</v>
      </c>
      <c r="G2261">
        <v>7337</v>
      </c>
      <c r="H2261">
        <v>0</v>
      </c>
      <c r="I2261">
        <v>0</v>
      </c>
    </row>
    <row r="2262" spans="1:9" x14ac:dyDescent="0.25">
      <c r="A2262">
        <v>12</v>
      </c>
      <c r="B2262">
        <v>1</v>
      </c>
      <c r="C2262">
        <v>5</v>
      </c>
      <c r="D2262">
        <v>1</v>
      </c>
      <c r="E2262">
        <v>0</v>
      </c>
      <c r="F2262">
        <v>0</v>
      </c>
      <c r="G2262">
        <v>15887</v>
      </c>
      <c r="H2262">
        <v>0</v>
      </c>
      <c r="I2262">
        <v>0</v>
      </c>
    </row>
    <row r="2263" spans="1:9" x14ac:dyDescent="0.25">
      <c r="A2263">
        <v>11</v>
      </c>
      <c r="B2263">
        <v>1</v>
      </c>
      <c r="C2263">
        <v>3</v>
      </c>
      <c r="D2263">
        <v>2</v>
      </c>
      <c r="E2263">
        <v>0</v>
      </c>
      <c r="F2263">
        <v>0</v>
      </c>
      <c r="G2263">
        <v>11588</v>
      </c>
      <c r="H2263">
        <v>0</v>
      </c>
      <c r="I2263">
        <v>0</v>
      </c>
    </row>
    <row r="2264" spans="1:9" x14ac:dyDescent="0.25">
      <c r="A2264">
        <v>11</v>
      </c>
      <c r="B2264">
        <v>0</v>
      </c>
      <c r="C2264">
        <v>0</v>
      </c>
      <c r="D2264">
        <v>0</v>
      </c>
      <c r="E2264">
        <v>0</v>
      </c>
      <c r="F2264">
        <v>0</v>
      </c>
      <c r="G2264">
        <v>3926</v>
      </c>
      <c r="H2264">
        <v>0</v>
      </c>
      <c r="I2264">
        <v>0</v>
      </c>
    </row>
    <row r="2265" spans="1:9" x14ac:dyDescent="0.25">
      <c r="A2265">
        <v>11</v>
      </c>
      <c r="B2265">
        <v>0</v>
      </c>
      <c r="C2265">
        <v>2</v>
      </c>
      <c r="D2265">
        <v>0</v>
      </c>
      <c r="E2265">
        <v>2</v>
      </c>
      <c r="F2265">
        <v>0</v>
      </c>
      <c r="G2265">
        <v>6465</v>
      </c>
      <c r="H2265">
        <v>1</v>
      </c>
      <c r="I2265">
        <v>0</v>
      </c>
    </row>
    <row r="2266" spans="1:9" x14ac:dyDescent="0.25">
      <c r="A2266">
        <v>11</v>
      </c>
      <c r="B2266">
        <v>0</v>
      </c>
      <c r="C2266">
        <v>2</v>
      </c>
      <c r="D2266">
        <v>0</v>
      </c>
      <c r="E2266">
        <v>1</v>
      </c>
      <c r="F2266">
        <v>0</v>
      </c>
      <c r="G2266">
        <v>13822</v>
      </c>
      <c r="H2266">
        <v>1</v>
      </c>
      <c r="I2266">
        <v>0</v>
      </c>
    </row>
    <row r="2267" spans="1:9" x14ac:dyDescent="0.25">
      <c r="A2267">
        <v>6</v>
      </c>
      <c r="B2267">
        <v>0</v>
      </c>
      <c r="C2267">
        <v>7</v>
      </c>
      <c r="D2267">
        <v>1</v>
      </c>
      <c r="E2267">
        <v>0</v>
      </c>
      <c r="F2267">
        <v>0</v>
      </c>
      <c r="G2267">
        <v>21059</v>
      </c>
      <c r="H2267">
        <v>0</v>
      </c>
      <c r="I2267">
        <v>0</v>
      </c>
    </row>
    <row r="2268" spans="1:9" x14ac:dyDescent="0.25">
      <c r="A2268">
        <v>3</v>
      </c>
      <c r="B2268">
        <v>0</v>
      </c>
      <c r="C2268">
        <v>2</v>
      </c>
      <c r="D2268">
        <v>0</v>
      </c>
      <c r="E2268">
        <v>1</v>
      </c>
      <c r="F2268">
        <v>0</v>
      </c>
      <c r="G2268">
        <v>9687</v>
      </c>
      <c r="H2268">
        <v>0</v>
      </c>
      <c r="I2268">
        <v>0</v>
      </c>
    </row>
    <row r="2269" spans="1:9" x14ac:dyDescent="0.25">
      <c r="A2269">
        <v>1</v>
      </c>
      <c r="B2269">
        <v>0</v>
      </c>
      <c r="C2269">
        <v>2</v>
      </c>
      <c r="D2269">
        <v>1</v>
      </c>
      <c r="E2269">
        <v>0</v>
      </c>
      <c r="F2269">
        <v>0</v>
      </c>
      <c r="G2269">
        <v>4401</v>
      </c>
      <c r="H2269">
        <v>0</v>
      </c>
      <c r="I2269">
        <v>0</v>
      </c>
    </row>
    <row r="2270" spans="1:9" x14ac:dyDescent="0.25">
      <c r="A2270">
        <v>0</v>
      </c>
      <c r="B2270">
        <v>0</v>
      </c>
      <c r="C2270">
        <v>2</v>
      </c>
      <c r="D2270">
        <v>0</v>
      </c>
      <c r="E2270">
        <v>0</v>
      </c>
      <c r="F2270">
        <v>0</v>
      </c>
      <c r="G2270">
        <v>1772</v>
      </c>
      <c r="H2270">
        <v>0</v>
      </c>
      <c r="I2270">
        <v>0</v>
      </c>
    </row>
    <row r="2271" spans="1:9" x14ac:dyDescent="0.25">
      <c r="A2271">
        <v>0</v>
      </c>
      <c r="B2271">
        <v>0</v>
      </c>
      <c r="C2271">
        <v>4</v>
      </c>
      <c r="D2271">
        <v>0</v>
      </c>
      <c r="E2271">
        <v>0</v>
      </c>
      <c r="F2271">
        <v>0</v>
      </c>
      <c r="G2271">
        <v>6842</v>
      </c>
      <c r="H2271">
        <v>0</v>
      </c>
      <c r="I2271">
        <v>0</v>
      </c>
    </row>
    <row r="2272" spans="1:9" x14ac:dyDescent="0.25">
      <c r="A2272">
        <v>0</v>
      </c>
      <c r="B2272">
        <v>1</v>
      </c>
      <c r="C2272">
        <v>2</v>
      </c>
      <c r="D2272">
        <v>0</v>
      </c>
      <c r="E2272">
        <v>0</v>
      </c>
      <c r="F2272">
        <v>0</v>
      </c>
      <c r="G2272">
        <v>1878</v>
      </c>
      <c r="H2272">
        <v>0</v>
      </c>
      <c r="I2272">
        <v>0</v>
      </c>
    </row>
    <row r="2273" spans="1:9" x14ac:dyDescent="0.25">
      <c r="A2273">
        <v>0</v>
      </c>
      <c r="B2273">
        <v>0</v>
      </c>
      <c r="C2273">
        <v>2</v>
      </c>
      <c r="D2273">
        <v>0</v>
      </c>
      <c r="E2273">
        <v>0</v>
      </c>
      <c r="F2273">
        <v>0</v>
      </c>
      <c r="G2273">
        <v>4605</v>
      </c>
      <c r="H2273">
        <v>0</v>
      </c>
      <c r="I2273">
        <v>0</v>
      </c>
    </row>
    <row r="2274" spans="1:9" x14ac:dyDescent="0.25">
      <c r="A2274">
        <v>0</v>
      </c>
      <c r="B2274">
        <v>1</v>
      </c>
      <c r="C2274">
        <v>4</v>
      </c>
      <c r="D2274">
        <v>0</v>
      </c>
      <c r="E2274">
        <v>0</v>
      </c>
      <c r="F2274">
        <v>0</v>
      </c>
      <c r="G2274">
        <v>4340</v>
      </c>
      <c r="H2274">
        <v>0</v>
      </c>
      <c r="I2274">
        <v>0</v>
      </c>
    </row>
    <row r="2275" spans="1:9" x14ac:dyDescent="0.25">
      <c r="A2275">
        <v>0</v>
      </c>
      <c r="B2275">
        <v>0</v>
      </c>
      <c r="C2275">
        <v>0</v>
      </c>
      <c r="D2275">
        <v>0</v>
      </c>
      <c r="E2275">
        <v>2</v>
      </c>
      <c r="F2275">
        <v>0</v>
      </c>
      <c r="G2275">
        <v>3939</v>
      </c>
      <c r="H2275">
        <v>0</v>
      </c>
      <c r="I2275">
        <v>0</v>
      </c>
    </row>
    <row r="2276" spans="1:9" x14ac:dyDescent="0.25">
      <c r="A2276">
        <v>0</v>
      </c>
      <c r="B2276">
        <v>0</v>
      </c>
      <c r="C2276">
        <v>2</v>
      </c>
      <c r="D2276">
        <v>0</v>
      </c>
      <c r="E2276">
        <v>0</v>
      </c>
      <c r="F2276">
        <v>0</v>
      </c>
      <c r="G2276">
        <v>2370</v>
      </c>
      <c r="H2276">
        <v>0</v>
      </c>
      <c r="I2276">
        <v>0</v>
      </c>
    </row>
    <row r="2277" spans="1:9" x14ac:dyDescent="0.25">
      <c r="A2277">
        <v>0</v>
      </c>
      <c r="B2277">
        <v>1</v>
      </c>
      <c r="C2277">
        <v>2</v>
      </c>
      <c r="D2277">
        <v>0</v>
      </c>
      <c r="E2277">
        <v>0</v>
      </c>
      <c r="F2277">
        <v>0</v>
      </c>
      <c r="G2277">
        <v>2297</v>
      </c>
      <c r="H2277">
        <v>0</v>
      </c>
      <c r="I2277">
        <v>0</v>
      </c>
    </row>
    <row r="2278" spans="1:9" x14ac:dyDescent="0.25">
      <c r="A2278">
        <v>0</v>
      </c>
      <c r="B2278">
        <v>1</v>
      </c>
      <c r="C2278">
        <v>2</v>
      </c>
      <c r="D2278">
        <v>0</v>
      </c>
      <c r="E2278">
        <v>0</v>
      </c>
      <c r="F2278">
        <v>0</v>
      </c>
      <c r="G2278">
        <v>1676</v>
      </c>
      <c r="H2278">
        <v>0</v>
      </c>
      <c r="I2278">
        <v>0</v>
      </c>
    </row>
    <row r="2279" spans="1:9" x14ac:dyDescent="0.25">
      <c r="A2279">
        <v>0</v>
      </c>
      <c r="B2279">
        <v>1</v>
      </c>
      <c r="C2279">
        <v>3</v>
      </c>
      <c r="D2279">
        <v>0</v>
      </c>
      <c r="E2279">
        <v>0</v>
      </c>
      <c r="F2279">
        <v>0</v>
      </c>
      <c r="G2279">
        <v>5856</v>
      </c>
      <c r="H2279">
        <v>0</v>
      </c>
      <c r="I2279">
        <v>0</v>
      </c>
    </row>
    <row r="2280" spans="1:9" x14ac:dyDescent="0.25">
      <c r="A2280">
        <v>0</v>
      </c>
      <c r="B2280">
        <v>0</v>
      </c>
      <c r="C2280">
        <v>2</v>
      </c>
      <c r="D2280">
        <v>0</v>
      </c>
      <c r="E2280">
        <v>0</v>
      </c>
      <c r="F2280">
        <v>0</v>
      </c>
      <c r="G2280">
        <v>1875</v>
      </c>
      <c r="H2280">
        <v>0</v>
      </c>
      <c r="I2280">
        <v>0</v>
      </c>
    </row>
    <row r="2281" spans="1:9" x14ac:dyDescent="0.25">
      <c r="A2281">
        <v>0</v>
      </c>
      <c r="B2281">
        <v>0</v>
      </c>
      <c r="C2281">
        <v>2</v>
      </c>
      <c r="D2281">
        <v>0</v>
      </c>
      <c r="E2281">
        <v>0</v>
      </c>
      <c r="F2281">
        <v>0</v>
      </c>
      <c r="G2281">
        <v>2257</v>
      </c>
      <c r="H2281">
        <v>0</v>
      </c>
      <c r="I2281">
        <v>0</v>
      </c>
    </row>
    <row r="2282" spans="1:9" x14ac:dyDescent="0.25">
      <c r="A2282">
        <v>0</v>
      </c>
      <c r="B2282">
        <v>1</v>
      </c>
      <c r="C2282">
        <v>3</v>
      </c>
      <c r="D2282">
        <v>0</v>
      </c>
      <c r="E2282">
        <v>1</v>
      </c>
      <c r="F2282">
        <v>0</v>
      </c>
      <c r="G2282">
        <v>2705</v>
      </c>
      <c r="H2282">
        <v>0</v>
      </c>
      <c r="I2282">
        <v>0</v>
      </c>
    </row>
    <row r="2283" spans="1:9" x14ac:dyDescent="0.25">
      <c r="A2283">
        <v>0</v>
      </c>
      <c r="B2283">
        <v>0</v>
      </c>
      <c r="C2283">
        <v>2</v>
      </c>
      <c r="D2283">
        <v>0</v>
      </c>
      <c r="E2283">
        <v>0</v>
      </c>
      <c r="F2283">
        <v>0</v>
      </c>
      <c r="G2283">
        <v>2189</v>
      </c>
      <c r="H2283">
        <v>0</v>
      </c>
      <c r="I2283">
        <v>0</v>
      </c>
    </row>
    <row r="2284" spans="1:9" x14ac:dyDescent="0.25">
      <c r="A2284">
        <v>0</v>
      </c>
      <c r="B2284">
        <v>0</v>
      </c>
      <c r="C2284">
        <v>2</v>
      </c>
      <c r="D2284">
        <v>0</v>
      </c>
      <c r="E2284">
        <v>0</v>
      </c>
      <c r="F2284">
        <v>0</v>
      </c>
      <c r="G2284">
        <v>2322</v>
      </c>
      <c r="H2284">
        <v>0</v>
      </c>
      <c r="I2284">
        <v>0</v>
      </c>
    </row>
    <row r="2285" spans="1:9" x14ac:dyDescent="0.25">
      <c r="A2285">
        <v>0</v>
      </c>
      <c r="B2285">
        <v>0</v>
      </c>
      <c r="C2285">
        <v>3</v>
      </c>
      <c r="D2285">
        <v>0</v>
      </c>
      <c r="E2285">
        <v>0</v>
      </c>
      <c r="F2285">
        <v>0</v>
      </c>
      <c r="G2285">
        <v>6555</v>
      </c>
      <c r="H2285">
        <v>0</v>
      </c>
      <c r="I2285">
        <v>0</v>
      </c>
    </row>
    <row r="2286" spans="1:9" x14ac:dyDescent="0.25">
      <c r="A2286">
        <v>0</v>
      </c>
      <c r="B2286">
        <v>1</v>
      </c>
      <c r="C2286">
        <v>3</v>
      </c>
      <c r="D2286">
        <v>0</v>
      </c>
      <c r="E2286">
        <v>0</v>
      </c>
      <c r="F2286">
        <v>0</v>
      </c>
      <c r="G2286">
        <v>6594</v>
      </c>
      <c r="H2286">
        <v>0</v>
      </c>
      <c r="I2286">
        <v>0</v>
      </c>
    </row>
    <row r="2287" spans="1:9" x14ac:dyDescent="0.25">
      <c r="A2287">
        <v>0</v>
      </c>
      <c r="B2287">
        <v>0</v>
      </c>
      <c r="C2287">
        <v>5</v>
      </c>
      <c r="D2287">
        <v>0</v>
      </c>
      <c r="E2287">
        <v>0</v>
      </c>
      <c r="F2287">
        <v>0</v>
      </c>
      <c r="G2287">
        <v>5513</v>
      </c>
      <c r="H2287">
        <v>0</v>
      </c>
      <c r="I2287">
        <v>0</v>
      </c>
    </row>
    <row r="2288" spans="1:9" x14ac:dyDescent="0.25">
      <c r="A2288">
        <v>0</v>
      </c>
      <c r="B2288">
        <v>0</v>
      </c>
      <c r="C2288">
        <v>2</v>
      </c>
      <c r="D2288">
        <v>0</v>
      </c>
      <c r="E2288">
        <v>0</v>
      </c>
      <c r="F2288">
        <v>0</v>
      </c>
      <c r="G2288">
        <v>1785</v>
      </c>
      <c r="H2288">
        <v>0</v>
      </c>
      <c r="I2288">
        <v>0</v>
      </c>
    </row>
    <row r="2289" spans="1:9" x14ac:dyDescent="0.25">
      <c r="A2289">
        <v>0</v>
      </c>
      <c r="B2289">
        <v>0</v>
      </c>
      <c r="C2289">
        <v>2</v>
      </c>
      <c r="D2289">
        <v>0</v>
      </c>
      <c r="E2289">
        <v>0</v>
      </c>
      <c r="F2289">
        <v>0</v>
      </c>
      <c r="G2289">
        <v>1835</v>
      </c>
      <c r="H2289">
        <v>0</v>
      </c>
      <c r="I2289">
        <v>0</v>
      </c>
    </row>
    <row r="2290" spans="1:9" x14ac:dyDescent="0.25">
      <c r="A2290">
        <v>0</v>
      </c>
      <c r="B2290">
        <v>0</v>
      </c>
      <c r="C2290">
        <v>2</v>
      </c>
      <c r="D2290">
        <v>0</v>
      </c>
      <c r="E2290">
        <v>0</v>
      </c>
      <c r="F2290">
        <v>0</v>
      </c>
      <c r="G2290">
        <v>2067</v>
      </c>
      <c r="H2290">
        <v>0</v>
      </c>
      <c r="I2290">
        <v>0</v>
      </c>
    </row>
    <row r="2291" spans="1:9" x14ac:dyDescent="0.25">
      <c r="A2291">
        <v>0</v>
      </c>
      <c r="B2291">
        <v>0</v>
      </c>
      <c r="C2291">
        <v>3</v>
      </c>
      <c r="D2291">
        <v>0</v>
      </c>
      <c r="E2291">
        <v>0</v>
      </c>
      <c r="F2291">
        <v>0</v>
      </c>
      <c r="G2291">
        <v>2752</v>
      </c>
      <c r="H2291">
        <v>0</v>
      </c>
      <c r="I2291">
        <v>0</v>
      </c>
    </row>
    <row r="2292" spans="1:9" x14ac:dyDescent="0.25">
      <c r="A2292">
        <v>0</v>
      </c>
      <c r="B2292">
        <v>1</v>
      </c>
      <c r="C2292">
        <v>4</v>
      </c>
      <c r="D2292">
        <v>0</v>
      </c>
      <c r="E2292">
        <v>0</v>
      </c>
      <c r="F2292">
        <v>0</v>
      </c>
      <c r="G2292">
        <v>3164</v>
      </c>
      <c r="H2292">
        <v>0</v>
      </c>
      <c r="I2292">
        <v>0</v>
      </c>
    </row>
    <row r="2293" spans="1:9" x14ac:dyDescent="0.25">
      <c r="A2293">
        <v>0</v>
      </c>
      <c r="B2293">
        <v>0</v>
      </c>
      <c r="C2293">
        <v>2</v>
      </c>
      <c r="D2293">
        <v>0</v>
      </c>
      <c r="E2293">
        <v>0</v>
      </c>
      <c r="F2293">
        <v>0</v>
      </c>
      <c r="G2293">
        <v>1692</v>
      </c>
      <c r="H2293">
        <v>0</v>
      </c>
      <c r="I2293">
        <v>0</v>
      </c>
    </row>
    <row r="2294" spans="1:9" x14ac:dyDescent="0.25">
      <c r="A2294">
        <v>0</v>
      </c>
      <c r="B2294">
        <v>0</v>
      </c>
      <c r="C2294">
        <v>2</v>
      </c>
      <c r="D2294">
        <v>0</v>
      </c>
      <c r="E2294">
        <v>0</v>
      </c>
      <c r="F2294">
        <v>0</v>
      </c>
      <c r="G2294">
        <v>1907</v>
      </c>
      <c r="H2294">
        <v>0</v>
      </c>
      <c r="I2294">
        <v>0</v>
      </c>
    </row>
    <row r="2295" spans="1:9" x14ac:dyDescent="0.25">
      <c r="A2295">
        <v>0</v>
      </c>
      <c r="B2295">
        <v>0</v>
      </c>
      <c r="C2295">
        <v>2</v>
      </c>
      <c r="D2295">
        <v>0</v>
      </c>
      <c r="E2295">
        <v>0</v>
      </c>
      <c r="F2295">
        <v>0</v>
      </c>
      <c r="G2295">
        <v>5420</v>
      </c>
      <c r="H2295">
        <v>0</v>
      </c>
      <c r="I2295">
        <v>0</v>
      </c>
    </row>
    <row r="2296" spans="1:9" x14ac:dyDescent="0.25">
      <c r="A2296">
        <v>0</v>
      </c>
      <c r="B2296">
        <v>0</v>
      </c>
      <c r="C2296">
        <v>2</v>
      </c>
      <c r="D2296">
        <v>0</v>
      </c>
      <c r="E2296">
        <v>0</v>
      </c>
      <c r="F2296">
        <v>0</v>
      </c>
      <c r="G2296">
        <v>2583</v>
      </c>
      <c r="H2296">
        <v>0</v>
      </c>
      <c r="I2296">
        <v>0</v>
      </c>
    </row>
    <row r="2297" spans="1:9" x14ac:dyDescent="0.25">
      <c r="A2297">
        <v>0</v>
      </c>
      <c r="B2297">
        <v>1</v>
      </c>
      <c r="C2297">
        <v>0</v>
      </c>
      <c r="D2297">
        <v>0</v>
      </c>
      <c r="E2297">
        <v>0</v>
      </c>
      <c r="F2297">
        <v>0</v>
      </c>
      <c r="G2297">
        <v>3170</v>
      </c>
      <c r="H2297">
        <v>0</v>
      </c>
      <c r="I2297">
        <v>0</v>
      </c>
    </row>
    <row r="2298" spans="1:9" x14ac:dyDescent="0.25">
      <c r="A2298">
        <v>0</v>
      </c>
      <c r="B2298">
        <v>1</v>
      </c>
      <c r="C2298">
        <v>2</v>
      </c>
      <c r="D2298">
        <v>0</v>
      </c>
      <c r="E2298">
        <v>0</v>
      </c>
      <c r="F2298">
        <v>0</v>
      </c>
      <c r="G2298">
        <v>1814</v>
      </c>
      <c r="H2298">
        <v>0</v>
      </c>
      <c r="I2298">
        <v>0</v>
      </c>
    </row>
    <row r="2299" spans="1:9" x14ac:dyDescent="0.25">
      <c r="A2299">
        <v>0</v>
      </c>
      <c r="B2299">
        <v>1</v>
      </c>
      <c r="C2299">
        <v>3</v>
      </c>
      <c r="D2299">
        <v>0</v>
      </c>
      <c r="E2299">
        <v>0</v>
      </c>
      <c r="F2299">
        <v>0</v>
      </c>
      <c r="G2299">
        <v>3130</v>
      </c>
      <c r="H2299">
        <v>0</v>
      </c>
      <c r="I2299">
        <v>0</v>
      </c>
    </row>
    <row r="2300" spans="1:9" x14ac:dyDescent="0.25">
      <c r="A2300">
        <v>0</v>
      </c>
      <c r="B2300">
        <v>1</v>
      </c>
      <c r="C2300">
        <v>3</v>
      </c>
      <c r="D2300">
        <v>0</v>
      </c>
      <c r="E2300">
        <v>0</v>
      </c>
      <c r="F2300">
        <v>0</v>
      </c>
      <c r="G2300">
        <v>3573</v>
      </c>
      <c r="H2300">
        <v>0</v>
      </c>
      <c r="I2300">
        <v>0</v>
      </c>
    </row>
    <row r="2301" spans="1:9" x14ac:dyDescent="0.25">
      <c r="A2301">
        <v>0</v>
      </c>
      <c r="B2301">
        <v>0</v>
      </c>
      <c r="C2301">
        <v>3</v>
      </c>
      <c r="D2301">
        <v>0</v>
      </c>
      <c r="E2301">
        <v>0</v>
      </c>
      <c r="F2301">
        <v>0</v>
      </c>
      <c r="G2301">
        <v>2489</v>
      </c>
      <c r="H2301">
        <v>0</v>
      </c>
      <c r="I2301">
        <v>0</v>
      </c>
    </row>
    <row r="2302" spans="1:9" x14ac:dyDescent="0.25">
      <c r="A2302">
        <v>0</v>
      </c>
      <c r="B2302">
        <v>0</v>
      </c>
      <c r="C2302">
        <v>2</v>
      </c>
      <c r="D2302">
        <v>0</v>
      </c>
      <c r="E2302">
        <v>0</v>
      </c>
      <c r="F2302">
        <v>0</v>
      </c>
      <c r="G2302">
        <v>1781</v>
      </c>
      <c r="H2302">
        <v>0</v>
      </c>
      <c r="I2302">
        <v>0</v>
      </c>
    </row>
    <row r="2303" spans="1:9" x14ac:dyDescent="0.25">
      <c r="A2303">
        <v>0</v>
      </c>
      <c r="B2303">
        <v>1</v>
      </c>
      <c r="C2303">
        <v>15</v>
      </c>
      <c r="D2303">
        <v>0</v>
      </c>
      <c r="E2303">
        <v>0</v>
      </c>
      <c r="F2303">
        <v>0</v>
      </c>
      <c r="G2303">
        <v>21244</v>
      </c>
      <c r="H2303">
        <v>0</v>
      </c>
      <c r="I2303">
        <v>0</v>
      </c>
    </row>
    <row r="2304" spans="1:9" x14ac:dyDescent="0.25">
      <c r="A2304">
        <v>0</v>
      </c>
      <c r="B2304">
        <v>0</v>
      </c>
      <c r="C2304">
        <v>5</v>
      </c>
      <c r="D2304">
        <v>0</v>
      </c>
      <c r="E2304">
        <v>0</v>
      </c>
      <c r="F2304">
        <v>0</v>
      </c>
      <c r="G2304">
        <v>5256</v>
      </c>
      <c r="H2304">
        <v>0</v>
      </c>
      <c r="I2304">
        <v>0</v>
      </c>
    </row>
    <row r="2305" spans="1:9" x14ac:dyDescent="0.25">
      <c r="A2305">
        <v>0</v>
      </c>
      <c r="B2305">
        <v>0</v>
      </c>
      <c r="C2305">
        <v>3</v>
      </c>
      <c r="D2305">
        <v>0</v>
      </c>
      <c r="E2305">
        <v>0</v>
      </c>
      <c r="F2305">
        <v>0</v>
      </c>
      <c r="G2305">
        <v>2396</v>
      </c>
      <c r="H2305">
        <v>0</v>
      </c>
      <c r="I2305">
        <v>0</v>
      </c>
    </row>
    <row r="2306" spans="1:9" x14ac:dyDescent="0.25">
      <c r="A2306">
        <v>0</v>
      </c>
      <c r="B2306">
        <v>0</v>
      </c>
      <c r="C2306">
        <v>2</v>
      </c>
      <c r="D2306">
        <v>1</v>
      </c>
      <c r="E2306">
        <v>0</v>
      </c>
      <c r="F2306">
        <v>0</v>
      </c>
      <c r="G2306">
        <v>2557</v>
      </c>
      <c r="H2306">
        <v>0</v>
      </c>
      <c r="I2306">
        <v>0</v>
      </c>
    </row>
    <row r="2307" spans="1:9" x14ac:dyDescent="0.25">
      <c r="A2307">
        <v>0</v>
      </c>
      <c r="B2307">
        <v>1</v>
      </c>
      <c r="C2307">
        <v>3</v>
      </c>
      <c r="D2307">
        <v>0</v>
      </c>
      <c r="E2307">
        <v>0</v>
      </c>
      <c r="F2307">
        <v>0</v>
      </c>
      <c r="G2307">
        <v>5848</v>
      </c>
      <c r="H2307">
        <v>0</v>
      </c>
      <c r="I2307">
        <v>0</v>
      </c>
    </row>
    <row r="2308" spans="1:9" x14ac:dyDescent="0.25">
      <c r="A2308">
        <v>0</v>
      </c>
      <c r="B2308">
        <v>0</v>
      </c>
      <c r="C2308">
        <v>3</v>
      </c>
      <c r="D2308">
        <v>0</v>
      </c>
      <c r="E2308">
        <v>0</v>
      </c>
      <c r="F2308">
        <v>0</v>
      </c>
      <c r="G2308">
        <v>3090</v>
      </c>
      <c r="H2308">
        <v>0</v>
      </c>
      <c r="I2308">
        <v>0</v>
      </c>
    </row>
    <row r="2309" spans="1:9" x14ac:dyDescent="0.25">
      <c r="A2309">
        <v>0</v>
      </c>
      <c r="B2309">
        <v>0</v>
      </c>
      <c r="C2309">
        <v>2</v>
      </c>
      <c r="D2309">
        <v>0</v>
      </c>
      <c r="E2309">
        <v>0</v>
      </c>
      <c r="F2309">
        <v>0</v>
      </c>
      <c r="G2309">
        <v>1689</v>
      </c>
      <c r="H2309">
        <v>0</v>
      </c>
      <c r="I2309">
        <v>0</v>
      </c>
    </row>
    <row r="2310" spans="1:9" x14ac:dyDescent="0.25">
      <c r="A2310">
        <v>0</v>
      </c>
      <c r="B2310">
        <v>0</v>
      </c>
      <c r="C2310">
        <v>2</v>
      </c>
      <c r="D2310">
        <v>0</v>
      </c>
      <c r="E2310">
        <v>0</v>
      </c>
      <c r="F2310">
        <v>0</v>
      </c>
      <c r="G2310">
        <v>1897</v>
      </c>
      <c r="H2310">
        <v>0</v>
      </c>
      <c r="I2310">
        <v>0</v>
      </c>
    </row>
    <row r="2311" spans="1:9" x14ac:dyDescent="0.25">
      <c r="A2311">
        <v>0</v>
      </c>
      <c r="B2311">
        <v>0</v>
      </c>
      <c r="C2311">
        <v>6</v>
      </c>
      <c r="D2311">
        <v>0</v>
      </c>
      <c r="E2311">
        <v>0</v>
      </c>
      <c r="F2311">
        <v>0</v>
      </c>
      <c r="G2311">
        <v>4641</v>
      </c>
      <c r="H2311">
        <v>0</v>
      </c>
      <c r="I2311">
        <v>0</v>
      </c>
    </row>
    <row r="2312" spans="1:9" x14ac:dyDescent="0.25">
      <c r="A2312">
        <v>0</v>
      </c>
      <c r="B2312">
        <v>1</v>
      </c>
      <c r="C2312">
        <v>2</v>
      </c>
      <c r="D2312">
        <v>0</v>
      </c>
      <c r="E2312">
        <v>0</v>
      </c>
      <c r="F2312">
        <v>0</v>
      </c>
      <c r="G2312">
        <v>1689</v>
      </c>
      <c r="H2312">
        <v>0</v>
      </c>
      <c r="I2312">
        <v>0</v>
      </c>
    </row>
    <row r="2313" spans="1:9" x14ac:dyDescent="0.25">
      <c r="A2313">
        <v>0</v>
      </c>
      <c r="B2313">
        <v>1</v>
      </c>
      <c r="C2313">
        <v>2</v>
      </c>
      <c r="D2313">
        <v>0</v>
      </c>
      <c r="E2313">
        <v>0</v>
      </c>
      <c r="F2313">
        <v>0</v>
      </c>
      <c r="G2313">
        <v>2064</v>
      </c>
      <c r="H2313">
        <v>0</v>
      </c>
      <c r="I2313">
        <v>0</v>
      </c>
    </row>
    <row r="2314" spans="1:9" x14ac:dyDescent="0.25">
      <c r="A2314">
        <v>0</v>
      </c>
      <c r="B2314">
        <v>0</v>
      </c>
      <c r="C2314">
        <v>2</v>
      </c>
      <c r="D2314">
        <v>0</v>
      </c>
      <c r="E2314">
        <v>0</v>
      </c>
      <c r="F2314">
        <v>0</v>
      </c>
      <c r="G2314">
        <v>1938</v>
      </c>
      <c r="H2314">
        <v>0</v>
      </c>
      <c r="I2314">
        <v>0</v>
      </c>
    </row>
    <row r="2315" spans="1:9" x14ac:dyDescent="0.25">
      <c r="A2315">
        <v>0</v>
      </c>
      <c r="B2315">
        <v>1</v>
      </c>
      <c r="C2315">
        <v>2</v>
      </c>
      <c r="D2315">
        <v>0</v>
      </c>
      <c r="E2315">
        <v>0</v>
      </c>
      <c r="F2315">
        <v>0</v>
      </c>
      <c r="G2315">
        <v>1814</v>
      </c>
      <c r="H2315">
        <v>0</v>
      </c>
      <c r="I2315">
        <v>0</v>
      </c>
    </row>
    <row r="2316" spans="1:9" x14ac:dyDescent="0.25">
      <c r="A2316">
        <v>0</v>
      </c>
      <c r="B2316">
        <v>1</v>
      </c>
      <c r="C2316">
        <v>2</v>
      </c>
      <c r="D2316">
        <v>0</v>
      </c>
      <c r="E2316">
        <v>0</v>
      </c>
      <c r="F2316">
        <v>0</v>
      </c>
      <c r="G2316">
        <v>1814</v>
      </c>
      <c r="H2316">
        <v>0</v>
      </c>
      <c r="I2316">
        <v>0</v>
      </c>
    </row>
    <row r="2317" spans="1:9" x14ac:dyDescent="0.25">
      <c r="A2317">
        <v>0</v>
      </c>
      <c r="B2317">
        <v>0</v>
      </c>
      <c r="C2317">
        <v>2</v>
      </c>
      <c r="D2317">
        <v>0</v>
      </c>
      <c r="E2317">
        <v>0</v>
      </c>
      <c r="F2317">
        <v>0</v>
      </c>
      <c r="G2317">
        <v>1936</v>
      </c>
      <c r="H2317">
        <v>0</v>
      </c>
      <c r="I2317">
        <v>0</v>
      </c>
    </row>
    <row r="2318" spans="1:9" x14ac:dyDescent="0.25">
      <c r="A2318">
        <v>0</v>
      </c>
      <c r="B2318">
        <v>1</v>
      </c>
      <c r="C2318">
        <v>5</v>
      </c>
      <c r="D2318">
        <v>0</v>
      </c>
      <c r="E2318">
        <v>1</v>
      </c>
      <c r="F2318">
        <v>0</v>
      </c>
      <c r="G2318">
        <v>4417</v>
      </c>
      <c r="H2318">
        <v>0</v>
      </c>
      <c r="I2318">
        <v>0</v>
      </c>
    </row>
    <row r="2319" spans="1:9" x14ac:dyDescent="0.25">
      <c r="A2319">
        <v>0</v>
      </c>
      <c r="B2319">
        <v>1</v>
      </c>
      <c r="C2319">
        <v>3</v>
      </c>
      <c r="D2319">
        <v>0</v>
      </c>
      <c r="E2319">
        <v>0</v>
      </c>
      <c r="F2319">
        <v>0</v>
      </c>
      <c r="G2319">
        <v>2806</v>
      </c>
      <c r="H2319">
        <v>0</v>
      </c>
      <c r="I2319">
        <v>0</v>
      </c>
    </row>
    <row r="2320" spans="1:9" x14ac:dyDescent="0.25">
      <c r="A2320">
        <v>0</v>
      </c>
      <c r="B2320">
        <v>0</v>
      </c>
      <c r="C2320">
        <v>3</v>
      </c>
      <c r="D2320">
        <v>1</v>
      </c>
      <c r="E2320">
        <v>0</v>
      </c>
      <c r="F2320">
        <v>0</v>
      </c>
      <c r="G2320">
        <v>4244</v>
      </c>
      <c r="H2320">
        <v>0</v>
      </c>
      <c r="I2320">
        <v>0</v>
      </c>
    </row>
    <row r="2321" spans="1:9" x14ac:dyDescent="0.25">
      <c r="A2321">
        <v>0</v>
      </c>
      <c r="B2321">
        <v>1</v>
      </c>
      <c r="C2321">
        <v>2</v>
      </c>
      <c r="D2321">
        <v>0</v>
      </c>
      <c r="E2321">
        <v>0</v>
      </c>
      <c r="F2321">
        <v>0</v>
      </c>
      <c r="G2321">
        <v>2160</v>
      </c>
      <c r="H2321">
        <v>0</v>
      </c>
      <c r="I2321">
        <v>0</v>
      </c>
    </row>
    <row r="2322" spans="1:9" x14ac:dyDescent="0.25">
      <c r="A2322">
        <v>0</v>
      </c>
      <c r="B2322">
        <v>0</v>
      </c>
      <c r="C2322">
        <v>4</v>
      </c>
      <c r="D2322">
        <v>0</v>
      </c>
      <c r="E2322">
        <v>0</v>
      </c>
      <c r="F2322">
        <v>0</v>
      </c>
      <c r="G2322">
        <v>3895</v>
      </c>
      <c r="H2322">
        <v>0</v>
      </c>
      <c r="I2322">
        <v>0</v>
      </c>
    </row>
    <row r="2323" spans="1:9" x14ac:dyDescent="0.25">
      <c r="A2323">
        <v>0</v>
      </c>
      <c r="B2323">
        <v>0</v>
      </c>
      <c r="C2323">
        <v>2</v>
      </c>
      <c r="D2323">
        <v>0</v>
      </c>
      <c r="E2323">
        <v>0</v>
      </c>
      <c r="F2323">
        <v>0</v>
      </c>
      <c r="G2323">
        <v>1979</v>
      </c>
      <c r="H2323">
        <v>0</v>
      </c>
      <c r="I2323">
        <v>0</v>
      </c>
    </row>
    <row r="2324" spans="1:9" x14ac:dyDescent="0.25">
      <c r="A2324">
        <v>0</v>
      </c>
      <c r="B2324">
        <v>0</v>
      </c>
      <c r="C2324">
        <v>2</v>
      </c>
      <c r="D2324">
        <v>0</v>
      </c>
      <c r="E2324">
        <v>0</v>
      </c>
      <c r="F2324">
        <v>0</v>
      </c>
      <c r="G2324">
        <v>1972</v>
      </c>
      <c r="H2324">
        <v>0</v>
      </c>
      <c r="I2324">
        <v>0</v>
      </c>
    </row>
    <row r="2325" spans="1:9" x14ac:dyDescent="0.25">
      <c r="A2325">
        <v>0</v>
      </c>
      <c r="B2325">
        <v>1</v>
      </c>
      <c r="C2325">
        <v>2</v>
      </c>
      <c r="D2325">
        <v>1</v>
      </c>
      <c r="E2325">
        <v>0</v>
      </c>
      <c r="F2325">
        <v>0</v>
      </c>
      <c r="G2325">
        <v>2649</v>
      </c>
      <c r="H2325">
        <v>0</v>
      </c>
      <c r="I2325">
        <v>0</v>
      </c>
    </row>
    <row r="2326" spans="1:9" x14ac:dyDescent="0.25">
      <c r="A2326">
        <v>0</v>
      </c>
      <c r="B2326">
        <v>1</v>
      </c>
      <c r="C2326">
        <v>2</v>
      </c>
      <c r="D2326">
        <v>0</v>
      </c>
      <c r="E2326">
        <v>0</v>
      </c>
      <c r="F2326">
        <v>0</v>
      </c>
      <c r="G2326">
        <v>1968</v>
      </c>
      <c r="H2326">
        <v>0</v>
      </c>
      <c r="I2326">
        <v>0</v>
      </c>
    </row>
    <row r="2327" spans="1:9" x14ac:dyDescent="0.25">
      <c r="A2327">
        <v>0</v>
      </c>
      <c r="B2327">
        <v>1</v>
      </c>
      <c r="C2327">
        <v>2</v>
      </c>
      <c r="D2327">
        <v>0</v>
      </c>
      <c r="E2327">
        <v>0</v>
      </c>
      <c r="F2327">
        <v>0</v>
      </c>
      <c r="G2327">
        <v>2442</v>
      </c>
      <c r="H2327">
        <v>0</v>
      </c>
      <c r="I2327">
        <v>0</v>
      </c>
    </row>
    <row r="2328" spans="1:9" x14ac:dyDescent="0.25">
      <c r="A2328">
        <v>0</v>
      </c>
      <c r="B2328">
        <v>0</v>
      </c>
      <c r="C2328">
        <v>2</v>
      </c>
      <c r="D2328">
        <v>0</v>
      </c>
      <c r="E2328">
        <v>0</v>
      </c>
      <c r="F2328">
        <v>0</v>
      </c>
      <c r="G2328">
        <v>1976</v>
      </c>
      <c r="H2328">
        <v>0</v>
      </c>
      <c r="I2328">
        <v>0</v>
      </c>
    </row>
    <row r="2329" spans="1:9" x14ac:dyDescent="0.25">
      <c r="A2329">
        <v>0</v>
      </c>
      <c r="B2329">
        <v>0</v>
      </c>
      <c r="C2329">
        <v>2</v>
      </c>
      <c r="D2329">
        <v>1</v>
      </c>
      <c r="E2329">
        <v>0</v>
      </c>
      <c r="F2329">
        <v>0</v>
      </c>
      <c r="G2329">
        <v>1990</v>
      </c>
      <c r="H2329">
        <v>0</v>
      </c>
      <c r="I2329">
        <v>0</v>
      </c>
    </row>
    <row r="2330" spans="1:9" x14ac:dyDescent="0.25">
      <c r="A2330">
        <v>0</v>
      </c>
      <c r="B2330">
        <v>1</v>
      </c>
      <c r="C2330">
        <v>3</v>
      </c>
      <c r="D2330">
        <v>0</v>
      </c>
      <c r="E2330">
        <v>0</v>
      </c>
      <c r="F2330">
        <v>0</v>
      </c>
      <c r="G2330">
        <v>2655</v>
      </c>
      <c r="H2330">
        <v>0</v>
      </c>
      <c r="I2330">
        <v>0</v>
      </c>
    </row>
    <row r="2331" spans="1:9" x14ac:dyDescent="0.25">
      <c r="A2331">
        <v>0</v>
      </c>
      <c r="B2331">
        <v>0</v>
      </c>
      <c r="C2331">
        <v>5</v>
      </c>
      <c r="D2331">
        <v>0</v>
      </c>
      <c r="E2331">
        <v>0</v>
      </c>
      <c r="F2331">
        <v>0</v>
      </c>
      <c r="G2331">
        <v>7328</v>
      </c>
      <c r="H2331">
        <v>0</v>
      </c>
      <c r="I2331">
        <v>0</v>
      </c>
    </row>
    <row r="2332" spans="1:9" x14ac:dyDescent="0.25">
      <c r="A2332">
        <v>0</v>
      </c>
      <c r="B2332">
        <v>1</v>
      </c>
      <c r="C2332">
        <v>2</v>
      </c>
      <c r="D2332">
        <v>0</v>
      </c>
      <c r="E2332">
        <v>0</v>
      </c>
      <c r="F2332">
        <v>0</v>
      </c>
      <c r="G2332">
        <v>1689</v>
      </c>
      <c r="H2332">
        <v>0</v>
      </c>
      <c r="I2332">
        <v>0</v>
      </c>
    </row>
    <row r="2333" spans="1:9" x14ac:dyDescent="0.25">
      <c r="A2333">
        <v>0</v>
      </c>
      <c r="B2333">
        <v>1</v>
      </c>
      <c r="C2333">
        <v>2</v>
      </c>
      <c r="D2333">
        <v>0</v>
      </c>
      <c r="E2333">
        <v>0</v>
      </c>
      <c r="F2333">
        <v>0</v>
      </c>
      <c r="G2333">
        <v>1949</v>
      </c>
      <c r="H2333">
        <v>0</v>
      </c>
      <c r="I2333">
        <v>0</v>
      </c>
    </row>
    <row r="2334" spans="1:9" x14ac:dyDescent="0.25">
      <c r="A2334">
        <v>0</v>
      </c>
      <c r="B2334">
        <v>1</v>
      </c>
      <c r="C2334">
        <v>2</v>
      </c>
      <c r="D2334">
        <v>0</v>
      </c>
      <c r="E2334">
        <v>0</v>
      </c>
      <c r="F2334">
        <v>0</v>
      </c>
      <c r="G2334">
        <v>1990</v>
      </c>
      <c r="H2334">
        <v>0</v>
      </c>
      <c r="I2334">
        <v>0</v>
      </c>
    </row>
    <row r="2335" spans="1:9" x14ac:dyDescent="0.25">
      <c r="A2335">
        <v>0</v>
      </c>
      <c r="B2335">
        <v>0</v>
      </c>
      <c r="C2335">
        <v>1</v>
      </c>
      <c r="D2335">
        <v>0</v>
      </c>
      <c r="E2335">
        <v>0</v>
      </c>
      <c r="F2335">
        <v>0</v>
      </c>
      <c r="G2335">
        <v>1524</v>
      </c>
      <c r="H2335">
        <v>0</v>
      </c>
      <c r="I2335">
        <v>0</v>
      </c>
    </row>
    <row r="2336" spans="1:9" x14ac:dyDescent="0.25">
      <c r="A2336">
        <v>0</v>
      </c>
      <c r="B2336">
        <v>0</v>
      </c>
      <c r="C2336">
        <v>5</v>
      </c>
      <c r="D2336">
        <v>0</v>
      </c>
      <c r="E2336">
        <v>0</v>
      </c>
      <c r="F2336">
        <v>0</v>
      </c>
      <c r="G2336">
        <v>8168</v>
      </c>
      <c r="H2336">
        <v>0</v>
      </c>
      <c r="I2336">
        <v>0</v>
      </c>
    </row>
    <row r="2337" spans="1:9" x14ac:dyDescent="0.25">
      <c r="A2337">
        <v>0</v>
      </c>
      <c r="B2337">
        <v>0</v>
      </c>
      <c r="C2337">
        <v>2</v>
      </c>
      <c r="D2337">
        <v>0</v>
      </c>
      <c r="E2337">
        <v>0</v>
      </c>
      <c r="F2337">
        <v>0</v>
      </c>
      <c r="G2337">
        <v>1689</v>
      </c>
      <c r="H2337">
        <v>0</v>
      </c>
      <c r="I2337">
        <v>0</v>
      </c>
    </row>
    <row r="2338" spans="1:9" x14ac:dyDescent="0.25">
      <c r="A2338">
        <v>0</v>
      </c>
      <c r="B2338">
        <v>0</v>
      </c>
      <c r="C2338">
        <v>2</v>
      </c>
      <c r="D2338">
        <v>0</v>
      </c>
      <c r="E2338">
        <v>0</v>
      </c>
      <c r="F2338">
        <v>0</v>
      </c>
      <c r="G2338">
        <v>1957</v>
      </c>
      <c r="H2338">
        <v>0</v>
      </c>
      <c r="I2338">
        <v>0</v>
      </c>
    </row>
    <row r="2339" spans="1:9" x14ac:dyDescent="0.25">
      <c r="A2339">
        <v>0</v>
      </c>
      <c r="B2339">
        <v>0</v>
      </c>
      <c r="C2339">
        <v>2</v>
      </c>
      <c r="D2339">
        <v>0</v>
      </c>
      <c r="E2339">
        <v>0</v>
      </c>
      <c r="F2339">
        <v>0</v>
      </c>
      <c r="G2339">
        <v>1951</v>
      </c>
      <c r="H2339">
        <v>0</v>
      </c>
      <c r="I2339">
        <v>0</v>
      </c>
    </row>
    <row r="2340" spans="1:9" x14ac:dyDescent="0.25">
      <c r="A2340">
        <v>0</v>
      </c>
      <c r="B2340">
        <v>0</v>
      </c>
      <c r="C2340">
        <v>2</v>
      </c>
      <c r="D2340">
        <v>0</v>
      </c>
      <c r="E2340">
        <v>0</v>
      </c>
      <c r="F2340">
        <v>0</v>
      </c>
      <c r="G2340">
        <v>1689</v>
      </c>
      <c r="H2340">
        <v>0</v>
      </c>
      <c r="I2340">
        <v>0</v>
      </c>
    </row>
    <row r="2341" spans="1:9" x14ac:dyDescent="0.25">
      <c r="A2341">
        <v>0</v>
      </c>
      <c r="B2341">
        <v>1</v>
      </c>
      <c r="C2341">
        <v>2</v>
      </c>
      <c r="D2341">
        <v>0</v>
      </c>
      <c r="E2341">
        <v>0</v>
      </c>
      <c r="F2341">
        <v>0</v>
      </c>
      <c r="G2341">
        <v>1897</v>
      </c>
      <c r="H2341">
        <v>0</v>
      </c>
      <c r="I2341">
        <v>0</v>
      </c>
    </row>
    <row r="2342" spans="1:9" x14ac:dyDescent="0.25">
      <c r="A2342">
        <v>0</v>
      </c>
      <c r="B2342">
        <v>1</v>
      </c>
      <c r="C2342">
        <v>3</v>
      </c>
      <c r="D2342">
        <v>0</v>
      </c>
      <c r="E2342">
        <v>0</v>
      </c>
      <c r="F2342">
        <v>0</v>
      </c>
      <c r="G2342">
        <v>2502</v>
      </c>
      <c r="H2342">
        <v>0</v>
      </c>
      <c r="I2342">
        <v>0</v>
      </c>
    </row>
    <row r="2343" spans="1:9" x14ac:dyDescent="0.25">
      <c r="A2343">
        <v>0</v>
      </c>
      <c r="B2343">
        <v>0</v>
      </c>
      <c r="C2343">
        <v>2</v>
      </c>
      <c r="D2343">
        <v>0</v>
      </c>
      <c r="E2343">
        <v>0</v>
      </c>
      <c r="F2343">
        <v>0</v>
      </c>
      <c r="G2343">
        <v>1814</v>
      </c>
      <c r="H2343">
        <v>0</v>
      </c>
      <c r="I2343">
        <v>0</v>
      </c>
    </row>
    <row r="2344" spans="1:9" x14ac:dyDescent="0.25">
      <c r="A2344">
        <v>0</v>
      </c>
      <c r="B2344">
        <v>1</v>
      </c>
      <c r="C2344">
        <v>2</v>
      </c>
      <c r="D2344">
        <v>0</v>
      </c>
      <c r="E2344">
        <v>0</v>
      </c>
      <c r="F2344">
        <v>0</v>
      </c>
      <c r="G2344">
        <v>7294</v>
      </c>
      <c r="H2344">
        <v>0</v>
      </c>
      <c r="I2344">
        <v>0</v>
      </c>
    </row>
    <row r="2345" spans="1:9" x14ac:dyDescent="0.25">
      <c r="A2345">
        <v>0</v>
      </c>
      <c r="B2345">
        <v>0</v>
      </c>
      <c r="C2345">
        <v>7</v>
      </c>
      <c r="D2345">
        <v>0</v>
      </c>
      <c r="E2345">
        <v>0</v>
      </c>
      <c r="F2345">
        <v>0</v>
      </c>
      <c r="G2345">
        <v>12605</v>
      </c>
      <c r="H2345">
        <v>0</v>
      </c>
      <c r="I2345">
        <v>0</v>
      </c>
    </row>
    <row r="2346" spans="1:9" x14ac:dyDescent="0.25">
      <c r="A2346">
        <v>0</v>
      </c>
      <c r="B2346">
        <v>1</v>
      </c>
      <c r="C2346">
        <v>4</v>
      </c>
      <c r="D2346">
        <v>0</v>
      </c>
      <c r="E2346">
        <v>0</v>
      </c>
      <c r="F2346">
        <v>0</v>
      </c>
      <c r="G2346">
        <v>5913</v>
      </c>
      <c r="H2346">
        <v>0</v>
      </c>
      <c r="I2346">
        <v>0</v>
      </c>
    </row>
    <row r="2347" spans="1:9" x14ac:dyDescent="0.25">
      <c r="A2347">
        <v>0</v>
      </c>
      <c r="B2347">
        <v>0</v>
      </c>
      <c r="C2347">
        <v>2</v>
      </c>
      <c r="D2347">
        <v>0</v>
      </c>
      <c r="E2347">
        <v>0</v>
      </c>
      <c r="F2347">
        <v>0</v>
      </c>
      <c r="G2347">
        <v>1855</v>
      </c>
      <c r="H2347">
        <v>0</v>
      </c>
      <c r="I2347">
        <v>0</v>
      </c>
    </row>
    <row r="2348" spans="1:9" x14ac:dyDescent="0.25">
      <c r="A2348">
        <v>0</v>
      </c>
      <c r="B2348">
        <v>1</v>
      </c>
      <c r="C2348">
        <v>2</v>
      </c>
      <c r="D2348">
        <v>0</v>
      </c>
      <c r="E2348">
        <v>0</v>
      </c>
      <c r="F2348">
        <v>0</v>
      </c>
      <c r="G2348">
        <v>1814</v>
      </c>
      <c r="H2348">
        <v>0</v>
      </c>
      <c r="I2348">
        <v>0</v>
      </c>
    </row>
    <row r="2349" spans="1:9" x14ac:dyDescent="0.25">
      <c r="A2349">
        <v>0</v>
      </c>
      <c r="B2349">
        <v>0</v>
      </c>
      <c r="C2349">
        <v>4</v>
      </c>
      <c r="D2349">
        <v>0</v>
      </c>
      <c r="E2349">
        <v>0</v>
      </c>
      <c r="F2349">
        <v>0</v>
      </c>
      <c r="G2349">
        <v>5825</v>
      </c>
      <c r="H2349">
        <v>0</v>
      </c>
      <c r="I2349">
        <v>0</v>
      </c>
    </row>
    <row r="2350" spans="1:9" x14ac:dyDescent="0.25">
      <c r="A2350">
        <v>0</v>
      </c>
      <c r="B2350">
        <v>0</v>
      </c>
      <c r="C2350">
        <v>0</v>
      </c>
      <c r="D2350">
        <v>0</v>
      </c>
      <c r="E2350">
        <v>0</v>
      </c>
      <c r="F2350">
        <v>0</v>
      </c>
      <c r="G2350">
        <v>3351</v>
      </c>
      <c r="H2350">
        <v>0</v>
      </c>
      <c r="I2350">
        <v>0</v>
      </c>
    </row>
    <row r="2351" spans="1:9" x14ac:dyDescent="0.25">
      <c r="A2351">
        <v>0</v>
      </c>
      <c r="B2351">
        <v>0</v>
      </c>
      <c r="C2351">
        <v>3</v>
      </c>
      <c r="D2351">
        <v>0</v>
      </c>
      <c r="E2351">
        <v>0</v>
      </c>
      <c r="F2351">
        <v>0</v>
      </c>
      <c r="G2351">
        <v>2848</v>
      </c>
      <c r="H2351">
        <v>0</v>
      </c>
      <c r="I2351">
        <v>0</v>
      </c>
    </row>
    <row r="2352" spans="1:9" x14ac:dyDescent="0.25">
      <c r="A2352">
        <v>0</v>
      </c>
      <c r="B2352">
        <v>0</v>
      </c>
      <c r="C2352">
        <v>3</v>
      </c>
      <c r="D2352">
        <v>0</v>
      </c>
      <c r="E2352">
        <v>0</v>
      </c>
      <c r="F2352">
        <v>0</v>
      </c>
      <c r="G2352">
        <v>5099</v>
      </c>
      <c r="H2352">
        <v>0</v>
      </c>
      <c r="I2352">
        <v>0</v>
      </c>
    </row>
    <row r="2353" spans="1:9" x14ac:dyDescent="0.25">
      <c r="A2353">
        <v>0</v>
      </c>
      <c r="B2353">
        <v>1</v>
      </c>
      <c r="C2353">
        <v>3</v>
      </c>
      <c r="D2353">
        <v>0</v>
      </c>
      <c r="E2353">
        <v>0</v>
      </c>
      <c r="F2353">
        <v>0</v>
      </c>
      <c r="G2353">
        <v>3256</v>
      </c>
      <c r="H2353">
        <v>0</v>
      </c>
      <c r="I2353">
        <v>0</v>
      </c>
    </row>
    <row r="2354" spans="1:9" x14ac:dyDescent="0.25">
      <c r="A2354">
        <v>0</v>
      </c>
      <c r="B2354">
        <v>0</v>
      </c>
      <c r="C2354">
        <v>4</v>
      </c>
      <c r="D2354">
        <v>0</v>
      </c>
      <c r="E2354">
        <v>0</v>
      </c>
      <c r="F2354">
        <v>0</v>
      </c>
      <c r="G2354">
        <v>6250</v>
      </c>
      <c r="H2354">
        <v>0</v>
      </c>
      <c r="I2354">
        <v>0</v>
      </c>
    </row>
    <row r="2355" spans="1:9" x14ac:dyDescent="0.25">
      <c r="A2355">
        <v>0</v>
      </c>
      <c r="B2355">
        <v>1</v>
      </c>
      <c r="C2355">
        <v>3</v>
      </c>
      <c r="D2355">
        <v>0</v>
      </c>
      <c r="E2355">
        <v>0</v>
      </c>
      <c r="F2355">
        <v>0</v>
      </c>
      <c r="G2355">
        <v>4475</v>
      </c>
      <c r="H2355">
        <v>0</v>
      </c>
      <c r="I2355">
        <v>0</v>
      </c>
    </row>
    <row r="2356" spans="1:9" x14ac:dyDescent="0.25">
      <c r="A2356">
        <v>0</v>
      </c>
      <c r="B2356">
        <v>0</v>
      </c>
      <c r="C2356">
        <v>2</v>
      </c>
      <c r="D2356">
        <v>0</v>
      </c>
      <c r="E2356">
        <v>0</v>
      </c>
      <c r="F2356">
        <v>0</v>
      </c>
      <c r="G2356">
        <v>2964</v>
      </c>
      <c r="H2356">
        <v>0</v>
      </c>
      <c r="I2356">
        <v>0</v>
      </c>
    </row>
    <row r="2357" spans="1:9" x14ac:dyDescent="0.25">
      <c r="A2357">
        <v>0</v>
      </c>
      <c r="B2357">
        <v>0</v>
      </c>
      <c r="C2357">
        <v>6</v>
      </c>
      <c r="D2357">
        <v>0</v>
      </c>
      <c r="E2357">
        <v>0</v>
      </c>
      <c r="F2357">
        <v>0</v>
      </c>
      <c r="G2357">
        <v>7770</v>
      </c>
      <c r="H2357">
        <v>0</v>
      </c>
      <c r="I2357">
        <v>0</v>
      </c>
    </row>
    <row r="2358" spans="1:9" x14ac:dyDescent="0.25">
      <c r="A2358">
        <v>0</v>
      </c>
      <c r="B2358">
        <v>1</v>
      </c>
      <c r="C2358">
        <v>6</v>
      </c>
      <c r="D2358">
        <v>0</v>
      </c>
      <c r="E2358">
        <v>1</v>
      </c>
      <c r="F2358">
        <v>0</v>
      </c>
      <c r="G2358">
        <v>7993</v>
      </c>
      <c r="H2358">
        <v>0</v>
      </c>
      <c r="I2358">
        <v>0</v>
      </c>
    </row>
    <row r="2359" spans="1:9" x14ac:dyDescent="0.25">
      <c r="A2359">
        <v>0</v>
      </c>
      <c r="B2359">
        <v>1</v>
      </c>
      <c r="C2359">
        <v>2</v>
      </c>
      <c r="D2359">
        <v>0</v>
      </c>
      <c r="E2359">
        <v>1</v>
      </c>
      <c r="F2359">
        <v>0</v>
      </c>
      <c r="G2359">
        <v>3055</v>
      </c>
      <c r="H2359">
        <v>0</v>
      </c>
      <c r="I2359">
        <v>0</v>
      </c>
    </row>
    <row r="2360" spans="1:9" x14ac:dyDescent="0.25">
      <c r="A2360">
        <v>0</v>
      </c>
      <c r="B2360">
        <v>0</v>
      </c>
      <c r="C2360">
        <v>3</v>
      </c>
      <c r="D2360">
        <v>0</v>
      </c>
      <c r="E2360">
        <v>0</v>
      </c>
      <c r="F2360">
        <v>0</v>
      </c>
      <c r="G2360">
        <v>2421</v>
      </c>
      <c r="H2360">
        <v>0</v>
      </c>
      <c r="I2360">
        <v>0</v>
      </c>
    </row>
    <row r="2361" spans="1:9" x14ac:dyDescent="0.25">
      <c r="A2361">
        <v>0</v>
      </c>
      <c r="B2361">
        <v>0</v>
      </c>
      <c r="C2361">
        <v>2</v>
      </c>
      <c r="D2361">
        <v>0</v>
      </c>
      <c r="E2361">
        <v>0</v>
      </c>
      <c r="F2361">
        <v>0</v>
      </c>
      <c r="G2361">
        <v>2783</v>
      </c>
      <c r="H2361">
        <v>0</v>
      </c>
      <c r="I2361">
        <v>0</v>
      </c>
    </row>
    <row r="2362" spans="1:9" x14ac:dyDescent="0.25">
      <c r="A2362">
        <v>0</v>
      </c>
      <c r="B2362">
        <v>0</v>
      </c>
      <c r="C2362">
        <v>7</v>
      </c>
      <c r="D2362">
        <v>0</v>
      </c>
      <c r="E2362">
        <v>0</v>
      </c>
      <c r="F2362">
        <v>0</v>
      </c>
      <c r="G2362">
        <v>12204</v>
      </c>
      <c r="H2362">
        <v>0</v>
      </c>
      <c r="I2362">
        <v>0</v>
      </c>
    </row>
    <row r="2363" spans="1:9" x14ac:dyDescent="0.25">
      <c r="A2363">
        <v>0</v>
      </c>
      <c r="B2363">
        <v>1</v>
      </c>
      <c r="C2363">
        <v>0</v>
      </c>
      <c r="D2363">
        <v>0</v>
      </c>
      <c r="E2363">
        <v>0</v>
      </c>
      <c r="F2363">
        <v>0</v>
      </c>
      <c r="G2363">
        <v>2356</v>
      </c>
      <c r="H2363">
        <v>0</v>
      </c>
      <c r="I2363">
        <v>0</v>
      </c>
    </row>
    <row r="2364" spans="1:9" x14ac:dyDescent="0.25">
      <c r="A2364">
        <v>0</v>
      </c>
      <c r="B2364">
        <v>0</v>
      </c>
      <c r="C2364">
        <v>2</v>
      </c>
      <c r="D2364">
        <v>0</v>
      </c>
      <c r="E2364">
        <v>0</v>
      </c>
      <c r="F2364">
        <v>0</v>
      </c>
      <c r="G2364">
        <v>2189</v>
      </c>
      <c r="H2364">
        <v>0</v>
      </c>
      <c r="I2364">
        <v>0</v>
      </c>
    </row>
    <row r="2365" spans="1:9" x14ac:dyDescent="0.25">
      <c r="A2365">
        <v>0</v>
      </c>
      <c r="B2365">
        <v>0</v>
      </c>
      <c r="C2365">
        <v>2</v>
      </c>
      <c r="D2365">
        <v>0</v>
      </c>
      <c r="E2365">
        <v>0</v>
      </c>
      <c r="F2365">
        <v>0</v>
      </c>
      <c r="G2365">
        <v>1807</v>
      </c>
      <c r="H2365">
        <v>0</v>
      </c>
      <c r="I2365">
        <v>0</v>
      </c>
    </row>
    <row r="2366" spans="1:9" x14ac:dyDescent="0.25">
      <c r="A2366">
        <v>0</v>
      </c>
      <c r="B2366">
        <v>0</v>
      </c>
      <c r="C2366">
        <v>2</v>
      </c>
      <c r="D2366">
        <v>0</v>
      </c>
      <c r="E2366">
        <v>0</v>
      </c>
      <c r="F2366">
        <v>0</v>
      </c>
      <c r="G2366">
        <v>1772</v>
      </c>
      <c r="H2366">
        <v>0</v>
      </c>
      <c r="I2366">
        <v>0</v>
      </c>
    </row>
    <row r="2367" spans="1:9" x14ac:dyDescent="0.25">
      <c r="A2367">
        <v>0</v>
      </c>
      <c r="B2367">
        <v>1</v>
      </c>
      <c r="C2367">
        <v>2</v>
      </c>
      <c r="D2367">
        <v>0</v>
      </c>
      <c r="E2367">
        <v>0</v>
      </c>
      <c r="F2367">
        <v>0</v>
      </c>
      <c r="G2367">
        <v>1692</v>
      </c>
      <c r="H2367">
        <v>0</v>
      </c>
      <c r="I2367">
        <v>0</v>
      </c>
    </row>
    <row r="2368" spans="1:9" x14ac:dyDescent="0.25">
      <c r="A2368">
        <v>0</v>
      </c>
      <c r="B2368">
        <v>0</v>
      </c>
      <c r="C2368">
        <v>2</v>
      </c>
      <c r="D2368">
        <v>0</v>
      </c>
      <c r="E2368">
        <v>0</v>
      </c>
      <c r="F2368">
        <v>0</v>
      </c>
      <c r="G2368">
        <v>1814</v>
      </c>
      <c r="H2368">
        <v>0</v>
      </c>
      <c r="I2368">
        <v>0</v>
      </c>
    </row>
    <row r="2369" spans="1:9" x14ac:dyDescent="0.25">
      <c r="A2369">
        <v>0</v>
      </c>
      <c r="B2369">
        <v>0</v>
      </c>
      <c r="C2369">
        <v>4</v>
      </c>
      <c r="D2369">
        <v>0</v>
      </c>
      <c r="E2369">
        <v>1</v>
      </c>
      <c r="F2369">
        <v>0</v>
      </c>
      <c r="G2369">
        <v>4461</v>
      </c>
      <c r="H2369">
        <v>0</v>
      </c>
      <c r="I2369">
        <v>0</v>
      </c>
    </row>
    <row r="2370" spans="1:9" x14ac:dyDescent="0.25">
      <c r="A2370">
        <v>0</v>
      </c>
      <c r="B2370">
        <v>1</v>
      </c>
      <c r="C2370">
        <v>4</v>
      </c>
      <c r="D2370">
        <v>0</v>
      </c>
      <c r="E2370">
        <v>0</v>
      </c>
      <c r="F2370">
        <v>0</v>
      </c>
      <c r="G2370">
        <v>3961</v>
      </c>
      <c r="H2370">
        <v>0</v>
      </c>
      <c r="I2370">
        <v>0</v>
      </c>
    </row>
    <row r="2371" spans="1:9" x14ac:dyDescent="0.25">
      <c r="A2371">
        <v>0</v>
      </c>
      <c r="B2371">
        <v>1</v>
      </c>
      <c r="C2371">
        <v>2</v>
      </c>
      <c r="D2371">
        <v>0</v>
      </c>
      <c r="E2371">
        <v>0</v>
      </c>
      <c r="F2371">
        <v>0</v>
      </c>
      <c r="G2371">
        <v>2366</v>
      </c>
      <c r="H2371">
        <v>0</v>
      </c>
      <c r="I2371">
        <v>0</v>
      </c>
    </row>
    <row r="2372" spans="1:9" x14ac:dyDescent="0.25">
      <c r="A2372">
        <v>0</v>
      </c>
      <c r="B2372">
        <v>0</v>
      </c>
      <c r="C2372">
        <v>4</v>
      </c>
      <c r="D2372">
        <v>0</v>
      </c>
      <c r="E2372">
        <v>0</v>
      </c>
      <c r="F2372">
        <v>0</v>
      </c>
      <c r="G2372">
        <v>6520</v>
      </c>
      <c r="H2372">
        <v>0</v>
      </c>
      <c r="I2372">
        <v>0</v>
      </c>
    </row>
    <row r="2373" spans="1:9" x14ac:dyDescent="0.25">
      <c r="A2373">
        <v>0</v>
      </c>
      <c r="B2373">
        <v>1</v>
      </c>
      <c r="C2373">
        <v>4</v>
      </c>
      <c r="D2373">
        <v>1</v>
      </c>
      <c r="E2373">
        <v>0</v>
      </c>
      <c r="F2373">
        <v>0</v>
      </c>
      <c r="G2373">
        <v>6312</v>
      </c>
      <c r="H2373">
        <v>0</v>
      </c>
      <c r="I2373">
        <v>0</v>
      </c>
    </row>
    <row r="2374" spans="1:9" x14ac:dyDescent="0.25">
      <c r="A2374">
        <v>0</v>
      </c>
      <c r="B2374">
        <v>0</v>
      </c>
      <c r="C2374">
        <v>2</v>
      </c>
      <c r="D2374">
        <v>0</v>
      </c>
      <c r="E2374">
        <v>0</v>
      </c>
      <c r="F2374">
        <v>0</v>
      </c>
      <c r="G2374">
        <v>1868</v>
      </c>
      <c r="H2374">
        <v>0</v>
      </c>
      <c r="I2374">
        <v>0</v>
      </c>
    </row>
    <row r="2375" spans="1:9" x14ac:dyDescent="0.25">
      <c r="A2375">
        <v>0</v>
      </c>
      <c r="B2375">
        <v>1</v>
      </c>
      <c r="C2375">
        <v>6</v>
      </c>
      <c r="D2375">
        <v>1</v>
      </c>
      <c r="E2375">
        <v>0</v>
      </c>
      <c r="F2375">
        <v>0</v>
      </c>
      <c r="G2375">
        <v>13800</v>
      </c>
      <c r="H2375">
        <v>0</v>
      </c>
      <c r="I2375">
        <v>0</v>
      </c>
    </row>
    <row r="2376" spans="1:9" x14ac:dyDescent="0.25">
      <c r="A2376">
        <v>0</v>
      </c>
      <c r="B2376">
        <v>1</v>
      </c>
      <c r="C2376">
        <v>2</v>
      </c>
      <c r="D2376">
        <v>0</v>
      </c>
      <c r="E2376">
        <v>0</v>
      </c>
      <c r="F2376">
        <v>0</v>
      </c>
      <c r="G2376">
        <v>2000</v>
      </c>
      <c r="H2376">
        <v>0</v>
      </c>
      <c r="I2376">
        <v>0</v>
      </c>
    </row>
    <row r="2377" spans="1:9" x14ac:dyDescent="0.25">
      <c r="A2377">
        <v>0</v>
      </c>
      <c r="B2377">
        <v>1</v>
      </c>
      <c r="C2377">
        <v>3</v>
      </c>
      <c r="D2377">
        <v>0</v>
      </c>
      <c r="E2377">
        <v>0</v>
      </c>
      <c r="F2377">
        <v>0</v>
      </c>
      <c r="G2377">
        <v>2902</v>
      </c>
      <c r="H2377">
        <v>0</v>
      </c>
      <c r="I2377">
        <v>0</v>
      </c>
    </row>
    <row r="2378" spans="1:9" x14ac:dyDescent="0.25">
      <c r="A2378">
        <v>0</v>
      </c>
      <c r="B2378">
        <v>0</v>
      </c>
      <c r="C2378">
        <v>6</v>
      </c>
      <c r="D2378">
        <v>1</v>
      </c>
      <c r="E2378">
        <v>0</v>
      </c>
      <c r="F2378">
        <v>0</v>
      </c>
      <c r="G2378">
        <v>12307</v>
      </c>
      <c r="H2378">
        <v>0</v>
      </c>
      <c r="I2378">
        <v>0</v>
      </c>
    </row>
    <row r="2379" spans="1:9" x14ac:dyDescent="0.25">
      <c r="A2379">
        <v>0</v>
      </c>
      <c r="B2379">
        <v>0</v>
      </c>
      <c r="C2379">
        <v>2</v>
      </c>
      <c r="D2379">
        <v>0</v>
      </c>
      <c r="E2379">
        <v>0</v>
      </c>
      <c r="F2379">
        <v>0</v>
      </c>
      <c r="G2379">
        <v>2247</v>
      </c>
      <c r="H2379">
        <v>0</v>
      </c>
      <c r="I2379">
        <v>0</v>
      </c>
    </row>
    <row r="2380" spans="1:9" x14ac:dyDescent="0.25">
      <c r="A2380">
        <v>0</v>
      </c>
      <c r="B2380">
        <v>1</v>
      </c>
      <c r="C2380">
        <v>3</v>
      </c>
      <c r="D2380">
        <v>0</v>
      </c>
      <c r="E2380">
        <v>0</v>
      </c>
      <c r="F2380">
        <v>0</v>
      </c>
      <c r="G2380">
        <v>2957</v>
      </c>
      <c r="H2380">
        <v>0</v>
      </c>
      <c r="I2380">
        <v>0</v>
      </c>
    </row>
    <row r="2381" spans="1:9" x14ac:dyDescent="0.25">
      <c r="A2381">
        <v>0</v>
      </c>
      <c r="B2381">
        <v>1</v>
      </c>
      <c r="C2381">
        <v>3</v>
      </c>
      <c r="D2381">
        <v>0</v>
      </c>
      <c r="E2381">
        <v>0</v>
      </c>
      <c r="F2381">
        <v>0</v>
      </c>
      <c r="G2381">
        <v>3053</v>
      </c>
      <c r="H2381">
        <v>0</v>
      </c>
      <c r="I2381">
        <v>0</v>
      </c>
    </row>
    <row r="2382" spans="1:9" x14ac:dyDescent="0.25">
      <c r="A2382">
        <v>0</v>
      </c>
      <c r="B2382">
        <v>0</v>
      </c>
      <c r="C2382">
        <v>7</v>
      </c>
      <c r="D2382">
        <v>0</v>
      </c>
      <c r="E2382">
        <v>0</v>
      </c>
      <c r="F2382">
        <v>0</v>
      </c>
      <c r="G2382">
        <v>14442</v>
      </c>
      <c r="H2382">
        <v>0</v>
      </c>
      <c r="I2382">
        <v>0</v>
      </c>
    </row>
    <row r="2383" spans="1:9" x14ac:dyDescent="0.25">
      <c r="A2383">
        <v>0</v>
      </c>
      <c r="B2383">
        <v>1</v>
      </c>
      <c r="C2383">
        <v>3</v>
      </c>
      <c r="D2383">
        <v>0</v>
      </c>
      <c r="E2383">
        <v>0</v>
      </c>
      <c r="F2383">
        <v>0</v>
      </c>
      <c r="G2383">
        <v>2624</v>
      </c>
      <c r="H2383">
        <v>0</v>
      </c>
      <c r="I2383">
        <v>0</v>
      </c>
    </row>
    <row r="2384" spans="1:9" x14ac:dyDescent="0.25">
      <c r="A2384">
        <v>0</v>
      </c>
      <c r="B2384">
        <v>1</v>
      </c>
      <c r="C2384">
        <v>2</v>
      </c>
      <c r="D2384">
        <v>0</v>
      </c>
      <c r="E2384">
        <v>0</v>
      </c>
      <c r="F2384">
        <v>0</v>
      </c>
      <c r="G2384">
        <v>1824</v>
      </c>
      <c r="H2384">
        <v>0</v>
      </c>
      <c r="I2384">
        <v>0</v>
      </c>
    </row>
    <row r="2385" spans="1:9" x14ac:dyDescent="0.25">
      <c r="A2385">
        <v>0</v>
      </c>
      <c r="B2385">
        <v>1</v>
      </c>
      <c r="C2385">
        <v>2</v>
      </c>
      <c r="D2385">
        <v>0</v>
      </c>
      <c r="E2385">
        <v>0</v>
      </c>
      <c r="F2385">
        <v>0</v>
      </c>
      <c r="G2385">
        <v>2336</v>
      </c>
      <c r="H2385">
        <v>0</v>
      </c>
      <c r="I2385">
        <v>0</v>
      </c>
    </row>
    <row r="2386" spans="1:9" x14ac:dyDescent="0.25">
      <c r="A2386">
        <v>0</v>
      </c>
      <c r="B2386">
        <v>0</v>
      </c>
      <c r="C2386">
        <v>3</v>
      </c>
      <c r="D2386">
        <v>0</v>
      </c>
      <c r="E2386">
        <v>1</v>
      </c>
      <c r="F2386">
        <v>0</v>
      </c>
      <c r="G2386">
        <v>3806</v>
      </c>
      <c r="H2386">
        <v>0</v>
      </c>
      <c r="I2386">
        <v>0</v>
      </c>
    </row>
    <row r="2387" spans="1:9" x14ac:dyDescent="0.25">
      <c r="A2387">
        <v>0</v>
      </c>
      <c r="B2387">
        <v>1</v>
      </c>
      <c r="C2387">
        <v>3</v>
      </c>
      <c r="D2387">
        <v>0</v>
      </c>
      <c r="E2387">
        <v>0</v>
      </c>
      <c r="F2387">
        <v>0</v>
      </c>
      <c r="G2387">
        <v>3017</v>
      </c>
      <c r="H2387">
        <v>0</v>
      </c>
      <c r="I2387">
        <v>0</v>
      </c>
    </row>
    <row r="2388" spans="1:9" x14ac:dyDescent="0.25">
      <c r="A2388">
        <v>0</v>
      </c>
      <c r="B2388">
        <v>0</v>
      </c>
      <c r="C2388">
        <v>2</v>
      </c>
      <c r="D2388">
        <v>0</v>
      </c>
      <c r="E2388">
        <v>0</v>
      </c>
      <c r="F2388">
        <v>0</v>
      </c>
      <c r="G2388">
        <v>3186</v>
      </c>
      <c r="H2388">
        <v>0</v>
      </c>
      <c r="I2388">
        <v>0</v>
      </c>
    </row>
    <row r="2389" spans="1:9" x14ac:dyDescent="0.25">
      <c r="A2389">
        <v>0</v>
      </c>
      <c r="B2389">
        <v>1</v>
      </c>
      <c r="C2389">
        <v>2</v>
      </c>
      <c r="D2389">
        <v>0</v>
      </c>
      <c r="E2389">
        <v>0</v>
      </c>
      <c r="F2389">
        <v>0</v>
      </c>
      <c r="G2389">
        <v>1975</v>
      </c>
      <c r="H2389">
        <v>0</v>
      </c>
      <c r="I2389">
        <v>0</v>
      </c>
    </row>
    <row r="2390" spans="1:9" x14ac:dyDescent="0.25">
      <c r="A2390">
        <v>0</v>
      </c>
      <c r="B2390">
        <v>1</v>
      </c>
      <c r="C2390">
        <v>2</v>
      </c>
      <c r="D2390">
        <v>0</v>
      </c>
      <c r="E2390">
        <v>0</v>
      </c>
      <c r="F2390">
        <v>0</v>
      </c>
      <c r="G2390">
        <v>2029</v>
      </c>
      <c r="H2390">
        <v>0</v>
      </c>
      <c r="I2390">
        <v>0</v>
      </c>
    </row>
    <row r="2391" spans="1:9" x14ac:dyDescent="0.25">
      <c r="A2391">
        <v>0</v>
      </c>
      <c r="B2391">
        <v>1</v>
      </c>
      <c r="C2391">
        <v>2</v>
      </c>
      <c r="D2391">
        <v>0</v>
      </c>
      <c r="E2391">
        <v>0</v>
      </c>
      <c r="F2391">
        <v>0</v>
      </c>
      <c r="G2391">
        <v>2281</v>
      </c>
      <c r="H2391">
        <v>0</v>
      </c>
      <c r="I2391">
        <v>0</v>
      </c>
    </row>
    <row r="2392" spans="1:9" x14ac:dyDescent="0.25">
      <c r="A2392">
        <v>0</v>
      </c>
      <c r="B2392">
        <v>0</v>
      </c>
      <c r="C2392">
        <v>2</v>
      </c>
      <c r="D2392">
        <v>0</v>
      </c>
      <c r="E2392">
        <v>0</v>
      </c>
      <c r="F2392">
        <v>0</v>
      </c>
      <c r="G2392">
        <v>2275</v>
      </c>
      <c r="H2392">
        <v>0</v>
      </c>
      <c r="I2392">
        <v>0</v>
      </c>
    </row>
    <row r="2393" spans="1:9" x14ac:dyDescent="0.25">
      <c r="A2393">
        <v>0</v>
      </c>
      <c r="B2393">
        <v>0</v>
      </c>
      <c r="C2393">
        <v>14</v>
      </c>
      <c r="D2393">
        <v>0</v>
      </c>
      <c r="E2393">
        <v>0</v>
      </c>
      <c r="F2393">
        <v>0</v>
      </c>
      <c r="G2393">
        <v>21194</v>
      </c>
      <c r="H2393">
        <v>0</v>
      </c>
      <c r="I2393">
        <v>0</v>
      </c>
    </row>
    <row r="2394" spans="1:9" x14ac:dyDescent="0.25">
      <c r="A2394">
        <v>0</v>
      </c>
      <c r="B2394">
        <v>1</v>
      </c>
      <c r="C2394">
        <v>3</v>
      </c>
      <c r="D2394">
        <v>0</v>
      </c>
      <c r="E2394">
        <v>0</v>
      </c>
      <c r="F2394">
        <v>0</v>
      </c>
      <c r="G2394">
        <v>2981</v>
      </c>
      <c r="H2394">
        <v>0</v>
      </c>
      <c r="I2394">
        <v>0</v>
      </c>
    </row>
    <row r="2395" spans="1:9" x14ac:dyDescent="0.25">
      <c r="A2395">
        <v>0</v>
      </c>
      <c r="B2395">
        <v>1</v>
      </c>
      <c r="C2395">
        <v>3</v>
      </c>
      <c r="D2395">
        <v>0</v>
      </c>
      <c r="E2395">
        <v>1</v>
      </c>
      <c r="F2395">
        <v>0</v>
      </c>
      <c r="G2395">
        <v>3046</v>
      </c>
      <c r="H2395">
        <v>0</v>
      </c>
      <c r="I2395">
        <v>0</v>
      </c>
    </row>
    <row r="2396" spans="1:9" x14ac:dyDescent="0.25">
      <c r="A2396">
        <v>0</v>
      </c>
      <c r="B2396">
        <v>0</v>
      </c>
      <c r="C2396">
        <v>3</v>
      </c>
      <c r="D2396">
        <v>0</v>
      </c>
      <c r="E2396">
        <v>0</v>
      </c>
      <c r="F2396">
        <v>0</v>
      </c>
      <c r="G2396">
        <v>3578</v>
      </c>
      <c r="H2396">
        <v>0</v>
      </c>
      <c r="I2396">
        <v>0</v>
      </c>
    </row>
    <row r="2397" spans="1:9" x14ac:dyDescent="0.25">
      <c r="A2397">
        <v>0</v>
      </c>
      <c r="B2397">
        <v>1</v>
      </c>
      <c r="C2397">
        <v>3</v>
      </c>
      <c r="D2397">
        <v>0</v>
      </c>
      <c r="E2397">
        <v>0</v>
      </c>
      <c r="F2397">
        <v>0</v>
      </c>
      <c r="G2397">
        <v>4441</v>
      </c>
      <c r="H2397">
        <v>0</v>
      </c>
      <c r="I2397">
        <v>0</v>
      </c>
    </row>
    <row r="2398" spans="1:9" x14ac:dyDescent="0.25">
      <c r="A2398">
        <v>0</v>
      </c>
      <c r="B2398">
        <v>1</v>
      </c>
      <c r="C2398">
        <v>2</v>
      </c>
      <c r="D2398">
        <v>0</v>
      </c>
      <c r="E2398">
        <v>0</v>
      </c>
      <c r="F2398">
        <v>0</v>
      </c>
      <c r="G2398">
        <v>2275</v>
      </c>
      <c r="H2398">
        <v>0</v>
      </c>
      <c r="I2398">
        <v>0</v>
      </c>
    </row>
    <row r="2399" spans="1:9" x14ac:dyDescent="0.25">
      <c r="A2399">
        <v>0</v>
      </c>
      <c r="B2399">
        <v>1</v>
      </c>
      <c r="C2399">
        <v>2</v>
      </c>
      <c r="D2399">
        <v>0</v>
      </c>
      <c r="E2399">
        <v>0</v>
      </c>
      <c r="F2399">
        <v>0</v>
      </c>
      <c r="G2399">
        <v>2529</v>
      </c>
      <c r="H2399">
        <v>0</v>
      </c>
      <c r="I2399">
        <v>0</v>
      </c>
    </row>
    <row r="2400" spans="1:9" x14ac:dyDescent="0.25">
      <c r="A2400">
        <v>0</v>
      </c>
      <c r="B2400">
        <v>1</v>
      </c>
      <c r="C2400">
        <v>2</v>
      </c>
      <c r="D2400">
        <v>0</v>
      </c>
      <c r="E2400">
        <v>0</v>
      </c>
      <c r="F2400">
        <v>0</v>
      </c>
      <c r="G2400">
        <v>2537</v>
      </c>
      <c r="H2400">
        <v>0</v>
      </c>
      <c r="I2400">
        <v>0</v>
      </c>
    </row>
    <row r="2401" spans="1:9" x14ac:dyDescent="0.25">
      <c r="A2401">
        <v>0</v>
      </c>
      <c r="B2401">
        <v>0</v>
      </c>
      <c r="C2401">
        <v>2</v>
      </c>
      <c r="D2401">
        <v>0</v>
      </c>
      <c r="E2401">
        <v>0</v>
      </c>
      <c r="F2401">
        <v>0</v>
      </c>
      <c r="G2401">
        <v>2082</v>
      </c>
      <c r="H2401">
        <v>0</v>
      </c>
      <c r="I2401">
        <v>0</v>
      </c>
    </row>
    <row r="2402" spans="1:9" x14ac:dyDescent="0.25">
      <c r="A2402">
        <v>0</v>
      </c>
      <c r="B2402">
        <v>1</v>
      </c>
      <c r="C2402">
        <v>2</v>
      </c>
      <c r="D2402">
        <v>0</v>
      </c>
      <c r="E2402">
        <v>0</v>
      </c>
      <c r="F2402">
        <v>0</v>
      </c>
      <c r="G2402">
        <v>2466</v>
      </c>
      <c r="H2402">
        <v>0</v>
      </c>
      <c r="I2402">
        <v>0</v>
      </c>
    </row>
    <row r="2403" spans="1:9" x14ac:dyDescent="0.25">
      <c r="A2403">
        <v>0</v>
      </c>
      <c r="B2403">
        <v>1</v>
      </c>
      <c r="C2403">
        <v>4</v>
      </c>
      <c r="D2403">
        <v>0</v>
      </c>
      <c r="E2403">
        <v>0</v>
      </c>
      <c r="F2403">
        <v>0</v>
      </c>
      <c r="G2403">
        <v>4246</v>
      </c>
      <c r="H2403">
        <v>0</v>
      </c>
      <c r="I2403">
        <v>0</v>
      </c>
    </row>
    <row r="2404" spans="1:9" x14ac:dyDescent="0.25">
      <c r="A2404">
        <v>0</v>
      </c>
      <c r="B2404">
        <v>0</v>
      </c>
      <c r="C2404">
        <v>2</v>
      </c>
      <c r="D2404">
        <v>0</v>
      </c>
      <c r="E2404">
        <v>0</v>
      </c>
      <c r="F2404">
        <v>0</v>
      </c>
      <c r="G2404">
        <v>1975</v>
      </c>
      <c r="H2404">
        <v>0</v>
      </c>
      <c r="I2404">
        <v>0</v>
      </c>
    </row>
    <row r="2405" spans="1:9" x14ac:dyDescent="0.25">
      <c r="A2405">
        <v>0</v>
      </c>
      <c r="B2405">
        <v>0</v>
      </c>
      <c r="C2405">
        <v>2</v>
      </c>
      <c r="D2405">
        <v>0</v>
      </c>
      <c r="E2405">
        <v>0</v>
      </c>
      <c r="F2405">
        <v>0</v>
      </c>
      <c r="G2405">
        <v>2231</v>
      </c>
      <c r="H2405">
        <v>0</v>
      </c>
      <c r="I2405">
        <v>0</v>
      </c>
    </row>
    <row r="2406" spans="1:9" x14ac:dyDescent="0.25">
      <c r="A2406">
        <v>0</v>
      </c>
      <c r="B2406">
        <v>0</v>
      </c>
      <c r="C2406">
        <v>2</v>
      </c>
      <c r="D2406">
        <v>0</v>
      </c>
      <c r="E2406">
        <v>0</v>
      </c>
      <c r="F2406">
        <v>0</v>
      </c>
      <c r="G2406">
        <v>2752</v>
      </c>
      <c r="H2406">
        <v>0</v>
      </c>
      <c r="I2406">
        <v>0</v>
      </c>
    </row>
    <row r="2407" spans="1:9" x14ac:dyDescent="0.25">
      <c r="A2407">
        <v>0</v>
      </c>
      <c r="B2407">
        <v>0</v>
      </c>
      <c r="C2407">
        <v>3</v>
      </c>
      <c r="D2407">
        <v>0</v>
      </c>
      <c r="E2407">
        <v>0</v>
      </c>
      <c r="F2407">
        <v>0</v>
      </c>
      <c r="G2407">
        <v>3082</v>
      </c>
      <c r="H2407">
        <v>0</v>
      </c>
      <c r="I2407">
        <v>0</v>
      </c>
    </row>
    <row r="2408" spans="1:9" x14ac:dyDescent="0.25">
      <c r="A2408">
        <v>0</v>
      </c>
      <c r="B2408">
        <v>0</v>
      </c>
      <c r="C2408">
        <v>4</v>
      </c>
      <c r="D2408">
        <v>0</v>
      </c>
      <c r="E2408">
        <v>0</v>
      </c>
      <c r="F2408">
        <v>0</v>
      </c>
      <c r="G2408">
        <v>3402</v>
      </c>
      <c r="H2408">
        <v>0</v>
      </c>
      <c r="I2408">
        <v>0</v>
      </c>
    </row>
    <row r="2409" spans="1:9" x14ac:dyDescent="0.25">
      <c r="A2409">
        <v>0</v>
      </c>
      <c r="B2409">
        <v>1</v>
      </c>
      <c r="C2409">
        <v>2</v>
      </c>
      <c r="D2409">
        <v>1</v>
      </c>
      <c r="E2409">
        <v>0</v>
      </c>
      <c r="F2409">
        <v>0</v>
      </c>
      <c r="G2409">
        <v>2332</v>
      </c>
      <c r="H2409">
        <v>0</v>
      </c>
      <c r="I2409">
        <v>0</v>
      </c>
    </row>
    <row r="2410" spans="1:9" x14ac:dyDescent="0.25">
      <c r="A2410">
        <v>0</v>
      </c>
      <c r="B2410">
        <v>1</v>
      </c>
      <c r="C2410">
        <v>2</v>
      </c>
      <c r="D2410">
        <v>0</v>
      </c>
      <c r="E2410">
        <v>0</v>
      </c>
      <c r="F2410">
        <v>0</v>
      </c>
      <c r="G2410">
        <v>1850</v>
      </c>
      <c r="H2410">
        <v>0</v>
      </c>
      <c r="I2410">
        <v>0</v>
      </c>
    </row>
    <row r="2411" spans="1:9" x14ac:dyDescent="0.25">
      <c r="A2411">
        <v>0</v>
      </c>
      <c r="B2411">
        <v>1</v>
      </c>
      <c r="C2411">
        <v>2</v>
      </c>
      <c r="D2411">
        <v>0</v>
      </c>
      <c r="E2411">
        <v>0</v>
      </c>
      <c r="F2411">
        <v>0</v>
      </c>
      <c r="G2411">
        <v>1850</v>
      </c>
      <c r="H2411">
        <v>0</v>
      </c>
      <c r="I2411">
        <v>0</v>
      </c>
    </row>
    <row r="2412" spans="1:9" x14ac:dyDescent="0.25">
      <c r="A2412">
        <v>0</v>
      </c>
      <c r="B2412">
        <v>1</v>
      </c>
      <c r="C2412">
        <v>3</v>
      </c>
      <c r="D2412">
        <v>0</v>
      </c>
      <c r="E2412">
        <v>0</v>
      </c>
      <c r="F2412">
        <v>0</v>
      </c>
      <c r="G2412">
        <v>2773</v>
      </c>
      <c r="H2412">
        <v>0</v>
      </c>
      <c r="I2412">
        <v>0</v>
      </c>
    </row>
    <row r="2413" spans="1:9" x14ac:dyDescent="0.25">
      <c r="A2413">
        <v>0</v>
      </c>
      <c r="B2413">
        <v>0</v>
      </c>
      <c r="C2413">
        <v>0</v>
      </c>
      <c r="D2413">
        <v>0</v>
      </c>
      <c r="E2413">
        <v>2</v>
      </c>
      <c r="F2413">
        <v>0</v>
      </c>
      <c r="G2413">
        <v>4416</v>
      </c>
      <c r="H2413">
        <v>0</v>
      </c>
      <c r="I2413">
        <v>0</v>
      </c>
    </row>
    <row r="2414" spans="1:9" x14ac:dyDescent="0.25">
      <c r="A2414">
        <v>0</v>
      </c>
      <c r="B2414">
        <v>1</v>
      </c>
      <c r="C2414">
        <v>2</v>
      </c>
      <c r="D2414">
        <v>0</v>
      </c>
      <c r="E2414">
        <v>0</v>
      </c>
      <c r="F2414">
        <v>0</v>
      </c>
      <c r="G2414">
        <v>1975</v>
      </c>
      <c r="H2414">
        <v>0</v>
      </c>
      <c r="I2414">
        <v>0</v>
      </c>
    </row>
    <row r="2415" spans="1:9" x14ac:dyDescent="0.25">
      <c r="A2415">
        <v>0</v>
      </c>
      <c r="B2415">
        <v>0</v>
      </c>
      <c r="C2415">
        <v>0</v>
      </c>
      <c r="D2415">
        <v>0</v>
      </c>
      <c r="E2415">
        <v>0</v>
      </c>
      <c r="F2415">
        <v>0</v>
      </c>
      <c r="G2415">
        <v>3169</v>
      </c>
      <c r="H2415">
        <v>0</v>
      </c>
      <c r="I2415">
        <v>0</v>
      </c>
    </row>
    <row r="2416" spans="1:9" x14ac:dyDescent="0.25">
      <c r="A2416">
        <v>0</v>
      </c>
      <c r="B2416">
        <v>0</v>
      </c>
      <c r="C2416">
        <v>2</v>
      </c>
      <c r="D2416">
        <v>0</v>
      </c>
      <c r="E2416">
        <v>0</v>
      </c>
      <c r="F2416">
        <v>0</v>
      </c>
      <c r="G2416">
        <v>1975</v>
      </c>
      <c r="H2416">
        <v>0</v>
      </c>
      <c r="I2416">
        <v>0</v>
      </c>
    </row>
    <row r="2417" spans="1:9" x14ac:dyDescent="0.25">
      <c r="A2417">
        <v>0</v>
      </c>
      <c r="B2417">
        <v>0</v>
      </c>
      <c r="C2417">
        <v>2</v>
      </c>
      <c r="D2417">
        <v>0</v>
      </c>
      <c r="E2417">
        <v>0</v>
      </c>
      <c r="F2417">
        <v>0</v>
      </c>
      <c r="G2417">
        <v>2029</v>
      </c>
      <c r="H2417">
        <v>0</v>
      </c>
      <c r="I2417">
        <v>0</v>
      </c>
    </row>
    <row r="2418" spans="1:9" x14ac:dyDescent="0.25">
      <c r="A2418">
        <v>0</v>
      </c>
      <c r="B2418">
        <v>0</v>
      </c>
      <c r="C2418">
        <v>2</v>
      </c>
      <c r="D2418">
        <v>0</v>
      </c>
      <c r="E2418">
        <v>0</v>
      </c>
      <c r="F2418">
        <v>0</v>
      </c>
      <c r="G2418">
        <v>2356</v>
      </c>
      <c r="H2418">
        <v>0</v>
      </c>
      <c r="I2418">
        <v>0</v>
      </c>
    </row>
    <row r="2419" spans="1:9" x14ac:dyDescent="0.25">
      <c r="A2419">
        <v>0</v>
      </c>
      <c r="B2419">
        <v>0</v>
      </c>
      <c r="C2419">
        <v>17</v>
      </c>
      <c r="D2419">
        <v>0</v>
      </c>
      <c r="E2419">
        <v>0</v>
      </c>
      <c r="F2419">
        <v>0</v>
      </c>
      <c r="G2419">
        <v>27563</v>
      </c>
      <c r="H2419">
        <v>0</v>
      </c>
      <c r="I2419">
        <v>0</v>
      </c>
    </row>
    <row r="2420" spans="1:9" x14ac:dyDescent="0.25">
      <c r="A2420">
        <v>0</v>
      </c>
      <c r="B2420">
        <v>1</v>
      </c>
      <c r="C2420">
        <v>4</v>
      </c>
      <c r="D2420">
        <v>0</v>
      </c>
      <c r="E2420">
        <v>0</v>
      </c>
      <c r="F2420">
        <v>0</v>
      </c>
      <c r="G2420">
        <v>4936</v>
      </c>
      <c r="H2420">
        <v>0</v>
      </c>
      <c r="I2420">
        <v>0</v>
      </c>
    </row>
    <row r="2421" spans="1:9" x14ac:dyDescent="0.25">
      <c r="A2421">
        <v>0</v>
      </c>
      <c r="B2421">
        <v>1</v>
      </c>
      <c r="C2421">
        <v>2</v>
      </c>
      <c r="D2421">
        <v>0</v>
      </c>
      <c r="E2421">
        <v>0</v>
      </c>
      <c r="F2421">
        <v>0</v>
      </c>
      <c r="G2421">
        <v>2056</v>
      </c>
      <c r="H2421">
        <v>0</v>
      </c>
      <c r="I2421">
        <v>0</v>
      </c>
    </row>
    <row r="2422" spans="1:9" x14ac:dyDescent="0.25">
      <c r="A2422">
        <v>0</v>
      </c>
      <c r="B2422">
        <v>1</v>
      </c>
      <c r="C2422">
        <v>3</v>
      </c>
      <c r="D2422">
        <v>0</v>
      </c>
      <c r="E2422">
        <v>0</v>
      </c>
      <c r="F2422">
        <v>0</v>
      </c>
      <c r="G2422">
        <v>3013</v>
      </c>
      <c r="H2422">
        <v>0</v>
      </c>
      <c r="I2422">
        <v>0</v>
      </c>
    </row>
    <row r="2423" spans="1:9" x14ac:dyDescent="0.25">
      <c r="A2423">
        <v>0</v>
      </c>
      <c r="B2423">
        <v>1</v>
      </c>
      <c r="C2423">
        <v>3</v>
      </c>
      <c r="D2423">
        <v>0</v>
      </c>
      <c r="E2423">
        <v>0</v>
      </c>
      <c r="F2423">
        <v>0</v>
      </c>
      <c r="G2423">
        <v>2943</v>
      </c>
      <c r="H2423">
        <v>0</v>
      </c>
      <c r="I2423">
        <v>0</v>
      </c>
    </row>
    <row r="2424" spans="1:9" x14ac:dyDescent="0.25">
      <c r="A2424">
        <v>0</v>
      </c>
      <c r="B2424">
        <v>0</v>
      </c>
      <c r="C2424">
        <v>2</v>
      </c>
      <c r="D2424">
        <v>0</v>
      </c>
      <c r="E2424">
        <v>0</v>
      </c>
      <c r="F2424">
        <v>0</v>
      </c>
      <c r="G2424">
        <v>2071</v>
      </c>
      <c r="H2424">
        <v>0</v>
      </c>
      <c r="I2424">
        <v>0</v>
      </c>
    </row>
    <row r="2425" spans="1:9" x14ac:dyDescent="0.25">
      <c r="A2425">
        <v>0</v>
      </c>
      <c r="B2425">
        <v>1</v>
      </c>
      <c r="C2425">
        <v>2</v>
      </c>
      <c r="D2425">
        <v>0</v>
      </c>
      <c r="E2425">
        <v>0</v>
      </c>
      <c r="F2425">
        <v>0</v>
      </c>
      <c r="G2425">
        <v>2113</v>
      </c>
      <c r="H2425">
        <v>0</v>
      </c>
      <c r="I2425">
        <v>0</v>
      </c>
    </row>
    <row r="2426" spans="1:9" x14ac:dyDescent="0.25">
      <c r="A2426">
        <v>0</v>
      </c>
      <c r="B2426">
        <v>1</v>
      </c>
      <c r="C2426">
        <v>2</v>
      </c>
      <c r="D2426">
        <v>0</v>
      </c>
      <c r="E2426">
        <v>0</v>
      </c>
      <c r="F2426">
        <v>0</v>
      </c>
      <c r="G2426">
        <v>2064</v>
      </c>
      <c r="H2426">
        <v>0</v>
      </c>
      <c r="I2426">
        <v>0</v>
      </c>
    </row>
    <row r="2427" spans="1:9" x14ac:dyDescent="0.25">
      <c r="A2427">
        <v>0</v>
      </c>
      <c r="B2427">
        <v>0</v>
      </c>
      <c r="C2427">
        <v>3</v>
      </c>
      <c r="D2427">
        <v>0</v>
      </c>
      <c r="E2427">
        <v>0</v>
      </c>
      <c r="F2427">
        <v>0</v>
      </c>
      <c r="G2427">
        <v>2816</v>
      </c>
      <c r="H2427">
        <v>0</v>
      </c>
      <c r="I2427">
        <v>0</v>
      </c>
    </row>
    <row r="2428" spans="1:9" x14ac:dyDescent="0.25">
      <c r="A2428">
        <v>0</v>
      </c>
      <c r="B2428">
        <v>1</v>
      </c>
      <c r="C2428">
        <v>2</v>
      </c>
      <c r="D2428">
        <v>0</v>
      </c>
      <c r="E2428">
        <v>0</v>
      </c>
      <c r="F2428">
        <v>0</v>
      </c>
      <c r="G2428">
        <v>1966</v>
      </c>
      <c r="H2428">
        <v>0</v>
      </c>
      <c r="I2428">
        <v>0</v>
      </c>
    </row>
    <row r="2429" spans="1:9" x14ac:dyDescent="0.25">
      <c r="A2429">
        <v>0</v>
      </c>
      <c r="B2429">
        <v>1</v>
      </c>
      <c r="C2429">
        <v>4</v>
      </c>
      <c r="D2429">
        <v>0</v>
      </c>
      <c r="E2429">
        <v>0</v>
      </c>
      <c r="F2429">
        <v>0</v>
      </c>
      <c r="G2429">
        <v>4447</v>
      </c>
      <c r="H2429">
        <v>0</v>
      </c>
      <c r="I2429">
        <v>0</v>
      </c>
    </row>
    <row r="2430" spans="1:9" x14ac:dyDescent="0.25">
      <c r="A2430">
        <v>0</v>
      </c>
      <c r="B2430">
        <v>1</v>
      </c>
      <c r="C2430">
        <v>3</v>
      </c>
      <c r="D2430">
        <v>0</v>
      </c>
      <c r="E2430">
        <v>0</v>
      </c>
      <c r="F2430">
        <v>0</v>
      </c>
      <c r="G2430">
        <v>4556</v>
      </c>
      <c r="H2430">
        <v>0</v>
      </c>
      <c r="I2430">
        <v>0</v>
      </c>
    </row>
    <row r="2431" spans="1:9" x14ac:dyDescent="0.25">
      <c r="A2431">
        <v>0</v>
      </c>
      <c r="B2431">
        <v>1</v>
      </c>
      <c r="C2431">
        <v>2</v>
      </c>
      <c r="D2431">
        <v>0</v>
      </c>
      <c r="E2431">
        <v>0</v>
      </c>
      <c r="F2431">
        <v>0</v>
      </c>
      <c r="G2431">
        <v>3223</v>
      </c>
      <c r="H2431">
        <v>0</v>
      </c>
      <c r="I2431">
        <v>0</v>
      </c>
    </row>
    <row r="2432" spans="1:9" x14ac:dyDescent="0.25">
      <c r="A2432">
        <v>0</v>
      </c>
      <c r="B2432">
        <v>1</v>
      </c>
      <c r="C2432">
        <v>1</v>
      </c>
      <c r="D2432">
        <v>0</v>
      </c>
      <c r="E2432">
        <v>0</v>
      </c>
      <c r="F2432">
        <v>0</v>
      </c>
      <c r="G2432">
        <v>3698</v>
      </c>
      <c r="H2432">
        <v>0</v>
      </c>
      <c r="I2432">
        <v>0</v>
      </c>
    </row>
    <row r="2433" spans="1:9" x14ac:dyDescent="0.25">
      <c r="A2433">
        <v>0</v>
      </c>
      <c r="B2433">
        <v>0</v>
      </c>
      <c r="C2433">
        <v>1</v>
      </c>
      <c r="D2433">
        <v>0</v>
      </c>
      <c r="E2433">
        <v>0</v>
      </c>
      <c r="F2433">
        <v>0</v>
      </c>
      <c r="G2433">
        <v>3549</v>
      </c>
      <c r="H2433">
        <v>0</v>
      </c>
      <c r="I2433">
        <v>0</v>
      </c>
    </row>
    <row r="2434" spans="1:9" x14ac:dyDescent="0.25">
      <c r="A2434">
        <v>0</v>
      </c>
      <c r="B2434">
        <v>0</v>
      </c>
      <c r="C2434">
        <v>2</v>
      </c>
      <c r="D2434">
        <v>0</v>
      </c>
      <c r="E2434">
        <v>0</v>
      </c>
      <c r="F2434">
        <v>0</v>
      </c>
      <c r="G2434">
        <v>1966</v>
      </c>
      <c r="H2434">
        <v>0</v>
      </c>
      <c r="I2434">
        <v>0</v>
      </c>
    </row>
    <row r="2435" spans="1:9" x14ac:dyDescent="0.25">
      <c r="A2435">
        <v>0</v>
      </c>
      <c r="B2435">
        <v>0</v>
      </c>
      <c r="C2435">
        <v>22</v>
      </c>
      <c r="D2435">
        <v>0</v>
      </c>
      <c r="E2435">
        <v>0</v>
      </c>
      <c r="F2435">
        <v>0</v>
      </c>
      <c r="G2435">
        <v>35527</v>
      </c>
      <c r="H2435">
        <v>0</v>
      </c>
      <c r="I2435">
        <v>0</v>
      </c>
    </row>
    <row r="2436" spans="1:9" x14ac:dyDescent="0.25">
      <c r="A2436">
        <v>0</v>
      </c>
      <c r="B2436">
        <v>1</v>
      </c>
      <c r="C2436">
        <v>22</v>
      </c>
      <c r="D2436">
        <v>0</v>
      </c>
      <c r="E2436">
        <v>0</v>
      </c>
      <c r="F2436">
        <v>0</v>
      </c>
      <c r="G2436">
        <v>31399</v>
      </c>
      <c r="H2436">
        <v>0</v>
      </c>
      <c r="I2436">
        <v>0</v>
      </c>
    </row>
    <row r="2437" spans="1:9" x14ac:dyDescent="0.25">
      <c r="A2437">
        <v>0</v>
      </c>
      <c r="B2437">
        <v>1</v>
      </c>
      <c r="C2437">
        <v>2</v>
      </c>
      <c r="D2437">
        <v>0</v>
      </c>
      <c r="E2437">
        <v>0</v>
      </c>
      <c r="F2437">
        <v>0</v>
      </c>
      <c r="G2437">
        <v>1990</v>
      </c>
      <c r="H2437">
        <v>0</v>
      </c>
      <c r="I2437">
        <v>0</v>
      </c>
    </row>
    <row r="2438" spans="1:9" x14ac:dyDescent="0.25">
      <c r="A2438">
        <v>0</v>
      </c>
      <c r="B2438">
        <v>1</v>
      </c>
      <c r="C2438">
        <v>29</v>
      </c>
      <c r="D2438">
        <v>1</v>
      </c>
      <c r="E2438">
        <v>1</v>
      </c>
      <c r="F2438">
        <v>0</v>
      </c>
      <c r="G2438">
        <v>34216</v>
      </c>
      <c r="H2438">
        <v>0</v>
      </c>
      <c r="I2438">
        <v>0</v>
      </c>
    </row>
    <row r="2439" spans="1:9" x14ac:dyDescent="0.25">
      <c r="A2439">
        <v>0</v>
      </c>
      <c r="B2439">
        <v>0</v>
      </c>
      <c r="C2439">
        <v>4</v>
      </c>
      <c r="D2439">
        <v>0</v>
      </c>
      <c r="E2439">
        <v>0</v>
      </c>
      <c r="F2439">
        <v>0</v>
      </c>
      <c r="G2439">
        <v>4205</v>
      </c>
      <c r="H2439">
        <v>0</v>
      </c>
      <c r="I2439">
        <v>0</v>
      </c>
    </row>
    <row r="2440" spans="1:9" x14ac:dyDescent="0.25">
      <c r="A2440">
        <v>0</v>
      </c>
      <c r="B2440">
        <v>1</v>
      </c>
      <c r="C2440">
        <v>2</v>
      </c>
      <c r="D2440">
        <v>0</v>
      </c>
      <c r="E2440">
        <v>0</v>
      </c>
      <c r="F2440">
        <v>0</v>
      </c>
      <c r="G2440">
        <v>7532</v>
      </c>
      <c r="H2440">
        <v>0</v>
      </c>
      <c r="I2440">
        <v>0</v>
      </c>
    </row>
    <row r="2441" spans="1:9" x14ac:dyDescent="0.25">
      <c r="A2441">
        <v>0</v>
      </c>
      <c r="B2441">
        <v>0</v>
      </c>
      <c r="C2441">
        <v>3</v>
      </c>
      <c r="D2441">
        <v>1</v>
      </c>
      <c r="E2441">
        <v>0</v>
      </c>
      <c r="F2441">
        <v>0</v>
      </c>
      <c r="G2441">
        <v>4196</v>
      </c>
      <c r="H2441">
        <v>0</v>
      </c>
      <c r="I2441">
        <v>0</v>
      </c>
    </row>
    <row r="2442" spans="1:9" x14ac:dyDescent="0.25">
      <c r="A2442">
        <v>0</v>
      </c>
      <c r="B2442">
        <v>1</v>
      </c>
      <c r="C2442">
        <v>4</v>
      </c>
      <c r="D2442">
        <v>0</v>
      </c>
      <c r="E2442">
        <v>0</v>
      </c>
      <c r="F2442">
        <v>0</v>
      </c>
      <c r="G2442">
        <v>3505</v>
      </c>
      <c r="H2442">
        <v>0</v>
      </c>
      <c r="I2442">
        <v>0</v>
      </c>
    </row>
    <row r="2443" spans="1:9" x14ac:dyDescent="0.25">
      <c r="A2443">
        <v>0</v>
      </c>
      <c r="B2443">
        <v>1</v>
      </c>
      <c r="C2443">
        <v>0</v>
      </c>
      <c r="D2443">
        <v>0</v>
      </c>
      <c r="E2443">
        <v>1</v>
      </c>
      <c r="F2443">
        <v>0</v>
      </c>
      <c r="G2443">
        <v>3543</v>
      </c>
      <c r="H2443">
        <v>0</v>
      </c>
      <c r="I2443">
        <v>0</v>
      </c>
    </row>
    <row r="2444" spans="1:9" x14ac:dyDescent="0.25">
      <c r="A2444">
        <v>0</v>
      </c>
      <c r="B2444">
        <v>0</v>
      </c>
      <c r="C2444">
        <v>4</v>
      </c>
      <c r="D2444">
        <v>0</v>
      </c>
      <c r="E2444">
        <v>0</v>
      </c>
      <c r="F2444">
        <v>0</v>
      </c>
      <c r="G2444">
        <v>7698</v>
      </c>
      <c r="H2444">
        <v>0</v>
      </c>
      <c r="I2444">
        <v>0</v>
      </c>
    </row>
    <row r="2445" spans="1:9" x14ac:dyDescent="0.25">
      <c r="A2445">
        <v>0</v>
      </c>
      <c r="B2445">
        <v>0</v>
      </c>
      <c r="C2445">
        <v>2</v>
      </c>
      <c r="D2445">
        <v>0</v>
      </c>
      <c r="E2445">
        <v>0</v>
      </c>
      <c r="F2445">
        <v>0</v>
      </c>
      <c r="G2445">
        <v>1963</v>
      </c>
      <c r="H2445">
        <v>0</v>
      </c>
      <c r="I2445">
        <v>0</v>
      </c>
    </row>
    <row r="2446" spans="1:9" x14ac:dyDescent="0.25">
      <c r="A2446">
        <v>0</v>
      </c>
      <c r="B2446">
        <v>0</v>
      </c>
      <c r="C2446">
        <v>2</v>
      </c>
      <c r="D2446">
        <v>0</v>
      </c>
      <c r="E2446">
        <v>0</v>
      </c>
      <c r="F2446">
        <v>0</v>
      </c>
      <c r="G2446">
        <v>1966</v>
      </c>
      <c r="H2446">
        <v>0</v>
      </c>
      <c r="I2446">
        <v>0</v>
      </c>
    </row>
    <row r="2447" spans="1:9" x14ac:dyDescent="0.25">
      <c r="A2447">
        <v>0</v>
      </c>
      <c r="B2447">
        <v>0</v>
      </c>
      <c r="C2447">
        <v>5</v>
      </c>
      <c r="D2447">
        <v>1</v>
      </c>
      <c r="E2447">
        <v>0</v>
      </c>
      <c r="F2447">
        <v>0</v>
      </c>
      <c r="G2447">
        <v>10423</v>
      </c>
      <c r="H2447">
        <v>0</v>
      </c>
      <c r="I2447">
        <v>0</v>
      </c>
    </row>
    <row r="2448" spans="1:9" x14ac:dyDescent="0.25">
      <c r="A2448">
        <v>0</v>
      </c>
      <c r="B2448">
        <v>0</v>
      </c>
      <c r="C2448">
        <v>2</v>
      </c>
      <c r="D2448">
        <v>0</v>
      </c>
      <c r="E2448">
        <v>0</v>
      </c>
      <c r="F2448">
        <v>0</v>
      </c>
      <c r="G2448">
        <v>2177</v>
      </c>
      <c r="H2448">
        <v>0</v>
      </c>
      <c r="I2448">
        <v>0</v>
      </c>
    </row>
    <row r="2449" spans="1:9" x14ac:dyDescent="0.25">
      <c r="A2449">
        <v>0</v>
      </c>
      <c r="B2449">
        <v>1</v>
      </c>
      <c r="C2449">
        <v>3</v>
      </c>
      <c r="D2449">
        <v>0</v>
      </c>
      <c r="E2449">
        <v>0</v>
      </c>
      <c r="F2449">
        <v>0</v>
      </c>
      <c r="G2449">
        <v>3181</v>
      </c>
      <c r="H2449">
        <v>0</v>
      </c>
      <c r="I2449">
        <v>0</v>
      </c>
    </row>
    <row r="2450" spans="1:9" x14ac:dyDescent="0.25">
      <c r="A2450">
        <v>0</v>
      </c>
      <c r="B2450">
        <v>0</v>
      </c>
      <c r="C2450">
        <v>2</v>
      </c>
      <c r="D2450">
        <v>0</v>
      </c>
      <c r="E2450">
        <v>0</v>
      </c>
      <c r="F2450">
        <v>0</v>
      </c>
      <c r="G2450">
        <v>2500</v>
      </c>
      <c r="H2450">
        <v>0</v>
      </c>
      <c r="I2450">
        <v>0</v>
      </c>
    </row>
    <row r="2451" spans="1:9" x14ac:dyDescent="0.25">
      <c r="A2451">
        <v>0</v>
      </c>
      <c r="B2451">
        <v>1</v>
      </c>
      <c r="C2451">
        <v>1</v>
      </c>
      <c r="D2451">
        <v>1</v>
      </c>
      <c r="E2451">
        <v>1</v>
      </c>
      <c r="F2451">
        <v>0</v>
      </c>
      <c r="G2451">
        <v>6311</v>
      </c>
      <c r="H2451">
        <v>0</v>
      </c>
      <c r="I2451">
        <v>0</v>
      </c>
    </row>
    <row r="2452" spans="1:9" x14ac:dyDescent="0.25">
      <c r="A2452">
        <v>0</v>
      </c>
      <c r="B2452">
        <v>0</v>
      </c>
      <c r="C2452">
        <v>2</v>
      </c>
      <c r="D2452">
        <v>0</v>
      </c>
      <c r="E2452">
        <v>0</v>
      </c>
      <c r="F2452">
        <v>0</v>
      </c>
      <c r="G2452">
        <v>1850</v>
      </c>
      <c r="H2452">
        <v>0</v>
      </c>
      <c r="I2452">
        <v>0</v>
      </c>
    </row>
    <row r="2453" spans="1:9" x14ac:dyDescent="0.25">
      <c r="A2453">
        <v>0</v>
      </c>
      <c r="B2453">
        <v>1</v>
      </c>
      <c r="C2453">
        <v>1</v>
      </c>
      <c r="D2453">
        <v>0</v>
      </c>
      <c r="E2453">
        <v>0</v>
      </c>
      <c r="F2453">
        <v>0</v>
      </c>
      <c r="G2453">
        <v>3942</v>
      </c>
      <c r="H2453">
        <v>0</v>
      </c>
      <c r="I2453">
        <v>0</v>
      </c>
    </row>
    <row r="2454" spans="1:9" x14ac:dyDescent="0.25">
      <c r="A2454">
        <v>0</v>
      </c>
      <c r="B2454">
        <v>0</v>
      </c>
      <c r="C2454">
        <v>3</v>
      </c>
      <c r="D2454">
        <v>0</v>
      </c>
      <c r="E2454">
        <v>0</v>
      </c>
      <c r="F2454">
        <v>0</v>
      </c>
      <c r="G2454">
        <v>2924</v>
      </c>
      <c r="H2454">
        <v>0</v>
      </c>
      <c r="I2454">
        <v>0</v>
      </c>
    </row>
    <row r="2455" spans="1:9" x14ac:dyDescent="0.25">
      <c r="A2455">
        <v>0</v>
      </c>
      <c r="B2455">
        <v>0</v>
      </c>
      <c r="C2455">
        <v>4</v>
      </c>
      <c r="D2455">
        <v>0</v>
      </c>
      <c r="E2455">
        <v>0</v>
      </c>
      <c r="F2455">
        <v>0</v>
      </c>
      <c r="G2455">
        <v>6127</v>
      </c>
      <c r="H2455">
        <v>0</v>
      </c>
      <c r="I2455">
        <v>0</v>
      </c>
    </row>
    <row r="2456" spans="1:9" x14ac:dyDescent="0.25">
      <c r="A2456">
        <v>0</v>
      </c>
      <c r="B2456">
        <v>1</v>
      </c>
      <c r="C2456">
        <v>2</v>
      </c>
      <c r="D2456">
        <v>0</v>
      </c>
      <c r="E2456">
        <v>0</v>
      </c>
      <c r="F2456">
        <v>0</v>
      </c>
      <c r="G2456">
        <v>2241</v>
      </c>
      <c r="H2456">
        <v>0</v>
      </c>
      <c r="I2456">
        <v>0</v>
      </c>
    </row>
    <row r="2457" spans="1:9" x14ac:dyDescent="0.25">
      <c r="A2457">
        <v>0</v>
      </c>
      <c r="B2457">
        <v>1</v>
      </c>
      <c r="C2457">
        <v>3</v>
      </c>
      <c r="D2457">
        <v>0</v>
      </c>
      <c r="E2457">
        <v>0</v>
      </c>
      <c r="F2457">
        <v>0</v>
      </c>
      <c r="G2457">
        <v>2914</v>
      </c>
      <c r="H2457">
        <v>0</v>
      </c>
      <c r="I2457">
        <v>0</v>
      </c>
    </row>
    <row r="2458" spans="1:9" x14ac:dyDescent="0.25">
      <c r="A2458">
        <v>0</v>
      </c>
      <c r="B2458">
        <v>0</v>
      </c>
      <c r="C2458">
        <v>2</v>
      </c>
      <c r="D2458">
        <v>0</v>
      </c>
      <c r="E2458">
        <v>0</v>
      </c>
      <c r="F2458">
        <v>0</v>
      </c>
      <c r="G2458">
        <v>2652</v>
      </c>
      <c r="H2458">
        <v>0</v>
      </c>
      <c r="I2458">
        <v>0</v>
      </c>
    </row>
    <row r="2459" spans="1:9" x14ac:dyDescent="0.25">
      <c r="A2459">
        <v>0</v>
      </c>
      <c r="B2459">
        <v>0</v>
      </c>
      <c r="C2459">
        <v>2</v>
      </c>
      <c r="D2459">
        <v>0</v>
      </c>
      <c r="E2459">
        <v>0</v>
      </c>
      <c r="F2459">
        <v>0</v>
      </c>
      <c r="G2459">
        <v>2047</v>
      </c>
      <c r="H2459">
        <v>0</v>
      </c>
      <c r="I2459">
        <v>0</v>
      </c>
    </row>
    <row r="2460" spans="1:9" x14ac:dyDescent="0.25">
      <c r="A2460">
        <v>0</v>
      </c>
      <c r="B2460">
        <v>0</v>
      </c>
      <c r="C2460">
        <v>2</v>
      </c>
      <c r="D2460">
        <v>0</v>
      </c>
      <c r="E2460">
        <v>0</v>
      </c>
      <c r="F2460">
        <v>0</v>
      </c>
      <c r="G2460">
        <v>2550</v>
      </c>
      <c r="H2460">
        <v>0</v>
      </c>
      <c r="I2460">
        <v>0</v>
      </c>
    </row>
    <row r="2461" spans="1:9" x14ac:dyDescent="0.25">
      <c r="A2461">
        <v>0</v>
      </c>
      <c r="B2461">
        <v>1</v>
      </c>
      <c r="C2461">
        <v>0</v>
      </c>
      <c r="D2461">
        <v>1</v>
      </c>
      <c r="E2461">
        <v>1</v>
      </c>
      <c r="F2461">
        <v>0</v>
      </c>
      <c r="G2461">
        <v>3466</v>
      </c>
      <c r="H2461">
        <v>0</v>
      </c>
      <c r="I2461">
        <v>0</v>
      </c>
    </row>
    <row r="2462" spans="1:9" x14ac:dyDescent="0.25">
      <c r="A2462">
        <v>0</v>
      </c>
      <c r="B2462">
        <v>0</v>
      </c>
      <c r="C2462">
        <v>2</v>
      </c>
      <c r="D2462">
        <v>0</v>
      </c>
      <c r="E2462">
        <v>0</v>
      </c>
      <c r="F2462">
        <v>0</v>
      </c>
      <c r="G2462">
        <v>2047</v>
      </c>
      <c r="H2462">
        <v>0</v>
      </c>
      <c r="I2462">
        <v>0</v>
      </c>
    </row>
    <row r="2463" spans="1:9" x14ac:dyDescent="0.25">
      <c r="A2463">
        <v>0</v>
      </c>
      <c r="B2463">
        <v>0</v>
      </c>
      <c r="C2463">
        <v>3</v>
      </c>
      <c r="D2463">
        <v>0</v>
      </c>
      <c r="E2463">
        <v>0</v>
      </c>
      <c r="F2463">
        <v>0</v>
      </c>
      <c r="G2463">
        <v>2677</v>
      </c>
      <c r="H2463">
        <v>0</v>
      </c>
      <c r="I2463">
        <v>0</v>
      </c>
    </row>
    <row r="2464" spans="1:9" x14ac:dyDescent="0.25">
      <c r="A2464">
        <v>0</v>
      </c>
      <c r="B2464">
        <v>1</v>
      </c>
      <c r="C2464">
        <v>2</v>
      </c>
      <c r="D2464">
        <v>0</v>
      </c>
      <c r="E2464">
        <v>0</v>
      </c>
      <c r="F2464">
        <v>0</v>
      </c>
      <c r="G2464">
        <v>2071</v>
      </c>
      <c r="H2464">
        <v>0</v>
      </c>
      <c r="I2464">
        <v>0</v>
      </c>
    </row>
    <row r="2465" spans="1:9" x14ac:dyDescent="0.25">
      <c r="A2465">
        <v>0</v>
      </c>
      <c r="B2465">
        <v>1</v>
      </c>
      <c r="C2465">
        <v>2</v>
      </c>
      <c r="D2465">
        <v>0</v>
      </c>
      <c r="E2465">
        <v>0</v>
      </c>
      <c r="F2465">
        <v>0</v>
      </c>
      <c r="G2465">
        <v>1068</v>
      </c>
      <c r="H2465">
        <v>0</v>
      </c>
      <c r="I2465">
        <v>0</v>
      </c>
    </row>
    <row r="2466" spans="1:9" x14ac:dyDescent="0.25">
      <c r="A2466">
        <v>0</v>
      </c>
      <c r="B2466">
        <v>1</v>
      </c>
      <c r="C2466">
        <v>2</v>
      </c>
      <c r="D2466">
        <v>0</v>
      </c>
      <c r="E2466">
        <v>0</v>
      </c>
      <c r="F2466">
        <v>0</v>
      </c>
      <c r="G2466">
        <v>1533</v>
      </c>
      <c r="H2466">
        <v>0</v>
      </c>
      <c r="I2466">
        <v>0</v>
      </c>
    </row>
    <row r="2467" spans="1:9" x14ac:dyDescent="0.25">
      <c r="A2467">
        <v>0</v>
      </c>
      <c r="B2467">
        <v>0</v>
      </c>
      <c r="C2467">
        <v>2</v>
      </c>
      <c r="D2467">
        <v>0</v>
      </c>
      <c r="E2467">
        <v>0</v>
      </c>
      <c r="F2467">
        <v>0</v>
      </c>
      <c r="G2467">
        <v>1189</v>
      </c>
      <c r="H2467">
        <v>0</v>
      </c>
      <c r="I2467">
        <v>0</v>
      </c>
    </row>
    <row r="2468" spans="1:9" x14ac:dyDescent="0.25">
      <c r="A2468">
        <v>0</v>
      </c>
      <c r="B2468">
        <v>1</v>
      </c>
      <c r="C2468">
        <v>2</v>
      </c>
      <c r="D2468">
        <v>0</v>
      </c>
      <c r="E2468">
        <v>0</v>
      </c>
      <c r="F2468">
        <v>0</v>
      </c>
      <c r="G2468">
        <v>1214</v>
      </c>
      <c r="H2468">
        <v>0</v>
      </c>
      <c r="I2468">
        <v>0</v>
      </c>
    </row>
    <row r="2469" spans="1:9" x14ac:dyDescent="0.25">
      <c r="A2469">
        <v>0</v>
      </c>
      <c r="B2469">
        <v>1</v>
      </c>
      <c r="C2469">
        <v>2</v>
      </c>
      <c r="D2469">
        <v>0</v>
      </c>
      <c r="E2469">
        <v>0</v>
      </c>
      <c r="F2469">
        <v>0</v>
      </c>
      <c r="G2469">
        <v>1189</v>
      </c>
      <c r="H2469">
        <v>0</v>
      </c>
      <c r="I2469">
        <v>0</v>
      </c>
    </row>
    <row r="2470" spans="1:9" x14ac:dyDescent="0.25">
      <c r="A2470">
        <v>0</v>
      </c>
      <c r="B2470">
        <v>1</v>
      </c>
      <c r="C2470">
        <v>2</v>
      </c>
      <c r="D2470">
        <v>0</v>
      </c>
      <c r="E2470">
        <v>0</v>
      </c>
      <c r="F2470">
        <v>0</v>
      </c>
      <c r="G2470">
        <v>1352</v>
      </c>
      <c r="H2470">
        <v>0</v>
      </c>
      <c r="I2470">
        <v>0</v>
      </c>
    </row>
    <row r="2471" spans="1:9" x14ac:dyDescent="0.25">
      <c r="A2471">
        <v>0</v>
      </c>
      <c r="B2471">
        <v>0</v>
      </c>
      <c r="C2471">
        <v>3</v>
      </c>
      <c r="D2471">
        <v>0</v>
      </c>
      <c r="E2471">
        <v>0</v>
      </c>
      <c r="F2471">
        <v>0</v>
      </c>
      <c r="G2471">
        <v>1738</v>
      </c>
      <c r="H2471">
        <v>0</v>
      </c>
      <c r="I2471">
        <v>0</v>
      </c>
    </row>
    <row r="2472" spans="1:9" x14ac:dyDescent="0.25">
      <c r="A2472">
        <v>0</v>
      </c>
      <c r="B2472">
        <v>0</v>
      </c>
      <c r="C2472">
        <v>2</v>
      </c>
      <c r="D2472">
        <v>0</v>
      </c>
      <c r="E2472">
        <v>0</v>
      </c>
      <c r="F2472">
        <v>0</v>
      </c>
      <c r="G2472">
        <v>1304</v>
      </c>
      <c r="H2472">
        <v>0</v>
      </c>
      <c r="I2472">
        <v>0</v>
      </c>
    </row>
    <row r="2473" spans="1:9" x14ac:dyDescent="0.25">
      <c r="A2473">
        <v>0</v>
      </c>
      <c r="B2473">
        <v>0</v>
      </c>
      <c r="C2473">
        <v>3</v>
      </c>
      <c r="D2473">
        <v>0</v>
      </c>
      <c r="E2473">
        <v>0</v>
      </c>
      <c r="F2473">
        <v>0</v>
      </c>
      <c r="G2473">
        <v>1918</v>
      </c>
      <c r="H2473">
        <v>0</v>
      </c>
      <c r="I2473">
        <v>0</v>
      </c>
    </row>
    <row r="2474" spans="1:9" x14ac:dyDescent="0.25">
      <c r="A2474">
        <v>0</v>
      </c>
      <c r="B2474">
        <v>1</v>
      </c>
      <c r="C2474">
        <v>1</v>
      </c>
      <c r="D2474">
        <v>0</v>
      </c>
      <c r="E2474">
        <v>0</v>
      </c>
      <c r="F2474">
        <v>0</v>
      </c>
      <c r="G2474">
        <v>647</v>
      </c>
      <c r="H2474">
        <v>0</v>
      </c>
      <c r="I2474">
        <v>0</v>
      </c>
    </row>
    <row r="2475" spans="1:9" x14ac:dyDescent="0.25">
      <c r="A2475">
        <v>0</v>
      </c>
      <c r="B2475">
        <v>1</v>
      </c>
      <c r="C2475">
        <v>2</v>
      </c>
      <c r="D2475">
        <v>0</v>
      </c>
      <c r="E2475">
        <v>0</v>
      </c>
      <c r="F2475">
        <v>0</v>
      </c>
      <c r="G2475">
        <v>1045</v>
      </c>
      <c r="H2475">
        <v>0</v>
      </c>
      <c r="I2475">
        <v>0</v>
      </c>
    </row>
    <row r="2476" spans="1:9" x14ac:dyDescent="0.25">
      <c r="A2476">
        <v>0</v>
      </c>
      <c r="B2476">
        <v>1</v>
      </c>
      <c r="C2476">
        <v>3</v>
      </c>
      <c r="D2476">
        <v>0</v>
      </c>
      <c r="E2476">
        <v>0</v>
      </c>
      <c r="F2476">
        <v>0</v>
      </c>
      <c r="G2476">
        <v>2470</v>
      </c>
      <c r="H2476">
        <v>0</v>
      </c>
      <c r="I2476">
        <v>0</v>
      </c>
    </row>
    <row r="2477" spans="1:9" x14ac:dyDescent="0.25">
      <c r="A2477">
        <v>0</v>
      </c>
      <c r="B2477">
        <v>0</v>
      </c>
      <c r="C2477">
        <v>2</v>
      </c>
      <c r="D2477">
        <v>0</v>
      </c>
      <c r="E2477">
        <v>1</v>
      </c>
      <c r="F2477">
        <v>0</v>
      </c>
      <c r="G2477">
        <v>3700</v>
      </c>
      <c r="H2477">
        <v>0</v>
      </c>
      <c r="I2477">
        <v>0</v>
      </c>
    </row>
    <row r="2478" spans="1:9" x14ac:dyDescent="0.25">
      <c r="A2478">
        <v>0</v>
      </c>
      <c r="B2478">
        <v>0</v>
      </c>
      <c r="C2478">
        <v>2</v>
      </c>
      <c r="D2478">
        <v>0</v>
      </c>
      <c r="E2478">
        <v>0</v>
      </c>
      <c r="F2478">
        <v>0</v>
      </c>
      <c r="G2478">
        <v>1045</v>
      </c>
      <c r="H2478">
        <v>0</v>
      </c>
      <c r="I2478">
        <v>0</v>
      </c>
    </row>
    <row r="2479" spans="1:9" x14ac:dyDescent="0.25">
      <c r="A2479">
        <v>0</v>
      </c>
      <c r="B2479">
        <v>1</v>
      </c>
      <c r="C2479">
        <v>2</v>
      </c>
      <c r="D2479">
        <v>0</v>
      </c>
      <c r="E2479">
        <v>1</v>
      </c>
      <c r="F2479">
        <v>0</v>
      </c>
      <c r="G2479">
        <v>4027</v>
      </c>
      <c r="H2479">
        <v>0</v>
      </c>
      <c r="I2479">
        <v>0</v>
      </c>
    </row>
    <row r="2480" spans="1:9" x14ac:dyDescent="0.25">
      <c r="A2480">
        <v>0</v>
      </c>
      <c r="B2480">
        <v>1</v>
      </c>
      <c r="C2480">
        <v>2</v>
      </c>
      <c r="D2480">
        <v>0</v>
      </c>
      <c r="E2480">
        <v>0</v>
      </c>
      <c r="F2480">
        <v>0</v>
      </c>
      <c r="G2480">
        <v>1191</v>
      </c>
      <c r="H2480">
        <v>0</v>
      </c>
      <c r="I2480">
        <v>0</v>
      </c>
    </row>
    <row r="2481" spans="1:9" x14ac:dyDescent="0.25">
      <c r="A2481">
        <v>0</v>
      </c>
      <c r="B2481">
        <v>0</v>
      </c>
      <c r="C2481">
        <v>1</v>
      </c>
      <c r="D2481">
        <v>0</v>
      </c>
      <c r="E2481">
        <v>0</v>
      </c>
      <c r="F2481">
        <v>0</v>
      </c>
      <c r="G2481">
        <v>622</v>
      </c>
      <c r="H2481">
        <v>0</v>
      </c>
      <c r="I2481">
        <v>0</v>
      </c>
    </row>
    <row r="2482" spans="1:9" x14ac:dyDescent="0.25">
      <c r="A2482">
        <v>0</v>
      </c>
      <c r="B2482">
        <v>0</v>
      </c>
      <c r="C2482">
        <v>1</v>
      </c>
      <c r="D2482">
        <v>0</v>
      </c>
      <c r="E2482">
        <v>0</v>
      </c>
      <c r="F2482">
        <v>0</v>
      </c>
      <c r="G2482">
        <v>768</v>
      </c>
      <c r="H2482">
        <v>0</v>
      </c>
      <c r="I2482">
        <v>0</v>
      </c>
    </row>
    <row r="2483" spans="1:9" x14ac:dyDescent="0.25">
      <c r="A2483">
        <v>0</v>
      </c>
      <c r="B2483">
        <v>0</v>
      </c>
      <c r="C2483">
        <v>5</v>
      </c>
      <c r="D2483">
        <v>0</v>
      </c>
      <c r="E2483">
        <v>2</v>
      </c>
      <c r="F2483">
        <v>0</v>
      </c>
      <c r="G2483">
        <v>10273</v>
      </c>
      <c r="H2483">
        <v>0</v>
      </c>
      <c r="I2483">
        <v>0</v>
      </c>
    </row>
    <row r="2484" spans="1:9" x14ac:dyDescent="0.25">
      <c r="A2484">
        <v>0</v>
      </c>
      <c r="B2484">
        <v>1</v>
      </c>
      <c r="C2484">
        <v>14</v>
      </c>
      <c r="D2484">
        <v>0</v>
      </c>
      <c r="E2484">
        <v>0</v>
      </c>
      <c r="F2484">
        <v>0</v>
      </c>
      <c r="G2484">
        <v>24067</v>
      </c>
      <c r="H2484">
        <v>0</v>
      </c>
      <c r="I2484">
        <v>0</v>
      </c>
    </row>
    <row r="2485" spans="1:9" x14ac:dyDescent="0.25">
      <c r="A2485">
        <v>0</v>
      </c>
      <c r="B2485">
        <v>0</v>
      </c>
      <c r="C2485">
        <v>2</v>
      </c>
      <c r="D2485">
        <v>0</v>
      </c>
      <c r="E2485">
        <v>0</v>
      </c>
      <c r="F2485">
        <v>0</v>
      </c>
      <c r="G2485">
        <v>1191</v>
      </c>
      <c r="H2485">
        <v>0</v>
      </c>
      <c r="I2485">
        <v>0</v>
      </c>
    </row>
    <row r="2486" spans="1:9" x14ac:dyDescent="0.25">
      <c r="A2486">
        <v>0</v>
      </c>
      <c r="B2486">
        <v>0</v>
      </c>
      <c r="C2486">
        <v>3</v>
      </c>
      <c r="D2486">
        <v>0</v>
      </c>
      <c r="E2486">
        <v>0</v>
      </c>
      <c r="F2486">
        <v>0</v>
      </c>
      <c r="G2486">
        <v>2114</v>
      </c>
      <c r="H2486">
        <v>0</v>
      </c>
      <c r="I2486">
        <v>0</v>
      </c>
    </row>
    <row r="2487" spans="1:9" x14ac:dyDescent="0.25">
      <c r="A2487">
        <v>0</v>
      </c>
      <c r="B2487">
        <v>0</v>
      </c>
      <c r="C2487">
        <v>2</v>
      </c>
      <c r="D2487">
        <v>0</v>
      </c>
      <c r="E2487">
        <v>0</v>
      </c>
      <c r="F2487">
        <v>0</v>
      </c>
      <c r="G2487">
        <v>1641</v>
      </c>
      <c r="H2487">
        <v>0</v>
      </c>
      <c r="I2487">
        <v>0</v>
      </c>
    </row>
    <row r="2488" spans="1:9" x14ac:dyDescent="0.25">
      <c r="A2488">
        <v>0</v>
      </c>
      <c r="B2488">
        <v>1</v>
      </c>
      <c r="C2488">
        <v>2</v>
      </c>
      <c r="D2488">
        <v>0</v>
      </c>
      <c r="E2488">
        <v>0</v>
      </c>
      <c r="F2488">
        <v>0</v>
      </c>
      <c r="G2488">
        <v>1213</v>
      </c>
      <c r="H2488">
        <v>0</v>
      </c>
      <c r="I2488">
        <v>0</v>
      </c>
    </row>
    <row r="2489" spans="1:9" x14ac:dyDescent="0.25">
      <c r="A2489">
        <v>0</v>
      </c>
      <c r="B2489">
        <v>1</v>
      </c>
      <c r="C2489">
        <v>2</v>
      </c>
      <c r="D2489">
        <v>0</v>
      </c>
      <c r="E2489">
        <v>0</v>
      </c>
      <c r="F2489">
        <v>0</v>
      </c>
      <c r="G2489">
        <v>1463</v>
      </c>
      <c r="H2489">
        <v>0</v>
      </c>
      <c r="I2489">
        <v>0</v>
      </c>
    </row>
    <row r="2490" spans="1:9" x14ac:dyDescent="0.25">
      <c r="A2490">
        <v>0</v>
      </c>
      <c r="B2490">
        <v>1</v>
      </c>
      <c r="C2490">
        <v>3</v>
      </c>
      <c r="D2490">
        <v>0</v>
      </c>
      <c r="E2490">
        <v>1</v>
      </c>
      <c r="F2490">
        <v>0</v>
      </c>
      <c r="G2490">
        <v>8842</v>
      </c>
      <c r="H2490">
        <v>0</v>
      </c>
      <c r="I2490">
        <v>0</v>
      </c>
    </row>
    <row r="2491" spans="1:9" x14ac:dyDescent="0.25">
      <c r="A2491">
        <v>0</v>
      </c>
      <c r="B2491">
        <v>0</v>
      </c>
      <c r="C2491">
        <v>2</v>
      </c>
      <c r="D2491">
        <v>0</v>
      </c>
      <c r="E2491">
        <v>0</v>
      </c>
      <c r="F2491">
        <v>0</v>
      </c>
      <c r="G2491">
        <v>1191</v>
      </c>
      <c r="H2491">
        <v>0</v>
      </c>
      <c r="I2491">
        <v>0</v>
      </c>
    </row>
    <row r="2492" spans="1:9" x14ac:dyDescent="0.25">
      <c r="A2492">
        <v>0</v>
      </c>
      <c r="B2492">
        <v>0</v>
      </c>
      <c r="C2492">
        <v>2</v>
      </c>
      <c r="D2492">
        <v>0</v>
      </c>
      <c r="E2492">
        <v>0</v>
      </c>
      <c r="F2492">
        <v>0</v>
      </c>
      <c r="G2492">
        <v>1045</v>
      </c>
      <c r="H2492">
        <v>0</v>
      </c>
      <c r="I2492">
        <v>0</v>
      </c>
    </row>
    <row r="2493" spans="1:9" x14ac:dyDescent="0.25">
      <c r="A2493">
        <v>0</v>
      </c>
      <c r="B2493">
        <v>1</v>
      </c>
      <c r="C2493">
        <v>3</v>
      </c>
      <c r="D2493">
        <v>0</v>
      </c>
      <c r="E2493">
        <v>0</v>
      </c>
      <c r="F2493">
        <v>0</v>
      </c>
      <c r="G2493">
        <v>1614</v>
      </c>
      <c r="H2493">
        <v>0</v>
      </c>
      <c r="I2493">
        <v>0</v>
      </c>
    </row>
    <row r="2494" spans="1:9" x14ac:dyDescent="0.25">
      <c r="A2494">
        <v>0</v>
      </c>
      <c r="B2494">
        <v>0</v>
      </c>
      <c r="C2494">
        <v>2</v>
      </c>
      <c r="D2494">
        <v>0</v>
      </c>
      <c r="E2494">
        <v>0</v>
      </c>
      <c r="F2494">
        <v>0</v>
      </c>
      <c r="G2494">
        <v>1191</v>
      </c>
      <c r="H2494">
        <v>0</v>
      </c>
      <c r="I2494">
        <v>0</v>
      </c>
    </row>
    <row r="2495" spans="1:9" x14ac:dyDescent="0.25">
      <c r="A2495">
        <v>0</v>
      </c>
      <c r="B2495">
        <v>1</v>
      </c>
      <c r="C2495">
        <v>2</v>
      </c>
      <c r="D2495">
        <v>0</v>
      </c>
      <c r="E2495">
        <v>0</v>
      </c>
      <c r="F2495">
        <v>0</v>
      </c>
      <c r="G2495">
        <v>1463</v>
      </c>
      <c r="H2495">
        <v>0</v>
      </c>
      <c r="I2495">
        <v>0</v>
      </c>
    </row>
    <row r="2496" spans="1:9" x14ac:dyDescent="0.25">
      <c r="A2496">
        <v>0</v>
      </c>
      <c r="B2496">
        <v>0</v>
      </c>
      <c r="C2496">
        <v>3</v>
      </c>
      <c r="D2496">
        <v>0</v>
      </c>
      <c r="E2496">
        <v>0</v>
      </c>
      <c r="F2496">
        <v>0</v>
      </c>
      <c r="G2496">
        <v>2111</v>
      </c>
      <c r="H2496">
        <v>0</v>
      </c>
      <c r="I2496">
        <v>0</v>
      </c>
    </row>
    <row r="2497" spans="1:9" x14ac:dyDescent="0.25">
      <c r="A2497">
        <v>0</v>
      </c>
      <c r="B2497">
        <v>1</v>
      </c>
      <c r="C2497">
        <v>3</v>
      </c>
      <c r="D2497">
        <v>0</v>
      </c>
      <c r="E2497">
        <v>0</v>
      </c>
      <c r="F2497">
        <v>0</v>
      </c>
      <c r="G2497">
        <v>2369</v>
      </c>
      <c r="H2497">
        <v>0</v>
      </c>
      <c r="I2497">
        <v>0</v>
      </c>
    </row>
    <row r="2498" spans="1:9" x14ac:dyDescent="0.25">
      <c r="A2498">
        <v>0</v>
      </c>
      <c r="B2498">
        <v>1</v>
      </c>
      <c r="C2498">
        <v>2</v>
      </c>
      <c r="D2498">
        <v>0</v>
      </c>
      <c r="E2498">
        <v>0</v>
      </c>
      <c r="F2498">
        <v>0</v>
      </c>
      <c r="G2498">
        <v>1200</v>
      </c>
      <c r="H2498">
        <v>0</v>
      </c>
      <c r="I2498">
        <v>0</v>
      </c>
    </row>
    <row r="2499" spans="1:9" x14ac:dyDescent="0.25">
      <c r="A2499">
        <v>0</v>
      </c>
      <c r="B2499">
        <v>1</v>
      </c>
      <c r="C2499">
        <v>3</v>
      </c>
      <c r="D2499">
        <v>0</v>
      </c>
      <c r="E2499">
        <v>0</v>
      </c>
      <c r="F2499">
        <v>0</v>
      </c>
      <c r="G2499">
        <v>1468</v>
      </c>
      <c r="H2499">
        <v>0</v>
      </c>
      <c r="I2499">
        <v>0</v>
      </c>
    </row>
    <row r="2500" spans="1:9" x14ac:dyDescent="0.25">
      <c r="A2500">
        <v>0</v>
      </c>
      <c r="B2500">
        <v>0</v>
      </c>
      <c r="C2500">
        <v>0</v>
      </c>
      <c r="D2500">
        <v>1</v>
      </c>
      <c r="E2500">
        <v>0</v>
      </c>
      <c r="F2500">
        <v>0</v>
      </c>
      <c r="G2500">
        <v>2138</v>
      </c>
      <c r="H2500">
        <v>0</v>
      </c>
      <c r="I2500">
        <v>0</v>
      </c>
    </row>
    <row r="2501" spans="1:9" x14ac:dyDescent="0.25">
      <c r="A2501">
        <v>0</v>
      </c>
      <c r="B2501">
        <v>1</v>
      </c>
      <c r="C2501">
        <v>2</v>
      </c>
      <c r="D2501">
        <v>0</v>
      </c>
      <c r="E2501">
        <v>0</v>
      </c>
      <c r="F2501">
        <v>0</v>
      </c>
      <c r="G2501">
        <v>1216</v>
      </c>
      <c r="H2501">
        <v>0</v>
      </c>
      <c r="I2501">
        <v>0</v>
      </c>
    </row>
    <row r="2502" spans="1:9" x14ac:dyDescent="0.25">
      <c r="A2502">
        <v>0</v>
      </c>
      <c r="B2502">
        <v>0</v>
      </c>
      <c r="C2502">
        <v>2</v>
      </c>
      <c r="D2502">
        <v>0</v>
      </c>
      <c r="E2502">
        <v>0</v>
      </c>
      <c r="F2502">
        <v>0</v>
      </c>
      <c r="G2502">
        <v>2006</v>
      </c>
      <c r="H2502">
        <v>0</v>
      </c>
      <c r="I2502">
        <v>0</v>
      </c>
    </row>
    <row r="2503" spans="1:9" x14ac:dyDescent="0.25">
      <c r="A2503">
        <v>0</v>
      </c>
      <c r="B2503">
        <v>1</v>
      </c>
      <c r="C2503">
        <v>3</v>
      </c>
      <c r="D2503">
        <v>0</v>
      </c>
      <c r="E2503">
        <v>0</v>
      </c>
      <c r="F2503">
        <v>0</v>
      </c>
      <c r="G2503">
        <v>2971</v>
      </c>
      <c r="H2503">
        <v>0</v>
      </c>
      <c r="I2503">
        <v>0</v>
      </c>
    </row>
    <row r="2504" spans="1:9" x14ac:dyDescent="0.25">
      <c r="A2504">
        <v>0</v>
      </c>
      <c r="B2504">
        <v>1</v>
      </c>
      <c r="C2504">
        <v>3</v>
      </c>
      <c r="D2504">
        <v>0</v>
      </c>
      <c r="E2504">
        <v>0</v>
      </c>
      <c r="F2504">
        <v>0</v>
      </c>
      <c r="G2504">
        <v>1484</v>
      </c>
      <c r="H2504">
        <v>0</v>
      </c>
      <c r="I2504">
        <v>0</v>
      </c>
    </row>
    <row r="2505" spans="1:9" x14ac:dyDescent="0.25">
      <c r="A2505">
        <v>0</v>
      </c>
      <c r="B2505">
        <v>0</v>
      </c>
      <c r="C2505">
        <v>2</v>
      </c>
      <c r="D2505">
        <v>0</v>
      </c>
      <c r="E2505">
        <v>0</v>
      </c>
      <c r="F2505">
        <v>0</v>
      </c>
      <c r="G2505">
        <v>1463</v>
      </c>
      <c r="H2505">
        <v>0</v>
      </c>
      <c r="I2505">
        <v>0</v>
      </c>
    </row>
    <row r="2506" spans="1:9" x14ac:dyDescent="0.25">
      <c r="A2506">
        <v>0</v>
      </c>
      <c r="B2506">
        <v>1</v>
      </c>
      <c r="C2506">
        <v>2</v>
      </c>
      <c r="D2506">
        <v>0</v>
      </c>
      <c r="E2506">
        <v>0</v>
      </c>
      <c r="F2506">
        <v>0</v>
      </c>
      <c r="G2506">
        <v>1070</v>
      </c>
      <c r="H2506">
        <v>0</v>
      </c>
      <c r="I2506">
        <v>0</v>
      </c>
    </row>
    <row r="2507" spans="1:9" x14ac:dyDescent="0.25">
      <c r="A2507">
        <v>0</v>
      </c>
      <c r="B2507">
        <v>1</v>
      </c>
      <c r="C2507">
        <v>3</v>
      </c>
      <c r="D2507">
        <v>0</v>
      </c>
      <c r="E2507">
        <v>0</v>
      </c>
      <c r="F2507">
        <v>0</v>
      </c>
      <c r="G2507">
        <v>2288</v>
      </c>
      <c r="H2507">
        <v>0</v>
      </c>
      <c r="I2507">
        <v>0</v>
      </c>
    </row>
    <row r="2508" spans="1:9" x14ac:dyDescent="0.25">
      <c r="A2508">
        <v>0</v>
      </c>
      <c r="B2508">
        <v>0</v>
      </c>
      <c r="C2508">
        <v>3</v>
      </c>
      <c r="D2508">
        <v>0</v>
      </c>
      <c r="E2508">
        <v>2</v>
      </c>
      <c r="F2508">
        <v>0</v>
      </c>
      <c r="G2508">
        <v>10652</v>
      </c>
      <c r="H2508">
        <v>0</v>
      </c>
      <c r="I2508">
        <v>0</v>
      </c>
    </row>
    <row r="2509" spans="1:9" x14ac:dyDescent="0.25">
      <c r="A2509">
        <v>0</v>
      </c>
      <c r="B2509">
        <v>1</v>
      </c>
      <c r="C2509">
        <v>3</v>
      </c>
      <c r="D2509">
        <v>0</v>
      </c>
      <c r="E2509">
        <v>0</v>
      </c>
      <c r="F2509">
        <v>0</v>
      </c>
      <c r="G2509">
        <v>2064</v>
      </c>
      <c r="H2509">
        <v>0</v>
      </c>
      <c r="I2509">
        <v>0</v>
      </c>
    </row>
    <row r="2510" spans="1:9" x14ac:dyDescent="0.25">
      <c r="A2510">
        <v>0</v>
      </c>
      <c r="B2510">
        <v>0</v>
      </c>
      <c r="C2510">
        <v>2</v>
      </c>
      <c r="D2510">
        <v>0</v>
      </c>
      <c r="E2510">
        <v>0</v>
      </c>
      <c r="F2510">
        <v>0</v>
      </c>
      <c r="G2510">
        <v>1045</v>
      </c>
      <c r="H2510">
        <v>0</v>
      </c>
      <c r="I2510">
        <v>0</v>
      </c>
    </row>
    <row r="2511" spans="1:9" x14ac:dyDescent="0.25">
      <c r="A2511">
        <v>0</v>
      </c>
      <c r="B2511">
        <v>0</v>
      </c>
      <c r="C2511">
        <v>3</v>
      </c>
      <c r="D2511">
        <v>0</v>
      </c>
      <c r="E2511">
        <v>0</v>
      </c>
      <c r="F2511">
        <v>0</v>
      </c>
      <c r="G2511">
        <v>1614</v>
      </c>
      <c r="H2511">
        <v>0</v>
      </c>
      <c r="I2511">
        <v>0</v>
      </c>
    </row>
    <row r="2512" spans="1:9" x14ac:dyDescent="0.25">
      <c r="A2512">
        <v>0</v>
      </c>
      <c r="B2512">
        <v>1</v>
      </c>
      <c r="C2512">
        <v>2</v>
      </c>
      <c r="D2512">
        <v>0</v>
      </c>
      <c r="E2512">
        <v>0</v>
      </c>
      <c r="F2512">
        <v>0</v>
      </c>
      <c r="G2512">
        <v>1045</v>
      </c>
      <c r="H2512">
        <v>0</v>
      </c>
      <c r="I2512">
        <v>0</v>
      </c>
    </row>
    <row r="2513" spans="1:9" x14ac:dyDescent="0.25">
      <c r="A2513">
        <v>0</v>
      </c>
      <c r="B2513">
        <v>1</v>
      </c>
      <c r="C2513">
        <v>2</v>
      </c>
      <c r="D2513">
        <v>0</v>
      </c>
      <c r="E2513">
        <v>0</v>
      </c>
      <c r="F2513">
        <v>0</v>
      </c>
      <c r="G2513">
        <v>1191</v>
      </c>
      <c r="H2513">
        <v>0</v>
      </c>
      <c r="I2513">
        <v>0</v>
      </c>
    </row>
    <row r="2514" spans="1:9" x14ac:dyDescent="0.25">
      <c r="A2514">
        <v>0</v>
      </c>
      <c r="B2514">
        <v>1</v>
      </c>
      <c r="C2514">
        <v>2</v>
      </c>
      <c r="D2514">
        <v>0</v>
      </c>
      <c r="E2514">
        <v>0</v>
      </c>
      <c r="F2514">
        <v>0</v>
      </c>
      <c r="G2514">
        <v>1191</v>
      </c>
      <c r="H2514">
        <v>0</v>
      </c>
      <c r="I2514">
        <v>0</v>
      </c>
    </row>
    <row r="2515" spans="1:9" x14ac:dyDescent="0.25">
      <c r="A2515">
        <v>0</v>
      </c>
      <c r="B2515">
        <v>0</v>
      </c>
      <c r="C2515">
        <v>2</v>
      </c>
      <c r="D2515">
        <v>0</v>
      </c>
      <c r="E2515">
        <v>0</v>
      </c>
      <c r="F2515">
        <v>0</v>
      </c>
      <c r="G2515">
        <v>1086</v>
      </c>
      <c r="H2515">
        <v>0</v>
      </c>
      <c r="I2515">
        <v>0</v>
      </c>
    </row>
    <row r="2516" spans="1:9" x14ac:dyDescent="0.25">
      <c r="A2516">
        <v>0</v>
      </c>
      <c r="B2516">
        <v>1</v>
      </c>
      <c r="C2516">
        <v>3</v>
      </c>
      <c r="D2516">
        <v>0</v>
      </c>
      <c r="E2516">
        <v>0</v>
      </c>
      <c r="F2516">
        <v>0</v>
      </c>
      <c r="G2516">
        <v>1614</v>
      </c>
      <c r="H2516">
        <v>0</v>
      </c>
      <c r="I2516">
        <v>0</v>
      </c>
    </row>
    <row r="2517" spans="1:9" x14ac:dyDescent="0.25">
      <c r="A2517">
        <v>0</v>
      </c>
      <c r="B2517">
        <v>1</v>
      </c>
      <c r="C2517">
        <v>2</v>
      </c>
      <c r="D2517">
        <v>0</v>
      </c>
      <c r="E2517">
        <v>0</v>
      </c>
      <c r="F2517">
        <v>0</v>
      </c>
      <c r="G2517">
        <v>1213</v>
      </c>
      <c r="H2517">
        <v>0</v>
      </c>
      <c r="I2517">
        <v>0</v>
      </c>
    </row>
    <row r="2518" spans="1:9" x14ac:dyDescent="0.25">
      <c r="A2518">
        <v>0</v>
      </c>
      <c r="B2518">
        <v>1</v>
      </c>
      <c r="C2518">
        <v>1</v>
      </c>
      <c r="D2518">
        <v>0</v>
      </c>
      <c r="E2518">
        <v>1</v>
      </c>
      <c r="F2518">
        <v>0</v>
      </c>
      <c r="G2518">
        <v>906</v>
      </c>
      <c r="H2518">
        <v>0</v>
      </c>
      <c r="I2518">
        <v>0</v>
      </c>
    </row>
    <row r="2519" spans="1:9" x14ac:dyDescent="0.25">
      <c r="A2519">
        <v>0</v>
      </c>
      <c r="B2519">
        <v>1</v>
      </c>
      <c r="C2519">
        <v>2</v>
      </c>
      <c r="D2519">
        <v>0</v>
      </c>
      <c r="E2519">
        <v>0</v>
      </c>
      <c r="F2519">
        <v>0</v>
      </c>
      <c r="G2519">
        <v>1388</v>
      </c>
      <c r="H2519">
        <v>0</v>
      </c>
      <c r="I2519">
        <v>0</v>
      </c>
    </row>
    <row r="2520" spans="1:9" x14ac:dyDescent="0.25">
      <c r="A2520">
        <v>0</v>
      </c>
      <c r="B2520">
        <v>0</v>
      </c>
      <c r="C2520">
        <v>0</v>
      </c>
      <c r="D2520">
        <v>1</v>
      </c>
      <c r="E2520">
        <v>0</v>
      </c>
      <c r="F2520">
        <v>0</v>
      </c>
      <c r="G2520">
        <v>1945</v>
      </c>
      <c r="H2520">
        <v>0</v>
      </c>
      <c r="I2520">
        <v>0</v>
      </c>
    </row>
    <row r="2521" spans="1:9" x14ac:dyDescent="0.25">
      <c r="A2521">
        <v>0</v>
      </c>
      <c r="B2521">
        <v>1</v>
      </c>
      <c r="C2521">
        <v>2</v>
      </c>
      <c r="D2521">
        <v>0</v>
      </c>
      <c r="E2521">
        <v>0</v>
      </c>
      <c r="F2521">
        <v>0</v>
      </c>
      <c r="G2521">
        <v>1602</v>
      </c>
      <c r="H2521">
        <v>0</v>
      </c>
      <c r="I2521">
        <v>0</v>
      </c>
    </row>
    <row r="2522" spans="1:9" x14ac:dyDescent="0.25">
      <c r="A2522">
        <v>0</v>
      </c>
      <c r="B2522">
        <v>1</v>
      </c>
      <c r="C2522">
        <v>2</v>
      </c>
      <c r="D2522">
        <v>0</v>
      </c>
      <c r="E2522">
        <v>0</v>
      </c>
      <c r="F2522">
        <v>0</v>
      </c>
      <c r="G2522">
        <v>1216</v>
      </c>
      <c r="H2522">
        <v>0</v>
      </c>
      <c r="I2522">
        <v>0</v>
      </c>
    </row>
    <row r="2523" spans="1:9" x14ac:dyDescent="0.25">
      <c r="A2523">
        <v>0</v>
      </c>
      <c r="B2523">
        <v>1</v>
      </c>
      <c r="C2523">
        <v>5</v>
      </c>
      <c r="D2523">
        <v>0</v>
      </c>
      <c r="E2523">
        <v>1</v>
      </c>
      <c r="F2523">
        <v>0</v>
      </c>
      <c r="G2523">
        <v>9287</v>
      </c>
      <c r="H2523">
        <v>0</v>
      </c>
      <c r="I2523">
        <v>0</v>
      </c>
    </row>
    <row r="2524" spans="1:9" x14ac:dyDescent="0.25">
      <c r="A2524">
        <v>0</v>
      </c>
      <c r="B2524">
        <v>1</v>
      </c>
      <c r="C2524">
        <v>18</v>
      </c>
      <c r="D2524">
        <v>0</v>
      </c>
      <c r="E2524">
        <v>0</v>
      </c>
      <c r="F2524">
        <v>0</v>
      </c>
      <c r="G2524">
        <v>27718</v>
      </c>
      <c r="H2524">
        <v>0</v>
      </c>
      <c r="I2524">
        <v>0</v>
      </c>
    </row>
    <row r="2525" spans="1:9" x14ac:dyDescent="0.25">
      <c r="A2525">
        <v>0</v>
      </c>
      <c r="B2525">
        <v>0</v>
      </c>
      <c r="C2525">
        <v>10</v>
      </c>
      <c r="D2525">
        <v>0</v>
      </c>
      <c r="E2525">
        <v>1</v>
      </c>
      <c r="F2525">
        <v>0</v>
      </c>
      <c r="G2525">
        <v>18858</v>
      </c>
      <c r="H2525">
        <v>0</v>
      </c>
      <c r="I2525">
        <v>0</v>
      </c>
    </row>
    <row r="2526" spans="1:9" x14ac:dyDescent="0.25">
      <c r="A2526">
        <v>0</v>
      </c>
      <c r="B2526">
        <v>1</v>
      </c>
      <c r="C2526">
        <v>2</v>
      </c>
      <c r="D2526">
        <v>0</v>
      </c>
      <c r="E2526">
        <v>0</v>
      </c>
      <c r="F2526">
        <v>0</v>
      </c>
      <c r="G2526">
        <v>1070</v>
      </c>
      <c r="H2526">
        <v>0</v>
      </c>
      <c r="I2526">
        <v>0</v>
      </c>
    </row>
    <row r="2527" spans="1:9" x14ac:dyDescent="0.25">
      <c r="A2527">
        <v>0</v>
      </c>
      <c r="B2527">
        <v>1</v>
      </c>
      <c r="C2527">
        <v>2</v>
      </c>
      <c r="D2527">
        <v>0</v>
      </c>
      <c r="E2527">
        <v>0</v>
      </c>
      <c r="F2527">
        <v>0</v>
      </c>
      <c r="G2527">
        <v>1045</v>
      </c>
      <c r="H2527">
        <v>0</v>
      </c>
      <c r="I2527">
        <v>0</v>
      </c>
    </row>
    <row r="2528" spans="1:9" x14ac:dyDescent="0.25">
      <c r="A2528">
        <v>0</v>
      </c>
      <c r="B2528">
        <v>0</v>
      </c>
      <c r="C2528">
        <v>5</v>
      </c>
      <c r="D2528">
        <v>0</v>
      </c>
      <c r="E2528">
        <v>2</v>
      </c>
      <c r="F2528">
        <v>0</v>
      </c>
      <c r="G2528">
        <v>9898</v>
      </c>
      <c r="H2528">
        <v>0</v>
      </c>
      <c r="I2528">
        <v>0</v>
      </c>
    </row>
    <row r="2529" spans="1:9" x14ac:dyDescent="0.25">
      <c r="A2529">
        <v>0</v>
      </c>
      <c r="B2529">
        <v>1</v>
      </c>
      <c r="C2529">
        <v>7</v>
      </c>
      <c r="D2529">
        <v>0</v>
      </c>
      <c r="E2529">
        <v>0</v>
      </c>
      <c r="F2529">
        <v>0</v>
      </c>
      <c r="G2529">
        <v>17960</v>
      </c>
      <c r="H2529">
        <v>0</v>
      </c>
      <c r="I2529">
        <v>0</v>
      </c>
    </row>
    <row r="2530" spans="1:9" x14ac:dyDescent="0.25">
      <c r="A2530">
        <v>0</v>
      </c>
      <c r="B2530">
        <v>1</v>
      </c>
      <c r="C2530">
        <v>3</v>
      </c>
      <c r="D2530">
        <v>0</v>
      </c>
      <c r="E2530">
        <v>0</v>
      </c>
      <c r="F2530">
        <v>0</v>
      </c>
      <c r="G2530">
        <v>1468</v>
      </c>
      <c r="H2530">
        <v>0</v>
      </c>
      <c r="I2530">
        <v>0</v>
      </c>
    </row>
    <row r="2531" spans="1:9" x14ac:dyDescent="0.25">
      <c r="A2531">
        <v>0</v>
      </c>
      <c r="B2531">
        <v>0</v>
      </c>
      <c r="C2531">
        <v>2</v>
      </c>
      <c r="D2531">
        <v>0</v>
      </c>
      <c r="E2531">
        <v>0</v>
      </c>
      <c r="F2531">
        <v>0</v>
      </c>
      <c r="G2531">
        <v>1191</v>
      </c>
      <c r="H2531">
        <v>0</v>
      </c>
      <c r="I2531">
        <v>0</v>
      </c>
    </row>
    <row r="2532" spans="1:9" x14ac:dyDescent="0.25">
      <c r="A2532">
        <v>0</v>
      </c>
      <c r="B2532">
        <v>1</v>
      </c>
      <c r="C2532">
        <v>1</v>
      </c>
      <c r="D2532">
        <v>0</v>
      </c>
      <c r="E2532">
        <v>0</v>
      </c>
      <c r="F2532">
        <v>0</v>
      </c>
      <c r="G2532">
        <v>1128</v>
      </c>
      <c r="H2532">
        <v>0</v>
      </c>
      <c r="I2532">
        <v>0</v>
      </c>
    </row>
    <row r="2533" spans="1:9" x14ac:dyDescent="0.25">
      <c r="A2533">
        <v>0</v>
      </c>
      <c r="B2533">
        <v>1</v>
      </c>
      <c r="C2533">
        <v>3</v>
      </c>
      <c r="D2533">
        <v>1</v>
      </c>
      <c r="E2533">
        <v>0</v>
      </c>
      <c r="F2533">
        <v>0</v>
      </c>
      <c r="G2533">
        <v>5918</v>
      </c>
      <c r="H2533">
        <v>0</v>
      </c>
      <c r="I2533">
        <v>0</v>
      </c>
    </row>
    <row r="2534" spans="1:9" x14ac:dyDescent="0.25">
      <c r="A2534">
        <v>0</v>
      </c>
      <c r="B2534">
        <v>1</v>
      </c>
      <c r="C2534">
        <v>2</v>
      </c>
      <c r="D2534">
        <v>0</v>
      </c>
      <c r="E2534">
        <v>0</v>
      </c>
      <c r="F2534">
        <v>0</v>
      </c>
      <c r="G2534">
        <v>1329</v>
      </c>
      <c r="H2534">
        <v>0</v>
      </c>
      <c r="I2534">
        <v>0</v>
      </c>
    </row>
    <row r="2535" spans="1:9" x14ac:dyDescent="0.25">
      <c r="A2535">
        <v>0</v>
      </c>
      <c r="B2535">
        <v>1</v>
      </c>
      <c r="C2535">
        <v>62</v>
      </c>
      <c r="D2535">
        <v>1</v>
      </c>
      <c r="E2535">
        <v>0</v>
      </c>
      <c r="F2535">
        <v>0</v>
      </c>
      <c r="G2535">
        <v>147092</v>
      </c>
      <c r="H2535">
        <v>0</v>
      </c>
      <c r="I2535">
        <v>0</v>
      </c>
    </row>
    <row r="2536" spans="1:9" x14ac:dyDescent="0.25">
      <c r="A2536">
        <v>0</v>
      </c>
      <c r="B2536">
        <v>0</v>
      </c>
      <c r="C2536">
        <v>2</v>
      </c>
      <c r="D2536">
        <v>1</v>
      </c>
      <c r="E2536">
        <v>0</v>
      </c>
      <c r="F2536">
        <v>0</v>
      </c>
      <c r="G2536">
        <v>1045</v>
      </c>
      <c r="H2536">
        <v>0</v>
      </c>
      <c r="I2536">
        <v>0</v>
      </c>
    </row>
    <row r="2537" spans="1:9" x14ac:dyDescent="0.25">
      <c r="A2537">
        <v>0</v>
      </c>
      <c r="B2537">
        <v>0</v>
      </c>
      <c r="C2537">
        <v>2</v>
      </c>
      <c r="D2537">
        <v>0</v>
      </c>
      <c r="E2537">
        <v>0</v>
      </c>
      <c r="F2537">
        <v>0</v>
      </c>
      <c r="G2537">
        <v>1308</v>
      </c>
      <c r="H2537">
        <v>0</v>
      </c>
      <c r="I2537">
        <v>0</v>
      </c>
    </row>
    <row r="2538" spans="1:9" x14ac:dyDescent="0.25">
      <c r="A2538">
        <v>0</v>
      </c>
      <c r="B2538">
        <v>0</v>
      </c>
      <c r="C2538">
        <v>3</v>
      </c>
      <c r="D2538">
        <v>0</v>
      </c>
      <c r="E2538">
        <v>0</v>
      </c>
      <c r="F2538">
        <v>0</v>
      </c>
      <c r="G2538">
        <v>2019</v>
      </c>
      <c r="H2538">
        <v>0</v>
      </c>
      <c r="I2538">
        <v>0</v>
      </c>
    </row>
    <row r="2539" spans="1:9" x14ac:dyDescent="0.25">
      <c r="A2539">
        <v>0</v>
      </c>
      <c r="B2539">
        <v>0</v>
      </c>
      <c r="C2539">
        <v>3</v>
      </c>
      <c r="D2539">
        <v>0</v>
      </c>
      <c r="E2539">
        <v>0</v>
      </c>
      <c r="F2539">
        <v>0</v>
      </c>
      <c r="G2539">
        <v>2815</v>
      </c>
      <c r="H2539">
        <v>0</v>
      </c>
      <c r="I2539">
        <v>0</v>
      </c>
    </row>
    <row r="2540" spans="1:9" x14ac:dyDescent="0.25">
      <c r="A2540">
        <v>0</v>
      </c>
      <c r="B2540">
        <v>1</v>
      </c>
      <c r="C2540">
        <v>2</v>
      </c>
      <c r="D2540">
        <v>0</v>
      </c>
      <c r="E2540">
        <v>0</v>
      </c>
      <c r="F2540">
        <v>0</v>
      </c>
      <c r="G2540">
        <v>1045</v>
      </c>
      <c r="H2540">
        <v>0</v>
      </c>
      <c r="I2540">
        <v>0</v>
      </c>
    </row>
    <row r="2541" spans="1:9" x14ac:dyDescent="0.25">
      <c r="A2541">
        <v>0</v>
      </c>
      <c r="B2541">
        <v>1</v>
      </c>
      <c r="C2541">
        <v>2</v>
      </c>
      <c r="D2541">
        <v>0</v>
      </c>
      <c r="E2541">
        <v>0</v>
      </c>
      <c r="F2541">
        <v>0</v>
      </c>
      <c r="G2541">
        <v>1045</v>
      </c>
      <c r="H2541">
        <v>0</v>
      </c>
      <c r="I2541">
        <v>0</v>
      </c>
    </row>
    <row r="2542" spans="1:9" x14ac:dyDescent="0.25">
      <c r="A2542">
        <v>0</v>
      </c>
      <c r="B2542">
        <v>1</v>
      </c>
      <c r="C2542">
        <v>2</v>
      </c>
      <c r="D2542">
        <v>0</v>
      </c>
      <c r="E2542">
        <v>0</v>
      </c>
      <c r="F2542">
        <v>0</v>
      </c>
      <c r="G2542">
        <v>1070</v>
      </c>
      <c r="H2542">
        <v>0</v>
      </c>
      <c r="I2542">
        <v>0</v>
      </c>
    </row>
    <row r="2543" spans="1:9" x14ac:dyDescent="0.25">
      <c r="A2543">
        <v>0</v>
      </c>
      <c r="B2543">
        <v>0</v>
      </c>
      <c r="C2543">
        <v>2</v>
      </c>
      <c r="D2543">
        <v>0</v>
      </c>
      <c r="E2543">
        <v>0</v>
      </c>
      <c r="F2543">
        <v>0</v>
      </c>
      <c r="G2543">
        <v>1216</v>
      </c>
      <c r="H2543">
        <v>0</v>
      </c>
      <c r="I2543">
        <v>0</v>
      </c>
    </row>
    <row r="2544" spans="1:9" x14ac:dyDescent="0.25">
      <c r="A2544">
        <v>0</v>
      </c>
      <c r="B2544">
        <v>1</v>
      </c>
      <c r="C2544">
        <v>2</v>
      </c>
      <c r="D2544">
        <v>0</v>
      </c>
      <c r="E2544">
        <v>0</v>
      </c>
      <c r="F2544">
        <v>0</v>
      </c>
      <c r="G2544">
        <v>1191</v>
      </c>
      <c r="H2544">
        <v>0</v>
      </c>
      <c r="I2544">
        <v>0</v>
      </c>
    </row>
    <row r="2545" spans="1:9" x14ac:dyDescent="0.25">
      <c r="A2545">
        <v>0</v>
      </c>
      <c r="B2545">
        <v>1</v>
      </c>
      <c r="C2545">
        <v>2</v>
      </c>
      <c r="D2545">
        <v>0</v>
      </c>
      <c r="E2545">
        <v>0</v>
      </c>
      <c r="F2545">
        <v>0</v>
      </c>
      <c r="G2545">
        <v>1045</v>
      </c>
      <c r="H2545">
        <v>0</v>
      </c>
      <c r="I2545">
        <v>0</v>
      </c>
    </row>
    <row r="2546" spans="1:9" x14ac:dyDescent="0.25">
      <c r="A2546">
        <v>0</v>
      </c>
      <c r="B2546">
        <v>1</v>
      </c>
      <c r="C2546">
        <v>2</v>
      </c>
      <c r="D2546">
        <v>0</v>
      </c>
      <c r="E2546">
        <v>0</v>
      </c>
      <c r="F2546">
        <v>0</v>
      </c>
      <c r="G2546">
        <v>1665</v>
      </c>
      <c r="H2546">
        <v>0</v>
      </c>
      <c r="I2546">
        <v>0</v>
      </c>
    </row>
    <row r="2547" spans="1:9" x14ac:dyDescent="0.25">
      <c r="A2547">
        <v>0</v>
      </c>
      <c r="B2547">
        <v>1</v>
      </c>
      <c r="C2547">
        <v>2</v>
      </c>
      <c r="D2547">
        <v>0</v>
      </c>
      <c r="E2547">
        <v>0</v>
      </c>
      <c r="F2547">
        <v>0</v>
      </c>
      <c r="G2547">
        <v>1213</v>
      </c>
      <c r="H2547">
        <v>0</v>
      </c>
      <c r="I2547">
        <v>0</v>
      </c>
    </row>
    <row r="2548" spans="1:9" x14ac:dyDescent="0.25">
      <c r="A2548">
        <v>0</v>
      </c>
      <c r="B2548">
        <v>1</v>
      </c>
      <c r="C2548">
        <v>2</v>
      </c>
      <c r="D2548">
        <v>0</v>
      </c>
      <c r="E2548">
        <v>0</v>
      </c>
      <c r="F2548">
        <v>0</v>
      </c>
      <c r="G2548">
        <v>1740</v>
      </c>
      <c r="H2548">
        <v>0</v>
      </c>
      <c r="I2548">
        <v>0</v>
      </c>
    </row>
    <row r="2549" spans="1:9" x14ac:dyDescent="0.25">
      <c r="A2549">
        <v>0</v>
      </c>
      <c r="B2549">
        <v>1</v>
      </c>
      <c r="C2549">
        <v>2</v>
      </c>
      <c r="D2549">
        <v>0</v>
      </c>
      <c r="E2549">
        <v>0</v>
      </c>
      <c r="F2549">
        <v>0</v>
      </c>
      <c r="G2549">
        <v>1191</v>
      </c>
      <c r="H2549">
        <v>0</v>
      </c>
      <c r="I2549">
        <v>0</v>
      </c>
    </row>
    <row r="2550" spans="1:9" x14ac:dyDescent="0.25">
      <c r="A2550">
        <v>0</v>
      </c>
      <c r="B2550">
        <v>0</v>
      </c>
      <c r="C2550">
        <v>3</v>
      </c>
      <c r="D2550">
        <v>0</v>
      </c>
      <c r="E2550">
        <v>2</v>
      </c>
      <c r="F2550">
        <v>0</v>
      </c>
      <c r="G2550">
        <v>7131</v>
      </c>
      <c r="H2550">
        <v>0</v>
      </c>
      <c r="I2550">
        <v>0</v>
      </c>
    </row>
    <row r="2551" spans="1:9" x14ac:dyDescent="0.25">
      <c r="A2551">
        <v>0</v>
      </c>
      <c r="B2551">
        <v>1</v>
      </c>
      <c r="C2551">
        <v>2</v>
      </c>
      <c r="D2551">
        <v>0</v>
      </c>
      <c r="E2551">
        <v>0</v>
      </c>
      <c r="F2551">
        <v>0</v>
      </c>
      <c r="G2551">
        <v>1045</v>
      </c>
      <c r="H2551">
        <v>0</v>
      </c>
      <c r="I2551">
        <v>0</v>
      </c>
    </row>
    <row r="2552" spans="1:9" x14ac:dyDescent="0.25">
      <c r="A2552">
        <v>0</v>
      </c>
      <c r="B2552">
        <v>1</v>
      </c>
      <c r="C2552">
        <v>2</v>
      </c>
      <c r="D2552">
        <v>0</v>
      </c>
      <c r="E2552">
        <v>0</v>
      </c>
      <c r="F2552">
        <v>0</v>
      </c>
      <c r="G2552">
        <v>1342</v>
      </c>
      <c r="H2552">
        <v>0</v>
      </c>
      <c r="I2552">
        <v>0</v>
      </c>
    </row>
    <row r="2553" spans="1:9" x14ac:dyDescent="0.25">
      <c r="A2553">
        <v>0</v>
      </c>
      <c r="B2553">
        <v>1</v>
      </c>
      <c r="C2553">
        <v>3</v>
      </c>
      <c r="D2553">
        <v>0</v>
      </c>
      <c r="E2553">
        <v>0</v>
      </c>
      <c r="F2553">
        <v>0</v>
      </c>
      <c r="G2553">
        <v>2433</v>
      </c>
      <c r="H2553">
        <v>0</v>
      </c>
      <c r="I2553">
        <v>0</v>
      </c>
    </row>
    <row r="2554" spans="1:9" x14ac:dyDescent="0.25">
      <c r="A2554">
        <v>0</v>
      </c>
      <c r="B2554">
        <v>0</v>
      </c>
      <c r="C2554">
        <v>2</v>
      </c>
      <c r="D2554">
        <v>0</v>
      </c>
      <c r="E2554">
        <v>1</v>
      </c>
      <c r="F2554">
        <v>0</v>
      </c>
      <c r="G2554">
        <v>2402</v>
      </c>
      <c r="H2554">
        <v>1</v>
      </c>
      <c r="I2554">
        <v>0</v>
      </c>
    </row>
    <row r="2555" spans="1:9" x14ac:dyDescent="0.25">
      <c r="A2555">
        <v>0</v>
      </c>
      <c r="B2555">
        <v>0</v>
      </c>
      <c r="C2555">
        <v>2</v>
      </c>
      <c r="D2555">
        <v>0</v>
      </c>
      <c r="E2555">
        <v>1</v>
      </c>
      <c r="F2555">
        <v>0</v>
      </c>
      <c r="G2555">
        <v>2154</v>
      </c>
      <c r="H2555">
        <v>1</v>
      </c>
      <c r="I2555">
        <v>0</v>
      </c>
    </row>
    <row r="2556" spans="1:9" x14ac:dyDescent="0.25">
      <c r="A2556">
        <v>0</v>
      </c>
      <c r="B2556">
        <v>0</v>
      </c>
      <c r="C2556">
        <v>2</v>
      </c>
      <c r="D2556">
        <v>0</v>
      </c>
      <c r="E2556">
        <v>1</v>
      </c>
      <c r="F2556">
        <v>0</v>
      </c>
      <c r="G2556">
        <v>2243</v>
      </c>
      <c r="H2556">
        <v>1</v>
      </c>
      <c r="I2556">
        <v>0</v>
      </c>
    </row>
    <row r="2557" spans="1:9" x14ac:dyDescent="0.25">
      <c r="A2557">
        <v>0</v>
      </c>
      <c r="B2557">
        <v>0</v>
      </c>
      <c r="C2557">
        <v>4</v>
      </c>
      <c r="D2557">
        <v>0</v>
      </c>
      <c r="E2557">
        <v>2</v>
      </c>
      <c r="F2557">
        <v>0</v>
      </c>
      <c r="G2557">
        <v>4265</v>
      </c>
      <c r="H2557">
        <v>1</v>
      </c>
      <c r="I2557">
        <v>0</v>
      </c>
    </row>
    <row r="2558" spans="1:9" x14ac:dyDescent="0.25">
      <c r="A2558">
        <v>0</v>
      </c>
      <c r="B2558">
        <v>0</v>
      </c>
      <c r="C2558">
        <v>2</v>
      </c>
      <c r="D2558">
        <v>0</v>
      </c>
      <c r="E2558">
        <v>1</v>
      </c>
      <c r="F2558">
        <v>0</v>
      </c>
      <c r="G2558">
        <v>1304</v>
      </c>
      <c r="H2558">
        <v>1</v>
      </c>
      <c r="I2558">
        <v>0</v>
      </c>
    </row>
    <row r="2559" spans="1:9" x14ac:dyDescent="0.25">
      <c r="A2559">
        <v>0</v>
      </c>
      <c r="B2559">
        <v>0</v>
      </c>
      <c r="C2559">
        <v>2</v>
      </c>
      <c r="D2559">
        <v>0</v>
      </c>
      <c r="E2559">
        <v>1</v>
      </c>
      <c r="F2559">
        <v>0</v>
      </c>
      <c r="G2559">
        <v>1374</v>
      </c>
      <c r="H2559">
        <v>1</v>
      </c>
      <c r="I2559">
        <v>0</v>
      </c>
    </row>
    <row r="2560" spans="1:9" x14ac:dyDescent="0.25">
      <c r="A2560">
        <v>0</v>
      </c>
      <c r="B2560">
        <v>0</v>
      </c>
      <c r="C2560">
        <v>2</v>
      </c>
      <c r="D2560">
        <v>0</v>
      </c>
      <c r="E2560">
        <v>1</v>
      </c>
      <c r="F2560">
        <v>0</v>
      </c>
      <c r="G2560">
        <v>1478</v>
      </c>
      <c r="H2560">
        <v>1</v>
      </c>
      <c r="I2560">
        <v>0</v>
      </c>
    </row>
    <row r="2561" spans="1:9" x14ac:dyDescent="0.25">
      <c r="A2561">
        <v>0</v>
      </c>
      <c r="B2561">
        <v>0</v>
      </c>
      <c r="C2561">
        <v>2</v>
      </c>
      <c r="D2561">
        <v>0</v>
      </c>
      <c r="E2561">
        <v>1</v>
      </c>
      <c r="F2561">
        <v>0</v>
      </c>
      <c r="G2561">
        <v>1391</v>
      </c>
      <c r="H2561">
        <v>1</v>
      </c>
      <c r="I2561">
        <v>0</v>
      </c>
    </row>
    <row r="2562" spans="1:9" x14ac:dyDescent="0.25">
      <c r="A2562">
        <v>0</v>
      </c>
      <c r="B2562">
        <v>0</v>
      </c>
      <c r="C2562">
        <v>2</v>
      </c>
      <c r="D2562">
        <v>0</v>
      </c>
      <c r="E2562">
        <v>1</v>
      </c>
      <c r="F2562">
        <v>0</v>
      </c>
      <c r="G2562">
        <v>1517</v>
      </c>
      <c r="H2562">
        <v>1</v>
      </c>
      <c r="I2562">
        <v>0</v>
      </c>
    </row>
    <row r="2563" spans="1:9" x14ac:dyDescent="0.25">
      <c r="A2563">
        <v>0</v>
      </c>
      <c r="B2563">
        <v>0</v>
      </c>
      <c r="C2563">
        <v>2</v>
      </c>
      <c r="D2563">
        <v>0</v>
      </c>
      <c r="E2563">
        <v>1</v>
      </c>
      <c r="F2563">
        <v>0</v>
      </c>
      <c r="G2563">
        <v>1391</v>
      </c>
      <c r="H2563">
        <v>1</v>
      </c>
      <c r="I2563">
        <v>0</v>
      </c>
    </row>
    <row r="2564" spans="1:9" x14ac:dyDescent="0.25">
      <c r="A2564">
        <v>0</v>
      </c>
      <c r="B2564">
        <v>0</v>
      </c>
      <c r="C2564">
        <v>2</v>
      </c>
      <c r="D2564">
        <v>0</v>
      </c>
      <c r="E2564">
        <v>1</v>
      </c>
      <c r="F2564">
        <v>0</v>
      </c>
      <c r="G2564">
        <v>1391</v>
      </c>
      <c r="H2564">
        <v>1</v>
      </c>
      <c r="I2564">
        <v>0</v>
      </c>
    </row>
    <row r="2565" spans="1:9" x14ac:dyDescent="0.25">
      <c r="A2565">
        <v>0</v>
      </c>
      <c r="B2565">
        <v>0</v>
      </c>
      <c r="C2565">
        <v>2</v>
      </c>
      <c r="D2565">
        <v>0</v>
      </c>
      <c r="E2565">
        <v>1</v>
      </c>
      <c r="F2565">
        <v>0</v>
      </c>
      <c r="G2565">
        <v>1391</v>
      </c>
      <c r="H2565">
        <v>1</v>
      </c>
      <c r="I2565">
        <v>0</v>
      </c>
    </row>
    <row r="2566" spans="1:9" x14ac:dyDescent="0.25">
      <c r="A2566">
        <v>0</v>
      </c>
      <c r="B2566">
        <v>0</v>
      </c>
      <c r="C2566">
        <v>7</v>
      </c>
      <c r="D2566">
        <v>0</v>
      </c>
      <c r="E2566">
        <v>1</v>
      </c>
      <c r="F2566">
        <v>0</v>
      </c>
      <c r="G2566">
        <v>10869</v>
      </c>
      <c r="H2566">
        <v>1</v>
      </c>
      <c r="I2566">
        <v>0</v>
      </c>
    </row>
    <row r="2567" spans="1:9" x14ac:dyDescent="0.25">
      <c r="A2567">
        <v>0</v>
      </c>
      <c r="B2567">
        <v>0</v>
      </c>
      <c r="C2567">
        <v>11</v>
      </c>
      <c r="D2567">
        <v>0</v>
      </c>
      <c r="E2567">
        <v>4</v>
      </c>
      <c r="F2567">
        <v>0</v>
      </c>
      <c r="G2567">
        <v>21669</v>
      </c>
      <c r="H2567">
        <v>1</v>
      </c>
      <c r="I2567">
        <v>0</v>
      </c>
    </row>
    <row r="2568" spans="1:9" x14ac:dyDescent="0.25">
      <c r="A2568">
        <v>0</v>
      </c>
      <c r="B2568">
        <v>0</v>
      </c>
      <c r="C2568">
        <v>2</v>
      </c>
      <c r="D2568">
        <v>0</v>
      </c>
      <c r="E2568">
        <v>1</v>
      </c>
      <c r="F2568">
        <v>0</v>
      </c>
      <c r="G2568">
        <v>1452</v>
      </c>
      <c r="H2568">
        <v>1</v>
      </c>
      <c r="I2568">
        <v>0</v>
      </c>
    </row>
    <row r="2569" spans="1:9" x14ac:dyDescent="0.25">
      <c r="A2569">
        <v>0</v>
      </c>
      <c r="B2569">
        <v>0</v>
      </c>
      <c r="C2569">
        <v>2</v>
      </c>
      <c r="D2569">
        <v>1</v>
      </c>
      <c r="E2569">
        <v>1</v>
      </c>
      <c r="F2569">
        <v>0</v>
      </c>
      <c r="G2569">
        <v>1416</v>
      </c>
      <c r="H2569">
        <v>1</v>
      </c>
      <c r="I2569">
        <v>0</v>
      </c>
    </row>
    <row r="2570" spans="1:9" x14ac:dyDescent="0.25">
      <c r="A2570">
        <v>0</v>
      </c>
      <c r="B2570">
        <v>0</v>
      </c>
      <c r="C2570">
        <v>2</v>
      </c>
      <c r="D2570">
        <v>0</v>
      </c>
      <c r="E2570">
        <v>1</v>
      </c>
      <c r="F2570">
        <v>0</v>
      </c>
      <c r="G2570">
        <v>1245</v>
      </c>
      <c r="H2570">
        <v>1</v>
      </c>
      <c r="I2570">
        <v>0</v>
      </c>
    </row>
    <row r="2571" spans="1:9" x14ac:dyDescent="0.25">
      <c r="A2571">
        <v>0</v>
      </c>
      <c r="B2571">
        <v>0</v>
      </c>
      <c r="C2571">
        <v>3</v>
      </c>
      <c r="D2571">
        <v>0</v>
      </c>
      <c r="E2571">
        <v>1</v>
      </c>
      <c r="F2571">
        <v>0</v>
      </c>
      <c r="G2571">
        <v>1776</v>
      </c>
      <c r="H2571">
        <v>1</v>
      </c>
      <c r="I2571">
        <v>0</v>
      </c>
    </row>
    <row r="2572" spans="1:9" x14ac:dyDescent="0.25">
      <c r="A2572">
        <v>0</v>
      </c>
      <c r="B2572">
        <v>0</v>
      </c>
      <c r="C2572">
        <v>2</v>
      </c>
      <c r="D2572">
        <v>0</v>
      </c>
      <c r="E2572">
        <v>1</v>
      </c>
      <c r="F2572">
        <v>0</v>
      </c>
      <c r="G2572">
        <v>1362</v>
      </c>
      <c r="H2572">
        <v>1</v>
      </c>
      <c r="I2572">
        <v>0</v>
      </c>
    </row>
    <row r="2573" spans="1:9" x14ac:dyDescent="0.25">
      <c r="A2573">
        <v>0</v>
      </c>
      <c r="B2573">
        <v>0</v>
      </c>
      <c r="C2573">
        <v>2</v>
      </c>
      <c r="D2573">
        <v>0</v>
      </c>
      <c r="E2573">
        <v>1</v>
      </c>
      <c r="F2573">
        <v>0</v>
      </c>
      <c r="G2573">
        <v>1337</v>
      </c>
      <c r="H2573">
        <v>1</v>
      </c>
      <c r="I2573">
        <v>0</v>
      </c>
    </row>
    <row r="2574" spans="1:9" x14ac:dyDescent="0.25">
      <c r="A2574">
        <v>0</v>
      </c>
      <c r="B2574">
        <v>0</v>
      </c>
      <c r="C2574">
        <v>3</v>
      </c>
      <c r="D2574">
        <v>0</v>
      </c>
      <c r="E2574">
        <v>1</v>
      </c>
      <c r="F2574">
        <v>0</v>
      </c>
      <c r="G2574">
        <v>1668</v>
      </c>
      <c r="H2574">
        <v>1</v>
      </c>
      <c r="I2574">
        <v>0</v>
      </c>
    </row>
    <row r="2575" spans="1:9" x14ac:dyDescent="0.25">
      <c r="A2575">
        <v>0</v>
      </c>
      <c r="B2575">
        <v>0</v>
      </c>
      <c r="C2575">
        <v>2</v>
      </c>
      <c r="D2575">
        <v>0</v>
      </c>
      <c r="E2575">
        <v>1</v>
      </c>
      <c r="F2575">
        <v>0</v>
      </c>
      <c r="G2575">
        <v>1245</v>
      </c>
      <c r="H2575">
        <v>1</v>
      </c>
      <c r="I2575">
        <v>0</v>
      </c>
    </row>
    <row r="2576" spans="1:9" x14ac:dyDescent="0.25">
      <c r="A2576">
        <v>0</v>
      </c>
      <c r="B2576">
        <v>0</v>
      </c>
      <c r="C2576">
        <v>2</v>
      </c>
      <c r="D2576">
        <v>0</v>
      </c>
      <c r="E2576">
        <v>1</v>
      </c>
      <c r="F2576">
        <v>0</v>
      </c>
      <c r="G2576">
        <v>1740</v>
      </c>
      <c r="H2576">
        <v>1</v>
      </c>
      <c r="I2576">
        <v>0</v>
      </c>
    </row>
    <row r="2577" spans="1:9" x14ac:dyDescent="0.25">
      <c r="A2577">
        <v>0</v>
      </c>
      <c r="B2577">
        <v>0</v>
      </c>
      <c r="C2577">
        <v>2</v>
      </c>
      <c r="D2577">
        <v>0</v>
      </c>
      <c r="E2577">
        <v>1</v>
      </c>
      <c r="F2577">
        <v>0</v>
      </c>
      <c r="G2577">
        <v>1517</v>
      </c>
      <c r="H2577">
        <v>1</v>
      </c>
      <c r="I2577">
        <v>0</v>
      </c>
    </row>
    <row r="2578" spans="1:9" x14ac:dyDescent="0.25">
      <c r="A2578">
        <v>0</v>
      </c>
      <c r="B2578">
        <v>0</v>
      </c>
      <c r="C2578">
        <v>3</v>
      </c>
      <c r="D2578">
        <v>0</v>
      </c>
      <c r="E2578">
        <v>1</v>
      </c>
      <c r="F2578">
        <v>0</v>
      </c>
      <c r="G2578">
        <v>1814</v>
      </c>
      <c r="H2578">
        <v>1</v>
      </c>
      <c r="I2578">
        <v>0</v>
      </c>
    </row>
    <row r="2579" spans="1:9" x14ac:dyDescent="0.25">
      <c r="A2579">
        <v>0</v>
      </c>
      <c r="B2579">
        <v>0</v>
      </c>
      <c r="C2579">
        <v>5</v>
      </c>
      <c r="D2579">
        <v>0</v>
      </c>
      <c r="E2579">
        <v>1</v>
      </c>
      <c r="F2579">
        <v>0</v>
      </c>
      <c r="G2579">
        <v>11068</v>
      </c>
      <c r="H2579">
        <v>1</v>
      </c>
      <c r="I2579">
        <v>0</v>
      </c>
    </row>
    <row r="2580" spans="1:9" x14ac:dyDescent="0.25">
      <c r="A2580">
        <v>0</v>
      </c>
      <c r="B2580">
        <v>0</v>
      </c>
      <c r="C2580">
        <v>2</v>
      </c>
      <c r="D2580">
        <v>0</v>
      </c>
      <c r="E2580">
        <v>1</v>
      </c>
      <c r="F2580">
        <v>0</v>
      </c>
      <c r="G2580">
        <v>1888</v>
      </c>
      <c r="H2580">
        <v>1</v>
      </c>
      <c r="I2580">
        <v>0</v>
      </c>
    </row>
    <row r="2581" spans="1:9" x14ac:dyDescent="0.25">
      <c r="A2581">
        <v>0</v>
      </c>
      <c r="B2581">
        <v>0</v>
      </c>
      <c r="C2581">
        <v>2</v>
      </c>
      <c r="D2581">
        <v>0</v>
      </c>
      <c r="E2581">
        <v>1</v>
      </c>
      <c r="F2581">
        <v>0</v>
      </c>
      <c r="G2581">
        <v>5270</v>
      </c>
      <c r="H2581">
        <v>1</v>
      </c>
      <c r="I2581">
        <v>0</v>
      </c>
    </row>
    <row r="2582" spans="1:9" x14ac:dyDescent="0.25">
      <c r="A2582">
        <v>0</v>
      </c>
      <c r="B2582">
        <v>0</v>
      </c>
      <c r="C2582">
        <v>2</v>
      </c>
      <c r="D2582">
        <v>0</v>
      </c>
      <c r="E2582">
        <v>1</v>
      </c>
      <c r="F2582">
        <v>0</v>
      </c>
      <c r="G2582">
        <v>1866</v>
      </c>
      <c r="H2582">
        <v>1</v>
      </c>
      <c r="I2582">
        <v>0</v>
      </c>
    </row>
    <row r="2583" spans="1:9" x14ac:dyDescent="0.25">
      <c r="A2583">
        <v>0</v>
      </c>
      <c r="B2583">
        <v>0</v>
      </c>
      <c r="C2583">
        <v>4</v>
      </c>
      <c r="D2583">
        <v>0</v>
      </c>
      <c r="E2583">
        <v>1</v>
      </c>
      <c r="F2583">
        <v>0</v>
      </c>
      <c r="G2583">
        <v>2237</v>
      </c>
      <c r="H2583">
        <v>1</v>
      </c>
      <c r="I2583">
        <v>0</v>
      </c>
    </row>
    <row r="2584" spans="1:9" x14ac:dyDescent="0.25">
      <c r="A2584">
        <v>101</v>
      </c>
      <c r="B2584">
        <v>1</v>
      </c>
      <c r="C2584">
        <v>4</v>
      </c>
      <c r="D2584">
        <v>3</v>
      </c>
      <c r="E2584">
        <v>2</v>
      </c>
      <c r="F2584">
        <v>1</v>
      </c>
      <c r="G2584">
        <v>20136</v>
      </c>
      <c r="H2584">
        <v>1</v>
      </c>
      <c r="I2584">
        <v>1</v>
      </c>
    </row>
    <row r="2585" spans="1:9" x14ac:dyDescent="0.25">
      <c r="A2585">
        <v>98</v>
      </c>
      <c r="B2585">
        <v>1</v>
      </c>
      <c r="C2585">
        <v>2</v>
      </c>
      <c r="D2585">
        <v>4</v>
      </c>
      <c r="E2585">
        <v>0</v>
      </c>
      <c r="F2585">
        <v>1</v>
      </c>
      <c r="G2585">
        <v>14387</v>
      </c>
      <c r="H2585">
        <v>0</v>
      </c>
      <c r="I2585">
        <v>1</v>
      </c>
    </row>
    <row r="2586" spans="1:9" x14ac:dyDescent="0.25">
      <c r="A2586">
        <v>98</v>
      </c>
      <c r="B2586">
        <v>1</v>
      </c>
      <c r="C2586">
        <v>9</v>
      </c>
      <c r="D2586">
        <v>3</v>
      </c>
      <c r="E2586">
        <v>5</v>
      </c>
      <c r="F2586">
        <v>1</v>
      </c>
      <c r="G2586">
        <v>30546</v>
      </c>
      <c r="H2586">
        <v>0</v>
      </c>
      <c r="I2586">
        <v>1</v>
      </c>
    </row>
    <row r="2587" spans="1:9" x14ac:dyDescent="0.25">
      <c r="A2587">
        <v>96</v>
      </c>
      <c r="B2587">
        <v>0</v>
      </c>
      <c r="C2587">
        <v>2</v>
      </c>
      <c r="D2587">
        <v>5</v>
      </c>
      <c r="E2587">
        <v>0</v>
      </c>
      <c r="F2587">
        <v>1</v>
      </c>
      <c r="G2587">
        <v>6028</v>
      </c>
      <c r="H2587">
        <v>0</v>
      </c>
      <c r="I2587">
        <v>1</v>
      </c>
    </row>
    <row r="2588" spans="1:9" x14ac:dyDescent="0.25">
      <c r="A2588">
        <v>96</v>
      </c>
      <c r="B2588">
        <v>1</v>
      </c>
      <c r="C2588">
        <v>4</v>
      </c>
      <c r="D2588">
        <v>6</v>
      </c>
      <c r="E2588">
        <v>1</v>
      </c>
      <c r="F2588">
        <v>1</v>
      </c>
      <c r="G2588">
        <v>14113</v>
      </c>
      <c r="H2588">
        <v>1</v>
      </c>
      <c r="I2588">
        <v>1</v>
      </c>
    </row>
    <row r="2589" spans="1:9" x14ac:dyDescent="0.25">
      <c r="A2589">
        <v>95</v>
      </c>
      <c r="B2589">
        <v>1</v>
      </c>
      <c r="C2589">
        <v>16</v>
      </c>
      <c r="D2589">
        <v>5</v>
      </c>
      <c r="E2589">
        <v>3</v>
      </c>
      <c r="F2589">
        <v>1</v>
      </c>
      <c r="G2589">
        <v>53316</v>
      </c>
      <c r="H2589">
        <v>0</v>
      </c>
      <c r="I2589">
        <v>1</v>
      </c>
    </row>
    <row r="2590" spans="1:9" x14ac:dyDescent="0.25">
      <c r="A2590">
        <v>94</v>
      </c>
      <c r="B2590">
        <v>1</v>
      </c>
      <c r="C2590">
        <v>6</v>
      </c>
      <c r="D2590">
        <v>5</v>
      </c>
      <c r="E2590">
        <v>1</v>
      </c>
      <c r="F2590">
        <v>1</v>
      </c>
      <c r="G2590">
        <v>20423</v>
      </c>
      <c r="H2590">
        <v>0</v>
      </c>
      <c r="I2590">
        <v>1</v>
      </c>
    </row>
    <row r="2591" spans="1:9" x14ac:dyDescent="0.25">
      <c r="A2591">
        <v>94</v>
      </c>
      <c r="B2591">
        <v>0</v>
      </c>
      <c r="C2591">
        <v>2</v>
      </c>
      <c r="D2591">
        <v>4</v>
      </c>
      <c r="E2591">
        <v>0</v>
      </c>
      <c r="F2591">
        <v>1</v>
      </c>
      <c r="G2591">
        <v>12213</v>
      </c>
      <c r="H2591">
        <v>0</v>
      </c>
      <c r="I2591">
        <v>1</v>
      </c>
    </row>
    <row r="2592" spans="1:9" x14ac:dyDescent="0.25">
      <c r="A2592">
        <v>94</v>
      </c>
      <c r="B2592">
        <v>1</v>
      </c>
      <c r="C2592">
        <v>16</v>
      </c>
      <c r="D2592">
        <v>6</v>
      </c>
      <c r="E2592">
        <v>2</v>
      </c>
      <c r="F2592">
        <v>1</v>
      </c>
      <c r="G2592">
        <v>59500</v>
      </c>
      <c r="H2592">
        <v>0</v>
      </c>
      <c r="I2592">
        <v>1</v>
      </c>
    </row>
    <row r="2593" spans="1:9" x14ac:dyDescent="0.25">
      <c r="A2593">
        <v>94</v>
      </c>
      <c r="B2593">
        <v>1</v>
      </c>
      <c r="C2593">
        <v>10</v>
      </c>
      <c r="D2593">
        <v>5</v>
      </c>
      <c r="E2593">
        <v>0</v>
      </c>
      <c r="F2593">
        <v>1</v>
      </c>
      <c r="G2593">
        <v>16098</v>
      </c>
      <c r="H2593">
        <v>0</v>
      </c>
      <c r="I2593">
        <v>1</v>
      </c>
    </row>
    <row r="2594" spans="1:9" x14ac:dyDescent="0.25">
      <c r="A2594">
        <v>94</v>
      </c>
      <c r="B2594">
        <v>1</v>
      </c>
      <c r="C2594">
        <v>10</v>
      </c>
      <c r="D2594">
        <v>4</v>
      </c>
      <c r="E2594">
        <v>0</v>
      </c>
      <c r="F2594">
        <v>1</v>
      </c>
      <c r="G2594">
        <v>17305</v>
      </c>
      <c r="H2594">
        <v>0</v>
      </c>
      <c r="I2594">
        <v>1</v>
      </c>
    </row>
    <row r="2595" spans="1:9" x14ac:dyDescent="0.25">
      <c r="A2595">
        <v>94</v>
      </c>
      <c r="B2595">
        <v>1</v>
      </c>
      <c r="C2595">
        <v>2</v>
      </c>
      <c r="D2595">
        <v>6</v>
      </c>
      <c r="E2595">
        <v>2</v>
      </c>
      <c r="F2595">
        <v>1</v>
      </c>
      <c r="G2595">
        <v>10918</v>
      </c>
      <c r="H2595">
        <v>0</v>
      </c>
      <c r="I2595">
        <v>1</v>
      </c>
    </row>
    <row r="2596" spans="1:9" x14ac:dyDescent="0.25">
      <c r="A2596">
        <v>94</v>
      </c>
      <c r="B2596">
        <v>1</v>
      </c>
      <c r="C2596">
        <v>6</v>
      </c>
      <c r="D2596">
        <v>3</v>
      </c>
      <c r="E2596">
        <v>2</v>
      </c>
      <c r="F2596">
        <v>1</v>
      </c>
      <c r="G2596">
        <v>19411</v>
      </c>
      <c r="H2596">
        <v>0</v>
      </c>
      <c r="I2596">
        <v>1</v>
      </c>
    </row>
    <row r="2597" spans="1:9" x14ac:dyDescent="0.25">
      <c r="A2597">
        <v>94</v>
      </c>
      <c r="B2597">
        <v>1</v>
      </c>
      <c r="C2597">
        <v>2</v>
      </c>
      <c r="D2597">
        <v>5</v>
      </c>
      <c r="E2597">
        <v>0</v>
      </c>
      <c r="F2597">
        <v>1</v>
      </c>
      <c r="G2597">
        <v>8213</v>
      </c>
      <c r="H2597">
        <v>0</v>
      </c>
      <c r="I2597">
        <v>1</v>
      </c>
    </row>
    <row r="2598" spans="1:9" x14ac:dyDescent="0.25">
      <c r="A2598">
        <v>92</v>
      </c>
      <c r="B2598">
        <v>1</v>
      </c>
      <c r="C2598">
        <v>1</v>
      </c>
      <c r="D2598">
        <v>4</v>
      </c>
      <c r="E2598">
        <v>0</v>
      </c>
      <c r="F2598">
        <v>1</v>
      </c>
      <c r="G2598">
        <v>3269</v>
      </c>
      <c r="H2598">
        <v>0</v>
      </c>
      <c r="I2598">
        <v>1</v>
      </c>
    </row>
    <row r="2599" spans="1:9" x14ac:dyDescent="0.25">
      <c r="A2599">
        <v>92</v>
      </c>
      <c r="B2599">
        <v>0</v>
      </c>
      <c r="C2599">
        <v>4</v>
      </c>
      <c r="D2599">
        <v>3</v>
      </c>
      <c r="E2599">
        <v>0</v>
      </c>
      <c r="F2599">
        <v>1</v>
      </c>
      <c r="G2599">
        <v>9259</v>
      </c>
      <c r="H2599">
        <v>0</v>
      </c>
      <c r="I2599">
        <v>1</v>
      </c>
    </row>
    <row r="2600" spans="1:9" x14ac:dyDescent="0.25">
      <c r="A2600">
        <v>92</v>
      </c>
      <c r="B2600">
        <v>1</v>
      </c>
      <c r="C2600">
        <v>16</v>
      </c>
      <c r="D2600">
        <v>4</v>
      </c>
      <c r="E2600">
        <v>2</v>
      </c>
      <c r="F2600">
        <v>1</v>
      </c>
      <c r="G2600">
        <v>42808</v>
      </c>
      <c r="H2600">
        <v>0</v>
      </c>
      <c r="I2600">
        <v>1</v>
      </c>
    </row>
    <row r="2601" spans="1:9" x14ac:dyDescent="0.25">
      <c r="A2601">
        <v>92</v>
      </c>
      <c r="B2601">
        <v>1</v>
      </c>
      <c r="C2601">
        <v>7</v>
      </c>
      <c r="D2601">
        <v>6</v>
      </c>
      <c r="E2601">
        <v>0</v>
      </c>
      <c r="F2601">
        <v>1</v>
      </c>
      <c r="G2601">
        <v>18650</v>
      </c>
      <c r="H2601">
        <v>0</v>
      </c>
      <c r="I2601">
        <v>1</v>
      </c>
    </row>
    <row r="2602" spans="1:9" x14ac:dyDescent="0.25">
      <c r="A2602">
        <v>92</v>
      </c>
      <c r="B2602">
        <v>1</v>
      </c>
      <c r="C2602">
        <v>1</v>
      </c>
      <c r="D2602">
        <v>2</v>
      </c>
      <c r="E2602">
        <v>0</v>
      </c>
      <c r="F2602">
        <v>1</v>
      </c>
      <c r="G2602">
        <v>3714</v>
      </c>
      <c r="H2602">
        <v>0</v>
      </c>
      <c r="I2602">
        <v>1</v>
      </c>
    </row>
    <row r="2603" spans="1:9" x14ac:dyDescent="0.25">
      <c r="A2603">
        <v>92</v>
      </c>
      <c r="B2603">
        <v>0</v>
      </c>
      <c r="C2603">
        <v>4</v>
      </c>
      <c r="D2603">
        <v>4</v>
      </c>
      <c r="E2603">
        <v>0</v>
      </c>
      <c r="F2603">
        <v>1</v>
      </c>
      <c r="G2603">
        <v>8492</v>
      </c>
      <c r="H2603">
        <v>0</v>
      </c>
      <c r="I2603">
        <v>1</v>
      </c>
    </row>
    <row r="2604" spans="1:9" x14ac:dyDescent="0.25">
      <c r="A2604">
        <v>92</v>
      </c>
      <c r="B2604">
        <v>1</v>
      </c>
      <c r="C2604">
        <v>4</v>
      </c>
      <c r="D2604">
        <v>3</v>
      </c>
      <c r="E2604">
        <v>2</v>
      </c>
      <c r="F2604">
        <v>1</v>
      </c>
      <c r="G2604">
        <v>23649</v>
      </c>
      <c r="H2604">
        <v>1</v>
      </c>
      <c r="I2604">
        <v>1</v>
      </c>
    </row>
    <row r="2605" spans="1:9" x14ac:dyDescent="0.25">
      <c r="A2605">
        <v>92</v>
      </c>
      <c r="B2605">
        <v>0</v>
      </c>
      <c r="C2605">
        <v>3</v>
      </c>
      <c r="D2605">
        <v>6</v>
      </c>
      <c r="E2605">
        <v>1</v>
      </c>
      <c r="F2605">
        <v>1</v>
      </c>
      <c r="G2605">
        <v>13973</v>
      </c>
      <c r="H2605">
        <v>1</v>
      </c>
      <c r="I2605">
        <v>1</v>
      </c>
    </row>
    <row r="2606" spans="1:9" x14ac:dyDescent="0.25">
      <c r="A2606">
        <v>92</v>
      </c>
      <c r="B2606">
        <v>1</v>
      </c>
      <c r="C2606">
        <v>1</v>
      </c>
      <c r="D2606">
        <v>3</v>
      </c>
      <c r="E2606">
        <v>5</v>
      </c>
      <c r="F2606">
        <v>1</v>
      </c>
      <c r="G2606">
        <v>21504</v>
      </c>
      <c r="H2606">
        <v>1</v>
      </c>
      <c r="I2606">
        <v>1</v>
      </c>
    </row>
    <row r="2607" spans="1:9" x14ac:dyDescent="0.25">
      <c r="A2607">
        <v>91</v>
      </c>
      <c r="B2607">
        <v>0</v>
      </c>
      <c r="C2607">
        <v>3</v>
      </c>
      <c r="D2607">
        <v>3</v>
      </c>
      <c r="E2607">
        <v>0</v>
      </c>
      <c r="F2607">
        <v>1</v>
      </c>
      <c r="G2607">
        <v>10589</v>
      </c>
      <c r="H2607">
        <v>0</v>
      </c>
      <c r="I2607">
        <v>1</v>
      </c>
    </row>
    <row r="2608" spans="1:9" x14ac:dyDescent="0.25">
      <c r="A2608">
        <v>91</v>
      </c>
      <c r="B2608">
        <v>1</v>
      </c>
      <c r="C2608">
        <v>6</v>
      </c>
      <c r="D2608">
        <v>0</v>
      </c>
      <c r="E2608">
        <v>1</v>
      </c>
      <c r="F2608">
        <v>1</v>
      </c>
      <c r="G2608">
        <v>26998</v>
      </c>
      <c r="H2608">
        <v>0</v>
      </c>
      <c r="I2608">
        <v>1</v>
      </c>
    </row>
    <row r="2609" spans="1:9" x14ac:dyDescent="0.25">
      <c r="A2609">
        <v>91</v>
      </c>
      <c r="B2609">
        <v>1</v>
      </c>
      <c r="C2609">
        <v>4</v>
      </c>
      <c r="D2609">
        <v>3</v>
      </c>
      <c r="E2609">
        <v>0</v>
      </c>
      <c r="F2609">
        <v>1</v>
      </c>
      <c r="G2609">
        <v>14289</v>
      </c>
      <c r="H2609">
        <v>0</v>
      </c>
      <c r="I2609">
        <v>1</v>
      </c>
    </row>
    <row r="2610" spans="1:9" x14ac:dyDescent="0.25">
      <c r="A2610">
        <v>91</v>
      </c>
      <c r="B2610">
        <v>1</v>
      </c>
      <c r="C2610">
        <v>6</v>
      </c>
      <c r="D2610">
        <v>5</v>
      </c>
      <c r="E2610">
        <v>1</v>
      </c>
      <c r="F2610">
        <v>1</v>
      </c>
      <c r="G2610">
        <v>10351</v>
      </c>
      <c r="H2610">
        <v>0</v>
      </c>
      <c r="I2610">
        <v>1</v>
      </c>
    </row>
    <row r="2611" spans="1:9" x14ac:dyDescent="0.25">
      <c r="A2611">
        <v>91</v>
      </c>
      <c r="B2611">
        <v>1</v>
      </c>
      <c r="C2611">
        <v>7</v>
      </c>
      <c r="D2611">
        <v>6</v>
      </c>
      <c r="E2611">
        <v>0</v>
      </c>
      <c r="F2611">
        <v>1</v>
      </c>
      <c r="G2611">
        <v>14374</v>
      </c>
      <c r="H2611">
        <v>0</v>
      </c>
      <c r="I2611">
        <v>1</v>
      </c>
    </row>
    <row r="2612" spans="1:9" x14ac:dyDescent="0.25">
      <c r="A2612">
        <v>91</v>
      </c>
      <c r="B2612">
        <v>1</v>
      </c>
      <c r="C2612">
        <v>3</v>
      </c>
      <c r="D2612">
        <v>7</v>
      </c>
      <c r="E2612">
        <v>1</v>
      </c>
      <c r="F2612">
        <v>1</v>
      </c>
      <c r="G2612">
        <v>10991</v>
      </c>
      <c r="H2612">
        <v>0</v>
      </c>
      <c r="I2612">
        <v>1</v>
      </c>
    </row>
    <row r="2613" spans="1:9" x14ac:dyDescent="0.25">
      <c r="A2613">
        <v>91</v>
      </c>
      <c r="B2613">
        <v>1</v>
      </c>
      <c r="C2613">
        <v>2</v>
      </c>
      <c r="D2613">
        <v>7</v>
      </c>
      <c r="E2613">
        <v>0</v>
      </c>
      <c r="F2613">
        <v>1</v>
      </c>
      <c r="G2613">
        <v>8392</v>
      </c>
      <c r="H2613">
        <v>0</v>
      </c>
      <c r="I2613">
        <v>1</v>
      </c>
    </row>
    <row r="2614" spans="1:9" x14ac:dyDescent="0.25">
      <c r="A2614">
        <v>91</v>
      </c>
      <c r="B2614">
        <v>0</v>
      </c>
      <c r="C2614">
        <v>4</v>
      </c>
      <c r="D2614">
        <v>4</v>
      </c>
      <c r="E2614">
        <v>0</v>
      </c>
      <c r="F2614">
        <v>1</v>
      </c>
      <c r="G2614">
        <v>9249</v>
      </c>
      <c r="H2614">
        <v>0</v>
      </c>
      <c r="I2614">
        <v>1</v>
      </c>
    </row>
    <row r="2615" spans="1:9" x14ac:dyDescent="0.25">
      <c r="A2615">
        <v>91</v>
      </c>
      <c r="B2615">
        <v>1</v>
      </c>
      <c r="C2615">
        <v>9</v>
      </c>
      <c r="D2615">
        <v>3</v>
      </c>
      <c r="E2615">
        <v>0</v>
      </c>
      <c r="F2615">
        <v>1</v>
      </c>
      <c r="G2615">
        <v>11150</v>
      </c>
      <c r="H2615">
        <v>0</v>
      </c>
      <c r="I2615">
        <v>1</v>
      </c>
    </row>
    <row r="2616" spans="1:9" x14ac:dyDescent="0.25">
      <c r="A2616">
        <v>90</v>
      </c>
      <c r="B2616">
        <v>1</v>
      </c>
      <c r="C2616">
        <v>2</v>
      </c>
      <c r="D2616">
        <v>8</v>
      </c>
      <c r="E2616">
        <v>0</v>
      </c>
      <c r="F2616">
        <v>1</v>
      </c>
      <c r="G2616">
        <v>10977</v>
      </c>
      <c r="H2616">
        <v>0</v>
      </c>
      <c r="I2616">
        <v>1</v>
      </c>
    </row>
    <row r="2617" spans="1:9" x14ac:dyDescent="0.25">
      <c r="A2617">
        <v>90</v>
      </c>
      <c r="B2617">
        <v>0</v>
      </c>
      <c r="C2617">
        <v>6</v>
      </c>
      <c r="D2617">
        <v>5</v>
      </c>
      <c r="E2617">
        <v>0</v>
      </c>
      <c r="F2617">
        <v>1</v>
      </c>
      <c r="G2617">
        <v>12229</v>
      </c>
      <c r="H2617">
        <v>0</v>
      </c>
      <c r="I2617">
        <v>1</v>
      </c>
    </row>
    <row r="2618" spans="1:9" x14ac:dyDescent="0.25">
      <c r="A2618">
        <v>89</v>
      </c>
      <c r="B2618">
        <v>1</v>
      </c>
      <c r="C2618">
        <v>7</v>
      </c>
      <c r="D2618">
        <v>7</v>
      </c>
      <c r="E2618">
        <v>0</v>
      </c>
      <c r="F2618">
        <v>1</v>
      </c>
      <c r="G2618">
        <v>16420</v>
      </c>
      <c r="H2618">
        <v>0</v>
      </c>
      <c r="I2618">
        <v>1</v>
      </c>
    </row>
    <row r="2619" spans="1:9" x14ac:dyDescent="0.25">
      <c r="A2619">
        <v>89</v>
      </c>
      <c r="B2619">
        <v>1</v>
      </c>
      <c r="C2619">
        <v>3</v>
      </c>
      <c r="D2619">
        <v>7</v>
      </c>
      <c r="E2619">
        <v>0</v>
      </c>
      <c r="F2619">
        <v>1</v>
      </c>
      <c r="G2619">
        <v>12517</v>
      </c>
      <c r="H2619">
        <v>0</v>
      </c>
      <c r="I2619">
        <v>1</v>
      </c>
    </row>
    <row r="2620" spans="1:9" x14ac:dyDescent="0.25">
      <c r="A2620">
        <v>89</v>
      </c>
      <c r="B2620">
        <v>1</v>
      </c>
      <c r="C2620">
        <v>2</v>
      </c>
      <c r="D2620">
        <v>5</v>
      </c>
      <c r="E2620">
        <v>0</v>
      </c>
      <c r="F2620">
        <v>1</v>
      </c>
      <c r="G2620">
        <v>11151</v>
      </c>
      <c r="H2620">
        <v>0</v>
      </c>
      <c r="I2620">
        <v>1</v>
      </c>
    </row>
    <row r="2621" spans="1:9" x14ac:dyDescent="0.25">
      <c r="A2621">
        <v>89</v>
      </c>
      <c r="B2621">
        <v>1</v>
      </c>
      <c r="C2621">
        <v>3</v>
      </c>
      <c r="D2621">
        <v>3</v>
      </c>
      <c r="E2621">
        <v>0</v>
      </c>
      <c r="F2621">
        <v>1</v>
      </c>
      <c r="G2621">
        <v>10182</v>
      </c>
      <c r="H2621">
        <v>0</v>
      </c>
      <c r="I2621">
        <v>1</v>
      </c>
    </row>
    <row r="2622" spans="1:9" x14ac:dyDescent="0.25">
      <c r="A2622">
        <v>89</v>
      </c>
      <c r="B2622">
        <v>1</v>
      </c>
      <c r="C2622">
        <v>2</v>
      </c>
      <c r="D2622">
        <v>4</v>
      </c>
      <c r="E2622">
        <v>0</v>
      </c>
      <c r="F2622">
        <v>1</v>
      </c>
      <c r="G2622">
        <v>15176</v>
      </c>
      <c r="H2622">
        <v>0</v>
      </c>
      <c r="I2622">
        <v>1</v>
      </c>
    </row>
    <row r="2623" spans="1:9" x14ac:dyDescent="0.25">
      <c r="A2623">
        <v>89</v>
      </c>
      <c r="B2623">
        <v>1</v>
      </c>
      <c r="C2623">
        <v>2</v>
      </c>
      <c r="D2623">
        <v>6</v>
      </c>
      <c r="E2623">
        <v>0</v>
      </c>
      <c r="F2623">
        <v>1</v>
      </c>
      <c r="G2623">
        <v>8645</v>
      </c>
      <c r="H2623">
        <v>0</v>
      </c>
      <c r="I2623">
        <v>1</v>
      </c>
    </row>
    <row r="2624" spans="1:9" x14ac:dyDescent="0.25">
      <c r="A2624">
        <v>89</v>
      </c>
      <c r="B2624">
        <v>1</v>
      </c>
      <c r="C2624">
        <v>3</v>
      </c>
      <c r="D2624">
        <v>3</v>
      </c>
      <c r="E2624">
        <v>0</v>
      </c>
      <c r="F2624">
        <v>1</v>
      </c>
      <c r="G2624">
        <v>8629</v>
      </c>
      <c r="H2624">
        <v>0</v>
      </c>
      <c r="I2624">
        <v>1</v>
      </c>
    </row>
    <row r="2625" spans="1:9" x14ac:dyDescent="0.25">
      <c r="A2625">
        <v>89</v>
      </c>
      <c r="B2625">
        <v>1</v>
      </c>
      <c r="C2625">
        <v>4</v>
      </c>
      <c r="D2625">
        <v>4</v>
      </c>
      <c r="E2625">
        <v>0</v>
      </c>
      <c r="F2625">
        <v>1</v>
      </c>
      <c r="G2625">
        <v>6462</v>
      </c>
      <c r="H2625">
        <v>0</v>
      </c>
      <c r="I2625">
        <v>1</v>
      </c>
    </row>
    <row r="2626" spans="1:9" x14ac:dyDescent="0.25">
      <c r="A2626">
        <v>89</v>
      </c>
      <c r="B2626">
        <v>1</v>
      </c>
      <c r="C2626">
        <v>3</v>
      </c>
      <c r="D2626">
        <v>4</v>
      </c>
      <c r="E2626">
        <v>0</v>
      </c>
      <c r="F2626">
        <v>1</v>
      </c>
      <c r="G2626">
        <v>15383</v>
      </c>
      <c r="H2626">
        <v>0</v>
      </c>
      <c r="I2626">
        <v>1</v>
      </c>
    </row>
    <row r="2627" spans="1:9" x14ac:dyDescent="0.25">
      <c r="A2627">
        <v>89</v>
      </c>
      <c r="B2627">
        <v>1</v>
      </c>
      <c r="C2627">
        <v>8</v>
      </c>
      <c r="D2627">
        <v>5</v>
      </c>
      <c r="E2627">
        <v>0</v>
      </c>
      <c r="F2627">
        <v>1</v>
      </c>
      <c r="G2627">
        <v>25161</v>
      </c>
      <c r="H2627">
        <v>0</v>
      </c>
      <c r="I2627">
        <v>1</v>
      </c>
    </row>
    <row r="2628" spans="1:9" x14ac:dyDescent="0.25">
      <c r="A2628">
        <v>89</v>
      </c>
      <c r="B2628">
        <v>1</v>
      </c>
      <c r="C2628">
        <v>10</v>
      </c>
      <c r="D2628">
        <v>5</v>
      </c>
      <c r="E2628">
        <v>2</v>
      </c>
      <c r="F2628">
        <v>1</v>
      </c>
      <c r="G2628">
        <v>46253</v>
      </c>
      <c r="H2628">
        <v>0</v>
      </c>
      <c r="I2628">
        <v>1</v>
      </c>
    </row>
    <row r="2629" spans="1:9" x14ac:dyDescent="0.25">
      <c r="A2629">
        <v>89</v>
      </c>
      <c r="B2629">
        <v>1</v>
      </c>
      <c r="C2629">
        <v>4</v>
      </c>
      <c r="D2629">
        <v>5</v>
      </c>
      <c r="E2629">
        <v>1</v>
      </c>
      <c r="F2629">
        <v>1</v>
      </c>
      <c r="G2629">
        <v>13627</v>
      </c>
      <c r="H2629">
        <v>0</v>
      </c>
      <c r="I2629">
        <v>1</v>
      </c>
    </row>
    <row r="2630" spans="1:9" x14ac:dyDescent="0.25">
      <c r="A2630">
        <v>89</v>
      </c>
      <c r="B2630">
        <v>1</v>
      </c>
      <c r="C2630">
        <v>1</v>
      </c>
      <c r="D2630">
        <v>2</v>
      </c>
      <c r="E2630">
        <v>0</v>
      </c>
      <c r="F2630">
        <v>1</v>
      </c>
      <c r="G2630">
        <v>6426</v>
      </c>
      <c r="H2630">
        <v>0</v>
      </c>
      <c r="I2630">
        <v>1</v>
      </c>
    </row>
    <row r="2631" spans="1:9" x14ac:dyDescent="0.25">
      <c r="A2631">
        <v>89</v>
      </c>
      <c r="B2631">
        <v>1</v>
      </c>
      <c r="C2631">
        <v>11</v>
      </c>
      <c r="D2631">
        <v>6</v>
      </c>
      <c r="E2631">
        <v>1</v>
      </c>
      <c r="F2631">
        <v>1</v>
      </c>
      <c r="G2631">
        <v>17863</v>
      </c>
      <c r="H2631">
        <v>0</v>
      </c>
      <c r="I2631">
        <v>1</v>
      </c>
    </row>
    <row r="2632" spans="1:9" x14ac:dyDescent="0.25">
      <c r="A2632">
        <v>89</v>
      </c>
      <c r="B2632">
        <v>1</v>
      </c>
      <c r="C2632">
        <v>8</v>
      </c>
      <c r="D2632">
        <v>2</v>
      </c>
      <c r="E2632">
        <v>1</v>
      </c>
      <c r="F2632">
        <v>1</v>
      </c>
      <c r="G2632">
        <v>15370</v>
      </c>
      <c r="H2632">
        <v>0</v>
      </c>
      <c r="I2632">
        <v>1</v>
      </c>
    </row>
    <row r="2633" spans="1:9" x14ac:dyDescent="0.25">
      <c r="A2633">
        <v>89</v>
      </c>
      <c r="B2633">
        <v>1</v>
      </c>
      <c r="C2633">
        <v>4</v>
      </c>
      <c r="D2633">
        <v>5</v>
      </c>
      <c r="E2633">
        <v>2</v>
      </c>
      <c r="F2633">
        <v>1</v>
      </c>
      <c r="G2633">
        <v>12834</v>
      </c>
      <c r="H2633">
        <v>0</v>
      </c>
      <c r="I2633">
        <v>1</v>
      </c>
    </row>
    <row r="2634" spans="1:9" x14ac:dyDescent="0.25">
      <c r="A2634">
        <v>89</v>
      </c>
      <c r="B2634">
        <v>1</v>
      </c>
      <c r="C2634">
        <v>6</v>
      </c>
      <c r="D2634">
        <v>5</v>
      </c>
      <c r="E2634">
        <v>0</v>
      </c>
      <c r="F2634">
        <v>1</v>
      </c>
      <c r="G2634">
        <v>11430</v>
      </c>
      <c r="H2634">
        <v>0</v>
      </c>
      <c r="I2634">
        <v>1</v>
      </c>
    </row>
    <row r="2635" spans="1:9" x14ac:dyDescent="0.25">
      <c r="A2635">
        <v>89</v>
      </c>
      <c r="B2635">
        <v>1</v>
      </c>
      <c r="C2635">
        <v>4</v>
      </c>
      <c r="D2635">
        <v>4</v>
      </c>
      <c r="E2635">
        <v>0</v>
      </c>
      <c r="F2635">
        <v>1</v>
      </c>
      <c r="G2635">
        <v>11882</v>
      </c>
      <c r="H2635">
        <v>0</v>
      </c>
      <c r="I2635">
        <v>1</v>
      </c>
    </row>
    <row r="2636" spans="1:9" x14ac:dyDescent="0.25">
      <c r="A2636">
        <v>89</v>
      </c>
      <c r="B2636">
        <v>1</v>
      </c>
      <c r="C2636">
        <v>18</v>
      </c>
      <c r="D2636">
        <v>3</v>
      </c>
      <c r="E2636">
        <v>0</v>
      </c>
      <c r="F2636">
        <v>1</v>
      </c>
      <c r="G2636">
        <v>34039</v>
      </c>
      <c r="H2636">
        <v>0</v>
      </c>
      <c r="I2636">
        <v>1</v>
      </c>
    </row>
    <row r="2637" spans="1:9" x14ac:dyDescent="0.25">
      <c r="A2637">
        <v>89</v>
      </c>
      <c r="B2637">
        <v>1</v>
      </c>
      <c r="C2637">
        <v>22</v>
      </c>
      <c r="D2637">
        <v>2</v>
      </c>
      <c r="E2637">
        <v>3</v>
      </c>
      <c r="F2637">
        <v>1</v>
      </c>
      <c r="G2637">
        <v>87177</v>
      </c>
      <c r="H2637">
        <v>0</v>
      </c>
      <c r="I2637">
        <v>1</v>
      </c>
    </row>
    <row r="2638" spans="1:9" x14ac:dyDescent="0.25">
      <c r="A2638">
        <v>89</v>
      </c>
      <c r="B2638">
        <v>1</v>
      </c>
      <c r="C2638">
        <v>2</v>
      </c>
      <c r="D2638">
        <v>3</v>
      </c>
      <c r="E2638">
        <v>0</v>
      </c>
      <c r="F2638">
        <v>1</v>
      </c>
      <c r="G2638">
        <v>7560</v>
      </c>
      <c r="H2638">
        <v>0</v>
      </c>
      <c r="I2638">
        <v>1</v>
      </c>
    </row>
    <row r="2639" spans="1:9" x14ac:dyDescent="0.25">
      <c r="A2639">
        <v>89</v>
      </c>
      <c r="B2639">
        <v>1</v>
      </c>
      <c r="C2639">
        <v>6</v>
      </c>
      <c r="D2639">
        <v>3</v>
      </c>
      <c r="E2639">
        <v>0</v>
      </c>
      <c r="F2639">
        <v>1</v>
      </c>
      <c r="G2639">
        <v>10898</v>
      </c>
      <c r="H2639">
        <v>0</v>
      </c>
      <c r="I2639">
        <v>1</v>
      </c>
    </row>
    <row r="2640" spans="1:9" x14ac:dyDescent="0.25">
      <c r="A2640">
        <v>89</v>
      </c>
      <c r="B2640">
        <v>0</v>
      </c>
      <c r="C2640">
        <v>21</v>
      </c>
      <c r="D2640">
        <v>5</v>
      </c>
      <c r="E2640">
        <v>2</v>
      </c>
      <c r="F2640">
        <v>1</v>
      </c>
      <c r="G2640">
        <v>45297</v>
      </c>
      <c r="H2640">
        <v>0</v>
      </c>
      <c r="I2640">
        <v>1</v>
      </c>
    </row>
    <row r="2641" spans="1:9" x14ac:dyDescent="0.25">
      <c r="A2641">
        <v>89</v>
      </c>
      <c r="B2641">
        <v>0</v>
      </c>
      <c r="C2641">
        <v>25</v>
      </c>
      <c r="D2641">
        <v>2</v>
      </c>
      <c r="E2641">
        <v>3</v>
      </c>
      <c r="F2641">
        <v>1</v>
      </c>
      <c r="G2641">
        <v>61594</v>
      </c>
      <c r="H2641">
        <v>0</v>
      </c>
      <c r="I2641">
        <v>1</v>
      </c>
    </row>
    <row r="2642" spans="1:9" x14ac:dyDescent="0.25">
      <c r="A2642">
        <v>89</v>
      </c>
      <c r="B2642">
        <v>0</v>
      </c>
      <c r="C2642">
        <v>9</v>
      </c>
      <c r="D2642">
        <v>3</v>
      </c>
      <c r="E2642">
        <v>1</v>
      </c>
      <c r="F2642">
        <v>1</v>
      </c>
      <c r="G2642">
        <v>29564</v>
      </c>
      <c r="H2642">
        <v>1</v>
      </c>
      <c r="I2642">
        <v>1</v>
      </c>
    </row>
    <row r="2643" spans="1:9" x14ac:dyDescent="0.25">
      <c r="A2643">
        <v>89</v>
      </c>
      <c r="B2643">
        <v>1</v>
      </c>
      <c r="C2643">
        <v>9</v>
      </c>
      <c r="D2643">
        <v>4</v>
      </c>
      <c r="E2643">
        <v>2</v>
      </c>
      <c r="F2643">
        <v>1</v>
      </c>
      <c r="G2643">
        <v>38232</v>
      </c>
      <c r="H2643">
        <v>1</v>
      </c>
      <c r="I2643">
        <v>1</v>
      </c>
    </row>
    <row r="2644" spans="1:9" x14ac:dyDescent="0.25">
      <c r="A2644">
        <v>89</v>
      </c>
      <c r="B2644">
        <v>0</v>
      </c>
      <c r="C2644">
        <v>11</v>
      </c>
      <c r="D2644">
        <v>4</v>
      </c>
      <c r="E2644">
        <v>6</v>
      </c>
      <c r="F2644">
        <v>1</v>
      </c>
      <c r="G2644">
        <v>47335</v>
      </c>
      <c r="H2644">
        <v>1</v>
      </c>
      <c r="I2644">
        <v>1</v>
      </c>
    </row>
    <row r="2645" spans="1:9" x14ac:dyDescent="0.25">
      <c r="A2645">
        <v>88</v>
      </c>
      <c r="B2645">
        <v>0</v>
      </c>
      <c r="C2645">
        <v>15</v>
      </c>
      <c r="D2645">
        <v>5</v>
      </c>
      <c r="E2645">
        <v>0</v>
      </c>
      <c r="F2645">
        <v>1</v>
      </c>
      <c r="G2645">
        <v>28587</v>
      </c>
      <c r="H2645">
        <v>0</v>
      </c>
      <c r="I2645">
        <v>1</v>
      </c>
    </row>
    <row r="2646" spans="1:9" x14ac:dyDescent="0.25">
      <c r="A2646">
        <v>88</v>
      </c>
      <c r="B2646">
        <v>1</v>
      </c>
      <c r="C2646">
        <v>5</v>
      </c>
      <c r="D2646">
        <v>5</v>
      </c>
      <c r="E2646">
        <v>0</v>
      </c>
      <c r="F2646">
        <v>1</v>
      </c>
      <c r="G2646">
        <v>21081</v>
      </c>
      <c r="H2646">
        <v>0</v>
      </c>
      <c r="I2646">
        <v>1</v>
      </c>
    </row>
    <row r="2647" spans="1:9" x14ac:dyDescent="0.25">
      <c r="A2647">
        <v>88</v>
      </c>
      <c r="B2647">
        <v>1</v>
      </c>
      <c r="C2647">
        <v>14</v>
      </c>
      <c r="D2647">
        <v>5</v>
      </c>
      <c r="E2647">
        <v>0</v>
      </c>
      <c r="F2647">
        <v>1</v>
      </c>
      <c r="G2647">
        <v>22217</v>
      </c>
      <c r="H2647">
        <v>0</v>
      </c>
      <c r="I2647">
        <v>1</v>
      </c>
    </row>
    <row r="2648" spans="1:9" x14ac:dyDescent="0.25">
      <c r="A2648">
        <v>88</v>
      </c>
      <c r="B2648">
        <v>1</v>
      </c>
      <c r="C2648">
        <v>2</v>
      </c>
      <c r="D2648">
        <v>2</v>
      </c>
      <c r="E2648">
        <v>0</v>
      </c>
      <c r="F2648">
        <v>1</v>
      </c>
      <c r="G2648">
        <v>7290</v>
      </c>
      <c r="H2648">
        <v>0</v>
      </c>
      <c r="I2648">
        <v>1</v>
      </c>
    </row>
    <row r="2649" spans="1:9" x14ac:dyDescent="0.25">
      <c r="A2649">
        <v>88</v>
      </c>
      <c r="B2649">
        <v>0</v>
      </c>
      <c r="C2649">
        <v>16</v>
      </c>
      <c r="D2649">
        <v>2</v>
      </c>
      <c r="E2649">
        <v>0</v>
      </c>
      <c r="F2649">
        <v>1</v>
      </c>
      <c r="G2649">
        <v>30179</v>
      </c>
      <c r="H2649">
        <v>0</v>
      </c>
      <c r="I2649">
        <v>1</v>
      </c>
    </row>
    <row r="2650" spans="1:9" x14ac:dyDescent="0.25">
      <c r="A2650">
        <v>88</v>
      </c>
      <c r="B2650">
        <v>1</v>
      </c>
      <c r="C2650">
        <v>3</v>
      </c>
      <c r="D2650">
        <v>7</v>
      </c>
      <c r="E2650">
        <v>0</v>
      </c>
      <c r="F2650">
        <v>1</v>
      </c>
      <c r="G2650">
        <v>18683</v>
      </c>
      <c r="H2650">
        <v>0</v>
      </c>
      <c r="I2650">
        <v>1</v>
      </c>
    </row>
    <row r="2651" spans="1:9" x14ac:dyDescent="0.25">
      <c r="A2651">
        <v>88</v>
      </c>
      <c r="B2651">
        <v>1</v>
      </c>
      <c r="C2651">
        <v>2</v>
      </c>
      <c r="D2651">
        <v>3</v>
      </c>
      <c r="E2651">
        <v>0</v>
      </c>
      <c r="F2651">
        <v>1</v>
      </c>
      <c r="G2651">
        <v>7404</v>
      </c>
      <c r="H2651">
        <v>0</v>
      </c>
      <c r="I2651">
        <v>1</v>
      </c>
    </row>
    <row r="2652" spans="1:9" x14ac:dyDescent="0.25">
      <c r="A2652">
        <v>87</v>
      </c>
      <c r="B2652">
        <v>1</v>
      </c>
      <c r="C2652">
        <v>2</v>
      </c>
      <c r="D2652">
        <v>4</v>
      </c>
      <c r="E2652">
        <v>0</v>
      </c>
      <c r="F2652">
        <v>1</v>
      </c>
      <c r="G2652">
        <v>11228</v>
      </c>
      <c r="H2652">
        <v>0</v>
      </c>
      <c r="I2652">
        <v>1</v>
      </c>
    </row>
    <row r="2653" spans="1:9" x14ac:dyDescent="0.25">
      <c r="A2653">
        <v>87</v>
      </c>
      <c r="B2653">
        <v>0</v>
      </c>
      <c r="C2653">
        <v>11</v>
      </c>
      <c r="D2653">
        <v>8</v>
      </c>
      <c r="E2653">
        <v>1</v>
      </c>
      <c r="F2653">
        <v>1</v>
      </c>
      <c r="G2653">
        <v>19709</v>
      </c>
      <c r="H2653">
        <v>0</v>
      </c>
      <c r="I2653">
        <v>1</v>
      </c>
    </row>
    <row r="2654" spans="1:9" x14ac:dyDescent="0.25">
      <c r="A2654">
        <v>87</v>
      </c>
      <c r="B2654">
        <v>1</v>
      </c>
      <c r="C2654">
        <v>10</v>
      </c>
      <c r="D2654">
        <v>1</v>
      </c>
      <c r="E2654">
        <v>1</v>
      </c>
      <c r="F2654">
        <v>1</v>
      </c>
      <c r="G2654">
        <v>16262</v>
      </c>
      <c r="H2654">
        <v>0</v>
      </c>
      <c r="I2654">
        <v>1</v>
      </c>
    </row>
    <row r="2655" spans="1:9" x14ac:dyDescent="0.25">
      <c r="A2655">
        <v>87</v>
      </c>
      <c r="B2655">
        <v>1</v>
      </c>
      <c r="C2655">
        <v>7</v>
      </c>
      <c r="D2655">
        <v>4</v>
      </c>
      <c r="E2655">
        <v>2</v>
      </c>
      <c r="F2655">
        <v>1</v>
      </c>
      <c r="G2655">
        <v>16073</v>
      </c>
      <c r="H2655">
        <v>0</v>
      </c>
      <c r="I2655">
        <v>1</v>
      </c>
    </row>
    <row r="2656" spans="1:9" x14ac:dyDescent="0.25">
      <c r="A2656">
        <v>87</v>
      </c>
      <c r="B2656">
        <v>1</v>
      </c>
      <c r="C2656">
        <v>3</v>
      </c>
      <c r="D2656">
        <v>5</v>
      </c>
      <c r="E2656">
        <v>0</v>
      </c>
      <c r="F2656">
        <v>1</v>
      </c>
      <c r="G2656">
        <v>12342</v>
      </c>
      <c r="H2656">
        <v>0</v>
      </c>
      <c r="I2656">
        <v>1</v>
      </c>
    </row>
    <row r="2657" spans="1:9" x14ac:dyDescent="0.25">
      <c r="A2657">
        <v>87</v>
      </c>
      <c r="B2657">
        <v>0</v>
      </c>
      <c r="C2657">
        <v>3</v>
      </c>
      <c r="D2657">
        <v>4</v>
      </c>
      <c r="E2657">
        <v>1</v>
      </c>
      <c r="F2657">
        <v>1</v>
      </c>
      <c r="G2657">
        <v>13719</v>
      </c>
      <c r="H2657">
        <v>0</v>
      </c>
      <c r="I2657">
        <v>1</v>
      </c>
    </row>
    <row r="2658" spans="1:9" x14ac:dyDescent="0.25">
      <c r="A2658">
        <v>87</v>
      </c>
      <c r="B2658">
        <v>0</v>
      </c>
      <c r="C2658">
        <v>12</v>
      </c>
      <c r="D2658">
        <v>2</v>
      </c>
      <c r="E2658">
        <v>0</v>
      </c>
      <c r="F2658">
        <v>1</v>
      </c>
      <c r="G2658">
        <v>17448</v>
      </c>
      <c r="H2658">
        <v>0</v>
      </c>
      <c r="I2658">
        <v>1</v>
      </c>
    </row>
    <row r="2659" spans="1:9" x14ac:dyDescent="0.25">
      <c r="A2659">
        <v>87</v>
      </c>
      <c r="B2659">
        <v>1</v>
      </c>
      <c r="C2659">
        <v>1</v>
      </c>
      <c r="D2659">
        <v>2</v>
      </c>
      <c r="E2659">
        <v>0</v>
      </c>
      <c r="F2659">
        <v>1</v>
      </c>
      <c r="G2659">
        <v>8823</v>
      </c>
      <c r="H2659">
        <v>0</v>
      </c>
      <c r="I2659">
        <v>1</v>
      </c>
    </row>
    <row r="2660" spans="1:9" x14ac:dyDescent="0.25">
      <c r="A2660">
        <v>87</v>
      </c>
      <c r="B2660">
        <v>1</v>
      </c>
      <c r="C2660">
        <v>7</v>
      </c>
      <c r="D2660">
        <v>6</v>
      </c>
      <c r="E2660">
        <v>0</v>
      </c>
      <c r="F2660">
        <v>1</v>
      </c>
      <c r="G2660">
        <v>15667</v>
      </c>
      <c r="H2660">
        <v>0</v>
      </c>
      <c r="I2660">
        <v>1</v>
      </c>
    </row>
    <row r="2661" spans="1:9" x14ac:dyDescent="0.25">
      <c r="A2661">
        <v>87</v>
      </c>
      <c r="B2661">
        <v>1</v>
      </c>
      <c r="C2661">
        <v>7</v>
      </c>
      <c r="D2661">
        <v>5</v>
      </c>
      <c r="E2661">
        <v>0</v>
      </c>
      <c r="F2661">
        <v>1</v>
      </c>
      <c r="G2661">
        <v>20553</v>
      </c>
      <c r="H2661">
        <v>0</v>
      </c>
      <c r="I2661">
        <v>1</v>
      </c>
    </row>
    <row r="2662" spans="1:9" x14ac:dyDescent="0.25">
      <c r="A2662">
        <v>87</v>
      </c>
      <c r="B2662">
        <v>1</v>
      </c>
      <c r="C2662">
        <v>18</v>
      </c>
      <c r="D2662">
        <v>4</v>
      </c>
      <c r="E2662">
        <v>3</v>
      </c>
      <c r="F2662">
        <v>1</v>
      </c>
      <c r="G2662">
        <v>42159</v>
      </c>
      <c r="H2662">
        <v>0</v>
      </c>
      <c r="I2662">
        <v>1</v>
      </c>
    </row>
    <row r="2663" spans="1:9" x14ac:dyDescent="0.25">
      <c r="A2663">
        <v>87</v>
      </c>
      <c r="B2663">
        <v>0</v>
      </c>
      <c r="C2663">
        <v>4</v>
      </c>
      <c r="D2663">
        <v>4</v>
      </c>
      <c r="E2663">
        <v>1</v>
      </c>
      <c r="F2663">
        <v>1</v>
      </c>
      <c r="G2663">
        <v>51016</v>
      </c>
      <c r="H2663">
        <v>1</v>
      </c>
      <c r="I2663">
        <v>1</v>
      </c>
    </row>
    <row r="2664" spans="1:9" x14ac:dyDescent="0.25">
      <c r="A2664">
        <v>87</v>
      </c>
      <c r="B2664">
        <v>1</v>
      </c>
      <c r="C2664">
        <v>7</v>
      </c>
      <c r="D2664">
        <v>7</v>
      </c>
      <c r="E2664">
        <v>1</v>
      </c>
      <c r="F2664">
        <v>1</v>
      </c>
      <c r="G2664">
        <v>39362</v>
      </c>
      <c r="H2664">
        <v>1</v>
      </c>
      <c r="I2664">
        <v>1</v>
      </c>
    </row>
    <row r="2665" spans="1:9" x14ac:dyDescent="0.25">
      <c r="A2665">
        <v>87</v>
      </c>
      <c r="B2665">
        <v>0</v>
      </c>
      <c r="C2665">
        <v>7</v>
      </c>
      <c r="D2665">
        <v>3</v>
      </c>
      <c r="E2665">
        <v>1</v>
      </c>
      <c r="F2665">
        <v>1</v>
      </c>
      <c r="G2665">
        <v>38409</v>
      </c>
      <c r="H2665">
        <v>1</v>
      </c>
      <c r="I2665">
        <v>1</v>
      </c>
    </row>
    <row r="2666" spans="1:9" x14ac:dyDescent="0.25">
      <c r="A2666">
        <v>86</v>
      </c>
      <c r="B2666">
        <v>0</v>
      </c>
      <c r="C2666">
        <v>5</v>
      </c>
      <c r="D2666">
        <v>1</v>
      </c>
      <c r="E2666">
        <v>0</v>
      </c>
      <c r="F2666">
        <v>1</v>
      </c>
      <c r="G2666">
        <v>19666</v>
      </c>
      <c r="H2666">
        <v>0</v>
      </c>
      <c r="I2666">
        <v>1</v>
      </c>
    </row>
    <row r="2667" spans="1:9" x14ac:dyDescent="0.25">
      <c r="A2667">
        <v>86</v>
      </c>
      <c r="B2667">
        <v>1</v>
      </c>
      <c r="C2667">
        <v>6</v>
      </c>
      <c r="D2667">
        <v>7</v>
      </c>
      <c r="E2667">
        <v>0</v>
      </c>
      <c r="F2667">
        <v>1</v>
      </c>
      <c r="G2667">
        <v>23875</v>
      </c>
      <c r="H2667">
        <v>0</v>
      </c>
      <c r="I2667">
        <v>1</v>
      </c>
    </row>
    <row r="2668" spans="1:9" x14ac:dyDescent="0.25">
      <c r="A2668">
        <v>86</v>
      </c>
      <c r="B2668">
        <v>1</v>
      </c>
      <c r="C2668">
        <v>2</v>
      </c>
      <c r="D2668">
        <v>3</v>
      </c>
      <c r="E2668">
        <v>0</v>
      </c>
      <c r="F2668">
        <v>1</v>
      </c>
      <c r="G2668">
        <v>9611</v>
      </c>
      <c r="H2668">
        <v>0</v>
      </c>
      <c r="I2668">
        <v>1</v>
      </c>
    </row>
    <row r="2669" spans="1:9" x14ac:dyDescent="0.25">
      <c r="A2669">
        <v>86</v>
      </c>
      <c r="B2669">
        <v>1</v>
      </c>
      <c r="C2669">
        <v>0</v>
      </c>
      <c r="D2669">
        <v>7</v>
      </c>
      <c r="E2669">
        <v>0</v>
      </c>
      <c r="F2669">
        <v>1</v>
      </c>
      <c r="G2669">
        <v>14047</v>
      </c>
      <c r="H2669">
        <v>0</v>
      </c>
      <c r="I2669">
        <v>1</v>
      </c>
    </row>
    <row r="2670" spans="1:9" x14ac:dyDescent="0.25">
      <c r="A2670">
        <v>86</v>
      </c>
      <c r="B2670">
        <v>1</v>
      </c>
      <c r="C2670">
        <v>4</v>
      </c>
      <c r="D2670">
        <v>3</v>
      </c>
      <c r="E2670">
        <v>0</v>
      </c>
      <c r="F2670">
        <v>1</v>
      </c>
      <c r="G2670">
        <v>15998</v>
      </c>
      <c r="H2670">
        <v>0</v>
      </c>
      <c r="I2670">
        <v>1</v>
      </c>
    </row>
    <row r="2671" spans="1:9" x14ac:dyDescent="0.25">
      <c r="A2671">
        <v>86</v>
      </c>
      <c r="B2671">
        <v>1</v>
      </c>
      <c r="C2671">
        <v>5</v>
      </c>
      <c r="D2671">
        <v>6</v>
      </c>
      <c r="E2671">
        <v>0</v>
      </c>
      <c r="F2671">
        <v>1</v>
      </c>
      <c r="G2671">
        <v>10839</v>
      </c>
      <c r="H2671">
        <v>0</v>
      </c>
      <c r="I2671">
        <v>1</v>
      </c>
    </row>
    <row r="2672" spans="1:9" x14ac:dyDescent="0.25">
      <c r="A2672">
        <v>86</v>
      </c>
      <c r="B2672">
        <v>1</v>
      </c>
      <c r="C2672">
        <v>4</v>
      </c>
      <c r="D2672">
        <v>7</v>
      </c>
      <c r="E2672">
        <v>0</v>
      </c>
      <c r="F2672">
        <v>1</v>
      </c>
      <c r="G2672">
        <v>8915</v>
      </c>
      <c r="H2672">
        <v>0</v>
      </c>
      <c r="I2672">
        <v>1</v>
      </c>
    </row>
    <row r="2673" spans="1:9" x14ac:dyDescent="0.25">
      <c r="A2673">
        <v>86</v>
      </c>
      <c r="B2673">
        <v>0</v>
      </c>
      <c r="C2673">
        <v>7</v>
      </c>
      <c r="D2673">
        <v>6</v>
      </c>
      <c r="E2673">
        <v>1</v>
      </c>
      <c r="F2673">
        <v>1</v>
      </c>
      <c r="G2673">
        <v>10463</v>
      </c>
      <c r="H2673">
        <v>0</v>
      </c>
      <c r="I2673">
        <v>1</v>
      </c>
    </row>
    <row r="2674" spans="1:9" x14ac:dyDescent="0.25">
      <c r="A2674">
        <v>86</v>
      </c>
      <c r="B2674">
        <v>0</v>
      </c>
      <c r="C2674">
        <v>3</v>
      </c>
      <c r="D2674">
        <v>5</v>
      </c>
      <c r="E2674">
        <v>0</v>
      </c>
      <c r="F2674">
        <v>1</v>
      </c>
      <c r="G2674">
        <v>8942</v>
      </c>
      <c r="H2674">
        <v>0</v>
      </c>
      <c r="I2674">
        <v>1</v>
      </c>
    </row>
    <row r="2675" spans="1:9" x14ac:dyDescent="0.25">
      <c r="A2675">
        <v>86</v>
      </c>
      <c r="B2675">
        <v>0</v>
      </c>
      <c r="C2675">
        <v>6</v>
      </c>
      <c r="D2675">
        <v>4</v>
      </c>
      <c r="E2675">
        <v>0</v>
      </c>
      <c r="F2675">
        <v>1</v>
      </c>
      <c r="G2675">
        <v>9792</v>
      </c>
      <c r="H2675">
        <v>0</v>
      </c>
      <c r="I2675">
        <v>1</v>
      </c>
    </row>
    <row r="2676" spans="1:9" x14ac:dyDescent="0.25">
      <c r="A2676">
        <v>86</v>
      </c>
      <c r="B2676">
        <v>1</v>
      </c>
      <c r="C2676">
        <v>7</v>
      </c>
      <c r="D2676">
        <v>4</v>
      </c>
      <c r="E2676">
        <v>3</v>
      </c>
      <c r="F2676">
        <v>1</v>
      </c>
      <c r="G2676">
        <v>26851</v>
      </c>
      <c r="H2676">
        <v>0</v>
      </c>
      <c r="I2676">
        <v>1</v>
      </c>
    </row>
    <row r="2677" spans="1:9" x14ac:dyDescent="0.25">
      <c r="A2677">
        <v>86</v>
      </c>
      <c r="B2677">
        <v>0</v>
      </c>
      <c r="C2677">
        <v>6</v>
      </c>
      <c r="D2677">
        <v>4</v>
      </c>
      <c r="E2677">
        <v>1</v>
      </c>
      <c r="F2677">
        <v>1</v>
      </c>
      <c r="G2677">
        <v>17849</v>
      </c>
      <c r="H2677">
        <v>0</v>
      </c>
      <c r="I2677">
        <v>1</v>
      </c>
    </row>
    <row r="2678" spans="1:9" x14ac:dyDescent="0.25">
      <c r="A2678">
        <v>86</v>
      </c>
      <c r="B2678">
        <v>0</v>
      </c>
      <c r="C2678">
        <v>10</v>
      </c>
      <c r="D2678">
        <v>4</v>
      </c>
      <c r="E2678">
        <v>2</v>
      </c>
      <c r="F2678">
        <v>1</v>
      </c>
      <c r="G2678">
        <v>21932</v>
      </c>
      <c r="H2678">
        <v>0</v>
      </c>
      <c r="I2678">
        <v>1</v>
      </c>
    </row>
    <row r="2679" spans="1:9" x14ac:dyDescent="0.25">
      <c r="A2679">
        <v>86</v>
      </c>
      <c r="B2679">
        <v>0</v>
      </c>
      <c r="C2679">
        <v>9</v>
      </c>
      <c r="D2679">
        <v>9</v>
      </c>
      <c r="E2679">
        <v>1</v>
      </c>
      <c r="F2679">
        <v>1</v>
      </c>
      <c r="G2679">
        <v>44552</v>
      </c>
      <c r="H2679">
        <v>0</v>
      </c>
      <c r="I2679">
        <v>1</v>
      </c>
    </row>
    <row r="2680" spans="1:9" x14ac:dyDescent="0.25">
      <c r="A2680">
        <v>86</v>
      </c>
      <c r="B2680">
        <v>1</v>
      </c>
      <c r="C2680">
        <v>11</v>
      </c>
      <c r="D2680">
        <v>5</v>
      </c>
      <c r="E2680">
        <v>0</v>
      </c>
      <c r="F2680">
        <v>1</v>
      </c>
      <c r="G2680">
        <v>23895</v>
      </c>
      <c r="H2680">
        <v>0</v>
      </c>
      <c r="I2680">
        <v>1</v>
      </c>
    </row>
    <row r="2681" spans="1:9" x14ac:dyDescent="0.25">
      <c r="A2681">
        <v>86</v>
      </c>
      <c r="B2681">
        <v>0</v>
      </c>
      <c r="C2681">
        <v>4</v>
      </c>
      <c r="D2681">
        <v>6</v>
      </c>
      <c r="E2681">
        <v>0</v>
      </c>
      <c r="F2681">
        <v>1</v>
      </c>
      <c r="G2681">
        <v>9157</v>
      </c>
      <c r="H2681">
        <v>0</v>
      </c>
      <c r="I2681">
        <v>1</v>
      </c>
    </row>
    <row r="2682" spans="1:9" x14ac:dyDescent="0.25">
      <c r="A2682">
        <v>86</v>
      </c>
      <c r="B2682">
        <v>0</v>
      </c>
      <c r="C2682">
        <v>5</v>
      </c>
      <c r="D2682">
        <v>5</v>
      </c>
      <c r="E2682">
        <v>0</v>
      </c>
      <c r="F2682">
        <v>1</v>
      </c>
      <c r="G2682">
        <v>9304</v>
      </c>
      <c r="H2682">
        <v>0</v>
      </c>
      <c r="I2682">
        <v>1</v>
      </c>
    </row>
    <row r="2683" spans="1:9" x14ac:dyDescent="0.25">
      <c r="A2683">
        <v>86</v>
      </c>
      <c r="B2683">
        <v>0</v>
      </c>
      <c r="C2683">
        <v>9</v>
      </c>
      <c r="D2683">
        <v>3</v>
      </c>
      <c r="E2683">
        <v>0</v>
      </c>
      <c r="F2683">
        <v>1</v>
      </c>
      <c r="G2683">
        <v>13903</v>
      </c>
      <c r="H2683">
        <v>0</v>
      </c>
      <c r="I2683">
        <v>1</v>
      </c>
    </row>
    <row r="2684" spans="1:9" x14ac:dyDescent="0.25">
      <c r="A2684">
        <v>86</v>
      </c>
      <c r="B2684">
        <v>1</v>
      </c>
      <c r="C2684">
        <v>2</v>
      </c>
      <c r="D2684">
        <v>2</v>
      </c>
      <c r="E2684">
        <v>0</v>
      </c>
      <c r="F2684">
        <v>1</v>
      </c>
      <c r="G2684">
        <v>7110</v>
      </c>
      <c r="H2684">
        <v>0</v>
      </c>
      <c r="I2684">
        <v>1</v>
      </c>
    </row>
    <row r="2685" spans="1:9" x14ac:dyDescent="0.25">
      <c r="A2685">
        <v>86</v>
      </c>
      <c r="B2685">
        <v>1</v>
      </c>
      <c r="C2685">
        <v>7</v>
      </c>
      <c r="D2685">
        <v>4</v>
      </c>
      <c r="E2685">
        <v>4</v>
      </c>
      <c r="F2685">
        <v>1</v>
      </c>
      <c r="G2685">
        <v>17680</v>
      </c>
      <c r="H2685">
        <v>0</v>
      </c>
      <c r="I2685">
        <v>1</v>
      </c>
    </row>
    <row r="2686" spans="1:9" x14ac:dyDescent="0.25">
      <c r="A2686">
        <v>86</v>
      </c>
      <c r="B2686">
        <v>1</v>
      </c>
      <c r="C2686">
        <v>6</v>
      </c>
      <c r="D2686">
        <v>4</v>
      </c>
      <c r="E2686">
        <v>0</v>
      </c>
      <c r="F2686">
        <v>1</v>
      </c>
      <c r="G2686">
        <v>14949</v>
      </c>
      <c r="H2686">
        <v>0</v>
      </c>
      <c r="I2686">
        <v>1</v>
      </c>
    </row>
    <row r="2687" spans="1:9" x14ac:dyDescent="0.25">
      <c r="A2687">
        <v>86</v>
      </c>
      <c r="B2687">
        <v>1</v>
      </c>
      <c r="C2687">
        <v>7</v>
      </c>
      <c r="D2687">
        <v>4</v>
      </c>
      <c r="E2687">
        <v>0</v>
      </c>
      <c r="F2687">
        <v>1</v>
      </c>
      <c r="G2687">
        <v>15896</v>
      </c>
      <c r="H2687">
        <v>0</v>
      </c>
      <c r="I2687">
        <v>1</v>
      </c>
    </row>
    <row r="2688" spans="1:9" x14ac:dyDescent="0.25">
      <c r="A2688">
        <v>86</v>
      </c>
      <c r="B2688">
        <v>0</v>
      </c>
      <c r="C2688">
        <v>10</v>
      </c>
      <c r="D2688">
        <v>6</v>
      </c>
      <c r="E2688">
        <v>0</v>
      </c>
      <c r="F2688">
        <v>1</v>
      </c>
      <c r="G2688">
        <v>17598</v>
      </c>
      <c r="H2688">
        <v>0</v>
      </c>
      <c r="I2688">
        <v>1</v>
      </c>
    </row>
    <row r="2689" spans="1:9" x14ac:dyDescent="0.25">
      <c r="A2689">
        <v>86</v>
      </c>
      <c r="B2689">
        <v>1</v>
      </c>
      <c r="C2689">
        <v>3</v>
      </c>
      <c r="D2689">
        <v>6</v>
      </c>
      <c r="E2689">
        <v>0</v>
      </c>
      <c r="F2689">
        <v>1</v>
      </c>
      <c r="G2689">
        <v>6982</v>
      </c>
      <c r="H2689">
        <v>0</v>
      </c>
      <c r="I2689">
        <v>1</v>
      </c>
    </row>
    <row r="2690" spans="1:9" x14ac:dyDescent="0.25">
      <c r="A2690">
        <v>86</v>
      </c>
      <c r="B2690">
        <v>1</v>
      </c>
      <c r="C2690">
        <v>1</v>
      </c>
      <c r="D2690">
        <v>4</v>
      </c>
      <c r="E2690">
        <v>0</v>
      </c>
      <c r="F2690">
        <v>1</v>
      </c>
      <c r="G2690">
        <v>7158</v>
      </c>
      <c r="H2690">
        <v>0</v>
      </c>
      <c r="I2690">
        <v>1</v>
      </c>
    </row>
    <row r="2691" spans="1:9" x14ac:dyDescent="0.25">
      <c r="A2691">
        <v>85</v>
      </c>
      <c r="B2691">
        <v>0</v>
      </c>
      <c r="C2691">
        <v>9</v>
      </c>
      <c r="D2691">
        <v>2</v>
      </c>
      <c r="E2691">
        <v>0</v>
      </c>
      <c r="F2691">
        <v>1</v>
      </c>
      <c r="G2691">
        <v>36333</v>
      </c>
      <c r="H2691">
        <v>0</v>
      </c>
      <c r="I2691">
        <v>1</v>
      </c>
    </row>
    <row r="2692" spans="1:9" x14ac:dyDescent="0.25">
      <c r="A2692">
        <v>85</v>
      </c>
      <c r="B2692">
        <v>0</v>
      </c>
      <c r="C2692">
        <v>4</v>
      </c>
      <c r="D2692">
        <v>7</v>
      </c>
      <c r="E2692">
        <v>0</v>
      </c>
      <c r="F2692">
        <v>1</v>
      </c>
      <c r="G2692">
        <v>13521</v>
      </c>
      <c r="H2692">
        <v>0</v>
      </c>
      <c r="I2692">
        <v>1</v>
      </c>
    </row>
    <row r="2693" spans="1:9" x14ac:dyDescent="0.25">
      <c r="A2693">
        <v>85</v>
      </c>
      <c r="B2693">
        <v>1</v>
      </c>
      <c r="C2693">
        <v>19</v>
      </c>
      <c r="D2693">
        <v>2</v>
      </c>
      <c r="E2693">
        <v>0</v>
      </c>
      <c r="F2693">
        <v>1</v>
      </c>
      <c r="G2693">
        <v>28055</v>
      </c>
      <c r="H2693">
        <v>0</v>
      </c>
      <c r="I2693">
        <v>1</v>
      </c>
    </row>
    <row r="2694" spans="1:9" x14ac:dyDescent="0.25">
      <c r="A2694">
        <v>85</v>
      </c>
      <c r="B2694">
        <v>1</v>
      </c>
      <c r="C2694">
        <v>1</v>
      </c>
      <c r="D2694">
        <v>3</v>
      </c>
      <c r="E2694">
        <v>0</v>
      </c>
      <c r="F2694">
        <v>1</v>
      </c>
      <c r="G2694">
        <v>6730</v>
      </c>
      <c r="H2694">
        <v>0</v>
      </c>
      <c r="I2694">
        <v>1</v>
      </c>
    </row>
    <row r="2695" spans="1:9" x14ac:dyDescent="0.25">
      <c r="A2695">
        <v>85</v>
      </c>
      <c r="B2695">
        <v>1</v>
      </c>
      <c r="C2695">
        <v>5</v>
      </c>
      <c r="D2695">
        <v>6</v>
      </c>
      <c r="E2695">
        <v>1</v>
      </c>
      <c r="F2695">
        <v>1</v>
      </c>
      <c r="G2695">
        <v>20894</v>
      </c>
      <c r="H2695">
        <v>0</v>
      </c>
      <c r="I2695">
        <v>1</v>
      </c>
    </row>
    <row r="2696" spans="1:9" x14ac:dyDescent="0.25">
      <c r="A2696">
        <v>85</v>
      </c>
      <c r="B2696">
        <v>1</v>
      </c>
      <c r="C2696">
        <v>5</v>
      </c>
      <c r="D2696">
        <v>3</v>
      </c>
      <c r="E2696">
        <v>0</v>
      </c>
      <c r="F2696">
        <v>1</v>
      </c>
      <c r="G2696">
        <v>17788</v>
      </c>
      <c r="H2696">
        <v>0</v>
      </c>
      <c r="I2696">
        <v>1</v>
      </c>
    </row>
    <row r="2697" spans="1:9" x14ac:dyDescent="0.25">
      <c r="A2697">
        <v>85</v>
      </c>
      <c r="B2697">
        <v>0</v>
      </c>
      <c r="C2697">
        <v>22</v>
      </c>
      <c r="D2697">
        <v>4</v>
      </c>
      <c r="E2697">
        <v>0</v>
      </c>
      <c r="F2697">
        <v>1</v>
      </c>
      <c r="G2697">
        <v>42039</v>
      </c>
      <c r="H2697">
        <v>0</v>
      </c>
      <c r="I2697">
        <v>1</v>
      </c>
    </row>
    <row r="2698" spans="1:9" x14ac:dyDescent="0.25">
      <c r="A2698">
        <v>85</v>
      </c>
      <c r="B2698">
        <v>1</v>
      </c>
      <c r="C2698">
        <v>14</v>
      </c>
      <c r="D2698">
        <v>4</v>
      </c>
      <c r="E2698">
        <v>0</v>
      </c>
      <c r="F2698">
        <v>1</v>
      </c>
      <c r="G2698">
        <v>22479</v>
      </c>
      <c r="H2698">
        <v>0</v>
      </c>
      <c r="I2698">
        <v>1</v>
      </c>
    </row>
    <row r="2699" spans="1:9" x14ac:dyDescent="0.25">
      <c r="A2699">
        <v>85</v>
      </c>
      <c r="B2699">
        <v>0</v>
      </c>
      <c r="C2699">
        <v>4</v>
      </c>
      <c r="D2699">
        <v>5</v>
      </c>
      <c r="E2699">
        <v>4</v>
      </c>
      <c r="F2699">
        <v>1</v>
      </c>
      <c r="G2699">
        <v>13050</v>
      </c>
      <c r="H2699">
        <v>0</v>
      </c>
      <c r="I2699">
        <v>1</v>
      </c>
    </row>
    <row r="2700" spans="1:9" x14ac:dyDescent="0.25">
      <c r="A2700">
        <v>85</v>
      </c>
      <c r="B2700">
        <v>1</v>
      </c>
      <c r="C2700">
        <v>6</v>
      </c>
      <c r="D2700">
        <v>6</v>
      </c>
      <c r="E2700">
        <v>0</v>
      </c>
      <c r="F2700">
        <v>1</v>
      </c>
      <c r="G2700">
        <v>11771</v>
      </c>
      <c r="H2700">
        <v>0</v>
      </c>
      <c r="I2700">
        <v>1</v>
      </c>
    </row>
    <row r="2701" spans="1:9" x14ac:dyDescent="0.25">
      <c r="A2701">
        <v>85</v>
      </c>
      <c r="B2701">
        <v>1</v>
      </c>
      <c r="C2701">
        <v>3</v>
      </c>
      <c r="D2701">
        <v>6</v>
      </c>
      <c r="E2701">
        <v>1</v>
      </c>
      <c r="F2701">
        <v>1</v>
      </c>
      <c r="G2701">
        <v>10364</v>
      </c>
      <c r="H2701">
        <v>0</v>
      </c>
      <c r="I2701">
        <v>1</v>
      </c>
    </row>
    <row r="2702" spans="1:9" x14ac:dyDescent="0.25">
      <c r="A2702">
        <v>85</v>
      </c>
      <c r="B2702">
        <v>0</v>
      </c>
      <c r="C2702">
        <v>3</v>
      </c>
      <c r="D2702">
        <v>5</v>
      </c>
      <c r="E2702">
        <v>0</v>
      </c>
      <c r="F2702">
        <v>1</v>
      </c>
      <c r="G2702">
        <v>6356</v>
      </c>
      <c r="H2702">
        <v>0</v>
      </c>
      <c r="I2702">
        <v>1</v>
      </c>
    </row>
    <row r="2703" spans="1:9" x14ac:dyDescent="0.25">
      <c r="A2703">
        <v>85</v>
      </c>
      <c r="B2703">
        <v>1</v>
      </c>
      <c r="C2703">
        <v>8</v>
      </c>
      <c r="D2703">
        <v>4</v>
      </c>
      <c r="E2703">
        <v>0</v>
      </c>
      <c r="F2703">
        <v>1</v>
      </c>
      <c r="G2703">
        <v>11058</v>
      </c>
      <c r="H2703">
        <v>0</v>
      </c>
      <c r="I2703">
        <v>1</v>
      </c>
    </row>
    <row r="2704" spans="1:9" x14ac:dyDescent="0.25">
      <c r="A2704">
        <v>85</v>
      </c>
      <c r="B2704">
        <v>1</v>
      </c>
      <c r="C2704">
        <v>9</v>
      </c>
      <c r="D2704">
        <v>5</v>
      </c>
      <c r="E2704">
        <v>2</v>
      </c>
      <c r="F2704">
        <v>1</v>
      </c>
      <c r="G2704">
        <v>17201</v>
      </c>
      <c r="H2704">
        <v>0</v>
      </c>
      <c r="I2704">
        <v>1</v>
      </c>
    </row>
    <row r="2705" spans="1:9" x14ac:dyDescent="0.25">
      <c r="A2705">
        <v>85</v>
      </c>
      <c r="B2705">
        <v>0</v>
      </c>
      <c r="C2705">
        <v>5</v>
      </c>
      <c r="D2705">
        <v>4</v>
      </c>
      <c r="E2705">
        <v>0</v>
      </c>
      <c r="F2705">
        <v>1</v>
      </c>
      <c r="G2705">
        <v>8467</v>
      </c>
      <c r="H2705">
        <v>0</v>
      </c>
      <c r="I2705">
        <v>1</v>
      </c>
    </row>
    <row r="2706" spans="1:9" x14ac:dyDescent="0.25">
      <c r="A2706">
        <v>85</v>
      </c>
      <c r="B2706">
        <v>0</v>
      </c>
      <c r="C2706">
        <v>12</v>
      </c>
      <c r="D2706">
        <v>5</v>
      </c>
      <c r="E2706">
        <v>0</v>
      </c>
      <c r="F2706">
        <v>1</v>
      </c>
      <c r="G2706">
        <v>51537</v>
      </c>
      <c r="H2706">
        <v>0</v>
      </c>
      <c r="I2706">
        <v>1</v>
      </c>
    </row>
    <row r="2707" spans="1:9" x14ac:dyDescent="0.25">
      <c r="A2707">
        <v>85</v>
      </c>
      <c r="B2707">
        <v>0</v>
      </c>
      <c r="C2707">
        <v>3</v>
      </c>
      <c r="D2707">
        <v>4</v>
      </c>
      <c r="E2707">
        <v>6</v>
      </c>
      <c r="F2707">
        <v>1</v>
      </c>
      <c r="G2707">
        <v>10046</v>
      </c>
      <c r="H2707">
        <v>0</v>
      </c>
      <c r="I2707">
        <v>1</v>
      </c>
    </row>
    <row r="2708" spans="1:9" x14ac:dyDescent="0.25">
      <c r="A2708">
        <v>85</v>
      </c>
      <c r="B2708">
        <v>0</v>
      </c>
      <c r="C2708">
        <v>10</v>
      </c>
      <c r="D2708">
        <v>5</v>
      </c>
      <c r="E2708">
        <v>0</v>
      </c>
      <c r="F2708">
        <v>1</v>
      </c>
      <c r="G2708">
        <v>23732</v>
      </c>
      <c r="H2708">
        <v>0</v>
      </c>
      <c r="I2708">
        <v>1</v>
      </c>
    </row>
    <row r="2709" spans="1:9" x14ac:dyDescent="0.25">
      <c r="A2709">
        <v>85</v>
      </c>
      <c r="B2709">
        <v>1</v>
      </c>
      <c r="C2709">
        <v>10</v>
      </c>
      <c r="D2709">
        <v>7</v>
      </c>
      <c r="E2709">
        <v>0</v>
      </c>
      <c r="F2709">
        <v>1</v>
      </c>
      <c r="G2709">
        <v>16209</v>
      </c>
      <c r="H2709">
        <v>0</v>
      </c>
      <c r="I2709">
        <v>1</v>
      </c>
    </row>
    <row r="2710" spans="1:9" x14ac:dyDescent="0.25">
      <c r="A2710">
        <v>85</v>
      </c>
      <c r="B2710">
        <v>1</v>
      </c>
      <c r="C2710">
        <v>7</v>
      </c>
      <c r="D2710">
        <v>3</v>
      </c>
      <c r="E2710">
        <v>2</v>
      </c>
      <c r="F2710">
        <v>1</v>
      </c>
      <c r="G2710">
        <v>17997</v>
      </c>
      <c r="H2710">
        <v>0</v>
      </c>
      <c r="I2710">
        <v>1</v>
      </c>
    </row>
    <row r="2711" spans="1:9" x14ac:dyDescent="0.25">
      <c r="A2711">
        <v>85</v>
      </c>
      <c r="B2711">
        <v>1</v>
      </c>
      <c r="C2711">
        <v>3</v>
      </c>
      <c r="D2711">
        <v>6</v>
      </c>
      <c r="E2711">
        <v>1</v>
      </c>
      <c r="F2711">
        <v>1</v>
      </c>
      <c r="G2711">
        <v>11140</v>
      </c>
      <c r="H2711">
        <v>0</v>
      </c>
      <c r="I2711">
        <v>1</v>
      </c>
    </row>
    <row r="2712" spans="1:9" x14ac:dyDescent="0.25">
      <c r="A2712">
        <v>85</v>
      </c>
      <c r="B2712">
        <v>1</v>
      </c>
      <c r="C2712">
        <v>5</v>
      </c>
      <c r="D2712">
        <v>2</v>
      </c>
      <c r="E2712">
        <v>0</v>
      </c>
      <c r="F2712">
        <v>1</v>
      </c>
      <c r="G2712">
        <v>11419</v>
      </c>
      <c r="H2712">
        <v>0</v>
      </c>
      <c r="I2712">
        <v>1</v>
      </c>
    </row>
    <row r="2713" spans="1:9" x14ac:dyDescent="0.25">
      <c r="A2713">
        <v>85</v>
      </c>
      <c r="B2713">
        <v>0</v>
      </c>
      <c r="C2713">
        <v>4</v>
      </c>
      <c r="D2713">
        <v>4</v>
      </c>
      <c r="E2713">
        <v>0</v>
      </c>
      <c r="F2713">
        <v>1</v>
      </c>
      <c r="G2713">
        <v>8272</v>
      </c>
      <c r="H2713">
        <v>0</v>
      </c>
      <c r="I2713">
        <v>1</v>
      </c>
    </row>
    <row r="2714" spans="1:9" x14ac:dyDescent="0.25">
      <c r="A2714">
        <v>85</v>
      </c>
      <c r="B2714">
        <v>0</v>
      </c>
      <c r="C2714">
        <v>8</v>
      </c>
      <c r="D2714">
        <v>5</v>
      </c>
      <c r="E2714">
        <v>1</v>
      </c>
      <c r="F2714">
        <v>1</v>
      </c>
      <c r="G2714">
        <v>23604</v>
      </c>
      <c r="H2714">
        <v>0</v>
      </c>
      <c r="I2714">
        <v>1</v>
      </c>
    </row>
    <row r="2715" spans="1:9" x14ac:dyDescent="0.25">
      <c r="A2715">
        <v>85</v>
      </c>
      <c r="B2715">
        <v>1</v>
      </c>
      <c r="C2715">
        <v>7</v>
      </c>
      <c r="D2715">
        <v>6</v>
      </c>
      <c r="E2715">
        <v>0</v>
      </c>
      <c r="F2715">
        <v>1</v>
      </c>
      <c r="G2715">
        <v>10224</v>
      </c>
      <c r="H2715">
        <v>0</v>
      </c>
      <c r="I2715">
        <v>1</v>
      </c>
    </row>
    <row r="2716" spans="1:9" x14ac:dyDescent="0.25">
      <c r="A2716">
        <v>85</v>
      </c>
      <c r="B2716">
        <v>1</v>
      </c>
      <c r="C2716">
        <v>4</v>
      </c>
      <c r="D2716">
        <v>3</v>
      </c>
      <c r="E2716">
        <v>1</v>
      </c>
      <c r="F2716">
        <v>1</v>
      </c>
      <c r="G2716">
        <v>43165</v>
      </c>
      <c r="H2716">
        <v>1</v>
      </c>
      <c r="I2716">
        <v>1</v>
      </c>
    </row>
    <row r="2717" spans="1:9" x14ac:dyDescent="0.25">
      <c r="A2717">
        <v>85</v>
      </c>
      <c r="B2717">
        <v>1</v>
      </c>
      <c r="C2717">
        <v>5</v>
      </c>
      <c r="D2717">
        <v>0</v>
      </c>
      <c r="E2717">
        <v>3</v>
      </c>
      <c r="F2717">
        <v>1</v>
      </c>
      <c r="G2717">
        <v>16388</v>
      </c>
      <c r="H2717">
        <v>1</v>
      </c>
      <c r="I2717">
        <v>1</v>
      </c>
    </row>
    <row r="2718" spans="1:9" x14ac:dyDescent="0.25">
      <c r="A2718">
        <v>84</v>
      </c>
      <c r="B2718">
        <v>1</v>
      </c>
      <c r="C2718">
        <v>5</v>
      </c>
      <c r="D2718">
        <v>5</v>
      </c>
      <c r="E2718">
        <v>0</v>
      </c>
      <c r="F2718">
        <v>1</v>
      </c>
      <c r="G2718">
        <v>11115</v>
      </c>
      <c r="H2718">
        <v>0</v>
      </c>
      <c r="I2718">
        <v>1</v>
      </c>
    </row>
    <row r="2719" spans="1:9" x14ac:dyDescent="0.25">
      <c r="A2719">
        <v>84</v>
      </c>
      <c r="B2719">
        <v>0</v>
      </c>
      <c r="C2719">
        <v>7</v>
      </c>
      <c r="D2719">
        <v>1</v>
      </c>
      <c r="E2719">
        <v>0</v>
      </c>
      <c r="F2719">
        <v>1</v>
      </c>
      <c r="G2719">
        <v>23908</v>
      </c>
      <c r="H2719">
        <v>0</v>
      </c>
      <c r="I2719">
        <v>1</v>
      </c>
    </row>
    <row r="2720" spans="1:9" x14ac:dyDescent="0.25">
      <c r="A2720">
        <v>84</v>
      </c>
      <c r="B2720">
        <v>1</v>
      </c>
      <c r="C2720">
        <v>1</v>
      </c>
      <c r="D2720">
        <v>2</v>
      </c>
      <c r="E2720">
        <v>0</v>
      </c>
      <c r="F2720">
        <v>1</v>
      </c>
      <c r="G2720">
        <v>8980</v>
      </c>
      <c r="H2720">
        <v>0</v>
      </c>
      <c r="I2720">
        <v>1</v>
      </c>
    </row>
    <row r="2721" spans="1:9" x14ac:dyDescent="0.25">
      <c r="A2721">
        <v>84</v>
      </c>
      <c r="B2721">
        <v>1</v>
      </c>
      <c r="C2721">
        <v>7</v>
      </c>
      <c r="D2721">
        <v>2</v>
      </c>
      <c r="E2721">
        <v>0</v>
      </c>
      <c r="F2721">
        <v>1</v>
      </c>
      <c r="G2721">
        <v>27316</v>
      </c>
      <c r="H2721">
        <v>0</v>
      </c>
      <c r="I2721">
        <v>1</v>
      </c>
    </row>
    <row r="2722" spans="1:9" x14ac:dyDescent="0.25">
      <c r="A2722">
        <v>84</v>
      </c>
      <c r="B2722">
        <v>1</v>
      </c>
      <c r="C2722">
        <v>2</v>
      </c>
      <c r="D2722">
        <v>4</v>
      </c>
      <c r="E2722">
        <v>0</v>
      </c>
      <c r="F2722">
        <v>1</v>
      </c>
      <c r="G2722">
        <v>10318</v>
      </c>
      <c r="H2722">
        <v>0</v>
      </c>
      <c r="I2722">
        <v>1</v>
      </c>
    </row>
    <row r="2723" spans="1:9" x14ac:dyDescent="0.25">
      <c r="A2723">
        <v>84</v>
      </c>
      <c r="B2723">
        <v>1</v>
      </c>
      <c r="C2723">
        <v>11</v>
      </c>
      <c r="D2723">
        <v>6</v>
      </c>
      <c r="E2723">
        <v>2</v>
      </c>
      <c r="F2723">
        <v>1</v>
      </c>
      <c r="G2723">
        <v>45144</v>
      </c>
      <c r="H2723">
        <v>0</v>
      </c>
      <c r="I2723">
        <v>1</v>
      </c>
    </row>
    <row r="2724" spans="1:9" x14ac:dyDescent="0.25">
      <c r="A2724">
        <v>84</v>
      </c>
      <c r="B2724">
        <v>1</v>
      </c>
      <c r="C2724">
        <v>4</v>
      </c>
      <c r="D2724">
        <v>5</v>
      </c>
      <c r="E2724">
        <v>3</v>
      </c>
      <c r="F2724">
        <v>1</v>
      </c>
      <c r="G2724">
        <v>43071</v>
      </c>
      <c r="H2724">
        <v>1</v>
      </c>
      <c r="I2724">
        <v>1</v>
      </c>
    </row>
    <row r="2725" spans="1:9" x14ac:dyDescent="0.25">
      <c r="A2725">
        <v>84</v>
      </c>
      <c r="B2725">
        <v>1</v>
      </c>
      <c r="C2725">
        <v>4</v>
      </c>
      <c r="D2725">
        <v>2</v>
      </c>
      <c r="E2725">
        <v>1</v>
      </c>
      <c r="F2725">
        <v>1</v>
      </c>
      <c r="G2725">
        <v>26586</v>
      </c>
      <c r="H2725">
        <v>1</v>
      </c>
      <c r="I2725">
        <v>1</v>
      </c>
    </row>
    <row r="2726" spans="1:9" x14ac:dyDescent="0.25">
      <c r="A2726">
        <v>84</v>
      </c>
      <c r="B2726">
        <v>0</v>
      </c>
      <c r="C2726">
        <v>8</v>
      </c>
      <c r="D2726">
        <v>6</v>
      </c>
      <c r="E2726">
        <v>1</v>
      </c>
      <c r="F2726">
        <v>1</v>
      </c>
      <c r="G2726">
        <v>38365</v>
      </c>
      <c r="H2726">
        <v>1</v>
      </c>
      <c r="I2726">
        <v>1</v>
      </c>
    </row>
    <row r="2727" spans="1:9" x14ac:dyDescent="0.25">
      <c r="A2727">
        <v>84</v>
      </c>
      <c r="B2727">
        <v>1</v>
      </c>
      <c r="C2727">
        <v>7</v>
      </c>
      <c r="D2727">
        <v>2</v>
      </c>
      <c r="E2727">
        <v>1</v>
      </c>
      <c r="F2727">
        <v>1</v>
      </c>
      <c r="G2727">
        <v>23221</v>
      </c>
      <c r="H2727">
        <v>1</v>
      </c>
      <c r="I2727">
        <v>1</v>
      </c>
    </row>
    <row r="2728" spans="1:9" x14ac:dyDescent="0.25">
      <c r="A2728">
        <v>84</v>
      </c>
      <c r="B2728">
        <v>0</v>
      </c>
      <c r="C2728">
        <v>3</v>
      </c>
      <c r="D2728">
        <v>3</v>
      </c>
      <c r="E2728">
        <v>1</v>
      </c>
      <c r="F2728">
        <v>1</v>
      </c>
      <c r="G2728">
        <v>15744</v>
      </c>
      <c r="H2728">
        <v>1</v>
      </c>
      <c r="I2728">
        <v>1</v>
      </c>
    </row>
    <row r="2729" spans="1:9" x14ac:dyDescent="0.25">
      <c r="A2729">
        <v>83</v>
      </c>
      <c r="B2729">
        <v>0</v>
      </c>
      <c r="C2729">
        <v>5</v>
      </c>
      <c r="D2729">
        <v>5</v>
      </c>
      <c r="E2729">
        <v>0</v>
      </c>
      <c r="F2729">
        <v>1</v>
      </c>
      <c r="G2729">
        <v>11851</v>
      </c>
      <c r="H2729">
        <v>0</v>
      </c>
      <c r="I2729">
        <v>1</v>
      </c>
    </row>
    <row r="2730" spans="1:9" x14ac:dyDescent="0.25">
      <c r="A2730">
        <v>83</v>
      </c>
      <c r="B2730">
        <v>1</v>
      </c>
      <c r="C2730">
        <v>20</v>
      </c>
      <c r="D2730">
        <v>4</v>
      </c>
      <c r="E2730">
        <v>0</v>
      </c>
      <c r="F2730">
        <v>1</v>
      </c>
      <c r="G2730">
        <v>39040</v>
      </c>
      <c r="H2730">
        <v>0</v>
      </c>
      <c r="I2730">
        <v>1</v>
      </c>
    </row>
    <row r="2731" spans="1:9" x14ac:dyDescent="0.25">
      <c r="A2731">
        <v>83</v>
      </c>
      <c r="B2731">
        <v>1</v>
      </c>
      <c r="C2731">
        <v>3</v>
      </c>
      <c r="D2731">
        <v>4</v>
      </c>
      <c r="E2731">
        <v>0</v>
      </c>
      <c r="F2731">
        <v>1</v>
      </c>
      <c r="G2731">
        <v>12919</v>
      </c>
      <c r="H2731">
        <v>0</v>
      </c>
      <c r="I2731">
        <v>1</v>
      </c>
    </row>
    <row r="2732" spans="1:9" x14ac:dyDescent="0.25">
      <c r="A2732">
        <v>83</v>
      </c>
      <c r="B2732">
        <v>0</v>
      </c>
      <c r="C2732">
        <v>7</v>
      </c>
      <c r="D2732">
        <v>4</v>
      </c>
      <c r="E2732">
        <v>0</v>
      </c>
      <c r="F2732">
        <v>1</v>
      </c>
      <c r="G2732">
        <v>18739</v>
      </c>
      <c r="H2732">
        <v>0</v>
      </c>
      <c r="I2732">
        <v>1</v>
      </c>
    </row>
    <row r="2733" spans="1:9" x14ac:dyDescent="0.25">
      <c r="A2733">
        <v>83</v>
      </c>
      <c r="B2733">
        <v>0</v>
      </c>
      <c r="C2733">
        <v>4</v>
      </c>
      <c r="D2733">
        <v>5</v>
      </c>
      <c r="E2733">
        <v>0</v>
      </c>
      <c r="F2733">
        <v>1</v>
      </c>
      <c r="G2733">
        <v>15323</v>
      </c>
      <c r="H2733">
        <v>0</v>
      </c>
      <c r="I2733">
        <v>1</v>
      </c>
    </row>
    <row r="2734" spans="1:9" x14ac:dyDescent="0.25">
      <c r="A2734">
        <v>83</v>
      </c>
      <c r="B2734">
        <v>0</v>
      </c>
      <c r="C2734">
        <v>2</v>
      </c>
      <c r="D2734">
        <v>3</v>
      </c>
      <c r="E2734">
        <v>1</v>
      </c>
      <c r="F2734">
        <v>1</v>
      </c>
      <c r="G2734">
        <v>11426</v>
      </c>
      <c r="H2734">
        <v>0</v>
      </c>
      <c r="I2734">
        <v>1</v>
      </c>
    </row>
    <row r="2735" spans="1:9" x14ac:dyDescent="0.25">
      <c r="A2735">
        <v>83</v>
      </c>
      <c r="B2735">
        <v>0</v>
      </c>
      <c r="C2735">
        <v>24</v>
      </c>
      <c r="D2735">
        <v>6</v>
      </c>
      <c r="E2735">
        <v>3</v>
      </c>
      <c r="F2735">
        <v>1</v>
      </c>
      <c r="G2735">
        <v>71537</v>
      </c>
      <c r="H2735">
        <v>0</v>
      </c>
      <c r="I2735">
        <v>1</v>
      </c>
    </row>
    <row r="2736" spans="1:9" x14ac:dyDescent="0.25">
      <c r="A2736">
        <v>83</v>
      </c>
      <c r="B2736">
        <v>0</v>
      </c>
      <c r="C2736">
        <v>13</v>
      </c>
      <c r="D2736">
        <v>3</v>
      </c>
      <c r="E2736">
        <v>6</v>
      </c>
      <c r="F2736">
        <v>1</v>
      </c>
      <c r="G2736">
        <v>67898</v>
      </c>
      <c r="H2736">
        <v>0</v>
      </c>
      <c r="I2736">
        <v>1</v>
      </c>
    </row>
    <row r="2737" spans="1:9" x14ac:dyDescent="0.25">
      <c r="A2737">
        <v>83</v>
      </c>
      <c r="B2737">
        <v>0</v>
      </c>
      <c r="C2737">
        <v>6</v>
      </c>
      <c r="D2737">
        <v>4</v>
      </c>
      <c r="E2737">
        <v>1</v>
      </c>
      <c r="F2737">
        <v>1</v>
      </c>
      <c r="G2737">
        <v>21493</v>
      </c>
      <c r="H2737">
        <v>0</v>
      </c>
      <c r="I2737">
        <v>1</v>
      </c>
    </row>
    <row r="2738" spans="1:9" x14ac:dyDescent="0.25">
      <c r="A2738">
        <v>83</v>
      </c>
      <c r="B2738">
        <v>1</v>
      </c>
      <c r="C2738">
        <v>3</v>
      </c>
      <c r="D2738">
        <v>6</v>
      </c>
      <c r="E2738">
        <v>1</v>
      </c>
      <c r="F2738">
        <v>1</v>
      </c>
      <c r="G2738">
        <v>9797</v>
      </c>
      <c r="H2738">
        <v>0</v>
      </c>
      <c r="I2738">
        <v>1</v>
      </c>
    </row>
    <row r="2739" spans="1:9" x14ac:dyDescent="0.25">
      <c r="A2739">
        <v>83</v>
      </c>
      <c r="B2739">
        <v>1</v>
      </c>
      <c r="C2739">
        <v>1</v>
      </c>
      <c r="D2739">
        <v>6</v>
      </c>
      <c r="E2739">
        <v>2</v>
      </c>
      <c r="F2739">
        <v>1</v>
      </c>
      <c r="G2739">
        <v>11086</v>
      </c>
      <c r="H2739">
        <v>0</v>
      </c>
      <c r="I2739">
        <v>1</v>
      </c>
    </row>
    <row r="2740" spans="1:9" x14ac:dyDescent="0.25">
      <c r="A2740">
        <v>83</v>
      </c>
      <c r="B2740">
        <v>0</v>
      </c>
      <c r="C2740">
        <v>4</v>
      </c>
      <c r="D2740">
        <v>2</v>
      </c>
      <c r="E2740">
        <v>0</v>
      </c>
      <c r="F2740">
        <v>1</v>
      </c>
      <c r="G2740">
        <v>12790</v>
      </c>
      <c r="H2740">
        <v>0</v>
      </c>
      <c r="I2740">
        <v>1</v>
      </c>
    </row>
    <row r="2741" spans="1:9" x14ac:dyDescent="0.25">
      <c r="A2741">
        <v>83</v>
      </c>
      <c r="B2741">
        <v>1</v>
      </c>
      <c r="C2741">
        <v>4</v>
      </c>
      <c r="D2741">
        <v>3</v>
      </c>
      <c r="E2741">
        <v>0</v>
      </c>
      <c r="F2741">
        <v>1</v>
      </c>
      <c r="G2741">
        <v>10404</v>
      </c>
      <c r="H2741">
        <v>0</v>
      </c>
      <c r="I2741">
        <v>1</v>
      </c>
    </row>
    <row r="2742" spans="1:9" x14ac:dyDescent="0.25">
      <c r="A2742">
        <v>83</v>
      </c>
      <c r="B2742">
        <v>1</v>
      </c>
      <c r="C2742">
        <v>8</v>
      </c>
      <c r="D2742">
        <v>5</v>
      </c>
      <c r="E2742">
        <v>1</v>
      </c>
      <c r="F2742">
        <v>1</v>
      </c>
      <c r="G2742">
        <v>21410</v>
      </c>
      <c r="H2742">
        <v>0</v>
      </c>
      <c r="I2742">
        <v>1</v>
      </c>
    </row>
    <row r="2743" spans="1:9" x14ac:dyDescent="0.25">
      <c r="A2743">
        <v>83</v>
      </c>
      <c r="B2743">
        <v>1</v>
      </c>
      <c r="C2743">
        <v>9</v>
      </c>
      <c r="D2743">
        <v>4</v>
      </c>
      <c r="E2743">
        <v>0</v>
      </c>
      <c r="F2743">
        <v>1</v>
      </c>
      <c r="G2743">
        <v>15248</v>
      </c>
      <c r="H2743">
        <v>0</v>
      </c>
      <c r="I2743">
        <v>1</v>
      </c>
    </row>
    <row r="2744" spans="1:9" x14ac:dyDescent="0.25">
      <c r="A2744">
        <v>83</v>
      </c>
      <c r="B2744">
        <v>0</v>
      </c>
      <c r="C2744">
        <v>7</v>
      </c>
      <c r="D2744">
        <v>7</v>
      </c>
      <c r="E2744">
        <v>3</v>
      </c>
      <c r="F2744">
        <v>1</v>
      </c>
      <c r="G2744">
        <v>29995</v>
      </c>
      <c r="H2744">
        <v>0</v>
      </c>
      <c r="I2744">
        <v>1</v>
      </c>
    </row>
    <row r="2745" spans="1:9" x14ac:dyDescent="0.25">
      <c r="A2745">
        <v>83</v>
      </c>
      <c r="B2745">
        <v>1</v>
      </c>
      <c r="C2745">
        <v>2</v>
      </c>
      <c r="D2745">
        <v>4</v>
      </c>
      <c r="E2745">
        <v>0</v>
      </c>
      <c r="F2745">
        <v>1</v>
      </c>
      <c r="G2745">
        <v>7857</v>
      </c>
      <c r="H2745">
        <v>0</v>
      </c>
      <c r="I2745">
        <v>1</v>
      </c>
    </row>
    <row r="2746" spans="1:9" x14ac:dyDescent="0.25">
      <c r="A2746">
        <v>83</v>
      </c>
      <c r="B2746">
        <v>1</v>
      </c>
      <c r="C2746">
        <v>5</v>
      </c>
      <c r="D2746">
        <v>4</v>
      </c>
      <c r="E2746">
        <v>0</v>
      </c>
      <c r="F2746">
        <v>1</v>
      </c>
      <c r="G2746">
        <v>12095</v>
      </c>
      <c r="H2746">
        <v>0</v>
      </c>
      <c r="I2746">
        <v>1</v>
      </c>
    </row>
    <row r="2747" spans="1:9" x14ac:dyDescent="0.25">
      <c r="A2747">
        <v>83</v>
      </c>
      <c r="B2747">
        <v>0</v>
      </c>
      <c r="C2747">
        <v>21</v>
      </c>
      <c r="D2747">
        <v>2</v>
      </c>
      <c r="E2747">
        <v>1</v>
      </c>
      <c r="F2747">
        <v>1</v>
      </c>
      <c r="G2747">
        <v>49984</v>
      </c>
      <c r="H2747">
        <v>0</v>
      </c>
      <c r="I2747">
        <v>1</v>
      </c>
    </row>
    <row r="2748" spans="1:9" x14ac:dyDescent="0.25">
      <c r="A2748">
        <v>83</v>
      </c>
      <c r="B2748">
        <v>0</v>
      </c>
      <c r="C2748">
        <v>3</v>
      </c>
      <c r="D2748">
        <v>7</v>
      </c>
      <c r="E2748">
        <v>1</v>
      </c>
      <c r="F2748">
        <v>1</v>
      </c>
      <c r="G2748">
        <v>8759</v>
      </c>
      <c r="H2748">
        <v>0</v>
      </c>
      <c r="I2748">
        <v>1</v>
      </c>
    </row>
    <row r="2749" spans="1:9" x14ac:dyDescent="0.25">
      <c r="A2749">
        <v>83</v>
      </c>
      <c r="B2749">
        <v>1</v>
      </c>
      <c r="C2749">
        <v>3</v>
      </c>
      <c r="D2749">
        <v>8</v>
      </c>
      <c r="E2749">
        <v>0</v>
      </c>
      <c r="F2749">
        <v>1</v>
      </c>
      <c r="G2749">
        <v>12574</v>
      </c>
      <c r="H2749">
        <v>0</v>
      </c>
      <c r="I2749">
        <v>1</v>
      </c>
    </row>
    <row r="2750" spans="1:9" x14ac:dyDescent="0.25">
      <c r="A2750">
        <v>83</v>
      </c>
      <c r="B2750">
        <v>1</v>
      </c>
      <c r="C2750">
        <v>3</v>
      </c>
      <c r="D2750">
        <v>3</v>
      </c>
      <c r="E2750">
        <v>1</v>
      </c>
      <c r="F2750">
        <v>1</v>
      </c>
      <c r="G2750">
        <v>9581</v>
      </c>
      <c r="H2750">
        <v>0</v>
      </c>
      <c r="I2750">
        <v>1</v>
      </c>
    </row>
    <row r="2751" spans="1:9" x14ac:dyDescent="0.25">
      <c r="A2751">
        <v>83</v>
      </c>
      <c r="B2751">
        <v>1</v>
      </c>
      <c r="C2751">
        <v>5</v>
      </c>
      <c r="D2751">
        <v>6</v>
      </c>
      <c r="E2751">
        <v>1</v>
      </c>
      <c r="F2751">
        <v>1</v>
      </c>
      <c r="G2751">
        <v>17465</v>
      </c>
      <c r="H2751">
        <v>0</v>
      </c>
      <c r="I2751">
        <v>1</v>
      </c>
    </row>
    <row r="2752" spans="1:9" x14ac:dyDescent="0.25">
      <c r="A2752">
        <v>83</v>
      </c>
      <c r="B2752">
        <v>0</v>
      </c>
      <c r="C2752">
        <v>2</v>
      </c>
      <c r="D2752">
        <v>5</v>
      </c>
      <c r="E2752">
        <v>0</v>
      </c>
      <c r="F2752">
        <v>1</v>
      </c>
      <c r="G2752">
        <v>5295</v>
      </c>
      <c r="H2752">
        <v>0</v>
      </c>
      <c r="I2752">
        <v>1</v>
      </c>
    </row>
    <row r="2753" spans="1:9" x14ac:dyDescent="0.25">
      <c r="A2753">
        <v>83</v>
      </c>
      <c r="B2753">
        <v>1</v>
      </c>
      <c r="C2753">
        <v>5</v>
      </c>
      <c r="D2753">
        <v>3</v>
      </c>
      <c r="E2753">
        <v>1</v>
      </c>
      <c r="F2753">
        <v>1</v>
      </c>
      <c r="G2753">
        <v>31892</v>
      </c>
      <c r="H2753">
        <v>1</v>
      </c>
      <c r="I2753">
        <v>1</v>
      </c>
    </row>
    <row r="2754" spans="1:9" x14ac:dyDescent="0.25">
      <c r="A2754">
        <v>83</v>
      </c>
      <c r="B2754">
        <v>1</v>
      </c>
      <c r="C2754">
        <v>13</v>
      </c>
      <c r="D2754">
        <v>3</v>
      </c>
      <c r="E2754">
        <v>1</v>
      </c>
      <c r="F2754">
        <v>1</v>
      </c>
      <c r="G2754">
        <v>25554</v>
      </c>
      <c r="H2754">
        <v>1</v>
      </c>
      <c r="I2754">
        <v>1</v>
      </c>
    </row>
    <row r="2755" spans="1:9" x14ac:dyDescent="0.25">
      <c r="A2755">
        <v>83</v>
      </c>
      <c r="B2755">
        <v>1</v>
      </c>
      <c r="C2755">
        <v>5</v>
      </c>
      <c r="D2755">
        <v>3</v>
      </c>
      <c r="E2755">
        <v>1</v>
      </c>
      <c r="F2755">
        <v>1</v>
      </c>
      <c r="G2755">
        <v>27924</v>
      </c>
      <c r="H2755">
        <v>1</v>
      </c>
      <c r="I2755">
        <v>1</v>
      </c>
    </row>
    <row r="2756" spans="1:9" x14ac:dyDescent="0.25">
      <c r="A2756">
        <v>83</v>
      </c>
      <c r="B2756">
        <v>1</v>
      </c>
      <c r="C2756">
        <v>6</v>
      </c>
      <c r="D2756">
        <v>3</v>
      </c>
      <c r="E2756">
        <v>1</v>
      </c>
      <c r="F2756">
        <v>1</v>
      </c>
      <c r="G2756">
        <v>21383</v>
      </c>
      <c r="H2756">
        <v>1</v>
      </c>
      <c r="I2756">
        <v>1</v>
      </c>
    </row>
    <row r="2757" spans="1:9" x14ac:dyDescent="0.25">
      <c r="A2757">
        <v>83</v>
      </c>
      <c r="B2757">
        <v>1</v>
      </c>
      <c r="C2757">
        <v>24</v>
      </c>
      <c r="D2757">
        <v>4</v>
      </c>
      <c r="E2757">
        <v>1</v>
      </c>
      <c r="F2757">
        <v>1</v>
      </c>
      <c r="G2757">
        <v>72320</v>
      </c>
      <c r="H2757">
        <v>1</v>
      </c>
      <c r="I2757">
        <v>1</v>
      </c>
    </row>
    <row r="2758" spans="1:9" x14ac:dyDescent="0.25">
      <c r="A2758">
        <v>83</v>
      </c>
      <c r="B2758">
        <v>1</v>
      </c>
      <c r="C2758">
        <v>2</v>
      </c>
      <c r="D2758">
        <v>7</v>
      </c>
      <c r="E2758">
        <v>1</v>
      </c>
      <c r="F2758">
        <v>1</v>
      </c>
      <c r="G2758">
        <v>14857</v>
      </c>
      <c r="H2758">
        <v>1</v>
      </c>
      <c r="I2758">
        <v>1</v>
      </c>
    </row>
    <row r="2759" spans="1:9" x14ac:dyDescent="0.25">
      <c r="A2759">
        <v>83</v>
      </c>
      <c r="B2759">
        <v>0</v>
      </c>
      <c r="C2759">
        <v>4</v>
      </c>
      <c r="D2759">
        <v>4</v>
      </c>
      <c r="E2759">
        <v>2</v>
      </c>
      <c r="F2759">
        <v>1</v>
      </c>
      <c r="G2759">
        <v>19901</v>
      </c>
      <c r="H2759">
        <v>1</v>
      </c>
      <c r="I2759">
        <v>1</v>
      </c>
    </row>
    <row r="2760" spans="1:9" x14ac:dyDescent="0.25">
      <c r="A2760">
        <v>83</v>
      </c>
      <c r="B2760">
        <v>1</v>
      </c>
      <c r="C2760">
        <v>14</v>
      </c>
      <c r="D2760">
        <v>2</v>
      </c>
      <c r="E2760">
        <v>6</v>
      </c>
      <c r="F2760">
        <v>1</v>
      </c>
      <c r="G2760">
        <v>122233</v>
      </c>
      <c r="H2760">
        <v>1</v>
      </c>
      <c r="I2760">
        <v>1</v>
      </c>
    </row>
    <row r="2761" spans="1:9" x14ac:dyDescent="0.25">
      <c r="A2761">
        <v>83</v>
      </c>
      <c r="B2761">
        <v>1</v>
      </c>
      <c r="C2761">
        <v>5</v>
      </c>
      <c r="D2761">
        <v>6</v>
      </c>
      <c r="E2761">
        <v>6</v>
      </c>
      <c r="F2761">
        <v>1</v>
      </c>
      <c r="G2761">
        <v>30775</v>
      </c>
      <c r="H2761">
        <v>1</v>
      </c>
      <c r="I2761">
        <v>1</v>
      </c>
    </row>
    <row r="2762" spans="1:9" x14ac:dyDescent="0.25">
      <c r="A2762">
        <v>83</v>
      </c>
      <c r="B2762">
        <v>1</v>
      </c>
      <c r="C2762">
        <v>3</v>
      </c>
      <c r="D2762">
        <v>3</v>
      </c>
      <c r="E2762">
        <v>2</v>
      </c>
      <c r="F2762">
        <v>1</v>
      </c>
      <c r="G2762">
        <v>15560</v>
      </c>
      <c r="H2762">
        <v>1</v>
      </c>
      <c r="I2762">
        <v>1</v>
      </c>
    </row>
    <row r="2763" spans="1:9" x14ac:dyDescent="0.25">
      <c r="A2763">
        <v>83</v>
      </c>
      <c r="B2763">
        <v>0</v>
      </c>
      <c r="C2763">
        <v>7</v>
      </c>
      <c r="D2763">
        <v>3</v>
      </c>
      <c r="E2763">
        <v>3</v>
      </c>
      <c r="F2763">
        <v>1</v>
      </c>
      <c r="G2763">
        <v>21186</v>
      </c>
      <c r="H2763">
        <v>1</v>
      </c>
      <c r="I2763">
        <v>1</v>
      </c>
    </row>
    <row r="2764" spans="1:9" x14ac:dyDescent="0.25">
      <c r="A2764">
        <v>82</v>
      </c>
      <c r="B2764">
        <v>1</v>
      </c>
      <c r="C2764">
        <v>1</v>
      </c>
      <c r="D2764">
        <v>6</v>
      </c>
      <c r="E2764">
        <v>0</v>
      </c>
      <c r="F2764">
        <v>1</v>
      </c>
      <c r="G2764">
        <v>16591</v>
      </c>
      <c r="H2764">
        <v>0</v>
      </c>
      <c r="I2764">
        <v>1</v>
      </c>
    </row>
    <row r="2765" spans="1:9" x14ac:dyDescent="0.25">
      <c r="A2765">
        <v>82</v>
      </c>
      <c r="B2765">
        <v>0</v>
      </c>
      <c r="C2765">
        <v>5</v>
      </c>
      <c r="D2765">
        <v>6</v>
      </c>
      <c r="E2765">
        <v>0</v>
      </c>
      <c r="F2765">
        <v>1</v>
      </c>
      <c r="G2765">
        <v>16789</v>
      </c>
      <c r="H2765">
        <v>0</v>
      </c>
      <c r="I2765">
        <v>1</v>
      </c>
    </row>
    <row r="2766" spans="1:9" x14ac:dyDescent="0.25">
      <c r="A2766">
        <v>82</v>
      </c>
      <c r="B2766">
        <v>1</v>
      </c>
      <c r="C2766">
        <v>4</v>
      </c>
      <c r="D2766">
        <v>5</v>
      </c>
      <c r="E2766">
        <v>0</v>
      </c>
      <c r="F2766">
        <v>1</v>
      </c>
      <c r="G2766">
        <v>12461</v>
      </c>
      <c r="H2766">
        <v>0</v>
      </c>
      <c r="I2766">
        <v>1</v>
      </c>
    </row>
    <row r="2767" spans="1:9" x14ac:dyDescent="0.25">
      <c r="A2767">
        <v>82</v>
      </c>
      <c r="B2767">
        <v>1</v>
      </c>
      <c r="C2767">
        <v>7</v>
      </c>
      <c r="D2767">
        <v>2</v>
      </c>
      <c r="E2767">
        <v>0</v>
      </c>
      <c r="F2767">
        <v>1</v>
      </c>
      <c r="G2767">
        <v>19775</v>
      </c>
      <c r="H2767">
        <v>0</v>
      </c>
      <c r="I2767">
        <v>1</v>
      </c>
    </row>
    <row r="2768" spans="1:9" x14ac:dyDescent="0.25">
      <c r="A2768">
        <v>82</v>
      </c>
      <c r="B2768">
        <v>1</v>
      </c>
      <c r="C2768">
        <v>5</v>
      </c>
      <c r="D2768">
        <v>7</v>
      </c>
      <c r="E2768">
        <v>0</v>
      </c>
      <c r="F2768">
        <v>1</v>
      </c>
      <c r="G2768">
        <v>18525</v>
      </c>
      <c r="H2768">
        <v>0</v>
      </c>
      <c r="I2768">
        <v>1</v>
      </c>
    </row>
    <row r="2769" spans="1:9" x14ac:dyDescent="0.25">
      <c r="A2769">
        <v>82</v>
      </c>
      <c r="B2769">
        <v>1</v>
      </c>
      <c r="C2769">
        <v>4</v>
      </c>
      <c r="D2769">
        <v>5</v>
      </c>
      <c r="E2769">
        <v>1</v>
      </c>
      <c r="F2769">
        <v>1</v>
      </c>
      <c r="G2769">
        <v>14257</v>
      </c>
      <c r="H2769">
        <v>0</v>
      </c>
      <c r="I2769">
        <v>1</v>
      </c>
    </row>
    <row r="2770" spans="1:9" x14ac:dyDescent="0.25">
      <c r="A2770">
        <v>82</v>
      </c>
      <c r="B2770">
        <v>1</v>
      </c>
      <c r="C2770">
        <v>10</v>
      </c>
      <c r="D2770">
        <v>4</v>
      </c>
      <c r="E2770">
        <v>1</v>
      </c>
      <c r="F2770">
        <v>1</v>
      </c>
      <c r="G2770">
        <v>33197</v>
      </c>
      <c r="H2770">
        <v>0</v>
      </c>
      <c r="I2770">
        <v>1</v>
      </c>
    </row>
    <row r="2771" spans="1:9" x14ac:dyDescent="0.25">
      <c r="A2771">
        <v>82</v>
      </c>
      <c r="B2771">
        <v>0</v>
      </c>
      <c r="C2771">
        <v>3</v>
      </c>
      <c r="D2771">
        <v>5</v>
      </c>
      <c r="E2771">
        <v>0</v>
      </c>
      <c r="F2771">
        <v>1</v>
      </c>
      <c r="G2771">
        <v>12275</v>
      </c>
      <c r="H2771">
        <v>0</v>
      </c>
      <c r="I2771">
        <v>1</v>
      </c>
    </row>
    <row r="2772" spans="1:9" x14ac:dyDescent="0.25">
      <c r="A2772">
        <v>82</v>
      </c>
      <c r="B2772">
        <v>1</v>
      </c>
      <c r="C2772">
        <v>2</v>
      </c>
      <c r="D2772">
        <v>6</v>
      </c>
      <c r="E2772">
        <v>0</v>
      </c>
      <c r="F2772">
        <v>1</v>
      </c>
      <c r="G2772">
        <v>7394</v>
      </c>
      <c r="H2772">
        <v>0</v>
      </c>
      <c r="I2772">
        <v>1</v>
      </c>
    </row>
    <row r="2773" spans="1:9" x14ac:dyDescent="0.25">
      <c r="A2773">
        <v>82</v>
      </c>
      <c r="B2773">
        <v>0</v>
      </c>
      <c r="C2773">
        <v>2</v>
      </c>
      <c r="D2773">
        <v>5</v>
      </c>
      <c r="E2773">
        <v>0</v>
      </c>
      <c r="F2773">
        <v>1</v>
      </c>
      <c r="G2773">
        <v>10895</v>
      </c>
      <c r="H2773">
        <v>0</v>
      </c>
      <c r="I2773">
        <v>1</v>
      </c>
    </row>
    <row r="2774" spans="1:9" x14ac:dyDescent="0.25">
      <c r="A2774">
        <v>82</v>
      </c>
      <c r="B2774">
        <v>0</v>
      </c>
      <c r="C2774">
        <v>0</v>
      </c>
      <c r="D2774">
        <v>3</v>
      </c>
      <c r="E2774">
        <v>0</v>
      </c>
      <c r="F2774">
        <v>1</v>
      </c>
      <c r="G2774">
        <v>6620</v>
      </c>
      <c r="H2774">
        <v>0</v>
      </c>
      <c r="I2774">
        <v>1</v>
      </c>
    </row>
    <row r="2775" spans="1:9" x14ac:dyDescent="0.25">
      <c r="A2775">
        <v>82</v>
      </c>
      <c r="B2775">
        <v>1</v>
      </c>
      <c r="C2775">
        <v>2</v>
      </c>
      <c r="D2775">
        <v>3</v>
      </c>
      <c r="E2775">
        <v>0</v>
      </c>
      <c r="F2775">
        <v>1</v>
      </c>
      <c r="G2775">
        <v>7799</v>
      </c>
      <c r="H2775">
        <v>0</v>
      </c>
      <c r="I2775">
        <v>1</v>
      </c>
    </row>
    <row r="2776" spans="1:9" x14ac:dyDescent="0.25">
      <c r="A2776">
        <v>82</v>
      </c>
      <c r="B2776">
        <v>0</v>
      </c>
      <c r="C2776">
        <v>3</v>
      </c>
      <c r="D2776">
        <v>6</v>
      </c>
      <c r="E2776">
        <v>0</v>
      </c>
      <c r="F2776">
        <v>1</v>
      </c>
      <c r="G2776">
        <v>13750</v>
      </c>
      <c r="H2776">
        <v>0</v>
      </c>
      <c r="I2776">
        <v>1</v>
      </c>
    </row>
    <row r="2777" spans="1:9" x14ac:dyDescent="0.25">
      <c r="A2777">
        <v>82</v>
      </c>
      <c r="B2777">
        <v>0</v>
      </c>
      <c r="C2777">
        <v>2</v>
      </c>
      <c r="D2777">
        <v>5</v>
      </c>
      <c r="E2777">
        <v>0</v>
      </c>
      <c r="F2777">
        <v>1</v>
      </c>
      <c r="G2777">
        <v>11871</v>
      </c>
      <c r="H2777">
        <v>0</v>
      </c>
      <c r="I2777">
        <v>1</v>
      </c>
    </row>
    <row r="2778" spans="1:9" x14ac:dyDescent="0.25">
      <c r="A2778">
        <v>82</v>
      </c>
      <c r="B2778">
        <v>1</v>
      </c>
      <c r="C2778">
        <v>1</v>
      </c>
      <c r="D2778">
        <v>4</v>
      </c>
      <c r="E2778">
        <v>0</v>
      </c>
      <c r="F2778">
        <v>1</v>
      </c>
      <c r="G2778">
        <v>7809</v>
      </c>
      <c r="H2778">
        <v>0</v>
      </c>
      <c r="I2778">
        <v>1</v>
      </c>
    </row>
    <row r="2779" spans="1:9" x14ac:dyDescent="0.25">
      <c r="A2779">
        <v>82</v>
      </c>
      <c r="B2779">
        <v>0</v>
      </c>
      <c r="C2779">
        <v>3</v>
      </c>
      <c r="D2779">
        <v>5</v>
      </c>
      <c r="E2779">
        <v>0</v>
      </c>
      <c r="F2779">
        <v>1</v>
      </c>
      <c r="G2779">
        <v>13437</v>
      </c>
      <c r="H2779">
        <v>0</v>
      </c>
      <c r="I2779">
        <v>1</v>
      </c>
    </row>
    <row r="2780" spans="1:9" x14ac:dyDescent="0.25">
      <c r="A2780">
        <v>82</v>
      </c>
      <c r="B2780">
        <v>0</v>
      </c>
      <c r="C2780">
        <v>4</v>
      </c>
      <c r="D2780">
        <v>6</v>
      </c>
      <c r="E2780">
        <v>0</v>
      </c>
      <c r="F2780">
        <v>1</v>
      </c>
      <c r="G2780">
        <v>15777</v>
      </c>
      <c r="H2780">
        <v>0</v>
      </c>
      <c r="I2780">
        <v>1</v>
      </c>
    </row>
    <row r="2781" spans="1:9" x14ac:dyDescent="0.25">
      <c r="A2781">
        <v>82</v>
      </c>
      <c r="B2781">
        <v>1</v>
      </c>
      <c r="C2781">
        <v>1</v>
      </c>
      <c r="D2781">
        <v>3</v>
      </c>
      <c r="E2781">
        <v>0</v>
      </c>
      <c r="F2781">
        <v>1</v>
      </c>
      <c r="G2781">
        <v>10084</v>
      </c>
      <c r="H2781">
        <v>0</v>
      </c>
      <c r="I2781">
        <v>1</v>
      </c>
    </row>
    <row r="2782" spans="1:9" x14ac:dyDescent="0.25">
      <c r="A2782">
        <v>82</v>
      </c>
      <c r="B2782">
        <v>1</v>
      </c>
      <c r="C2782">
        <v>1</v>
      </c>
      <c r="D2782">
        <v>4</v>
      </c>
      <c r="E2782">
        <v>1</v>
      </c>
      <c r="F2782">
        <v>1</v>
      </c>
      <c r="G2782">
        <v>11049</v>
      </c>
      <c r="H2782">
        <v>1</v>
      </c>
      <c r="I2782">
        <v>1</v>
      </c>
    </row>
    <row r="2783" spans="1:9" x14ac:dyDescent="0.25">
      <c r="A2783">
        <v>81</v>
      </c>
      <c r="B2783">
        <v>0</v>
      </c>
      <c r="C2783">
        <v>8</v>
      </c>
      <c r="D2783">
        <v>4</v>
      </c>
      <c r="E2783">
        <v>0</v>
      </c>
      <c r="F2783">
        <v>1</v>
      </c>
      <c r="G2783">
        <v>27731</v>
      </c>
      <c r="H2783">
        <v>0</v>
      </c>
      <c r="I2783">
        <v>1</v>
      </c>
    </row>
    <row r="2784" spans="1:9" x14ac:dyDescent="0.25">
      <c r="A2784">
        <v>81</v>
      </c>
      <c r="B2784">
        <v>0</v>
      </c>
      <c r="C2784">
        <v>4</v>
      </c>
      <c r="D2784">
        <v>7</v>
      </c>
      <c r="E2784">
        <v>0</v>
      </c>
      <c r="F2784">
        <v>1</v>
      </c>
      <c r="G2784">
        <v>26994</v>
      </c>
      <c r="H2784">
        <v>0</v>
      </c>
      <c r="I2784">
        <v>1</v>
      </c>
    </row>
    <row r="2785" spans="1:9" x14ac:dyDescent="0.25">
      <c r="A2785">
        <v>81</v>
      </c>
      <c r="B2785">
        <v>0</v>
      </c>
      <c r="C2785">
        <v>24</v>
      </c>
      <c r="D2785">
        <v>2</v>
      </c>
      <c r="E2785">
        <v>0</v>
      </c>
      <c r="F2785">
        <v>1</v>
      </c>
      <c r="G2785">
        <v>38806</v>
      </c>
      <c r="H2785">
        <v>0</v>
      </c>
      <c r="I2785">
        <v>1</v>
      </c>
    </row>
    <row r="2786" spans="1:9" x14ac:dyDescent="0.25">
      <c r="A2786">
        <v>81</v>
      </c>
      <c r="B2786">
        <v>0</v>
      </c>
      <c r="C2786">
        <v>10</v>
      </c>
      <c r="D2786">
        <v>3</v>
      </c>
      <c r="E2786">
        <v>4</v>
      </c>
      <c r="F2786">
        <v>1</v>
      </c>
      <c r="G2786">
        <v>34339</v>
      </c>
      <c r="H2786">
        <v>0</v>
      </c>
      <c r="I2786">
        <v>1</v>
      </c>
    </row>
    <row r="2787" spans="1:9" x14ac:dyDescent="0.25">
      <c r="A2787">
        <v>81</v>
      </c>
      <c r="B2787">
        <v>0</v>
      </c>
      <c r="C2787">
        <v>2</v>
      </c>
      <c r="D2787">
        <v>5</v>
      </c>
      <c r="E2787">
        <v>0</v>
      </c>
      <c r="F2787">
        <v>1</v>
      </c>
      <c r="G2787">
        <v>11933</v>
      </c>
      <c r="H2787">
        <v>0</v>
      </c>
      <c r="I2787">
        <v>1</v>
      </c>
    </row>
    <row r="2788" spans="1:9" x14ac:dyDescent="0.25">
      <c r="A2788">
        <v>81</v>
      </c>
      <c r="B2788">
        <v>1</v>
      </c>
      <c r="C2788">
        <v>1</v>
      </c>
      <c r="D2788">
        <v>2</v>
      </c>
      <c r="E2788">
        <v>0</v>
      </c>
      <c r="F2788">
        <v>1</v>
      </c>
      <c r="G2788">
        <v>7115</v>
      </c>
      <c r="H2788">
        <v>0</v>
      </c>
      <c r="I2788">
        <v>1</v>
      </c>
    </row>
    <row r="2789" spans="1:9" x14ac:dyDescent="0.25">
      <c r="A2789">
        <v>81</v>
      </c>
      <c r="B2789">
        <v>1</v>
      </c>
      <c r="C2789">
        <v>4</v>
      </c>
      <c r="D2789">
        <v>3</v>
      </c>
      <c r="E2789">
        <v>0</v>
      </c>
      <c r="F2789">
        <v>1</v>
      </c>
      <c r="G2789">
        <v>19122</v>
      </c>
      <c r="H2789">
        <v>0</v>
      </c>
      <c r="I2789">
        <v>1</v>
      </c>
    </row>
    <row r="2790" spans="1:9" x14ac:dyDescent="0.25">
      <c r="A2790">
        <v>81</v>
      </c>
      <c r="B2790">
        <v>0</v>
      </c>
      <c r="C2790">
        <v>3</v>
      </c>
      <c r="D2790">
        <v>3</v>
      </c>
      <c r="E2790">
        <v>0</v>
      </c>
      <c r="F2790">
        <v>1</v>
      </c>
      <c r="G2790">
        <v>9759</v>
      </c>
      <c r="H2790">
        <v>0</v>
      </c>
      <c r="I2790">
        <v>1</v>
      </c>
    </row>
    <row r="2791" spans="1:9" x14ac:dyDescent="0.25">
      <c r="A2791">
        <v>81</v>
      </c>
      <c r="B2791">
        <v>0</v>
      </c>
      <c r="C2791">
        <v>16</v>
      </c>
      <c r="D2791">
        <v>3</v>
      </c>
      <c r="E2791">
        <v>0</v>
      </c>
      <c r="F2791">
        <v>1</v>
      </c>
      <c r="G2791">
        <v>19291</v>
      </c>
      <c r="H2791">
        <v>0</v>
      </c>
      <c r="I2791">
        <v>1</v>
      </c>
    </row>
    <row r="2792" spans="1:9" x14ac:dyDescent="0.25">
      <c r="A2792">
        <v>81</v>
      </c>
      <c r="B2792">
        <v>1</v>
      </c>
      <c r="C2792">
        <v>7</v>
      </c>
      <c r="D2792">
        <v>4</v>
      </c>
      <c r="E2792">
        <v>0</v>
      </c>
      <c r="F2792">
        <v>1</v>
      </c>
      <c r="G2792">
        <v>15868</v>
      </c>
      <c r="H2792">
        <v>0</v>
      </c>
      <c r="I2792">
        <v>1</v>
      </c>
    </row>
    <row r="2793" spans="1:9" x14ac:dyDescent="0.25">
      <c r="A2793">
        <v>81</v>
      </c>
      <c r="B2793">
        <v>0</v>
      </c>
      <c r="C2793">
        <v>10</v>
      </c>
      <c r="D2793">
        <v>6</v>
      </c>
      <c r="E2793">
        <v>0</v>
      </c>
      <c r="F2793">
        <v>1</v>
      </c>
      <c r="G2793">
        <v>16359</v>
      </c>
      <c r="H2793">
        <v>0</v>
      </c>
      <c r="I2793">
        <v>1</v>
      </c>
    </row>
    <row r="2794" spans="1:9" x14ac:dyDescent="0.25">
      <c r="A2794">
        <v>81</v>
      </c>
      <c r="B2794">
        <v>0</v>
      </c>
      <c r="C2794">
        <v>4</v>
      </c>
      <c r="D2794">
        <v>4</v>
      </c>
      <c r="E2794">
        <v>0</v>
      </c>
      <c r="F2794">
        <v>1</v>
      </c>
      <c r="G2794">
        <v>6729</v>
      </c>
      <c r="H2794">
        <v>0</v>
      </c>
      <c r="I2794">
        <v>1</v>
      </c>
    </row>
    <row r="2795" spans="1:9" x14ac:dyDescent="0.25">
      <c r="A2795">
        <v>81</v>
      </c>
      <c r="B2795">
        <v>1</v>
      </c>
      <c r="C2795">
        <v>6</v>
      </c>
      <c r="D2795">
        <v>5</v>
      </c>
      <c r="E2795">
        <v>0</v>
      </c>
      <c r="F2795">
        <v>1</v>
      </c>
      <c r="G2795">
        <v>16303</v>
      </c>
      <c r="H2795">
        <v>0</v>
      </c>
      <c r="I2795">
        <v>1</v>
      </c>
    </row>
    <row r="2796" spans="1:9" x14ac:dyDescent="0.25">
      <c r="A2796">
        <v>81</v>
      </c>
      <c r="B2796">
        <v>1</v>
      </c>
      <c r="C2796">
        <v>4</v>
      </c>
      <c r="D2796">
        <v>4</v>
      </c>
      <c r="E2796">
        <v>3</v>
      </c>
      <c r="F2796">
        <v>1</v>
      </c>
      <c r="G2796">
        <v>11552</v>
      </c>
      <c r="H2796">
        <v>0</v>
      </c>
      <c r="I2796">
        <v>1</v>
      </c>
    </row>
    <row r="2797" spans="1:9" x14ac:dyDescent="0.25">
      <c r="A2797">
        <v>81</v>
      </c>
      <c r="B2797">
        <v>0</v>
      </c>
      <c r="C2797">
        <v>10</v>
      </c>
      <c r="D2797">
        <v>3</v>
      </c>
      <c r="E2797">
        <v>3</v>
      </c>
      <c r="F2797">
        <v>1</v>
      </c>
      <c r="G2797">
        <v>25780</v>
      </c>
      <c r="H2797">
        <v>0</v>
      </c>
      <c r="I2797">
        <v>1</v>
      </c>
    </row>
    <row r="2798" spans="1:9" x14ac:dyDescent="0.25">
      <c r="A2798">
        <v>81</v>
      </c>
      <c r="B2798">
        <v>1</v>
      </c>
      <c r="C2798">
        <v>10</v>
      </c>
      <c r="D2798">
        <v>7</v>
      </c>
      <c r="E2798">
        <v>0</v>
      </c>
      <c r="F2798">
        <v>1</v>
      </c>
      <c r="G2798">
        <v>19262</v>
      </c>
      <c r="H2798">
        <v>0</v>
      </c>
      <c r="I2798">
        <v>1</v>
      </c>
    </row>
    <row r="2799" spans="1:9" x14ac:dyDescent="0.25">
      <c r="A2799">
        <v>81</v>
      </c>
      <c r="B2799">
        <v>0</v>
      </c>
      <c r="C2799">
        <v>7</v>
      </c>
      <c r="D2799">
        <v>5</v>
      </c>
      <c r="E2799">
        <v>1</v>
      </c>
      <c r="F2799">
        <v>1</v>
      </c>
      <c r="G2799">
        <v>13611</v>
      </c>
      <c r="H2799">
        <v>0</v>
      </c>
      <c r="I2799">
        <v>1</v>
      </c>
    </row>
    <row r="2800" spans="1:9" x14ac:dyDescent="0.25">
      <c r="A2800">
        <v>81</v>
      </c>
      <c r="B2800">
        <v>1</v>
      </c>
      <c r="C2800">
        <v>10</v>
      </c>
      <c r="D2800">
        <v>4</v>
      </c>
      <c r="E2800">
        <v>0</v>
      </c>
      <c r="F2800">
        <v>1</v>
      </c>
      <c r="G2800">
        <v>18451</v>
      </c>
      <c r="H2800">
        <v>0</v>
      </c>
      <c r="I2800">
        <v>1</v>
      </c>
    </row>
    <row r="2801" spans="1:9" x14ac:dyDescent="0.25">
      <c r="A2801">
        <v>81</v>
      </c>
      <c r="B2801">
        <v>0</v>
      </c>
      <c r="C2801">
        <v>4</v>
      </c>
      <c r="D2801">
        <v>4</v>
      </c>
      <c r="E2801">
        <v>2</v>
      </c>
      <c r="F2801">
        <v>1</v>
      </c>
      <c r="G2801">
        <v>7715</v>
      </c>
      <c r="H2801">
        <v>0</v>
      </c>
      <c r="I2801">
        <v>1</v>
      </c>
    </row>
    <row r="2802" spans="1:9" x14ac:dyDescent="0.25">
      <c r="A2802">
        <v>81</v>
      </c>
      <c r="B2802">
        <v>1</v>
      </c>
      <c r="C2802">
        <v>1</v>
      </c>
      <c r="D2802">
        <v>2</v>
      </c>
      <c r="E2802">
        <v>0</v>
      </c>
      <c r="F2802">
        <v>1</v>
      </c>
      <c r="G2802">
        <v>2088</v>
      </c>
      <c r="H2802">
        <v>0</v>
      </c>
      <c r="I2802">
        <v>1</v>
      </c>
    </row>
    <row r="2803" spans="1:9" x14ac:dyDescent="0.25">
      <c r="A2803">
        <v>81</v>
      </c>
      <c r="B2803">
        <v>1</v>
      </c>
      <c r="C2803">
        <v>0</v>
      </c>
      <c r="D2803">
        <v>4</v>
      </c>
      <c r="E2803">
        <v>0</v>
      </c>
      <c r="F2803">
        <v>1</v>
      </c>
      <c r="G2803">
        <v>2967</v>
      </c>
      <c r="H2803">
        <v>0</v>
      </c>
      <c r="I2803">
        <v>1</v>
      </c>
    </row>
    <row r="2804" spans="1:9" x14ac:dyDescent="0.25">
      <c r="A2804">
        <v>81</v>
      </c>
      <c r="B2804">
        <v>1</v>
      </c>
      <c r="C2804">
        <v>3</v>
      </c>
      <c r="D2804">
        <v>4</v>
      </c>
      <c r="E2804">
        <v>1</v>
      </c>
      <c r="F2804">
        <v>1</v>
      </c>
      <c r="G2804">
        <v>14073</v>
      </c>
      <c r="H2804">
        <v>0</v>
      </c>
      <c r="I2804">
        <v>1</v>
      </c>
    </row>
    <row r="2805" spans="1:9" x14ac:dyDescent="0.25">
      <c r="A2805">
        <v>81</v>
      </c>
      <c r="B2805">
        <v>0</v>
      </c>
      <c r="C2805">
        <v>2</v>
      </c>
      <c r="D2805">
        <v>6</v>
      </c>
      <c r="E2805">
        <v>0</v>
      </c>
      <c r="F2805">
        <v>1</v>
      </c>
      <c r="G2805">
        <v>8915</v>
      </c>
      <c r="H2805">
        <v>0</v>
      </c>
      <c r="I2805">
        <v>1</v>
      </c>
    </row>
    <row r="2806" spans="1:9" x14ac:dyDescent="0.25">
      <c r="A2806">
        <v>81</v>
      </c>
      <c r="B2806">
        <v>0</v>
      </c>
      <c r="C2806">
        <v>1</v>
      </c>
      <c r="D2806">
        <v>5</v>
      </c>
      <c r="E2806">
        <v>3</v>
      </c>
      <c r="F2806">
        <v>1</v>
      </c>
      <c r="G2806">
        <v>22706</v>
      </c>
      <c r="H2806">
        <v>0</v>
      </c>
      <c r="I2806">
        <v>1</v>
      </c>
    </row>
    <row r="2807" spans="1:9" x14ac:dyDescent="0.25">
      <c r="A2807">
        <v>81</v>
      </c>
      <c r="B2807">
        <v>1</v>
      </c>
      <c r="C2807">
        <v>5</v>
      </c>
      <c r="D2807">
        <v>4</v>
      </c>
      <c r="E2807">
        <v>2</v>
      </c>
      <c r="F2807">
        <v>1</v>
      </c>
      <c r="G2807">
        <v>16145</v>
      </c>
      <c r="H2807">
        <v>0</v>
      </c>
      <c r="I2807">
        <v>1</v>
      </c>
    </row>
    <row r="2808" spans="1:9" x14ac:dyDescent="0.25">
      <c r="A2808">
        <v>81</v>
      </c>
      <c r="B2808">
        <v>0</v>
      </c>
      <c r="C2808">
        <v>1</v>
      </c>
      <c r="D2808">
        <v>6</v>
      </c>
      <c r="E2808">
        <v>0</v>
      </c>
      <c r="F2808">
        <v>1</v>
      </c>
      <c r="G2808">
        <v>5860</v>
      </c>
      <c r="H2808">
        <v>0</v>
      </c>
      <c r="I2808">
        <v>1</v>
      </c>
    </row>
    <row r="2809" spans="1:9" x14ac:dyDescent="0.25">
      <c r="A2809">
        <v>81</v>
      </c>
      <c r="B2809">
        <v>1</v>
      </c>
      <c r="C2809">
        <v>14</v>
      </c>
      <c r="D2809">
        <v>5</v>
      </c>
      <c r="E2809">
        <v>0</v>
      </c>
      <c r="F2809">
        <v>1</v>
      </c>
      <c r="G2809">
        <v>28260</v>
      </c>
      <c r="H2809">
        <v>0</v>
      </c>
      <c r="I2809">
        <v>1</v>
      </c>
    </row>
    <row r="2810" spans="1:9" x14ac:dyDescent="0.25">
      <c r="A2810">
        <v>81</v>
      </c>
      <c r="B2810">
        <v>1</v>
      </c>
      <c r="C2810">
        <v>4</v>
      </c>
      <c r="D2810">
        <v>5</v>
      </c>
      <c r="E2810">
        <v>2</v>
      </c>
      <c r="F2810">
        <v>1</v>
      </c>
      <c r="G2810">
        <v>16203</v>
      </c>
      <c r="H2810">
        <v>0</v>
      </c>
      <c r="I2810">
        <v>1</v>
      </c>
    </row>
    <row r="2811" spans="1:9" x14ac:dyDescent="0.25">
      <c r="A2811">
        <v>81</v>
      </c>
      <c r="B2811">
        <v>1</v>
      </c>
      <c r="C2811">
        <v>11</v>
      </c>
      <c r="D2811">
        <v>6</v>
      </c>
      <c r="E2811">
        <v>0</v>
      </c>
      <c r="F2811">
        <v>1</v>
      </c>
      <c r="G2811">
        <v>33143</v>
      </c>
      <c r="H2811">
        <v>0</v>
      </c>
      <c r="I2811">
        <v>1</v>
      </c>
    </row>
    <row r="2812" spans="1:9" x14ac:dyDescent="0.25">
      <c r="A2812">
        <v>81</v>
      </c>
      <c r="B2812">
        <v>1</v>
      </c>
      <c r="C2812">
        <v>11</v>
      </c>
      <c r="D2812">
        <v>6</v>
      </c>
      <c r="E2812">
        <v>1</v>
      </c>
      <c r="F2812">
        <v>1</v>
      </c>
      <c r="G2812">
        <v>36170</v>
      </c>
      <c r="H2812">
        <v>0</v>
      </c>
      <c r="I2812">
        <v>1</v>
      </c>
    </row>
    <row r="2813" spans="1:9" x14ac:dyDescent="0.25">
      <c r="A2813">
        <v>81</v>
      </c>
      <c r="B2813">
        <v>1</v>
      </c>
      <c r="C2813">
        <v>4</v>
      </c>
      <c r="D2813">
        <v>0</v>
      </c>
      <c r="E2813">
        <v>1</v>
      </c>
      <c r="F2813">
        <v>1</v>
      </c>
      <c r="G2813">
        <v>12091</v>
      </c>
      <c r="H2813">
        <v>1</v>
      </c>
      <c r="I2813">
        <v>1</v>
      </c>
    </row>
    <row r="2814" spans="1:9" x14ac:dyDescent="0.25">
      <c r="A2814">
        <v>81</v>
      </c>
      <c r="B2814">
        <v>1</v>
      </c>
      <c r="C2814">
        <v>4</v>
      </c>
      <c r="D2814">
        <v>0</v>
      </c>
      <c r="E2814">
        <v>1</v>
      </c>
      <c r="F2814">
        <v>1</v>
      </c>
      <c r="G2814">
        <v>28551</v>
      </c>
      <c r="H2814">
        <v>1</v>
      </c>
      <c r="I2814">
        <v>1</v>
      </c>
    </row>
    <row r="2815" spans="1:9" x14ac:dyDescent="0.25">
      <c r="A2815">
        <v>81</v>
      </c>
      <c r="B2815">
        <v>1</v>
      </c>
      <c r="C2815">
        <v>4</v>
      </c>
      <c r="D2815">
        <v>4</v>
      </c>
      <c r="E2815">
        <v>1</v>
      </c>
      <c r="F2815">
        <v>1</v>
      </c>
      <c r="G2815">
        <v>22676</v>
      </c>
      <c r="H2815">
        <v>1</v>
      </c>
      <c r="I2815">
        <v>1</v>
      </c>
    </row>
    <row r="2816" spans="1:9" x14ac:dyDescent="0.25">
      <c r="A2816">
        <v>81</v>
      </c>
      <c r="B2816">
        <v>1</v>
      </c>
      <c r="C2816">
        <v>6</v>
      </c>
      <c r="D2816">
        <v>3</v>
      </c>
      <c r="E2816">
        <v>2</v>
      </c>
      <c r="F2816">
        <v>1</v>
      </c>
      <c r="G2816">
        <v>25322</v>
      </c>
      <c r="H2816">
        <v>1</v>
      </c>
      <c r="I2816">
        <v>1</v>
      </c>
    </row>
    <row r="2817" spans="1:9" x14ac:dyDescent="0.25">
      <c r="A2817">
        <v>81</v>
      </c>
      <c r="B2817">
        <v>1</v>
      </c>
      <c r="C2817">
        <v>7</v>
      </c>
      <c r="D2817">
        <v>3</v>
      </c>
      <c r="E2817">
        <v>4</v>
      </c>
      <c r="F2817">
        <v>1</v>
      </c>
      <c r="G2817">
        <v>35597</v>
      </c>
      <c r="H2817">
        <v>1</v>
      </c>
      <c r="I2817">
        <v>1</v>
      </c>
    </row>
    <row r="2818" spans="1:9" x14ac:dyDescent="0.25">
      <c r="A2818">
        <v>81</v>
      </c>
      <c r="B2818">
        <v>0</v>
      </c>
      <c r="C2818">
        <v>4</v>
      </c>
      <c r="D2818">
        <v>3</v>
      </c>
      <c r="E2818">
        <v>2</v>
      </c>
      <c r="F2818">
        <v>1</v>
      </c>
      <c r="G2818">
        <v>33240</v>
      </c>
      <c r="H2818">
        <v>1</v>
      </c>
      <c r="I2818">
        <v>1</v>
      </c>
    </row>
    <row r="2819" spans="1:9" x14ac:dyDescent="0.25">
      <c r="A2819">
        <v>81</v>
      </c>
      <c r="B2819">
        <v>0</v>
      </c>
      <c r="C2819">
        <v>8</v>
      </c>
      <c r="D2819">
        <v>5</v>
      </c>
      <c r="E2819">
        <v>1</v>
      </c>
      <c r="F2819">
        <v>1</v>
      </c>
      <c r="G2819">
        <v>38242</v>
      </c>
      <c r="H2819">
        <v>1</v>
      </c>
      <c r="I2819">
        <v>1</v>
      </c>
    </row>
    <row r="2820" spans="1:9" x14ac:dyDescent="0.25">
      <c r="A2820">
        <v>81</v>
      </c>
      <c r="B2820">
        <v>1</v>
      </c>
      <c r="C2820">
        <v>2</v>
      </c>
      <c r="D2820">
        <v>2</v>
      </c>
      <c r="E2820">
        <v>1</v>
      </c>
      <c r="F2820">
        <v>1</v>
      </c>
      <c r="G2820">
        <v>18739</v>
      </c>
      <c r="H2820">
        <v>1</v>
      </c>
      <c r="I2820">
        <v>1</v>
      </c>
    </row>
    <row r="2821" spans="1:9" x14ac:dyDescent="0.25">
      <c r="A2821">
        <v>81</v>
      </c>
      <c r="B2821">
        <v>1</v>
      </c>
      <c r="C2821">
        <v>11</v>
      </c>
      <c r="D2821">
        <v>5</v>
      </c>
      <c r="E2821">
        <v>6</v>
      </c>
      <c r="F2821">
        <v>1</v>
      </c>
      <c r="G2821">
        <v>104224</v>
      </c>
      <c r="H2821">
        <v>1</v>
      </c>
      <c r="I2821">
        <v>1</v>
      </c>
    </row>
    <row r="2822" spans="1:9" x14ac:dyDescent="0.25">
      <c r="A2822">
        <v>81</v>
      </c>
      <c r="B2822">
        <v>0</v>
      </c>
      <c r="C2822">
        <v>2</v>
      </c>
      <c r="D2822">
        <v>0</v>
      </c>
      <c r="E2822">
        <v>1</v>
      </c>
      <c r="F2822">
        <v>1</v>
      </c>
      <c r="G2822">
        <v>12925</v>
      </c>
      <c r="H2822">
        <v>1</v>
      </c>
      <c r="I2822">
        <v>1</v>
      </c>
    </row>
    <row r="2823" spans="1:9" x14ac:dyDescent="0.25">
      <c r="A2823">
        <v>80</v>
      </c>
      <c r="B2823">
        <v>1</v>
      </c>
      <c r="C2823">
        <v>5</v>
      </c>
      <c r="D2823">
        <v>6</v>
      </c>
      <c r="E2823">
        <v>0</v>
      </c>
      <c r="F2823">
        <v>1</v>
      </c>
      <c r="G2823">
        <v>20082</v>
      </c>
      <c r="H2823">
        <v>0</v>
      </c>
      <c r="I2823">
        <v>1</v>
      </c>
    </row>
    <row r="2824" spans="1:9" x14ac:dyDescent="0.25">
      <c r="A2824">
        <v>80</v>
      </c>
      <c r="B2824">
        <v>0</v>
      </c>
      <c r="C2824">
        <v>7</v>
      </c>
      <c r="D2824">
        <v>1</v>
      </c>
      <c r="E2824">
        <v>0</v>
      </c>
      <c r="F2824">
        <v>1</v>
      </c>
      <c r="G2824">
        <v>28317</v>
      </c>
      <c r="H2824">
        <v>0</v>
      </c>
      <c r="I2824">
        <v>1</v>
      </c>
    </row>
    <row r="2825" spans="1:9" x14ac:dyDescent="0.25">
      <c r="A2825">
        <v>80</v>
      </c>
      <c r="B2825">
        <v>0</v>
      </c>
      <c r="C2825">
        <v>2</v>
      </c>
      <c r="D2825">
        <v>7</v>
      </c>
      <c r="E2825">
        <v>0</v>
      </c>
      <c r="F2825">
        <v>1</v>
      </c>
      <c r="G2825">
        <v>9681</v>
      </c>
      <c r="H2825">
        <v>0</v>
      </c>
      <c r="I2825">
        <v>1</v>
      </c>
    </row>
    <row r="2826" spans="1:9" x14ac:dyDescent="0.25">
      <c r="A2826">
        <v>80</v>
      </c>
      <c r="B2826">
        <v>1</v>
      </c>
      <c r="C2826">
        <v>1</v>
      </c>
      <c r="D2826">
        <v>4</v>
      </c>
      <c r="E2826">
        <v>0</v>
      </c>
      <c r="F2826">
        <v>1</v>
      </c>
      <c r="G2826">
        <v>9501</v>
      </c>
      <c r="H2826">
        <v>0</v>
      </c>
      <c r="I2826">
        <v>1</v>
      </c>
    </row>
    <row r="2827" spans="1:9" x14ac:dyDescent="0.25">
      <c r="A2827">
        <v>80</v>
      </c>
      <c r="B2827">
        <v>1</v>
      </c>
      <c r="C2827">
        <v>10</v>
      </c>
      <c r="D2827">
        <v>2</v>
      </c>
      <c r="E2827">
        <v>1</v>
      </c>
      <c r="F2827">
        <v>1</v>
      </c>
      <c r="G2827">
        <v>25533</v>
      </c>
      <c r="H2827">
        <v>0</v>
      </c>
      <c r="I2827">
        <v>1</v>
      </c>
    </row>
    <row r="2828" spans="1:9" x14ac:dyDescent="0.25">
      <c r="A2828">
        <v>80</v>
      </c>
      <c r="B2828">
        <v>1</v>
      </c>
      <c r="C2828">
        <v>10</v>
      </c>
      <c r="D2828">
        <v>4</v>
      </c>
      <c r="E2828">
        <v>1</v>
      </c>
      <c r="F2828">
        <v>1</v>
      </c>
      <c r="G2828">
        <v>26040</v>
      </c>
      <c r="H2828">
        <v>0</v>
      </c>
      <c r="I2828">
        <v>1</v>
      </c>
    </row>
    <row r="2829" spans="1:9" x14ac:dyDescent="0.25">
      <c r="A2829">
        <v>80</v>
      </c>
      <c r="B2829">
        <v>1</v>
      </c>
      <c r="C2829">
        <v>9</v>
      </c>
      <c r="D2829">
        <v>3</v>
      </c>
      <c r="E2829">
        <v>0</v>
      </c>
      <c r="F2829">
        <v>1</v>
      </c>
      <c r="G2829">
        <v>14033</v>
      </c>
      <c r="H2829">
        <v>0</v>
      </c>
      <c r="I2829">
        <v>1</v>
      </c>
    </row>
    <row r="2830" spans="1:9" x14ac:dyDescent="0.25">
      <c r="A2830">
        <v>80</v>
      </c>
      <c r="B2830">
        <v>0</v>
      </c>
      <c r="C2830">
        <v>5</v>
      </c>
      <c r="D2830">
        <v>2</v>
      </c>
      <c r="E2830">
        <v>0</v>
      </c>
      <c r="F2830">
        <v>1</v>
      </c>
      <c r="G2830">
        <v>12297</v>
      </c>
      <c r="H2830">
        <v>0</v>
      </c>
      <c r="I2830">
        <v>1</v>
      </c>
    </row>
    <row r="2831" spans="1:9" x14ac:dyDescent="0.25">
      <c r="A2831">
        <v>80</v>
      </c>
      <c r="B2831">
        <v>0</v>
      </c>
      <c r="C2831">
        <v>2</v>
      </c>
      <c r="D2831">
        <v>5</v>
      </c>
      <c r="E2831">
        <v>1</v>
      </c>
      <c r="F2831">
        <v>1</v>
      </c>
      <c r="G2831">
        <v>4789</v>
      </c>
      <c r="H2831">
        <v>0</v>
      </c>
      <c r="I2831">
        <v>1</v>
      </c>
    </row>
    <row r="2832" spans="1:9" x14ac:dyDescent="0.25">
      <c r="A2832">
        <v>80</v>
      </c>
      <c r="B2832">
        <v>1</v>
      </c>
      <c r="C2832">
        <v>11</v>
      </c>
      <c r="D2832">
        <v>5</v>
      </c>
      <c r="E2832">
        <v>1</v>
      </c>
      <c r="F2832">
        <v>1</v>
      </c>
      <c r="G2832">
        <v>26262</v>
      </c>
      <c r="H2832">
        <v>0</v>
      </c>
      <c r="I2832">
        <v>1</v>
      </c>
    </row>
    <row r="2833" spans="1:9" x14ac:dyDescent="0.25">
      <c r="A2833">
        <v>80</v>
      </c>
      <c r="B2833">
        <v>0</v>
      </c>
      <c r="C2833">
        <v>4</v>
      </c>
      <c r="D2833">
        <v>6</v>
      </c>
      <c r="E2833">
        <v>0</v>
      </c>
      <c r="F2833">
        <v>1</v>
      </c>
      <c r="G2833">
        <v>13345</v>
      </c>
      <c r="H2833">
        <v>0</v>
      </c>
      <c r="I2833">
        <v>1</v>
      </c>
    </row>
    <row r="2834" spans="1:9" x14ac:dyDescent="0.25">
      <c r="A2834">
        <v>80</v>
      </c>
      <c r="B2834">
        <v>1</v>
      </c>
      <c r="C2834">
        <v>3</v>
      </c>
      <c r="D2834">
        <v>5</v>
      </c>
      <c r="E2834">
        <v>1</v>
      </c>
      <c r="F2834">
        <v>1</v>
      </c>
      <c r="G2834">
        <v>7959</v>
      </c>
      <c r="H2834">
        <v>0</v>
      </c>
      <c r="I2834">
        <v>1</v>
      </c>
    </row>
    <row r="2835" spans="1:9" x14ac:dyDescent="0.25">
      <c r="A2835">
        <v>80</v>
      </c>
      <c r="B2835">
        <v>1</v>
      </c>
      <c r="C2835">
        <v>2</v>
      </c>
      <c r="D2835">
        <v>4</v>
      </c>
      <c r="E2835">
        <v>0</v>
      </c>
      <c r="F2835">
        <v>1</v>
      </c>
      <c r="G2835">
        <v>4563</v>
      </c>
      <c r="H2835">
        <v>0</v>
      </c>
      <c r="I2835">
        <v>1</v>
      </c>
    </row>
    <row r="2836" spans="1:9" x14ac:dyDescent="0.25">
      <c r="A2836">
        <v>80</v>
      </c>
      <c r="B2836">
        <v>0</v>
      </c>
      <c r="C2836">
        <v>13</v>
      </c>
      <c r="D2836">
        <v>6</v>
      </c>
      <c r="E2836">
        <v>1</v>
      </c>
      <c r="F2836">
        <v>1</v>
      </c>
      <c r="G2836">
        <v>45343</v>
      </c>
      <c r="H2836">
        <v>0</v>
      </c>
      <c r="I2836">
        <v>1</v>
      </c>
    </row>
    <row r="2837" spans="1:9" x14ac:dyDescent="0.25">
      <c r="A2837">
        <v>80</v>
      </c>
      <c r="B2837">
        <v>0</v>
      </c>
      <c r="C2837">
        <v>8</v>
      </c>
      <c r="D2837">
        <v>5</v>
      </c>
      <c r="E2837">
        <v>1</v>
      </c>
      <c r="F2837">
        <v>1</v>
      </c>
      <c r="G2837">
        <v>15931</v>
      </c>
      <c r="H2837">
        <v>0</v>
      </c>
      <c r="I2837">
        <v>1</v>
      </c>
    </row>
    <row r="2838" spans="1:9" x14ac:dyDescent="0.25">
      <c r="A2838">
        <v>80</v>
      </c>
      <c r="B2838">
        <v>1</v>
      </c>
      <c r="C2838">
        <v>2</v>
      </c>
      <c r="D2838">
        <v>6</v>
      </c>
      <c r="E2838">
        <v>3</v>
      </c>
      <c r="F2838">
        <v>1</v>
      </c>
      <c r="G2838">
        <v>17770</v>
      </c>
      <c r="H2838">
        <v>0</v>
      </c>
      <c r="I2838">
        <v>1</v>
      </c>
    </row>
    <row r="2839" spans="1:9" x14ac:dyDescent="0.25">
      <c r="A2839">
        <v>80</v>
      </c>
      <c r="B2839">
        <v>0</v>
      </c>
      <c r="C2839">
        <v>2</v>
      </c>
      <c r="D2839">
        <v>3</v>
      </c>
      <c r="E2839">
        <v>0</v>
      </c>
      <c r="F2839">
        <v>1</v>
      </c>
      <c r="G2839">
        <v>7511</v>
      </c>
      <c r="H2839">
        <v>0</v>
      </c>
      <c r="I2839">
        <v>1</v>
      </c>
    </row>
    <row r="2840" spans="1:9" x14ac:dyDescent="0.25">
      <c r="A2840">
        <v>80</v>
      </c>
      <c r="B2840">
        <v>0</v>
      </c>
      <c r="C2840">
        <v>5</v>
      </c>
      <c r="D2840">
        <v>3</v>
      </c>
      <c r="E2840">
        <v>0</v>
      </c>
      <c r="F2840">
        <v>1</v>
      </c>
      <c r="G2840">
        <v>8441</v>
      </c>
      <c r="H2840">
        <v>0</v>
      </c>
      <c r="I2840">
        <v>1</v>
      </c>
    </row>
    <row r="2841" spans="1:9" x14ac:dyDescent="0.25">
      <c r="A2841">
        <v>80</v>
      </c>
      <c r="B2841">
        <v>0</v>
      </c>
      <c r="C2841">
        <v>6</v>
      </c>
      <c r="D2841">
        <v>4</v>
      </c>
      <c r="E2841">
        <v>1</v>
      </c>
      <c r="F2841">
        <v>1</v>
      </c>
      <c r="G2841">
        <v>16793</v>
      </c>
      <c r="H2841">
        <v>0</v>
      </c>
      <c r="I2841">
        <v>1</v>
      </c>
    </row>
    <row r="2842" spans="1:9" x14ac:dyDescent="0.25">
      <c r="A2842">
        <v>80</v>
      </c>
      <c r="B2842">
        <v>0</v>
      </c>
      <c r="C2842">
        <v>5</v>
      </c>
      <c r="D2842">
        <v>8</v>
      </c>
      <c r="E2842">
        <v>3</v>
      </c>
      <c r="F2842">
        <v>1</v>
      </c>
      <c r="G2842">
        <v>13710</v>
      </c>
      <c r="H2842">
        <v>0</v>
      </c>
      <c r="I2842">
        <v>1</v>
      </c>
    </row>
    <row r="2843" spans="1:9" x14ac:dyDescent="0.25">
      <c r="A2843">
        <v>80</v>
      </c>
      <c r="B2843">
        <v>1</v>
      </c>
      <c r="C2843">
        <v>3</v>
      </c>
      <c r="D2843">
        <v>3</v>
      </c>
      <c r="E2843">
        <v>0</v>
      </c>
      <c r="F2843">
        <v>1</v>
      </c>
      <c r="G2843">
        <v>5645</v>
      </c>
      <c r="H2843">
        <v>0</v>
      </c>
      <c r="I2843">
        <v>1</v>
      </c>
    </row>
    <row r="2844" spans="1:9" x14ac:dyDescent="0.25">
      <c r="A2844">
        <v>80</v>
      </c>
      <c r="B2844">
        <v>0</v>
      </c>
      <c r="C2844">
        <v>9</v>
      </c>
      <c r="D2844">
        <v>5</v>
      </c>
      <c r="E2844">
        <v>3</v>
      </c>
      <c r="F2844">
        <v>1</v>
      </c>
      <c r="G2844">
        <v>23432</v>
      </c>
      <c r="H2844">
        <v>0</v>
      </c>
      <c r="I2844">
        <v>1</v>
      </c>
    </row>
    <row r="2845" spans="1:9" x14ac:dyDescent="0.25">
      <c r="A2845">
        <v>80</v>
      </c>
      <c r="B2845">
        <v>0</v>
      </c>
      <c r="C2845">
        <v>10</v>
      </c>
      <c r="D2845">
        <v>3</v>
      </c>
      <c r="E2845">
        <v>2</v>
      </c>
      <c r="F2845">
        <v>1</v>
      </c>
      <c r="G2845">
        <v>19621</v>
      </c>
      <c r="H2845">
        <v>0</v>
      </c>
      <c r="I2845">
        <v>1</v>
      </c>
    </row>
    <row r="2846" spans="1:9" x14ac:dyDescent="0.25">
      <c r="A2846">
        <v>80</v>
      </c>
      <c r="B2846">
        <v>0</v>
      </c>
      <c r="C2846">
        <v>1</v>
      </c>
      <c r="D2846">
        <v>5</v>
      </c>
      <c r="E2846">
        <v>1</v>
      </c>
      <c r="F2846">
        <v>1</v>
      </c>
      <c r="G2846">
        <v>10152</v>
      </c>
      <c r="H2846">
        <v>0</v>
      </c>
      <c r="I2846">
        <v>1</v>
      </c>
    </row>
    <row r="2847" spans="1:9" x14ac:dyDescent="0.25">
      <c r="A2847">
        <v>80</v>
      </c>
      <c r="B2847">
        <v>0</v>
      </c>
      <c r="C2847">
        <v>11</v>
      </c>
      <c r="D2847">
        <v>4</v>
      </c>
      <c r="E2847">
        <v>4</v>
      </c>
      <c r="F2847">
        <v>1</v>
      </c>
      <c r="G2847">
        <v>26410</v>
      </c>
      <c r="H2847">
        <v>0</v>
      </c>
      <c r="I2847">
        <v>1</v>
      </c>
    </row>
    <row r="2848" spans="1:9" x14ac:dyDescent="0.25">
      <c r="A2848">
        <v>80</v>
      </c>
      <c r="B2848">
        <v>0</v>
      </c>
      <c r="C2848">
        <v>3</v>
      </c>
      <c r="D2848">
        <v>8</v>
      </c>
      <c r="E2848">
        <v>0</v>
      </c>
      <c r="F2848">
        <v>1</v>
      </c>
      <c r="G2848">
        <v>10800</v>
      </c>
      <c r="H2848">
        <v>0</v>
      </c>
      <c r="I2848">
        <v>1</v>
      </c>
    </row>
    <row r="2849" spans="1:9" x14ac:dyDescent="0.25">
      <c r="A2849">
        <v>80</v>
      </c>
      <c r="B2849">
        <v>0</v>
      </c>
      <c r="C2849">
        <v>1</v>
      </c>
      <c r="D2849">
        <v>5</v>
      </c>
      <c r="E2849">
        <v>1</v>
      </c>
      <c r="F2849">
        <v>1</v>
      </c>
      <c r="G2849">
        <v>10057</v>
      </c>
      <c r="H2849">
        <v>0</v>
      </c>
      <c r="I2849">
        <v>1</v>
      </c>
    </row>
    <row r="2850" spans="1:9" x14ac:dyDescent="0.25">
      <c r="A2850">
        <v>80</v>
      </c>
      <c r="B2850">
        <v>1</v>
      </c>
      <c r="C2850">
        <v>8</v>
      </c>
      <c r="D2850">
        <v>5</v>
      </c>
      <c r="E2850">
        <v>0</v>
      </c>
      <c r="F2850">
        <v>1</v>
      </c>
      <c r="G2850">
        <v>12409</v>
      </c>
      <c r="H2850">
        <v>0</v>
      </c>
      <c r="I2850">
        <v>1</v>
      </c>
    </row>
    <row r="2851" spans="1:9" x14ac:dyDescent="0.25">
      <c r="A2851">
        <v>80</v>
      </c>
      <c r="B2851">
        <v>1</v>
      </c>
      <c r="C2851">
        <v>4</v>
      </c>
      <c r="D2851">
        <v>4</v>
      </c>
      <c r="E2851">
        <v>2</v>
      </c>
      <c r="F2851">
        <v>1</v>
      </c>
      <c r="G2851">
        <v>13569</v>
      </c>
      <c r="H2851">
        <v>0</v>
      </c>
      <c r="I2851">
        <v>1</v>
      </c>
    </row>
    <row r="2852" spans="1:9" x14ac:dyDescent="0.25">
      <c r="A2852">
        <v>80</v>
      </c>
      <c r="B2852">
        <v>0</v>
      </c>
      <c r="C2852">
        <v>4</v>
      </c>
      <c r="D2852">
        <v>4</v>
      </c>
      <c r="E2852">
        <v>1</v>
      </c>
      <c r="F2852">
        <v>1</v>
      </c>
      <c r="G2852">
        <v>13552</v>
      </c>
      <c r="H2852">
        <v>0</v>
      </c>
      <c r="I2852">
        <v>1</v>
      </c>
    </row>
    <row r="2853" spans="1:9" x14ac:dyDescent="0.25">
      <c r="A2853">
        <v>80</v>
      </c>
      <c r="B2853">
        <v>1</v>
      </c>
      <c r="C2853">
        <v>4</v>
      </c>
      <c r="D2853">
        <v>8</v>
      </c>
      <c r="E2853">
        <v>1</v>
      </c>
      <c r="F2853">
        <v>1</v>
      </c>
      <c r="G2853">
        <v>16601</v>
      </c>
      <c r="H2853">
        <v>0</v>
      </c>
      <c r="I2853">
        <v>1</v>
      </c>
    </row>
    <row r="2854" spans="1:9" x14ac:dyDescent="0.25">
      <c r="A2854">
        <v>80</v>
      </c>
      <c r="B2854">
        <v>0</v>
      </c>
      <c r="C2854">
        <v>7</v>
      </c>
      <c r="D2854">
        <v>4</v>
      </c>
      <c r="E2854">
        <v>0</v>
      </c>
      <c r="F2854">
        <v>1</v>
      </c>
      <c r="G2854">
        <v>16190</v>
      </c>
      <c r="H2854">
        <v>0</v>
      </c>
      <c r="I2854">
        <v>1</v>
      </c>
    </row>
    <row r="2855" spans="1:9" x14ac:dyDescent="0.25">
      <c r="A2855">
        <v>80</v>
      </c>
      <c r="B2855">
        <v>0</v>
      </c>
      <c r="C2855">
        <v>2</v>
      </c>
      <c r="D2855">
        <v>0</v>
      </c>
      <c r="E2855">
        <v>1</v>
      </c>
      <c r="F2855">
        <v>1</v>
      </c>
      <c r="G2855">
        <v>22227</v>
      </c>
      <c r="H2855">
        <v>1</v>
      </c>
      <c r="I2855">
        <v>1</v>
      </c>
    </row>
    <row r="2856" spans="1:9" x14ac:dyDescent="0.25">
      <c r="A2856">
        <v>80</v>
      </c>
      <c r="B2856">
        <v>1</v>
      </c>
      <c r="C2856">
        <v>10</v>
      </c>
      <c r="D2856">
        <v>3</v>
      </c>
      <c r="E2856">
        <v>3</v>
      </c>
      <c r="F2856">
        <v>1</v>
      </c>
      <c r="G2856">
        <v>51561</v>
      </c>
      <c r="H2856">
        <v>1</v>
      </c>
      <c r="I2856">
        <v>1</v>
      </c>
    </row>
    <row r="2857" spans="1:9" x14ac:dyDescent="0.25">
      <c r="A2857">
        <v>78</v>
      </c>
      <c r="B2857">
        <v>1</v>
      </c>
      <c r="C2857">
        <v>5</v>
      </c>
      <c r="D2857">
        <v>5</v>
      </c>
      <c r="E2857">
        <v>0</v>
      </c>
      <c r="F2857">
        <v>1</v>
      </c>
      <c r="G2857">
        <v>22303</v>
      </c>
      <c r="H2857">
        <v>0</v>
      </c>
      <c r="I2857">
        <v>1</v>
      </c>
    </row>
    <row r="2858" spans="1:9" x14ac:dyDescent="0.25">
      <c r="A2858">
        <v>78</v>
      </c>
      <c r="B2858">
        <v>1</v>
      </c>
      <c r="C2858">
        <v>3</v>
      </c>
      <c r="D2858">
        <v>4</v>
      </c>
      <c r="E2858">
        <v>0</v>
      </c>
      <c r="F2858">
        <v>1</v>
      </c>
      <c r="G2858">
        <v>10472</v>
      </c>
      <c r="H2858">
        <v>0</v>
      </c>
      <c r="I2858">
        <v>1</v>
      </c>
    </row>
    <row r="2859" spans="1:9" x14ac:dyDescent="0.25">
      <c r="A2859">
        <v>78</v>
      </c>
      <c r="B2859">
        <v>1</v>
      </c>
      <c r="C2859">
        <v>2</v>
      </c>
      <c r="D2859">
        <v>6</v>
      </c>
      <c r="E2859">
        <v>0</v>
      </c>
      <c r="F2859">
        <v>1</v>
      </c>
      <c r="G2859">
        <v>9624</v>
      </c>
      <c r="H2859">
        <v>0</v>
      </c>
      <c r="I2859">
        <v>1</v>
      </c>
    </row>
    <row r="2860" spans="1:9" x14ac:dyDescent="0.25">
      <c r="A2860">
        <v>78</v>
      </c>
      <c r="B2860">
        <v>1</v>
      </c>
      <c r="C2860">
        <v>10</v>
      </c>
      <c r="D2860">
        <v>4</v>
      </c>
      <c r="E2860">
        <v>0</v>
      </c>
      <c r="F2860">
        <v>1</v>
      </c>
      <c r="G2860">
        <v>28132</v>
      </c>
      <c r="H2860">
        <v>0</v>
      </c>
      <c r="I2860">
        <v>1</v>
      </c>
    </row>
    <row r="2861" spans="1:9" x14ac:dyDescent="0.25">
      <c r="A2861">
        <v>78</v>
      </c>
      <c r="B2861">
        <v>1</v>
      </c>
      <c r="C2861">
        <v>3</v>
      </c>
      <c r="D2861">
        <v>7</v>
      </c>
      <c r="E2861">
        <v>0</v>
      </c>
      <c r="F2861">
        <v>1</v>
      </c>
      <c r="G2861">
        <v>13280</v>
      </c>
      <c r="H2861">
        <v>0</v>
      </c>
      <c r="I2861">
        <v>1</v>
      </c>
    </row>
    <row r="2862" spans="1:9" x14ac:dyDescent="0.25">
      <c r="A2862">
        <v>78</v>
      </c>
      <c r="B2862">
        <v>1</v>
      </c>
      <c r="C2862">
        <v>2</v>
      </c>
      <c r="D2862">
        <v>7</v>
      </c>
      <c r="E2862">
        <v>0</v>
      </c>
      <c r="F2862">
        <v>1</v>
      </c>
      <c r="G2862">
        <v>9263</v>
      </c>
      <c r="H2862">
        <v>0</v>
      </c>
      <c r="I2862">
        <v>1</v>
      </c>
    </row>
    <row r="2863" spans="1:9" x14ac:dyDescent="0.25">
      <c r="A2863">
        <v>78</v>
      </c>
      <c r="B2863">
        <v>1</v>
      </c>
      <c r="C2863">
        <v>4</v>
      </c>
      <c r="D2863">
        <v>8</v>
      </c>
      <c r="E2863">
        <v>0</v>
      </c>
      <c r="F2863">
        <v>1</v>
      </c>
      <c r="G2863">
        <v>15085</v>
      </c>
      <c r="H2863">
        <v>0</v>
      </c>
      <c r="I2863">
        <v>1</v>
      </c>
    </row>
    <row r="2864" spans="1:9" x14ac:dyDescent="0.25">
      <c r="A2864">
        <v>78</v>
      </c>
      <c r="B2864">
        <v>1</v>
      </c>
      <c r="C2864">
        <v>4</v>
      </c>
      <c r="D2864">
        <v>4</v>
      </c>
      <c r="E2864">
        <v>0</v>
      </c>
      <c r="F2864">
        <v>1</v>
      </c>
      <c r="G2864">
        <v>19259</v>
      </c>
      <c r="H2864">
        <v>0</v>
      </c>
      <c r="I2864">
        <v>1</v>
      </c>
    </row>
    <row r="2865" spans="1:9" x14ac:dyDescent="0.25">
      <c r="A2865">
        <v>78</v>
      </c>
      <c r="B2865">
        <v>1</v>
      </c>
      <c r="C2865">
        <v>3</v>
      </c>
      <c r="D2865">
        <v>4</v>
      </c>
      <c r="E2865">
        <v>0</v>
      </c>
      <c r="F2865">
        <v>1</v>
      </c>
      <c r="G2865">
        <v>6015</v>
      </c>
      <c r="H2865">
        <v>0</v>
      </c>
      <c r="I2865">
        <v>1</v>
      </c>
    </row>
    <row r="2866" spans="1:9" x14ac:dyDescent="0.25">
      <c r="A2866">
        <v>78</v>
      </c>
      <c r="B2866">
        <v>1</v>
      </c>
      <c r="C2866">
        <v>8</v>
      </c>
      <c r="D2866">
        <v>3</v>
      </c>
      <c r="E2866">
        <v>1</v>
      </c>
      <c r="F2866">
        <v>1</v>
      </c>
      <c r="G2866">
        <v>47517</v>
      </c>
      <c r="H2866">
        <v>0</v>
      </c>
      <c r="I2866">
        <v>1</v>
      </c>
    </row>
    <row r="2867" spans="1:9" x14ac:dyDescent="0.25">
      <c r="A2867">
        <v>78</v>
      </c>
      <c r="B2867">
        <v>0</v>
      </c>
      <c r="C2867">
        <v>4</v>
      </c>
      <c r="D2867">
        <v>4</v>
      </c>
      <c r="E2867">
        <v>1</v>
      </c>
      <c r="F2867">
        <v>1</v>
      </c>
      <c r="G2867">
        <v>20844</v>
      </c>
      <c r="H2867">
        <v>0</v>
      </c>
      <c r="I2867">
        <v>1</v>
      </c>
    </row>
    <row r="2868" spans="1:9" x14ac:dyDescent="0.25">
      <c r="A2868">
        <v>78</v>
      </c>
      <c r="B2868">
        <v>0</v>
      </c>
      <c r="C2868">
        <v>10</v>
      </c>
      <c r="D2868">
        <v>1</v>
      </c>
      <c r="E2868">
        <v>1</v>
      </c>
      <c r="F2868">
        <v>1</v>
      </c>
      <c r="G2868">
        <v>28896</v>
      </c>
      <c r="H2868">
        <v>0</v>
      </c>
      <c r="I2868">
        <v>1</v>
      </c>
    </row>
    <row r="2869" spans="1:9" x14ac:dyDescent="0.25">
      <c r="A2869">
        <v>78</v>
      </c>
      <c r="B2869">
        <v>0</v>
      </c>
      <c r="C2869">
        <v>3</v>
      </c>
      <c r="D2869">
        <v>8</v>
      </c>
      <c r="E2869">
        <v>0</v>
      </c>
      <c r="F2869">
        <v>1</v>
      </c>
      <c r="G2869">
        <v>12318</v>
      </c>
      <c r="H2869">
        <v>0</v>
      </c>
      <c r="I2869">
        <v>1</v>
      </c>
    </row>
    <row r="2870" spans="1:9" x14ac:dyDescent="0.25">
      <c r="A2870">
        <v>78</v>
      </c>
      <c r="B2870">
        <v>1</v>
      </c>
      <c r="C2870">
        <v>2</v>
      </c>
      <c r="D2870">
        <v>3</v>
      </c>
      <c r="E2870">
        <v>0</v>
      </c>
      <c r="F2870">
        <v>1</v>
      </c>
      <c r="G2870">
        <v>7992</v>
      </c>
      <c r="H2870">
        <v>0</v>
      </c>
      <c r="I2870">
        <v>1</v>
      </c>
    </row>
    <row r="2871" spans="1:9" x14ac:dyDescent="0.25">
      <c r="A2871">
        <v>78</v>
      </c>
      <c r="B2871">
        <v>1</v>
      </c>
      <c r="C2871">
        <v>2</v>
      </c>
      <c r="D2871">
        <v>8</v>
      </c>
      <c r="E2871">
        <v>0</v>
      </c>
      <c r="F2871">
        <v>1</v>
      </c>
      <c r="G2871">
        <v>9186</v>
      </c>
      <c r="H2871">
        <v>0</v>
      </c>
      <c r="I2871">
        <v>1</v>
      </c>
    </row>
    <row r="2872" spans="1:9" x14ac:dyDescent="0.25">
      <c r="A2872">
        <v>78</v>
      </c>
      <c r="B2872">
        <v>1</v>
      </c>
      <c r="C2872">
        <v>5</v>
      </c>
      <c r="D2872">
        <v>1</v>
      </c>
      <c r="E2872">
        <v>0</v>
      </c>
      <c r="F2872">
        <v>1</v>
      </c>
      <c r="G2872">
        <v>11371</v>
      </c>
      <c r="H2872">
        <v>0</v>
      </c>
      <c r="I2872">
        <v>1</v>
      </c>
    </row>
    <row r="2873" spans="1:9" x14ac:dyDescent="0.25">
      <c r="A2873">
        <v>78</v>
      </c>
      <c r="B2873">
        <v>1</v>
      </c>
      <c r="C2873">
        <v>2</v>
      </c>
      <c r="D2873">
        <v>5</v>
      </c>
      <c r="E2873">
        <v>0</v>
      </c>
      <c r="F2873">
        <v>1</v>
      </c>
      <c r="G2873">
        <v>8551</v>
      </c>
      <c r="H2873">
        <v>0</v>
      </c>
      <c r="I2873">
        <v>1</v>
      </c>
    </row>
    <row r="2874" spans="1:9" x14ac:dyDescent="0.25">
      <c r="A2874">
        <v>78</v>
      </c>
      <c r="B2874">
        <v>1</v>
      </c>
      <c r="C2874">
        <v>1</v>
      </c>
      <c r="D2874">
        <v>3</v>
      </c>
      <c r="E2874">
        <v>0</v>
      </c>
      <c r="F2874">
        <v>1</v>
      </c>
      <c r="G2874">
        <v>7508</v>
      </c>
      <c r="H2874">
        <v>0</v>
      </c>
      <c r="I2874">
        <v>1</v>
      </c>
    </row>
    <row r="2875" spans="1:9" x14ac:dyDescent="0.25">
      <c r="A2875">
        <v>78</v>
      </c>
      <c r="B2875">
        <v>1</v>
      </c>
      <c r="C2875">
        <v>6</v>
      </c>
      <c r="D2875">
        <v>4</v>
      </c>
      <c r="E2875">
        <v>0</v>
      </c>
      <c r="F2875">
        <v>1</v>
      </c>
      <c r="G2875">
        <v>13973</v>
      </c>
      <c r="H2875">
        <v>0</v>
      </c>
      <c r="I2875">
        <v>1</v>
      </c>
    </row>
    <row r="2876" spans="1:9" x14ac:dyDescent="0.25">
      <c r="A2876">
        <v>78</v>
      </c>
      <c r="B2876">
        <v>1</v>
      </c>
      <c r="C2876">
        <v>3</v>
      </c>
      <c r="D2876">
        <v>6</v>
      </c>
      <c r="E2876">
        <v>0</v>
      </c>
      <c r="F2876">
        <v>1</v>
      </c>
      <c r="G2876">
        <v>11362</v>
      </c>
      <c r="H2876">
        <v>0</v>
      </c>
      <c r="I2876">
        <v>1</v>
      </c>
    </row>
    <row r="2877" spans="1:9" x14ac:dyDescent="0.25">
      <c r="A2877">
        <v>78</v>
      </c>
      <c r="B2877">
        <v>1</v>
      </c>
      <c r="C2877">
        <v>10</v>
      </c>
      <c r="D2877">
        <v>2</v>
      </c>
      <c r="E2877">
        <v>0</v>
      </c>
      <c r="F2877">
        <v>1</v>
      </c>
      <c r="G2877">
        <v>19037</v>
      </c>
      <c r="H2877">
        <v>0</v>
      </c>
      <c r="I2877">
        <v>1</v>
      </c>
    </row>
    <row r="2878" spans="1:9" x14ac:dyDescent="0.25">
      <c r="A2878">
        <v>78</v>
      </c>
      <c r="B2878">
        <v>0</v>
      </c>
      <c r="C2878">
        <v>11</v>
      </c>
      <c r="D2878">
        <v>6</v>
      </c>
      <c r="E2878">
        <v>1</v>
      </c>
      <c r="F2878">
        <v>1</v>
      </c>
      <c r="G2878">
        <v>33841</v>
      </c>
      <c r="H2878">
        <v>0</v>
      </c>
      <c r="I2878">
        <v>1</v>
      </c>
    </row>
    <row r="2879" spans="1:9" x14ac:dyDescent="0.25">
      <c r="A2879">
        <v>78</v>
      </c>
      <c r="B2879">
        <v>1</v>
      </c>
      <c r="C2879">
        <v>16</v>
      </c>
      <c r="D2879">
        <v>4</v>
      </c>
      <c r="E2879">
        <v>0</v>
      </c>
      <c r="F2879">
        <v>1</v>
      </c>
      <c r="G2879">
        <v>23228</v>
      </c>
      <c r="H2879">
        <v>0</v>
      </c>
      <c r="I2879">
        <v>1</v>
      </c>
    </row>
    <row r="2880" spans="1:9" x14ac:dyDescent="0.25">
      <c r="A2880">
        <v>78</v>
      </c>
      <c r="B2880">
        <v>1</v>
      </c>
      <c r="C2880">
        <v>10</v>
      </c>
      <c r="D2880">
        <v>1</v>
      </c>
      <c r="E2880">
        <v>0</v>
      </c>
      <c r="F2880">
        <v>1</v>
      </c>
      <c r="G2880">
        <v>21995</v>
      </c>
      <c r="H2880">
        <v>0</v>
      </c>
      <c r="I2880">
        <v>1</v>
      </c>
    </row>
    <row r="2881" spans="1:9" x14ac:dyDescent="0.25">
      <c r="A2881">
        <v>78</v>
      </c>
      <c r="B2881">
        <v>1</v>
      </c>
      <c r="C2881">
        <v>18</v>
      </c>
      <c r="D2881">
        <v>3</v>
      </c>
      <c r="E2881">
        <v>1</v>
      </c>
      <c r="F2881">
        <v>1</v>
      </c>
      <c r="G2881">
        <v>44770</v>
      </c>
      <c r="H2881">
        <v>0</v>
      </c>
      <c r="I2881">
        <v>1</v>
      </c>
    </row>
    <row r="2882" spans="1:9" x14ac:dyDescent="0.25">
      <c r="A2882">
        <v>78</v>
      </c>
      <c r="B2882">
        <v>1</v>
      </c>
      <c r="C2882">
        <v>7</v>
      </c>
      <c r="D2882">
        <v>6</v>
      </c>
      <c r="E2882">
        <v>1</v>
      </c>
      <c r="F2882">
        <v>1</v>
      </c>
      <c r="G2882">
        <v>14692</v>
      </c>
      <c r="H2882">
        <v>0</v>
      </c>
      <c r="I2882">
        <v>1</v>
      </c>
    </row>
    <row r="2883" spans="1:9" x14ac:dyDescent="0.25">
      <c r="A2883">
        <v>78</v>
      </c>
      <c r="B2883">
        <v>1</v>
      </c>
      <c r="C2883">
        <v>4</v>
      </c>
      <c r="D2883">
        <v>5</v>
      </c>
      <c r="E2883">
        <v>0</v>
      </c>
      <c r="F2883">
        <v>1</v>
      </c>
      <c r="G2883">
        <v>4413</v>
      </c>
      <c r="H2883">
        <v>0</v>
      </c>
      <c r="I2883">
        <v>1</v>
      </c>
    </row>
    <row r="2884" spans="1:9" x14ac:dyDescent="0.25">
      <c r="A2884">
        <v>78</v>
      </c>
      <c r="B2884">
        <v>0</v>
      </c>
      <c r="C2884">
        <v>6</v>
      </c>
      <c r="D2884">
        <v>7</v>
      </c>
      <c r="E2884">
        <v>0</v>
      </c>
      <c r="F2884">
        <v>1</v>
      </c>
      <c r="G2884">
        <v>14142</v>
      </c>
      <c r="H2884">
        <v>0</v>
      </c>
      <c r="I2884">
        <v>1</v>
      </c>
    </row>
    <row r="2885" spans="1:9" x14ac:dyDescent="0.25">
      <c r="A2885">
        <v>78</v>
      </c>
      <c r="B2885">
        <v>1</v>
      </c>
      <c r="C2885">
        <v>5</v>
      </c>
      <c r="D2885">
        <v>5</v>
      </c>
      <c r="E2885">
        <v>2</v>
      </c>
      <c r="F2885">
        <v>1</v>
      </c>
      <c r="G2885">
        <v>13347</v>
      </c>
      <c r="H2885">
        <v>0</v>
      </c>
      <c r="I2885">
        <v>1</v>
      </c>
    </row>
    <row r="2886" spans="1:9" x14ac:dyDescent="0.25">
      <c r="A2886">
        <v>78</v>
      </c>
      <c r="B2886">
        <v>1</v>
      </c>
      <c r="C2886">
        <v>5</v>
      </c>
      <c r="D2886">
        <v>3</v>
      </c>
      <c r="E2886">
        <v>0</v>
      </c>
      <c r="F2886">
        <v>1</v>
      </c>
      <c r="G2886">
        <v>11275</v>
      </c>
      <c r="H2886">
        <v>0</v>
      </c>
      <c r="I2886">
        <v>1</v>
      </c>
    </row>
    <row r="2887" spans="1:9" x14ac:dyDescent="0.25">
      <c r="A2887">
        <v>78</v>
      </c>
      <c r="B2887">
        <v>1</v>
      </c>
      <c r="C2887">
        <v>20</v>
      </c>
      <c r="D2887">
        <v>5</v>
      </c>
      <c r="E2887">
        <v>0</v>
      </c>
      <c r="F2887">
        <v>1</v>
      </c>
      <c r="G2887">
        <v>25492</v>
      </c>
      <c r="H2887">
        <v>0</v>
      </c>
      <c r="I2887">
        <v>1</v>
      </c>
    </row>
    <row r="2888" spans="1:9" x14ac:dyDescent="0.25">
      <c r="A2888">
        <v>78</v>
      </c>
      <c r="B2888">
        <v>1</v>
      </c>
      <c r="C2888">
        <v>5</v>
      </c>
      <c r="D2888">
        <v>4</v>
      </c>
      <c r="E2888">
        <v>0</v>
      </c>
      <c r="F2888">
        <v>1</v>
      </c>
      <c r="G2888">
        <v>7942</v>
      </c>
      <c r="H2888">
        <v>0</v>
      </c>
      <c r="I2888">
        <v>1</v>
      </c>
    </row>
    <row r="2889" spans="1:9" x14ac:dyDescent="0.25">
      <c r="A2889">
        <v>78</v>
      </c>
      <c r="B2889">
        <v>0</v>
      </c>
      <c r="C2889">
        <v>6</v>
      </c>
      <c r="D2889">
        <v>8</v>
      </c>
      <c r="E2889">
        <v>0</v>
      </c>
      <c r="F2889">
        <v>1</v>
      </c>
      <c r="G2889">
        <v>12398</v>
      </c>
      <c r="H2889">
        <v>0</v>
      </c>
      <c r="I2889">
        <v>1</v>
      </c>
    </row>
    <row r="2890" spans="1:9" x14ac:dyDescent="0.25">
      <c r="A2890">
        <v>78</v>
      </c>
      <c r="B2890">
        <v>0</v>
      </c>
      <c r="C2890">
        <v>7</v>
      </c>
      <c r="D2890">
        <v>4</v>
      </c>
      <c r="E2890">
        <v>0</v>
      </c>
      <c r="F2890">
        <v>1</v>
      </c>
      <c r="G2890">
        <v>11540</v>
      </c>
      <c r="H2890">
        <v>0</v>
      </c>
      <c r="I2890">
        <v>1</v>
      </c>
    </row>
    <row r="2891" spans="1:9" x14ac:dyDescent="0.25">
      <c r="A2891">
        <v>78</v>
      </c>
      <c r="B2891">
        <v>0</v>
      </c>
      <c r="C2891">
        <v>4</v>
      </c>
      <c r="D2891">
        <v>5</v>
      </c>
      <c r="E2891">
        <v>4</v>
      </c>
      <c r="F2891">
        <v>1</v>
      </c>
      <c r="G2891">
        <v>15711</v>
      </c>
      <c r="H2891">
        <v>0</v>
      </c>
      <c r="I2891">
        <v>1</v>
      </c>
    </row>
    <row r="2892" spans="1:9" x14ac:dyDescent="0.25">
      <c r="A2892">
        <v>78</v>
      </c>
      <c r="B2892">
        <v>0</v>
      </c>
      <c r="C2892">
        <v>3</v>
      </c>
      <c r="D2892">
        <v>6</v>
      </c>
      <c r="E2892">
        <v>1</v>
      </c>
      <c r="F2892">
        <v>1</v>
      </c>
      <c r="G2892">
        <v>10873</v>
      </c>
      <c r="H2892">
        <v>0</v>
      </c>
      <c r="I2892">
        <v>1</v>
      </c>
    </row>
    <row r="2893" spans="1:9" x14ac:dyDescent="0.25">
      <c r="A2893">
        <v>78</v>
      </c>
      <c r="B2893">
        <v>0</v>
      </c>
      <c r="C2893">
        <v>3</v>
      </c>
      <c r="D2893">
        <v>5</v>
      </c>
      <c r="E2893">
        <v>0</v>
      </c>
      <c r="F2893">
        <v>1</v>
      </c>
      <c r="G2893">
        <v>7095</v>
      </c>
      <c r="H2893">
        <v>0</v>
      </c>
      <c r="I2893">
        <v>1</v>
      </c>
    </row>
    <row r="2894" spans="1:9" x14ac:dyDescent="0.25">
      <c r="A2894">
        <v>78</v>
      </c>
      <c r="B2894">
        <v>1</v>
      </c>
      <c r="C2894">
        <v>4</v>
      </c>
      <c r="D2894">
        <v>3</v>
      </c>
      <c r="E2894">
        <v>0</v>
      </c>
      <c r="F2894">
        <v>1</v>
      </c>
      <c r="G2894">
        <v>10331</v>
      </c>
      <c r="H2894">
        <v>0</v>
      </c>
      <c r="I2894">
        <v>1</v>
      </c>
    </row>
    <row r="2895" spans="1:9" x14ac:dyDescent="0.25">
      <c r="A2895">
        <v>78</v>
      </c>
      <c r="B2895">
        <v>1</v>
      </c>
      <c r="C2895">
        <v>22</v>
      </c>
      <c r="D2895">
        <v>4</v>
      </c>
      <c r="E2895">
        <v>0</v>
      </c>
      <c r="F2895">
        <v>1</v>
      </c>
      <c r="G2895">
        <v>37412</v>
      </c>
      <c r="H2895">
        <v>0</v>
      </c>
      <c r="I2895">
        <v>1</v>
      </c>
    </row>
    <row r="2896" spans="1:9" x14ac:dyDescent="0.25">
      <c r="A2896">
        <v>78</v>
      </c>
      <c r="B2896">
        <v>1</v>
      </c>
      <c r="C2896">
        <v>5</v>
      </c>
      <c r="D2896">
        <v>4</v>
      </c>
      <c r="E2896">
        <v>0</v>
      </c>
      <c r="F2896">
        <v>1</v>
      </c>
      <c r="G2896">
        <v>10398</v>
      </c>
      <c r="H2896">
        <v>0</v>
      </c>
      <c r="I2896">
        <v>1</v>
      </c>
    </row>
    <row r="2897" spans="1:9" x14ac:dyDescent="0.25">
      <c r="A2897">
        <v>78</v>
      </c>
      <c r="B2897">
        <v>1</v>
      </c>
      <c r="C2897">
        <v>12</v>
      </c>
      <c r="D2897">
        <v>4</v>
      </c>
      <c r="E2897">
        <v>1</v>
      </c>
      <c r="F2897">
        <v>1</v>
      </c>
      <c r="G2897">
        <v>23828</v>
      </c>
      <c r="H2897">
        <v>0</v>
      </c>
      <c r="I2897">
        <v>1</v>
      </c>
    </row>
    <row r="2898" spans="1:9" x14ac:dyDescent="0.25">
      <c r="A2898">
        <v>78</v>
      </c>
      <c r="B2898">
        <v>0</v>
      </c>
      <c r="C2898">
        <v>2</v>
      </c>
      <c r="D2898">
        <v>8</v>
      </c>
      <c r="E2898">
        <v>1</v>
      </c>
      <c r="F2898">
        <v>1</v>
      </c>
      <c r="G2898">
        <v>10199</v>
      </c>
      <c r="H2898">
        <v>0</v>
      </c>
      <c r="I2898">
        <v>1</v>
      </c>
    </row>
    <row r="2899" spans="1:9" x14ac:dyDescent="0.25">
      <c r="A2899">
        <v>76</v>
      </c>
      <c r="B2899">
        <v>1</v>
      </c>
      <c r="C2899">
        <v>4</v>
      </c>
      <c r="D2899">
        <v>7</v>
      </c>
      <c r="E2899">
        <v>0</v>
      </c>
      <c r="F2899">
        <v>1</v>
      </c>
      <c r="G2899">
        <v>10712</v>
      </c>
      <c r="H2899">
        <v>0</v>
      </c>
      <c r="I2899">
        <v>1</v>
      </c>
    </row>
    <row r="2900" spans="1:9" x14ac:dyDescent="0.25">
      <c r="A2900">
        <v>76</v>
      </c>
      <c r="B2900">
        <v>1</v>
      </c>
      <c r="C2900">
        <v>9</v>
      </c>
      <c r="D2900">
        <v>7</v>
      </c>
      <c r="E2900">
        <v>0</v>
      </c>
      <c r="F2900">
        <v>1</v>
      </c>
      <c r="G2900">
        <v>15202</v>
      </c>
      <c r="H2900">
        <v>0</v>
      </c>
      <c r="I2900">
        <v>1</v>
      </c>
    </row>
    <row r="2901" spans="1:9" x14ac:dyDescent="0.25">
      <c r="A2901">
        <v>76</v>
      </c>
      <c r="B2901">
        <v>0</v>
      </c>
      <c r="C2901">
        <v>2</v>
      </c>
      <c r="D2901">
        <v>5</v>
      </c>
      <c r="E2901">
        <v>0</v>
      </c>
      <c r="F2901">
        <v>1</v>
      </c>
      <c r="G2901">
        <v>12134</v>
      </c>
      <c r="H2901">
        <v>0</v>
      </c>
      <c r="I2901">
        <v>1</v>
      </c>
    </row>
    <row r="2902" spans="1:9" x14ac:dyDescent="0.25">
      <c r="A2902">
        <v>76</v>
      </c>
      <c r="B2902">
        <v>1</v>
      </c>
      <c r="C2902">
        <v>3</v>
      </c>
      <c r="D2902">
        <v>4</v>
      </c>
      <c r="E2902">
        <v>0</v>
      </c>
      <c r="F2902">
        <v>1</v>
      </c>
      <c r="G2902">
        <v>7424</v>
      </c>
      <c r="H2902">
        <v>0</v>
      </c>
      <c r="I2902">
        <v>1</v>
      </c>
    </row>
    <row r="2903" spans="1:9" x14ac:dyDescent="0.25">
      <c r="A2903">
        <v>76</v>
      </c>
      <c r="B2903">
        <v>1</v>
      </c>
      <c r="C2903">
        <v>6</v>
      </c>
      <c r="D2903">
        <v>4</v>
      </c>
      <c r="E2903">
        <v>4</v>
      </c>
      <c r="F2903">
        <v>1</v>
      </c>
      <c r="G2903">
        <v>47543</v>
      </c>
      <c r="H2903">
        <v>0</v>
      </c>
      <c r="I2903">
        <v>1</v>
      </c>
    </row>
    <row r="2904" spans="1:9" x14ac:dyDescent="0.25">
      <c r="A2904">
        <v>76</v>
      </c>
      <c r="B2904">
        <v>1</v>
      </c>
      <c r="C2904">
        <v>3</v>
      </c>
      <c r="D2904">
        <v>3</v>
      </c>
      <c r="E2904">
        <v>2</v>
      </c>
      <c r="F2904">
        <v>1</v>
      </c>
      <c r="G2904">
        <v>7746</v>
      </c>
      <c r="H2904">
        <v>0</v>
      </c>
      <c r="I2904">
        <v>1</v>
      </c>
    </row>
    <row r="2905" spans="1:9" x14ac:dyDescent="0.25">
      <c r="A2905">
        <v>76</v>
      </c>
      <c r="B2905">
        <v>0</v>
      </c>
      <c r="C2905">
        <v>3</v>
      </c>
      <c r="D2905">
        <v>3</v>
      </c>
      <c r="E2905">
        <v>1</v>
      </c>
      <c r="F2905">
        <v>1</v>
      </c>
      <c r="G2905">
        <v>8775</v>
      </c>
      <c r="H2905">
        <v>0</v>
      </c>
      <c r="I2905">
        <v>1</v>
      </c>
    </row>
    <row r="2906" spans="1:9" x14ac:dyDescent="0.25">
      <c r="A2906">
        <v>76</v>
      </c>
      <c r="B2906">
        <v>1</v>
      </c>
      <c r="C2906">
        <v>4</v>
      </c>
      <c r="D2906">
        <v>4</v>
      </c>
      <c r="E2906">
        <v>1</v>
      </c>
      <c r="F2906">
        <v>1</v>
      </c>
      <c r="G2906">
        <v>40791</v>
      </c>
      <c r="H2906">
        <v>1</v>
      </c>
      <c r="I2906">
        <v>1</v>
      </c>
    </row>
    <row r="2907" spans="1:9" x14ac:dyDescent="0.25">
      <c r="A2907">
        <v>76</v>
      </c>
      <c r="B2907">
        <v>0</v>
      </c>
      <c r="C2907">
        <v>5</v>
      </c>
      <c r="D2907">
        <v>3</v>
      </c>
      <c r="E2907">
        <v>1</v>
      </c>
      <c r="F2907">
        <v>1</v>
      </c>
      <c r="G2907">
        <v>46337</v>
      </c>
      <c r="H2907">
        <v>1</v>
      </c>
      <c r="I2907">
        <v>1</v>
      </c>
    </row>
    <row r="2908" spans="1:9" x14ac:dyDescent="0.25">
      <c r="A2908">
        <v>76</v>
      </c>
      <c r="B2908">
        <v>0</v>
      </c>
      <c r="C2908">
        <v>3</v>
      </c>
      <c r="D2908">
        <v>2</v>
      </c>
      <c r="E2908">
        <v>1</v>
      </c>
      <c r="F2908">
        <v>1</v>
      </c>
      <c r="G2908">
        <v>35542</v>
      </c>
      <c r="H2908">
        <v>1</v>
      </c>
      <c r="I2908">
        <v>1</v>
      </c>
    </row>
    <row r="2909" spans="1:9" x14ac:dyDescent="0.25">
      <c r="A2909">
        <v>76</v>
      </c>
      <c r="B2909">
        <v>1</v>
      </c>
      <c r="C2909">
        <v>4</v>
      </c>
      <c r="D2909">
        <v>3</v>
      </c>
      <c r="E2909">
        <v>2</v>
      </c>
      <c r="F2909">
        <v>1</v>
      </c>
      <c r="G2909">
        <v>40504</v>
      </c>
      <c r="H2909">
        <v>1</v>
      </c>
      <c r="I2909">
        <v>1</v>
      </c>
    </row>
    <row r="2910" spans="1:9" x14ac:dyDescent="0.25">
      <c r="A2910">
        <v>76</v>
      </c>
      <c r="B2910">
        <v>1</v>
      </c>
      <c r="C2910">
        <v>6</v>
      </c>
      <c r="D2910">
        <v>5</v>
      </c>
      <c r="E2910">
        <v>1</v>
      </c>
      <c r="F2910">
        <v>1</v>
      </c>
      <c r="G2910">
        <v>27030</v>
      </c>
      <c r="H2910">
        <v>1</v>
      </c>
      <c r="I2910">
        <v>1</v>
      </c>
    </row>
    <row r="2911" spans="1:9" x14ac:dyDescent="0.25">
      <c r="A2911">
        <v>76</v>
      </c>
      <c r="B2911">
        <v>0</v>
      </c>
      <c r="C2911">
        <v>7</v>
      </c>
      <c r="D2911">
        <v>2</v>
      </c>
      <c r="E2911">
        <v>1</v>
      </c>
      <c r="F2911">
        <v>1</v>
      </c>
      <c r="G2911">
        <v>29664</v>
      </c>
      <c r="H2911">
        <v>1</v>
      </c>
      <c r="I2911">
        <v>1</v>
      </c>
    </row>
    <row r="2912" spans="1:9" x14ac:dyDescent="0.25">
      <c r="A2912">
        <v>76</v>
      </c>
      <c r="B2912">
        <v>1</v>
      </c>
      <c r="C2912">
        <v>3</v>
      </c>
      <c r="D2912">
        <v>2</v>
      </c>
      <c r="E2912">
        <v>1</v>
      </c>
      <c r="F2912">
        <v>1</v>
      </c>
      <c r="G2912">
        <v>34253</v>
      </c>
      <c r="H2912">
        <v>1</v>
      </c>
      <c r="I2912">
        <v>1</v>
      </c>
    </row>
    <row r="2913" spans="1:9" x14ac:dyDescent="0.25">
      <c r="A2913">
        <v>76</v>
      </c>
      <c r="B2913">
        <v>0</v>
      </c>
      <c r="C2913">
        <v>9</v>
      </c>
      <c r="D2913">
        <v>5</v>
      </c>
      <c r="E2913">
        <v>1</v>
      </c>
      <c r="F2913">
        <v>1</v>
      </c>
      <c r="G2913">
        <v>25987</v>
      </c>
      <c r="H2913">
        <v>1</v>
      </c>
      <c r="I2913">
        <v>1</v>
      </c>
    </row>
    <row r="2914" spans="1:9" x14ac:dyDescent="0.25">
      <c r="A2914">
        <v>76</v>
      </c>
      <c r="B2914">
        <v>0</v>
      </c>
      <c r="C2914">
        <v>8</v>
      </c>
      <c r="D2914">
        <v>7</v>
      </c>
      <c r="E2914">
        <v>4</v>
      </c>
      <c r="F2914">
        <v>1</v>
      </c>
      <c r="G2914">
        <v>97752</v>
      </c>
      <c r="H2914">
        <v>1</v>
      </c>
      <c r="I2914">
        <v>1</v>
      </c>
    </row>
    <row r="2915" spans="1:9" x14ac:dyDescent="0.25">
      <c r="A2915">
        <v>76</v>
      </c>
      <c r="B2915">
        <v>1</v>
      </c>
      <c r="C2915">
        <v>5</v>
      </c>
      <c r="D2915">
        <v>4</v>
      </c>
      <c r="E2915">
        <v>1</v>
      </c>
      <c r="F2915">
        <v>1</v>
      </c>
      <c r="G2915">
        <v>40075</v>
      </c>
      <c r="H2915">
        <v>1</v>
      </c>
      <c r="I2915">
        <v>1</v>
      </c>
    </row>
    <row r="2916" spans="1:9" x14ac:dyDescent="0.25">
      <c r="A2916">
        <v>76</v>
      </c>
      <c r="B2916">
        <v>0</v>
      </c>
      <c r="C2916">
        <v>2</v>
      </c>
      <c r="D2916">
        <v>6</v>
      </c>
      <c r="E2916">
        <v>3</v>
      </c>
      <c r="F2916">
        <v>1</v>
      </c>
      <c r="G2916">
        <v>46622</v>
      </c>
      <c r="H2916">
        <v>1</v>
      </c>
      <c r="I2916">
        <v>1</v>
      </c>
    </row>
    <row r="2917" spans="1:9" x14ac:dyDescent="0.25">
      <c r="A2917">
        <v>76</v>
      </c>
      <c r="B2917">
        <v>0</v>
      </c>
      <c r="C2917">
        <v>5</v>
      </c>
      <c r="D2917">
        <v>2</v>
      </c>
      <c r="E2917">
        <v>1</v>
      </c>
      <c r="F2917">
        <v>1</v>
      </c>
      <c r="G2917">
        <v>40757</v>
      </c>
      <c r="H2917">
        <v>1</v>
      </c>
      <c r="I2917">
        <v>1</v>
      </c>
    </row>
    <row r="2918" spans="1:9" x14ac:dyDescent="0.25">
      <c r="A2918">
        <v>76</v>
      </c>
      <c r="B2918">
        <v>1</v>
      </c>
      <c r="C2918">
        <v>12</v>
      </c>
      <c r="D2918">
        <v>2</v>
      </c>
      <c r="E2918">
        <v>6</v>
      </c>
      <c r="F2918">
        <v>1</v>
      </c>
      <c r="G2918">
        <v>53660</v>
      </c>
      <c r="H2918">
        <v>1</v>
      </c>
      <c r="I2918">
        <v>1</v>
      </c>
    </row>
    <row r="2919" spans="1:9" x14ac:dyDescent="0.25">
      <c r="A2919">
        <v>76</v>
      </c>
      <c r="B2919">
        <v>0</v>
      </c>
      <c r="C2919">
        <v>6</v>
      </c>
      <c r="D2919">
        <v>5</v>
      </c>
      <c r="E2919">
        <v>4</v>
      </c>
      <c r="F2919">
        <v>1</v>
      </c>
      <c r="G2919">
        <v>19252</v>
      </c>
      <c r="H2919">
        <v>1</v>
      </c>
      <c r="I2919">
        <v>1</v>
      </c>
    </row>
    <row r="2920" spans="1:9" x14ac:dyDescent="0.25">
      <c r="A2920">
        <v>76</v>
      </c>
      <c r="B2920">
        <v>1</v>
      </c>
      <c r="C2920">
        <v>2</v>
      </c>
      <c r="D2920">
        <v>1</v>
      </c>
      <c r="E2920">
        <v>3</v>
      </c>
      <c r="F2920">
        <v>1</v>
      </c>
      <c r="G2920">
        <v>30853</v>
      </c>
      <c r="H2920">
        <v>1</v>
      </c>
      <c r="I2920">
        <v>1</v>
      </c>
    </row>
    <row r="2921" spans="1:9" x14ac:dyDescent="0.25">
      <c r="A2921">
        <v>76</v>
      </c>
      <c r="B2921">
        <v>1</v>
      </c>
      <c r="C2921">
        <v>3</v>
      </c>
      <c r="D2921">
        <v>3</v>
      </c>
      <c r="E2921">
        <v>2</v>
      </c>
      <c r="F2921">
        <v>1</v>
      </c>
      <c r="G2921">
        <v>45606</v>
      </c>
      <c r="H2921">
        <v>1</v>
      </c>
      <c r="I2921">
        <v>1</v>
      </c>
    </row>
    <row r="2922" spans="1:9" x14ac:dyDescent="0.25">
      <c r="A2922">
        <v>75</v>
      </c>
      <c r="B2922">
        <v>1</v>
      </c>
      <c r="C2922">
        <v>4</v>
      </c>
      <c r="D2922">
        <v>6</v>
      </c>
      <c r="E2922">
        <v>0</v>
      </c>
      <c r="F2922">
        <v>1</v>
      </c>
      <c r="G2922">
        <v>7764</v>
      </c>
      <c r="H2922">
        <v>0</v>
      </c>
      <c r="I2922">
        <v>1</v>
      </c>
    </row>
    <row r="2923" spans="1:9" x14ac:dyDescent="0.25">
      <c r="A2923">
        <v>75</v>
      </c>
      <c r="B2923">
        <v>0</v>
      </c>
      <c r="C2923">
        <v>7</v>
      </c>
      <c r="D2923">
        <v>7</v>
      </c>
      <c r="E2923">
        <v>0</v>
      </c>
      <c r="F2923">
        <v>1</v>
      </c>
      <c r="G2923">
        <v>23198</v>
      </c>
      <c r="H2923">
        <v>0</v>
      </c>
      <c r="I2923">
        <v>1</v>
      </c>
    </row>
    <row r="2924" spans="1:9" x14ac:dyDescent="0.25">
      <c r="A2924">
        <v>75</v>
      </c>
      <c r="B2924">
        <v>1</v>
      </c>
      <c r="C2924">
        <v>1</v>
      </c>
      <c r="D2924">
        <v>4</v>
      </c>
      <c r="E2924">
        <v>0</v>
      </c>
      <c r="F2924">
        <v>1</v>
      </c>
      <c r="G2924">
        <v>10032</v>
      </c>
      <c r="H2924">
        <v>0</v>
      </c>
      <c r="I2924">
        <v>1</v>
      </c>
    </row>
    <row r="2925" spans="1:9" x14ac:dyDescent="0.25">
      <c r="A2925">
        <v>75</v>
      </c>
      <c r="B2925">
        <v>1</v>
      </c>
      <c r="C2925">
        <v>16</v>
      </c>
      <c r="D2925">
        <v>1</v>
      </c>
      <c r="E2925">
        <v>0</v>
      </c>
      <c r="F2925">
        <v>1</v>
      </c>
      <c r="G2925">
        <v>29644</v>
      </c>
      <c r="H2925">
        <v>0</v>
      </c>
      <c r="I2925">
        <v>1</v>
      </c>
    </row>
    <row r="2926" spans="1:9" x14ac:dyDescent="0.25">
      <c r="A2926">
        <v>75</v>
      </c>
      <c r="B2926">
        <v>1</v>
      </c>
      <c r="C2926">
        <v>28</v>
      </c>
      <c r="D2926">
        <v>3</v>
      </c>
      <c r="E2926">
        <v>0</v>
      </c>
      <c r="F2926">
        <v>1</v>
      </c>
      <c r="G2926">
        <v>53991</v>
      </c>
      <c r="H2926">
        <v>0</v>
      </c>
      <c r="I2926">
        <v>1</v>
      </c>
    </row>
    <row r="2927" spans="1:9" x14ac:dyDescent="0.25">
      <c r="A2927">
        <v>75</v>
      </c>
      <c r="B2927">
        <v>0</v>
      </c>
      <c r="C2927">
        <v>3</v>
      </c>
      <c r="D2927">
        <v>4</v>
      </c>
      <c r="E2927">
        <v>0</v>
      </c>
      <c r="F2927">
        <v>1</v>
      </c>
      <c r="G2927">
        <v>14307</v>
      </c>
      <c r="H2927">
        <v>0</v>
      </c>
      <c r="I2927">
        <v>1</v>
      </c>
    </row>
    <row r="2928" spans="1:9" x14ac:dyDescent="0.25">
      <c r="A2928">
        <v>75</v>
      </c>
      <c r="B2928">
        <v>1</v>
      </c>
      <c r="C2928">
        <v>4</v>
      </c>
      <c r="D2928">
        <v>1</v>
      </c>
      <c r="E2928">
        <v>0</v>
      </c>
      <c r="F2928">
        <v>1</v>
      </c>
      <c r="G2928">
        <v>8596</v>
      </c>
      <c r="H2928">
        <v>0</v>
      </c>
      <c r="I2928">
        <v>1</v>
      </c>
    </row>
    <row r="2929" spans="1:9" x14ac:dyDescent="0.25">
      <c r="A2929">
        <v>75</v>
      </c>
      <c r="B2929">
        <v>0</v>
      </c>
      <c r="C2929">
        <v>3</v>
      </c>
      <c r="D2929">
        <v>5</v>
      </c>
      <c r="E2929">
        <v>0</v>
      </c>
      <c r="F2929">
        <v>1</v>
      </c>
      <c r="G2929">
        <v>14343</v>
      </c>
      <c r="H2929">
        <v>0</v>
      </c>
      <c r="I2929">
        <v>1</v>
      </c>
    </row>
    <row r="2930" spans="1:9" x14ac:dyDescent="0.25">
      <c r="A2930">
        <v>75</v>
      </c>
      <c r="B2930">
        <v>1</v>
      </c>
      <c r="C2930">
        <v>1</v>
      </c>
      <c r="D2930">
        <v>6</v>
      </c>
      <c r="E2930">
        <v>0</v>
      </c>
      <c r="F2930">
        <v>1</v>
      </c>
      <c r="G2930">
        <v>10857</v>
      </c>
      <c r="H2930">
        <v>0</v>
      </c>
      <c r="I2930">
        <v>1</v>
      </c>
    </row>
    <row r="2931" spans="1:9" x14ac:dyDescent="0.25">
      <c r="A2931">
        <v>75</v>
      </c>
      <c r="B2931">
        <v>1</v>
      </c>
      <c r="C2931">
        <v>1</v>
      </c>
      <c r="D2931">
        <v>3</v>
      </c>
      <c r="E2931">
        <v>0</v>
      </c>
      <c r="F2931">
        <v>1</v>
      </c>
      <c r="G2931">
        <v>8356</v>
      </c>
      <c r="H2931">
        <v>0</v>
      </c>
      <c r="I2931">
        <v>1</v>
      </c>
    </row>
    <row r="2932" spans="1:9" x14ac:dyDescent="0.25">
      <c r="A2932">
        <v>75</v>
      </c>
      <c r="B2932">
        <v>0</v>
      </c>
      <c r="C2932">
        <v>17</v>
      </c>
      <c r="D2932">
        <v>5</v>
      </c>
      <c r="E2932">
        <v>1</v>
      </c>
      <c r="F2932">
        <v>1</v>
      </c>
      <c r="G2932">
        <v>41967</v>
      </c>
      <c r="H2932">
        <v>0</v>
      </c>
      <c r="I2932">
        <v>1</v>
      </c>
    </row>
    <row r="2933" spans="1:9" x14ac:dyDescent="0.25">
      <c r="A2933">
        <v>75</v>
      </c>
      <c r="B2933">
        <v>0</v>
      </c>
      <c r="C2933">
        <v>6</v>
      </c>
      <c r="D2933">
        <v>5</v>
      </c>
      <c r="E2933">
        <v>1</v>
      </c>
      <c r="F2933">
        <v>1</v>
      </c>
      <c r="G2933">
        <v>17171</v>
      </c>
      <c r="H2933">
        <v>0</v>
      </c>
      <c r="I2933">
        <v>1</v>
      </c>
    </row>
    <row r="2934" spans="1:9" x14ac:dyDescent="0.25">
      <c r="A2934">
        <v>75</v>
      </c>
      <c r="B2934">
        <v>1</v>
      </c>
      <c r="C2934">
        <v>7</v>
      </c>
      <c r="D2934">
        <v>2</v>
      </c>
      <c r="E2934">
        <v>2</v>
      </c>
      <c r="F2934">
        <v>1</v>
      </c>
      <c r="G2934">
        <v>14571</v>
      </c>
      <c r="H2934">
        <v>0</v>
      </c>
      <c r="I2934">
        <v>1</v>
      </c>
    </row>
    <row r="2935" spans="1:9" x14ac:dyDescent="0.25">
      <c r="A2935">
        <v>75</v>
      </c>
      <c r="B2935">
        <v>1</v>
      </c>
      <c r="C2935">
        <v>4</v>
      </c>
      <c r="D2935">
        <v>3</v>
      </c>
      <c r="E2935">
        <v>0</v>
      </c>
      <c r="F2935">
        <v>1</v>
      </c>
      <c r="G2935">
        <v>10837</v>
      </c>
      <c r="H2935">
        <v>0</v>
      </c>
      <c r="I2935">
        <v>1</v>
      </c>
    </row>
    <row r="2936" spans="1:9" x14ac:dyDescent="0.25">
      <c r="A2936">
        <v>75</v>
      </c>
      <c r="B2936">
        <v>0</v>
      </c>
      <c r="C2936">
        <v>4</v>
      </c>
      <c r="D2936">
        <v>2</v>
      </c>
      <c r="E2936">
        <v>0</v>
      </c>
      <c r="F2936">
        <v>1</v>
      </c>
      <c r="G2936">
        <v>3789</v>
      </c>
      <c r="H2936">
        <v>0</v>
      </c>
      <c r="I2936">
        <v>1</v>
      </c>
    </row>
    <row r="2937" spans="1:9" x14ac:dyDescent="0.25">
      <c r="A2937">
        <v>75</v>
      </c>
      <c r="B2937">
        <v>0</v>
      </c>
      <c r="C2937">
        <v>8</v>
      </c>
      <c r="D2937">
        <v>5</v>
      </c>
      <c r="E2937">
        <v>0</v>
      </c>
      <c r="F2937">
        <v>1</v>
      </c>
      <c r="G2937">
        <v>11655</v>
      </c>
      <c r="H2937">
        <v>0</v>
      </c>
      <c r="I2937">
        <v>1</v>
      </c>
    </row>
    <row r="2938" spans="1:9" x14ac:dyDescent="0.25">
      <c r="A2938">
        <v>75</v>
      </c>
      <c r="B2938">
        <v>0</v>
      </c>
      <c r="C2938">
        <v>3</v>
      </c>
      <c r="D2938">
        <v>4</v>
      </c>
      <c r="E2938">
        <v>1</v>
      </c>
      <c r="F2938">
        <v>1</v>
      </c>
      <c r="G2938">
        <v>5392</v>
      </c>
      <c r="H2938">
        <v>0</v>
      </c>
      <c r="I2938">
        <v>1</v>
      </c>
    </row>
    <row r="2939" spans="1:9" x14ac:dyDescent="0.25">
      <c r="A2939">
        <v>75</v>
      </c>
      <c r="B2939">
        <v>1</v>
      </c>
      <c r="C2939">
        <v>5</v>
      </c>
      <c r="D2939">
        <v>3</v>
      </c>
      <c r="E2939">
        <v>5</v>
      </c>
      <c r="F2939">
        <v>1</v>
      </c>
      <c r="G2939">
        <v>23329</v>
      </c>
      <c r="H2939">
        <v>0</v>
      </c>
      <c r="I2939">
        <v>1</v>
      </c>
    </row>
    <row r="2940" spans="1:9" x14ac:dyDescent="0.25">
      <c r="A2940">
        <v>75</v>
      </c>
      <c r="B2940">
        <v>1</v>
      </c>
      <c r="C2940">
        <v>10</v>
      </c>
      <c r="D2940">
        <v>6</v>
      </c>
      <c r="E2940">
        <v>0</v>
      </c>
      <c r="F2940">
        <v>1</v>
      </c>
      <c r="G2940">
        <v>32341</v>
      </c>
      <c r="H2940">
        <v>0</v>
      </c>
      <c r="I2940">
        <v>1</v>
      </c>
    </row>
    <row r="2941" spans="1:9" x14ac:dyDescent="0.25">
      <c r="A2941">
        <v>75</v>
      </c>
      <c r="B2941">
        <v>0</v>
      </c>
      <c r="C2941">
        <v>2</v>
      </c>
      <c r="D2941">
        <v>4</v>
      </c>
      <c r="E2941">
        <v>0</v>
      </c>
      <c r="F2941">
        <v>1</v>
      </c>
      <c r="G2941">
        <v>6455</v>
      </c>
      <c r="H2941">
        <v>0</v>
      </c>
      <c r="I2941">
        <v>1</v>
      </c>
    </row>
    <row r="2942" spans="1:9" x14ac:dyDescent="0.25">
      <c r="A2942">
        <v>75</v>
      </c>
      <c r="B2942">
        <v>1</v>
      </c>
      <c r="C2942">
        <v>3</v>
      </c>
      <c r="D2942">
        <v>4</v>
      </c>
      <c r="E2942">
        <v>0</v>
      </c>
      <c r="F2942">
        <v>1</v>
      </c>
      <c r="G2942">
        <v>6571</v>
      </c>
      <c r="H2942">
        <v>0</v>
      </c>
      <c r="I2942">
        <v>1</v>
      </c>
    </row>
    <row r="2943" spans="1:9" x14ac:dyDescent="0.25">
      <c r="A2943">
        <v>75</v>
      </c>
      <c r="B2943">
        <v>1</v>
      </c>
      <c r="C2943">
        <v>8</v>
      </c>
      <c r="D2943">
        <v>3</v>
      </c>
      <c r="E2943">
        <v>1</v>
      </c>
      <c r="F2943">
        <v>1</v>
      </c>
      <c r="G2943">
        <v>27815</v>
      </c>
      <c r="H2943">
        <v>0</v>
      </c>
      <c r="I2943">
        <v>1</v>
      </c>
    </row>
    <row r="2944" spans="1:9" x14ac:dyDescent="0.25">
      <c r="A2944">
        <v>75</v>
      </c>
      <c r="B2944">
        <v>1</v>
      </c>
      <c r="C2944">
        <v>8</v>
      </c>
      <c r="D2944">
        <v>3</v>
      </c>
      <c r="E2944">
        <v>0</v>
      </c>
      <c r="F2944">
        <v>1</v>
      </c>
      <c r="G2944">
        <v>17627</v>
      </c>
      <c r="H2944">
        <v>0</v>
      </c>
      <c r="I2944">
        <v>1</v>
      </c>
    </row>
    <row r="2945" spans="1:9" x14ac:dyDescent="0.25">
      <c r="A2945">
        <v>75</v>
      </c>
      <c r="B2945">
        <v>1</v>
      </c>
      <c r="C2945">
        <v>2</v>
      </c>
      <c r="D2945">
        <v>7</v>
      </c>
      <c r="E2945">
        <v>1</v>
      </c>
      <c r="F2945">
        <v>1</v>
      </c>
      <c r="G2945">
        <v>12511</v>
      </c>
      <c r="H2945">
        <v>0</v>
      </c>
      <c r="I2945">
        <v>1</v>
      </c>
    </row>
    <row r="2946" spans="1:9" x14ac:dyDescent="0.25">
      <c r="A2946">
        <v>75</v>
      </c>
      <c r="B2946">
        <v>0</v>
      </c>
      <c r="C2946">
        <v>12</v>
      </c>
      <c r="D2946">
        <v>5</v>
      </c>
      <c r="E2946">
        <v>1</v>
      </c>
      <c r="F2946">
        <v>1</v>
      </c>
      <c r="G2946">
        <v>16494</v>
      </c>
      <c r="H2946">
        <v>0</v>
      </c>
      <c r="I2946">
        <v>1</v>
      </c>
    </row>
    <row r="2947" spans="1:9" x14ac:dyDescent="0.25">
      <c r="A2947">
        <v>75</v>
      </c>
      <c r="B2947">
        <v>0</v>
      </c>
      <c r="C2947">
        <v>4</v>
      </c>
      <c r="D2947">
        <v>5</v>
      </c>
      <c r="E2947">
        <v>2</v>
      </c>
      <c r="F2947">
        <v>1</v>
      </c>
      <c r="G2947">
        <v>12796</v>
      </c>
      <c r="H2947">
        <v>0</v>
      </c>
      <c r="I2947">
        <v>1</v>
      </c>
    </row>
    <row r="2948" spans="1:9" x14ac:dyDescent="0.25">
      <c r="A2948">
        <v>75</v>
      </c>
      <c r="B2948">
        <v>1</v>
      </c>
      <c r="C2948">
        <v>20</v>
      </c>
      <c r="D2948">
        <v>5</v>
      </c>
      <c r="E2948">
        <v>0</v>
      </c>
      <c r="F2948">
        <v>1</v>
      </c>
      <c r="G2948">
        <v>38858</v>
      </c>
      <c r="H2948">
        <v>0</v>
      </c>
      <c r="I2948">
        <v>1</v>
      </c>
    </row>
    <row r="2949" spans="1:9" x14ac:dyDescent="0.25">
      <c r="A2949">
        <v>75</v>
      </c>
      <c r="B2949">
        <v>0</v>
      </c>
      <c r="C2949">
        <v>15</v>
      </c>
      <c r="D2949">
        <v>4</v>
      </c>
      <c r="E2949">
        <v>0</v>
      </c>
      <c r="F2949">
        <v>1</v>
      </c>
      <c r="G2949">
        <v>27847</v>
      </c>
      <c r="H2949">
        <v>0</v>
      </c>
      <c r="I2949">
        <v>1</v>
      </c>
    </row>
    <row r="2950" spans="1:9" x14ac:dyDescent="0.25">
      <c r="A2950">
        <v>75</v>
      </c>
      <c r="B2950">
        <v>1</v>
      </c>
      <c r="C2950">
        <v>3</v>
      </c>
      <c r="D2950">
        <v>5</v>
      </c>
      <c r="E2950">
        <v>0</v>
      </c>
      <c r="F2950">
        <v>1</v>
      </c>
      <c r="G2950">
        <v>7558</v>
      </c>
      <c r="H2950">
        <v>0</v>
      </c>
      <c r="I2950">
        <v>1</v>
      </c>
    </row>
    <row r="2951" spans="1:9" x14ac:dyDescent="0.25">
      <c r="A2951">
        <v>75</v>
      </c>
      <c r="B2951">
        <v>1</v>
      </c>
      <c r="C2951">
        <v>4</v>
      </c>
      <c r="D2951">
        <v>3</v>
      </c>
      <c r="E2951">
        <v>2</v>
      </c>
      <c r="F2951">
        <v>1</v>
      </c>
      <c r="G2951">
        <v>24461</v>
      </c>
      <c r="H2951">
        <v>0</v>
      </c>
      <c r="I2951">
        <v>1</v>
      </c>
    </row>
    <row r="2952" spans="1:9" x14ac:dyDescent="0.25">
      <c r="A2952">
        <v>75</v>
      </c>
      <c r="B2952">
        <v>1</v>
      </c>
      <c r="C2952">
        <v>4</v>
      </c>
      <c r="D2952">
        <v>6</v>
      </c>
      <c r="E2952">
        <v>1</v>
      </c>
      <c r="F2952">
        <v>1</v>
      </c>
      <c r="G2952">
        <v>30151</v>
      </c>
      <c r="H2952">
        <v>1</v>
      </c>
      <c r="I2952">
        <v>1</v>
      </c>
    </row>
    <row r="2953" spans="1:9" x14ac:dyDescent="0.25">
      <c r="A2953">
        <v>75</v>
      </c>
      <c r="B2953">
        <v>1</v>
      </c>
      <c r="C2953">
        <v>3</v>
      </c>
      <c r="D2953">
        <v>5</v>
      </c>
      <c r="E2953">
        <v>3</v>
      </c>
      <c r="F2953">
        <v>1</v>
      </c>
      <c r="G2953">
        <v>43522</v>
      </c>
      <c r="H2953">
        <v>1</v>
      </c>
      <c r="I2953">
        <v>1</v>
      </c>
    </row>
    <row r="2954" spans="1:9" x14ac:dyDescent="0.25">
      <c r="A2954">
        <v>75</v>
      </c>
      <c r="B2954">
        <v>0</v>
      </c>
      <c r="C2954">
        <v>3</v>
      </c>
      <c r="D2954">
        <v>3</v>
      </c>
      <c r="E2954">
        <v>1</v>
      </c>
      <c r="F2954">
        <v>1</v>
      </c>
      <c r="G2954">
        <v>124938</v>
      </c>
      <c r="H2954">
        <v>1</v>
      </c>
      <c r="I2954">
        <v>1</v>
      </c>
    </row>
    <row r="2955" spans="1:9" x14ac:dyDescent="0.25">
      <c r="A2955">
        <v>75</v>
      </c>
      <c r="B2955">
        <v>1</v>
      </c>
      <c r="C2955">
        <v>45</v>
      </c>
      <c r="D2955">
        <v>3</v>
      </c>
      <c r="E2955">
        <v>5</v>
      </c>
      <c r="F2955">
        <v>1</v>
      </c>
      <c r="G2955">
        <v>193078</v>
      </c>
      <c r="H2955">
        <v>1</v>
      </c>
      <c r="I2955">
        <v>1</v>
      </c>
    </row>
    <row r="2956" spans="1:9" x14ac:dyDescent="0.25">
      <c r="A2956">
        <v>75</v>
      </c>
      <c r="B2956">
        <v>1</v>
      </c>
      <c r="C2956">
        <v>43</v>
      </c>
      <c r="D2956">
        <v>2</v>
      </c>
      <c r="E2956">
        <v>6</v>
      </c>
      <c r="F2956">
        <v>1</v>
      </c>
      <c r="G2956">
        <v>111280</v>
      </c>
      <c r="H2956">
        <v>1</v>
      </c>
      <c r="I2956">
        <v>1</v>
      </c>
    </row>
    <row r="2957" spans="1:9" x14ac:dyDescent="0.25">
      <c r="A2957">
        <v>75</v>
      </c>
      <c r="B2957">
        <v>0</v>
      </c>
      <c r="C2957">
        <v>29</v>
      </c>
      <c r="D2957">
        <v>1</v>
      </c>
      <c r="E2957">
        <v>6</v>
      </c>
      <c r="F2957">
        <v>1</v>
      </c>
      <c r="G2957">
        <v>161183</v>
      </c>
      <c r="H2957">
        <v>1</v>
      </c>
      <c r="I2957">
        <v>1</v>
      </c>
    </row>
    <row r="2958" spans="1:9" x14ac:dyDescent="0.25">
      <c r="A2958">
        <v>75</v>
      </c>
      <c r="B2958">
        <v>0</v>
      </c>
      <c r="C2958">
        <v>2</v>
      </c>
      <c r="D2958">
        <v>3</v>
      </c>
      <c r="E2958">
        <v>1</v>
      </c>
      <c r="F2958">
        <v>1</v>
      </c>
      <c r="G2958">
        <v>37842</v>
      </c>
      <c r="H2958">
        <v>1</v>
      </c>
      <c r="I2958">
        <v>1</v>
      </c>
    </row>
    <row r="2959" spans="1:9" x14ac:dyDescent="0.25">
      <c r="A2959">
        <v>75</v>
      </c>
      <c r="B2959">
        <v>0</v>
      </c>
      <c r="C2959">
        <v>9</v>
      </c>
      <c r="D2959">
        <v>4</v>
      </c>
      <c r="E2959">
        <v>6</v>
      </c>
      <c r="F2959">
        <v>1</v>
      </c>
      <c r="G2959">
        <v>67698</v>
      </c>
      <c r="H2959">
        <v>1</v>
      </c>
      <c r="I2959">
        <v>1</v>
      </c>
    </row>
    <row r="2960" spans="1:9" x14ac:dyDescent="0.25">
      <c r="A2960">
        <v>75</v>
      </c>
      <c r="B2960">
        <v>0</v>
      </c>
      <c r="C2960">
        <v>4</v>
      </c>
      <c r="D2960">
        <v>9</v>
      </c>
      <c r="E2960">
        <v>1</v>
      </c>
      <c r="F2960">
        <v>1</v>
      </c>
      <c r="G2960">
        <v>20828</v>
      </c>
      <c r="H2960">
        <v>1</v>
      </c>
      <c r="I2960">
        <v>1</v>
      </c>
    </row>
    <row r="2961" spans="1:9" x14ac:dyDescent="0.25">
      <c r="A2961">
        <v>75</v>
      </c>
      <c r="B2961">
        <v>1</v>
      </c>
      <c r="C2961">
        <v>3</v>
      </c>
      <c r="D2961">
        <v>5</v>
      </c>
      <c r="E2961">
        <v>2</v>
      </c>
      <c r="F2961">
        <v>1</v>
      </c>
      <c r="G2961">
        <v>34114</v>
      </c>
      <c r="H2961">
        <v>1</v>
      </c>
      <c r="I2961">
        <v>1</v>
      </c>
    </row>
    <row r="2962" spans="1:9" x14ac:dyDescent="0.25">
      <c r="A2962">
        <v>75</v>
      </c>
      <c r="B2962">
        <v>0</v>
      </c>
      <c r="C2962">
        <v>7</v>
      </c>
      <c r="D2962">
        <v>4</v>
      </c>
      <c r="E2962">
        <v>1</v>
      </c>
      <c r="F2962">
        <v>1</v>
      </c>
      <c r="G2962">
        <v>25714</v>
      </c>
      <c r="H2962">
        <v>1</v>
      </c>
      <c r="I2962">
        <v>1</v>
      </c>
    </row>
    <row r="2963" spans="1:9" x14ac:dyDescent="0.25">
      <c r="A2963">
        <v>75</v>
      </c>
      <c r="B2963">
        <v>1</v>
      </c>
      <c r="C2963">
        <v>3</v>
      </c>
      <c r="D2963">
        <v>4</v>
      </c>
      <c r="E2963">
        <v>1</v>
      </c>
      <c r="F2963">
        <v>1</v>
      </c>
      <c r="G2963">
        <v>30962</v>
      </c>
      <c r="H2963">
        <v>1</v>
      </c>
      <c r="I2963">
        <v>1</v>
      </c>
    </row>
    <row r="2964" spans="1:9" x14ac:dyDescent="0.25">
      <c r="A2964">
        <v>75</v>
      </c>
      <c r="B2964">
        <v>0</v>
      </c>
      <c r="C2964">
        <v>3</v>
      </c>
      <c r="D2964">
        <v>5</v>
      </c>
      <c r="E2964">
        <v>1</v>
      </c>
      <c r="F2964">
        <v>1</v>
      </c>
      <c r="G2964">
        <v>20876</v>
      </c>
      <c r="H2964">
        <v>1</v>
      </c>
      <c r="I2964">
        <v>1</v>
      </c>
    </row>
    <row r="2965" spans="1:9" x14ac:dyDescent="0.25">
      <c r="A2965">
        <v>75</v>
      </c>
      <c r="B2965">
        <v>0</v>
      </c>
      <c r="C2965">
        <v>2</v>
      </c>
      <c r="D2965">
        <v>5</v>
      </c>
      <c r="E2965">
        <v>6</v>
      </c>
      <c r="F2965">
        <v>1</v>
      </c>
      <c r="G2965">
        <v>27945</v>
      </c>
      <c r="H2965">
        <v>1</v>
      </c>
      <c r="I2965">
        <v>1</v>
      </c>
    </row>
    <row r="2966" spans="1:9" x14ac:dyDescent="0.25">
      <c r="A2966">
        <v>75</v>
      </c>
      <c r="B2966">
        <v>0</v>
      </c>
      <c r="C2966">
        <v>56</v>
      </c>
      <c r="D2966">
        <v>5</v>
      </c>
      <c r="E2966">
        <v>6</v>
      </c>
      <c r="F2966">
        <v>1</v>
      </c>
      <c r="G2966">
        <v>247738</v>
      </c>
      <c r="H2966">
        <v>1</v>
      </c>
      <c r="I2966">
        <v>1</v>
      </c>
    </row>
    <row r="2967" spans="1:9" x14ac:dyDescent="0.25">
      <c r="A2967">
        <v>75</v>
      </c>
      <c r="B2967">
        <v>0</v>
      </c>
      <c r="C2967">
        <v>7</v>
      </c>
      <c r="D2967">
        <v>4</v>
      </c>
      <c r="E2967">
        <v>6</v>
      </c>
      <c r="F2967">
        <v>1</v>
      </c>
      <c r="G2967">
        <v>57950</v>
      </c>
      <c r="H2967">
        <v>1</v>
      </c>
      <c r="I2967">
        <v>1</v>
      </c>
    </row>
    <row r="2968" spans="1:9" x14ac:dyDescent="0.25">
      <c r="A2968">
        <v>75</v>
      </c>
      <c r="B2968">
        <v>0</v>
      </c>
      <c r="C2968">
        <v>3</v>
      </c>
      <c r="D2968">
        <v>4</v>
      </c>
      <c r="E2968">
        <v>1</v>
      </c>
      <c r="F2968">
        <v>1</v>
      </c>
      <c r="G2968">
        <v>34013</v>
      </c>
      <c r="H2968">
        <v>1</v>
      </c>
      <c r="I2968">
        <v>1</v>
      </c>
    </row>
    <row r="2969" spans="1:9" x14ac:dyDescent="0.25">
      <c r="A2969">
        <v>75</v>
      </c>
      <c r="B2969">
        <v>0</v>
      </c>
      <c r="C2969">
        <v>6</v>
      </c>
      <c r="D2969">
        <v>8</v>
      </c>
      <c r="E2969">
        <v>6</v>
      </c>
      <c r="F2969">
        <v>1</v>
      </c>
      <c r="G2969">
        <v>66544</v>
      </c>
      <c r="H2969">
        <v>1</v>
      </c>
      <c r="I2969">
        <v>1</v>
      </c>
    </row>
    <row r="2970" spans="1:9" x14ac:dyDescent="0.25">
      <c r="A2970">
        <v>74</v>
      </c>
      <c r="B2970">
        <v>0</v>
      </c>
      <c r="C2970">
        <v>7</v>
      </c>
      <c r="D2970">
        <v>6</v>
      </c>
      <c r="E2970">
        <v>0</v>
      </c>
      <c r="F2970">
        <v>1</v>
      </c>
      <c r="G2970">
        <v>25131</v>
      </c>
      <c r="H2970">
        <v>0</v>
      </c>
      <c r="I2970">
        <v>1</v>
      </c>
    </row>
    <row r="2971" spans="1:9" x14ac:dyDescent="0.25">
      <c r="A2971">
        <v>74</v>
      </c>
      <c r="B2971">
        <v>1</v>
      </c>
      <c r="C2971">
        <v>4</v>
      </c>
      <c r="D2971">
        <v>5</v>
      </c>
      <c r="E2971">
        <v>0</v>
      </c>
      <c r="F2971">
        <v>1</v>
      </c>
      <c r="G2971">
        <v>10988</v>
      </c>
      <c r="H2971">
        <v>0</v>
      </c>
      <c r="I2971">
        <v>1</v>
      </c>
    </row>
    <row r="2972" spans="1:9" x14ac:dyDescent="0.25">
      <c r="A2972">
        <v>74</v>
      </c>
      <c r="B2972">
        <v>0</v>
      </c>
      <c r="C2972">
        <v>1</v>
      </c>
      <c r="D2972">
        <v>2</v>
      </c>
      <c r="E2972">
        <v>0</v>
      </c>
      <c r="F2972">
        <v>1</v>
      </c>
      <c r="G2972">
        <v>6280</v>
      </c>
      <c r="H2972">
        <v>0</v>
      </c>
      <c r="I2972">
        <v>1</v>
      </c>
    </row>
    <row r="2973" spans="1:9" x14ac:dyDescent="0.25">
      <c r="A2973">
        <v>74</v>
      </c>
      <c r="B2973">
        <v>1</v>
      </c>
      <c r="C2973">
        <v>4</v>
      </c>
      <c r="D2973">
        <v>5</v>
      </c>
      <c r="E2973">
        <v>0</v>
      </c>
      <c r="F2973">
        <v>1</v>
      </c>
      <c r="G2973">
        <v>9420</v>
      </c>
      <c r="H2973">
        <v>0</v>
      </c>
      <c r="I2973">
        <v>1</v>
      </c>
    </row>
    <row r="2974" spans="1:9" x14ac:dyDescent="0.25">
      <c r="A2974">
        <v>74</v>
      </c>
      <c r="B2974">
        <v>0</v>
      </c>
      <c r="C2974">
        <v>8</v>
      </c>
      <c r="D2974">
        <v>4</v>
      </c>
      <c r="E2974">
        <v>0</v>
      </c>
      <c r="F2974">
        <v>1</v>
      </c>
      <c r="G2974">
        <v>12720</v>
      </c>
      <c r="H2974">
        <v>0</v>
      </c>
      <c r="I2974">
        <v>1</v>
      </c>
    </row>
    <row r="2975" spans="1:9" x14ac:dyDescent="0.25">
      <c r="A2975">
        <v>74</v>
      </c>
      <c r="B2975">
        <v>1</v>
      </c>
      <c r="C2975">
        <v>2</v>
      </c>
      <c r="D2975">
        <v>5</v>
      </c>
      <c r="E2975">
        <v>0</v>
      </c>
      <c r="F2975">
        <v>1</v>
      </c>
      <c r="G2975">
        <v>8632</v>
      </c>
      <c r="H2975">
        <v>0</v>
      </c>
      <c r="I2975">
        <v>1</v>
      </c>
    </row>
    <row r="2976" spans="1:9" x14ac:dyDescent="0.25">
      <c r="A2976">
        <v>74</v>
      </c>
      <c r="B2976">
        <v>1</v>
      </c>
      <c r="C2976">
        <v>1</v>
      </c>
      <c r="D2976">
        <v>5</v>
      </c>
      <c r="E2976">
        <v>0</v>
      </c>
      <c r="F2976">
        <v>1</v>
      </c>
      <c r="G2976">
        <v>4768</v>
      </c>
      <c r="H2976">
        <v>0</v>
      </c>
      <c r="I2976">
        <v>1</v>
      </c>
    </row>
    <row r="2977" spans="1:9" x14ac:dyDescent="0.25">
      <c r="A2977">
        <v>74</v>
      </c>
      <c r="B2977">
        <v>1</v>
      </c>
      <c r="C2977">
        <v>1</v>
      </c>
      <c r="D2977">
        <v>6</v>
      </c>
      <c r="E2977">
        <v>0</v>
      </c>
      <c r="F2977">
        <v>1</v>
      </c>
      <c r="G2977">
        <v>6609</v>
      </c>
      <c r="H2977">
        <v>0</v>
      </c>
      <c r="I2977">
        <v>1</v>
      </c>
    </row>
    <row r="2978" spans="1:9" x14ac:dyDescent="0.25">
      <c r="A2978">
        <v>74</v>
      </c>
      <c r="B2978">
        <v>1</v>
      </c>
      <c r="C2978">
        <v>22</v>
      </c>
      <c r="D2978">
        <v>1</v>
      </c>
      <c r="E2978">
        <v>0</v>
      </c>
      <c r="F2978">
        <v>1</v>
      </c>
      <c r="G2978">
        <v>30208</v>
      </c>
      <c r="H2978">
        <v>0</v>
      </c>
      <c r="I2978">
        <v>1</v>
      </c>
    </row>
    <row r="2979" spans="1:9" x14ac:dyDescent="0.25">
      <c r="A2979">
        <v>74</v>
      </c>
      <c r="B2979">
        <v>0</v>
      </c>
      <c r="C2979">
        <v>1</v>
      </c>
      <c r="D2979">
        <v>4</v>
      </c>
      <c r="E2979">
        <v>0</v>
      </c>
      <c r="F2979">
        <v>1</v>
      </c>
      <c r="G2979">
        <v>17273</v>
      </c>
      <c r="H2979">
        <v>0</v>
      </c>
      <c r="I2979">
        <v>1</v>
      </c>
    </row>
    <row r="2980" spans="1:9" x14ac:dyDescent="0.25">
      <c r="A2980">
        <v>74</v>
      </c>
      <c r="B2980">
        <v>0</v>
      </c>
      <c r="C2980">
        <v>3</v>
      </c>
      <c r="D2980">
        <v>6</v>
      </c>
      <c r="E2980">
        <v>1</v>
      </c>
      <c r="F2980">
        <v>1</v>
      </c>
      <c r="G2980">
        <v>13082</v>
      </c>
      <c r="H2980">
        <v>0</v>
      </c>
      <c r="I2980">
        <v>1</v>
      </c>
    </row>
    <row r="2981" spans="1:9" x14ac:dyDescent="0.25">
      <c r="A2981">
        <v>74</v>
      </c>
      <c r="B2981">
        <v>0</v>
      </c>
      <c r="C2981">
        <v>1</v>
      </c>
      <c r="D2981">
        <v>5</v>
      </c>
      <c r="E2981">
        <v>0</v>
      </c>
      <c r="F2981">
        <v>1</v>
      </c>
      <c r="G2981">
        <v>9259</v>
      </c>
      <c r="H2981">
        <v>0</v>
      </c>
      <c r="I2981">
        <v>1</v>
      </c>
    </row>
    <row r="2982" spans="1:9" x14ac:dyDescent="0.25">
      <c r="A2982">
        <v>74</v>
      </c>
      <c r="B2982">
        <v>0</v>
      </c>
      <c r="C2982">
        <v>11</v>
      </c>
      <c r="D2982">
        <v>5</v>
      </c>
      <c r="E2982">
        <v>0</v>
      </c>
      <c r="F2982">
        <v>1</v>
      </c>
      <c r="G2982">
        <v>22866</v>
      </c>
      <c r="H2982">
        <v>0</v>
      </c>
      <c r="I2982">
        <v>1</v>
      </c>
    </row>
    <row r="2983" spans="1:9" x14ac:dyDescent="0.25">
      <c r="A2983">
        <v>74</v>
      </c>
      <c r="B2983">
        <v>0</v>
      </c>
      <c r="C2983">
        <v>5</v>
      </c>
      <c r="D2983">
        <v>2</v>
      </c>
      <c r="E2983">
        <v>0</v>
      </c>
      <c r="F2983">
        <v>1</v>
      </c>
      <c r="G2983">
        <v>16591</v>
      </c>
      <c r="H2983">
        <v>0</v>
      </c>
      <c r="I2983">
        <v>1</v>
      </c>
    </row>
    <row r="2984" spans="1:9" x14ac:dyDescent="0.25">
      <c r="A2984">
        <v>74</v>
      </c>
      <c r="B2984">
        <v>0</v>
      </c>
      <c r="C2984">
        <v>10</v>
      </c>
      <c r="D2984">
        <v>5</v>
      </c>
      <c r="E2984">
        <v>1</v>
      </c>
      <c r="F2984">
        <v>1</v>
      </c>
      <c r="G2984">
        <v>21453</v>
      </c>
      <c r="H2984">
        <v>0</v>
      </c>
      <c r="I2984">
        <v>1</v>
      </c>
    </row>
    <row r="2985" spans="1:9" x14ac:dyDescent="0.25">
      <c r="A2985">
        <v>74</v>
      </c>
      <c r="B2985">
        <v>0</v>
      </c>
      <c r="C2985">
        <v>7</v>
      </c>
      <c r="D2985">
        <v>5</v>
      </c>
      <c r="E2985">
        <v>1</v>
      </c>
      <c r="F2985">
        <v>1</v>
      </c>
      <c r="G2985">
        <v>24706</v>
      </c>
      <c r="H2985">
        <v>0</v>
      </c>
      <c r="I2985">
        <v>1</v>
      </c>
    </row>
    <row r="2986" spans="1:9" x14ac:dyDescent="0.25">
      <c r="A2986">
        <v>74</v>
      </c>
      <c r="B2986">
        <v>0</v>
      </c>
      <c r="C2986">
        <v>28</v>
      </c>
      <c r="D2986">
        <v>5</v>
      </c>
      <c r="E2986">
        <v>3</v>
      </c>
      <c r="F2986">
        <v>1</v>
      </c>
      <c r="G2986">
        <v>45172</v>
      </c>
      <c r="H2986">
        <v>0</v>
      </c>
      <c r="I2986">
        <v>1</v>
      </c>
    </row>
    <row r="2987" spans="1:9" x14ac:dyDescent="0.25">
      <c r="A2987">
        <v>74</v>
      </c>
      <c r="B2987">
        <v>0</v>
      </c>
      <c r="C2987">
        <v>4</v>
      </c>
      <c r="D2987">
        <v>7</v>
      </c>
      <c r="E2987">
        <v>0</v>
      </c>
      <c r="F2987">
        <v>1</v>
      </c>
      <c r="G2987">
        <v>8209</v>
      </c>
      <c r="H2987">
        <v>0</v>
      </c>
      <c r="I2987">
        <v>1</v>
      </c>
    </row>
    <row r="2988" spans="1:9" x14ac:dyDescent="0.25">
      <c r="A2988">
        <v>74</v>
      </c>
      <c r="B2988">
        <v>1</v>
      </c>
      <c r="C2988">
        <v>3</v>
      </c>
      <c r="D2988">
        <v>6</v>
      </c>
      <c r="E2988">
        <v>0</v>
      </c>
      <c r="F2988">
        <v>1</v>
      </c>
      <c r="G2988">
        <v>14172</v>
      </c>
      <c r="H2988">
        <v>0</v>
      </c>
      <c r="I2988">
        <v>1</v>
      </c>
    </row>
    <row r="2989" spans="1:9" x14ac:dyDescent="0.25">
      <c r="A2989">
        <v>74</v>
      </c>
      <c r="B2989">
        <v>0</v>
      </c>
      <c r="C2989">
        <v>9</v>
      </c>
      <c r="D2989">
        <v>5</v>
      </c>
      <c r="E2989">
        <v>0</v>
      </c>
      <c r="F2989">
        <v>1</v>
      </c>
      <c r="G2989">
        <v>13844</v>
      </c>
      <c r="H2989">
        <v>0</v>
      </c>
      <c r="I2989">
        <v>1</v>
      </c>
    </row>
    <row r="2990" spans="1:9" x14ac:dyDescent="0.25">
      <c r="A2990">
        <v>74</v>
      </c>
      <c r="B2990">
        <v>0</v>
      </c>
      <c r="C2990">
        <v>6</v>
      </c>
      <c r="D2990">
        <v>4</v>
      </c>
      <c r="E2990">
        <v>1</v>
      </c>
      <c r="F2990">
        <v>1</v>
      </c>
      <c r="G2990">
        <v>12351</v>
      </c>
      <c r="H2990">
        <v>0</v>
      </c>
      <c r="I2990">
        <v>1</v>
      </c>
    </row>
    <row r="2991" spans="1:9" x14ac:dyDescent="0.25">
      <c r="A2991">
        <v>74</v>
      </c>
      <c r="B2991">
        <v>1</v>
      </c>
      <c r="C2991">
        <v>7</v>
      </c>
      <c r="D2991">
        <v>4</v>
      </c>
      <c r="E2991">
        <v>0</v>
      </c>
      <c r="F2991">
        <v>1</v>
      </c>
      <c r="G2991">
        <v>22528</v>
      </c>
      <c r="H2991">
        <v>0</v>
      </c>
      <c r="I2991">
        <v>1</v>
      </c>
    </row>
    <row r="2992" spans="1:9" x14ac:dyDescent="0.25">
      <c r="A2992">
        <v>74</v>
      </c>
      <c r="B2992">
        <v>1</v>
      </c>
      <c r="C2992">
        <v>7</v>
      </c>
      <c r="D2992">
        <v>7</v>
      </c>
      <c r="E2992">
        <v>0</v>
      </c>
      <c r="F2992">
        <v>1</v>
      </c>
      <c r="G2992">
        <v>14972</v>
      </c>
      <c r="H2992">
        <v>0</v>
      </c>
      <c r="I2992">
        <v>1</v>
      </c>
    </row>
    <row r="2993" spans="1:9" x14ac:dyDescent="0.25">
      <c r="A2993">
        <v>74</v>
      </c>
      <c r="B2993">
        <v>1</v>
      </c>
      <c r="C2993">
        <v>7</v>
      </c>
      <c r="D2993">
        <v>4</v>
      </c>
      <c r="E2993">
        <v>0</v>
      </c>
      <c r="F2993">
        <v>1</v>
      </c>
      <c r="G2993">
        <v>10479</v>
      </c>
      <c r="H2993">
        <v>0</v>
      </c>
      <c r="I2993">
        <v>1</v>
      </c>
    </row>
    <row r="2994" spans="1:9" x14ac:dyDescent="0.25">
      <c r="A2994">
        <v>74</v>
      </c>
      <c r="B2994">
        <v>0</v>
      </c>
      <c r="C2994">
        <v>2</v>
      </c>
      <c r="D2994">
        <v>4</v>
      </c>
      <c r="E2994">
        <v>0</v>
      </c>
      <c r="F2994">
        <v>1</v>
      </c>
      <c r="G2994">
        <v>6209</v>
      </c>
      <c r="H2994">
        <v>0</v>
      </c>
      <c r="I2994">
        <v>1</v>
      </c>
    </row>
    <row r="2995" spans="1:9" x14ac:dyDescent="0.25">
      <c r="A2995">
        <v>74</v>
      </c>
      <c r="B2995">
        <v>0</v>
      </c>
      <c r="C2995">
        <v>5</v>
      </c>
      <c r="D2995">
        <v>5</v>
      </c>
      <c r="E2995">
        <v>0</v>
      </c>
      <c r="F2995">
        <v>1</v>
      </c>
      <c r="G2995">
        <v>7381</v>
      </c>
      <c r="H2995">
        <v>0</v>
      </c>
      <c r="I2995">
        <v>1</v>
      </c>
    </row>
    <row r="2996" spans="1:9" x14ac:dyDescent="0.25">
      <c r="A2996">
        <v>74</v>
      </c>
      <c r="B2996">
        <v>1</v>
      </c>
      <c r="C2996">
        <v>2</v>
      </c>
      <c r="D2996">
        <v>4</v>
      </c>
      <c r="E2996">
        <v>0</v>
      </c>
      <c r="F2996">
        <v>1</v>
      </c>
      <c r="G2996">
        <v>5092</v>
      </c>
      <c r="H2996">
        <v>0</v>
      </c>
      <c r="I2996">
        <v>1</v>
      </c>
    </row>
    <row r="2997" spans="1:9" x14ac:dyDescent="0.25">
      <c r="A2997">
        <v>74</v>
      </c>
      <c r="B2997">
        <v>1</v>
      </c>
      <c r="C2997">
        <v>4</v>
      </c>
      <c r="D2997">
        <v>6</v>
      </c>
      <c r="E2997">
        <v>1</v>
      </c>
      <c r="F2997">
        <v>1</v>
      </c>
      <c r="G2997">
        <v>14207</v>
      </c>
      <c r="H2997">
        <v>0</v>
      </c>
      <c r="I2997">
        <v>1</v>
      </c>
    </row>
    <row r="2998" spans="1:9" x14ac:dyDescent="0.25">
      <c r="A2998">
        <v>74</v>
      </c>
      <c r="B2998">
        <v>0</v>
      </c>
      <c r="C2998">
        <v>52</v>
      </c>
      <c r="D2998">
        <v>2</v>
      </c>
      <c r="E2998">
        <v>4</v>
      </c>
      <c r="F2998">
        <v>1</v>
      </c>
      <c r="G2998">
        <v>123056</v>
      </c>
      <c r="H2998">
        <v>0</v>
      </c>
      <c r="I2998">
        <v>1</v>
      </c>
    </row>
    <row r="2999" spans="1:9" x14ac:dyDescent="0.25">
      <c r="A2999">
        <v>74</v>
      </c>
      <c r="B2999">
        <v>1</v>
      </c>
      <c r="C2999">
        <v>8</v>
      </c>
      <c r="D2999">
        <v>2</v>
      </c>
      <c r="E2999">
        <v>0</v>
      </c>
      <c r="F2999">
        <v>1</v>
      </c>
      <c r="G2999">
        <v>16925</v>
      </c>
      <c r="H2999">
        <v>0</v>
      </c>
      <c r="I2999">
        <v>1</v>
      </c>
    </row>
    <row r="3000" spans="1:9" x14ac:dyDescent="0.25">
      <c r="A3000">
        <v>54</v>
      </c>
      <c r="B3000">
        <v>1</v>
      </c>
      <c r="C3000">
        <v>18</v>
      </c>
      <c r="D3000">
        <v>6</v>
      </c>
      <c r="E3000">
        <v>6</v>
      </c>
      <c r="F3000">
        <v>1</v>
      </c>
      <c r="G3000">
        <v>89186</v>
      </c>
      <c r="H3000">
        <v>1</v>
      </c>
      <c r="I3000">
        <v>1</v>
      </c>
    </row>
    <row r="3001" spans="1:9" x14ac:dyDescent="0.25">
      <c r="A3001">
        <v>54</v>
      </c>
      <c r="B3001">
        <v>0</v>
      </c>
      <c r="C3001">
        <v>4</v>
      </c>
      <c r="D3001">
        <v>4</v>
      </c>
      <c r="E3001">
        <v>6</v>
      </c>
      <c r="F3001">
        <v>1</v>
      </c>
      <c r="G3001">
        <v>24378</v>
      </c>
      <c r="H3001">
        <v>1</v>
      </c>
      <c r="I3001">
        <v>1</v>
      </c>
    </row>
    <row r="3002" spans="1:9" x14ac:dyDescent="0.25">
      <c r="A3002">
        <v>54</v>
      </c>
      <c r="B3002">
        <v>0</v>
      </c>
      <c r="C3002">
        <v>3</v>
      </c>
      <c r="D3002">
        <v>4</v>
      </c>
      <c r="E3002">
        <v>6</v>
      </c>
      <c r="F3002">
        <v>1</v>
      </c>
      <c r="G3002">
        <v>58289</v>
      </c>
      <c r="H3002">
        <v>1</v>
      </c>
      <c r="I3002">
        <v>1</v>
      </c>
    </row>
    <row r="3003" spans="1:9" x14ac:dyDescent="0.25">
      <c r="A3003">
        <v>54</v>
      </c>
      <c r="B3003">
        <v>1</v>
      </c>
      <c r="C3003">
        <v>3</v>
      </c>
      <c r="D3003">
        <v>5</v>
      </c>
      <c r="E3003">
        <v>2</v>
      </c>
      <c r="F3003">
        <v>1</v>
      </c>
      <c r="G3003">
        <v>31880</v>
      </c>
      <c r="H3003">
        <v>1</v>
      </c>
      <c r="I3003">
        <v>1</v>
      </c>
    </row>
    <row r="3004" spans="1:9" x14ac:dyDescent="0.25">
      <c r="A3004">
        <v>54</v>
      </c>
      <c r="B3004">
        <v>0</v>
      </c>
      <c r="C3004">
        <v>2</v>
      </c>
      <c r="D3004">
        <v>3</v>
      </c>
      <c r="E3004">
        <v>3</v>
      </c>
      <c r="F3004">
        <v>1</v>
      </c>
      <c r="G3004">
        <v>39121</v>
      </c>
      <c r="H3004">
        <v>1</v>
      </c>
      <c r="I3004">
        <v>1</v>
      </c>
    </row>
    <row r="3005" spans="1:9" x14ac:dyDescent="0.25">
      <c r="A3005">
        <v>54</v>
      </c>
      <c r="B3005">
        <v>0</v>
      </c>
      <c r="C3005">
        <v>5</v>
      </c>
      <c r="D3005">
        <v>5</v>
      </c>
      <c r="E3005">
        <v>2</v>
      </c>
      <c r="F3005">
        <v>1</v>
      </c>
      <c r="G3005">
        <v>39109</v>
      </c>
      <c r="H3005">
        <v>1</v>
      </c>
      <c r="I3005">
        <v>1</v>
      </c>
    </row>
    <row r="3006" spans="1:9" x14ac:dyDescent="0.25">
      <c r="A3006">
        <v>54</v>
      </c>
      <c r="B3006">
        <v>1</v>
      </c>
      <c r="C3006">
        <v>4</v>
      </c>
      <c r="D3006">
        <v>2</v>
      </c>
      <c r="E3006">
        <v>1</v>
      </c>
      <c r="F3006">
        <v>1</v>
      </c>
      <c r="G3006">
        <v>32976</v>
      </c>
      <c r="H3006">
        <v>1</v>
      </c>
      <c r="I3006">
        <v>1</v>
      </c>
    </row>
    <row r="3007" spans="1:9" x14ac:dyDescent="0.25">
      <c r="A3007">
        <v>53</v>
      </c>
      <c r="B3007">
        <v>0</v>
      </c>
      <c r="C3007">
        <v>1</v>
      </c>
      <c r="D3007">
        <v>3</v>
      </c>
      <c r="E3007">
        <v>0</v>
      </c>
      <c r="F3007">
        <v>1</v>
      </c>
      <c r="G3007">
        <v>8999</v>
      </c>
      <c r="H3007">
        <v>0</v>
      </c>
      <c r="I3007">
        <v>1</v>
      </c>
    </row>
    <row r="3008" spans="1:9" x14ac:dyDescent="0.25">
      <c r="A3008">
        <v>53</v>
      </c>
      <c r="B3008">
        <v>1</v>
      </c>
      <c r="C3008">
        <v>7</v>
      </c>
      <c r="D3008">
        <v>3</v>
      </c>
      <c r="E3008">
        <v>0</v>
      </c>
      <c r="F3008">
        <v>1</v>
      </c>
      <c r="G3008">
        <v>10595</v>
      </c>
      <c r="H3008">
        <v>0</v>
      </c>
      <c r="I3008">
        <v>1</v>
      </c>
    </row>
    <row r="3009" spans="1:9" x14ac:dyDescent="0.25">
      <c r="A3009">
        <v>53</v>
      </c>
      <c r="B3009">
        <v>0</v>
      </c>
      <c r="C3009">
        <v>1</v>
      </c>
      <c r="D3009">
        <v>4</v>
      </c>
      <c r="E3009">
        <v>0</v>
      </c>
      <c r="F3009">
        <v>1</v>
      </c>
      <c r="G3009">
        <v>9490</v>
      </c>
      <c r="H3009">
        <v>0</v>
      </c>
      <c r="I3009">
        <v>1</v>
      </c>
    </row>
    <row r="3010" spans="1:9" x14ac:dyDescent="0.25">
      <c r="A3010">
        <v>53</v>
      </c>
      <c r="B3010">
        <v>0</v>
      </c>
      <c r="C3010">
        <v>2</v>
      </c>
      <c r="D3010">
        <v>4</v>
      </c>
      <c r="E3010">
        <v>0</v>
      </c>
      <c r="F3010">
        <v>1</v>
      </c>
      <c r="G3010">
        <v>11791</v>
      </c>
      <c r="H3010">
        <v>0</v>
      </c>
      <c r="I3010">
        <v>1</v>
      </c>
    </row>
    <row r="3011" spans="1:9" x14ac:dyDescent="0.25">
      <c r="A3011">
        <v>53</v>
      </c>
      <c r="B3011">
        <v>0</v>
      </c>
      <c r="C3011">
        <v>1</v>
      </c>
      <c r="D3011">
        <v>6</v>
      </c>
      <c r="E3011">
        <v>0</v>
      </c>
      <c r="F3011">
        <v>1</v>
      </c>
      <c r="G3011">
        <v>11284</v>
      </c>
      <c r="H3011">
        <v>0</v>
      </c>
      <c r="I3011">
        <v>1</v>
      </c>
    </row>
    <row r="3012" spans="1:9" x14ac:dyDescent="0.25">
      <c r="A3012">
        <v>53</v>
      </c>
      <c r="B3012">
        <v>1</v>
      </c>
      <c r="C3012">
        <v>23</v>
      </c>
      <c r="D3012">
        <v>6</v>
      </c>
      <c r="E3012">
        <v>1</v>
      </c>
      <c r="F3012">
        <v>1</v>
      </c>
      <c r="G3012">
        <v>52702</v>
      </c>
      <c r="H3012">
        <v>0</v>
      </c>
      <c r="I3012">
        <v>1</v>
      </c>
    </row>
    <row r="3013" spans="1:9" x14ac:dyDescent="0.25">
      <c r="A3013">
        <v>53</v>
      </c>
      <c r="B3013">
        <v>0</v>
      </c>
      <c r="C3013">
        <v>5</v>
      </c>
      <c r="D3013">
        <v>3</v>
      </c>
      <c r="E3013">
        <v>0</v>
      </c>
      <c r="F3013">
        <v>1</v>
      </c>
      <c r="G3013">
        <v>7601</v>
      </c>
      <c r="H3013">
        <v>0</v>
      </c>
      <c r="I3013">
        <v>1</v>
      </c>
    </row>
    <row r="3014" spans="1:9" x14ac:dyDescent="0.25">
      <c r="A3014">
        <v>53</v>
      </c>
      <c r="B3014">
        <v>0</v>
      </c>
      <c r="C3014">
        <v>16</v>
      </c>
      <c r="D3014">
        <v>3</v>
      </c>
      <c r="E3014">
        <v>3</v>
      </c>
      <c r="F3014">
        <v>1</v>
      </c>
      <c r="G3014">
        <v>17775</v>
      </c>
      <c r="H3014">
        <v>0</v>
      </c>
      <c r="I3014">
        <v>1</v>
      </c>
    </row>
    <row r="3015" spans="1:9" x14ac:dyDescent="0.25">
      <c r="A3015">
        <v>53</v>
      </c>
      <c r="B3015">
        <v>1</v>
      </c>
      <c r="C3015">
        <v>7</v>
      </c>
      <c r="D3015">
        <v>4</v>
      </c>
      <c r="E3015">
        <v>2</v>
      </c>
      <c r="F3015">
        <v>1</v>
      </c>
      <c r="G3015">
        <v>32607</v>
      </c>
      <c r="H3015">
        <v>0</v>
      </c>
      <c r="I3015">
        <v>1</v>
      </c>
    </row>
    <row r="3016" spans="1:9" x14ac:dyDescent="0.25">
      <c r="A3016">
        <v>53</v>
      </c>
      <c r="B3016">
        <v>1</v>
      </c>
      <c r="C3016">
        <v>11</v>
      </c>
      <c r="D3016">
        <v>3</v>
      </c>
      <c r="E3016">
        <v>1</v>
      </c>
      <c r="F3016">
        <v>1</v>
      </c>
      <c r="G3016">
        <v>25171</v>
      </c>
      <c r="H3016">
        <v>0</v>
      </c>
      <c r="I3016">
        <v>1</v>
      </c>
    </row>
    <row r="3017" spans="1:9" x14ac:dyDescent="0.25">
      <c r="A3017">
        <v>53</v>
      </c>
      <c r="B3017">
        <v>0</v>
      </c>
      <c r="C3017">
        <v>8</v>
      </c>
      <c r="D3017">
        <v>2</v>
      </c>
      <c r="E3017">
        <v>0</v>
      </c>
      <c r="F3017">
        <v>1</v>
      </c>
      <c r="G3017">
        <v>14547</v>
      </c>
      <c r="H3017">
        <v>0</v>
      </c>
      <c r="I3017">
        <v>1</v>
      </c>
    </row>
    <row r="3018" spans="1:9" x14ac:dyDescent="0.25">
      <c r="A3018">
        <v>53</v>
      </c>
      <c r="B3018">
        <v>1</v>
      </c>
      <c r="C3018">
        <v>6</v>
      </c>
      <c r="D3018">
        <v>4</v>
      </c>
      <c r="E3018">
        <v>0</v>
      </c>
      <c r="F3018">
        <v>1</v>
      </c>
      <c r="G3018">
        <v>10903</v>
      </c>
      <c r="H3018">
        <v>0</v>
      </c>
      <c r="I3018">
        <v>1</v>
      </c>
    </row>
    <row r="3019" spans="1:9" x14ac:dyDescent="0.25">
      <c r="A3019">
        <v>53</v>
      </c>
      <c r="B3019">
        <v>0</v>
      </c>
      <c r="C3019">
        <v>5</v>
      </c>
      <c r="D3019">
        <v>5</v>
      </c>
      <c r="E3019">
        <v>2</v>
      </c>
      <c r="F3019">
        <v>1</v>
      </c>
      <c r="G3019">
        <v>13669</v>
      </c>
      <c r="H3019">
        <v>0</v>
      </c>
      <c r="I3019">
        <v>1</v>
      </c>
    </row>
    <row r="3020" spans="1:9" x14ac:dyDescent="0.25">
      <c r="A3020">
        <v>53</v>
      </c>
      <c r="B3020">
        <v>1</v>
      </c>
      <c r="C3020">
        <v>5</v>
      </c>
      <c r="D3020">
        <v>2</v>
      </c>
      <c r="E3020">
        <v>0</v>
      </c>
      <c r="F3020">
        <v>1</v>
      </c>
      <c r="G3020">
        <v>12482</v>
      </c>
      <c r="H3020">
        <v>0</v>
      </c>
      <c r="I3020">
        <v>1</v>
      </c>
    </row>
    <row r="3021" spans="1:9" x14ac:dyDescent="0.25">
      <c r="A3021">
        <v>53</v>
      </c>
      <c r="B3021">
        <v>1</v>
      </c>
      <c r="C3021">
        <v>4</v>
      </c>
      <c r="D3021">
        <v>8</v>
      </c>
      <c r="E3021">
        <v>0</v>
      </c>
      <c r="F3021">
        <v>1</v>
      </c>
      <c r="G3021">
        <v>9045</v>
      </c>
      <c r="H3021">
        <v>0</v>
      </c>
      <c r="I3021">
        <v>1</v>
      </c>
    </row>
    <row r="3022" spans="1:9" x14ac:dyDescent="0.25">
      <c r="A3022">
        <v>53</v>
      </c>
      <c r="B3022">
        <v>1</v>
      </c>
      <c r="C3022">
        <v>2</v>
      </c>
      <c r="D3022">
        <v>7</v>
      </c>
      <c r="E3022">
        <v>0</v>
      </c>
      <c r="F3022">
        <v>1</v>
      </c>
      <c r="G3022">
        <v>12139</v>
      </c>
      <c r="H3022">
        <v>0</v>
      </c>
      <c r="I3022">
        <v>1</v>
      </c>
    </row>
    <row r="3023" spans="1:9" x14ac:dyDescent="0.25">
      <c r="A3023">
        <v>53</v>
      </c>
      <c r="B3023">
        <v>0</v>
      </c>
      <c r="C3023">
        <v>7</v>
      </c>
      <c r="D3023">
        <v>1</v>
      </c>
      <c r="E3023">
        <v>2</v>
      </c>
      <c r="F3023">
        <v>1</v>
      </c>
      <c r="G3023">
        <v>21712</v>
      </c>
      <c r="H3023">
        <v>0</v>
      </c>
      <c r="I3023">
        <v>1</v>
      </c>
    </row>
    <row r="3024" spans="1:9" x14ac:dyDescent="0.25">
      <c r="A3024">
        <v>51</v>
      </c>
      <c r="B3024">
        <v>1</v>
      </c>
      <c r="C3024">
        <v>2</v>
      </c>
      <c r="D3024">
        <v>3</v>
      </c>
      <c r="E3024">
        <v>0</v>
      </c>
      <c r="F3024">
        <v>1</v>
      </c>
      <c r="G3024">
        <v>2932</v>
      </c>
      <c r="H3024">
        <v>0</v>
      </c>
      <c r="I3024">
        <v>1</v>
      </c>
    </row>
    <row r="3025" spans="1:9" x14ac:dyDescent="0.25">
      <c r="A3025">
        <v>51</v>
      </c>
      <c r="B3025">
        <v>0</v>
      </c>
      <c r="C3025">
        <v>24</v>
      </c>
      <c r="D3025">
        <v>3</v>
      </c>
      <c r="E3025">
        <v>4</v>
      </c>
      <c r="F3025">
        <v>1</v>
      </c>
      <c r="G3025">
        <v>88376</v>
      </c>
      <c r="H3025">
        <v>0</v>
      </c>
      <c r="I3025">
        <v>1</v>
      </c>
    </row>
    <row r="3026" spans="1:9" x14ac:dyDescent="0.25">
      <c r="A3026">
        <v>51</v>
      </c>
      <c r="B3026">
        <v>1</v>
      </c>
      <c r="C3026">
        <v>9</v>
      </c>
      <c r="D3026">
        <v>4</v>
      </c>
      <c r="E3026">
        <v>0</v>
      </c>
      <c r="F3026">
        <v>1</v>
      </c>
      <c r="G3026">
        <v>15391</v>
      </c>
      <c r="H3026">
        <v>0</v>
      </c>
      <c r="I3026">
        <v>1</v>
      </c>
    </row>
    <row r="3027" spans="1:9" x14ac:dyDescent="0.25">
      <c r="A3027">
        <v>51</v>
      </c>
      <c r="B3027">
        <v>1</v>
      </c>
      <c r="C3027">
        <v>8</v>
      </c>
      <c r="D3027">
        <v>4</v>
      </c>
      <c r="E3027">
        <v>1</v>
      </c>
      <c r="F3027">
        <v>1</v>
      </c>
      <c r="G3027">
        <v>13078</v>
      </c>
      <c r="H3027">
        <v>0</v>
      </c>
      <c r="I3027">
        <v>1</v>
      </c>
    </row>
    <row r="3028" spans="1:9" x14ac:dyDescent="0.25">
      <c r="A3028">
        <v>51</v>
      </c>
      <c r="B3028">
        <v>1</v>
      </c>
      <c r="C3028">
        <v>15</v>
      </c>
      <c r="D3028">
        <v>4</v>
      </c>
      <c r="E3028">
        <v>0</v>
      </c>
      <c r="F3028">
        <v>1</v>
      </c>
      <c r="G3028">
        <v>38068</v>
      </c>
      <c r="H3028">
        <v>0</v>
      </c>
      <c r="I3028">
        <v>1</v>
      </c>
    </row>
    <row r="3029" spans="1:9" x14ac:dyDescent="0.25">
      <c r="A3029">
        <v>51</v>
      </c>
      <c r="B3029">
        <v>1</v>
      </c>
      <c r="C3029">
        <v>5</v>
      </c>
      <c r="D3029">
        <v>5</v>
      </c>
      <c r="E3029">
        <v>2</v>
      </c>
      <c r="F3029">
        <v>1</v>
      </c>
      <c r="G3029">
        <v>15900</v>
      </c>
      <c r="H3029">
        <v>0</v>
      </c>
      <c r="I3029">
        <v>1</v>
      </c>
    </row>
    <row r="3030" spans="1:9" x14ac:dyDescent="0.25">
      <c r="A3030">
        <v>51</v>
      </c>
      <c r="B3030">
        <v>1</v>
      </c>
      <c r="C3030">
        <v>1</v>
      </c>
      <c r="D3030">
        <v>8</v>
      </c>
      <c r="E3030">
        <v>2</v>
      </c>
      <c r="F3030">
        <v>1</v>
      </c>
      <c r="G3030">
        <v>23633</v>
      </c>
      <c r="H3030">
        <v>0</v>
      </c>
      <c r="I3030">
        <v>1</v>
      </c>
    </row>
    <row r="3031" spans="1:9" x14ac:dyDescent="0.25">
      <c r="A3031">
        <v>51</v>
      </c>
      <c r="B3031">
        <v>0</v>
      </c>
      <c r="C3031">
        <v>3</v>
      </c>
      <c r="D3031">
        <v>1</v>
      </c>
      <c r="E3031">
        <v>0</v>
      </c>
      <c r="F3031">
        <v>1</v>
      </c>
      <c r="G3031">
        <v>7391</v>
      </c>
      <c r="H3031">
        <v>0</v>
      </c>
      <c r="I3031">
        <v>1</v>
      </c>
    </row>
    <row r="3032" spans="1:9" x14ac:dyDescent="0.25">
      <c r="A3032">
        <v>51</v>
      </c>
      <c r="B3032">
        <v>1</v>
      </c>
      <c r="C3032">
        <v>29</v>
      </c>
      <c r="D3032">
        <v>4</v>
      </c>
      <c r="E3032">
        <v>6</v>
      </c>
      <c r="F3032">
        <v>1</v>
      </c>
      <c r="G3032">
        <v>115788</v>
      </c>
      <c r="H3032">
        <v>0</v>
      </c>
      <c r="I3032">
        <v>1</v>
      </c>
    </row>
    <row r="3033" spans="1:9" x14ac:dyDescent="0.25">
      <c r="A3033">
        <v>51</v>
      </c>
      <c r="B3033">
        <v>0</v>
      </c>
      <c r="C3033">
        <v>53</v>
      </c>
      <c r="D3033">
        <v>5</v>
      </c>
      <c r="E3033">
        <v>0</v>
      </c>
      <c r="F3033">
        <v>1</v>
      </c>
      <c r="G3033">
        <v>81999</v>
      </c>
      <c r="H3033">
        <v>0</v>
      </c>
      <c r="I3033">
        <v>1</v>
      </c>
    </row>
    <row r="3034" spans="1:9" x14ac:dyDescent="0.25">
      <c r="A3034">
        <v>51</v>
      </c>
      <c r="B3034">
        <v>1</v>
      </c>
      <c r="C3034">
        <v>4</v>
      </c>
      <c r="D3034">
        <v>5</v>
      </c>
      <c r="E3034">
        <v>0</v>
      </c>
      <c r="F3034">
        <v>1</v>
      </c>
      <c r="G3034">
        <v>7769</v>
      </c>
      <c r="H3034">
        <v>0</v>
      </c>
      <c r="I3034">
        <v>1</v>
      </c>
    </row>
    <row r="3035" spans="1:9" x14ac:dyDescent="0.25">
      <c r="A3035">
        <v>51</v>
      </c>
      <c r="B3035">
        <v>0</v>
      </c>
      <c r="C3035">
        <v>10</v>
      </c>
      <c r="D3035">
        <v>4</v>
      </c>
      <c r="E3035">
        <v>2</v>
      </c>
      <c r="F3035">
        <v>1</v>
      </c>
      <c r="G3035">
        <v>44134</v>
      </c>
      <c r="H3035">
        <v>0</v>
      </c>
      <c r="I3035">
        <v>1</v>
      </c>
    </row>
    <row r="3036" spans="1:9" x14ac:dyDescent="0.25">
      <c r="A3036">
        <v>51</v>
      </c>
      <c r="B3036">
        <v>1</v>
      </c>
      <c r="C3036">
        <v>5</v>
      </c>
      <c r="D3036">
        <v>0</v>
      </c>
      <c r="E3036">
        <v>3</v>
      </c>
      <c r="F3036">
        <v>1</v>
      </c>
      <c r="G3036">
        <v>10723</v>
      </c>
      <c r="H3036">
        <v>0</v>
      </c>
      <c r="I3036">
        <v>1</v>
      </c>
    </row>
    <row r="3037" spans="1:9" x14ac:dyDescent="0.25">
      <c r="A3037">
        <v>51</v>
      </c>
      <c r="B3037">
        <v>0</v>
      </c>
      <c r="C3037">
        <v>23</v>
      </c>
      <c r="D3037">
        <v>2</v>
      </c>
      <c r="E3037">
        <v>2</v>
      </c>
      <c r="F3037">
        <v>1</v>
      </c>
      <c r="G3037">
        <v>60325</v>
      </c>
      <c r="H3037">
        <v>0</v>
      </c>
      <c r="I3037">
        <v>1</v>
      </c>
    </row>
    <row r="3038" spans="1:9" x14ac:dyDescent="0.25">
      <c r="A3038">
        <v>51</v>
      </c>
      <c r="B3038">
        <v>1</v>
      </c>
      <c r="C3038">
        <v>2</v>
      </c>
      <c r="D3038">
        <v>2</v>
      </c>
      <c r="E3038">
        <v>1</v>
      </c>
      <c r="F3038">
        <v>1</v>
      </c>
      <c r="G3038">
        <v>12315</v>
      </c>
      <c r="H3038">
        <v>0</v>
      </c>
      <c r="I3038">
        <v>1</v>
      </c>
    </row>
    <row r="3039" spans="1:9" x14ac:dyDescent="0.25">
      <c r="A3039">
        <v>51</v>
      </c>
      <c r="B3039">
        <v>1</v>
      </c>
      <c r="C3039">
        <v>5</v>
      </c>
      <c r="D3039">
        <v>1</v>
      </c>
      <c r="E3039">
        <v>1</v>
      </c>
      <c r="F3039">
        <v>1</v>
      </c>
      <c r="G3039">
        <v>13659</v>
      </c>
      <c r="H3039">
        <v>0</v>
      </c>
      <c r="I3039">
        <v>1</v>
      </c>
    </row>
    <row r="3040" spans="1:9" x14ac:dyDescent="0.25">
      <c r="A3040">
        <v>51</v>
      </c>
      <c r="B3040">
        <v>1</v>
      </c>
      <c r="C3040">
        <v>6</v>
      </c>
      <c r="D3040">
        <v>3</v>
      </c>
      <c r="E3040">
        <v>3</v>
      </c>
      <c r="F3040">
        <v>1</v>
      </c>
      <c r="G3040">
        <v>33732</v>
      </c>
      <c r="H3040">
        <v>1</v>
      </c>
      <c r="I3040">
        <v>1</v>
      </c>
    </row>
    <row r="3041" spans="1:9" x14ac:dyDescent="0.25">
      <c r="A3041">
        <v>51</v>
      </c>
      <c r="B3041">
        <v>0</v>
      </c>
      <c r="C3041">
        <v>6</v>
      </c>
      <c r="D3041">
        <v>4</v>
      </c>
      <c r="E3041">
        <v>1</v>
      </c>
      <c r="F3041">
        <v>1</v>
      </c>
      <c r="G3041">
        <v>29665</v>
      </c>
      <c r="H3041">
        <v>1</v>
      </c>
      <c r="I3041">
        <v>1</v>
      </c>
    </row>
    <row r="3042" spans="1:9" x14ac:dyDescent="0.25">
      <c r="A3042">
        <v>51</v>
      </c>
      <c r="B3042">
        <v>1</v>
      </c>
      <c r="C3042">
        <v>2</v>
      </c>
      <c r="D3042">
        <v>0</v>
      </c>
      <c r="E3042">
        <v>1</v>
      </c>
      <c r="F3042">
        <v>1</v>
      </c>
      <c r="G3042">
        <v>24821</v>
      </c>
      <c r="H3042">
        <v>1</v>
      </c>
      <c r="I3042">
        <v>1</v>
      </c>
    </row>
    <row r="3043" spans="1:9" x14ac:dyDescent="0.25">
      <c r="A3043">
        <v>51</v>
      </c>
      <c r="B3043">
        <v>1</v>
      </c>
      <c r="C3043">
        <v>4</v>
      </c>
      <c r="D3043">
        <v>3</v>
      </c>
      <c r="E3043">
        <v>1</v>
      </c>
      <c r="F3043">
        <v>1</v>
      </c>
      <c r="G3043">
        <v>24408</v>
      </c>
      <c r="H3043">
        <v>1</v>
      </c>
      <c r="I3043">
        <v>1</v>
      </c>
    </row>
    <row r="3044" spans="1:9" x14ac:dyDescent="0.25">
      <c r="A3044">
        <v>51</v>
      </c>
      <c r="B3044">
        <v>0</v>
      </c>
      <c r="C3044">
        <v>2</v>
      </c>
      <c r="D3044">
        <v>4</v>
      </c>
      <c r="E3044">
        <v>4</v>
      </c>
      <c r="F3044">
        <v>1</v>
      </c>
      <c r="G3044">
        <v>36369</v>
      </c>
      <c r="H3044">
        <v>1</v>
      </c>
      <c r="I3044">
        <v>1</v>
      </c>
    </row>
    <row r="3045" spans="1:9" x14ac:dyDescent="0.25">
      <c r="A3045">
        <v>51</v>
      </c>
      <c r="B3045">
        <v>0</v>
      </c>
      <c r="C3045">
        <v>4</v>
      </c>
      <c r="D3045">
        <v>4</v>
      </c>
      <c r="E3045">
        <v>6</v>
      </c>
      <c r="F3045">
        <v>1</v>
      </c>
      <c r="G3045">
        <v>84109</v>
      </c>
      <c r="H3045">
        <v>1</v>
      </c>
      <c r="I3045">
        <v>1</v>
      </c>
    </row>
    <row r="3046" spans="1:9" x14ac:dyDescent="0.25">
      <c r="A3046">
        <v>51</v>
      </c>
      <c r="B3046">
        <v>1</v>
      </c>
      <c r="C3046">
        <v>1</v>
      </c>
      <c r="D3046">
        <v>0</v>
      </c>
      <c r="E3046">
        <v>1</v>
      </c>
      <c r="F3046">
        <v>1</v>
      </c>
      <c r="G3046">
        <v>12862</v>
      </c>
      <c r="H3046">
        <v>1</v>
      </c>
      <c r="I3046">
        <v>1</v>
      </c>
    </row>
    <row r="3047" spans="1:9" x14ac:dyDescent="0.25">
      <c r="A3047">
        <v>51</v>
      </c>
      <c r="B3047">
        <v>0</v>
      </c>
      <c r="C3047">
        <v>23</v>
      </c>
      <c r="D3047">
        <v>5</v>
      </c>
      <c r="E3047">
        <v>5</v>
      </c>
      <c r="F3047">
        <v>1</v>
      </c>
      <c r="G3047">
        <v>62226</v>
      </c>
      <c r="H3047">
        <v>1</v>
      </c>
      <c r="I3047">
        <v>1</v>
      </c>
    </row>
    <row r="3048" spans="1:9" x14ac:dyDescent="0.25">
      <c r="A3048">
        <v>51</v>
      </c>
      <c r="B3048">
        <v>1</v>
      </c>
      <c r="C3048">
        <v>9</v>
      </c>
      <c r="D3048">
        <v>5</v>
      </c>
      <c r="E3048">
        <v>6</v>
      </c>
      <c r="F3048">
        <v>1</v>
      </c>
      <c r="G3048">
        <v>70551</v>
      </c>
      <c r="H3048">
        <v>1</v>
      </c>
      <c r="I3048">
        <v>1</v>
      </c>
    </row>
    <row r="3049" spans="1:9" x14ac:dyDescent="0.25">
      <c r="A3049">
        <v>51</v>
      </c>
      <c r="B3049">
        <v>1</v>
      </c>
      <c r="C3049">
        <v>3</v>
      </c>
      <c r="D3049">
        <v>6</v>
      </c>
      <c r="E3049">
        <v>4</v>
      </c>
      <c r="F3049">
        <v>1</v>
      </c>
      <c r="G3049">
        <v>30902</v>
      </c>
      <c r="H3049">
        <v>1</v>
      </c>
      <c r="I3049">
        <v>1</v>
      </c>
    </row>
    <row r="3050" spans="1:9" x14ac:dyDescent="0.25">
      <c r="A3050">
        <v>51</v>
      </c>
      <c r="B3050">
        <v>0</v>
      </c>
      <c r="C3050">
        <v>2</v>
      </c>
      <c r="D3050">
        <v>0</v>
      </c>
      <c r="E3050">
        <v>1</v>
      </c>
      <c r="F3050">
        <v>1</v>
      </c>
      <c r="G3050">
        <v>28237</v>
      </c>
      <c r="H3050">
        <v>1</v>
      </c>
      <c r="I3050">
        <v>1</v>
      </c>
    </row>
    <row r="3051" spans="1:9" x14ac:dyDescent="0.25">
      <c r="A3051">
        <v>51</v>
      </c>
      <c r="B3051">
        <v>0</v>
      </c>
      <c r="C3051">
        <v>3</v>
      </c>
      <c r="D3051">
        <v>2</v>
      </c>
      <c r="E3051">
        <v>5</v>
      </c>
      <c r="F3051">
        <v>1</v>
      </c>
      <c r="G3051">
        <v>24652</v>
      </c>
      <c r="H3051">
        <v>1</v>
      </c>
      <c r="I3051">
        <v>1</v>
      </c>
    </row>
    <row r="3052" spans="1:9" x14ac:dyDescent="0.25">
      <c r="A3052">
        <v>50</v>
      </c>
      <c r="B3052">
        <v>0</v>
      </c>
      <c r="C3052">
        <v>1</v>
      </c>
      <c r="D3052">
        <v>3</v>
      </c>
      <c r="E3052">
        <v>0</v>
      </c>
      <c r="F3052">
        <v>1</v>
      </c>
      <c r="G3052">
        <v>12268</v>
      </c>
      <c r="H3052">
        <v>0</v>
      </c>
      <c r="I3052">
        <v>1</v>
      </c>
    </row>
    <row r="3053" spans="1:9" x14ac:dyDescent="0.25">
      <c r="A3053">
        <v>50</v>
      </c>
      <c r="B3053">
        <v>0</v>
      </c>
      <c r="C3053">
        <v>10</v>
      </c>
      <c r="D3053">
        <v>5</v>
      </c>
      <c r="E3053">
        <v>0</v>
      </c>
      <c r="F3053">
        <v>1</v>
      </c>
      <c r="G3053">
        <v>13736</v>
      </c>
      <c r="H3053">
        <v>0</v>
      </c>
      <c r="I3053">
        <v>1</v>
      </c>
    </row>
    <row r="3054" spans="1:9" x14ac:dyDescent="0.25">
      <c r="A3054">
        <v>50</v>
      </c>
      <c r="B3054">
        <v>1</v>
      </c>
      <c r="C3054">
        <v>2</v>
      </c>
      <c r="D3054">
        <v>0</v>
      </c>
      <c r="E3054">
        <v>0</v>
      </c>
      <c r="F3054">
        <v>1</v>
      </c>
      <c r="G3054">
        <v>9869</v>
      </c>
      <c r="H3054">
        <v>0</v>
      </c>
      <c r="I3054">
        <v>1</v>
      </c>
    </row>
    <row r="3055" spans="1:9" x14ac:dyDescent="0.25">
      <c r="A3055">
        <v>50</v>
      </c>
      <c r="B3055">
        <v>1</v>
      </c>
      <c r="C3055">
        <v>4</v>
      </c>
      <c r="D3055">
        <v>3</v>
      </c>
      <c r="E3055">
        <v>0</v>
      </c>
      <c r="F3055">
        <v>1</v>
      </c>
      <c r="G3055">
        <v>13194</v>
      </c>
      <c r="H3055">
        <v>0</v>
      </c>
      <c r="I3055">
        <v>1</v>
      </c>
    </row>
    <row r="3056" spans="1:9" x14ac:dyDescent="0.25">
      <c r="A3056">
        <v>50</v>
      </c>
      <c r="B3056">
        <v>0</v>
      </c>
      <c r="C3056">
        <v>5</v>
      </c>
      <c r="D3056">
        <v>1</v>
      </c>
      <c r="E3056">
        <v>0</v>
      </c>
      <c r="F3056">
        <v>1</v>
      </c>
      <c r="G3056">
        <v>17809</v>
      </c>
      <c r="H3056">
        <v>0</v>
      </c>
      <c r="I3056">
        <v>1</v>
      </c>
    </row>
    <row r="3057" spans="1:9" x14ac:dyDescent="0.25">
      <c r="A3057">
        <v>50</v>
      </c>
      <c r="B3057">
        <v>1</v>
      </c>
      <c r="C3057">
        <v>6</v>
      </c>
      <c r="D3057">
        <v>5</v>
      </c>
      <c r="E3057">
        <v>0</v>
      </c>
      <c r="F3057">
        <v>1</v>
      </c>
      <c r="G3057">
        <v>10727</v>
      </c>
      <c r="H3057">
        <v>0</v>
      </c>
      <c r="I3057">
        <v>1</v>
      </c>
    </row>
    <row r="3058" spans="1:9" x14ac:dyDescent="0.25">
      <c r="A3058">
        <v>50</v>
      </c>
      <c r="B3058">
        <v>0</v>
      </c>
      <c r="C3058">
        <v>35</v>
      </c>
      <c r="D3058">
        <v>4</v>
      </c>
      <c r="E3058">
        <v>0</v>
      </c>
      <c r="F3058">
        <v>1</v>
      </c>
      <c r="G3058">
        <v>60609</v>
      </c>
      <c r="H3058">
        <v>0</v>
      </c>
      <c r="I3058">
        <v>1</v>
      </c>
    </row>
    <row r="3059" spans="1:9" x14ac:dyDescent="0.25">
      <c r="A3059">
        <v>50</v>
      </c>
      <c r="B3059">
        <v>0</v>
      </c>
      <c r="C3059">
        <v>11</v>
      </c>
      <c r="D3059">
        <v>3</v>
      </c>
      <c r="E3059">
        <v>2</v>
      </c>
      <c r="F3059">
        <v>1</v>
      </c>
      <c r="G3059">
        <v>30354</v>
      </c>
      <c r="H3059">
        <v>0</v>
      </c>
      <c r="I3059">
        <v>1</v>
      </c>
    </row>
    <row r="3060" spans="1:9" x14ac:dyDescent="0.25">
      <c r="A3060">
        <v>50</v>
      </c>
      <c r="B3060">
        <v>1</v>
      </c>
      <c r="C3060">
        <v>4</v>
      </c>
      <c r="D3060">
        <v>7</v>
      </c>
      <c r="E3060">
        <v>1</v>
      </c>
      <c r="F3060">
        <v>1</v>
      </c>
      <c r="G3060">
        <v>12113</v>
      </c>
      <c r="H3060">
        <v>0</v>
      </c>
      <c r="I3060">
        <v>1</v>
      </c>
    </row>
    <row r="3061" spans="1:9" x14ac:dyDescent="0.25">
      <c r="A3061">
        <v>50</v>
      </c>
      <c r="B3061">
        <v>0</v>
      </c>
      <c r="C3061">
        <v>5</v>
      </c>
      <c r="D3061">
        <v>6</v>
      </c>
      <c r="E3061">
        <v>3</v>
      </c>
      <c r="F3061">
        <v>1</v>
      </c>
      <c r="G3061">
        <v>13810</v>
      </c>
      <c r="H3061">
        <v>0</v>
      </c>
      <c r="I3061">
        <v>1</v>
      </c>
    </row>
    <row r="3062" spans="1:9" x14ac:dyDescent="0.25">
      <c r="A3062">
        <v>50</v>
      </c>
      <c r="B3062">
        <v>1</v>
      </c>
      <c r="C3062">
        <v>5</v>
      </c>
      <c r="D3062">
        <v>7</v>
      </c>
      <c r="E3062">
        <v>1</v>
      </c>
      <c r="F3062">
        <v>1</v>
      </c>
      <c r="G3062">
        <v>14752</v>
      </c>
      <c r="H3062">
        <v>0</v>
      </c>
      <c r="I3062">
        <v>1</v>
      </c>
    </row>
    <row r="3063" spans="1:9" x14ac:dyDescent="0.25">
      <c r="A3063">
        <v>50</v>
      </c>
      <c r="B3063">
        <v>1</v>
      </c>
      <c r="C3063">
        <v>11</v>
      </c>
      <c r="D3063">
        <v>5</v>
      </c>
      <c r="E3063">
        <v>4</v>
      </c>
      <c r="F3063">
        <v>1</v>
      </c>
      <c r="G3063">
        <v>54531</v>
      </c>
      <c r="H3063">
        <v>0</v>
      </c>
      <c r="I3063">
        <v>1</v>
      </c>
    </row>
    <row r="3064" spans="1:9" x14ac:dyDescent="0.25">
      <c r="A3064">
        <v>50</v>
      </c>
      <c r="B3064">
        <v>1</v>
      </c>
      <c r="C3064">
        <v>13</v>
      </c>
      <c r="D3064">
        <v>5</v>
      </c>
      <c r="E3064">
        <v>1</v>
      </c>
      <c r="F3064">
        <v>1</v>
      </c>
      <c r="G3064">
        <v>23555</v>
      </c>
      <c r="H3064">
        <v>0</v>
      </c>
      <c r="I3064">
        <v>1</v>
      </c>
    </row>
    <row r="3065" spans="1:9" x14ac:dyDescent="0.25">
      <c r="A3065">
        <v>50</v>
      </c>
      <c r="B3065">
        <v>0</v>
      </c>
      <c r="C3065">
        <v>5</v>
      </c>
      <c r="D3065">
        <v>4</v>
      </c>
      <c r="E3065">
        <v>3</v>
      </c>
      <c r="F3065">
        <v>1</v>
      </c>
      <c r="G3065">
        <v>18342</v>
      </c>
      <c r="H3065">
        <v>0</v>
      </c>
      <c r="I3065">
        <v>1</v>
      </c>
    </row>
    <row r="3066" spans="1:9" x14ac:dyDescent="0.25">
      <c r="A3066">
        <v>50</v>
      </c>
      <c r="B3066">
        <v>0</v>
      </c>
      <c r="C3066">
        <v>14</v>
      </c>
      <c r="D3066">
        <v>2</v>
      </c>
      <c r="E3066">
        <v>0</v>
      </c>
      <c r="F3066">
        <v>1</v>
      </c>
      <c r="G3066">
        <v>37417</v>
      </c>
      <c r="H3066">
        <v>0</v>
      </c>
      <c r="I3066">
        <v>1</v>
      </c>
    </row>
    <row r="3067" spans="1:9" x14ac:dyDescent="0.25">
      <c r="A3067">
        <v>50</v>
      </c>
      <c r="B3067">
        <v>1</v>
      </c>
      <c r="C3067">
        <v>10</v>
      </c>
      <c r="D3067">
        <v>4</v>
      </c>
      <c r="E3067">
        <v>2</v>
      </c>
      <c r="F3067">
        <v>1</v>
      </c>
      <c r="G3067">
        <v>21106</v>
      </c>
      <c r="H3067">
        <v>0</v>
      </c>
      <c r="I3067">
        <v>1</v>
      </c>
    </row>
    <row r="3068" spans="1:9" x14ac:dyDescent="0.25">
      <c r="A3068">
        <v>50</v>
      </c>
      <c r="B3068">
        <v>0</v>
      </c>
      <c r="C3068">
        <v>24</v>
      </c>
      <c r="D3068">
        <v>4</v>
      </c>
      <c r="E3068">
        <v>4</v>
      </c>
      <c r="F3068">
        <v>1</v>
      </c>
      <c r="G3068">
        <v>79846</v>
      </c>
      <c r="H3068">
        <v>0</v>
      </c>
      <c r="I3068">
        <v>1</v>
      </c>
    </row>
    <row r="3069" spans="1:9" x14ac:dyDescent="0.25">
      <c r="A3069">
        <v>50</v>
      </c>
      <c r="B3069">
        <v>1</v>
      </c>
      <c r="C3069">
        <v>3</v>
      </c>
      <c r="D3069">
        <v>7</v>
      </c>
      <c r="E3069">
        <v>0</v>
      </c>
      <c r="F3069">
        <v>1</v>
      </c>
      <c r="G3069">
        <v>6032</v>
      </c>
      <c r="H3069">
        <v>0</v>
      </c>
      <c r="I3069">
        <v>1</v>
      </c>
    </row>
    <row r="3070" spans="1:9" x14ac:dyDescent="0.25">
      <c r="A3070">
        <v>50</v>
      </c>
      <c r="B3070">
        <v>1</v>
      </c>
      <c r="C3070">
        <v>1</v>
      </c>
      <c r="D3070">
        <v>1</v>
      </c>
      <c r="E3070">
        <v>0</v>
      </c>
      <c r="F3070">
        <v>1</v>
      </c>
      <c r="G3070">
        <v>7998</v>
      </c>
      <c r="H3070">
        <v>0</v>
      </c>
      <c r="I3070">
        <v>1</v>
      </c>
    </row>
    <row r="3071" spans="1:9" x14ac:dyDescent="0.25">
      <c r="A3071">
        <v>50</v>
      </c>
      <c r="B3071">
        <v>0</v>
      </c>
      <c r="C3071">
        <v>3</v>
      </c>
      <c r="D3071">
        <v>4</v>
      </c>
      <c r="E3071">
        <v>0</v>
      </c>
      <c r="F3071">
        <v>1</v>
      </c>
      <c r="G3071">
        <v>11795</v>
      </c>
      <c r="H3071">
        <v>0</v>
      </c>
      <c r="I3071">
        <v>1</v>
      </c>
    </row>
    <row r="3072" spans="1:9" x14ac:dyDescent="0.25">
      <c r="A3072">
        <v>50</v>
      </c>
      <c r="B3072">
        <v>1</v>
      </c>
      <c r="C3072">
        <v>11</v>
      </c>
      <c r="D3072">
        <v>3</v>
      </c>
      <c r="E3072">
        <v>0</v>
      </c>
      <c r="F3072">
        <v>1</v>
      </c>
      <c r="G3072">
        <v>22163</v>
      </c>
      <c r="H3072">
        <v>0</v>
      </c>
      <c r="I3072">
        <v>1</v>
      </c>
    </row>
    <row r="3073" spans="1:9" x14ac:dyDescent="0.25">
      <c r="A3073">
        <v>50</v>
      </c>
      <c r="B3073">
        <v>0</v>
      </c>
      <c r="C3073">
        <v>6</v>
      </c>
      <c r="D3073">
        <v>7</v>
      </c>
      <c r="E3073">
        <v>6</v>
      </c>
      <c r="F3073">
        <v>1</v>
      </c>
      <c r="G3073">
        <v>24324</v>
      </c>
      <c r="H3073">
        <v>0</v>
      </c>
      <c r="I3073">
        <v>1</v>
      </c>
    </row>
    <row r="3074" spans="1:9" x14ac:dyDescent="0.25">
      <c r="A3074">
        <v>50</v>
      </c>
      <c r="B3074">
        <v>1</v>
      </c>
      <c r="C3074">
        <v>5</v>
      </c>
      <c r="D3074">
        <v>2</v>
      </c>
      <c r="E3074">
        <v>0</v>
      </c>
      <c r="F3074">
        <v>1</v>
      </c>
      <c r="G3074">
        <v>10719</v>
      </c>
      <c r="H3074">
        <v>0</v>
      </c>
      <c r="I3074">
        <v>1</v>
      </c>
    </row>
    <row r="3075" spans="1:9" x14ac:dyDescent="0.25">
      <c r="A3075">
        <v>50</v>
      </c>
      <c r="B3075">
        <v>1</v>
      </c>
      <c r="C3075">
        <v>6</v>
      </c>
      <c r="D3075">
        <v>2</v>
      </c>
      <c r="E3075">
        <v>1</v>
      </c>
      <c r="F3075">
        <v>1</v>
      </c>
      <c r="G3075">
        <v>20080</v>
      </c>
      <c r="H3075">
        <v>0</v>
      </c>
      <c r="I3075">
        <v>1</v>
      </c>
    </row>
    <row r="3076" spans="1:9" x14ac:dyDescent="0.25">
      <c r="A3076">
        <v>50</v>
      </c>
      <c r="B3076">
        <v>1</v>
      </c>
      <c r="C3076">
        <v>1</v>
      </c>
      <c r="D3076">
        <v>1</v>
      </c>
      <c r="E3076">
        <v>2</v>
      </c>
      <c r="F3076">
        <v>1</v>
      </c>
      <c r="G3076">
        <v>23325</v>
      </c>
      <c r="H3076">
        <v>1</v>
      </c>
      <c r="I3076">
        <v>1</v>
      </c>
    </row>
    <row r="3077" spans="1:9" x14ac:dyDescent="0.25">
      <c r="A3077">
        <v>50</v>
      </c>
      <c r="B3077">
        <v>0</v>
      </c>
      <c r="C3077">
        <v>5</v>
      </c>
      <c r="D3077">
        <v>5</v>
      </c>
      <c r="E3077">
        <v>4</v>
      </c>
      <c r="F3077">
        <v>1</v>
      </c>
      <c r="G3077">
        <v>27824</v>
      </c>
      <c r="H3077">
        <v>1</v>
      </c>
      <c r="I3077">
        <v>1</v>
      </c>
    </row>
    <row r="3078" spans="1:9" x14ac:dyDescent="0.25">
      <c r="A3078">
        <v>50</v>
      </c>
      <c r="B3078">
        <v>1</v>
      </c>
      <c r="C3078">
        <v>1</v>
      </c>
      <c r="D3078">
        <v>2</v>
      </c>
      <c r="E3078">
        <v>2</v>
      </c>
      <c r="F3078">
        <v>1</v>
      </c>
      <c r="G3078">
        <v>29370</v>
      </c>
      <c r="H3078">
        <v>1</v>
      </c>
      <c r="I3078">
        <v>1</v>
      </c>
    </row>
    <row r="3079" spans="1:9" x14ac:dyDescent="0.25">
      <c r="A3079">
        <v>50</v>
      </c>
      <c r="B3079">
        <v>0</v>
      </c>
      <c r="C3079">
        <v>1</v>
      </c>
      <c r="D3079">
        <v>3</v>
      </c>
      <c r="E3079">
        <v>2</v>
      </c>
      <c r="F3079">
        <v>1</v>
      </c>
      <c r="G3079">
        <v>5653</v>
      </c>
      <c r="H3079">
        <v>1</v>
      </c>
      <c r="I3079">
        <v>1</v>
      </c>
    </row>
    <row r="3080" spans="1:9" x14ac:dyDescent="0.25">
      <c r="A3080">
        <v>37</v>
      </c>
      <c r="B3080">
        <v>0</v>
      </c>
      <c r="C3080">
        <v>1</v>
      </c>
      <c r="D3080">
        <v>3</v>
      </c>
      <c r="E3080">
        <v>0</v>
      </c>
      <c r="F3080">
        <v>1</v>
      </c>
      <c r="G3080">
        <v>2657</v>
      </c>
      <c r="H3080">
        <v>0</v>
      </c>
      <c r="I3080">
        <v>1</v>
      </c>
    </row>
    <row r="3081" spans="1:9" x14ac:dyDescent="0.25">
      <c r="A3081">
        <v>37</v>
      </c>
      <c r="B3081">
        <v>1</v>
      </c>
      <c r="C3081">
        <v>9</v>
      </c>
      <c r="D3081">
        <v>4</v>
      </c>
      <c r="E3081">
        <v>0</v>
      </c>
      <c r="F3081">
        <v>1</v>
      </c>
      <c r="G3081">
        <v>15732</v>
      </c>
      <c r="H3081">
        <v>0</v>
      </c>
      <c r="I3081">
        <v>1</v>
      </c>
    </row>
    <row r="3082" spans="1:9" x14ac:dyDescent="0.25">
      <c r="A3082">
        <v>37</v>
      </c>
      <c r="B3082">
        <v>0</v>
      </c>
      <c r="C3082">
        <v>10</v>
      </c>
      <c r="D3082">
        <v>3</v>
      </c>
      <c r="E3082">
        <v>0</v>
      </c>
      <c r="F3082">
        <v>1</v>
      </c>
      <c r="G3082">
        <v>14974</v>
      </c>
      <c r="H3082">
        <v>0</v>
      </c>
      <c r="I3082">
        <v>1</v>
      </c>
    </row>
    <row r="3083" spans="1:9" x14ac:dyDescent="0.25">
      <c r="A3083">
        <v>37</v>
      </c>
      <c r="B3083">
        <v>1</v>
      </c>
      <c r="C3083">
        <v>2</v>
      </c>
      <c r="D3083">
        <v>0</v>
      </c>
      <c r="E3083">
        <v>4</v>
      </c>
      <c r="F3083">
        <v>1</v>
      </c>
      <c r="G3083">
        <v>7873</v>
      </c>
      <c r="H3083">
        <v>0</v>
      </c>
      <c r="I3083">
        <v>1</v>
      </c>
    </row>
    <row r="3084" spans="1:9" x14ac:dyDescent="0.25">
      <c r="A3084">
        <v>37</v>
      </c>
      <c r="B3084">
        <v>1</v>
      </c>
      <c r="C3084">
        <v>4</v>
      </c>
      <c r="D3084">
        <v>1</v>
      </c>
      <c r="E3084">
        <v>3</v>
      </c>
      <c r="F3084">
        <v>1</v>
      </c>
      <c r="G3084">
        <v>12797</v>
      </c>
      <c r="H3084">
        <v>0</v>
      </c>
      <c r="I3084">
        <v>1</v>
      </c>
    </row>
    <row r="3085" spans="1:9" x14ac:dyDescent="0.25">
      <c r="A3085">
        <v>37</v>
      </c>
      <c r="B3085">
        <v>0</v>
      </c>
      <c r="C3085">
        <v>1</v>
      </c>
      <c r="D3085">
        <v>1</v>
      </c>
      <c r="E3085">
        <v>3</v>
      </c>
      <c r="F3085">
        <v>1</v>
      </c>
      <c r="G3085">
        <v>18832</v>
      </c>
      <c r="H3085">
        <v>0</v>
      </c>
      <c r="I3085">
        <v>1</v>
      </c>
    </row>
    <row r="3086" spans="1:9" x14ac:dyDescent="0.25">
      <c r="A3086">
        <v>37</v>
      </c>
      <c r="B3086">
        <v>1</v>
      </c>
      <c r="C3086">
        <v>8</v>
      </c>
      <c r="D3086">
        <v>3</v>
      </c>
      <c r="E3086">
        <v>0</v>
      </c>
      <c r="F3086">
        <v>1</v>
      </c>
      <c r="G3086">
        <v>15006</v>
      </c>
      <c r="H3086">
        <v>0</v>
      </c>
      <c r="I3086">
        <v>1</v>
      </c>
    </row>
    <row r="3087" spans="1:9" x14ac:dyDescent="0.25">
      <c r="A3087">
        <v>37</v>
      </c>
      <c r="B3087">
        <v>0</v>
      </c>
      <c r="C3087">
        <v>4</v>
      </c>
      <c r="D3087">
        <v>5</v>
      </c>
      <c r="E3087">
        <v>1</v>
      </c>
      <c r="F3087">
        <v>1</v>
      </c>
      <c r="G3087">
        <v>21077</v>
      </c>
      <c r="H3087">
        <v>0</v>
      </c>
      <c r="I3087">
        <v>1</v>
      </c>
    </row>
    <row r="3088" spans="1:9" x14ac:dyDescent="0.25">
      <c r="A3088">
        <v>37</v>
      </c>
      <c r="B3088">
        <v>1</v>
      </c>
      <c r="C3088">
        <v>2</v>
      </c>
      <c r="D3088">
        <v>0</v>
      </c>
      <c r="E3088">
        <v>2</v>
      </c>
      <c r="F3088">
        <v>1</v>
      </c>
      <c r="G3088">
        <v>8545</v>
      </c>
      <c r="H3088">
        <v>0</v>
      </c>
      <c r="I3088">
        <v>1</v>
      </c>
    </row>
    <row r="3089" spans="1:9" x14ac:dyDescent="0.25">
      <c r="A3089">
        <v>37</v>
      </c>
      <c r="B3089">
        <v>1</v>
      </c>
      <c r="C3089">
        <v>2</v>
      </c>
      <c r="D3089">
        <v>7</v>
      </c>
      <c r="E3089">
        <v>3</v>
      </c>
      <c r="F3089">
        <v>1</v>
      </c>
      <c r="G3089">
        <v>15105</v>
      </c>
      <c r="H3089">
        <v>0</v>
      </c>
      <c r="I3089">
        <v>1</v>
      </c>
    </row>
    <row r="3090" spans="1:9" x14ac:dyDescent="0.25">
      <c r="A3090">
        <v>37</v>
      </c>
      <c r="B3090">
        <v>1</v>
      </c>
      <c r="C3090">
        <v>9</v>
      </c>
      <c r="D3090">
        <v>6</v>
      </c>
      <c r="E3090">
        <v>4</v>
      </c>
      <c r="F3090">
        <v>1</v>
      </c>
      <c r="G3090">
        <v>30645</v>
      </c>
      <c r="H3090">
        <v>0</v>
      </c>
      <c r="I3090">
        <v>1</v>
      </c>
    </row>
    <row r="3091" spans="1:9" x14ac:dyDescent="0.25">
      <c r="A3091">
        <v>37</v>
      </c>
      <c r="B3091">
        <v>1</v>
      </c>
      <c r="C3091">
        <v>1</v>
      </c>
      <c r="D3091">
        <v>7</v>
      </c>
      <c r="E3091">
        <v>0</v>
      </c>
      <c r="F3091">
        <v>1</v>
      </c>
      <c r="G3091">
        <v>1656</v>
      </c>
      <c r="H3091">
        <v>0</v>
      </c>
      <c r="I3091">
        <v>1</v>
      </c>
    </row>
    <row r="3092" spans="1:9" x14ac:dyDescent="0.25">
      <c r="A3092">
        <v>37</v>
      </c>
      <c r="B3092">
        <v>1</v>
      </c>
      <c r="C3092">
        <v>5</v>
      </c>
      <c r="D3092">
        <v>6</v>
      </c>
      <c r="E3092">
        <v>1</v>
      </c>
      <c r="F3092">
        <v>1</v>
      </c>
      <c r="G3092">
        <v>11424</v>
      </c>
      <c r="H3092">
        <v>0</v>
      </c>
      <c r="I3092">
        <v>1</v>
      </c>
    </row>
    <row r="3093" spans="1:9" x14ac:dyDescent="0.25">
      <c r="A3093">
        <v>37</v>
      </c>
      <c r="B3093">
        <v>1</v>
      </c>
      <c r="C3093">
        <v>9</v>
      </c>
      <c r="D3093">
        <v>2</v>
      </c>
      <c r="E3093">
        <v>1</v>
      </c>
      <c r="F3093">
        <v>1</v>
      </c>
      <c r="G3093">
        <v>33858</v>
      </c>
      <c r="H3093">
        <v>0</v>
      </c>
      <c r="I3093">
        <v>1</v>
      </c>
    </row>
    <row r="3094" spans="1:9" x14ac:dyDescent="0.25">
      <c r="A3094">
        <v>37</v>
      </c>
      <c r="B3094">
        <v>1</v>
      </c>
      <c r="C3094">
        <v>12</v>
      </c>
      <c r="D3094">
        <v>2</v>
      </c>
      <c r="E3094">
        <v>6</v>
      </c>
      <c r="F3094">
        <v>1</v>
      </c>
      <c r="G3094">
        <v>46939</v>
      </c>
      <c r="H3094">
        <v>0</v>
      </c>
      <c r="I3094">
        <v>1</v>
      </c>
    </row>
    <row r="3095" spans="1:9" x14ac:dyDescent="0.25">
      <c r="A3095">
        <v>37</v>
      </c>
      <c r="B3095">
        <v>1</v>
      </c>
      <c r="C3095">
        <v>1</v>
      </c>
      <c r="D3095">
        <v>3</v>
      </c>
      <c r="E3095">
        <v>1</v>
      </c>
      <c r="F3095">
        <v>1</v>
      </c>
      <c r="G3095">
        <v>12149</v>
      </c>
      <c r="H3095">
        <v>0</v>
      </c>
      <c r="I3095">
        <v>1</v>
      </c>
    </row>
    <row r="3096" spans="1:9" x14ac:dyDescent="0.25">
      <c r="A3096">
        <v>37</v>
      </c>
      <c r="B3096">
        <v>1</v>
      </c>
      <c r="C3096">
        <v>2</v>
      </c>
      <c r="D3096">
        <v>0</v>
      </c>
      <c r="E3096">
        <v>3</v>
      </c>
      <c r="F3096">
        <v>1</v>
      </c>
      <c r="G3096">
        <v>6460</v>
      </c>
      <c r="H3096">
        <v>0</v>
      </c>
      <c r="I3096">
        <v>1</v>
      </c>
    </row>
    <row r="3097" spans="1:9" x14ac:dyDescent="0.25">
      <c r="A3097">
        <v>37</v>
      </c>
      <c r="B3097">
        <v>0</v>
      </c>
      <c r="C3097">
        <v>1</v>
      </c>
      <c r="D3097">
        <v>2</v>
      </c>
      <c r="E3097">
        <v>1</v>
      </c>
      <c r="F3097">
        <v>1</v>
      </c>
      <c r="G3097">
        <v>27640</v>
      </c>
      <c r="H3097">
        <v>1</v>
      </c>
      <c r="I3097">
        <v>1</v>
      </c>
    </row>
    <row r="3098" spans="1:9" x14ac:dyDescent="0.25">
      <c r="A3098">
        <v>37</v>
      </c>
      <c r="B3098">
        <v>1</v>
      </c>
      <c r="C3098">
        <v>3</v>
      </c>
      <c r="D3098">
        <v>1</v>
      </c>
      <c r="E3098">
        <v>2</v>
      </c>
      <c r="F3098">
        <v>1</v>
      </c>
      <c r="G3098">
        <v>9270</v>
      </c>
      <c r="H3098">
        <v>1</v>
      </c>
      <c r="I3098">
        <v>1</v>
      </c>
    </row>
    <row r="3099" spans="1:9" x14ac:dyDescent="0.25">
      <c r="A3099">
        <v>37</v>
      </c>
      <c r="B3099">
        <v>1</v>
      </c>
      <c r="C3099">
        <v>2</v>
      </c>
      <c r="D3099">
        <v>2</v>
      </c>
      <c r="E3099">
        <v>1</v>
      </c>
      <c r="F3099">
        <v>1</v>
      </c>
      <c r="G3099">
        <v>7759</v>
      </c>
      <c r="H3099">
        <v>1</v>
      </c>
      <c r="I3099">
        <v>1</v>
      </c>
    </row>
    <row r="3100" spans="1:9" x14ac:dyDescent="0.25">
      <c r="A3100">
        <v>37</v>
      </c>
      <c r="B3100">
        <v>1</v>
      </c>
      <c r="C3100">
        <v>16</v>
      </c>
      <c r="D3100">
        <v>1</v>
      </c>
      <c r="E3100">
        <v>2</v>
      </c>
      <c r="F3100">
        <v>1</v>
      </c>
      <c r="G3100">
        <v>43163</v>
      </c>
      <c r="H3100">
        <v>1</v>
      </c>
      <c r="I3100">
        <v>1</v>
      </c>
    </row>
    <row r="3101" spans="1:9" x14ac:dyDescent="0.25">
      <c r="A3101">
        <v>37</v>
      </c>
      <c r="B3101">
        <v>0</v>
      </c>
      <c r="C3101">
        <v>20</v>
      </c>
      <c r="D3101">
        <v>4</v>
      </c>
      <c r="E3101">
        <v>6</v>
      </c>
      <c r="F3101">
        <v>1</v>
      </c>
      <c r="G3101">
        <v>64444</v>
      </c>
      <c r="H3101">
        <v>1</v>
      </c>
      <c r="I310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BN1860"/>
  <sheetViews>
    <sheetView showGridLines="0" topLeftCell="A115" workbookViewId="0">
      <selection activeCell="C124" sqref="C124"/>
    </sheetView>
  </sheetViews>
  <sheetFormatPr defaultRowHeight="15" x14ac:dyDescent="0.25"/>
  <cols>
    <col min="14" max="14" width="11.140625" bestFit="1" customWidth="1"/>
  </cols>
  <sheetData>
    <row r="1" spans="2:66" x14ac:dyDescent="0.25">
      <c r="BF1" s="1">
        <v>0.2608695652173913</v>
      </c>
      <c r="BG1" t="str">
        <f>"1"</f>
        <v>1</v>
      </c>
      <c r="BH1" t="str">
        <f xml:space="preserve"> IF($BF$1 &gt;= $G$204, "1","0")</f>
        <v>1</v>
      </c>
      <c r="BI1">
        <f xml:space="preserve"> IF( AND( $BG$1 = "1", $BH$1 = "1" ), 1, IF( AND( $BG$1 = "1", $BH$1 = "0" ), 2, IF( AND( $BG$1 = "0", $BH$1 = "1" ), 3, 4 ) ) )</f>
        <v>1</v>
      </c>
      <c r="BK1" s="1">
        <v>1.8947368421052633E-2</v>
      </c>
      <c r="BL1" t="str">
        <f>"0"</f>
        <v>0</v>
      </c>
      <c r="BM1" t="str">
        <f xml:space="preserve"> IF($BK$1 &gt;= $G$281, "1","0")</f>
        <v>0</v>
      </c>
      <c r="BN1">
        <f xml:space="preserve"> IF( AND( $BL$1 = "1", $BM$1 = "1" ), 1, IF( AND( $BL$1 = "1", $BM$1 = "0" ), 2, IF( AND( $BL$1 = "0", $BM$1 = "1" ), 3, 4 ) ) )</f>
        <v>4</v>
      </c>
    </row>
    <row r="2" spans="2:66" ht="18.75" x14ac:dyDescent="0.3">
      <c r="B2" s="4" t="s">
        <v>137</v>
      </c>
      <c r="N2" t="s">
        <v>9</v>
      </c>
      <c r="BF2" s="1">
        <v>1</v>
      </c>
      <c r="BG2" t="str">
        <f>"1"</f>
        <v>1</v>
      </c>
      <c r="BH2" t="str">
        <f xml:space="preserve"> IF($BF$2 &gt;= $G$204, "1","0")</f>
        <v>1</v>
      </c>
      <c r="BI2">
        <f xml:space="preserve"> IF( AND( $BG$2 = "1", $BH$2 = "1" ), 1, IF( AND( $BG$2 = "1", $BH$2 = "0" ), 2, IF( AND( $BG$2 = "0", $BH$2 = "1" ), 3, 4 ) ) )</f>
        <v>1</v>
      </c>
      <c r="BK2" s="1">
        <v>0</v>
      </c>
      <c r="BL2" t="str">
        <f>"0"</f>
        <v>0</v>
      </c>
      <c r="BM2" t="str">
        <f xml:space="preserve"> IF($BK$2 &gt;= $G$281, "1","0")</f>
        <v>0</v>
      </c>
      <c r="BN2">
        <f xml:space="preserve"> IF( AND( $BL$2 = "1", $BM$2 = "1" ), 1, IF( AND( $BL$2 = "1", $BM$2 = "0" ), 2, IF( AND( $BL$2 = "0", $BM$2 = "1" ), 3, 4 ) ) )</f>
        <v>4</v>
      </c>
    </row>
    <row r="3" spans="2:66" x14ac:dyDescent="0.25">
      <c r="BF3" s="1">
        <v>0.44444444444444448</v>
      </c>
      <c r="BG3" t="str">
        <f>"1"</f>
        <v>1</v>
      </c>
      <c r="BH3" t="str">
        <f xml:space="preserve"> IF($BF$3 &gt;= $G$204, "1","0")</f>
        <v>1</v>
      </c>
      <c r="BI3">
        <f xml:space="preserve"> IF( AND( $BG$3 = "1", $BH$3 = "1" ), 1, IF( AND( $BG$3 = "1", $BH$3 = "0" ), 2, IF( AND( $BG$3 = "0", $BH$3 = "1" ), 3, 4 ) ) )</f>
        <v>1</v>
      </c>
      <c r="BK3" s="1">
        <v>1.8947368421052633E-2</v>
      </c>
      <c r="BL3" t="str">
        <f>"0"</f>
        <v>0</v>
      </c>
      <c r="BM3" t="str">
        <f xml:space="preserve"> IF($BK$3 &gt;= $G$281, "1","0")</f>
        <v>0</v>
      </c>
      <c r="BN3">
        <f xml:space="preserve"> IF( AND( $BL$3 = "1", $BM$3 = "1" ), 1, IF( AND( $BL$3 = "1", $BM$3 = "0" ), 2, IF( AND( $BL$3 = "0", $BM$3 = "1" ), 3, 4 ) ) )</f>
        <v>4</v>
      </c>
    </row>
    <row r="4" spans="2:66" ht="15.75" x14ac:dyDescent="0.25">
      <c r="B4" s="9" t="s">
        <v>81</v>
      </c>
      <c r="C4" s="10"/>
      <c r="D4" s="10"/>
      <c r="E4" s="10"/>
      <c r="F4" s="10"/>
      <c r="G4" s="10"/>
      <c r="H4" s="10"/>
      <c r="I4" s="10"/>
      <c r="J4" s="10"/>
      <c r="K4" s="11"/>
      <c r="N4" s="9" t="s">
        <v>82</v>
      </c>
      <c r="O4" s="10"/>
      <c r="P4" s="10"/>
      <c r="Q4" s="11"/>
      <c r="BF4" s="1">
        <v>0.5</v>
      </c>
      <c r="BG4" t="str">
        <f>"1"</f>
        <v>1</v>
      </c>
      <c r="BH4" t="str">
        <f xml:space="preserve"> IF($BF$4 &gt;= $G$204, "1","0")</f>
        <v>1</v>
      </c>
      <c r="BI4">
        <f xml:space="preserve"> IF( AND( $BG$4 = "1", $BH$4 = "1" ), 1, IF( AND( $BG$4 = "1", $BH$4 = "0" ), 2, IF( AND( $BG$4 = "0", $BH$4 = "1" ), 3, 4 ) ) )</f>
        <v>1</v>
      </c>
      <c r="BK4" s="1">
        <v>1.8947368421052633E-2</v>
      </c>
      <c r="BL4" t="str">
        <f>"0"</f>
        <v>0</v>
      </c>
      <c r="BM4" t="str">
        <f xml:space="preserve"> IF($BK$4 &gt;= $G$281, "1","0")</f>
        <v>0</v>
      </c>
      <c r="BN4">
        <f xml:space="preserve"> IF( AND( $BL$4 = "1", $BM$4 = "1" ), 1, IF( AND( $BL$4 = "1", $BM$4 = "0" ), 2, IF( AND( $BL$4 = "0", $BM$4 = "1" ), 3, 4 ) ) )</f>
        <v>4</v>
      </c>
    </row>
    <row r="5" spans="2:66" x14ac:dyDescent="0.25">
      <c r="B5" s="12" t="s">
        <v>102</v>
      </c>
      <c r="C5" s="8"/>
      <c r="D5" s="12" t="s">
        <v>103</v>
      </c>
      <c r="E5" s="8"/>
      <c r="F5" s="12" t="s">
        <v>104</v>
      </c>
      <c r="G5" s="8"/>
      <c r="H5" s="12" t="s">
        <v>105</v>
      </c>
      <c r="I5" s="8"/>
      <c r="J5" s="12" t="s">
        <v>106</v>
      </c>
      <c r="K5" s="8"/>
      <c r="N5" s="2" t="s">
        <v>83</v>
      </c>
      <c r="O5" s="2" t="s">
        <v>84</v>
      </c>
      <c r="P5" s="2" t="s">
        <v>85</v>
      </c>
      <c r="Q5" s="2" t="s">
        <v>86</v>
      </c>
      <c r="BF5" s="1">
        <v>1</v>
      </c>
      <c r="BG5" t="str">
        <f>"1"</f>
        <v>1</v>
      </c>
      <c r="BH5" t="str">
        <f xml:space="preserve"> IF($BF$5 &gt;= $G$204, "1","0")</f>
        <v>1</v>
      </c>
      <c r="BI5">
        <f xml:space="preserve"> IF( AND( $BG$5 = "1", $BH$5 = "1" ), 1, IF( AND( $BG$5 = "1", $BH$5 = "0" ), 2, IF( AND( $BG$5 = "0", $BH$5 = "1" ), 3, 4 ) ) )</f>
        <v>1</v>
      </c>
      <c r="BK5" s="1">
        <v>1</v>
      </c>
      <c r="BL5" t="str">
        <f>"1"</f>
        <v>1</v>
      </c>
      <c r="BM5" t="str">
        <f xml:space="preserve"> IF($BK$5 &gt;= $G$281, "1","0")</f>
        <v>1</v>
      </c>
      <c r="BN5">
        <f xml:space="preserve"> IF( AND( $BL$5 = "1", $BM$5 = "1" ), 1, IF( AND( $BL$5 = "1", $BM$5 = "0" ), 2, IF( AND( $BL$5 = "0", $BM$5 = "1" ), 3, 4 ) ) )</f>
        <v>1</v>
      </c>
    </row>
    <row r="6" spans="2:66" x14ac:dyDescent="0.25">
      <c r="B6" s="12" t="s">
        <v>107</v>
      </c>
      <c r="C6" s="8"/>
      <c r="D6" s="12" t="s">
        <v>108</v>
      </c>
      <c r="E6" s="8"/>
      <c r="F6" s="12" t="s">
        <v>109</v>
      </c>
      <c r="G6" s="8"/>
      <c r="H6" s="12" t="s">
        <v>110</v>
      </c>
      <c r="I6" s="8"/>
      <c r="J6" s="12" t="s">
        <v>111</v>
      </c>
      <c r="K6" s="8"/>
      <c r="N6" s="1">
        <v>15</v>
      </c>
      <c r="O6" s="1">
        <v>579</v>
      </c>
      <c r="P6" s="1">
        <v>78</v>
      </c>
      <c r="Q6" s="1">
        <v>672</v>
      </c>
      <c r="BF6" s="1">
        <v>0.79999999999999993</v>
      </c>
      <c r="BG6" t="str">
        <f>"1"</f>
        <v>1</v>
      </c>
      <c r="BH6" t="str">
        <f xml:space="preserve"> IF($BF$6 &gt;= $G$204, "1","0")</f>
        <v>1</v>
      </c>
      <c r="BI6">
        <f xml:space="preserve"> IF( AND( $BG$6 = "1", $BH$6 = "1" ), 1, IF( AND( $BG$6 = "1", $BH$6 = "0" ), 2, IF( AND( $BG$6 = "0", $BH$6 = "1" ), 3, 4 ) ) )</f>
        <v>1</v>
      </c>
      <c r="BK6" s="1">
        <v>0.14285714285714288</v>
      </c>
      <c r="BL6" t="str">
        <f>"0"</f>
        <v>0</v>
      </c>
      <c r="BM6" t="str">
        <f xml:space="preserve"> IF($BK$6 &gt;= $G$281, "1","0")</f>
        <v>0</v>
      </c>
      <c r="BN6">
        <f xml:space="preserve"> IF( AND( $BL$6 = "1", $BM$6 = "1" ), 1, IF( AND( $BL$6 = "1", $BM$6 = "0" ), 2, IF( AND( $BL$6 = "0", $BM$6 = "1" ), 3, 4 ) ) )</f>
        <v>4</v>
      </c>
    </row>
    <row r="7" spans="2:66" x14ac:dyDescent="0.25">
      <c r="B7" s="12" t="s">
        <v>112</v>
      </c>
      <c r="C7" s="8"/>
      <c r="D7" s="12" t="s">
        <v>113</v>
      </c>
      <c r="E7" s="8"/>
      <c r="F7" s="12" t="s">
        <v>114</v>
      </c>
      <c r="G7" s="8"/>
      <c r="H7" s="12" t="s">
        <v>115</v>
      </c>
      <c r="I7" s="8"/>
      <c r="J7" s="7"/>
      <c r="K7" s="8"/>
      <c r="BF7" s="1">
        <v>0.79999999999999993</v>
      </c>
      <c r="BG7" t="str">
        <f>"1"</f>
        <v>1</v>
      </c>
      <c r="BH7" t="str">
        <f xml:space="preserve"> IF($BF$7 &gt;= $G$204, "1","0")</f>
        <v>1</v>
      </c>
      <c r="BI7">
        <f xml:space="preserve"> IF( AND( $BG$7 = "1", $BH$7 = "1" ), 1, IF( AND( $BG$7 = "1", $BH$7 = "0" ), 2, IF( AND( $BG$7 = "0", $BH$7 = "1" ), 3, 4 ) ) )</f>
        <v>1</v>
      </c>
      <c r="BK7" s="1">
        <v>0.64</v>
      </c>
      <c r="BL7" t="str">
        <f>"1"</f>
        <v>1</v>
      </c>
      <c r="BM7" t="str">
        <f xml:space="preserve"> IF($BK$7 &gt;= $G$281, "1","0")</f>
        <v>1</v>
      </c>
      <c r="BN7">
        <f xml:space="preserve"> IF( AND( $BL$7 = "1", $BM$7 = "1" ), 1, IF( AND( $BL$7 = "1", $BM$7 = "0" ), 2, IF( AND( $BL$7 = "0", $BM$7 = "1" ), 3, 4 ) ) )</f>
        <v>1</v>
      </c>
    </row>
    <row r="8" spans="2:66" x14ac:dyDescent="0.25">
      <c r="BF8" s="1">
        <v>0.44444444444444448</v>
      </c>
      <c r="BG8" t="str">
        <f>"1"</f>
        <v>1</v>
      </c>
      <c r="BH8" t="str">
        <f xml:space="preserve"> IF($BF$8 &gt;= $G$204, "1","0")</f>
        <v>1</v>
      </c>
      <c r="BI8">
        <f xml:space="preserve"> IF( AND( $BG$8 = "1", $BH$8 = "1" ), 1, IF( AND( $BG$8 = "1", $BH$8 = "0" ), 2, IF( AND( $BG$8 = "0", $BH$8 = "1" ), 3, 4 ) ) )</f>
        <v>1</v>
      </c>
      <c r="BK8" s="1">
        <v>0.14285714285714285</v>
      </c>
      <c r="BL8" t="str">
        <f>"0"</f>
        <v>0</v>
      </c>
      <c r="BM8" t="str">
        <f xml:space="preserve"> IF($BK$8 &gt;= $G$281, "1","0")</f>
        <v>0</v>
      </c>
      <c r="BN8">
        <f xml:space="preserve"> IF( AND( $BL$8 = "1", $BM$8 = "1" ), 1, IF( AND( $BL$8 = "1", $BM$8 = "0" ), 2, IF( AND( $BL$8 = "0", $BM$8 = "1" ), 3, 4 ) ) )</f>
        <v>4</v>
      </c>
    </row>
    <row r="9" spans="2:66" x14ac:dyDescent="0.25">
      <c r="BF9" s="1">
        <v>0.79999999999999993</v>
      </c>
      <c r="BG9" t="str">
        <f>"1"</f>
        <v>1</v>
      </c>
      <c r="BH9" t="str">
        <f xml:space="preserve"> IF($BF$9 &gt;= $G$204, "1","0")</f>
        <v>1</v>
      </c>
      <c r="BI9">
        <f xml:space="preserve"> IF( AND( $BG$9 = "1", $BH$9 = "1" ), 1, IF( AND( $BG$9 = "1", $BH$9 = "0" ), 2, IF( AND( $BG$9 = "0", $BH$9 = "1" ), 3, 4 ) ) )</f>
        <v>1</v>
      </c>
      <c r="BK9" s="1">
        <v>1.8947368421052633E-2</v>
      </c>
      <c r="BL9" t="str">
        <f>"0"</f>
        <v>0</v>
      </c>
      <c r="BM9" t="str">
        <f xml:space="preserve"> IF($BK$9 &gt;= $G$281, "1","0")</f>
        <v>0</v>
      </c>
      <c r="BN9">
        <f xml:space="preserve"> IF( AND( $BL$9 = "1", $BM$9 = "1" ), 1, IF( AND( $BL$9 = "1", $BM$9 = "0" ), 2, IF( AND( $BL$9 = "0", $BM$9 = "1" ), 3, 4 ) ) )</f>
        <v>4</v>
      </c>
    </row>
    <row r="10" spans="2:66" x14ac:dyDescent="0.25">
      <c r="BF10" s="1">
        <v>4.3478260869565209E-2</v>
      </c>
      <c r="BG10" t="str">
        <f>"1"</f>
        <v>1</v>
      </c>
      <c r="BH10" t="str">
        <f xml:space="preserve"> IF($BF$10 &gt;= $G$204, "1","0")</f>
        <v>0</v>
      </c>
      <c r="BI10">
        <f xml:space="preserve"> IF( AND( $BG$10 = "1", $BH$10 = "1" ), 1, IF( AND( $BG$10 = "1", $BH$10 = "0" ), 2, IF( AND( $BG$10 = "0", $BH$10 = "1" ), 3, 4 ) ) )</f>
        <v>2</v>
      </c>
      <c r="BK10" s="1">
        <v>2.5000000000000001E-3</v>
      </c>
      <c r="BL10" t="str">
        <f>"0"</f>
        <v>0</v>
      </c>
      <c r="BM10" t="str">
        <f xml:space="preserve"> IF($BK$10 &gt;= $G$281, "1","0")</f>
        <v>0</v>
      </c>
      <c r="BN10">
        <f xml:space="preserve"> IF( AND( $BL$10 = "1", $BM$10 = "1" ), 1, IF( AND( $BL$10 = "1", $BM$10 = "0" ), 2, IF( AND( $BL$10 = "0", $BM$10 = "1" ), 3, 4 ) ) )</f>
        <v>4</v>
      </c>
    </row>
    <row r="11" spans="2:66" x14ac:dyDescent="0.25">
      <c r="BF11" s="1">
        <v>0.2608695652173913</v>
      </c>
      <c r="BG11" t="str">
        <f>"1"</f>
        <v>1</v>
      </c>
      <c r="BH11" t="str">
        <f xml:space="preserve"> IF($BF$11 &gt;= $G$204, "1","0")</f>
        <v>1</v>
      </c>
      <c r="BI11">
        <f xml:space="preserve"> IF( AND( $BG$11 = "1", $BH$11 = "1" ), 1, IF( AND( $BG$11 = "1", $BH$11 = "0" ), 2, IF( AND( $BG$11 = "0", $BH$11 = "1" ), 3, 4 ) ) )</f>
        <v>1</v>
      </c>
      <c r="BK11" s="1">
        <v>2.5000000000000001E-3</v>
      </c>
      <c r="BL11" t="str">
        <f>"0"</f>
        <v>0</v>
      </c>
      <c r="BM11" t="str">
        <f xml:space="preserve"> IF($BK$11 &gt;= $G$281, "1","0")</f>
        <v>0</v>
      </c>
      <c r="BN11">
        <f xml:space="preserve"> IF( AND( $BL$11 = "1", $BM$11 = "1" ), 1, IF( AND( $BL$11 = "1", $BM$11 = "0" ), 2, IF( AND( $BL$11 = "0", $BM$11 = "1" ), 3, 4 ) ) )</f>
        <v>4</v>
      </c>
    </row>
    <row r="12" spans="2:66" ht="18.75" x14ac:dyDescent="0.3">
      <c r="B12" s="22" t="s">
        <v>103</v>
      </c>
      <c r="BF12" s="1">
        <v>0.44444444444444448</v>
      </c>
      <c r="BG12" t="str">
        <f>"1"</f>
        <v>1</v>
      </c>
      <c r="BH12" t="str">
        <f xml:space="preserve"> IF($BF$12 &gt;= $G$204, "1","0")</f>
        <v>1</v>
      </c>
      <c r="BI12">
        <f xml:space="preserve"> IF( AND( $BG$12 = "1", $BH$12 = "1" ), 1, IF( AND( $BG$12 = "1", $BH$12 = "0" ), 2, IF( AND( $BG$12 = "0", $BH$12 = "1" ), 3, 4 ) ) )</f>
        <v>1</v>
      </c>
      <c r="BK12" s="1">
        <v>2.5000000000000001E-3</v>
      </c>
      <c r="BL12" t="str">
        <f>"0"</f>
        <v>0</v>
      </c>
      <c r="BM12" t="str">
        <f xml:space="preserve"> IF($BK$12 &gt;= $G$281, "1","0")</f>
        <v>0</v>
      </c>
      <c r="BN12">
        <f xml:space="preserve"> IF( AND( $BL$12 = "1", $BM$12 = "1" ), 1, IF( AND( $BL$12 = "1", $BM$12 = "0" ), 2, IF( AND( $BL$12 = "0", $BM$12 = "1" ), 3, 4 ) ) )</f>
        <v>4</v>
      </c>
    </row>
    <row r="13" spans="2:66" x14ac:dyDescent="0.25">
      <c r="BF13" s="1">
        <v>0.66666666666666663</v>
      </c>
      <c r="BG13" t="str">
        <f>"1"</f>
        <v>1</v>
      </c>
      <c r="BH13" t="str">
        <f xml:space="preserve"> IF($BF$13 &gt;= $G$204, "1","0")</f>
        <v>1</v>
      </c>
      <c r="BI13">
        <f xml:space="preserve"> IF( AND( $BG$13 = "1", $BH$13 = "1" ), 1, IF( AND( $BG$13 = "1", $BH$13 = "0" ), 2, IF( AND( $BG$13 = "0", $BH$13 = "1" ), 3, 4 ) ) )</f>
        <v>1</v>
      </c>
      <c r="BK13" s="1">
        <v>0.5625</v>
      </c>
      <c r="BL13" t="str">
        <f>"1"</f>
        <v>1</v>
      </c>
      <c r="BM13" t="str">
        <f xml:space="preserve"> IF($BK$13 &gt;= $G$281, "1","0")</f>
        <v>1</v>
      </c>
      <c r="BN13">
        <f xml:space="preserve"> IF( AND( $BL$13 = "1", $BM$13 = "1" ), 1, IF( AND( $BL$13 = "1", $BM$13 = "0" ), 2, IF( AND( $BL$13 = "0", $BM$13 = "1" ), 3, 4 ) ) )</f>
        <v>1</v>
      </c>
    </row>
    <row r="14" spans="2:66" ht="15.75" x14ac:dyDescent="0.25">
      <c r="C14" s="9" t="s">
        <v>138</v>
      </c>
      <c r="D14" s="10"/>
      <c r="E14" s="10"/>
      <c r="F14" s="10"/>
      <c r="G14" s="10"/>
      <c r="H14" s="10"/>
      <c r="I14" s="10"/>
      <c r="J14" s="10"/>
      <c r="K14" s="11"/>
      <c r="BF14" s="1">
        <v>0.64</v>
      </c>
      <c r="BG14" t="str">
        <f>"1"</f>
        <v>1</v>
      </c>
      <c r="BH14" t="str">
        <f xml:space="preserve"> IF($BF$14 &gt;= $G$204, "1","0")</f>
        <v>1</v>
      </c>
      <c r="BI14">
        <f xml:space="preserve"> IF( AND( $BG$14 = "1", $BH$14 = "1" ), 1, IF( AND( $BG$14 = "1", $BH$14 = "0" ), 2, IF( AND( $BG$14 = "0", $BH$14 = "1" ), 3, 4 ) ) )</f>
        <v>1</v>
      </c>
      <c r="BK14" s="1">
        <v>0.32</v>
      </c>
      <c r="BL14" t="str">
        <f>"0"</f>
        <v>0</v>
      </c>
      <c r="BM14" t="str">
        <f xml:space="preserve"> IF($BK$14 &gt;= $G$281, "1","0")</f>
        <v>1</v>
      </c>
      <c r="BN14">
        <f xml:space="preserve"> IF( AND( $BL$14 = "1", $BM$14 = "1" ), 1, IF( AND( $BL$14 = "1", $BM$14 = "0" ), 2, IF( AND( $BL$14 = "0", $BM$14 = "1" ), 3, 4 ) ) )</f>
        <v>3</v>
      </c>
    </row>
    <row r="15" spans="2:66" x14ac:dyDescent="0.25">
      <c r="C15" s="13" t="s">
        <v>126</v>
      </c>
      <c r="D15" s="26"/>
      <c r="E15" s="26"/>
      <c r="F15" s="14"/>
      <c r="G15" s="27" t="s">
        <v>127</v>
      </c>
      <c r="H15" s="28"/>
      <c r="I15" s="28"/>
      <c r="J15" s="28"/>
      <c r="K15" s="29"/>
      <c r="BF15" s="1">
        <v>0.72727272727272729</v>
      </c>
      <c r="BG15" t="str">
        <f>"1"</f>
        <v>1</v>
      </c>
      <c r="BH15" t="str">
        <f xml:space="preserve"> IF($BF$15 &gt;= $G$204, "1","0")</f>
        <v>1</v>
      </c>
      <c r="BI15">
        <f xml:space="preserve"> IF( AND( $BG$15 = "1", $BH$15 = "1" ), 1, IF( AND( $BG$15 = "1", $BH$15 = "0" ), 2, IF( AND( $BG$15 = "0", $BH$15 = "1" ), 3, 4 ) ) )</f>
        <v>1</v>
      </c>
      <c r="BK15" s="1">
        <v>1.8947368421052633E-2</v>
      </c>
      <c r="BL15" t="str">
        <f>"0"</f>
        <v>0</v>
      </c>
      <c r="BM15" t="str">
        <f xml:space="preserve"> IF($BK$15 &gt;= $G$281, "1","0")</f>
        <v>0</v>
      </c>
      <c r="BN15">
        <f xml:space="preserve"> IF( AND( $BL$15 = "1", $BM$15 = "1" ), 1, IF( AND( $BL$15 = "1", $BM$15 = "0" ), 2, IF( AND( $BL$15 = "0", $BM$15 = "1" ), 3, 4 ) ) )</f>
        <v>4</v>
      </c>
    </row>
    <row r="16" spans="2:66" x14ac:dyDescent="0.25">
      <c r="C16" s="13" t="s">
        <v>128</v>
      </c>
      <c r="D16" s="26"/>
      <c r="E16" s="26"/>
      <c r="F16" s="14"/>
      <c r="G16" s="27" t="s">
        <v>129</v>
      </c>
      <c r="H16" s="28"/>
      <c r="I16" s="28"/>
      <c r="J16" s="28"/>
      <c r="K16" s="29"/>
      <c r="BF16" s="1">
        <v>0.72727272727272729</v>
      </c>
      <c r="BG16" t="str">
        <f>"1"</f>
        <v>1</v>
      </c>
      <c r="BH16" t="str">
        <f xml:space="preserve"> IF($BF$16 &gt;= $G$204, "1","0")</f>
        <v>1</v>
      </c>
      <c r="BI16">
        <f xml:space="preserve"> IF( AND( $BG$16 = "1", $BH$16 = "1" ), 1, IF( AND( $BG$16 = "1", $BH$16 = "0" ), 2, IF( AND( $BG$16 = "0", $BH$16 = "1" ), 3, 4 ) ) )</f>
        <v>1</v>
      </c>
      <c r="BK16" s="1">
        <v>1</v>
      </c>
      <c r="BL16" t="str">
        <f>"1"</f>
        <v>1</v>
      </c>
      <c r="BM16" t="str">
        <f xml:space="preserve"> IF($BK$16 &gt;= $G$281, "1","0")</f>
        <v>1</v>
      </c>
      <c r="BN16">
        <f xml:space="preserve"> IF( AND( $BL$16 = "1", $BM$16 = "1" ), 1, IF( AND( $BL$16 = "1", $BM$16 = "0" ), 2, IF( AND( $BL$16 = "0", $BM$16 = "1" ), 3, 4 ) ) )</f>
        <v>1</v>
      </c>
    </row>
    <row r="17" spans="3:66" x14ac:dyDescent="0.25">
      <c r="C17" s="13" t="s">
        <v>139</v>
      </c>
      <c r="D17" s="26"/>
      <c r="E17" s="26"/>
      <c r="F17" s="14"/>
      <c r="G17" s="27" t="s">
        <v>140</v>
      </c>
      <c r="H17" s="28"/>
      <c r="I17" s="28"/>
      <c r="J17" s="28"/>
      <c r="K17" s="29"/>
      <c r="BF17" s="1">
        <v>0.79999999999999993</v>
      </c>
      <c r="BG17" t="str">
        <f>"1"</f>
        <v>1</v>
      </c>
      <c r="BH17" t="str">
        <f xml:space="preserve"> IF($BF$17 &gt;= $G$204, "1","0")</f>
        <v>1</v>
      </c>
      <c r="BI17">
        <f xml:space="preserve"> IF( AND( $BG$17 = "1", $BH$17 = "1" ), 1, IF( AND( $BG$17 = "1", $BH$17 = "0" ), 2, IF( AND( $BG$17 = "0", $BH$17 = "1" ), 3, 4 ) ) )</f>
        <v>1</v>
      </c>
      <c r="BK17" s="1">
        <v>0</v>
      </c>
      <c r="BL17" t="str">
        <f>"0"</f>
        <v>0</v>
      </c>
      <c r="BM17" t="str">
        <f xml:space="preserve"> IF($BK$17 &gt;= $G$281, "1","0")</f>
        <v>0</v>
      </c>
      <c r="BN17">
        <f xml:space="preserve"> IF( AND( $BL$17 = "1", $BM$17 = "1" ), 1, IF( AND( $BL$17 = "1", $BM$17 = "0" ), 2, IF( AND( $BL$17 = "0", $BM$17 = "1" ), 3, 4 ) ) )</f>
        <v>4</v>
      </c>
    </row>
    <row r="18" spans="3:66" x14ac:dyDescent="0.25">
      <c r="C18" s="13" t="s">
        <v>141</v>
      </c>
      <c r="D18" s="26"/>
      <c r="E18" s="26"/>
      <c r="F18" s="14"/>
      <c r="G18" s="27" t="b">
        <v>1</v>
      </c>
      <c r="H18" s="28"/>
      <c r="I18" s="28"/>
      <c r="J18" s="28"/>
      <c r="K18" s="29"/>
      <c r="BF18" s="1">
        <v>0.64</v>
      </c>
      <c r="BG18" t="str">
        <f>"1"</f>
        <v>1</v>
      </c>
      <c r="BH18" t="str">
        <f xml:space="preserve"> IF($BF$18 &gt;= $G$204, "1","0")</f>
        <v>1</v>
      </c>
      <c r="BI18">
        <f xml:space="preserve"> IF( AND( $BG$18 = "1", $BH$18 = "1" ), 1, IF( AND( $BG$18 = "1", $BH$18 = "0" ), 2, IF( AND( $BG$18 = "0", $BH$18 = "1" ), 3, 4 ) ) )</f>
        <v>1</v>
      </c>
      <c r="BK18" s="1">
        <v>1.8947368421052633E-2</v>
      </c>
      <c r="BL18" t="str">
        <f>"0"</f>
        <v>0</v>
      </c>
      <c r="BM18" t="str">
        <f xml:space="preserve"> IF($BK$18 &gt;= $G$281, "1","0")</f>
        <v>0</v>
      </c>
      <c r="BN18">
        <f xml:space="preserve"> IF( AND( $BL$18 = "1", $BM$18 = "1" ), 1, IF( AND( $BL$18 = "1", $BM$18 = "0" ), 2, IF( AND( $BL$18 = "0", $BM$18 = "1" ), 3, 4 ) ) )</f>
        <v>4</v>
      </c>
    </row>
    <row r="19" spans="3:66" x14ac:dyDescent="0.25">
      <c r="C19" s="13" t="s">
        <v>142</v>
      </c>
      <c r="D19" s="26"/>
      <c r="E19" s="26"/>
      <c r="F19" s="14"/>
      <c r="G19" s="27">
        <v>12345</v>
      </c>
      <c r="H19" s="28"/>
      <c r="I19" s="28"/>
      <c r="J19" s="28"/>
      <c r="K19" s="29"/>
      <c r="BF19" s="1">
        <v>0.66666666666666663</v>
      </c>
      <c r="BG19" t="str">
        <f>"1"</f>
        <v>1</v>
      </c>
      <c r="BH19" t="str">
        <f xml:space="preserve"> IF($BF$19 &gt;= $G$204, "1","0")</f>
        <v>1</v>
      </c>
      <c r="BI19">
        <f xml:space="preserve"> IF( AND( $BG$19 = "1", $BH$19 = "1" ), 1, IF( AND( $BG$19 = "1", $BH$19 = "0" ), 2, IF( AND( $BG$19 = "0", $BH$19 = "1" ), 3, 4 ) ) )</f>
        <v>1</v>
      </c>
      <c r="BK19" s="1">
        <v>3.333333333333334E-2</v>
      </c>
      <c r="BL19" t="str">
        <f>"0"</f>
        <v>0</v>
      </c>
      <c r="BM19" t="str">
        <f xml:space="preserve"> IF($BK$19 &gt;= $G$281, "1","0")</f>
        <v>0</v>
      </c>
      <c r="BN19">
        <f xml:space="preserve"> IF( AND( $BL$19 = "1", $BM$19 = "1" ), 1, IF( AND( $BL$19 = "1", $BM$19 = "0" ), 2, IF( AND( $BL$19 = "0", $BM$19 = "1" ), 3, 4 ) ) )</f>
        <v>4</v>
      </c>
    </row>
    <row r="20" spans="3:66" x14ac:dyDescent="0.25">
      <c r="C20" s="13" t="s">
        <v>143</v>
      </c>
      <c r="D20" s="26"/>
      <c r="E20" s="26"/>
      <c r="F20" s="14"/>
      <c r="G20" s="27">
        <v>1860</v>
      </c>
      <c r="H20" s="28"/>
      <c r="I20" s="28"/>
      <c r="J20" s="28"/>
      <c r="K20" s="29"/>
      <c r="BF20" s="1">
        <v>0.2608695652173913</v>
      </c>
      <c r="BG20" t="str">
        <f>"1"</f>
        <v>1</v>
      </c>
      <c r="BH20" t="str">
        <f xml:space="preserve"> IF($BF$20 &gt;= $G$204, "1","0")</f>
        <v>1</v>
      </c>
      <c r="BI20">
        <f xml:space="preserve"> IF( AND( $BG$20 = "1", $BH$20 = "1" ), 1, IF( AND( $BG$20 = "1", $BH$20 = "0" ), 2, IF( AND( $BG$20 = "0", $BH$20 = "1" ), 3, 4 ) ) )</f>
        <v>1</v>
      </c>
      <c r="BK20" s="1">
        <v>1</v>
      </c>
      <c r="BL20" t="str">
        <f>"1"</f>
        <v>1</v>
      </c>
      <c r="BM20" t="str">
        <f xml:space="preserve"> IF($BK$20 &gt;= $G$281, "1","0")</f>
        <v>1</v>
      </c>
      <c r="BN20">
        <f xml:space="preserve"> IF( AND( $BL$20 = "1", $BM$20 = "1" ), 1, IF( AND( $BL$20 = "1", $BM$20 = "0" ), 2, IF( AND( $BL$20 = "0", $BM$20 = "1" ), 3, 4 ) ) )</f>
        <v>1</v>
      </c>
    </row>
    <row r="21" spans="3:66" x14ac:dyDescent="0.25">
      <c r="C21" s="13" t="s">
        <v>144</v>
      </c>
      <c r="D21" s="26"/>
      <c r="E21" s="26"/>
      <c r="F21" s="14"/>
      <c r="G21" s="27">
        <v>1240</v>
      </c>
      <c r="H21" s="28"/>
      <c r="I21" s="28"/>
      <c r="J21" s="28"/>
      <c r="K21" s="29"/>
      <c r="BF21" s="1">
        <v>0.37500000000000006</v>
      </c>
      <c r="BG21" t="str">
        <f>"1"</f>
        <v>1</v>
      </c>
      <c r="BH21" t="str">
        <f xml:space="preserve"> IF($BF$21 &gt;= $G$204, "1","0")</f>
        <v>1</v>
      </c>
      <c r="BI21">
        <f xml:space="preserve"> IF( AND( $BG$21 = "1", $BH$21 = "1" ), 1, IF( AND( $BG$21 = "1", $BH$21 = "0" ), 2, IF( AND( $BG$21 = "0", $BH$21 = "1" ), 3, 4 ) ) )</f>
        <v>1</v>
      </c>
      <c r="BK21" s="1">
        <v>1</v>
      </c>
      <c r="BL21" t="str">
        <f>"1"</f>
        <v>1</v>
      </c>
      <c r="BM21" t="str">
        <f xml:space="preserve"> IF($BK$21 &gt;= $G$281, "1","0")</f>
        <v>1</v>
      </c>
      <c r="BN21">
        <f xml:space="preserve"> IF( AND( $BL$21 = "1", $BM$21 = "1" ), 1, IF( AND( $BL$21 = "1", $BM$21 = "0" ), 2, IF( AND( $BL$21 = "0", $BM$21 = "1" ), 3, 4 ) ) )</f>
        <v>1</v>
      </c>
    </row>
    <row r="22" spans="3:66" x14ac:dyDescent="0.25">
      <c r="BF22" s="1">
        <v>0.64</v>
      </c>
      <c r="BG22" t="str">
        <f>"1"</f>
        <v>1</v>
      </c>
      <c r="BH22" t="str">
        <f xml:space="preserve"> IF($BF$22 &gt;= $G$204, "1","0")</f>
        <v>1</v>
      </c>
      <c r="BI22">
        <f xml:space="preserve"> IF( AND( $BG$22 = "1", $BH$22 = "1" ), 1, IF( AND( $BG$22 = "1", $BH$22 = "0" ), 2, IF( AND( $BG$22 = "0", $BH$22 = "1" ), 3, 4 ) ) )</f>
        <v>1</v>
      </c>
      <c r="BK22" s="1">
        <v>1</v>
      </c>
      <c r="BL22" t="str">
        <f>"0"</f>
        <v>0</v>
      </c>
      <c r="BM22" t="str">
        <f xml:space="preserve"> IF($BK$22 &gt;= $G$281, "1","0")</f>
        <v>1</v>
      </c>
      <c r="BN22">
        <f xml:space="preserve"> IF( AND( $BL$22 = "1", $BM$22 = "1" ), 1, IF( AND( $BL$22 = "1", $BM$22 = "0" ), 2, IF( AND( $BL$22 = "0", $BM$22 = "1" ), 3, 4 ) ) )</f>
        <v>3</v>
      </c>
    </row>
    <row r="23" spans="3:66" ht="15.75" x14ac:dyDescent="0.25">
      <c r="C23" s="9" t="s">
        <v>145</v>
      </c>
      <c r="D23" s="10"/>
      <c r="E23" s="10"/>
      <c r="F23" s="10"/>
      <c r="G23" s="10"/>
      <c r="H23" s="10"/>
      <c r="I23" s="10"/>
      <c r="J23" s="10"/>
      <c r="K23" s="10"/>
      <c r="L23" s="11"/>
      <c r="BF23" s="1">
        <v>0.2608695652173913</v>
      </c>
      <c r="BG23" t="str">
        <f>"1"</f>
        <v>1</v>
      </c>
      <c r="BH23" t="str">
        <f xml:space="preserve"> IF($BF$23 &gt;= $G$204, "1","0")</f>
        <v>1</v>
      </c>
      <c r="BI23">
        <f xml:space="preserve"> IF( AND( $BG$23 = "1", $BH$23 = "1" ), 1, IF( AND( $BG$23 = "1", $BH$23 = "0" ), 2, IF( AND( $BG$23 = "0", $BH$23 = "1" ), 3, 4 ) ) )</f>
        <v>1</v>
      </c>
      <c r="BK23" s="1">
        <v>1</v>
      </c>
      <c r="BL23" t="str">
        <f>"1"</f>
        <v>1</v>
      </c>
      <c r="BM23" t="str">
        <f xml:space="preserve"> IF($BK$23 &gt;= $G$281, "1","0")</f>
        <v>1</v>
      </c>
      <c r="BN23">
        <f xml:space="preserve"> IF( AND( $BL$23 = "1", $BM$23 = "1" ), 1, IF( AND( $BL$23 = "1", $BM$23 = "0" ), 2, IF( AND( $BL$23 = "0", $BM$23 = "1" ), 3, 4 ) ) )</f>
        <v>1</v>
      </c>
    </row>
    <row r="24" spans="3:66" x14ac:dyDescent="0.25">
      <c r="C24" s="13" t="s">
        <v>146</v>
      </c>
      <c r="D24" s="14"/>
      <c r="E24" s="27">
        <v>8</v>
      </c>
      <c r="F24" s="28"/>
      <c r="G24" s="28"/>
      <c r="H24" s="28"/>
      <c r="I24" s="28"/>
      <c r="J24" s="28"/>
      <c r="K24" s="28"/>
      <c r="L24" s="29"/>
      <c r="BF24" s="1">
        <v>0.64</v>
      </c>
      <c r="BG24" t="str">
        <f>"1"</f>
        <v>1</v>
      </c>
      <c r="BH24" t="str">
        <f xml:space="preserve"> IF($BF$24 &gt;= $G$204, "1","0")</f>
        <v>1</v>
      </c>
      <c r="BI24">
        <f xml:space="preserve"> IF( AND( $BG$24 = "1", $BH$24 = "1" ), 1, IF( AND( $BG$24 = "1", $BH$24 = "0" ), 2, IF( AND( $BG$24 = "0", $BH$24 = "1" ), 3, 4 ) ) )</f>
        <v>1</v>
      </c>
      <c r="BK24" s="1">
        <v>3.333333333333334E-2</v>
      </c>
      <c r="BL24" t="str">
        <f>"0"</f>
        <v>0</v>
      </c>
      <c r="BM24" t="str">
        <f xml:space="preserve"> IF($BK$24 &gt;= $G$281, "1","0")</f>
        <v>0</v>
      </c>
      <c r="BN24">
        <f xml:space="preserve"> IF( AND( $BL$24 = "1", $BM$24 = "1" ), 1, IF( AND( $BL$24 = "1", $BM$24 = "0" ), 2, IF( AND( $BL$24 = "0", $BM$24 = "1" ), 3, 4 ) ) )</f>
        <v>4</v>
      </c>
    </row>
    <row r="25" spans="3:66" x14ac:dyDescent="0.25">
      <c r="C25" s="13" t="s">
        <v>147</v>
      </c>
      <c r="D25" s="14"/>
      <c r="E25" s="1" t="s">
        <v>0</v>
      </c>
      <c r="F25" s="1" t="s">
        <v>1</v>
      </c>
      <c r="G25" s="1" t="s">
        <v>2</v>
      </c>
      <c r="H25" s="1" t="s">
        <v>3</v>
      </c>
      <c r="I25" s="1" t="s">
        <v>4</v>
      </c>
      <c r="J25" s="1" t="s">
        <v>5</v>
      </c>
      <c r="K25" s="1" t="s">
        <v>6</v>
      </c>
      <c r="L25" s="1" t="s">
        <v>7</v>
      </c>
      <c r="BF25" s="1">
        <v>0.44444444444444448</v>
      </c>
      <c r="BG25" t="str">
        <f>"1"</f>
        <v>1</v>
      </c>
      <c r="BH25" t="str">
        <f xml:space="preserve"> IF($BF$25 &gt;= $G$204, "1","0")</f>
        <v>1</v>
      </c>
      <c r="BI25">
        <f xml:space="preserve"> IF( AND( $BG$25 = "1", $BH$25 = "1" ), 1, IF( AND( $BG$25 = "1", $BH$25 = "0" ), 2, IF( AND( $BG$25 = "0", $BH$25 = "1" ), 3, 4 ) ) )</f>
        <v>1</v>
      </c>
      <c r="BK25" s="1">
        <v>1</v>
      </c>
      <c r="BL25" t="str">
        <f>"1"</f>
        <v>1</v>
      </c>
      <c r="BM25" t="str">
        <f xml:space="preserve"> IF($BK$25 &gt;= $G$281, "1","0")</f>
        <v>1</v>
      </c>
      <c r="BN25">
        <f xml:space="preserve"> IF( AND( $BL$25 = "1", $BM$25 = "1" ), 1, IF( AND( $BL$25 = "1", $BM$25 = "0" ), 2, IF( AND( $BL$25 = "0", $BM$25 = "1" ), 3, 4 ) ) )</f>
        <v>1</v>
      </c>
    </row>
    <row r="26" spans="3:66" x14ac:dyDescent="0.25">
      <c r="C26" s="13" t="s">
        <v>148</v>
      </c>
      <c r="D26" s="14"/>
      <c r="E26" s="7" t="s">
        <v>8</v>
      </c>
      <c r="F26" s="18"/>
      <c r="G26" s="18"/>
      <c r="H26" s="18"/>
      <c r="I26" s="18"/>
      <c r="J26" s="18"/>
      <c r="K26" s="18"/>
      <c r="L26" s="8"/>
      <c r="BF26" s="1">
        <v>0.64</v>
      </c>
      <c r="BG26" t="str">
        <f>"1"</f>
        <v>1</v>
      </c>
      <c r="BH26" t="str">
        <f xml:space="preserve"> IF($BF$26 &gt;= $G$204, "1","0")</f>
        <v>1</v>
      </c>
      <c r="BI26">
        <f xml:space="preserve"> IF( AND( $BG$26 = "1", $BH$26 = "1" ), 1, IF( AND( $BG$26 = "1", $BH$26 = "0" ), 2, IF( AND( $BG$26 = "0", $BH$26 = "1" ), 3, 4 ) ) )</f>
        <v>1</v>
      </c>
      <c r="BK26" s="1">
        <v>1.8947368421052633E-2</v>
      </c>
      <c r="BL26" t="str">
        <f>"0"</f>
        <v>0</v>
      </c>
      <c r="BM26" t="str">
        <f xml:space="preserve"> IF($BK$26 &gt;= $G$281, "1","0")</f>
        <v>0</v>
      </c>
      <c r="BN26">
        <f xml:space="preserve"> IF( AND( $BL$26 = "1", $BM$26 = "1" ), 1, IF( AND( $BL$26 = "1", $BM$26 = "0" ), 2, IF( AND( $BL$26 = "0", $BM$26 = "1" ), 3, 4 ) ) )</f>
        <v>4</v>
      </c>
    </row>
    <row r="27" spans="3:66" x14ac:dyDescent="0.25">
      <c r="BF27" s="1">
        <v>0.64</v>
      </c>
      <c r="BG27" t="str">
        <f>"1"</f>
        <v>1</v>
      </c>
      <c r="BH27" t="str">
        <f xml:space="preserve"> IF($BF$27 &gt;= $G$204, "1","0")</f>
        <v>1</v>
      </c>
      <c r="BI27">
        <f xml:space="preserve"> IF( AND( $BG$27 = "1", $BH$27 = "1" ), 1, IF( AND( $BG$27 = "1", $BH$27 = "0" ), 2, IF( AND( $BG$27 = "0", $BH$27 = "1" ), 3, 4 ) ) )</f>
        <v>1</v>
      </c>
      <c r="BK27" s="1">
        <v>1.8947368421052633E-2</v>
      </c>
      <c r="BL27" t="str">
        <f>"0"</f>
        <v>0</v>
      </c>
      <c r="BM27" t="str">
        <f xml:space="preserve"> IF($BK$27 &gt;= $G$281, "1","0")</f>
        <v>0</v>
      </c>
      <c r="BN27">
        <f xml:space="preserve"> IF( AND( $BL$27 = "1", $BM$27 = "1" ), 1, IF( AND( $BL$27 = "1", $BM$27 = "0" ), 2, IF( AND( $BL$27 = "0", $BM$27 = "1" ), 3, 4 ) ) )</f>
        <v>4</v>
      </c>
    </row>
    <row r="28" spans="3:66" ht="15.75" x14ac:dyDescent="0.25">
      <c r="C28" s="9" t="s">
        <v>149</v>
      </c>
      <c r="D28" s="10"/>
      <c r="E28" s="10"/>
      <c r="F28" s="10"/>
      <c r="G28" s="11"/>
      <c r="BF28" s="1">
        <v>1</v>
      </c>
      <c r="BG28" t="str">
        <f>"1"</f>
        <v>1</v>
      </c>
      <c r="BH28" t="str">
        <f xml:space="preserve"> IF($BF$28 &gt;= $G$204, "1","0")</f>
        <v>1</v>
      </c>
      <c r="BI28">
        <f xml:space="preserve"> IF( AND( $BG$28 = "1", $BH$28 = "1" ), 1, IF( AND( $BG$28 = "1", $BH$28 = "0" ), 2, IF( AND( $BG$28 = "0", $BH$28 = "1" ), 3, 4 ) ) )</f>
        <v>1</v>
      </c>
      <c r="BK28" s="1">
        <v>3.333333333333334E-2</v>
      </c>
      <c r="BL28" t="str">
        <f>"0"</f>
        <v>0</v>
      </c>
      <c r="BM28" t="str">
        <f xml:space="preserve"> IF($BK$28 &gt;= $G$281, "1","0")</f>
        <v>0</v>
      </c>
      <c r="BN28">
        <f xml:space="preserve"> IF( AND( $BL$28 = "1", $BM$28 = "1" ), 1, IF( AND( $BL$28 = "1", $BM$28 = "0" ), 2, IF( AND( $BL$28 = "0", $BM$28 = "1" ), 3, 4 ) ) )</f>
        <v>4</v>
      </c>
    </row>
    <row r="29" spans="3:66" x14ac:dyDescent="0.25">
      <c r="C29" s="13" t="s">
        <v>150</v>
      </c>
      <c r="D29" s="26"/>
      <c r="E29" s="26"/>
      <c r="F29" s="14"/>
      <c r="G29" s="23" t="s">
        <v>151</v>
      </c>
      <c r="BF29" s="1">
        <v>0.2608695652173913</v>
      </c>
      <c r="BG29" t="str">
        <f>"1"</f>
        <v>1</v>
      </c>
      <c r="BH29" t="str">
        <f xml:space="preserve"> IF($BF$29 &gt;= $G$204, "1","0")</f>
        <v>1</v>
      </c>
      <c r="BI29">
        <f xml:space="preserve"> IF( AND( $BG$29 = "1", $BH$29 = "1" ), 1, IF( AND( $BG$29 = "1", $BH$29 = "0" ), 2, IF( AND( $BG$29 = "0", $BH$29 = "1" ), 3, 4 ) ) )</f>
        <v>1</v>
      </c>
      <c r="BK29" s="1">
        <v>0.32</v>
      </c>
      <c r="BL29" t="str">
        <f>"0"</f>
        <v>0</v>
      </c>
      <c r="BM29" t="str">
        <f xml:space="preserve"> IF($BK$29 &gt;= $G$281, "1","0")</f>
        <v>1</v>
      </c>
      <c r="BN29">
        <f xml:space="preserve"> IF( AND( $BL$29 = "1", $BM$29 = "1" ), 1, IF( AND( $BL$29 = "1", $BM$29 = "0" ), 2, IF( AND( $BL$29 = "0", $BM$29 = "1" ), 3, 4 ) ) )</f>
        <v>3</v>
      </c>
    </row>
    <row r="30" spans="3:66" x14ac:dyDescent="0.25">
      <c r="C30" s="13" t="s">
        <v>152</v>
      </c>
      <c r="D30" s="26"/>
      <c r="E30" s="26"/>
      <c r="F30" s="14"/>
      <c r="G30" s="23">
        <v>30</v>
      </c>
      <c r="BF30" s="1">
        <v>0.79999999999999993</v>
      </c>
      <c r="BG30" t="str">
        <f>"1"</f>
        <v>1</v>
      </c>
      <c r="BH30" t="str">
        <f xml:space="preserve"> IF($BF$30 &gt;= $G$204, "1","0")</f>
        <v>1</v>
      </c>
      <c r="BI30">
        <f xml:space="preserve"> IF( AND( $BG$30 = "1", $BH$30 = "1" ), 1, IF( AND( $BG$30 = "1", $BH$30 = "0" ), 2, IF( AND( $BG$30 = "0", $BH$30 = "1" ), 3, 4 ) ) )</f>
        <v>1</v>
      </c>
      <c r="BK30" s="1">
        <v>1.8947368421052633E-2</v>
      </c>
      <c r="BL30" t="str">
        <f>"0"</f>
        <v>0</v>
      </c>
      <c r="BM30" t="str">
        <f xml:space="preserve"> IF($BK$30 &gt;= $G$281, "1","0")</f>
        <v>0</v>
      </c>
      <c r="BN30">
        <f xml:space="preserve"> IF( AND( $BL$30 = "1", $BM$30 = "1" ), 1, IF( AND( $BL$30 = "1", $BM$30 = "0" ), 2, IF( AND( $BL$30 = "0", $BM$30 = "1" ), 3, 4 ) ) )</f>
        <v>4</v>
      </c>
    </row>
    <row r="31" spans="3:66" x14ac:dyDescent="0.25">
      <c r="C31" s="13" t="s">
        <v>153</v>
      </c>
      <c r="D31" s="26"/>
      <c r="E31" s="26"/>
      <c r="F31" s="14"/>
      <c r="G31" s="23" t="s">
        <v>154</v>
      </c>
      <c r="BF31" s="1">
        <v>0.2857142857142857</v>
      </c>
      <c r="BG31" t="str">
        <f>"1"</f>
        <v>1</v>
      </c>
      <c r="BH31" t="str">
        <f xml:space="preserve"> IF($BF$31 &gt;= $G$204, "1","0")</f>
        <v>1</v>
      </c>
      <c r="BI31">
        <f xml:space="preserve"> IF( AND( $BG$31 = "1", $BH$31 = "1" ), 1, IF( AND( $BG$31 = "1", $BH$31 = "0" ), 2, IF( AND( $BG$31 = "0", $BH$31 = "1" ), 3, 4 ) ) )</f>
        <v>1</v>
      </c>
      <c r="BK31" s="1">
        <v>2.5000000000000001E-3</v>
      </c>
      <c r="BL31" t="str">
        <f>"0"</f>
        <v>0</v>
      </c>
      <c r="BM31" t="str">
        <f xml:space="preserve"> IF($BK$31 &gt;= $G$281, "1","0")</f>
        <v>0</v>
      </c>
      <c r="BN31">
        <f xml:space="preserve"> IF( AND( $BL$31 = "1", $BM$31 = "1" ), 1, IF( AND( $BL$31 = "1", $BM$31 = "0" ), 2, IF( AND( $BL$31 = "0", $BM$31 = "1" ), 3, 4 ) ) )</f>
        <v>4</v>
      </c>
    </row>
    <row r="32" spans="3:66" x14ac:dyDescent="0.25">
      <c r="C32" s="13" t="s">
        <v>155</v>
      </c>
      <c r="D32" s="26"/>
      <c r="E32" s="26"/>
      <c r="F32" s="14"/>
      <c r="G32" s="23">
        <v>7</v>
      </c>
      <c r="BF32" s="1">
        <v>0.37500000000000006</v>
      </c>
      <c r="BG32" t="str">
        <f>"1"</f>
        <v>1</v>
      </c>
      <c r="BH32" t="str">
        <f xml:space="preserve"> IF($BF$32 &gt;= $G$204, "1","0")</f>
        <v>1</v>
      </c>
      <c r="BI32">
        <f xml:space="preserve"> IF( AND( $BG$32 = "1", $BH$32 = "1" ), 1, IF( AND( $BG$32 = "1", $BH$32 = "0" ), 2, IF( AND( $BG$32 = "0", $BH$32 = "1" ), 3, 4 ) ) )</f>
        <v>1</v>
      </c>
      <c r="BK32" s="1">
        <v>0.68181818181818188</v>
      </c>
      <c r="BL32" t="str">
        <f>"1"</f>
        <v>1</v>
      </c>
      <c r="BM32" t="str">
        <f xml:space="preserve"> IF($BK$32 &gt;= $G$281, "1","0")</f>
        <v>1</v>
      </c>
      <c r="BN32">
        <f xml:space="preserve"> IF( AND( $BL$32 = "1", $BM$32 = "1" ), 1, IF( AND( $BL$32 = "1", $BM$32 = "0" ), 2, IF( AND( $BL$32 = "0", $BM$32 = "1" ), 3, 4 ) ) )</f>
        <v>1</v>
      </c>
    </row>
    <row r="33" spans="2:66" x14ac:dyDescent="0.25">
      <c r="C33" s="13" t="s">
        <v>156</v>
      </c>
      <c r="D33" s="26"/>
      <c r="E33" s="26"/>
      <c r="F33" s="14"/>
      <c r="G33" s="23" t="s">
        <v>154</v>
      </c>
      <c r="BF33" s="1">
        <v>0.44444444444444448</v>
      </c>
      <c r="BG33" t="str">
        <f>"1"</f>
        <v>1</v>
      </c>
      <c r="BH33" t="str">
        <f xml:space="preserve"> IF($BF$33 &gt;= $G$204, "1","0")</f>
        <v>1</v>
      </c>
      <c r="BI33">
        <f xml:space="preserve"> IF( AND( $BG$33 = "1", $BH$33 = "1" ), 1, IF( AND( $BG$33 = "1", $BH$33 = "0" ), 2, IF( AND( $BG$33 = "0", $BH$33 = "1" ), 3, 4 ) ) )</f>
        <v>1</v>
      </c>
      <c r="BK33" s="1">
        <v>1.8947368421052633E-2</v>
      </c>
      <c r="BL33" t="str">
        <f>"0"</f>
        <v>0</v>
      </c>
      <c r="BM33" t="str">
        <f xml:space="preserve"> IF($BK$33 &gt;= $G$281, "1","0")</f>
        <v>0</v>
      </c>
      <c r="BN33">
        <f xml:space="preserve"> IF( AND( $BL$33 = "1", $BM$33 = "1" ), 1, IF( AND( $BL$33 = "1", $BM$33 = "0" ), 2, IF( AND( $BL$33 = "0", $BM$33 = "1" ), 3, 4 ) ) )</f>
        <v>4</v>
      </c>
    </row>
    <row r="34" spans="2:66" x14ac:dyDescent="0.25">
      <c r="C34" s="13" t="s">
        <v>157</v>
      </c>
      <c r="D34" s="26"/>
      <c r="E34" s="26"/>
      <c r="F34" s="14"/>
      <c r="G34" s="23" t="s">
        <v>154</v>
      </c>
      <c r="BF34" s="1">
        <v>0.64</v>
      </c>
      <c r="BG34" t="str">
        <f>"1"</f>
        <v>1</v>
      </c>
      <c r="BH34" t="str">
        <f xml:space="preserve"> IF($BF$34 &gt;= $G$204, "1","0")</f>
        <v>1</v>
      </c>
      <c r="BI34">
        <f xml:space="preserve"> IF( AND( $BG$34 = "1", $BH$34 = "1" ), 1, IF( AND( $BG$34 = "1", $BH$34 = "0" ), 2, IF( AND( $BG$34 = "0", $BH$34 = "1" ), 3, 4 ) ) )</f>
        <v>1</v>
      </c>
      <c r="BK34" s="1">
        <v>2.5000000000000001E-3</v>
      </c>
      <c r="BL34" t="str">
        <f>"0"</f>
        <v>0</v>
      </c>
      <c r="BM34" t="str">
        <f xml:space="preserve"> IF($BK$34 &gt;= $G$281, "1","0")</f>
        <v>0</v>
      </c>
      <c r="BN34">
        <f xml:space="preserve"> IF( AND( $BL$34 = "1", $BM$34 = "1" ), 1, IF( AND( $BL$34 = "1", $BM$34 = "0" ), 2, IF( AND( $BL$34 = "0", $BM$34 = "1" ), 3, 4 ) ) )</f>
        <v>4</v>
      </c>
    </row>
    <row r="35" spans="2:66" x14ac:dyDescent="0.25">
      <c r="C35" s="13" t="s">
        <v>158</v>
      </c>
      <c r="D35" s="26"/>
      <c r="E35" s="26"/>
      <c r="F35" s="14"/>
      <c r="G35" s="23" t="s">
        <v>151</v>
      </c>
      <c r="BF35" s="1">
        <v>1</v>
      </c>
      <c r="BG35" t="str">
        <f>"1"</f>
        <v>1</v>
      </c>
      <c r="BH35" t="str">
        <f xml:space="preserve"> IF($BF$35 &gt;= $G$204, "1","0")</f>
        <v>1</v>
      </c>
      <c r="BI35">
        <f xml:space="preserve"> IF( AND( $BG$35 = "1", $BH$35 = "1" ), 1, IF( AND( $BG$35 = "1", $BH$35 = "0" ), 2, IF( AND( $BG$35 = "0", $BH$35 = "1" ), 3, 4 ) ) )</f>
        <v>1</v>
      </c>
      <c r="BK35" s="1">
        <v>1</v>
      </c>
      <c r="BL35" t="str">
        <f>"1"</f>
        <v>1</v>
      </c>
      <c r="BM35" t="str">
        <f xml:space="preserve"> IF($BK$35 &gt;= $G$281, "1","0")</f>
        <v>1</v>
      </c>
      <c r="BN35">
        <f xml:space="preserve"> IF( AND( $BL$35 = "1", $BM$35 = "1" ), 1, IF( AND( $BL$35 = "1", $BM$35 = "0" ), 2, IF( AND( $BL$35 = "0", $BM$35 = "1" ), 3, 4 ) ) )</f>
        <v>1</v>
      </c>
    </row>
    <row r="36" spans="2:66" x14ac:dyDescent="0.25">
      <c r="C36" s="13" t="s">
        <v>159</v>
      </c>
      <c r="D36" s="26"/>
      <c r="E36" s="26"/>
      <c r="F36" s="14"/>
      <c r="G36" s="23" t="s">
        <v>151</v>
      </c>
      <c r="BF36" s="1">
        <v>0.44444444444444448</v>
      </c>
      <c r="BG36" t="str">
        <f>"1"</f>
        <v>1</v>
      </c>
      <c r="BH36" t="str">
        <f xml:space="preserve"> IF($BF$36 &gt;= $G$204, "1","0")</f>
        <v>1</v>
      </c>
      <c r="BI36">
        <f xml:space="preserve"> IF( AND( $BG$36 = "1", $BH$36 = "1" ), 1, IF( AND( $BG$36 = "1", $BH$36 = "0" ), 2, IF( AND( $BG$36 = "0", $BH$36 = "1" ), 3, 4 ) ) )</f>
        <v>1</v>
      </c>
      <c r="BK36" s="1">
        <v>1.8947368421052633E-2</v>
      </c>
      <c r="BL36" t="str">
        <f>"0"</f>
        <v>0</v>
      </c>
      <c r="BM36" t="str">
        <f xml:space="preserve"> IF($BK$36 &gt;= $G$281, "1","0")</f>
        <v>0</v>
      </c>
      <c r="BN36">
        <f xml:space="preserve"> IF( AND( $BL$36 = "1", $BM$36 = "1" ), 1, IF( AND( $BL$36 = "1", $BM$36 = "0" ), 2, IF( AND( $BL$36 = "0", $BM$36 = "1" ), 3, 4 ) ) )</f>
        <v>4</v>
      </c>
    </row>
    <row r="37" spans="2:66" x14ac:dyDescent="0.25">
      <c r="BF37" s="1">
        <v>0.72727272727272729</v>
      </c>
      <c r="BG37" t="str">
        <f>"1"</f>
        <v>1</v>
      </c>
      <c r="BH37" t="str">
        <f xml:space="preserve"> IF($BF$37 &gt;= $G$204, "1","0")</f>
        <v>1</v>
      </c>
      <c r="BI37">
        <f xml:space="preserve"> IF( AND( $BG$37 = "1", $BH$37 = "1" ), 1, IF( AND( $BG$37 = "1", $BH$37 = "0" ), 2, IF( AND( $BG$37 = "0", $BH$37 = "1" ), 3, 4 ) ) )</f>
        <v>1</v>
      </c>
      <c r="BK37" s="1">
        <v>1.8947368421052633E-2</v>
      </c>
      <c r="BL37" t="str">
        <f>"0"</f>
        <v>0</v>
      </c>
      <c r="BM37" t="str">
        <f xml:space="preserve"> IF($BK$37 &gt;= $G$281, "1","0")</f>
        <v>0</v>
      </c>
      <c r="BN37">
        <f xml:space="preserve"> IF( AND( $BL$37 = "1", $BM$37 = "1" ), 1, IF( AND( $BL$37 = "1", $BM$37 = "0" ), 2, IF( AND( $BL$37 = "0", $BM$37 = "1" ), 3, 4 ) ) )</f>
        <v>4</v>
      </c>
    </row>
    <row r="38" spans="2:66" ht="15.75" x14ac:dyDescent="0.25">
      <c r="C38" s="9" t="s">
        <v>160</v>
      </c>
      <c r="D38" s="10"/>
      <c r="E38" s="10"/>
      <c r="F38" s="10"/>
      <c r="G38" s="11"/>
      <c r="BF38" s="1">
        <v>0.64</v>
      </c>
      <c r="BG38" t="str">
        <f>"1"</f>
        <v>1</v>
      </c>
      <c r="BH38" t="str">
        <f xml:space="preserve"> IF($BF$38 &gt;= $G$204, "1","0")</f>
        <v>1</v>
      </c>
      <c r="BI38">
        <f xml:space="preserve"> IF( AND( $BG$38 = "1", $BH$38 = "1" ), 1, IF( AND( $BG$38 = "1", $BH$38 = "0" ), 2, IF( AND( $BG$38 = "0", $BH$38 = "1" ), 3, 4 ) ) )</f>
        <v>1</v>
      </c>
      <c r="BK38" s="1">
        <v>0.90476190476190477</v>
      </c>
      <c r="BL38" t="str">
        <f>"1"</f>
        <v>1</v>
      </c>
      <c r="BM38" t="str">
        <f xml:space="preserve"> IF($BK$38 &gt;= $G$281, "1","0")</f>
        <v>1</v>
      </c>
      <c r="BN38">
        <f xml:space="preserve"> IF( AND( $BL$38 = "1", $BM$38 = "1" ), 1, IF( AND( $BL$38 = "1", $BM$38 = "0" ), 2, IF( AND( $BL$38 = "0", $BM$38 = "1" ), 3, 4 ) ) )</f>
        <v>1</v>
      </c>
    </row>
    <row r="39" spans="2:66" x14ac:dyDescent="0.25">
      <c r="C39" s="7" t="s">
        <v>161</v>
      </c>
      <c r="D39" s="18"/>
      <c r="E39" s="18"/>
      <c r="F39" s="18"/>
      <c r="G39" s="8"/>
      <c r="BF39" s="1">
        <v>0.37500000000000006</v>
      </c>
      <c r="BG39" t="str">
        <f>"1"</f>
        <v>1</v>
      </c>
      <c r="BH39" t="str">
        <f xml:space="preserve"> IF($BF$39 &gt;= $G$204, "1","0")</f>
        <v>1</v>
      </c>
      <c r="BI39">
        <f xml:space="preserve"> IF( AND( $BG$39 = "1", $BH$39 = "1" ), 1, IF( AND( $BG$39 = "1", $BH$39 = "0" ), 2, IF( AND( $BG$39 = "0", $BH$39 = "1" ), 3, 4 ) ) )</f>
        <v>1</v>
      </c>
      <c r="BK39" s="1">
        <v>0.83333333333333326</v>
      </c>
      <c r="BL39" t="str">
        <f>"1"</f>
        <v>1</v>
      </c>
      <c r="BM39" t="str">
        <f xml:space="preserve"> IF($BK$39 &gt;= $G$281, "1","0")</f>
        <v>1</v>
      </c>
      <c r="BN39">
        <f xml:space="preserve"> IF( AND( $BL$39 = "1", $BM$39 = "1" ), 1, IF( AND( $BL$39 = "1", $BM$39 = "0" ), 2, IF( AND( $BL$39 = "0", $BM$39 = "1" ), 3, 4 ) ) )</f>
        <v>1</v>
      </c>
    </row>
    <row r="40" spans="2:66" x14ac:dyDescent="0.25">
      <c r="C40" s="7" t="s">
        <v>162</v>
      </c>
      <c r="D40" s="18"/>
      <c r="E40" s="18"/>
      <c r="F40" s="18"/>
      <c r="G40" s="8"/>
      <c r="BF40" s="1">
        <v>0.44444444444444448</v>
      </c>
      <c r="BG40" t="str">
        <f>"1"</f>
        <v>1</v>
      </c>
      <c r="BH40" t="str">
        <f xml:space="preserve"> IF($BF$40 &gt;= $G$204, "1","0")</f>
        <v>1</v>
      </c>
      <c r="BI40">
        <f xml:space="preserve"> IF( AND( $BG$40 = "1", $BH$40 = "1" ), 1, IF( AND( $BG$40 = "1", $BH$40 = "0" ), 2, IF( AND( $BG$40 = "0", $BH$40 = "1" ), 3, 4 ) ) )</f>
        <v>1</v>
      </c>
      <c r="BK40" s="1">
        <v>1.8947368421052633E-2</v>
      </c>
      <c r="BL40" t="str">
        <f>"0"</f>
        <v>0</v>
      </c>
      <c r="BM40" t="str">
        <f xml:space="preserve"> IF($BK$40 &gt;= $G$281, "1","0")</f>
        <v>0</v>
      </c>
      <c r="BN40">
        <f xml:space="preserve"> IF( AND( $BL$40 = "1", $BM$40 = "1" ), 1, IF( AND( $BL$40 = "1", $BM$40 = "0" ), 2, IF( AND( $BL$40 = "0", $BM$40 = "1" ), 3, 4 ) ) )</f>
        <v>4</v>
      </c>
    </row>
    <row r="41" spans="2:66" x14ac:dyDescent="0.25">
      <c r="C41" s="7" t="s">
        <v>163</v>
      </c>
      <c r="D41" s="18"/>
      <c r="E41" s="18"/>
      <c r="F41" s="18"/>
      <c r="G41" s="8"/>
      <c r="BF41" s="1">
        <v>0.64</v>
      </c>
      <c r="BG41" t="str">
        <f>"1"</f>
        <v>1</v>
      </c>
      <c r="BH41" t="str">
        <f xml:space="preserve"> IF($BF$41 &gt;= $G$204, "1","0")</f>
        <v>1</v>
      </c>
      <c r="BI41">
        <f xml:space="preserve"> IF( AND( $BG$41 = "1", $BH$41 = "1" ), 1, IF( AND( $BG$41 = "1", $BH$41 = "0" ), 2, IF( AND( $BG$41 = "0", $BH$41 = "1" ), 3, 4 ) ) )</f>
        <v>1</v>
      </c>
      <c r="BK41" s="1">
        <v>1.8947368421052633E-2</v>
      </c>
      <c r="BL41" t="str">
        <f>"0"</f>
        <v>0</v>
      </c>
      <c r="BM41" t="str">
        <f xml:space="preserve"> IF($BK$41 &gt;= $G$281, "1","0")</f>
        <v>0</v>
      </c>
      <c r="BN41">
        <f xml:space="preserve"> IF( AND( $BL$41 = "1", $BM$41 = "1" ), 1, IF( AND( $BL$41 = "1", $BM$41 = "0" ), 2, IF( AND( $BL$41 = "0", $BM$41 = "1" ), 3, 4 ) ) )</f>
        <v>4</v>
      </c>
    </row>
    <row r="42" spans="2:66" x14ac:dyDescent="0.25">
      <c r="C42" s="7" t="s">
        <v>164</v>
      </c>
      <c r="D42" s="18"/>
      <c r="E42" s="18"/>
      <c r="F42" s="18"/>
      <c r="G42" s="8"/>
      <c r="BF42" s="1">
        <v>0.64</v>
      </c>
      <c r="BG42" t="str">
        <f>"1"</f>
        <v>1</v>
      </c>
      <c r="BH42" t="str">
        <f xml:space="preserve"> IF($BF$42 &gt;= $G$204, "1","0")</f>
        <v>1</v>
      </c>
      <c r="BI42">
        <f xml:space="preserve"> IF( AND( $BG$42 = "1", $BH$42 = "1" ), 1, IF( AND( $BG$42 = "1", $BH$42 = "0" ), 2, IF( AND( $BG$42 = "0", $BH$42 = "1" ), 3, 4 ) ) )</f>
        <v>1</v>
      </c>
      <c r="BK42" s="1">
        <v>0.32</v>
      </c>
      <c r="BL42" t="str">
        <f>"0"</f>
        <v>0</v>
      </c>
      <c r="BM42" t="str">
        <f xml:space="preserve"> IF($BK$42 &gt;= $G$281, "1","0")</f>
        <v>1</v>
      </c>
      <c r="BN42">
        <f xml:space="preserve"> IF( AND( $BL$42 = "1", $BM$42 = "1" ), 1, IF( AND( $BL$42 = "1", $BM$42 = "0" ), 2, IF( AND( $BL$42 = "0", $BM$42 = "1" ), 3, 4 ) ) )</f>
        <v>3</v>
      </c>
    </row>
    <row r="43" spans="2:66" x14ac:dyDescent="0.25">
      <c r="C43" s="7" t="s">
        <v>165</v>
      </c>
      <c r="D43" s="18"/>
      <c r="E43" s="18"/>
      <c r="F43" s="18"/>
      <c r="G43" s="8"/>
      <c r="BF43" s="1">
        <v>0.79999999999999993</v>
      </c>
      <c r="BG43" t="str">
        <f>"1"</f>
        <v>1</v>
      </c>
      <c r="BH43" t="str">
        <f xml:space="preserve"> IF($BF$43 &gt;= $G$204, "1","0")</f>
        <v>1</v>
      </c>
      <c r="BI43">
        <f xml:space="preserve"> IF( AND( $BG$43 = "1", $BH$43 = "1" ), 1, IF( AND( $BG$43 = "1", $BH$43 = "0" ), 2, IF( AND( $BG$43 = "0", $BH$43 = "1" ), 3, 4 ) ) )</f>
        <v>1</v>
      </c>
      <c r="BK43" s="1">
        <v>2.5000000000000001E-3</v>
      </c>
      <c r="BL43" t="str">
        <f>"0"</f>
        <v>0</v>
      </c>
      <c r="BM43" t="str">
        <f xml:space="preserve"> IF($BK$43 &gt;= $G$281, "1","0")</f>
        <v>0</v>
      </c>
      <c r="BN43">
        <f xml:space="preserve"> IF( AND( $BL$43 = "1", $BM$43 = "1" ), 1, IF( AND( $BL$43 = "1", $BM$43 = "0" ), 2, IF( AND( $BL$43 = "0", $BM$43 = "1" ), 3, 4 ) ) )</f>
        <v>4</v>
      </c>
    </row>
    <row r="44" spans="2:66" x14ac:dyDescent="0.25">
      <c r="C44" s="7" t="s">
        <v>166</v>
      </c>
      <c r="D44" s="18"/>
      <c r="E44" s="18"/>
      <c r="F44" s="18"/>
      <c r="G44" s="8"/>
      <c r="BF44" s="1">
        <v>1</v>
      </c>
      <c r="BG44" t="str">
        <f>"1"</f>
        <v>1</v>
      </c>
      <c r="BH44" t="str">
        <f xml:space="preserve"> IF($BF$44 &gt;= $G$204, "1","0")</f>
        <v>1</v>
      </c>
      <c r="BI44">
        <f xml:space="preserve"> IF( AND( $BG$44 = "1", $BH$44 = "1" ), 1, IF( AND( $BG$44 = "1", $BH$44 = "0" ), 2, IF( AND( $BG$44 = "0", $BH$44 = "1" ), 3, 4 ) ) )</f>
        <v>1</v>
      </c>
      <c r="BK44" s="1">
        <v>2.5000000000000001E-3</v>
      </c>
      <c r="BL44" t="str">
        <f>"0"</f>
        <v>0</v>
      </c>
      <c r="BM44" t="str">
        <f xml:space="preserve"> IF($BK$44 &gt;= $G$281, "1","0")</f>
        <v>0</v>
      </c>
      <c r="BN44">
        <f xml:space="preserve"> IF( AND( $BL$44 = "1", $BM$44 = "1" ), 1, IF( AND( $BL$44 = "1", $BM$44 = "0" ), 2, IF( AND( $BL$44 = "0", $BM$44 = "1" ), 3, 4 ) ) )</f>
        <v>4</v>
      </c>
    </row>
    <row r="45" spans="2:66" x14ac:dyDescent="0.25">
      <c r="BF45" s="1">
        <v>0.64</v>
      </c>
      <c r="BG45" t="str">
        <f>"1"</f>
        <v>1</v>
      </c>
      <c r="BH45" t="str">
        <f xml:space="preserve"> IF($BF$45 &gt;= $G$204, "1","0")</f>
        <v>1</v>
      </c>
      <c r="BI45">
        <f xml:space="preserve"> IF( AND( $BG$45 = "1", $BH$45 = "1" ), 1, IF( AND( $BG$45 = "1", $BH$45 = "0" ), 2, IF( AND( $BG$45 = "0", $BH$45 = "1" ), 3, 4 ) ) )</f>
        <v>1</v>
      </c>
      <c r="BK45" s="1">
        <v>1.8947368421052633E-2</v>
      </c>
      <c r="BL45" t="str">
        <f>"0"</f>
        <v>0</v>
      </c>
      <c r="BM45" t="str">
        <f xml:space="preserve"> IF($BK$45 &gt;= $G$281, "1","0")</f>
        <v>0</v>
      </c>
      <c r="BN45">
        <f xml:space="preserve"> IF( AND( $BL$45 = "1", $BM$45 = "1" ), 1, IF( AND( $BL$45 = "1", $BM$45 = "0" ), 2, IF( AND( $BL$45 = "0", $BM$45 = "1" ), 3, 4 ) ) )</f>
        <v>4</v>
      </c>
    </row>
    <row r="46" spans="2:66" ht="18.75" x14ac:dyDescent="0.3">
      <c r="B46" s="22" t="s">
        <v>167</v>
      </c>
      <c r="BF46" s="1">
        <v>0.72727272727272729</v>
      </c>
      <c r="BG46" t="str">
        <f>"1"</f>
        <v>1</v>
      </c>
      <c r="BH46" t="str">
        <f xml:space="preserve"> IF($BF$46 &gt;= $G$204, "1","0")</f>
        <v>1</v>
      </c>
      <c r="BI46">
        <f xml:space="preserve"> IF( AND( $BG$46 = "1", $BH$46 = "1" ), 1, IF( AND( $BG$46 = "1", $BH$46 = "0" ), 2, IF( AND( $BG$46 = "0", $BH$46 = "1" ), 3, 4 ) ) )</f>
        <v>1</v>
      </c>
      <c r="BK46" s="1">
        <v>0.14285714285714288</v>
      </c>
      <c r="BL46" t="str">
        <f>"0"</f>
        <v>0</v>
      </c>
      <c r="BM46" t="str">
        <f xml:space="preserve"> IF($BK$46 &gt;= $G$281, "1","0")</f>
        <v>0</v>
      </c>
      <c r="BN46">
        <f xml:space="preserve"> IF( AND( $BL$46 = "1", $BM$46 = "1" ), 1, IF( AND( $BL$46 = "1", $BM$46 = "0" ), 2, IF( AND( $BL$46 = "0", $BM$46 = "1" ), 3, 4 ) ) )</f>
        <v>4</v>
      </c>
    </row>
    <row r="47" spans="2:66" x14ac:dyDescent="0.25">
      <c r="BF47" s="1">
        <v>0.72727272727272729</v>
      </c>
      <c r="BG47" t="str">
        <f>"1"</f>
        <v>1</v>
      </c>
      <c r="BH47" t="str">
        <f xml:space="preserve"> IF($BF$47 &gt;= $G$204, "1","0")</f>
        <v>1</v>
      </c>
      <c r="BI47">
        <f xml:space="preserve"> IF( AND( $BG$47 = "1", $BH$47 = "1" ), 1, IF( AND( $BG$47 = "1", $BH$47 = "0" ), 2, IF( AND( $BG$47 = "0", $BH$47 = "1" ), 3, 4 ) ) )</f>
        <v>1</v>
      </c>
      <c r="BK47" s="1">
        <v>2.5000000000000001E-3</v>
      </c>
      <c r="BL47" t="str">
        <f>"0"</f>
        <v>0</v>
      </c>
      <c r="BM47" t="str">
        <f xml:space="preserve"> IF($BK$47 &gt;= $G$281, "1","0")</f>
        <v>0</v>
      </c>
      <c r="BN47">
        <f xml:space="preserve"> IF( AND( $BL$47 = "1", $BM$47 = "1" ), 1, IF( AND( $BL$47 = "1", $BM$47 = "0" ), 2, IF( AND( $BL$47 = "0", $BM$47 = "1" ), 3, 4 ) ) )</f>
        <v>4</v>
      </c>
    </row>
    <row r="48" spans="2:66" x14ac:dyDescent="0.25">
      <c r="C48" s="30" t="s">
        <v>168</v>
      </c>
      <c r="D48" s="31"/>
      <c r="E48" s="31"/>
      <c r="F48" s="32"/>
      <c r="BF48" s="1">
        <v>0.72727272727272729</v>
      </c>
      <c r="BG48" t="str">
        <f>"1"</f>
        <v>1</v>
      </c>
      <c r="BH48" t="str">
        <f xml:space="preserve"> IF($BF$48 &gt;= $G$204, "1","0")</f>
        <v>1</v>
      </c>
      <c r="BI48">
        <f xml:space="preserve"> IF( AND( $BG$48 = "1", $BH$48 = "1" ), 1, IF( AND( $BG$48 = "1", $BH$48 = "0" ), 2, IF( AND( $BG$48 = "0", $BH$48 = "1" ), 3, 4 ) ) )</f>
        <v>1</v>
      </c>
      <c r="BK48" s="1">
        <v>2.5000000000000001E-3</v>
      </c>
      <c r="BL48" t="str">
        <f>"0"</f>
        <v>0</v>
      </c>
      <c r="BM48" t="str">
        <f xml:space="preserve"> IF($BK$48 &gt;= $G$281, "1","0")</f>
        <v>0</v>
      </c>
      <c r="BN48">
        <f xml:space="preserve"> IF( AND( $BL$48 = "1", $BM$48 = "1" ), 1, IF( AND( $BL$48 = "1", $BM$48 = "0" ), 2, IF( AND( $BL$48 = "0", $BM$48 = "1" ), 3, 4 ) ) )</f>
        <v>4</v>
      </c>
    </row>
    <row r="49" spans="2:66" x14ac:dyDescent="0.25">
      <c r="BF49" s="1">
        <v>0.72727272727272729</v>
      </c>
      <c r="BG49" t="str">
        <f>"1"</f>
        <v>1</v>
      </c>
      <c r="BH49" t="str">
        <f xml:space="preserve"> IF($BF$49 &gt;= $G$204, "1","0")</f>
        <v>1</v>
      </c>
      <c r="BI49">
        <f xml:space="preserve"> IF( AND( $BG$49 = "1", $BH$49 = "1" ), 1, IF( AND( $BG$49 = "1", $BH$49 = "0" ), 2, IF( AND( $BG$49 = "0", $BH$49 = "1" ), 3, 4 ) ) )</f>
        <v>1</v>
      </c>
      <c r="BK49" s="1">
        <v>2.5000000000000001E-3</v>
      </c>
      <c r="BL49" t="str">
        <f>"0"</f>
        <v>0</v>
      </c>
      <c r="BM49" t="str">
        <f xml:space="preserve"> IF($BK$49 &gt;= $G$281, "1","0")</f>
        <v>0</v>
      </c>
      <c r="BN49">
        <f xml:space="preserve"> IF( AND( $BL$49 = "1", $BM$49 = "1" ), 1, IF( AND( $BL$49 = "1", $BM$49 = "0" ), 2, IF( AND( $BL$49 = "0", $BM$49 = "1" ), 3, 4 ) ) )</f>
        <v>4</v>
      </c>
    </row>
    <row r="50" spans="2:66" x14ac:dyDescent="0.25">
      <c r="C50" s="2" t="s">
        <v>13</v>
      </c>
      <c r="D50" s="2" t="s">
        <v>169</v>
      </c>
      <c r="BF50" s="1">
        <v>0.52941176470588236</v>
      </c>
      <c r="BG50" t="str">
        <f>"1"</f>
        <v>1</v>
      </c>
      <c r="BH50" t="str">
        <f xml:space="preserve"> IF($BF$50 &gt;= $G$204, "1","0")</f>
        <v>1</v>
      </c>
      <c r="BI50">
        <f xml:space="preserve"> IF( AND( $BG$50 = "1", $BH$50 = "1" ), 1, IF( AND( $BG$50 = "1", $BH$50 = "0" ), 2, IF( AND( $BG$50 = "0", $BH$50 = "1" ), 3, 4 ) ) )</f>
        <v>1</v>
      </c>
      <c r="BK50" s="1">
        <v>2.5000000000000001E-3</v>
      </c>
      <c r="BL50" t="str">
        <f>"0"</f>
        <v>0</v>
      </c>
      <c r="BM50" t="str">
        <f xml:space="preserve"> IF($BK$50 &gt;= $G$281, "1","0")</f>
        <v>0</v>
      </c>
      <c r="BN50">
        <f xml:space="preserve"> IF( AND( $BL$50 = "1", $BM$50 = "1" ), 1, IF( AND( $BL$50 = "1", $BM$50 = "0" ), 2, IF( AND( $BL$50 = "0", $BM$50 = "1" ), 3, 4 ) ) )</f>
        <v>4</v>
      </c>
    </row>
    <row r="51" spans="2:66" x14ac:dyDescent="0.25">
      <c r="C51" s="3">
        <v>0</v>
      </c>
      <c r="D51" s="1">
        <v>0.717741935483871</v>
      </c>
      <c r="BF51" s="1">
        <v>1</v>
      </c>
      <c r="BG51" t="str">
        <f>"1"</f>
        <v>1</v>
      </c>
      <c r="BH51" t="str">
        <f xml:space="preserve"> IF($BF$51 &gt;= $G$204, "1","0")</f>
        <v>1</v>
      </c>
      <c r="BI51">
        <f xml:space="preserve"> IF( AND( $BG$51 = "1", $BH$51 = "1" ), 1, IF( AND( $BG$51 = "1", $BH$51 = "0" ), 2, IF( AND( $BG$51 = "0", $BH$51 = "1" ), 3, 4 ) ) )</f>
        <v>1</v>
      </c>
      <c r="BK51" s="1">
        <v>2.5000000000000001E-3</v>
      </c>
      <c r="BL51" t="str">
        <f>"0"</f>
        <v>0</v>
      </c>
      <c r="BM51" t="str">
        <f xml:space="preserve"> IF($BK$51 &gt;= $G$281, "1","0")</f>
        <v>0</v>
      </c>
      <c r="BN51">
        <f xml:space="preserve"> IF( AND( $BL$51 = "1", $BM$51 = "1" ), 1, IF( AND( $BL$51 = "1", $BM$51 = "0" ), 2, IF( AND( $BL$51 = "0", $BM$51 = "1" ), 3, 4 ) ) )</f>
        <v>4</v>
      </c>
    </row>
    <row r="52" spans="2:66" x14ac:dyDescent="0.25">
      <c r="C52" s="3">
        <v>1</v>
      </c>
      <c r="D52" s="1">
        <v>0.28225806451612906</v>
      </c>
      <c r="E52" s="13" t="s">
        <v>170</v>
      </c>
      <c r="F52" s="14"/>
      <c r="BF52" s="1">
        <v>0.44444444444444448</v>
      </c>
      <c r="BG52" t="str">
        <f>"1"</f>
        <v>1</v>
      </c>
      <c r="BH52" t="str">
        <f xml:space="preserve"> IF($BF$52 &gt;= $G$204, "1","0")</f>
        <v>1</v>
      </c>
      <c r="BI52">
        <f xml:space="preserve"> IF( AND( $BG$52 = "1", $BH$52 = "1" ), 1, IF( AND( $BG$52 = "1", $BH$52 = "0" ), 2, IF( AND( $BG$52 = "0", $BH$52 = "1" ), 3, 4 ) ) )</f>
        <v>1</v>
      </c>
      <c r="BK52" s="1">
        <v>2.5000000000000001E-3</v>
      </c>
      <c r="BL52" t="str">
        <f>"0"</f>
        <v>0</v>
      </c>
      <c r="BM52" t="str">
        <f xml:space="preserve"> IF($BK$52 &gt;= $G$281, "1","0")</f>
        <v>0</v>
      </c>
      <c r="BN52">
        <f xml:space="preserve"> IF( AND( $BL$52 = "1", $BM$52 = "1" ), 1, IF( AND( $BL$52 = "1", $BM$52 = "0" ), 2, IF( AND( $BL$52 = "0", $BM$52 = "1" ), 3, 4 ) ) )</f>
        <v>4</v>
      </c>
    </row>
    <row r="53" spans="2:66" x14ac:dyDescent="0.25">
      <c r="BF53" s="1">
        <v>0.52941176470588236</v>
      </c>
      <c r="BG53" t="str">
        <f>"1"</f>
        <v>1</v>
      </c>
      <c r="BH53" t="str">
        <f xml:space="preserve"> IF($BF$53 &gt;= $G$204, "1","0")</f>
        <v>1</v>
      </c>
      <c r="BI53">
        <f xml:space="preserve"> IF( AND( $BG$53 = "1", $BH$53 = "1" ), 1, IF( AND( $BG$53 = "1", $BH$53 = "0" ), 2, IF( AND( $BG$53 = "0", $BH$53 = "1" ), 3, 4 ) ) )</f>
        <v>1</v>
      </c>
      <c r="BK53" s="1">
        <v>3.333333333333334E-2</v>
      </c>
      <c r="BL53" t="str">
        <f>"0"</f>
        <v>0</v>
      </c>
      <c r="BM53" t="str">
        <f xml:space="preserve"> IF($BK$53 &gt;= $G$281, "1","0")</f>
        <v>0</v>
      </c>
      <c r="BN53">
        <f xml:space="preserve"> IF( AND( $BL$53 = "1", $BM$53 = "1" ), 1, IF( AND( $BL$53 = "1", $BM$53 = "0" ), 2, IF( AND( $BL$53 = "0", $BM$53 = "1" ), 3, 4 ) ) )</f>
        <v>4</v>
      </c>
    </row>
    <row r="54" spans="2:66" ht="18.75" x14ac:dyDescent="0.3">
      <c r="B54" s="22" t="s">
        <v>171</v>
      </c>
      <c r="BF54" s="1">
        <v>0.52941176470588236</v>
      </c>
      <c r="BG54" t="str">
        <f>"1"</f>
        <v>1</v>
      </c>
      <c r="BH54" t="str">
        <f xml:space="preserve"> IF($BF$54 &gt;= $G$204, "1","0")</f>
        <v>1</v>
      </c>
      <c r="BI54">
        <f xml:space="preserve"> IF( AND( $BG$54 = "1", $BH$54 = "1" ), 1, IF( AND( $BG$54 = "1", $BH$54 = "0" ), 2, IF( AND( $BG$54 = "0", $BH$54 = "1" ), 3, 4 ) ) )</f>
        <v>1</v>
      </c>
      <c r="BK54" s="1">
        <v>0.37500000000000006</v>
      </c>
      <c r="BL54" t="str">
        <f>"0"</f>
        <v>0</v>
      </c>
      <c r="BM54" t="str">
        <f xml:space="preserve"> IF($BK$54 &gt;= $G$281, "1","0")</f>
        <v>1</v>
      </c>
      <c r="BN54">
        <f xml:space="preserve"> IF( AND( $BL$54 = "1", $BM$54 = "1" ), 1, IF( AND( $BL$54 = "1", $BM$54 = "0" ), 2, IF( AND( $BL$54 = "0", $BM$54 = "1" ), 3, 4 ) ) )</f>
        <v>3</v>
      </c>
    </row>
    <row r="55" spans="2:66" x14ac:dyDescent="0.25">
      <c r="BF55" s="1">
        <v>0.64</v>
      </c>
      <c r="BG55" t="str">
        <f>"1"</f>
        <v>1</v>
      </c>
      <c r="BH55" t="str">
        <f xml:space="preserve"> IF($BF$55 &gt;= $G$204, "1","0")</f>
        <v>1</v>
      </c>
      <c r="BI55">
        <f xml:space="preserve"> IF( AND( $BG$55 = "1", $BH$55 = "1" ), 1, IF( AND( $BG$55 = "1", $BH$55 = "0" ), 2, IF( AND( $BG$55 = "0", $BH$55 = "1" ), 3, 4 ) ) )</f>
        <v>1</v>
      </c>
      <c r="BK55" s="1">
        <v>2.5000000000000001E-3</v>
      </c>
      <c r="BL55" t="str">
        <f>"0"</f>
        <v>0</v>
      </c>
      <c r="BM55" t="str">
        <f xml:space="preserve"> IF($BK$55 &gt;= $G$281, "1","0")</f>
        <v>0</v>
      </c>
      <c r="BN55">
        <f xml:space="preserve"> IF( AND( $BL$55 = "1", $BM$55 = "1" ), 1, IF( AND( $BL$55 = "1", $BM$55 = "0" ), 2, IF( AND( $BL$55 = "0", $BM$55 = "1" ), 3, 4 ) ) )</f>
        <v>4</v>
      </c>
    </row>
    <row r="56" spans="2:66" x14ac:dyDescent="0.25">
      <c r="C56" s="2" t="s">
        <v>120</v>
      </c>
      <c r="D56" s="2" t="s">
        <v>121</v>
      </c>
      <c r="BF56" s="1">
        <v>0.39999999999999997</v>
      </c>
      <c r="BG56" t="str">
        <f>"1"</f>
        <v>1</v>
      </c>
      <c r="BH56" t="str">
        <f xml:space="preserve"> IF($BF$56 &gt;= $G$204, "1","0")</f>
        <v>1</v>
      </c>
      <c r="BI56">
        <f xml:space="preserve"> IF( AND( $BG$56 = "1", $BH$56 = "1" ), 1, IF( AND( $BG$56 = "1", $BH$56 = "0" ), 2, IF( AND( $BG$56 = "0", $BH$56 = "1" ), 3, 4 ) ) )</f>
        <v>1</v>
      </c>
      <c r="BK56" s="1">
        <v>1.8947368421052633E-2</v>
      </c>
      <c r="BL56" t="str">
        <f>"0"</f>
        <v>0</v>
      </c>
      <c r="BM56" t="str">
        <f xml:space="preserve"> IF($BK$56 &gt;= $G$281, "1","0")</f>
        <v>0</v>
      </c>
      <c r="BN56">
        <f xml:space="preserve"> IF( AND( $BL$56 = "1", $BM$56 = "1" ), 1, IF( AND( $BL$56 = "1", $BM$56 = "0" ), 2, IF( AND( $BL$56 = "0", $BM$56 = "1" ), 3, 4 ) ) )</f>
        <v>4</v>
      </c>
    </row>
    <row r="57" spans="2:66" x14ac:dyDescent="0.25">
      <c r="C57" s="3">
        <v>0</v>
      </c>
      <c r="D57" s="1">
        <v>28.2258064516129</v>
      </c>
      <c r="BF57" s="1">
        <v>1</v>
      </c>
      <c r="BG57" t="str">
        <f>"1"</f>
        <v>1</v>
      </c>
      <c r="BH57" t="str">
        <f xml:space="preserve"> IF($BF$57 &gt;= $G$204, "1","0")</f>
        <v>1</v>
      </c>
      <c r="BI57">
        <f xml:space="preserve"> IF( AND( $BG$57 = "1", $BH$57 = "1" ), 1, IF( AND( $BG$57 = "1", $BH$57 = "0" ), 2, IF( AND( $BG$57 = "0", $BH$57 = "1" ), 3, 4 ) ) )</f>
        <v>1</v>
      </c>
      <c r="BK57" s="1">
        <v>2.5000000000000001E-3</v>
      </c>
      <c r="BL57" t="str">
        <f>"0"</f>
        <v>0</v>
      </c>
      <c r="BM57" t="str">
        <f xml:space="preserve"> IF($BK$57 &gt;= $G$281, "1","0")</f>
        <v>0</v>
      </c>
      <c r="BN57">
        <f xml:space="preserve"> IF( AND( $BL$57 = "1", $BM$57 = "1" ), 1, IF( AND( $BL$57 = "1", $BM$57 = "0" ), 2, IF( AND( $BL$57 = "0", $BM$57 = "1" ), 3, 4 ) ) )</f>
        <v>4</v>
      </c>
    </row>
    <row r="58" spans="2:66" x14ac:dyDescent="0.25">
      <c r="C58" s="3">
        <v>1</v>
      </c>
      <c r="D58" s="1">
        <v>11.18279569892473</v>
      </c>
      <c r="BF58" s="1">
        <v>0.52941176470588236</v>
      </c>
      <c r="BG58" t="str">
        <f>"1"</f>
        <v>1</v>
      </c>
      <c r="BH58" t="str">
        <f xml:space="preserve"> IF($BF$58 &gt;= $G$204, "1","0")</f>
        <v>1</v>
      </c>
      <c r="BI58">
        <f xml:space="preserve"> IF( AND( $BG$58 = "1", $BH$58 = "1" ), 1, IF( AND( $BG$58 = "1", $BH$58 = "0" ), 2, IF( AND( $BG$58 = "0", $BH$58 = "1" ), 3, 4 ) ) )</f>
        <v>1</v>
      </c>
      <c r="BK58" s="1">
        <v>2.5000000000000001E-3</v>
      </c>
      <c r="BL58" t="str">
        <f>"0"</f>
        <v>0</v>
      </c>
      <c r="BM58" t="str">
        <f xml:space="preserve"> IF($BK$58 &gt;= $G$281, "1","0")</f>
        <v>0</v>
      </c>
      <c r="BN58">
        <f xml:space="preserve"> IF( AND( $BL$58 = "1", $BM$58 = "1" ), 1, IF( AND( $BL$58 = "1", $BM$58 = "0" ), 2, IF( AND( $BL$58 = "0", $BM$58 = "1" ), 3, 4 ) ) )</f>
        <v>4</v>
      </c>
    </row>
    <row r="59" spans="2:66" x14ac:dyDescent="0.25">
      <c r="C59" s="3">
        <v>2</v>
      </c>
      <c r="D59" s="1">
        <v>11.182795698924727</v>
      </c>
      <c r="BF59" s="1">
        <v>1</v>
      </c>
      <c r="BG59" t="str">
        <f>"1"</f>
        <v>1</v>
      </c>
      <c r="BH59" t="str">
        <f xml:space="preserve"> IF($BF$59 &gt;= $G$204, "1","0")</f>
        <v>1</v>
      </c>
      <c r="BI59">
        <f xml:space="preserve"> IF( AND( $BG$59 = "1", $BH$59 = "1" ), 1, IF( AND( $BG$59 = "1", $BH$59 = "0" ), 2, IF( AND( $BG$59 = "0", $BH$59 = "1" ), 3, 4 ) ) )</f>
        <v>1</v>
      </c>
      <c r="BK59" s="1">
        <v>0.14285714285714285</v>
      </c>
      <c r="BL59" t="str">
        <f>"0"</f>
        <v>0</v>
      </c>
      <c r="BM59" t="str">
        <f xml:space="preserve"> IF($BK$59 &gt;= $G$281, "1","0")</f>
        <v>0</v>
      </c>
      <c r="BN59">
        <f xml:space="preserve"> IF( AND( $BL$59 = "1", $BM$59 = "1" ), 1, IF( AND( $BL$59 = "1", $BM$59 = "0" ), 2, IF( AND( $BL$59 = "0", $BM$59 = "1" ), 3, 4 ) ) )</f>
        <v>4</v>
      </c>
    </row>
    <row r="60" spans="2:66" x14ac:dyDescent="0.25">
      <c r="C60" s="3">
        <v>3</v>
      </c>
      <c r="D60" s="1">
        <v>10.913978494623652</v>
      </c>
      <c r="BF60" s="1">
        <v>0.39999999999999997</v>
      </c>
      <c r="BG60" t="str">
        <f>"1"</f>
        <v>1</v>
      </c>
      <c r="BH60" t="str">
        <f xml:space="preserve"> IF($BF$60 &gt;= $G$204, "1","0")</f>
        <v>1</v>
      </c>
      <c r="BI60">
        <f xml:space="preserve"> IF( AND( $BG$60 = "1", $BH$60 = "1" ), 1, IF( AND( $BG$60 = "1", $BH$60 = "0" ), 2, IF( AND( $BG$60 = "0", $BH$60 = "1" ), 3, 4 ) ) )</f>
        <v>1</v>
      </c>
      <c r="BK60" s="1">
        <v>0.37500000000000006</v>
      </c>
      <c r="BL60" t="str">
        <f>"0"</f>
        <v>0</v>
      </c>
      <c r="BM60" t="str">
        <f xml:space="preserve"> IF($BK$60 &gt;= $G$281, "1","0")</f>
        <v>1</v>
      </c>
      <c r="BN60">
        <f xml:space="preserve"> IF( AND( $BL$60 = "1", $BM$60 = "1" ), 1, IF( AND( $BL$60 = "1", $BM$60 = "0" ), 2, IF( AND( $BL$60 = "0", $BM$60 = "1" ), 3, 4 ) ) )</f>
        <v>3</v>
      </c>
    </row>
    <row r="61" spans="2:66" x14ac:dyDescent="0.25">
      <c r="C61" s="3">
        <v>4</v>
      </c>
      <c r="D61" s="1">
        <v>10.483870967741932</v>
      </c>
      <c r="BF61" s="1">
        <v>0.44444444444444448</v>
      </c>
      <c r="BG61" t="str">
        <f>"1"</f>
        <v>1</v>
      </c>
      <c r="BH61" t="str">
        <f xml:space="preserve"> IF($BF$61 &gt;= $G$204, "1","0")</f>
        <v>1</v>
      </c>
      <c r="BI61">
        <f xml:space="preserve"> IF( AND( $BG$61 = "1", $BH$61 = "1" ), 1, IF( AND( $BG$61 = "1", $BH$61 = "0" ), 2, IF( AND( $BG$61 = "0", $BH$61 = "1" ), 3, 4 ) ) )</f>
        <v>1</v>
      </c>
      <c r="BK61" s="1">
        <v>0.37500000000000006</v>
      </c>
      <c r="BL61" t="str">
        <f>"1"</f>
        <v>1</v>
      </c>
      <c r="BM61" t="str">
        <f xml:space="preserve"> IF($BK$61 &gt;= $G$281, "1","0")</f>
        <v>1</v>
      </c>
      <c r="BN61">
        <f xml:space="preserve"> IF( AND( $BL$61 = "1", $BM$61 = "1" ), 1, IF( AND( $BL$61 = "1", $BM$61 = "0" ), 2, IF( AND( $BL$61 = "0", $BM$61 = "1" ), 3, 4 ) ) )</f>
        <v>1</v>
      </c>
    </row>
    <row r="62" spans="2:66" x14ac:dyDescent="0.25">
      <c r="C62" s="3">
        <v>5</v>
      </c>
      <c r="D62" s="1">
        <v>10.483870967741938</v>
      </c>
      <c r="BF62" s="1">
        <v>0.64</v>
      </c>
      <c r="BG62" t="str">
        <f>"1"</f>
        <v>1</v>
      </c>
      <c r="BH62" t="str">
        <f xml:space="preserve"> IF($BF$62 &gt;= $G$204, "1","0")</f>
        <v>1</v>
      </c>
      <c r="BI62">
        <f xml:space="preserve"> IF( AND( $BG$62 = "1", $BH$62 = "1" ), 1, IF( AND( $BG$62 = "1", $BH$62 = "0" ), 2, IF( AND( $BG$62 = "0", $BH$62 = "1" ), 3, 4 ) ) )</f>
        <v>1</v>
      </c>
      <c r="BK62" s="1">
        <v>1.8947368421052633E-2</v>
      </c>
      <c r="BL62" t="str">
        <f>"0"</f>
        <v>0</v>
      </c>
      <c r="BM62" t="str">
        <f xml:space="preserve"> IF($BK$62 &gt;= $G$281, "1","0")</f>
        <v>0</v>
      </c>
      <c r="BN62">
        <f xml:space="preserve"> IF( AND( $BL$62 = "1", $BM$62 = "1" ), 1, IF( AND( $BL$62 = "1", $BM$62 = "0" ), 2, IF( AND( $BL$62 = "0", $BM$62 = "1" ), 3, 4 ) ) )</f>
        <v>4</v>
      </c>
    </row>
    <row r="63" spans="2:66" x14ac:dyDescent="0.25">
      <c r="C63" s="3">
        <v>6</v>
      </c>
      <c r="D63" s="1">
        <v>10.483870967741938</v>
      </c>
      <c r="BF63" s="1">
        <v>0.79999999999999993</v>
      </c>
      <c r="BG63" t="str">
        <f>"1"</f>
        <v>1</v>
      </c>
      <c r="BH63" t="str">
        <f xml:space="preserve"> IF($BF$63 &gt;= $G$204, "1","0")</f>
        <v>1</v>
      </c>
      <c r="BI63">
        <f xml:space="preserve"> IF( AND( $BG$63 = "1", $BH$63 = "1" ), 1, IF( AND( $BG$63 = "1", $BH$63 = "0" ), 2, IF( AND( $BG$63 = "0", $BH$63 = "1" ), 3, 4 ) ) )</f>
        <v>1</v>
      </c>
      <c r="BK63" s="1">
        <v>0.2857142857142857</v>
      </c>
      <c r="BL63" t="str">
        <f>"0"</f>
        <v>0</v>
      </c>
      <c r="BM63" t="str">
        <f xml:space="preserve"> IF($BK$63 &gt;= $G$281, "1","0")</f>
        <v>1</v>
      </c>
      <c r="BN63">
        <f xml:space="preserve"> IF( AND( $BL$63 = "1", $BM$63 = "1" ), 1, IF( AND( $BL$63 = "1", $BM$63 = "0" ), 2, IF( AND( $BL$63 = "0", $BM$63 = "1" ), 3, 4 ) ) )</f>
        <v>3</v>
      </c>
    </row>
    <row r="64" spans="2:66" x14ac:dyDescent="0.25">
      <c r="C64" s="3">
        <v>7</v>
      </c>
      <c r="D64" s="1">
        <v>9.5698924731182764</v>
      </c>
      <c r="BF64" s="1">
        <v>0.79999999999999993</v>
      </c>
      <c r="BG64" t="str">
        <f>"1"</f>
        <v>1</v>
      </c>
      <c r="BH64" t="str">
        <f xml:space="preserve"> IF($BF$64 &gt;= $G$204, "1","0")</f>
        <v>1</v>
      </c>
      <c r="BI64">
        <f xml:space="preserve"> IF( AND( $BG$64 = "1", $BH$64 = "1" ), 1, IF( AND( $BG$64 = "1", $BH$64 = "0" ), 2, IF( AND( $BG$64 = "0", $BH$64 = "1" ), 3, 4 ) ) )</f>
        <v>1</v>
      </c>
      <c r="BK64" s="1">
        <v>0.14285714285714285</v>
      </c>
      <c r="BL64" t="str">
        <f>"0"</f>
        <v>0</v>
      </c>
      <c r="BM64" t="str">
        <f xml:space="preserve"> IF($BK$64 &gt;= $G$281, "1","0")</f>
        <v>0</v>
      </c>
      <c r="BN64">
        <f xml:space="preserve"> IF( AND( $BL$64 = "1", $BM$64 = "1" ), 1, IF( AND( $BL$64 = "1", $BM$64 = "0" ), 2, IF( AND( $BL$64 = "0", $BM$64 = "1" ), 3, 4 ) ) )</f>
        <v>4</v>
      </c>
    </row>
    <row r="65" spans="3:66" x14ac:dyDescent="0.25">
      <c r="C65" s="3">
        <v>8</v>
      </c>
      <c r="D65" s="1">
        <v>9.5698924731182764</v>
      </c>
      <c r="BF65" s="1">
        <v>0.39999999999999997</v>
      </c>
      <c r="BG65" t="str">
        <f>"1"</f>
        <v>1</v>
      </c>
      <c r="BH65" t="str">
        <f xml:space="preserve"> IF($BF$65 &gt;= $G$204, "1","0")</f>
        <v>1</v>
      </c>
      <c r="BI65">
        <f xml:space="preserve"> IF( AND( $BG$65 = "1", $BH$65 = "1" ), 1, IF( AND( $BG$65 = "1", $BH$65 = "0" ), 2, IF( AND( $BG$65 = "0", $BH$65 = "1" ), 3, 4 ) ) )</f>
        <v>1</v>
      </c>
      <c r="BK65" s="1">
        <v>2.5000000000000001E-3</v>
      </c>
      <c r="BL65" t="str">
        <f>"0"</f>
        <v>0</v>
      </c>
      <c r="BM65" t="str">
        <f xml:space="preserve"> IF($BK$65 &gt;= $G$281, "1","0")</f>
        <v>0</v>
      </c>
      <c r="BN65">
        <f xml:space="preserve"> IF( AND( $BL$65 = "1", $BM$65 = "1" ), 1, IF( AND( $BL$65 = "1", $BM$65 = "0" ), 2, IF( AND( $BL$65 = "0", $BM$65 = "1" ), 3, 4 ) ) )</f>
        <v>4</v>
      </c>
    </row>
    <row r="66" spans="3:66" x14ac:dyDescent="0.25">
      <c r="C66" s="3">
        <v>9</v>
      </c>
      <c r="D66" s="1">
        <v>9.4623655913978464</v>
      </c>
      <c r="BF66" s="1">
        <v>0.52941176470588236</v>
      </c>
      <c r="BG66" t="str">
        <f>"1"</f>
        <v>1</v>
      </c>
      <c r="BH66" t="str">
        <f xml:space="preserve"> IF($BF$66 &gt;= $G$204, "1","0")</f>
        <v>1</v>
      </c>
      <c r="BI66">
        <f xml:space="preserve"> IF( AND( $BG$66 = "1", $BH$66 = "1" ), 1, IF( AND( $BG$66 = "1", $BH$66 = "0" ), 2, IF( AND( $BG$66 = "0", $BH$66 = "1" ), 3, 4 ) ) )</f>
        <v>1</v>
      </c>
      <c r="BK66" s="1">
        <v>1.8947368421052633E-2</v>
      </c>
      <c r="BL66" t="str">
        <f>"0"</f>
        <v>0</v>
      </c>
      <c r="BM66" t="str">
        <f xml:space="preserve"> IF($BK$66 &gt;= $G$281, "1","0")</f>
        <v>0</v>
      </c>
      <c r="BN66">
        <f xml:space="preserve"> IF( AND( $BL$66 = "1", $BM$66 = "1" ), 1, IF( AND( $BL$66 = "1", $BM$66 = "0" ), 2, IF( AND( $BL$66 = "0", $BM$66 = "1" ), 3, 4 ) ) )</f>
        <v>4</v>
      </c>
    </row>
    <row r="67" spans="3:66" x14ac:dyDescent="0.25">
      <c r="C67" s="3">
        <v>10</v>
      </c>
      <c r="D67" s="1">
        <v>9.1397849462365546</v>
      </c>
      <c r="BF67" s="1">
        <v>0.64</v>
      </c>
      <c r="BG67" t="str">
        <f>"1"</f>
        <v>1</v>
      </c>
      <c r="BH67" t="str">
        <f xml:space="preserve"> IF($BF$67 &gt;= $G$204, "1","0")</f>
        <v>1</v>
      </c>
      <c r="BI67">
        <f xml:space="preserve"> IF( AND( $BG$67 = "1", $BH$67 = "1" ), 1, IF( AND( $BG$67 = "1", $BH$67 = "0" ), 2, IF( AND( $BG$67 = "0", $BH$67 = "1" ), 3, 4 ) ) )</f>
        <v>1</v>
      </c>
      <c r="BK67" s="1">
        <v>1.8947368421052633E-2</v>
      </c>
      <c r="BL67" t="str">
        <f>"0"</f>
        <v>0</v>
      </c>
      <c r="BM67" t="str">
        <f xml:space="preserve"> IF($BK$67 &gt;= $G$281, "1","0")</f>
        <v>0</v>
      </c>
      <c r="BN67">
        <f xml:space="preserve"> IF( AND( $BL$67 = "1", $BM$67 = "1" ), 1, IF( AND( $BL$67 = "1", $BM$67 = "0" ), 2, IF( AND( $BL$67 = "0", $BM$67 = "1" ), 3, 4 ) ) )</f>
        <v>4</v>
      </c>
    </row>
    <row r="68" spans="3:66" x14ac:dyDescent="0.25">
      <c r="C68" s="3">
        <v>11</v>
      </c>
      <c r="D68" s="1">
        <v>9.1397849462365546</v>
      </c>
      <c r="BF68" s="1">
        <v>0.44444444444444448</v>
      </c>
      <c r="BG68" t="str">
        <f>"1"</f>
        <v>1</v>
      </c>
      <c r="BH68" t="str">
        <f xml:space="preserve"> IF($BF$68 &gt;= $G$204, "1","0")</f>
        <v>1</v>
      </c>
      <c r="BI68">
        <f xml:space="preserve"> IF( AND( $BG$68 = "1", $BH$68 = "1" ), 1, IF( AND( $BG$68 = "1", $BH$68 = "0" ), 2, IF( AND( $BG$68 = "0", $BH$68 = "1" ), 3, 4 ) ) )</f>
        <v>1</v>
      </c>
      <c r="BK68" s="1">
        <v>2.5000000000000001E-3</v>
      </c>
      <c r="BL68" t="str">
        <f>"0"</f>
        <v>0</v>
      </c>
      <c r="BM68" t="str">
        <f xml:space="preserve"> IF($BK$68 &gt;= $G$281, "1","0")</f>
        <v>0</v>
      </c>
      <c r="BN68">
        <f xml:space="preserve"> IF( AND( $BL$68 = "1", $BM$68 = "1" ), 1, IF( AND( $BL$68 = "1", $BM$68 = "0" ), 2, IF( AND( $BL$68 = "0", $BM$68 = "1" ), 3, 4 ) ) )</f>
        <v>4</v>
      </c>
    </row>
    <row r="69" spans="3:66" x14ac:dyDescent="0.25">
      <c r="C69" s="3">
        <v>12</v>
      </c>
      <c r="D69" s="1">
        <v>9.1397849462365546</v>
      </c>
      <c r="BF69" s="1">
        <v>0.44444444444444448</v>
      </c>
      <c r="BG69" t="str">
        <f>"1"</f>
        <v>1</v>
      </c>
      <c r="BH69" t="str">
        <f xml:space="preserve"> IF($BF$69 &gt;= $G$204, "1","0")</f>
        <v>1</v>
      </c>
      <c r="BI69">
        <f xml:space="preserve"> IF( AND( $BG$69 = "1", $BH$69 = "1" ), 1, IF( AND( $BG$69 = "1", $BH$69 = "0" ), 2, IF( AND( $BG$69 = "0", $BH$69 = "1" ), 3, 4 ) ) )</f>
        <v>1</v>
      </c>
      <c r="BK69" s="1">
        <v>1.8947368421052633E-2</v>
      </c>
      <c r="BL69" t="str">
        <f>"0"</f>
        <v>0</v>
      </c>
      <c r="BM69" t="str">
        <f xml:space="preserve"> IF($BK$69 &gt;= $G$281, "1","0")</f>
        <v>0</v>
      </c>
      <c r="BN69">
        <f xml:space="preserve"> IF( AND( $BL$69 = "1", $BM$69 = "1" ), 1, IF( AND( $BL$69 = "1", $BM$69 = "0" ), 2, IF( AND( $BL$69 = "0", $BM$69 = "1" ), 3, 4 ) ) )</f>
        <v>4</v>
      </c>
    </row>
    <row r="70" spans="3:66" x14ac:dyDescent="0.25">
      <c r="C70" s="3">
        <v>13</v>
      </c>
      <c r="D70" s="1">
        <v>8.8709677419354804</v>
      </c>
      <c r="BF70" s="1">
        <v>0.64</v>
      </c>
      <c r="BG70" t="str">
        <f>"1"</f>
        <v>1</v>
      </c>
      <c r="BH70" t="str">
        <f xml:space="preserve"> IF($BF$70 &gt;= $G$204, "1","0")</f>
        <v>1</v>
      </c>
      <c r="BI70">
        <f xml:space="preserve"> IF( AND( $BG$70 = "1", $BH$70 = "1" ), 1, IF( AND( $BG$70 = "1", $BH$70 = "0" ), 2, IF( AND( $BG$70 = "0", $BH$70 = "1" ), 3, 4 ) ) )</f>
        <v>1</v>
      </c>
      <c r="BK70" s="1">
        <v>0.14285714285714285</v>
      </c>
      <c r="BL70" t="str">
        <f>"1"</f>
        <v>1</v>
      </c>
      <c r="BM70" t="str">
        <f xml:space="preserve"> IF($BK$70 &gt;= $G$281, "1","0")</f>
        <v>0</v>
      </c>
      <c r="BN70">
        <f xml:space="preserve"> IF( AND( $BL$70 = "1", $BM$70 = "1" ), 1, IF( AND( $BL$70 = "1", $BM$70 = "0" ), 2, IF( AND( $BL$70 = "0", $BM$70 = "1" ), 3, 4 ) ) )</f>
        <v>2</v>
      </c>
    </row>
    <row r="71" spans="3:66" x14ac:dyDescent="0.25">
      <c r="C71" s="3">
        <v>14</v>
      </c>
      <c r="D71" s="1">
        <v>8.3333333333333286</v>
      </c>
      <c r="BF71" s="1">
        <v>0.52941176470588236</v>
      </c>
      <c r="BG71" t="str">
        <f>"1"</f>
        <v>1</v>
      </c>
      <c r="BH71" t="str">
        <f xml:space="preserve"> IF($BF$71 &gt;= $G$204, "1","0")</f>
        <v>1</v>
      </c>
      <c r="BI71">
        <f xml:space="preserve"> IF( AND( $BG$71 = "1", $BH$71 = "1" ), 1, IF( AND( $BG$71 = "1", $BH$71 = "0" ), 2, IF( AND( $BG$71 = "0", $BH$71 = "1" ), 3, 4 ) ) )</f>
        <v>1</v>
      </c>
      <c r="BK71" s="1">
        <v>0.90476190476190477</v>
      </c>
      <c r="BL71" t="str">
        <f>"0"</f>
        <v>0</v>
      </c>
      <c r="BM71" t="str">
        <f xml:space="preserve"> IF($BK$71 &gt;= $G$281, "1","0")</f>
        <v>1</v>
      </c>
      <c r="BN71">
        <f xml:space="preserve"> IF( AND( $BL$71 = "1", $BM$71 = "1" ), 1, IF( AND( $BL$71 = "1", $BM$71 = "0" ), 2, IF( AND( $BL$71 = "0", $BM$71 = "1" ), 3, 4 ) ) )</f>
        <v>3</v>
      </c>
    </row>
    <row r="72" spans="3:66" x14ac:dyDescent="0.25">
      <c r="C72" s="3">
        <v>15</v>
      </c>
      <c r="D72" s="1">
        <v>8.1182795698924686</v>
      </c>
      <c r="BF72" s="1">
        <v>0.52941176470588236</v>
      </c>
      <c r="BG72" t="str">
        <f>"1"</f>
        <v>1</v>
      </c>
      <c r="BH72" t="str">
        <f xml:space="preserve"> IF($BF$72 &gt;= $G$204, "1","0")</f>
        <v>1</v>
      </c>
      <c r="BI72">
        <f xml:space="preserve"> IF( AND( $BG$72 = "1", $BH$72 = "1" ), 1, IF( AND( $BG$72 = "1", $BH$72 = "0" ), 2, IF( AND( $BG$72 = "0", $BH$72 = "1" ), 3, 4 ) ) )</f>
        <v>1</v>
      </c>
      <c r="BK72" s="1">
        <v>1.8947368421052633E-2</v>
      </c>
      <c r="BL72" t="str">
        <f>"0"</f>
        <v>0</v>
      </c>
      <c r="BM72" t="str">
        <f xml:space="preserve"> IF($BK$72 &gt;= $G$281, "1","0")</f>
        <v>0</v>
      </c>
      <c r="BN72">
        <f xml:space="preserve"> IF( AND( $BL$72 = "1", $BM$72 = "1" ), 1, IF( AND( $BL$72 = "1", $BM$72 = "0" ), 2, IF( AND( $BL$72 = "0", $BM$72 = "1" ), 3, 4 ) ) )</f>
        <v>4</v>
      </c>
    </row>
    <row r="73" spans="3:66" x14ac:dyDescent="0.25">
      <c r="C73" s="3">
        <v>16</v>
      </c>
      <c r="D73" s="1">
        <v>7.6881720430107494</v>
      </c>
      <c r="BF73" s="1">
        <v>0.72727272727272729</v>
      </c>
      <c r="BG73" t="str">
        <f>"1"</f>
        <v>1</v>
      </c>
      <c r="BH73" t="str">
        <f xml:space="preserve"> IF($BF$73 &gt;= $G$204, "1","0")</f>
        <v>1</v>
      </c>
      <c r="BI73">
        <f xml:space="preserve"> IF( AND( $BG$73 = "1", $BH$73 = "1" ), 1, IF( AND( $BG$73 = "1", $BH$73 = "0" ), 2, IF( AND( $BG$73 = "0", $BH$73 = "1" ), 3, 4 ) ) )</f>
        <v>1</v>
      </c>
      <c r="BK73" s="1">
        <v>1.8947368421052633E-2</v>
      </c>
      <c r="BL73" t="str">
        <f>"0"</f>
        <v>0</v>
      </c>
      <c r="BM73" t="str">
        <f xml:space="preserve"> IF($BK$73 &gt;= $G$281, "1","0")</f>
        <v>0</v>
      </c>
      <c r="BN73">
        <f xml:space="preserve"> IF( AND( $BL$73 = "1", $BM$73 = "1" ), 1, IF( AND( $BL$73 = "1", $BM$73 = "0" ), 2, IF( AND( $BL$73 = "0", $BM$73 = "1" ), 3, 4 ) ) )</f>
        <v>4</v>
      </c>
    </row>
    <row r="74" spans="3:66" x14ac:dyDescent="0.25">
      <c r="C74" s="3">
        <v>17</v>
      </c>
      <c r="D74" s="1">
        <v>7.6881720430107494</v>
      </c>
      <c r="BF74" s="1">
        <v>0.39999999999999997</v>
      </c>
      <c r="BG74" t="str">
        <f>"1"</f>
        <v>1</v>
      </c>
      <c r="BH74" t="str">
        <f xml:space="preserve"> IF($BF$74 &gt;= $G$204, "1","0")</f>
        <v>1</v>
      </c>
      <c r="BI74">
        <f xml:space="preserve"> IF( AND( $BG$74 = "1", $BH$74 = "1" ), 1, IF( AND( $BG$74 = "1", $BH$74 = "0" ), 2, IF( AND( $BG$74 = "0", $BH$74 = "1" ), 3, 4 ) ) )</f>
        <v>1</v>
      </c>
      <c r="BK74" s="1">
        <v>0</v>
      </c>
      <c r="BL74" t="str">
        <f>"0"</f>
        <v>0</v>
      </c>
      <c r="BM74" t="str">
        <f xml:space="preserve"> IF($BK$74 &gt;= $G$281, "1","0")</f>
        <v>0</v>
      </c>
      <c r="BN74">
        <f xml:space="preserve"> IF( AND( $BL$74 = "1", $BM$74 = "1" ), 1, IF( AND( $BL$74 = "1", $BM$74 = "0" ), 2, IF( AND( $BL$74 = "0", $BM$74 = "1" ), 3, 4 ) ) )</f>
        <v>4</v>
      </c>
    </row>
    <row r="75" spans="3:66" x14ac:dyDescent="0.25">
      <c r="C75" s="3">
        <v>18</v>
      </c>
      <c r="D75" s="1">
        <v>7.6881720430107494</v>
      </c>
      <c r="BF75" s="1">
        <v>0.64</v>
      </c>
      <c r="BG75" t="str">
        <f>"1"</f>
        <v>1</v>
      </c>
      <c r="BH75" t="str">
        <f xml:space="preserve"> IF($BF$75 &gt;= $G$204, "1","0")</f>
        <v>1</v>
      </c>
      <c r="BI75">
        <f xml:space="preserve"> IF( AND( $BG$75 = "1", $BH$75 = "1" ), 1, IF( AND( $BG$75 = "1", $BH$75 = "0" ), 2, IF( AND( $BG$75 = "0", $BH$75 = "1" ), 3, 4 ) ) )</f>
        <v>1</v>
      </c>
      <c r="BK75" s="1">
        <v>1</v>
      </c>
      <c r="BL75" t="str">
        <f>"1"</f>
        <v>1</v>
      </c>
      <c r="BM75" t="str">
        <f xml:space="preserve"> IF($BK$75 &gt;= $G$281, "1","0")</f>
        <v>1</v>
      </c>
      <c r="BN75">
        <f xml:space="preserve"> IF( AND( $BL$75 = "1", $BM$75 = "1" ), 1, IF( AND( $BL$75 = "1", $BM$75 = "0" ), 2, IF( AND( $BL$75 = "0", $BM$75 = "1" ), 3, 4 ) ) )</f>
        <v>1</v>
      </c>
    </row>
    <row r="76" spans="3:66" x14ac:dyDescent="0.25">
      <c r="C76" s="3">
        <v>19</v>
      </c>
      <c r="D76" s="1">
        <v>7.6344086021505344</v>
      </c>
      <c r="BF76" s="1">
        <v>0.79999999999999993</v>
      </c>
      <c r="BG76" t="str">
        <f>"1"</f>
        <v>1</v>
      </c>
      <c r="BH76" t="str">
        <f xml:space="preserve"> IF($BF$76 &gt;= $G$204, "1","0")</f>
        <v>1</v>
      </c>
      <c r="BI76">
        <f xml:space="preserve"> IF( AND( $BG$76 = "1", $BH$76 = "1" ), 1, IF( AND( $BG$76 = "1", $BH$76 = "0" ), 2, IF( AND( $BG$76 = "0", $BH$76 = "1" ), 3, 4 ) ) )</f>
        <v>1</v>
      </c>
      <c r="BK76" s="1">
        <v>1</v>
      </c>
      <c r="BL76" t="str">
        <f>"1"</f>
        <v>1</v>
      </c>
      <c r="BM76" t="str">
        <f xml:space="preserve"> IF($BK$76 &gt;= $G$281, "1","0")</f>
        <v>1</v>
      </c>
      <c r="BN76">
        <f xml:space="preserve"> IF( AND( $BL$76 = "1", $BM$76 = "1" ), 1, IF( AND( $BL$76 = "1", $BM$76 = "0" ), 2, IF( AND( $BL$76 = "0", $BM$76 = "1" ), 3, 4 ) ) )</f>
        <v>1</v>
      </c>
    </row>
    <row r="77" spans="3:66" x14ac:dyDescent="0.25">
      <c r="C77" s="3">
        <v>20</v>
      </c>
      <c r="D77" s="1">
        <v>7.6344086021505344</v>
      </c>
      <c r="BF77" s="1">
        <v>0.79999999999999993</v>
      </c>
      <c r="BG77" t="str">
        <f>"1"</f>
        <v>1</v>
      </c>
      <c r="BH77" t="str">
        <f xml:space="preserve"> IF($BF$77 &gt;= $G$204, "1","0")</f>
        <v>1</v>
      </c>
      <c r="BI77">
        <f xml:space="preserve"> IF( AND( $BG$77 = "1", $BH$77 = "1" ), 1, IF( AND( $BG$77 = "1", $BH$77 = "0" ), 2, IF( AND( $BG$77 = "0", $BH$77 = "1" ), 3, 4 ) ) )</f>
        <v>1</v>
      </c>
      <c r="BK77" s="1">
        <v>1.8947368421052633E-2</v>
      </c>
      <c r="BL77" t="str">
        <f>"1"</f>
        <v>1</v>
      </c>
      <c r="BM77" t="str">
        <f xml:space="preserve"> IF($BK$77 &gt;= $G$281, "1","0")</f>
        <v>0</v>
      </c>
      <c r="BN77">
        <f xml:space="preserve"> IF( AND( $BL$77 = "1", $BM$77 = "1" ), 1, IF( AND( $BL$77 = "1", $BM$77 = "0" ), 2, IF( AND( $BL$77 = "0", $BM$77 = "1" ), 3, 4 ) ) )</f>
        <v>2</v>
      </c>
    </row>
    <row r="78" spans="3:66" x14ac:dyDescent="0.25">
      <c r="C78" s="3">
        <v>21</v>
      </c>
      <c r="D78" s="1">
        <v>7.6344086021505362</v>
      </c>
      <c r="BF78" s="1">
        <v>0.52941176470588236</v>
      </c>
      <c r="BG78" t="str">
        <f>"1"</f>
        <v>1</v>
      </c>
      <c r="BH78" t="str">
        <f xml:space="preserve"> IF($BF$78 &gt;= $G$204, "1","0")</f>
        <v>1</v>
      </c>
      <c r="BI78">
        <f xml:space="preserve"> IF( AND( $BG$78 = "1", $BH$78 = "1" ), 1, IF( AND( $BG$78 = "1", $BH$78 = "0" ), 2, IF( AND( $BG$78 = "0", $BH$78 = "1" ), 3, 4 ) ) )</f>
        <v>1</v>
      </c>
      <c r="BK78" s="1">
        <v>0.83333333333333326</v>
      </c>
      <c r="BL78" t="str">
        <f>"0"</f>
        <v>0</v>
      </c>
      <c r="BM78" t="str">
        <f xml:space="preserve"> IF($BK$78 &gt;= $G$281, "1","0")</f>
        <v>1</v>
      </c>
      <c r="BN78">
        <f xml:space="preserve"> IF( AND( $BL$78 = "1", $BM$78 = "1" ), 1, IF( AND( $BL$78 = "1", $BM$78 = "0" ), 2, IF( AND( $BL$78 = "0", $BM$78 = "1" ), 3, 4 ) ) )</f>
        <v>3</v>
      </c>
    </row>
    <row r="79" spans="3:66" x14ac:dyDescent="0.25">
      <c r="C79" s="3">
        <v>22</v>
      </c>
      <c r="D79" s="1">
        <v>7.6344086021505326</v>
      </c>
      <c r="BF79" s="1">
        <v>0.43750000000000006</v>
      </c>
      <c r="BG79" t="str">
        <f>"1"</f>
        <v>1</v>
      </c>
      <c r="BH79" t="str">
        <f xml:space="preserve"> IF($BF$79 &gt;= $G$204, "1","0")</f>
        <v>1</v>
      </c>
      <c r="BI79">
        <f xml:space="preserve"> IF( AND( $BG$79 = "1", $BH$79 = "1" ), 1, IF( AND( $BG$79 = "1", $BH$79 = "0" ), 2, IF( AND( $BG$79 = "0", $BH$79 = "1" ), 3, 4 ) ) )</f>
        <v>1</v>
      </c>
      <c r="BK79" s="1">
        <v>1.8947368421052633E-2</v>
      </c>
      <c r="BL79" t="str">
        <f>"0"</f>
        <v>0</v>
      </c>
      <c r="BM79" t="str">
        <f xml:space="preserve"> IF($BK$79 &gt;= $G$281, "1","0")</f>
        <v>0</v>
      </c>
      <c r="BN79">
        <f xml:space="preserve"> IF( AND( $BL$79 = "1", $BM$79 = "1" ), 1, IF( AND( $BL$79 = "1", $BM$79 = "0" ), 2, IF( AND( $BL$79 = "0", $BM$79 = "1" ), 3, 4 ) ) )</f>
        <v>4</v>
      </c>
    </row>
    <row r="80" spans="3:66" x14ac:dyDescent="0.25">
      <c r="C80" s="3">
        <v>23</v>
      </c>
      <c r="D80" s="1">
        <v>7.5806451612903185</v>
      </c>
      <c r="BF80" s="1">
        <v>0.43750000000000006</v>
      </c>
      <c r="BG80" t="str">
        <f>"1"</f>
        <v>1</v>
      </c>
      <c r="BH80" t="str">
        <f xml:space="preserve"> IF($BF$80 &gt;= $G$204, "1","0")</f>
        <v>1</v>
      </c>
      <c r="BI80">
        <f xml:space="preserve"> IF( AND( $BG$80 = "1", $BH$80 = "1" ), 1, IF( AND( $BG$80 = "1", $BH$80 = "0" ), 2, IF( AND( $BG$80 = "0", $BH$80 = "1" ), 3, 4 ) ) )</f>
        <v>1</v>
      </c>
      <c r="BK80" s="1">
        <v>0</v>
      </c>
      <c r="BL80" t="str">
        <f>"0"</f>
        <v>0</v>
      </c>
      <c r="BM80" t="str">
        <f xml:space="preserve"> IF($BK$80 &gt;= $G$281, "1","0")</f>
        <v>0</v>
      </c>
      <c r="BN80">
        <f xml:space="preserve"> IF( AND( $BL$80 = "1", $BM$80 = "1" ), 1, IF( AND( $BL$80 = "1", $BM$80 = "0" ), 2, IF( AND( $BL$80 = "0", $BM$80 = "1" ), 3, 4 ) ) )</f>
        <v>4</v>
      </c>
    </row>
    <row r="81" spans="3:66" x14ac:dyDescent="0.25">
      <c r="C81" s="3">
        <v>24</v>
      </c>
      <c r="D81" s="1">
        <v>7.5268817204301035</v>
      </c>
      <c r="BF81" s="1">
        <v>0.43750000000000006</v>
      </c>
      <c r="BG81" t="str">
        <f>"1"</f>
        <v>1</v>
      </c>
      <c r="BH81" t="str">
        <f xml:space="preserve"> IF($BF$81 &gt;= $G$204, "1","0")</f>
        <v>1</v>
      </c>
      <c r="BI81">
        <f xml:space="preserve"> IF( AND( $BG$81 = "1", $BH$81 = "1" ), 1, IF( AND( $BG$81 = "1", $BH$81 = "0" ), 2, IF( AND( $BG$81 = "0", $BH$81 = "1" ), 3, 4 ) ) )</f>
        <v>1</v>
      </c>
      <c r="BK81" s="1">
        <v>0.14285714285714288</v>
      </c>
      <c r="BL81" t="str">
        <f>"0"</f>
        <v>0</v>
      </c>
      <c r="BM81" t="str">
        <f xml:space="preserve"> IF($BK$81 &gt;= $G$281, "1","0")</f>
        <v>0</v>
      </c>
      <c r="BN81">
        <f xml:space="preserve"> IF( AND( $BL$81 = "1", $BM$81 = "1" ), 1, IF( AND( $BL$81 = "1", $BM$81 = "0" ), 2, IF( AND( $BL$81 = "0", $BM$81 = "1" ), 3, 4 ) ) )</f>
        <v>4</v>
      </c>
    </row>
    <row r="82" spans="3:66" x14ac:dyDescent="0.25">
      <c r="C82" s="3">
        <v>25</v>
      </c>
      <c r="D82" s="1">
        <v>7.3655913978494585</v>
      </c>
      <c r="BF82" s="1">
        <v>0.43750000000000006</v>
      </c>
      <c r="BG82" t="str">
        <f>"1"</f>
        <v>1</v>
      </c>
      <c r="BH82" t="str">
        <f xml:space="preserve"> IF($BF$82 &gt;= $G$204, "1","0")</f>
        <v>1</v>
      </c>
      <c r="BI82">
        <f xml:space="preserve"> IF( AND( $BG$82 = "1", $BH$82 = "1" ), 1, IF( AND( $BG$82 = "1", $BH$82 = "0" ), 2, IF( AND( $BG$82 = "0", $BH$82 = "1" ), 3, 4 ) ) )</f>
        <v>1</v>
      </c>
      <c r="BK82" s="1">
        <v>1</v>
      </c>
      <c r="BL82" t="str">
        <f>"1"</f>
        <v>1</v>
      </c>
      <c r="BM82" t="str">
        <f xml:space="preserve"> IF($BK$82 &gt;= $G$281, "1","0")</f>
        <v>1</v>
      </c>
      <c r="BN82">
        <f xml:space="preserve"> IF( AND( $BL$82 = "1", $BM$82 = "1" ), 1, IF( AND( $BL$82 = "1", $BM$82 = "0" ), 2, IF( AND( $BL$82 = "0", $BM$82 = "1" ), 3, 4 ) ) )</f>
        <v>1</v>
      </c>
    </row>
    <row r="83" spans="3:66" x14ac:dyDescent="0.25">
      <c r="C83" s="3">
        <v>26</v>
      </c>
      <c r="D83" s="1">
        <v>7.3118279569892435</v>
      </c>
      <c r="BF83" s="1">
        <v>0.43750000000000006</v>
      </c>
      <c r="BG83" t="str">
        <f>"1"</f>
        <v>1</v>
      </c>
      <c r="BH83" t="str">
        <f xml:space="preserve"> IF($BF$83 &gt;= $G$204, "1","0")</f>
        <v>1</v>
      </c>
      <c r="BI83">
        <f xml:space="preserve"> IF( AND( $BG$83 = "1", $BH$83 = "1" ), 1, IF( AND( $BG$83 = "1", $BH$83 = "0" ), 2, IF( AND( $BG$83 = "0", $BH$83 = "1" ), 3, 4 ) ) )</f>
        <v>1</v>
      </c>
      <c r="BK83" s="1">
        <v>1.8947368421052633E-2</v>
      </c>
      <c r="BL83" t="str">
        <f>"0"</f>
        <v>0</v>
      </c>
      <c r="BM83" t="str">
        <f xml:space="preserve"> IF($BK$83 &gt;= $G$281, "1","0")</f>
        <v>0</v>
      </c>
      <c r="BN83">
        <f xml:space="preserve"> IF( AND( $BL$83 = "1", $BM$83 = "1" ), 1, IF( AND( $BL$83 = "1", $BM$83 = "0" ), 2, IF( AND( $BL$83 = "0", $BM$83 = "1" ), 3, 4 ) ) )</f>
        <v>4</v>
      </c>
    </row>
    <row r="84" spans="3:66" x14ac:dyDescent="0.25">
      <c r="C84" s="3">
        <v>27</v>
      </c>
      <c r="D84" s="1">
        <v>7.3118279569892435</v>
      </c>
      <c r="BF84" s="1">
        <v>0.43750000000000006</v>
      </c>
      <c r="BG84" t="str">
        <f>"1"</f>
        <v>1</v>
      </c>
      <c r="BH84" t="str">
        <f xml:space="preserve"> IF($BF$84 &gt;= $G$204, "1","0")</f>
        <v>1</v>
      </c>
      <c r="BI84">
        <f xml:space="preserve"> IF( AND( $BG$84 = "1", $BH$84 = "1" ), 1, IF( AND( $BG$84 = "1", $BH$84 = "0" ), 2, IF( AND( $BG$84 = "0", $BH$84 = "1" ), 3, 4 ) ) )</f>
        <v>1</v>
      </c>
      <c r="BK84" s="1">
        <v>0</v>
      </c>
      <c r="BL84" t="str">
        <f>"0"</f>
        <v>0</v>
      </c>
      <c r="BM84" t="str">
        <f xml:space="preserve"> IF($BK$84 &gt;= $G$281, "1","0")</f>
        <v>0</v>
      </c>
      <c r="BN84">
        <f xml:space="preserve"> IF( AND( $BL$84 = "1", $BM$84 = "1" ), 1, IF( AND( $BL$84 = "1", $BM$84 = "0" ), 2, IF( AND( $BL$84 = "0", $BM$84 = "1" ), 3, 4 ) ) )</f>
        <v>4</v>
      </c>
    </row>
    <row r="85" spans="3:66" x14ac:dyDescent="0.25">
      <c r="C85" s="3">
        <v>28</v>
      </c>
      <c r="D85" s="1">
        <v>7.3118279569892444</v>
      </c>
      <c r="BF85" s="1">
        <v>0.43750000000000006</v>
      </c>
      <c r="BG85" t="str">
        <f>"1"</f>
        <v>1</v>
      </c>
      <c r="BH85" t="str">
        <f xml:space="preserve"> IF($BF$85 &gt;= $G$204, "1","0")</f>
        <v>1</v>
      </c>
      <c r="BI85">
        <f xml:space="preserve"> IF( AND( $BG$85 = "1", $BH$85 = "1" ), 1, IF( AND( $BG$85 = "1", $BH$85 = "0" ), 2, IF( AND( $BG$85 = "0", $BH$85 = "1" ), 3, 4 ) ) )</f>
        <v>1</v>
      </c>
      <c r="BK85" s="1">
        <v>1.8947368421052633E-2</v>
      </c>
      <c r="BL85" t="str">
        <f>"0"</f>
        <v>0</v>
      </c>
      <c r="BM85" t="str">
        <f xml:space="preserve"> IF($BK$85 &gt;= $G$281, "1","0")</f>
        <v>0</v>
      </c>
      <c r="BN85">
        <f xml:space="preserve"> IF( AND( $BL$85 = "1", $BM$85 = "1" ), 1, IF( AND( $BL$85 = "1", $BM$85 = "0" ), 2, IF( AND( $BL$85 = "0", $BM$85 = "1" ), 3, 4 ) ) )</f>
        <v>4</v>
      </c>
    </row>
    <row r="86" spans="3:66" x14ac:dyDescent="0.25">
      <c r="C86" s="3">
        <v>29</v>
      </c>
      <c r="D86" s="1">
        <v>7.0430107526881693</v>
      </c>
      <c r="BF86" s="1">
        <v>9.9999999999999992E-2</v>
      </c>
      <c r="BG86" t="str">
        <f>"1"</f>
        <v>1</v>
      </c>
      <c r="BH86" t="str">
        <f xml:space="preserve"> IF($BF$86 &gt;= $G$204, "1","0")</f>
        <v>0</v>
      </c>
      <c r="BI86">
        <f xml:space="preserve"> IF( AND( $BG$86 = "1", $BH$86 = "1" ), 1, IF( AND( $BG$86 = "1", $BH$86 = "0" ), 2, IF( AND( $BG$86 = "0", $BH$86 = "1" ), 3, 4 ) ) )</f>
        <v>2</v>
      </c>
      <c r="BK86" s="1">
        <v>3.333333333333334E-2</v>
      </c>
      <c r="BL86" t="str">
        <f>"0"</f>
        <v>0</v>
      </c>
      <c r="BM86" t="str">
        <f xml:space="preserve"> IF($BK$86 &gt;= $G$281, "1","0")</f>
        <v>0</v>
      </c>
      <c r="BN86">
        <f xml:space="preserve"> IF( AND( $BL$86 = "1", $BM$86 = "1" ), 1, IF( AND( $BL$86 = "1", $BM$86 = "0" ), 2, IF( AND( $BL$86 = "0", $BM$86 = "1" ), 3, 4 ) ) )</f>
        <v>4</v>
      </c>
    </row>
    <row r="87" spans="3:66" x14ac:dyDescent="0.25">
      <c r="C87" s="3">
        <v>30</v>
      </c>
      <c r="D87" s="1">
        <v>7.0430107526881693</v>
      </c>
      <c r="BF87" s="1">
        <v>0.66666666666666663</v>
      </c>
      <c r="BG87" t="str">
        <f>"1"</f>
        <v>1</v>
      </c>
      <c r="BH87" t="str">
        <f xml:space="preserve"> IF($BF$87 &gt;= $G$204, "1","0")</f>
        <v>1</v>
      </c>
      <c r="BI87">
        <f xml:space="preserve"> IF( AND( $BG$87 = "1", $BH$87 = "1" ), 1, IF( AND( $BG$87 = "1", $BH$87 = "0" ), 2, IF( AND( $BG$87 = "0", $BH$87 = "1" ), 3, 4 ) ) )</f>
        <v>1</v>
      </c>
      <c r="BK87" s="1">
        <v>1</v>
      </c>
      <c r="BL87" t="str">
        <f>"1"</f>
        <v>1</v>
      </c>
      <c r="BM87" t="str">
        <f xml:space="preserve"> IF($BK$87 &gt;= $G$281, "1","0")</f>
        <v>1</v>
      </c>
      <c r="BN87">
        <f xml:space="preserve"> IF( AND( $BL$87 = "1", $BM$87 = "1" ), 1, IF( AND( $BL$87 = "1", $BM$87 = "0" ), 2, IF( AND( $BL$87 = "0", $BM$87 = "1" ), 3, 4 ) ) )</f>
        <v>1</v>
      </c>
    </row>
    <row r="88" spans="3:66" x14ac:dyDescent="0.25">
      <c r="C88" s="3">
        <v>31</v>
      </c>
      <c r="D88" s="1">
        <v>7.0430107526881693</v>
      </c>
      <c r="BF88" s="1">
        <v>0.5625</v>
      </c>
      <c r="BG88" t="str">
        <f>"1"</f>
        <v>1</v>
      </c>
      <c r="BH88" t="str">
        <f xml:space="preserve"> IF($BF$88 &gt;= $G$204, "1","0")</f>
        <v>1</v>
      </c>
      <c r="BI88">
        <f xml:space="preserve"> IF( AND( $BG$88 = "1", $BH$88 = "1" ), 1, IF( AND( $BG$88 = "1", $BH$88 = "0" ), 2, IF( AND( $BG$88 = "0", $BH$88 = "1" ), 3, 4 ) ) )</f>
        <v>1</v>
      </c>
      <c r="BK88" s="1">
        <v>1</v>
      </c>
      <c r="BL88" t="str">
        <f>"1"</f>
        <v>1</v>
      </c>
      <c r="BM88" t="str">
        <f xml:space="preserve"> IF($BK$88 &gt;= $G$281, "1","0")</f>
        <v>1</v>
      </c>
      <c r="BN88">
        <f xml:space="preserve"> IF( AND( $BL$88 = "1", $BM$88 = "1" ), 1, IF( AND( $BL$88 = "1", $BM$88 = "0" ), 2, IF( AND( $BL$88 = "0", $BM$88 = "1" ), 3, 4 ) ) )</f>
        <v>1</v>
      </c>
    </row>
    <row r="89" spans="3:66" x14ac:dyDescent="0.25">
      <c r="C89" s="3">
        <v>32</v>
      </c>
      <c r="D89" s="1">
        <v>7.0430107526881693</v>
      </c>
      <c r="BF89" s="1">
        <v>0.5625</v>
      </c>
      <c r="BG89" t="str">
        <f>"1"</f>
        <v>1</v>
      </c>
      <c r="BH89" t="str">
        <f xml:space="preserve"> IF($BF$89 &gt;= $G$204, "1","0")</f>
        <v>1</v>
      </c>
      <c r="BI89">
        <f xml:space="preserve"> IF( AND( $BG$89 = "1", $BH$89 = "1" ), 1, IF( AND( $BG$89 = "1", $BH$89 = "0" ), 2, IF( AND( $BG$89 = "0", $BH$89 = "1" ), 3, 4 ) ) )</f>
        <v>1</v>
      </c>
      <c r="BK89" s="1">
        <v>0</v>
      </c>
      <c r="BL89" t="str">
        <f>"0"</f>
        <v>0</v>
      </c>
      <c r="BM89" t="str">
        <f xml:space="preserve"> IF($BK$89 &gt;= $G$281, "1","0")</f>
        <v>0</v>
      </c>
      <c r="BN89">
        <f xml:space="preserve"> IF( AND( $BL$89 = "1", $BM$89 = "1" ), 1, IF( AND( $BL$89 = "1", $BM$89 = "0" ), 2, IF( AND( $BL$89 = "0", $BM$89 = "1" ), 3, 4 ) ) )</f>
        <v>4</v>
      </c>
    </row>
    <row r="90" spans="3:66" x14ac:dyDescent="0.25">
      <c r="C90" s="3">
        <v>33</v>
      </c>
      <c r="D90" s="1">
        <v>7.0430107526881693</v>
      </c>
      <c r="BF90" s="1">
        <v>0.5625</v>
      </c>
      <c r="BG90" t="str">
        <f>"1"</f>
        <v>1</v>
      </c>
      <c r="BH90" t="str">
        <f xml:space="preserve"> IF($BF$90 &gt;= $G$204, "1","0")</f>
        <v>1</v>
      </c>
      <c r="BI90">
        <f xml:space="preserve"> IF( AND( $BG$90 = "1", $BH$90 = "1" ), 1, IF( AND( $BG$90 = "1", $BH$90 = "0" ), 2, IF( AND( $BG$90 = "0", $BH$90 = "1" ), 3, 4 ) ) )</f>
        <v>1</v>
      </c>
      <c r="BK90" s="1">
        <v>0.79999999999999993</v>
      </c>
      <c r="BL90" t="str">
        <f>"0"</f>
        <v>0</v>
      </c>
      <c r="BM90" t="str">
        <f xml:space="preserve"> IF($BK$90 &gt;= $G$281, "1","0")</f>
        <v>1</v>
      </c>
      <c r="BN90">
        <f xml:space="preserve"> IF( AND( $BL$90 = "1", $BM$90 = "1" ), 1, IF( AND( $BL$90 = "1", $BM$90 = "0" ), 2, IF( AND( $BL$90 = "0", $BM$90 = "1" ), 3, 4 ) ) )</f>
        <v>3</v>
      </c>
    </row>
    <row r="91" spans="3:66" x14ac:dyDescent="0.25">
      <c r="C91" s="3">
        <v>34</v>
      </c>
      <c r="D91" s="1">
        <v>7.0430107526881693</v>
      </c>
      <c r="BF91" s="1">
        <v>0.5625</v>
      </c>
      <c r="BG91" t="str">
        <f>"1"</f>
        <v>1</v>
      </c>
      <c r="BH91" t="str">
        <f xml:space="preserve"> IF($BF$91 &gt;= $G$204, "1","0")</f>
        <v>1</v>
      </c>
      <c r="BI91">
        <f xml:space="preserve"> IF( AND( $BG$91 = "1", $BH$91 = "1" ), 1, IF( AND( $BG$91 = "1", $BH$91 = "0" ), 2, IF( AND( $BG$91 = "0", $BH$91 = "1" ), 3, 4 ) ) )</f>
        <v>1</v>
      </c>
      <c r="BK91" s="1">
        <v>1</v>
      </c>
      <c r="BL91" t="str">
        <f>"1"</f>
        <v>1</v>
      </c>
      <c r="BM91" t="str">
        <f xml:space="preserve"> IF($BK$91 &gt;= $G$281, "1","0")</f>
        <v>1</v>
      </c>
      <c r="BN91">
        <f xml:space="preserve"> IF( AND( $BL$91 = "1", $BM$91 = "1" ), 1, IF( AND( $BL$91 = "1", $BM$91 = "0" ), 2, IF( AND( $BL$91 = "0", $BM$91 = "1" ), 3, 4 ) ) )</f>
        <v>1</v>
      </c>
    </row>
    <row r="92" spans="3:66" x14ac:dyDescent="0.25">
      <c r="C92" s="3">
        <v>35</v>
      </c>
      <c r="D92" s="1">
        <v>6.2365591397849434</v>
      </c>
      <c r="BF92" s="1">
        <v>0.5625</v>
      </c>
      <c r="BG92" t="str">
        <f>"1"</f>
        <v>1</v>
      </c>
      <c r="BH92" t="str">
        <f xml:space="preserve"> IF($BF$92 &gt;= $G$204, "1","0")</f>
        <v>1</v>
      </c>
      <c r="BI92">
        <f xml:space="preserve"> IF( AND( $BG$92 = "1", $BH$92 = "1" ), 1, IF( AND( $BG$92 = "1", $BH$92 = "0" ), 2, IF( AND( $BG$92 = "0", $BH$92 = "1" ), 3, 4 ) ) )</f>
        <v>1</v>
      </c>
      <c r="BK92" s="1">
        <v>2.5000000000000001E-3</v>
      </c>
      <c r="BL92" t="str">
        <f>"0"</f>
        <v>0</v>
      </c>
      <c r="BM92" t="str">
        <f xml:space="preserve"> IF($BK$92 &gt;= $G$281, "1","0")</f>
        <v>0</v>
      </c>
      <c r="BN92">
        <f xml:space="preserve"> IF( AND( $BL$92 = "1", $BM$92 = "1" ), 1, IF( AND( $BL$92 = "1", $BM$92 = "0" ), 2, IF( AND( $BL$92 = "0", $BM$92 = "1" ), 3, 4 ) ) )</f>
        <v>4</v>
      </c>
    </row>
    <row r="93" spans="3:66" x14ac:dyDescent="0.25">
      <c r="C93" s="3">
        <v>36</v>
      </c>
      <c r="D93" s="1">
        <v>6.2365591397849434</v>
      </c>
      <c r="BF93" s="1">
        <v>0.5625</v>
      </c>
      <c r="BG93" t="str">
        <f>"1"</f>
        <v>1</v>
      </c>
      <c r="BH93" t="str">
        <f xml:space="preserve"> IF($BF$93 &gt;= $G$204, "1","0")</f>
        <v>1</v>
      </c>
      <c r="BI93">
        <f xml:space="preserve"> IF( AND( $BG$93 = "1", $BH$93 = "1" ), 1, IF( AND( $BG$93 = "1", $BH$93 = "0" ), 2, IF( AND( $BG$93 = "0", $BH$93 = "1" ), 3, 4 ) ) )</f>
        <v>1</v>
      </c>
      <c r="BK93" s="1">
        <v>0</v>
      </c>
      <c r="BL93" t="str">
        <f>"0"</f>
        <v>0</v>
      </c>
      <c r="BM93" t="str">
        <f xml:space="preserve"> IF($BK$93 &gt;= $G$281, "1","0")</f>
        <v>0</v>
      </c>
      <c r="BN93">
        <f xml:space="preserve"> IF( AND( $BL$93 = "1", $BM$93 = "1" ), 1, IF( AND( $BL$93 = "1", $BM$93 = "0" ), 2, IF( AND( $BL$93 = "0", $BM$93 = "1" ), 3, 4 ) ) )</f>
        <v>4</v>
      </c>
    </row>
    <row r="94" spans="3:66" x14ac:dyDescent="0.25">
      <c r="C94" s="3">
        <v>37</v>
      </c>
      <c r="D94" s="1">
        <v>6.2365591397849434</v>
      </c>
      <c r="BF94" s="1">
        <v>0.5625</v>
      </c>
      <c r="BG94" t="str">
        <f>"1"</f>
        <v>1</v>
      </c>
      <c r="BH94" t="str">
        <f xml:space="preserve"> IF($BF$94 &gt;= $G$204, "1","0")</f>
        <v>1</v>
      </c>
      <c r="BI94">
        <f xml:space="preserve"> IF( AND( $BG$94 = "1", $BH$94 = "1" ), 1, IF( AND( $BG$94 = "1", $BH$94 = "0" ), 2, IF( AND( $BG$94 = "0", $BH$94 = "1" ), 3, 4 ) ) )</f>
        <v>1</v>
      </c>
      <c r="BK94" s="1">
        <v>2.5000000000000001E-3</v>
      </c>
      <c r="BL94" t="str">
        <f>"0"</f>
        <v>0</v>
      </c>
      <c r="BM94" t="str">
        <f xml:space="preserve"> IF($BK$94 &gt;= $G$281, "1","0")</f>
        <v>0</v>
      </c>
      <c r="BN94">
        <f xml:space="preserve"> IF( AND( $BL$94 = "1", $BM$94 = "1" ), 1, IF( AND( $BL$94 = "1", $BM$94 = "0" ), 2, IF( AND( $BL$94 = "0", $BM$94 = "1" ), 3, 4 ) ) )</f>
        <v>4</v>
      </c>
    </row>
    <row r="95" spans="3:66" x14ac:dyDescent="0.25">
      <c r="C95" s="3">
        <v>38</v>
      </c>
      <c r="D95" s="1">
        <v>6.1290322580645133</v>
      </c>
      <c r="BF95" s="1">
        <v>0.5625</v>
      </c>
      <c r="BG95" t="str">
        <f>"1"</f>
        <v>1</v>
      </c>
      <c r="BH95" t="str">
        <f xml:space="preserve"> IF($BF$95 &gt;= $G$204, "1","0")</f>
        <v>1</v>
      </c>
      <c r="BI95">
        <f xml:space="preserve"> IF( AND( $BG$95 = "1", $BH$95 = "1" ), 1, IF( AND( $BG$95 = "1", $BH$95 = "0" ), 2, IF( AND( $BG$95 = "0", $BH$95 = "1" ), 3, 4 ) ) )</f>
        <v>1</v>
      </c>
      <c r="BK95" s="1">
        <v>3.333333333333334E-2</v>
      </c>
      <c r="BL95" t="str">
        <f>"0"</f>
        <v>0</v>
      </c>
      <c r="BM95" t="str">
        <f xml:space="preserve"> IF($BK$95 &gt;= $G$281, "1","0")</f>
        <v>0</v>
      </c>
      <c r="BN95">
        <f xml:space="preserve"> IF( AND( $BL$95 = "1", $BM$95 = "1" ), 1, IF( AND( $BL$95 = "1", $BM$95 = "0" ), 2, IF( AND( $BL$95 = "0", $BM$95 = "1" ), 3, 4 ) ) )</f>
        <v>4</v>
      </c>
    </row>
    <row r="96" spans="3:66" x14ac:dyDescent="0.25">
      <c r="C96" s="3">
        <v>39</v>
      </c>
      <c r="D96" s="1">
        <v>6.1290322580645133</v>
      </c>
      <c r="BF96" s="1">
        <v>0.5625</v>
      </c>
      <c r="BG96" t="str">
        <f>"1"</f>
        <v>1</v>
      </c>
      <c r="BH96" t="str">
        <f xml:space="preserve"> IF($BF$96 &gt;= $G$204, "1","0")</f>
        <v>1</v>
      </c>
      <c r="BI96">
        <f xml:space="preserve"> IF( AND( $BG$96 = "1", $BH$96 = "1" ), 1, IF( AND( $BG$96 = "1", $BH$96 = "0" ), 2, IF( AND( $BG$96 = "0", $BH$96 = "1" ), 3, 4 ) ) )</f>
        <v>1</v>
      </c>
      <c r="BK96" s="1">
        <v>1.8947368421052633E-2</v>
      </c>
      <c r="BL96" t="str">
        <f>"0"</f>
        <v>0</v>
      </c>
      <c r="BM96" t="str">
        <f xml:space="preserve"> IF($BK$96 &gt;= $G$281, "1","0")</f>
        <v>0</v>
      </c>
      <c r="BN96">
        <f xml:space="preserve"> IF( AND( $BL$96 = "1", $BM$96 = "1" ), 1, IF( AND( $BL$96 = "1", $BM$96 = "0" ), 2, IF( AND( $BL$96 = "0", $BM$96 = "1" ), 3, 4 ) ) )</f>
        <v>4</v>
      </c>
    </row>
    <row r="97" spans="2:66" x14ac:dyDescent="0.25">
      <c r="C97" s="3">
        <v>40</v>
      </c>
      <c r="D97" s="1">
        <v>6.1290322580645133</v>
      </c>
      <c r="BF97" s="1">
        <v>0.9</v>
      </c>
      <c r="BG97" t="str">
        <f>"1"</f>
        <v>1</v>
      </c>
      <c r="BH97" t="str">
        <f xml:space="preserve"> IF($BF$97 &gt;= $G$204, "1","0")</f>
        <v>1</v>
      </c>
      <c r="BI97">
        <f xml:space="preserve"> IF( AND( $BG$97 = "1", $BH$97 = "1" ), 1, IF( AND( $BG$97 = "1", $BH$97 = "0" ), 2, IF( AND( $BG$97 = "0", $BH$97 = "1" ), 3, 4 ) ) )</f>
        <v>1</v>
      </c>
      <c r="BK97" s="1">
        <v>0.90476190476190477</v>
      </c>
      <c r="BL97" t="str">
        <f>"1"</f>
        <v>1</v>
      </c>
      <c r="BM97" t="str">
        <f xml:space="preserve"> IF($BK$97 &gt;= $G$281, "1","0")</f>
        <v>1</v>
      </c>
      <c r="BN97">
        <f xml:space="preserve"> IF( AND( $BL$97 = "1", $BM$97 = "1" ), 1, IF( AND( $BL$97 = "1", $BM$97 = "0" ), 2, IF( AND( $BL$97 = "0", $BM$97 = "1" ), 3, 4 ) ) )</f>
        <v>1</v>
      </c>
    </row>
    <row r="98" spans="2:66" x14ac:dyDescent="0.25">
      <c r="C98" s="3">
        <v>41</v>
      </c>
      <c r="D98" s="1">
        <v>6.1290322580645133</v>
      </c>
      <c r="BF98" s="1">
        <v>0.9</v>
      </c>
      <c r="BG98" t="str">
        <f>"1"</f>
        <v>1</v>
      </c>
      <c r="BH98" t="str">
        <f xml:space="preserve"> IF($BF$98 &gt;= $G$204, "1","0")</f>
        <v>1</v>
      </c>
      <c r="BI98">
        <f xml:space="preserve"> IF( AND( $BG$98 = "1", $BH$98 = "1" ), 1, IF( AND( $BG$98 = "1", $BH$98 = "0" ), 2, IF( AND( $BG$98 = "0", $BH$98 = "1" ), 3, 4 ) ) )</f>
        <v>1</v>
      </c>
      <c r="BK98" s="1">
        <v>2.5000000000000001E-3</v>
      </c>
      <c r="BL98" t="str">
        <f>"0"</f>
        <v>0</v>
      </c>
      <c r="BM98" t="str">
        <f xml:space="preserve"> IF($BK$98 &gt;= $G$281, "1","0")</f>
        <v>0</v>
      </c>
      <c r="BN98">
        <f xml:space="preserve"> IF( AND( $BL$98 = "1", $BM$98 = "1" ), 1, IF( AND( $BL$98 = "1", $BM$98 = "0" ), 2, IF( AND( $BL$98 = "0", $BM$98 = "1" ), 3, 4 ) ) )</f>
        <v>4</v>
      </c>
    </row>
    <row r="99" spans="2:66" x14ac:dyDescent="0.25">
      <c r="C99" s="3">
        <v>42</v>
      </c>
      <c r="D99" s="1">
        <v>6.1290322580645133</v>
      </c>
      <c r="BF99" s="1">
        <v>0.9</v>
      </c>
      <c r="BG99" t="str">
        <f>"1"</f>
        <v>1</v>
      </c>
      <c r="BH99" t="str">
        <f xml:space="preserve"> IF($BF$99 &gt;= $G$204, "1","0")</f>
        <v>1</v>
      </c>
      <c r="BI99">
        <f xml:space="preserve"> IF( AND( $BG$99 = "1", $BH$99 = "1" ), 1, IF( AND( $BG$99 = "1", $BH$99 = "0" ), 2, IF( AND( $BG$99 = "0", $BH$99 = "1" ), 3, 4 ) ) )</f>
        <v>1</v>
      </c>
      <c r="BK99" s="1">
        <v>2.5000000000000001E-3</v>
      </c>
      <c r="BL99" t="str">
        <f>"0"</f>
        <v>0</v>
      </c>
      <c r="BM99" t="str">
        <f xml:space="preserve"> IF($BK$99 &gt;= $G$281, "1","0")</f>
        <v>0</v>
      </c>
      <c r="BN99">
        <f xml:space="preserve"> IF( AND( $BL$99 = "1", $BM$99 = "1" ), 1, IF( AND( $BL$99 = "1", $BM$99 = "0" ), 2, IF( AND( $BL$99 = "0", $BM$99 = "1" ), 3, 4 ) ) )</f>
        <v>4</v>
      </c>
    </row>
    <row r="100" spans="2:66" x14ac:dyDescent="0.25">
      <c r="C100" s="3">
        <v>43</v>
      </c>
      <c r="D100" s="1">
        <v>6.1290322580645133</v>
      </c>
      <c r="BF100" s="1">
        <v>0.9</v>
      </c>
      <c r="BG100" t="str">
        <f>"1"</f>
        <v>1</v>
      </c>
      <c r="BH100" t="str">
        <f xml:space="preserve"> IF($BF$100 &gt;= $G$204, "1","0")</f>
        <v>1</v>
      </c>
      <c r="BI100">
        <f xml:space="preserve"> IF( AND( $BG$100 = "1", $BH$100 = "1" ), 1, IF( AND( $BG$100 = "1", $BH$100 = "0" ), 2, IF( AND( $BG$100 = "0", $BH$100 = "1" ), 3, 4 ) ) )</f>
        <v>1</v>
      </c>
      <c r="BK100" s="1">
        <v>0.69230769230769229</v>
      </c>
      <c r="BL100" t="str">
        <f>"1"</f>
        <v>1</v>
      </c>
      <c r="BM100" t="str">
        <f xml:space="preserve"> IF($BK$100 &gt;= $G$281, "1","0")</f>
        <v>1</v>
      </c>
      <c r="BN100">
        <f xml:space="preserve"> IF( AND( $BL$100 = "1", $BM$100 = "1" ), 1, IF( AND( $BL$100 = "1", $BM$100 = "0" ), 2, IF( AND( $BL$100 = "0", $BM$100 = "1" ), 3, 4 ) ) )</f>
        <v>1</v>
      </c>
    </row>
    <row r="101" spans="2:66" x14ac:dyDescent="0.25">
      <c r="C101" s="3">
        <v>44</v>
      </c>
      <c r="D101" s="1">
        <v>5.9677419354838692</v>
      </c>
      <c r="BF101" s="1">
        <v>0.9</v>
      </c>
      <c r="BG101" t="str">
        <f>"1"</f>
        <v>1</v>
      </c>
      <c r="BH101" t="str">
        <f xml:space="preserve"> IF($BF$101 &gt;= $G$204, "1","0")</f>
        <v>1</v>
      </c>
      <c r="BI101">
        <f xml:space="preserve"> IF( AND( $BG$101 = "1", $BH$101 = "1" ), 1, IF( AND( $BG$101 = "1", $BH$101 = "0" ), 2, IF( AND( $BG$101 = "0", $BH$101 = "1" ), 3, 4 ) ) )</f>
        <v>1</v>
      </c>
      <c r="BK101" s="1">
        <v>1</v>
      </c>
      <c r="BL101" t="str">
        <f>"1"</f>
        <v>1</v>
      </c>
      <c r="BM101" t="str">
        <f xml:space="preserve"> IF($BK$101 &gt;= $G$281, "1","0")</f>
        <v>1</v>
      </c>
      <c r="BN101">
        <f xml:space="preserve"> IF( AND( $BL$101 = "1", $BM$101 = "1" ), 1, IF( AND( $BL$101 = "1", $BM$101 = "0" ), 2, IF( AND( $BL$101 = "0", $BM$101 = "1" ), 3, 4 ) ) )</f>
        <v>1</v>
      </c>
    </row>
    <row r="102" spans="2:66" x14ac:dyDescent="0.25">
      <c r="C102" s="3">
        <v>45</v>
      </c>
      <c r="D102" s="1">
        <v>5.9139784946236533</v>
      </c>
      <c r="BF102" s="1">
        <v>0.9</v>
      </c>
      <c r="BG102" t="str">
        <f>"1"</f>
        <v>1</v>
      </c>
      <c r="BH102" t="str">
        <f xml:space="preserve"> IF($BF$102 &gt;= $G$204, "1","0")</f>
        <v>1</v>
      </c>
      <c r="BI102">
        <f xml:space="preserve"> IF( AND( $BG$102 = "1", $BH$102 = "1" ), 1, IF( AND( $BG$102 = "1", $BH$102 = "0" ), 2, IF( AND( $BG$102 = "0", $BH$102 = "1" ), 3, 4 ) ) )</f>
        <v>1</v>
      </c>
      <c r="BK102" s="1">
        <v>2.5000000000000001E-3</v>
      </c>
      <c r="BL102" t="str">
        <f>"0"</f>
        <v>0</v>
      </c>
      <c r="BM102" t="str">
        <f xml:space="preserve"> IF($BK$102 &gt;= $G$281, "1","0")</f>
        <v>0</v>
      </c>
      <c r="BN102">
        <f xml:space="preserve"> IF( AND( $BL$102 = "1", $BM$102 = "1" ), 1, IF( AND( $BL$102 = "1", $BM$102 = "0" ), 2, IF( AND( $BL$102 = "0", $BM$102 = "1" ), 3, 4 ) ) )</f>
        <v>4</v>
      </c>
    </row>
    <row r="103" spans="2:66" x14ac:dyDescent="0.25">
      <c r="BF103" s="1">
        <v>0.9</v>
      </c>
      <c r="BG103" t="str">
        <f>"1"</f>
        <v>1</v>
      </c>
      <c r="BH103" t="str">
        <f xml:space="preserve"> IF($BF$103 &gt;= $G$204, "1","0")</f>
        <v>1</v>
      </c>
      <c r="BI103">
        <f xml:space="preserve"> IF( AND( $BG$103 = "1", $BH$103 = "1" ), 1, IF( AND( $BG$103 = "1", $BH$103 = "0" ), 2, IF( AND( $BG$103 = "0", $BH$103 = "1" ), 3, 4 ) ) )</f>
        <v>1</v>
      </c>
      <c r="BK103" s="1">
        <v>0</v>
      </c>
      <c r="BL103" t="str">
        <f>"0"</f>
        <v>0</v>
      </c>
      <c r="BM103" t="str">
        <f xml:space="preserve"> IF($BK$103 &gt;= $G$281, "1","0")</f>
        <v>0</v>
      </c>
      <c r="BN103">
        <f xml:space="preserve"> IF( AND( $BL$103 = "1", $BM$103 = "1" ), 1, IF( AND( $BL$103 = "1", $BM$103 = "0" ), 2, IF( AND( $BL$103 = "0", $BM$103 = "1" ), 3, 4 ) ) )</f>
        <v>4</v>
      </c>
    </row>
    <row r="104" spans="2:66" ht="18.75" x14ac:dyDescent="0.3">
      <c r="B104" s="22" t="s">
        <v>172</v>
      </c>
      <c r="BF104" s="1">
        <v>0.9</v>
      </c>
      <c r="BG104" t="str">
        <f>"1"</f>
        <v>1</v>
      </c>
      <c r="BH104" t="str">
        <f xml:space="preserve"> IF($BF$104 &gt;= $G$204, "1","0")</f>
        <v>1</v>
      </c>
      <c r="BI104">
        <f xml:space="preserve"> IF( AND( $BG$104 = "1", $BH$104 = "1" ), 1, IF( AND( $BG$104 = "1", $BH$104 = "0" ), 2, IF( AND( $BG$104 = "0", $BH$104 = "1" ), 3, 4 ) ) )</f>
        <v>1</v>
      </c>
      <c r="BK104" s="1">
        <v>0</v>
      </c>
      <c r="BL104" t="str">
        <f>"0"</f>
        <v>0</v>
      </c>
      <c r="BM104" t="str">
        <f xml:space="preserve"> IF($BK$104 &gt;= $G$281, "1","0")</f>
        <v>0</v>
      </c>
      <c r="BN104">
        <f xml:space="preserve"> IF( AND( $BL$104 = "1", $BM$104 = "1" ), 1, IF( AND( $BL$104 = "1", $BM$104 = "0" ), 2, IF( AND( $BL$104 = "0", $BM$104 = "1" ), 3, 4 ) ) )</f>
        <v>4</v>
      </c>
    </row>
    <row r="105" spans="2:66" x14ac:dyDescent="0.25">
      <c r="BF105" s="1">
        <v>0.04</v>
      </c>
      <c r="BG105" t="str">
        <f>"1"</f>
        <v>1</v>
      </c>
      <c r="BH105" t="str">
        <f xml:space="preserve"> IF($BF$105 &gt;= $G$204, "1","0")</f>
        <v>0</v>
      </c>
      <c r="BI105">
        <f xml:space="preserve"> IF( AND( $BG$105 = "1", $BH$105 = "1" ), 1, IF( AND( $BG$105 = "1", $BH$105 = "0" ), 2, IF( AND( $BG$105 = "0", $BH$105 = "1" ), 3, 4 ) ) )</f>
        <v>2</v>
      </c>
      <c r="BK105" s="1">
        <v>2.5000000000000001E-3</v>
      </c>
      <c r="BL105" t="str">
        <f>"0"</f>
        <v>0</v>
      </c>
      <c r="BM105" t="str">
        <f xml:space="preserve"> IF($BK$105 &gt;= $G$281, "1","0")</f>
        <v>0</v>
      </c>
      <c r="BN105">
        <f xml:space="preserve"> IF( AND( $BL$105 = "1", $BM$105 = "1" ), 1, IF( AND( $BL$105 = "1", $BM$105 = "0" ), 2, IF( AND( $BL$105 = "0", $BM$105 = "1" ), 3, 4 ) ) )</f>
        <v>4</v>
      </c>
    </row>
    <row r="106" spans="2:66" x14ac:dyDescent="0.25">
      <c r="C106" s="13" t="s">
        <v>173</v>
      </c>
      <c r="D106" s="14"/>
      <c r="E106" s="1">
        <v>45</v>
      </c>
      <c r="H106" s="13" t="s">
        <v>174</v>
      </c>
      <c r="I106" s="14"/>
      <c r="J106" s="1">
        <v>46</v>
      </c>
      <c r="BF106" s="1">
        <v>0.90476190476190477</v>
      </c>
      <c r="BG106" t="str">
        <f>"1"</f>
        <v>1</v>
      </c>
      <c r="BH106" t="str">
        <f xml:space="preserve"> IF($BF$106 &gt;= $G$204, "1","0")</f>
        <v>1</v>
      </c>
      <c r="BI106">
        <f xml:space="preserve"> IF( AND( $BG$106 = "1", $BH$106 = "1" ), 1, IF( AND( $BG$106 = "1", $BH$106 = "0" ), 2, IF( AND( $BG$106 = "0", $BH$106 = "1" ), 3, 4 ) ) )</f>
        <v>1</v>
      </c>
      <c r="BK106" s="1">
        <v>0.5625</v>
      </c>
      <c r="BL106" t="str">
        <f>"1"</f>
        <v>1</v>
      </c>
      <c r="BM106" t="str">
        <f xml:space="preserve"> IF($BK$106 &gt;= $G$281, "1","0")</f>
        <v>1</v>
      </c>
      <c r="BN106">
        <f xml:space="preserve"> IF( AND( $BL$106 = "1", $BM$106 = "1" ), 1, IF( AND( $BL$106 = "1", $BM$106 = "0" ), 2, IF( AND( $BL$106 = "0", $BM$106 = "1" ), 3, 4 ) ) )</f>
        <v>1</v>
      </c>
    </row>
    <row r="107" spans="2:66" x14ac:dyDescent="0.25">
      <c r="BF107" s="1">
        <v>0.90476190476190477</v>
      </c>
      <c r="BG107" t="str">
        <f>"1"</f>
        <v>1</v>
      </c>
      <c r="BH107" t="str">
        <f xml:space="preserve"> IF($BF$107 &gt;= $G$204, "1","0")</f>
        <v>1</v>
      </c>
      <c r="BI107">
        <f xml:space="preserve"> IF( AND( $BG$107 = "1", $BH$107 = "1" ), 1, IF( AND( $BG$107 = "1", $BH$107 = "0" ), 2, IF( AND( $BG$107 = "0", $BH$107 = "1" ), 3, 4 ) ) )</f>
        <v>1</v>
      </c>
      <c r="BK107" s="1">
        <v>0</v>
      </c>
      <c r="BL107" t="str">
        <f>"0"</f>
        <v>0</v>
      </c>
      <c r="BM107" t="str">
        <f xml:space="preserve"> IF($BK$107 &gt;= $G$281, "1","0")</f>
        <v>0</v>
      </c>
      <c r="BN107">
        <f xml:space="preserve"> IF( AND( $BL$107 = "1", $BM$107 = "1" ), 1, IF( AND( $BL$107 = "1", $BM$107 = "0" ), 2, IF( AND( $BL$107 = "0", $BM$107 = "1" ), 3, 4 ) ) )</f>
        <v>4</v>
      </c>
    </row>
    <row r="108" spans="2:66" x14ac:dyDescent="0.25">
      <c r="C108" s="2" t="s">
        <v>175</v>
      </c>
      <c r="D108" s="2" t="s">
        <v>176</v>
      </c>
      <c r="E108" s="2" t="s">
        <v>177</v>
      </c>
      <c r="F108" s="2" t="s">
        <v>55</v>
      </c>
      <c r="G108" s="2" t="s">
        <v>56</v>
      </c>
      <c r="H108" s="2" t="s">
        <v>51</v>
      </c>
      <c r="I108" s="2" t="s">
        <v>178</v>
      </c>
      <c r="J108" s="2" t="s">
        <v>179</v>
      </c>
      <c r="K108" s="2" t="s">
        <v>180</v>
      </c>
      <c r="L108" s="2" t="s">
        <v>13</v>
      </c>
      <c r="M108" s="2" t="s">
        <v>23</v>
      </c>
      <c r="BF108" s="1">
        <v>0.90476190476190477</v>
      </c>
      <c r="BG108" t="str">
        <f>"1"</f>
        <v>1</v>
      </c>
      <c r="BH108" t="str">
        <f xml:space="preserve"> IF($BF$108 &gt;= $G$204, "1","0")</f>
        <v>1</v>
      </c>
      <c r="BI108">
        <f xml:space="preserve"> IF( AND( $BG$108 = "1", $BH$108 = "1" ), 1, IF( AND( $BG$108 = "1", $BH$108 = "0" ), 2, IF( AND( $BG$108 = "0", $BH$108 = "1" ), 3, 4 ) ) )</f>
        <v>1</v>
      </c>
      <c r="BK108" s="1">
        <v>2.5000000000000001E-3</v>
      </c>
      <c r="BL108" t="str">
        <f>"0"</f>
        <v>0</v>
      </c>
      <c r="BM108" t="str">
        <f xml:space="preserve"> IF($BK$108 &gt;= $G$281, "1","0")</f>
        <v>0</v>
      </c>
      <c r="BN108">
        <f xml:space="preserve"> IF( AND( $BL$108 = "1", $BM$108 = "1" ), 1, IF( AND( $BL$108 = "1", $BM$108 = "0" ), 2, IF( AND( $BL$108 = "0", $BM$108 = "1" ), 3, 4 ) ) )</f>
        <v>4</v>
      </c>
    </row>
    <row r="109" spans="2:66" x14ac:dyDescent="0.25">
      <c r="C109" s="24">
        <v>0</v>
      </c>
      <c r="D109" s="24">
        <v>0</v>
      </c>
      <c r="E109" s="24" t="s">
        <v>181</v>
      </c>
      <c r="F109" s="24">
        <v>1</v>
      </c>
      <c r="G109" s="24">
        <v>2</v>
      </c>
      <c r="H109" s="24" t="s">
        <v>5</v>
      </c>
      <c r="I109" s="24">
        <v>0.5</v>
      </c>
      <c r="J109" s="24">
        <v>1860</v>
      </c>
      <c r="K109" s="24">
        <v>0.282258064516129</v>
      </c>
      <c r="L109" s="24">
        <v>0</v>
      </c>
      <c r="M109" s="24" t="s">
        <v>182</v>
      </c>
      <c r="BF109" s="1">
        <v>0.90476190476190477</v>
      </c>
      <c r="BG109" t="str">
        <f>"1"</f>
        <v>1</v>
      </c>
      <c r="BH109" t="str">
        <f xml:space="preserve"> IF($BF$109 &gt;= $G$204, "1","0")</f>
        <v>1</v>
      </c>
      <c r="BI109">
        <f xml:space="preserve"> IF( AND( $BG$109 = "1", $BH$109 = "1" ), 1, IF( AND( $BG$109 = "1", $BH$109 = "0" ), 2, IF( AND( $BG$109 = "0", $BH$109 = "1" ), 3, 4 ) ) )</f>
        <v>1</v>
      </c>
      <c r="BK109" s="1">
        <v>1</v>
      </c>
      <c r="BL109" t="str">
        <f>"1"</f>
        <v>1</v>
      </c>
      <c r="BM109" t="str">
        <f xml:space="preserve"> IF($BK$109 &gt;= $G$281, "1","0")</f>
        <v>1</v>
      </c>
      <c r="BN109">
        <f xml:space="preserve"> IF( AND( $BL$109 = "1", $BM$109 = "1" ), 1, IF( AND( $BL$109 = "1", $BM$109 = "0" ), 2, IF( AND( $BL$109 = "0", $BM$109 = "1" ), 3, 4 ) ) )</f>
        <v>1</v>
      </c>
    </row>
    <row r="110" spans="2:66" x14ac:dyDescent="0.25">
      <c r="C110" s="24">
        <v>1</v>
      </c>
      <c r="D110" s="24">
        <v>1</v>
      </c>
      <c r="E110" s="24">
        <v>0</v>
      </c>
      <c r="F110" s="24">
        <v>3</v>
      </c>
      <c r="G110" s="24">
        <v>4</v>
      </c>
      <c r="H110" s="24" t="s">
        <v>0</v>
      </c>
      <c r="I110" s="24">
        <v>73.5</v>
      </c>
      <c r="J110" s="24">
        <v>1543</v>
      </c>
      <c r="K110" s="24">
        <v>0.1118279569892473</v>
      </c>
      <c r="L110" s="24">
        <v>0</v>
      </c>
      <c r="M110" s="24" t="s">
        <v>182</v>
      </c>
      <c r="BF110" s="1">
        <v>0.90476190476190477</v>
      </c>
      <c r="BG110" t="str">
        <f>"1"</f>
        <v>1</v>
      </c>
      <c r="BH110" t="str">
        <f xml:space="preserve"> IF($BF$110 &gt;= $G$204, "1","0")</f>
        <v>1</v>
      </c>
      <c r="BI110">
        <f xml:space="preserve"> IF( AND( $BG$110 = "1", $BH$110 = "1" ), 1, IF( AND( $BG$110 = "1", $BH$110 = "0" ), 2, IF( AND( $BG$110 = "0", $BH$110 = "1" ), 3, 4 ) ) )</f>
        <v>1</v>
      </c>
      <c r="BK110" s="1">
        <v>1.8947368421052633E-2</v>
      </c>
      <c r="BL110" t="str">
        <f>"0"</f>
        <v>0</v>
      </c>
      <c r="BM110" t="str">
        <f xml:space="preserve"> IF($BK$110 &gt;= $G$281, "1","0")</f>
        <v>0</v>
      </c>
      <c r="BN110">
        <f xml:space="preserve"> IF( AND( $BL$110 = "1", $BM$110 = "1" ), 1, IF( AND( $BL$110 = "1", $BM$110 = "0" ), 2, IF( AND( $BL$110 = "0", $BM$110 = "1" ), 3, 4 ) ) )</f>
        <v>4</v>
      </c>
    </row>
    <row r="111" spans="2:66" x14ac:dyDescent="0.25">
      <c r="C111" s="24">
        <v>2</v>
      </c>
      <c r="D111" s="24">
        <v>1</v>
      </c>
      <c r="E111" s="24">
        <v>0</v>
      </c>
      <c r="F111" s="24" t="s">
        <v>181</v>
      </c>
      <c r="G111" s="24" t="s">
        <v>181</v>
      </c>
      <c r="H111" s="24" t="s">
        <v>181</v>
      </c>
      <c r="I111" s="24" t="s">
        <v>181</v>
      </c>
      <c r="J111" s="24">
        <v>317</v>
      </c>
      <c r="K111" s="24">
        <v>0</v>
      </c>
      <c r="L111" s="24">
        <v>1</v>
      </c>
      <c r="M111" s="24" t="s">
        <v>183</v>
      </c>
      <c r="BF111" s="1">
        <v>0.90476190476190477</v>
      </c>
      <c r="BG111" t="str">
        <f>"1"</f>
        <v>1</v>
      </c>
      <c r="BH111" t="str">
        <f xml:space="preserve"> IF($BF$111 &gt;= $G$204, "1","0")</f>
        <v>1</v>
      </c>
      <c r="BI111">
        <f xml:space="preserve"> IF( AND( $BG$111 = "1", $BH$111 = "1" ), 1, IF( AND( $BG$111 = "1", $BH$111 = "0" ), 2, IF( AND( $BG$111 = "0", $BH$111 = "1" ), 3, 4 ) ) )</f>
        <v>1</v>
      </c>
      <c r="BK111" s="1">
        <v>0.72727272727272729</v>
      </c>
      <c r="BL111" t="str">
        <f>"0"</f>
        <v>0</v>
      </c>
      <c r="BM111" t="str">
        <f xml:space="preserve"> IF($BK$111 &gt;= $G$281, "1","0")</f>
        <v>1</v>
      </c>
      <c r="BN111">
        <f xml:space="preserve"> IF( AND( $BL$111 = "1", $BM$111 = "1" ), 1, IF( AND( $BL$111 = "1", $BM$111 = "0" ), 2, IF( AND( $BL$111 = "0", $BM$111 = "1" ), 3, 4 ) ) )</f>
        <v>3</v>
      </c>
    </row>
    <row r="112" spans="2:66" x14ac:dyDescent="0.25">
      <c r="C112" s="24">
        <v>3</v>
      </c>
      <c r="D112" s="24">
        <v>2</v>
      </c>
      <c r="E112" s="24">
        <v>1</v>
      </c>
      <c r="F112" s="24">
        <v>5</v>
      </c>
      <c r="G112" s="24">
        <v>6</v>
      </c>
      <c r="H112" s="24" t="s">
        <v>2</v>
      </c>
      <c r="I112" s="24">
        <v>45.5</v>
      </c>
      <c r="J112" s="24">
        <v>1261</v>
      </c>
      <c r="K112" s="24">
        <v>5.1075268817204256E-2</v>
      </c>
      <c r="L112" s="24">
        <v>0</v>
      </c>
      <c r="M112" s="24" t="s">
        <v>182</v>
      </c>
      <c r="BF112" s="1">
        <v>0.90476190476190477</v>
      </c>
      <c r="BG112" t="str">
        <f>"1"</f>
        <v>1</v>
      </c>
      <c r="BH112" t="str">
        <f xml:space="preserve"> IF($BF$112 &gt;= $G$204, "1","0")</f>
        <v>1</v>
      </c>
      <c r="BI112">
        <f xml:space="preserve"> IF( AND( $BG$112 = "1", $BH$112 = "1" ), 1, IF( AND( $BG$112 = "1", $BH$112 = "0" ), 2, IF( AND( $BG$112 = "0", $BH$112 = "1" ), 3, 4 ) ) )</f>
        <v>1</v>
      </c>
      <c r="BK112" s="1">
        <v>0.32</v>
      </c>
      <c r="BL112" t="str">
        <f>"1"</f>
        <v>1</v>
      </c>
      <c r="BM112" t="str">
        <f xml:space="preserve"> IF($BK$112 &gt;= $G$281, "1","0")</f>
        <v>1</v>
      </c>
      <c r="BN112">
        <f xml:space="preserve"> IF( AND( $BL$112 = "1", $BM$112 = "1" ), 1, IF( AND( $BL$112 = "1", $BM$112 = "0" ), 2, IF( AND( $BL$112 = "0", $BM$112 = "1" ), 3, 4 ) ) )</f>
        <v>1</v>
      </c>
    </row>
    <row r="113" spans="3:66" x14ac:dyDescent="0.25">
      <c r="C113" s="24">
        <v>4</v>
      </c>
      <c r="D113" s="24">
        <v>2</v>
      </c>
      <c r="E113" s="24">
        <v>1</v>
      </c>
      <c r="F113" s="24">
        <v>7</v>
      </c>
      <c r="G113" s="24">
        <v>8</v>
      </c>
      <c r="H113" s="24" t="s">
        <v>0</v>
      </c>
      <c r="I113" s="24">
        <v>74.5</v>
      </c>
      <c r="J113" s="24">
        <v>282</v>
      </c>
      <c r="K113" s="24">
        <v>6.0752688172043004E-2</v>
      </c>
      <c r="L113" s="24">
        <v>0</v>
      </c>
      <c r="M113" s="24" t="s">
        <v>182</v>
      </c>
      <c r="BF113" s="1">
        <v>0.90476190476190477</v>
      </c>
      <c r="BG113" t="str">
        <f>"1"</f>
        <v>1</v>
      </c>
      <c r="BH113" t="str">
        <f xml:space="preserve"> IF($BF$113 &gt;= $G$204, "1","0")</f>
        <v>1</v>
      </c>
      <c r="BI113">
        <f xml:space="preserve"> IF( AND( $BG$113 = "1", $BH$113 = "1" ), 1, IF( AND( $BG$113 = "1", $BH$113 = "0" ), 2, IF( AND( $BG$113 = "0", $BH$113 = "1" ), 3, 4 ) ) )</f>
        <v>1</v>
      </c>
      <c r="BK113" s="1">
        <v>1.8947368421052633E-2</v>
      </c>
      <c r="BL113" t="str">
        <f>"0"</f>
        <v>0</v>
      </c>
      <c r="BM113" t="str">
        <f xml:space="preserve"> IF($BK$113 &gt;= $G$281, "1","0")</f>
        <v>0</v>
      </c>
      <c r="BN113">
        <f xml:space="preserve"> IF( AND( $BL$113 = "1", $BM$113 = "1" ), 1, IF( AND( $BL$113 = "1", $BM$113 = "0" ), 2, IF( AND( $BL$113 = "0", $BM$113 = "1" ), 3, 4 ) ) )</f>
        <v>4</v>
      </c>
    </row>
    <row r="114" spans="3:66" x14ac:dyDescent="0.25">
      <c r="C114" s="24">
        <v>5</v>
      </c>
      <c r="D114" s="24">
        <v>3</v>
      </c>
      <c r="E114" s="24">
        <v>3</v>
      </c>
      <c r="F114" s="24">
        <v>9</v>
      </c>
      <c r="G114" s="24">
        <v>10</v>
      </c>
      <c r="H114" s="24" t="s">
        <v>0</v>
      </c>
      <c r="I114" s="24">
        <v>53.5</v>
      </c>
      <c r="J114" s="24">
        <v>1250</v>
      </c>
      <c r="K114" s="24">
        <v>4.6774193548387077E-2</v>
      </c>
      <c r="L114" s="24">
        <v>0</v>
      </c>
      <c r="M114" s="24" t="s">
        <v>182</v>
      </c>
      <c r="BF114" s="1">
        <v>0.90476190476190477</v>
      </c>
      <c r="BG114" t="str">
        <f>"1"</f>
        <v>1</v>
      </c>
      <c r="BH114" t="str">
        <f xml:space="preserve"> IF($BF$114 &gt;= $G$204, "1","0")</f>
        <v>1</v>
      </c>
      <c r="BI114">
        <f xml:space="preserve"> IF( AND( $BG$114 = "1", $BH$114 = "1" ), 1, IF( AND( $BG$114 = "1", $BH$114 = "0" ), 2, IF( AND( $BG$114 = "0", $BH$114 = "1" ), 3, 4 ) ) )</f>
        <v>1</v>
      </c>
      <c r="BK114" s="1">
        <v>0.14285714285714285</v>
      </c>
      <c r="BL114" t="str">
        <f>"1"</f>
        <v>1</v>
      </c>
      <c r="BM114" t="str">
        <f xml:space="preserve"> IF($BK$114 &gt;= $G$281, "1","0")</f>
        <v>0</v>
      </c>
      <c r="BN114">
        <f xml:space="preserve"> IF( AND( $BL$114 = "1", $BM$114 = "1" ), 1, IF( AND( $BL$114 = "1", $BM$114 = "0" ), 2, IF( AND( $BL$114 = "0", $BM$114 = "1" ), 3, 4 ) ) )</f>
        <v>2</v>
      </c>
    </row>
    <row r="115" spans="3:66" x14ac:dyDescent="0.25">
      <c r="C115" s="24">
        <v>6</v>
      </c>
      <c r="D115" s="24">
        <v>3</v>
      </c>
      <c r="E115" s="24">
        <v>3</v>
      </c>
      <c r="F115" s="24" t="s">
        <v>181</v>
      </c>
      <c r="G115" s="24" t="s">
        <v>181</v>
      </c>
      <c r="H115" s="24" t="s">
        <v>181</v>
      </c>
      <c r="I115" s="24" t="s">
        <v>181</v>
      </c>
      <c r="J115" s="24">
        <v>11</v>
      </c>
      <c r="K115" s="24">
        <v>1.6129032258064514E-3</v>
      </c>
      <c r="L115" s="24">
        <v>1</v>
      </c>
      <c r="M115" s="24" t="s">
        <v>183</v>
      </c>
      <c r="BF115" s="1">
        <v>0.90476190476190477</v>
      </c>
      <c r="BG115" t="str">
        <f>"1"</f>
        <v>1</v>
      </c>
      <c r="BH115" t="str">
        <f xml:space="preserve"> IF($BF$115 &gt;= $G$204, "1","0")</f>
        <v>1</v>
      </c>
      <c r="BI115">
        <f xml:space="preserve"> IF( AND( $BG$115 = "1", $BH$115 = "1" ), 1, IF( AND( $BG$115 = "1", $BH$115 = "0" ), 2, IF( AND( $BG$115 = "0", $BH$115 = "1" ), 3, 4 ) ) )</f>
        <v>1</v>
      </c>
      <c r="BK115" s="1">
        <v>1</v>
      </c>
      <c r="BL115" t="str">
        <f>"1"</f>
        <v>1</v>
      </c>
      <c r="BM115" t="str">
        <f xml:space="preserve"> IF($BK$115 &gt;= $G$281, "1","0")</f>
        <v>1</v>
      </c>
      <c r="BN115">
        <f xml:space="preserve"> IF( AND( $BL$115 = "1", $BM$115 = "1" ), 1, IF( AND( $BL$115 = "1", $BM$115 = "0" ), 2, IF( AND( $BL$115 = "0", $BM$115 = "1" ), 3, 4 ) ) )</f>
        <v>1</v>
      </c>
    </row>
    <row r="116" spans="3:66" x14ac:dyDescent="0.25">
      <c r="C116" s="24">
        <v>7</v>
      </c>
      <c r="D116" s="24">
        <v>3</v>
      </c>
      <c r="E116" s="24">
        <v>4</v>
      </c>
      <c r="F116" s="24" t="s">
        <v>181</v>
      </c>
      <c r="G116" s="24" t="s">
        <v>181</v>
      </c>
      <c r="H116" s="24" t="s">
        <v>181</v>
      </c>
      <c r="I116" s="24" t="s">
        <v>181</v>
      </c>
      <c r="J116" s="24">
        <v>10</v>
      </c>
      <c r="K116" s="24">
        <v>5.3763440860215075E-4</v>
      </c>
      <c r="L116" s="24">
        <v>1</v>
      </c>
      <c r="M116" s="24" t="s">
        <v>183</v>
      </c>
      <c r="BF116" s="1">
        <v>0.90476190476190477</v>
      </c>
      <c r="BG116" t="str">
        <f>"1"</f>
        <v>1</v>
      </c>
      <c r="BH116" t="str">
        <f xml:space="preserve"> IF($BF$116 &gt;= $G$204, "1","0")</f>
        <v>1</v>
      </c>
      <c r="BI116">
        <f xml:space="preserve"> IF( AND( $BG$116 = "1", $BH$116 = "1" ), 1, IF( AND( $BG$116 = "1", $BH$116 = "0" ), 2, IF( AND( $BG$116 = "0", $BH$116 = "1" ), 3, 4 ) ) )</f>
        <v>1</v>
      </c>
      <c r="BK116" s="1">
        <v>0.5625</v>
      </c>
      <c r="BL116" t="str">
        <f>"0"</f>
        <v>0</v>
      </c>
      <c r="BM116" t="str">
        <f xml:space="preserve"> IF($BK$116 &gt;= $G$281, "1","0")</f>
        <v>1</v>
      </c>
      <c r="BN116">
        <f xml:space="preserve"> IF( AND( $BL$116 = "1", $BM$116 = "1" ), 1, IF( AND( $BL$116 = "1", $BM$116 = "0" ), 2, IF( AND( $BL$116 = "0", $BM$116 = "1" ), 3, 4 ) ) )</f>
        <v>3</v>
      </c>
    </row>
    <row r="117" spans="3:66" x14ac:dyDescent="0.25">
      <c r="C117" s="24">
        <v>8</v>
      </c>
      <c r="D117" s="24">
        <v>3</v>
      </c>
      <c r="E117" s="24">
        <v>4</v>
      </c>
      <c r="F117" s="24">
        <v>11</v>
      </c>
      <c r="G117" s="24">
        <v>12</v>
      </c>
      <c r="H117" s="24" t="s">
        <v>0</v>
      </c>
      <c r="I117" s="24">
        <v>79.5</v>
      </c>
      <c r="J117" s="24">
        <v>272</v>
      </c>
      <c r="K117" s="24">
        <v>5.5913978494623651E-2</v>
      </c>
      <c r="L117" s="24">
        <v>0</v>
      </c>
      <c r="M117" s="24" t="s">
        <v>182</v>
      </c>
      <c r="BF117" s="1">
        <v>0.90476190476190477</v>
      </c>
      <c r="BG117" t="str">
        <f>"1"</f>
        <v>1</v>
      </c>
      <c r="BH117" t="str">
        <f xml:space="preserve"> IF($BF$117 &gt;= $G$204, "1","0")</f>
        <v>1</v>
      </c>
      <c r="BI117">
        <f xml:space="preserve"> IF( AND( $BG$117 = "1", $BH$117 = "1" ), 1, IF( AND( $BG$117 = "1", $BH$117 = "0" ), 2, IF( AND( $BG$117 = "0", $BH$117 = "1" ), 3, 4 ) ) )</f>
        <v>1</v>
      </c>
      <c r="BK117" s="1">
        <v>1.8947368421052633E-2</v>
      </c>
      <c r="BL117" t="str">
        <f>"0"</f>
        <v>0</v>
      </c>
      <c r="BM117" t="str">
        <f xml:space="preserve"> IF($BK$117 &gt;= $G$281, "1","0")</f>
        <v>0</v>
      </c>
      <c r="BN117">
        <f xml:space="preserve"> IF( AND( $BL$117 = "1", $BM$117 = "1" ), 1, IF( AND( $BL$117 = "1", $BM$117 = "0" ), 2, IF( AND( $BL$117 = "0", $BM$117 = "1" ), 3, 4 ) ) )</f>
        <v>4</v>
      </c>
    </row>
    <row r="118" spans="3:66" x14ac:dyDescent="0.25">
      <c r="C118" s="24">
        <v>9</v>
      </c>
      <c r="D118" s="24">
        <v>4</v>
      </c>
      <c r="E118" s="24">
        <v>5</v>
      </c>
      <c r="F118" s="24">
        <v>13</v>
      </c>
      <c r="G118" s="24">
        <v>14</v>
      </c>
      <c r="H118" s="24" t="s">
        <v>0</v>
      </c>
      <c r="I118" s="24">
        <v>52.5</v>
      </c>
      <c r="J118" s="24">
        <v>850</v>
      </c>
      <c r="K118" s="24">
        <v>4.6236559139784972E-2</v>
      </c>
      <c r="L118" s="24">
        <v>0</v>
      </c>
      <c r="M118" s="24" t="s">
        <v>182</v>
      </c>
      <c r="BF118" s="1">
        <v>0.90476190476190477</v>
      </c>
      <c r="BG118" t="str">
        <f>"1"</f>
        <v>1</v>
      </c>
      <c r="BH118" t="str">
        <f xml:space="preserve"> IF($BF$118 &gt;= $G$204, "1","0")</f>
        <v>1</v>
      </c>
      <c r="BI118">
        <f xml:space="preserve"> IF( AND( $BG$118 = "1", $BH$118 = "1" ), 1, IF( AND( $BG$118 = "1", $BH$118 = "0" ), 2, IF( AND( $BG$118 = "0", $BH$118 = "1" ), 3, 4 ) ) )</f>
        <v>1</v>
      </c>
      <c r="BK118" s="1">
        <v>1.8947368421052633E-2</v>
      </c>
      <c r="BL118" t="str">
        <f>"0"</f>
        <v>0</v>
      </c>
      <c r="BM118" t="str">
        <f xml:space="preserve"> IF($BK$118 &gt;= $G$281, "1","0")</f>
        <v>0</v>
      </c>
      <c r="BN118">
        <f xml:space="preserve"> IF( AND( $BL$118 = "1", $BM$118 = "1" ), 1, IF( AND( $BL$118 = "1", $BM$118 = "0" ), 2, IF( AND( $BL$118 = "0", $BM$118 = "1" ), 3, 4 ) ) )</f>
        <v>4</v>
      </c>
    </row>
    <row r="119" spans="3:66" x14ac:dyDescent="0.25">
      <c r="C119" s="24">
        <v>10</v>
      </c>
      <c r="D119" s="24">
        <v>4</v>
      </c>
      <c r="E119" s="24">
        <v>5</v>
      </c>
      <c r="F119" s="24">
        <v>15</v>
      </c>
      <c r="G119" s="24">
        <v>16</v>
      </c>
      <c r="H119" s="24" t="s">
        <v>0</v>
      </c>
      <c r="I119" s="24">
        <v>54.5</v>
      </c>
      <c r="J119" s="24">
        <v>400</v>
      </c>
      <c r="K119" s="24">
        <v>5.3763440860216116E-4</v>
      </c>
      <c r="L119" s="24">
        <v>0</v>
      </c>
      <c r="M119" s="24" t="s">
        <v>182</v>
      </c>
      <c r="BF119" s="1">
        <v>0.90476190476190477</v>
      </c>
      <c r="BG119" t="str">
        <f>"1"</f>
        <v>1</v>
      </c>
      <c r="BH119" t="str">
        <f xml:space="preserve"> IF($BF$119 &gt;= $G$204, "1","0")</f>
        <v>1</v>
      </c>
      <c r="BI119">
        <f xml:space="preserve"> IF( AND( $BG$119 = "1", $BH$119 = "1" ), 1, IF( AND( $BG$119 = "1", $BH$119 = "0" ), 2, IF( AND( $BG$119 = "0", $BH$119 = "1" ), 3, 4 ) ) )</f>
        <v>1</v>
      </c>
      <c r="BK119" s="1">
        <v>0</v>
      </c>
      <c r="BL119" t="str">
        <f>"0"</f>
        <v>0</v>
      </c>
      <c r="BM119" t="str">
        <f xml:space="preserve"> IF($BK$119 &gt;= $G$281, "1","0")</f>
        <v>0</v>
      </c>
      <c r="BN119">
        <f xml:space="preserve"> IF( AND( $BL$119 = "1", $BM$119 = "1" ), 1, IF( AND( $BL$119 = "1", $BM$119 = "0" ), 2, IF( AND( $BL$119 = "0", $BM$119 = "1" ), 3, 4 ) ) )</f>
        <v>4</v>
      </c>
    </row>
    <row r="120" spans="3:66" x14ac:dyDescent="0.25">
      <c r="C120" s="24">
        <v>11</v>
      </c>
      <c r="D120" s="24">
        <v>4</v>
      </c>
      <c r="E120" s="24">
        <v>8</v>
      </c>
      <c r="F120" s="24">
        <v>17</v>
      </c>
      <c r="G120" s="24">
        <v>18</v>
      </c>
      <c r="H120" s="24" t="s">
        <v>0</v>
      </c>
      <c r="I120" s="24">
        <v>75.5</v>
      </c>
      <c r="J120" s="24">
        <v>86</v>
      </c>
      <c r="K120" s="24">
        <v>1.0215053763440861E-2</v>
      </c>
      <c r="L120" s="24">
        <v>0</v>
      </c>
      <c r="M120" s="24" t="s">
        <v>182</v>
      </c>
      <c r="BF120" s="1">
        <v>0.90476190476190477</v>
      </c>
      <c r="BG120" t="str">
        <f>"1"</f>
        <v>1</v>
      </c>
      <c r="BH120" t="str">
        <f xml:space="preserve"> IF($BF$120 &gt;= $G$204, "1","0")</f>
        <v>1</v>
      </c>
      <c r="BI120">
        <f xml:space="preserve"> IF( AND( $BG$120 = "1", $BH$120 = "1" ), 1, IF( AND( $BG$120 = "1", $BH$120 = "0" ), 2, IF( AND( $BG$120 = "0", $BH$120 = "1" ), 3, 4 ) ) )</f>
        <v>1</v>
      </c>
      <c r="BK120" s="1">
        <v>1</v>
      </c>
      <c r="BL120" t="str">
        <f>"1"</f>
        <v>1</v>
      </c>
      <c r="BM120" t="str">
        <f xml:space="preserve"> IF($BK$120 &gt;= $G$281, "1","0")</f>
        <v>1</v>
      </c>
      <c r="BN120">
        <f xml:space="preserve"> IF( AND( $BL$120 = "1", $BM$120 = "1" ), 1, IF( AND( $BL$120 = "1", $BM$120 = "0" ), 2, IF( AND( $BL$120 = "0", $BM$120 = "1" ), 3, 4 ) ) )</f>
        <v>1</v>
      </c>
    </row>
    <row r="121" spans="3:66" x14ac:dyDescent="0.25">
      <c r="C121" s="24">
        <v>12</v>
      </c>
      <c r="D121" s="24">
        <v>4</v>
      </c>
      <c r="E121" s="24">
        <v>8</v>
      </c>
      <c r="F121" s="24">
        <v>19</v>
      </c>
      <c r="G121" s="24">
        <v>20</v>
      </c>
      <c r="H121" s="24" t="s">
        <v>6</v>
      </c>
      <c r="I121" s="24">
        <v>12715.5</v>
      </c>
      <c r="J121" s="24">
        <v>186</v>
      </c>
      <c r="K121" s="24">
        <v>4.5698924731182797E-2</v>
      </c>
      <c r="L121" s="24">
        <v>0</v>
      </c>
      <c r="M121" s="24" t="s">
        <v>182</v>
      </c>
      <c r="BF121" s="1">
        <v>0.90476190476190477</v>
      </c>
      <c r="BG121" t="str">
        <f>"1"</f>
        <v>1</v>
      </c>
      <c r="BH121" t="str">
        <f xml:space="preserve"> IF($BF$121 &gt;= $G$204, "1","0")</f>
        <v>1</v>
      </c>
      <c r="BI121">
        <f xml:space="preserve"> IF( AND( $BG$121 = "1", $BH$121 = "1" ), 1, IF( AND( $BG$121 = "1", $BH$121 = "0" ), 2, IF( AND( $BG$121 = "0", $BH$121 = "1" ), 3, 4 ) ) )</f>
        <v>1</v>
      </c>
      <c r="BK121" s="1">
        <v>1</v>
      </c>
      <c r="BL121" t="str">
        <f>"1"</f>
        <v>1</v>
      </c>
      <c r="BM121" t="str">
        <f xml:space="preserve"> IF($BK$121 &gt;= $G$281, "1","0")</f>
        <v>1</v>
      </c>
      <c r="BN121">
        <f xml:space="preserve"> IF( AND( $BL$121 = "1", $BM$121 = "1" ), 1, IF( AND( $BL$121 = "1", $BM$121 = "0" ), 2, IF( AND( $BL$121 = "0", $BM$121 = "1" ), 3, 4 ) ) )</f>
        <v>1</v>
      </c>
    </row>
    <row r="122" spans="3:66" x14ac:dyDescent="0.25">
      <c r="C122" s="24">
        <v>13</v>
      </c>
      <c r="D122" s="24">
        <v>5</v>
      </c>
      <c r="E122" s="24">
        <v>9</v>
      </c>
      <c r="F122" s="24">
        <v>21</v>
      </c>
      <c r="G122" s="24">
        <v>22</v>
      </c>
      <c r="H122" s="24" t="s">
        <v>0</v>
      </c>
      <c r="I122" s="24">
        <v>27.5</v>
      </c>
      <c r="J122" s="24">
        <v>829</v>
      </c>
      <c r="K122" s="24">
        <v>3.6021505376344076E-2</v>
      </c>
      <c r="L122" s="24">
        <v>0</v>
      </c>
      <c r="M122" s="24" t="s">
        <v>182</v>
      </c>
      <c r="BF122" s="1">
        <v>0.90476190476190477</v>
      </c>
      <c r="BG122" t="str">
        <f>"1"</f>
        <v>1</v>
      </c>
      <c r="BH122" t="str">
        <f xml:space="preserve"> IF($BF$122 &gt;= $G$204, "1","0")</f>
        <v>1</v>
      </c>
      <c r="BI122">
        <f xml:space="preserve"> IF( AND( $BG$122 = "1", $BH$122 = "1" ), 1, IF( AND( $BG$122 = "1", $BH$122 = "0" ), 2, IF( AND( $BG$122 = "0", $BH$122 = "1" ), 3, 4 ) ) )</f>
        <v>1</v>
      </c>
      <c r="BK122" s="1">
        <v>1.8947368421052633E-2</v>
      </c>
      <c r="BL122" t="str">
        <f>"0"</f>
        <v>0</v>
      </c>
      <c r="BM122" t="str">
        <f xml:space="preserve"> IF($BK$122 &gt;= $G$281, "1","0")</f>
        <v>0</v>
      </c>
      <c r="BN122">
        <f xml:space="preserve"> IF( AND( $BL$122 = "1", $BM$122 = "1" ), 1, IF( AND( $BL$122 = "1", $BM$122 = "0" ), 2, IF( AND( $BL$122 = "0", $BM$122 = "1" ), 3, 4 ) ) )</f>
        <v>4</v>
      </c>
    </row>
    <row r="123" spans="3:66" x14ac:dyDescent="0.25">
      <c r="C123" s="24">
        <v>14</v>
      </c>
      <c r="D123" s="24">
        <v>5</v>
      </c>
      <c r="E123" s="24">
        <v>9</v>
      </c>
      <c r="F123" s="24" t="s">
        <v>181</v>
      </c>
      <c r="G123" s="24" t="s">
        <v>181</v>
      </c>
      <c r="H123" s="24" t="s">
        <v>181</v>
      </c>
      <c r="I123" s="24" t="s">
        <v>181</v>
      </c>
      <c r="J123" s="24">
        <v>21</v>
      </c>
      <c r="K123" s="24">
        <v>1.0752688172043015E-3</v>
      </c>
      <c r="L123" s="24">
        <v>1</v>
      </c>
      <c r="M123" s="24" t="s">
        <v>183</v>
      </c>
      <c r="BF123" s="1">
        <v>0.90476190476190477</v>
      </c>
      <c r="BG123" t="str">
        <f>"1"</f>
        <v>1</v>
      </c>
      <c r="BH123" t="str">
        <f xml:space="preserve"> IF($BF$123 &gt;= $G$204, "1","0")</f>
        <v>1</v>
      </c>
      <c r="BI123">
        <f xml:space="preserve"> IF( AND( $BG$123 = "1", $BH$123 = "1" ), 1, IF( AND( $BG$123 = "1", $BH$123 = "0" ), 2, IF( AND( $BG$123 = "0", $BH$123 = "1" ), 3, 4 ) ) )</f>
        <v>1</v>
      </c>
      <c r="BK123" s="1">
        <v>0</v>
      </c>
      <c r="BL123" t="str">
        <f>"0"</f>
        <v>0</v>
      </c>
      <c r="BM123" t="str">
        <f xml:space="preserve"> IF($BK$123 &gt;= $G$281, "1","0")</f>
        <v>0</v>
      </c>
      <c r="BN123">
        <f xml:space="preserve"> IF( AND( $BL$123 = "1", $BM$123 = "1" ), 1, IF( AND( $BL$123 = "1", $BM$123 = "0" ), 2, IF( AND( $BL$123 = "0", $BM$123 = "1" ), 3, 4 ) ) )</f>
        <v>4</v>
      </c>
    </row>
    <row r="124" spans="3:66" x14ac:dyDescent="0.25">
      <c r="C124" s="24">
        <v>15</v>
      </c>
      <c r="D124" s="24">
        <v>5</v>
      </c>
      <c r="E124" s="24">
        <v>10</v>
      </c>
      <c r="F124" s="24" t="s">
        <v>181</v>
      </c>
      <c r="G124" s="24" t="s">
        <v>181</v>
      </c>
      <c r="H124" s="24" t="s">
        <v>181</v>
      </c>
      <c r="I124" s="24" t="s">
        <v>181</v>
      </c>
      <c r="J124" s="24">
        <v>25</v>
      </c>
      <c r="K124" s="24">
        <v>5.3763440860215075E-4</v>
      </c>
      <c r="L124" s="24">
        <v>0</v>
      </c>
      <c r="M124" s="24" t="s">
        <v>183</v>
      </c>
      <c r="BF124" s="1">
        <v>3.4482758620689655E-2</v>
      </c>
      <c r="BG124" t="str">
        <f>"1"</f>
        <v>1</v>
      </c>
      <c r="BH124" t="str">
        <f xml:space="preserve"> IF($BF$124 &gt;= $G$204, "1","0")</f>
        <v>0</v>
      </c>
      <c r="BI124">
        <f xml:space="preserve"> IF( AND( $BG$124 = "1", $BH$124 = "1" ), 1, IF( AND( $BG$124 = "1", $BH$124 = "0" ), 2, IF( AND( $BG$124 = "0", $BH$124 = "1" ), 3, 4 ) ) )</f>
        <v>2</v>
      </c>
      <c r="BK124" s="1">
        <v>1</v>
      </c>
      <c r="BL124" t="str">
        <f>"1"</f>
        <v>1</v>
      </c>
      <c r="BM124" t="str">
        <f xml:space="preserve"> IF($BK$124 &gt;= $G$281, "1","0")</f>
        <v>1</v>
      </c>
      <c r="BN124">
        <f xml:space="preserve"> IF( AND( $BL$124 = "1", $BM$124 = "1" ), 1, IF( AND( $BL$124 = "1", $BM$124 = "0" ), 2, IF( AND( $BL$124 = "0", $BM$124 = "1" ), 3, 4 ) ) )</f>
        <v>1</v>
      </c>
    </row>
    <row r="125" spans="3:66" x14ac:dyDescent="0.25">
      <c r="C125" s="24">
        <v>16</v>
      </c>
      <c r="D125" s="24">
        <v>5</v>
      </c>
      <c r="E125" s="24">
        <v>10</v>
      </c>
      <c r="F125" s="24" t="s">
        <v>181</v>
      </c>
      <c r="G125" s="24" t="s">
        <v>181</v>
      </c>
      <c r="H125" s="24" t="s">
        <v>181</v>
      </c>
      <c r="I125" s="24" t="s">
        <v>181</v>
      </c>
      <c r="J125" s="24">
        <v>375</v>
      </c>
      <c r="K125" s="24">
        <v>0</v>
      </c>
      <c r="L125" s="24">
        <v>0</v>
      </c>
      <c r="M125" s="24" t="s">
        <v>183</v>
      </c>
      <c r="BF125" s="1">
        <v>0.38461538461538464</v>
      </c>
      <c r="BG125" t="str">
        <f>"1"</f>
        <v>1</v>
      </c>
      <c r="BH125" t="str">
        <f xml:space="preserve"> IF($BF$125 &gt;= $G$204, "1","0")</f>
        <v>1</v>
      </c>
      <c r="BI125">
        <f xml:space="preserve"> IF( AND( $BG$125 = "1", $BH$125 = "1" ), 1, IF( AND( $BG$125 = "1", $BH$125 = "0" ), 2, IF( AND( $BG$125 = "0", $BH$125 = "1" ), 3, 4 ) ) )</f>
        <v>1</v>
      </c>
      <c r="BK125" s="1">
        <v>1</v>
      </c>
      <c r="BL125" t="str">
        <f>"1"</f>
        <v>1</v>
      </c>
      <c r="BM125" t="str">
        <f xml:space="preserve"> IF($BK$125 &gt;= $G$281, "1","0")</f>
        <v>1</v>
      </c>
      <c r="BN125">
        <f xml:space="preserve"> IF( AND( $BL$125 = "1", $BM$125 = "1" ), 1, IF( AND( $BL$125 = "1", $BM$125 = "0" ), 2, IF( AND( $BL$125 = "0", $BM$125 = "1" ), 3, 4 ) ) )</f>
        <v>1</v>
      </c>
    </row>
    <row r="126" spans="3:66" x14ac:dyDescent="0.25">
      <c r="C126" s="24">
        <v>17</v>
      </c>
      <c r="D126" s="24">
        <v>5</v>
      </c>
      <c r="E126" s="24">
        <v>11</v>
      </c>
      <c r="F126" s="24" t="s">
        <v>181</v>
      </c>
      <c r="G126" s="24" t="s">
        <v>181</v>
      </c>
      <c r="H126" s="24" t="s">
        <v>181</v>
      </c>
      <c r="I126" s="24" t="s">
        <v>181</v>
      </c>
      <c r="J126" s="24">
        <v>16</v>
      </c>
      <c r="K126" s="24">
        <v>3.7634408602150535E-3</v>
      </c>
      <c r="L126" s="24">
        <v>1</v>
      </c>
      <c r="M126" s="24" t="s">
        <v>183</v>
      </c>
      <c r="BF126" s="1">
        <v>0.38461538461538464</v>
      </c>
      <c r="BG126" t="str">
        <f>"1"</f>
        <v>1</v>
      </c>
      <c r="BH126" t="str">
        <f xml:space="preserve"> IF($BF$126 &gt;= $G$204, "1","0")</f>
        <v>1</v>
      </c>
      <c r="BI126">
        <f xml:space="preserve"> IF( AND( $BG$126 = "1", $BH$126 = "1" ), 1, IF( AND( $BG$126 = "1", $BH$126 = "0" ), 2, IF( AND( $BG$126 = "0", $BH$126 = "1" ), 3, 4 ) ) )</f>
        <v>1</v>
      </c>
      <c r="BK126" s="1">
        <v>0.14285714285714288</v>
      </c>
      <c r="BL126" t="str">
        <f>"0"</f>
        <v>0</v>
      </c>
      <c r="BM126" t="str">
        <f xml:space="preserve"> IF($BK$126 &gt;= $G$281, "1","0")</f>
        <v>0</v>
      </c>
      <c r="BN126">
        <f xml:space="preserve"> IF( AND( $BL$126 = "1", $BM$126 = "1" ), 1, IF( AND( $BL$126 = "1", $BM$126 = "0" ), 2, IF( AND( $BL$126 = "0", $BM$126 = "1" ), 3, 4 ) ) )</f>
        <v>4</v>
      </c>
    </row>
    <row r="127" spans="3:66" x14ac:dyDescent="0.25">
      <c r="C127" s="24">
        <v>18</v>
      </c>
      <c r="D127" s="24">
        <v>5</v>
      </c>
      <c r="E127" s="24">
        <v>11</v>
      </c>
      <c r="F127" s="24">
        <v>23</v>
      </c>
      <c r="G127" s="24">
        <v>24</v>
      </c>
      <c r="H127" s="24" t="s">
        <v>0</v>
      </c>
      <c r="I127" s="24">
        <v>78.5</v>
      </c>
      <c r="J127" s="24">
        <v>70</v>
      </c>
      <c r="K127" s="24">
        <v>5.3763440860215075E-3</v>
      </c>
      <c r="L127" s="24">
        <v>0</v>
      </c>
      <c r="M127" s="24" t="s">
        <v>182</v>
      </c>
      <c r="BF127" s="1">
        <v>0.69230769230769229</v>
      </c>
      <c r="BG127" t="str">
        <f>"1"</f>
        <v>1</v>
      </c>
      <c r="BH127" t="str">
        <f xml:space="preserve"> IF($BF$127 &gt;= $G$204, "1","0")</f>
        <v>1</v>
      </c>
      <c r="BI127">
        <f xml:space="preserve"> IF( AND( $BG$127 = "1", $BH$127 = "1" ), 1, IF( AND( $BG$127 = "1", $BH$127 = "0" ), 2, IF( AND( $BG$127 = "0", $BH$127 = "1" ), 3, 4 ) ) )</f>
        <v>1</v>
      </c>
      <c r="BK127" s="1">
        <v>0.14285714285714288</v>
      </c>
      <c r="BL127" t="str">
        <f>"0"</f>
        <v>0</v>
      </c>
      <c r="BM127" t="str">
        <f xml:space="preserve"> IF($BK$127 &gt;= $G$281, "1","0")</f>
        <v>0</v>
      </c>
      <c r="BN127">
        <f xml:space="preserve"> IF( AND( $BL$127 = "1", $BM$127 = "1" ), 1, IF( AND( $BL$127 = "1", $BM$127 = "0" ), 2, IF( AND( $BL$127 = "0", $BM$127 = "1" ), 3, 4 ) ) )</f>
        <v>4</v>
      </c>
    </row>
    <row r="128" spans="3:66" x14ac:dyDescent="0.25">
      <c r="C128" s="24">
        <v>19</v>
      </c>
      <c r="D128" s="24">
        <v>5</v>
      </c>
      <c r="E128" s="24">
        <v>12</v>
      </c>
      <c r="F128" s="24">
        <v>25</v>
      </c>
      <c r="G128" s="24">
        <v>26</v>
      </c>
      <c r="H128" s="24" t="s">
        <v>6</v>
      </c>
      <c r="I128" s="24">
        <v>6145.5</v>
      </c>
      <c r="J128" s="24">
        <v>86</v>
      </c>
      <c r="K128" s="24">
        <v>1.7204301075268814E-2</v>
      </c>
      <c r="L128" s="24">
        <v>0</v>
      </c>
      <c r="M128" s="24" t="s">
        <v>182</v>
      </c>
      <c r="BF128" s="1">
        <v>0.69230769230769229</v>
      </c>
      <c r="BG128" t="str">
        <f>"1"</f>
        <v>1</v>
      </c>
      <c r="BH128" t="str">
        <f xml:space="preserve"> IF($BF$128 &gt;= $G$204, "1","0")</f>
        <v>1</v>
      </c>
      <c r="BI128">
        <f xml:space="preserve"> IF( AND( $BG$128 = "1", $BH$128 = "1" ), 1, IF( AND( $BG$128 = "1", $BH$128 = "0" ), 2, IF( AND( $BG$128 = "0", $BH$128 = "1" ), 3, 4 ) ) )</f>
        <v>1</v>
      </c>
      <c r="BK128" s="1">
        <v>2.5000000000000001E-3</v>
      </c>
      <c r="BL128" t="str">
        <f>"0"</f>
        <v>0</v>
      </c>
      <c r="BM128" t="str">
        <f xml:space="preserve"> IF($BK$128 &gt;= $G$281, "1","0")</f>
        <v>0</v>
      </c>
      <c r="BN128">
        <f xml:space="preserve"> IF( AND( $BL$128 = "1", $BM$128 = "1" ), 1, IF( AND( $BL$128 = "1", $BM$128 = "0" ), 2, IF( AND( $BL$128 = "0", $BM$128 = "1" ), 3, 4 ) ) )</f>
        <v>4</v>
      </c>
    </row>
    <row r="129" spans="3:66" x14ac:dyDescent="0.25">
      <c r="C129" s="24">
        <v>20</v>
      </c>
      <c r="D129" s="24">
        <v>5</v>
      </c>
      <c r="E129" s="24">
        <v>12</v>
      </c>
      <c r="F129" s="24">
        <v>27</v>
      </c>
      <c r="G129" s="24">
        <v>28</v>
      </c>
      <c r="H129" s="24" t="s">
        <v>3</v>
      </c>
      <c r="I129" s="24">
        <v>3.5</v>
      </c>
      <c r="J129" s="24">
        <v>100</v>
      </c>
      <c r="K129" s="24">
        <v>2.5268817204301075E-2</v>
      </c>
      <c r="L129" s="24">
        <v>1</v>
      </c>
      <c r="M129" s="24" t="s">
        <v>182</v>
      </c>
      <c r="BF129" s="1">
        <v>0.69230769230769229</v>
      </c>
      <c r="BG129" t="str">
        <f>"1"</f>
        <v>1</v>
      </c>
      <c r="BH129" t="str">
        <f xml:space="preserve"> IF($BF$129 &gt;= $G$204, "1","0")</f>
        <v>1</v>
      </c>
      <c r="BI129">
        <f xml:space="preserve"> IF( AND( $BG$129 = "1", $BH$129 = "1" ), 1, IF( AND( $BG$129 = "1", $BH$129 = "0" ), 2, IF( AND( $BG$129 = "0", $BH$129 = "1" ), 3, 4 ) ) )</f>
        <v>1</v>
      </c>
      <c r="BK129" s="1">
        <v>2.5000000000000001E-3</v>
      </c>
      <c r="BL129" t="str">
        <f>"0"</f>
        <v>0</v>
      </c>
      <c r="BM129" t="str">
        <f xml:space="preserve"> IF($BK$129 &gt;= $G$281, "1","0")</f>
        <v>0</v>
      </c>
      <c r="BN129">
        <f xml:space="preserve"> IF( AND( $BL$129 = "1", $BM$129 = "1" ), 1, IF( AND( $BL$129 = "1", $BM$129 = "0" ), 2, IF( AND( $BL$129 = "0", $BM$129 = "1" ), 3, 4 ) ) )</f>
        <v>4</v>
      </c>
    </row>
    <row r="130" spans="3:66" x14ac:dyDescent="0.25">
      <c r="C130" s="24">
        <v>21</v>
      </c>
      <c r="D130" s="24">
        <v>6</v>
      </c>
      <c r="E130" s="24">
        <v>13</v>
      </c>
      <c r="F130" s="24">
        <v>29</v>
      </c>
      <c r="G130" s="24">
        <v>30</v>
      </c>
      <c r="H130" s="24" t="s">
        <v>6</v>
      </c>
      <c r="I130" s="24">
        <v>36388</v>
      </c>
      <c r="J130" s="24">
        <v>481</v>
      </c>
      <c r="K130" s="24">
        <v>7.5268817204300897E-3</v>
      </c>
      <c r="L130" s="24">
        <v>0</v>
      </c>
      <c r="M130" s="24" t="s">
        <v>182</v>
      </c>
      <c r="BF130" s="1">
        <v>0.69230769230769229</v>
      </c>
      <c r="BG130" t="str">
        <f>"1"</f>
        <v>1</v>
      </c>
      <c r="BH130" t="str">
        <f xml:space="preserve"> IF($BF$130 &gt;= $G$204, "1","0")</f>
        <v>1</v>
      </c>
      <c r="BI130">
        <f xml:space="preserve"> IF( AND( $BG$130 = "1", $BH$130 = "1" ), 1, IF( AND( $BG$130 = "1", $BH$130 = "0" ), 2, IF( AND( $BG$130 = "0", $BH$130 = "1" ), 3, 4 ) ) )</f>
        <v>1</v>
      </c>
      <c r="BK130" s="1">
        <v>0</v>
      </c>
      <c r="BL130" t="str">
        <f>"0"</f>
        <v>0</v>
      </c>
      <c r="BM130" t="str">
        <f xml:space="preserve"> IF($BK$130 &gt;= $G$281, "1","0")</f>
        <v>0</v>
      </c>
      <c r="BN130">
        <f xml:space="preserve"> IF( AND( $BL$130 = "1", $BM$130 = "1" ), 1, IF( AND( $BL$130 = "1", $BM$130 = "0" ), 2, IF( AND( $BL$130 = "0", $BM$130 = "1" ), 3, 4 ) ) )</f>
        <v>4</v>
      </c>
    </row>
    <row r="131" spans="3:66" x14ac:dyDescent="0.25">
      <c r="C131" s="24">
        <v>22</v>
      </c>
      <c r="D131" s="24">
        <v>6</v>
      </c>
      <c r="E131" s="24">
        <v>13</v>
      </c>
      <c r="F131" s="24">
        <v>31</v>
      </c>
      <c r="G131" s="24">
        <v>32</v>
      </c>
      <c r="H131" s="24" t="s">
        <v>0</v>
      </c>
      <c r="I131" s="24">
        <v>28.5</v>
      </c>
      <c r="J131" s="24">
        <v>348</v>
      </c>
      <c r="K131" s="24">
        <v>2.8494623655913986E-2</v>
      </c>
      <c r="L131" s="24">
        <v>0</v>
      </c>
      <c r="M131" s="24" t="s">
        <v>182</v>
      </c>
      <c r="BF131" s="1">
        <v>0.69230769230769229</v>
      </c>
      <c r="BG131" t="str">
        <f>"1"</f>
        <v>1</v>
      </c>
      <c r="BH131" t="str">
        <f xml:space="preserve"> IF($BF$131 &gt;= $G$204, "1","0")</f>
        <v>1</v>
      </c>
      <c r="BI131">
        <f xml:space="preserve"> IF( AND( $BG$131 = "1", $BH$131 = "1" ), 1, IF( AND( $BG$131 = "1", $BH$131 = "0" ), 2, IF( AND( $BG$131 = "0", $BH$131 = "1" ), 3, 4 ) ) )</f>
        <v>1</v>
      </c>
      <c r="BK131" s="1">
        <v>2.5000000000000001E-3</v>
      </c>
      <c r="BL131" t="str">
        <f>"0"</f>
        <v>0</v>
      </c>
      <c r="BM131" t="str">
        <f xml:space="preserve"> IF($BK$131 &gt;= $G$281, "1","0")</f>
        <v>0</v>
      </c>
      <c r="BN131">
        <f xml:space="preserve"> IF( AND( $BL$131 = "1", $BM$131 = "1" ), 1, IF( AND( $BL$131 = "1", $BM$131 = "0" ), 2, IF( AND( $BL$131 = "0", $BM$131 = "1" ), 3, 4 ) ) )</f>
        <v>4</v>
      </c>
    </row>
    <row r="132" spans="3:66" x14ac:dyDescent="0.25">
      <c r="C132" s="24">
        <v>23</v>
      </c>
      <c r="D132" s="24">
        <v>6</v>
      </c>
      <c r="E132" s="24">
        <v>18</v>
      </c>
      <c r="F132" s="24">
        <v>33</v>
      </c>
      <c r="G132" s="24">
        <v>34</v>
      </c>
      <c r="H132" s="24" t="s">
        <v>0</v>
      </c>
      <c r="I132" s="24">
        <v>77.5</v>
      </c>
      <c r="J132" s="24">
        <v>55</v>
      </c>
      <c r="K132" s="24">
        <v>5.3763440860215075E-3</v>
      </c>
      <c r="L132" s="24">
        <v>0</v>
      </c>
      <c r="M132" s="24" t="s">
        <v>182</v>
      </c>
      <c r="BF132" s="1">
        <v>0.69230769230769229</v>
      </c>
      <c r="BG132" t="str">
        <f>"1"</f>
        <v>1</v>
      </c>
      <c r="BH132" t="str">
        <f xml:space="preserve"> IF($BF$132 &gt;= $G$204, "1","0")</f>
        <v>1</v>
      </c>
      <c r="BI132">
        <f xml:space="preserve"> IF( AND( $BG$132 = "1", $BH$132 = "1" ), 1, IF( AND( $BG$132 = "1", $BH$132 = "0" ), 2, IF( AND( $BG$132 = "0", $BH$132 = "1" ), 3, 4 ) ) )</f>
        <v>1</v>
      </c>
      <c r="BK132" s="1">
        <v>0.69230769230769229</v>
      </c>
      <c r="BL132" t="str">
        <f>"1"</f>
        <v>1</v>
      </c>
      <c r="BM132" t="str">
        <f xml:space="preserve"> IF($BK$132 &gt;= $G$281, "1","0")</f>
        <v>1</v>
      </c>
      <c r="BN132">
        <f xml:space="preserve"> IF( AND( $BL$132 = "1", $BM$132 = "1" ), 1, IF( AND( $BL$132 = "1", $BM$132 = "0" ), 2, IF( AND( $BL$132 = "0", $BM$132 = "1" ), 3, 4 ) ) )</f>
        <v>1</v>
      </c>
    </row>
    <row r="133" spans="3:66" x14ac:dyDescent="0.25">
      <c r="C133" s="24">
        <v>24</v>
      </c>
      <c r="D133" s="24">
        <v>6</v>
      </c>
      <c r="E133" s="24">
        <v>18</v>
      </c>
      <c r="F133" s="24" t="s">
        <v>181</v>
      </c>
      <c r="G133" s="24" t="s">
        <v>181</v>
      </c>
      <c r="H133" s="24" t="s">
        <v>181</v>
      </c>
      <c r="I133" s="24" t="s">
        <v>181</v>
      </c>
      <c r="J133" s="24">
        <v>15</v>
      </c>
      <c r="K133" s="24">
        <v>0</v>
      </c>
      <c r="L133" s="24">
        <v>0</v>
      </c>
      <c r="M133" s="24" t="s">
        <v>183</v>
      </c>
      <c r="BF133" s="1">
        <v>0.69230769230769229</v>
      </c>
      <c r="BG133" t="str">
        <f>"1"</f>
        <v>1</v>
      </c>
      <c r="BH133" t="str">
        <f xml:space="preserve"> IF($BF$133 &gt;= $G$204, "1","0")</f>
        <v>1</v>
      </c>
      <c r="BI133">
        <f xml:space="preserve"> IF( AND( $BG$133 = "1", $BH$133 = "1" ), 1, IF( AND( $BG$133 = "1", $BH$133 = "0" ), 2, IF( AND( $BG$133 = "0", $BH$133 = "1" ), 3, 4 ) ) )</f>
        <v>1</v>
      </c>
      <c r="BK133" s="1">
        <v>0</v>
      </c>
      <c r="BL133" t="str">
        <f>"0"</f>
        <v>0</v>
      </c>
      <c r="BM133" t="str">
        <f xml:space="preserve"> IF($BK$133 &gt;= $G$281, "1","0")</f>
        <v>0</v>
      </c>
      <c r="BN133">
        <f xml:space="preserve"> IF( AND( $BL$133 = "1", $BM$133 = "1" ), 1, IF( AND( $BL$133 = "1", $BM$133 = "0" ), 2, IF( AND( $BL$133 = "0", $BM$133 = "1" ), 3, 4 ) ) )</f>
        <v>4</v>
      </c>
    </row>
    <row r="134" spans="3:66" x14ac:dyDescent="0.25">
      <c r="C134" s="24">
        <v>25</v>
      </c>
      <c r="D134" s="24">
        <v>6</v>
      </c>
      <c r="E134" s="24">
        <v>19</v>
      </c>
      <c r="F134" s="24" t="s">
        <v>181</v>
      </c>
      <c r="G134" s="24" t="s">
        <v>181</v>
      </c>
      <c r="H134" s="24" t="s">
        <v>181</v>
      </c>
      <c r="I134" s="24" t="s">
        <v>181</v>
      </c>
      <c r="J134" s="24">
        <v>11</v>
      </c>
      <c r="K134" s="24">
        <v>1.6129032258064514E-3</v>
      </c>
      <c r="L134" s="24">
        <v>1</v>
      </c>
      <c r="M134" s="24" t="s">
        <v>183</v>
      </c>
      <c r="BF134" s="1">
        <v>0.69230769230769229</v>
      </c>
      <c r="BG134" t="str">
        <f>"1"</f>
        <v>1</v>
      </c>
      <c r="BH134" t="str">
        <f xml:space="preserve"> IF($BF$134 &gt;= $G$204, "1","0")</f>
        <v>1</v>
      </c>
      <c r="BI134">
        <f xml:space="preserve"> IF( AND( $BG$134 = "1", $BH$134 = "1" ), 1, IF( AND( $BG$134 = "1", $BH$134 = "0" ), 2, IF( AND( $BG$134 = "0", $BH$134 = "1" ), 3, 4 ) ) )</f>
        <v>1</v>
      </c>
      <c r="BK134" s="1">
        <v>1.8947368421052633E-2</v>
      </c>
      <c r="BL134" t="str">
        <f>"0"</f>
        <v>0</v>
      </c>
      <c r="BM134" t="str">
        <f xml:space="preserve"> IF($BK$134 &gt;= $G$281, "1","0")</f>
        <v>0</v>
      </c>
      <c r="BN134">
        <f xml:space="preserve"> IF( AND( $BL$134 = "1", $BM$134 = "1" ), 1, IF( AND( $BL$134 = "1", $BM$134 = "0" ), 2, IF( AND( $BL$134 = "0", $BM$134 = "1" ), 3, 4 ) ) )</f>
        <v>4</v>
      </c>
    </row>
    <row r="135" spans="3:66" x14ac:dyDescent="0.25">
      <c r="C135" s="24">
        <v>26</v>
      </c>
      <c r="D135" s="24">
        <v>6</v>
      </c>
      <c r="E135" s="24">
        <v>19</v>
      </c>
      <c r="F135" s="24">
        <v>35</v>
      </c>
      <c r="G135" s="24">
        <v>36</v>
      </c>
      <c r="H135" s="24" t="s">
        <v>3</v>
      </c>
      <c r="I135" s="24">
        <v>4.5</v>
      </c>
      <c r="J135" s="24">
        <v>75</v>
      </c>
      <c r="K135" s="24">
        <v>1.2903225806451615E-2</v>
      </c>
      <c r="L135" s="24">
        <v>0</v>
      </c>
      <c r="M135" s="24" t="s">
        <v>182</v>
      </c>
      <c r="BF135" s="1">
        <v>0.79999999999999993</v>
      </c>
      <c r="BG135" t="str">
        <f>"1"</f>
        <v>1</v>
      </c>
      <c r="BH135" t="str">
        <f xml:space="preserve"> IF($BF$135 &gt;= $G$204, "1","0")</f>
        <v>1</v>
      </c>
      <c r="BI135">
        <f xml:space="preserve"> IF( AND( $BG$135 = "1", $BH$135 = "1" ), 1, IF( AND( $BG$135 = "1", $BH$135 = "0" ), 2, IF( AND( $BG$135 = "0", $BH$135 = "1" ), 3, 4 ) ) )</f>
        <v>1</v>
      </c>
      <c r="BK135" s="1">
        <v>1.8947368421052633E-2</v>
      </c>
      <c r="BL135" t="str">
        <f>"0"</f>
        <v>0</v>
      </c>
      <c r="BM135" t="str">
        <f xml:space="preserve"> IF($BK$135 &gt;= $G$281, "1","0")</f>
        <v>0</v>
      </c>
      <c r="BN135">
        <f xml:space="preserve"> IF( AND( $BL$135 = "1", $BM$135 = "1" ), 1, IF( AND( $BL$135 = "1", $BM$135 = "0" ), 2, IF( AND( $BL$135 = "0", $BM$135 = "1" ), 3, 4 ) ) )</f>
        <v>4</v>
      </c>
    </row>
    <row r="136" spans="3:66" x14ac:dyDescent="0.25">
      <c r="C136" s="24">
        <v>27</v>
      </c>
      <c r="D136" s="24">
        <v>6</v>
      </c>
      <c r="E136" s="24">
        <v>20</v>
      </c>
      <c r="F136" s="24">
        <v>37</v>
      </c>
      <c r="G136" s="24">
        <v>38</v>
      </c>
      <c r="H136" s="24" t="s">
        <v>0</v>
      </c>
      <c r="I136" s="24">
        <v>83.5</v>
      </c>
      <c r="J136" s="24">
        <v>40</v>
      </c>
      <c r="K136" s="24">
        <v>8.0645161290322578E-3</v>
      </c>
      <c r="L136" s="24">
        <v>0</v>
      </c>
      <c r="M136" s="24" t="s">
        <v>182</v>
      </c>
      <c r="BF136" s="1">
        <v>0.79999999999999993</v>
      </c>
      <c r="BG136" t="str">
        <f>"1"</f>
        <v>1</v>
      </c>
      <c r="BH136" t="str">
        <f xml:space="preserve"> IF($BF$136 &gt;= $G$204, "1","0")</f>
        <v>1</v>
      </c>
      <c r="BI136">
        <f xml:space="preserve"> IF( AND( $BG$136 = "1", $BH$136 = "1" ), 1, IF( AND( $BG$136 = "1", $BH$136 = "0" ), 2, IF( AND( $BG$136 = "0", $BH$136 = "1" ), 3, 4 ) ) )</f>
        <v>1</v>
      </c>
      <c r="BK136" s="1">
        <v>3.333333333333334E-2</v>
      </c>
      <c r="BL136" t="str">
        <f>"0"</f>
        <v>0</v>
      </c>
      <c r="BM136" t="str">
        <f xml:space="preserve"> IF($BK$136 &gt;= $G$281, "1","0")</f>
        <v>0</v>
      </c>
      <c r="BN136">
        <f xml:space="preserve"> IF( AND( $BL$136 = "1", $BM$136 = "1" ), 1, IF( AND( $BL$136 = "1", $BM$136 = "0" ), 2, IF( AND( $BL$136 = "0", $BM$136 = "1" ), 3, 4 ) ) )</f>
        <v>4</v>
      </c>
    </row>
    <row r="137" spans="3:66" x14ac:dyDescent="0.25">
      <c r="C137" s="24">
        <v>28</v>
      </c>
      <c r="D137" s="24">
        <v>6</v>
      </c>
      <c r="E137" s="24">
        <v>20</v>
      </c>
      <c r="F137" s="24">
        <v>39</v>
      </c>
      <c r="G137" s="24">
        <v>40</v>
      </c>
      <c r="H137" s="24" t="s">
        <v>6</v>
      </c>
      <c r="I137" s="24">
        <v>14127.5</v>
      </c>
      <c r="J137" s="24">
        <v>60</v>
      </c>
      <c r="K137" s="24">
        <v>1.182795698924731E-2</v>
      </c>
      <c r="L137" s="24">
        <v>1</v>
      </c>
      <c r="M137" s="24" t="s">
        <v>182</v>
      </c>
      <c r="BF137" s="1">
        <v>0.72727272727272729</v>
      </c>
      <c r="BG137" t="str">
        <f>"1"</f>
        <v>1</v>
      </c>
      <c r="BH137" t="str">
        <f xml:space="preserve"> IF($BF$137 &gt;= $G$204, "1","0")</f>
        <v>1</v>
      </c>
      <c r="BI137">
        <f xml:space="preserve"> IF( AND( $BG$137 = "1", $BH$137 = "1" ), 1, IF( AND( $BG$137 = "1", $BH$137 = "0" ), 2, IF( AND( $BG$137 = "0", $BH$137 = "1" ), 3, 4 ) ) )</f>
        <v>1</v>
      </c>
      <c r="BK137" s="1">
        <v>0</v>
      </c>
      <c r="BL137" t="str">
        <f>"0"</f>
        <v>0</v>
      </c>
      <c r="BM137" t="str">
        <f xml:space="preserve"> IF($BK$137 &gt;= $G$281, "1","0")</f>
        <v>0</v>
      </c>
      <c r="BN137">
        <f xml:space="preserve"> IF( AND( $BL$137 = "1", $BM$137 = "1" ), 1, IF( AND( $BL$137 = "1", $BM$137 = "0" ), 2, IF( AND( $BL$137 = "0", $BM$137 = "1" ), 3, 4 ) ) )</f>
        <v>4</v>
      </c>
    </row>
    <row r="138" spans="3:66" x14ac:dyDescent="0.25">
      <c r="C138" s="24">
        <v>29</v>
      </c>
      <c r="D138" s="24">
        <v>7</v>
      </c>
      <c r="E138" s="24">
        <v>21</v>
      </c>
      <c r="F138" s="24">
        <v>41</v>
      </c>
      <c r="G138" s="24">
        <v>42</v>
      </c>
      <c r="H138" s="24" t="s">
        <v>6</v>
      </c>
      <c r="I138" s="24">
        <v>1665</v>
      </c>
      <c r="J138" s="24">
        <v>475</v>
      </c>
      <c r="K138" s="24">
        <v>4.8387096774193394E-3</v>
      </c>
      <c r="L138" s="24">
        <v>0</v>
      </c>
      <c r="M138" s="24" t="s">
        <v>182</v>
      </c>
      <c r="BF138" s="1">
        <v>0.79999999999999993</v>
      </c>
      <c r="BG138" t="str">
        <f>"1"</f>
        <v>1</v>
      </c>
      <c r="BH138" t="str">
        <f xml:space="preserve"> IF($BF$138 &gt;= $G$204, "1","0")</f>
        <v>1</v>
      </c>
      <c r="BI138">
        <f xml:space="preserve"> IF( AND( $BG$138 = "1", $BH$138 = "1" ), 1, IF( AND( $BG$138 = "1", $BH$138 = "0" ), 2, IF( AND( $BG$138 = "0", $BH$138 = "1" ), 3, 4 ) ) )</f>
        <v>1</v>
      </c>
      <c r="BK138" s="1">
        <v>1.8947368421052633E-2</v>
      </c>
      <c r="BL138" t="str">
        <f>"0"</f>
        <v>0</v>
      </c>
      <c r="BM138" t="str">
        <f xml:space="preserve"> IF($BK$138 &gt;= $G$281, "1","0")</f>
        <v>0</v>
      </c>
      <c r="BN138">
        <f xml:space="preserve"> IF( AND( $BL$138 = "1", $BM$138 = "1" ), 1, IF( AND( $BL$138 = "1", $BM$138 = "0" ), 2, IF( AND( $BL$138 = "0", $BM$138 = "1" ), 3, 4 ) ) )</f>
        <v>4</v>
      </c>
    </row>
    <row r="139" spans="3:66" x14ac:dyDescent="0.25">
      <c r="C139" s="24">
        <v>30</v>
      </c>
      <c r="D139" s="24">
        <v>7</v>
      </c>
      <c r="E139" s="24">
        <v>21</v>
      </c>
      <c r="F139" s="24" t="s">
        <v>181</v>
      </c>
      <c r="G139" s="24" t="s">
        <v>181</v>
      </c>
      <c r="H139" s="24" t="s">
        <v>181</v>
      </c>
      <c r="I139" s="24" t="s">
        <v>181</v>
      </c>
      <c r="J139" s="24">
        <v>6</v>
      </c>
      <c r="K139" s="24">
        <v>5.3763440860215075E-4</v>
      </c>
      <c r="L139" s="24">
        <v>1</v>
      </c>
      <c r="M139" s="24" t="s">
        <v>183</v>
      </c>
      <c r="BF139" s="1">
        <v>0.79999999999999993</v>
      </c>
      <c r="BG139" t="str">
        <f>"1"</f>
        <v>1</v>
      </c>
      <c r="BH139" t="str">
        <f xml:space="preserve"> IF($BF$139 &gt;= $G$204, "1","0")</f>
        <v>1</v>
      </c>
      <c r="BI139">
        <f xml:space="preserve"> IF( AND( $BG$139 = "1", $BH$139 = "1" ), 1, IF( AND( $BG$139 = "1", $BH$139 = "0" ), 2, IF( AND( $BG$139 = "0", $BH$139 = "1" ), 3, 4 ) ) )</f>
        <v>1</v>
      </c>
      <c r="BK139" s="1">
        <v>1</v>
      </c>
      <c r="BL139" t="str">
        <f>"1"</f>
        <v>1</v>
      </c>
      <c r="BM139" t="str">
        <f xml:space="preserve"> IF($BK$139 &gt;= $G$281, "1","0")</f>
        <v>1</v>
      </c>
      <c r="BN139">
        <f xml:space="preserve"> IF( AND( $BL$139 = "1", $BM$139 = "1" ), 1, IF( AND( $BL$139 = "1", $BM$139 = "0" ), 2, IF( AND( $BL$139 = "0", $BM$139 = "1" ), 3, 4 ) ) )</f>
        <v>1</v>
      </c>
    </row>
    <row r="140" spans="3:66" x14ac:dyDescent="0.25">
      <c r="C140" s="24">
        <v>31</v>
      </c>
      <c r="D140" s="24">
        <v>7</v>
      </c>
      <c r="E140" s="24">
        <v>22</v>
      </c>
      <c r="F140" s="24" t="s">
        <v>181</v>
      </c>
      <c r="G140" s="24" t="s">
        <v>181</v>
      </c>
      <c r="H140" s="24" t="s">
        <v>181</v>
      </c>
      <c r="I140" s="24" t="s">
        <v>181</v>
      </c>
      <c r="J140" s="24">
        <v>22</v>
      </c>
      <c r="K140" s="24">
        <v>3.7634408602150535E-3</v>
      </c>
      <c r="L140" s="24">
        <v>1</v>
      </c>
      <c r="M140" s="24" t="s">
        <v>183</v>
      </c>
      <c r="BF140" s="1">
        <v>0.79999999999999993</v>
      </c>
      <c r="BG140" t="str">
        <f>"1"</f>
        <v>1</v>
      </c>
      <c r="BH140" t="str">
        <f xml:space="preserve"> IF($BF$140 &gt;= $G$204, "1","0")</f>
        <v>1</v>
      </c>
      <c r="BI140">
        <f xml:space="preserve"> IF( AND( $BG$140 = "1", $BH$140 = "1" ), 1, IF( AND( $BG$140 = "1", $BH$140 = "0" ), 2, IF( AND( $BG$140 = "0", $BH$140 = "1" ), 3, 4 ) ) )</f>
        <v>1</v>
      </c>
      <c r="BK140" s="1">
        <v>3.333333333333334E-2</v>
      </c>
      <c r="BL140" t="str">
        <f>"1"</f>
        <v>1</v>
      </c>
      <c r="BM140" t="str">
        <f xml:space="preserve"> IF($BK$140 &gt;= $G$281, "1","0")</f>
        <v>0</v>
      </c>
      <c r="BN140">
        <f xml:space="preserve"> IF( AND( $BL$140 = "1", $BM$140 = "1" ), 1, IF( AND( $BL$140 = "1", $BM$140 = "0" ), 2, IF( AND( $BL$140 = "0", $BM$140 = "1" ), 3, 4 ) ) )</f>
        <v>2</v>
      </c>
    </row>
    <row r="141" spans="3:66" x14ac:dyDescent="0.25">
      <c r="C141" s="24">
        <v>32</v>
      </c>
      <c r="D141" s="24">
        <v>7</v>
      </c>
      <c r="E141" s="24">
        <v>22</v>
      </c>
      <c r="F141" s="24">
        <v>43</v>
      </c>
      <c r="G141" s="24">
        <v>44</v>
      </c>
      <c r="H141" s="24" t="s">
        <v>0</v>
      </c>
      <c r="I141" s="24">
        <v>49.5</v>
      </c>
      <c r="J141" s="24">
        <v>326</v>
      </c>
      <c r="K141" s="24">
        <v>2.0430107526881736E-2</v>
      </c>
      <c r="L141" s="24">
        <v>0</v>
      </c>
      <c r="M141" s="24" t="s">
        <v>182</v>
      </c>
      <c r="BF141" s="1">
        <v>0.79999999999999993</v>
      </c>
      <c r="BG141" t="str">
        <f>"1"</f>
        <v>1</v>
      </c>
      <c r="BH141" t="str">
        <f xml:space="preserve"> IF($BF$141 &gt;= $G$204, "1","0")</f>
        <v>1</v>
      </c>
      <c r="BI141">
        <f xml:space="preserve"> IF( AND( $BG$141 = "1", $BH$141 = "1" ), 1, IF( AND( $BG$141 = "1", $BH$141 = "0" ), 2, IF( AND( $BG$141 = "0", $BH$141 = "1" ), 3, 4 ) ) )</f>
        <v>1</v>
      </c>
      <c r="BK141" s="1">
        <v>0</v>
      </c>
      <c r="BL141" t="str">
        <f>"0"</f>
        <v>0</v>
      </c>
      <c r="BM141" t="str">
        <f xml:space="preserve"> IF($BK$141 &gt;= $G$281, "1","0")</f>
        <v>0</v>
      </c>
      <c r="BN141">
        <f xml:space="preserve"> IF( AND( $BL$141 = "1", $BM$141 = "1" ), 1, IF( AND( $BL$141 = "1", $BM$141 = "0" ), 2, IF( AND( $BL$141 = "0", $BM$141 = "1" ), 3, 4 ) ) )</f>
        <v>4</v>
      </c>
    </row>
    <row r="142" spans="3:66" x14ac:dyDescent="0.25">
      <c r="C142" s="24">
        <v>33</v>
      </c>
      <c r="D142" s="24">
        <v>7</v>
      </c>
      <c r="E142" s="24">
        <v>23</v>
      </c>
      <c r="F142" s="24">
        <v>45</v>
      </c>
      <c r="G142" s="24">
        <v>46</v>
      </c>
      <c r="H142" s="24" t="s">
        <v>7</v>
      </c>
      <c r="I142" s="24">
        <v>0.5</v>
      </c>
      <c r="J142" s="24">
        <v>39</v>
      </c>
      <c r="K142" s="24">
        <v>1.6129032258064523E-3</v>
      </c>
      <c r="L142" s="24">
        <v>0</v>
      </c>
      <c r="M142" s="24" t="s">
        <v>182</v>
      </c>
      <c r="BF142" s="1">
        <v>0.79999999999999993</v>
      </c>
      <c r="BG142" t="str">
        <f>"1"</f>
        <v>1</v>
      </c>
      <c r="BH142" t="str">
        <f xml:space="preserve"> IF($BF$142 &gt;= $G$204, "1","0")</f>
        <v>1</v>
      </c>
      <c r="BI142">
        <f xml:space="preserve"> IF( AND( $BG$142 = "1", $BH$142 = "1" ), 1, IF( AND( $BG$142 = "1", $BH$142 = "0" ), 2, IF( AND( $BG$142 = "0", $BH$142 = "1" ), 3, 4 ) ) )</f>
        <v>1</v>
      </c>
      <c r="BK142" s="1">
        <v>1.8947368421052633E-2</v>
      </c>
      <c r="BL142" t="str">
        <f>"0"</f>
        <v>0</v>
      </c>
      <c r="BM142" t="str">
        <f xml:space="preserve"> IF($BK$142 &gt;= $G$281, "1","0")</f>
        <v>0</v>
      </c>
      <c r="BN142">
        <f xml:space="preserve"> IF( AND( $BL$142 = "1", $BM$142 = "1" ), 1, IF( AND( $BL$142 = "1", $BM$142 = "0" ), 2, IF( AND( $BL$142 = "0", $BM$142 = "1" ), 3, 4 ) ) )</f>
        <v>4</v>
      </c>
    </row>
    <row r="143" spans="3:66" x14ac:dyDescent="0.25">
      <c r="C143" s="24">
        <v>34</v>
      </c>
      <c r="D143" s="24">
        <v>7</v>
      </c>
      <c r="E143" s="24">
        <v>23</v>
      </c>
      <c r="F143" s="24" t="s">
        <v>181</v>
      </c>
      <c r="G143" s="24" t="s">
        <v>181</v>
      </c>
      <c r="H143" s="24" t="s">
        <v>181</v>
      </c>
      <c r="I143" s="24" t="s">
        <v>181</v>
      </c>
      <c r="J143" s="24">
        <v>16</v>
      </c>
      <c r="K143" s="24">
        <v>3.7634408602150535E-3</v>
      </c>
      <c r="L143" s="24">
        <v>0</v>
      </c>
      <c r="M143" s="24" t="s">
        <v>183</v>
      </c>
      <c r="BF143" s="1">
        <v>0.79999999999999993</v>
      </c>
      <c r="BG143" t="str">
        <f>"1"</f>
        <v>1</v>
      </c>
      <c r="BH143" t="str">
        <f xml:space="preserve"> IF($BF$143 &gt;= $G$204, "1","0")</f>
        <v>1</v>
      </c>
      <c r="BI143">
        <f xml:space="preserve"> IF( AND( $BG$143 = "1", $BH$143 = "1" ), 1, IF( AND( $BG$143 = "1", $BH$143 = "0" ), 2, IF( AND( $BG$143 = "0", $BH$143 = "1" ), 3, 4 ) ) )</f>
        <v>1</v>
      </c>
      <c r="BK143" s="1">
        <v>1.8947368421052633E-2</v>
      </c>
      <c r="BL143" t="str">
        <f>"1"</f>
        <v>1</v>
      </c>
      <c r="BM143" t="str">
        <f xml:space="preserve"> IF($BK$143 &gt;= $G$281, "1","0")</f>
        <v>0</v>
      </c>
      <c r="BN143">
        <f xml:space="preserve"> IF( AND( $BL$143 = "1", $BM$143 = "1" ), 1, IF( AND( $BL$143 = "1", $BM$143 = "0" ), 2, IF( AND( $BL$143 = "0", $BM$143 = "1" ), 3, 4 ) ) )</f>
        <v>2</v>
      </c>
    </row>
    <row r="144" spans="3:66" x14ac:dyDescent="0.25">
      <c r="C144" s="24">
        <v>35</v>
      </c>
      <c r="D144" s="24">
        <v>7</v>
      </c>
      <c r="E144" s="24">
        <v>26</v>
      </c>
      <c r="F144" s="24">
        <v>47</v>
      </c>
      <c r="G144" s="24">
        <v>48</v>
      </c>
      <c r="H144" s="24" t="s">
        <v>6</v>
      </c>
      <c r="I144" s="24">
        <v>7083.5</v>
      </c>
      <c r="J144" s="24">
        <v>48</v>
      </c>
      <c r="K144" s="24">
        <v>6.451612903225809E-3</v>
      </c>
      <c r="L144" s="24">
        <v>0</v>
      </c>
      <c r="M144" s="24" t="s">
        <v>182</v>
      </c>
      <c r="BF144" s="1">
        <v>0.79999999999999993</v>
      </c>
      <c r="BG144" t="str">
        <f>"1"</f>
        <v>1</v>
      </c>
      <c r="BH144" t="str">
        <f xml:space="preserve"> IF($BF$144 &gt;= $G$204, "1","0")</f>
        <v>1</v>
      </c>
      <c r="BI144">
        <f xml:space="preserve"> IF( AND( $BG$144 = "1", $BH$144 = "1" ), 1, IF( AND( $BG$144 = "1", $BH$144 = "0" ), 2, IF( AND( $BG$144 = "0", $BH$144 = "1" ), 3, 4 ) ) )</f>
        <v>1</v>
      </c>
      <c r="BK144" s="1">
        <v>2.5000000000000001E-3</v>
      </c>
      <c r="BL144" t="str">
        <f>"0"</f>
        <v>0</v>
      </c>
      <c r="BM144" t="str">
        <f xml:space="preserve"> IF($BK$144 &gt;= $G$281, "1","0")</f>
        <v>0</v>
      </c>
      <c r="BN144">
        <f xml:space="preserve"> IF( AND( $BL$144 = "1", $BM$144 = "1" ), 1, IF( AND( $BL$144 = "1", $BM$144 = "0" ), 2, IF( AND( $BL$144 = "0", $BM$144 = "1" ), 3, 4 ) ) )</f>
        <v>4</v>
      </c>
    </row>
    <row r="145" spans="3:66" x14ac:dyDescent="0.25">
      <c r="C145" s="24">
        <v>36</v>
      </c>
      <c r="D145" s="24">
        <v>7</v>
      </c>
      <c r="E145" s="24">
        <v>26</v>
      </c>
      <c r="F145" s="24" t="s">
        <v>181</v>
      </c>
      <c r="G145" s="24" t="s">
        <v>181</v>
      </c>
      <c r="H145" s="24" t="s">
        <v>181</v>
      </c>
      <c r="I145" s="24" t="s">
        <v>181</v>
      </c>
      <c r="J145" s="24">
        <v>27</v>
      </c>
      <c r="K145" s="24">
        <v>6.4516129032258073E-3</v>
      </c>
      <c r="L145" s="24">
        <v>0</v>
      </c>
      <c r="M145" s="24" t="s">
        <v>183</v>
      </c>
      <c r="BF145" s="1">
        <v>0.79999999999999993</v>
      </c>
      <c r="BG145" t="str">
        <f>"1"</f>
        <v>1</v>
      </c>
      <c r="BH145" t="str">
        <f xml:space="preserve"> IF($BF$145 &gt;= $G$204, "1","0")</f>
        <v>1</v>
      </c>
      <c r="BI145">
        <f xml:space="preserve"> IF( AND( $BG$145 = "1", $BH$145 = "1" ), 1, IF( AND( $BG$145 = "1", $BH$145 = "0" ), 2, IF( AND( $BG$145 = "0", $BH$145 = "1" ), 3, 4 ) ) )</f>
        <v>1</v>
      </c>
      <c r="BK145" s="1">
        <v>1</v>
      </c>
      <c r="BL145" t="str">
        <f>"1"</f>
        <v>1</v>
      </c>
      <c r="BM145" t="str">
        <f xml:space="preserve"> IF($BK$145 &gt;= $G$281, "1","0")</f>
        <v>1</v>
      </c>
      <c r="BN145">
        <f xml:space="preserve"> IF( AND( $BL$145 = "1", $BM$145 = "1" ), 1, IF( AND( $BL$145 = "1", $BM$145 = "0" ), 2, IF( AND( $BL$145 = "0", $BM$145 = "1" ), 3, 4 ) ) )</f>
        <v>1</v>
      </c>
    </row>
    <row r="146" spans="3:66" x14ac:dyDescent="0.25">
      <c r="C146" s="24">
        <v>37</v>
      </c>
      <c r="D146" s="24">
        <v>7</v>
      </c>
      <c r="E146" s="24">
        <v>27</v>
      </c>
      <c r="F146" s="24" t="s">
        <v>181</v>
      </c>
      <c r="G146" s="24" t="s">
        <v>181</v>
      </c>
      <c r="H146" s="24" t="s">
        <v>181</v>
      </c>
      <c r="I146" s="24" t="s">
        <v>181</v>
      </c>
      <c r="J146" s="24">
        <v>17</v>
      </c>
      <c r="K146" s="24">
        <v>4.3010752688172043E-3</v>
      </c>
      <c r="L146" s="24">
        <v>1</v>
      </c>
      <c r="M146" s="24" t="s">
        <v>183</v>
      </c>
      <c r="BF146" s="1">
        <v>0.79999999999999993</v>
      </c>
      <c r="BG146" t="str">
        <f>"1"</f>
        <v>1</v>
      </c>
      <c r="BH146" t="str">
        <f xml:space="preserve"> IF($BF$146 &gt;= $G$204, "1","0")</f>
        <v>1</v>
      </c>
      <c r="BI146">
        <f xml:space="preserve"> IF( AND( $BG$146 = "1", $BH$146 = "1" ), 1, IF( AND( $BG$146 = "1", $BH$146 = "0" ), 2, IF( AND( $BG$146 = "0", $BH$146 = "1" ), 3, 4 ) ) )</f>
        <v>1</v>
      </c>
      <c r="BK146" s="1">
        <v>0</v>
      </c>
      <c r="BL146" t="str">
        <f>"0"</f>
        <v>0</v>
      </c>
      <c r="BM146" t="str">
        <f xml:space="preserve"> IF($BK$146 &gt;= $G$281, "1","0")</f>
        <v>0</v>
      </c>
      <c r="BN146">
        <f xml:space="preserve"> IF( AND( $BL$146 = "1", $BM$146 = "1" ), 1, IF( AND( $BL$146 = "1", $BM$146 = "0" ), 2, IF( AND( $BL$146 = "0", $BM$146 = "1" ), 3, 4 ) ) )</f>
        <v>4</v>
      </c>
    </row>
    <row r="147" spans="3:66" x14ac:dyDescent="0.25">
      <c r="C147" s="24">
        <v>38</v>
      </c>
      <c r="D147" s="24">
        <v>7</v>
      </c>
      <c r="E147" s="24">
        <v>27</v>
      </c>
      <c r="F147" s="24" t="s">
        <v>181</v>
      </c>
      <c r="G147" s="24" t="s">
        <v>181</v>
      </c>
      <c r="H147" s="24" t="s">
        <v>181</v>
      </c>
      <c r="I147" s="24" t="s">
        <v>181</v>
      </c>
      <c r="J147" s="24">
        <v>23</v>
      </c>
      <c r="K147" s="24">
        <v>3.2258064516129045E-3</v>
      </c>
      <c r="L147" s="24">
        <v>0</v>
      </c>
      <c r="M147" s="24" t="s">
        <v>183</v>
      </c>
      <c r="BF147" s="1">
        <v>0.79999999999999993</v>
      </c>
      <c r="BG147" t="str">
        <f>"1"</f>
        <v>1</v>
      </c>
      <c r="BH147" t="str">
        <f xml:space="preserve"> IF($BF$147 &gt;= $G$204, "1","0")</f>
        <v>1</v>
      </c>
      <c r="BI147">
        <f xml:space="preserve"> IF( AND( $BG$147 = "1", $BH$147 = "1" ), 1, IF( AND( $BG$147 = "1", $BH$147 = "0" ), 2, IF( AND( $BG$147 = "0", $BH$147 = "1" ), 3, 4 ) ) )</f>
        <v>1</v>
      </c>
      <c r="BK147" s="1">
        <v>1</v>
      </c>
      <c r="BL147" t="str">
        <f>"1"</f>
        <v>1</v>
      </c>
      <c r="BM147" t="str">
        <f xml:space="preserve"> IF($BK$147 &gt;= $G$281, "1","0")</f>
        <v>1</v>
      </c>
      <c r="BN147">
        <f xml:space="preserve"> IF( AND( $BL$147 = "1", $BM$147 = "1" ), 1, IF( AND( $BL$147 = "1", $BM$147 = "0" ), 2, IF( AND( $BL$147 = "0", $BM$147 = "1" ), 3, 4 ) ) )</f>
        <v>1</v>
      </c>
    </row>
    <row r="148" spans="3:66" x14ac:dyDescent="0.25">
      <c r="C148" s="24">
        <v>39</v>
      </c>
      <c r="D148" s="24">
        <v>7</v>
      </c>
      <c r="E148" s="24">
        <v>28</v>
      </c>
      <c r="F148" s="24" t="s">
        <v>181</v>
      </c>
      <c r="G148" s="24" t="s">
        <v>181</v>
      </c>
      <c r="H148" s="24" t="s">
        <v>181</v>
      </c>
      <c r="I148" s="24" t="s">
        <v>181</v>
      </c>
      <c r="J148" s="24">
        <v>8</v>
      </c>
      <c r="K148" s="24">
        <v>0</v>
      </c>
      <c r="L148" s="24">
        <v>1</v>
      </c>
      <c r="M148" s="24" t="s">
        <v>183</v>
      </c>
      <c r="BF148" s="1">
        <v>0.79999999999999993</v>
      </c>
      <c r="BG148" t="str">
        <f>"1"</f>
        <v>1</v>
      </c>
      <c r="BH148" t="str">
        <f xml:space="preserve"> IF($BF$148 &gt;= $G$204, "1","0")</f>
        <v>1</v>
      </c>
      <c r="BI148">
        <f xml:space="preserve"> IF( AND( $BG$148 = "1", $BH$148 = "1" ), 1, IF( AND( $BG$148 = "1", $BH$148 = "0" ), 2, IF( AND( $BG$148 = "0", $BH$148 = "1" ), 3, 4 ) ) )</f>
        <v>1</v>
      </c>
      <c r="BK148" s="1">
        <v>3.333333333333334E-2</v>
      </c>
      <c r="BL148" t="str">
        <f>"0"</f>
        <v>0</v>
      </c>
      <c r="BM148" t="str">
        <f xml:space="preserve"> IF($BK$148 &gt;= $G$281, "1","0")</f>
        <v>0</v>
      </c>
      <c r="BN148">
        <f xml:space="preserve"> IF( AND( $BL$148 = "1", $BM$148 = "1" ), 1, IF( AND( $BL$148 = "1", $BM$148 = "0" ), 2, IF( AND( $BL$148 = "0", $BM$148 = "1" ), 3, 4 ) ) )</f>
        <v>4</v>
      </c>
    </row>
    <row r="149" spans="3:66" x14ac:dyDescent="0.25">
      <c r="C149" s="24">
        <v>40</v>
      </c>
      <c r="D149" s="24">
        <v>7</v>
      </c>
      <c r="E149" s="24">
        <v>28</v>
      </c>
      <c r="F149" s="24">
        <v>49</v>
      </c>
      <c r="G149" s="24">
        <v>50</v>
      </c>
      <c r="H149" s="24" t="s">
        <v>6</v>
      </c>
      <c r="I149" s="24">
        <v>14423</v>
      </c>
      <c r="J149" s="24">
        <v>52</v>
      </c>
      <c r="K149" s="24">
        <v>1.1827956989247313E-2</v>
      </c>
      <c r="L149" s="24">
        <v>1</v>
      </c>
      <c r="M149" s="24" t="s">
        <v>182</v>
      </c>
      <c r="BF149" s="1">
        <v>0.79999999999999993</v>
      </c>
      <c r="BG149" t="str">
        <f>"1"</f>
        <v>1</v>
      </c>
      <c r="BH149" t="str">
        <f xml:space="preserve"> IF($BF$149 &gt;= $G$204, "1","0")</f>
        <v>1</v>
      </c>
      <c r="BI149">
        <f xml:space="preserve"> IF( AND( $BG$149 = "1", $BH$149 = "1" ), 1, IF( AND( $BG$149 = "1", $BH$149 = "0" ), 2, IF( AND( $BG$149 = "0", $BH$149 = "1" ), 3, 4 ) ) )</f>
        <v>1</v>
      </c>
      <c r="BK149" s="1">
        <v>0.68181818181818188</v>
      </c>
      <c r="BL149" t="str">
        <f>"1"</f>
        <v>1</v>
      </c>
      <c r="BM149" t="str">
        <f xml:space="preserve"> IF($BK$149 &gt;= $G$281, "1","0")</f>
        <v>1</v>
      </c>
      <c r="BN149">
        <f xml:space="preserve"> IF( AND( $BL$149 = "1", $BM$149 = "1" ), 1, IF( AND( $BL$149 = "1", $BM$149 = "0" ), 2, IF( AND( $BL$149 = "0", $BM$149 = "1" ), 3, 4 ) ) )</f>
        <v>1</v>
      </c>
    </row>
    <row r="150" spans="3:66" x14ac:dyDescent="0.25">
      <c r="C150" s="24">
        <v>41</v>
      </c>
      <c r="D150" s="24">
        <v>8</v>
      </c>
      <c r="E150" s="24">
        <v>29</v>
      </c>
      <c r="F150" s="24">
        <v>51</v>
      </c>
      <c r="G150" s="24">
        <v>52</v>
      </c>
      <c r="H150" s="24" t="s">
        <v>6</v>
      </c>
      <c r="I150" s="24">
        <v>1652</v>
      </c>
      <c r="J150" s="24">
        <v>70</v>
      </c>
      <c r="K150" s="24">
        <v>3.7634408602150518E-3</v>
      </c>
      <c r="L150" s="24">
        <v>0</v>
      </c>
      <c r="M150" s="24" t="s">
        <v>182</v>
      </c>
      <c r="BF150" s="1">
        <v>0.79999999999999993</v>
      </c>
      <c r="BG150" t="str">
        <f>"1"</f>
        <v>1</v>
      </c>
      <c r="BH150" t="str">
        <f xml:space="preserve"> IF($BF$150 &gt;= $G$204, "1","0")</f>
        <v>1</v>
      </c>
      <c r="BI150">
        <f xml:space="preserve"> IF( AND( $BG$150 = "1", $BH$150 = "1" ), 1, IF( AND( $BG$150 = "1", $BH$150 = "0" ), 2, IF( AND( $BG$150 = "0", $BH$150 = "1" ), 3, 4 ) ) )</f>
        <v>1</v>
      </c>
      <c r="BK150" s="1">
        <v>0</v>
      </c>
      <c r="BL150" t="str">
        <f>"0"</f>
        <v>0</v>
      </c>
      <c r="BM150" t="str">
        <f xml:space="preserve"> IF($BK$150 &gt;= $G$281, "1","0")</f>
        <v>0</v>
      </c>
      <c r="BN150">
        <f xml:space="preserve"> IF( AND( $BL$150 = "1", $BM$150 = "1" ), 1, IF( AND( $BL$150 = "1", $BM$150 = "0" ), 2, IF( AND( $BL$150 = "0", $BM$150 = "1" ), 3, 4 ) ) )</f>
        <v>4</v>
      </c>
    </row>
    <row r="151" spans="3:66" x14ac:dyDescent="0.25">
      <c r="C151" s="24">
        <v>42</v>
      </c>
      <c r="D151" s="24">
        <v>8</v>
      </c>
      <c r="E151" s="24">
        <v>29</v>
      </c>
      <c r="F151" s="24">
        <v>53</v>
      </c>
      <c r="G151" s="24">
        <v>54</v>
      </c>
      <c r="H151" s="24" t="s">
        <v>0</v>
      </c>
      <c r="I151" s="24">
        <v>5.5</v>
      </c>
      <c r="J151" s="24">
        <v>405</v>
      </c>
      <c r="K151" s="24">
        <v>1.0752688172042946E-3</v>
      </c>
      <c r="L151" s="24">
        <v>0</v>
      </c>
      <c r="M151" s="24" t="s">
        <v>182</v>
      </c>
      <c r="BF151" s="1">
        <v>0.79999999999999993</v>
      </c>
      <c r="BG151" t="str">
        <f>"1"</f>
        <v>1</v>
      </c>
      <c r="BH151" t="str">
        <f xml:space="preserve"> IF($BF$151 &gt;= $G$204, "1","0")</f>
        <v>1</v>
      </c>
      <c r="BI151">
        <f xml:space="preserve"> IF( AND( $BG$151 = "1", $BH$151 = "1" ), 1, IF( AND( $BG$151 = "1", $BH$151 = "0" ), 2, IF( AND( $BG$151 = "0", $BH$151 = "1" ), 3, 4 ) ) )</f>
        <v>1</v>
      </c>
      <c r="BK151" s="1">
        <v>1.8947368421052633E-2</v>
      </c>
      <c r="BL151" t="str">
        <f>"1"</f>
        <v>1</v>
      </c>
      <c r="BM151" t="str">
        <f xml:space="preserve"> IF($BK$151 &gt;= $G$281, "1","0")</f>
        <v>0</v>
      </c>
      <c r="BN151">
        <f xml:space="preserve"> IF( AND( $BL$151 = "1", $BM$151 = "1" ), 1, IF( AND( $BL$151 = "1", $BM$151 = "0" ), 2, IF( AND( $BL$151 = "0", $BM$151 = "1" ), 3, 4 ) ) )</f>
        <v>2</v>
      </c>
    </row>
    <row r="152" spans="3:66" x14ac:dyDescent="0.25">
      <c r="C152" s="24">
        <v>43</v>
      </c>
      <c r="D152" s="24">
        <v>8</v>
      </c>
      <c r="E152" s="24">
        <v>32</v>
      </c>
      <c r="F152" s="24">
        <v>55</v>
      </c>
      <c r="G152" s="24">
        <v>56</v>
      </c>
      <c r="H152" s="24" t="s">
        <v>0</v>
      </c>
      <c r="I152" s="24">
        <v>37.5</v>
      </c>
      <c r="J152" s="24">
        <v>271</v>
      </c>
      <c r="K152" s="24">
        <v>1.2365591397849457E-2</v>
      </c>
      <c r="L152" s="24">
        <v>0</v>
      </c>
      <c r="M152" s="24" t="s">
        <v>182</v>
      </c>
      <c r="BF152" s="1">
        <v>0.79999999999999993</v>
      </c>
      <c r="BG152" t="str">
        <f>"1"</f>
        <v>1</v>
      </c>
      <c r="BH152" t="str">
        <f xml:space="preserve"> IF($BF$152 &gt;= $G$204, "1","0")</f>
        <v>1</v>
      </c>
      <c r="BI152">
        <f xml:space="preserve"> IF( AND( $BG$152 = "1", $BH$152 = "1" ), 1, IF( AND( $BG$152 = "1", $BH$152 = "0" ), 2, IF( AND( $BG$152 = "0", $BH$152 = "1" ), 3, 4 ) ) )</f>
        <v>1</v>
      </c>
      <c r="BK152" s="1">
        <v>0.64</v>
      </c>
      <c r="BL152" t="str">
        <f>"0"</f>
        <v>0</v>
      </c>
      <c r="BM152" t="str">
        <f xml:space="preserve"> IF($BK$152 &gt;= $G$281, "1","0")</f>
        <v>1</v>
      </c>
      <c r="BN152">
        <f xml:space="preserve"> IF( AND( $BL$152 = "1", $BM$152 = "1" ), 1, IF( AND( $BL$152 = "1", $BM$152 = "0" ), 2, IF( AND( $BL$152 = "0", $BM$152 = "1" ), 3, 4 ) ) )</f>
        <v>3</v>
      </c>
    </row>
    <row r="153" spans="3:66" x14ac:dyDescent="0.25">
      <c r="C153" s="24">
        <v>44</v>
      </c>
      <c r="D153" s="24">
        <v>8</v>
      </c>
      <c r="E153" s="24">
        <v>32</v>
      </c>
      <c r="F153" s="24">
        <v>57</v>
      </c>
      <c r="G153" s="24">
        <v>58</v>
      </c>
      <c r="H153" s="24" t="s">
        <v>0</v>
      </c>
      <c r="I153" s="24">
        <v>50.5</v>
      </c>
      <c r="J153" s="24">
        <v>55</v>
      </c>
      <c r="K153" s="24">
        <v>8.0645161290322578E-3</v>
      </c>
      <c r="L153" s="24">
        <v>0</v>
      </c>
      <c r="M153" s="24" t="s">
        <v>182</v>
      </c>
      <c r="BF153" s="1">
        <v>0.3</v>
      </c>
      <c r="BG153" t="str">
        <f>"1"</f>
        <v>1</v>
      </c>
      <c r="BH153" t="str">
        <f xml:space="preserve"> IF($BF$153 &gt;= $G$204, "1","0")</f>
        <v>1</v>
      </c>
      <c r="BI153">
        <f xml:space="preserve"> IF( AND( $BG$153 = "1", $BH$153 = "1" ), 1, IF( AND( $BG$153 = "1", $BH$153 = "0" ), 2, IF( AND( $BG$153 = "0", $BH$153 = "1" ), 3, 4 ) ) )</f>
        <v>1</v>
      </c>
      <c r="BK153" s="1">
        <v>0.14285714285714288</v>
      </c>
      <c r="BL153" t="str">
        <f>"0"</f>
        <v>0</v>
      </c>
      <c r="BM153" t="str">
        <f xml:space="preserve"> IF($BK$153 &gt;= $G$281, "1","0")</f>
        <v>0</v>
      </c>
      <c r="BN153">
        <f xml:space="preserve"> IF( AND( $BL$153 = "1", $BM$153 = "1" ), 1, IF( AND( $BL$153 = "1", $BM$153 = "0" ), 2, IF( AND( $BL$153 = "0", $BM$153 = "1" ), 3, 4 ) ) )</f>
        <v>4</v>
      </c>
    </row>
    <row r="154" spans="3:66" x14ac:dyDescent="0.25">
      <c r="C154" s="24">
        <v>45</v>
      </c>
      <c r="D154" s="24">
        <v>8</v>
      </c>
      <c r="E154" s="24">
        <v>33</v>
      </c>
      <c r="F154" s="24">
        <v>59</v>
      </c>
      <c r="G154" s="24">
        <v>60</v>
      </c>
      <c r="H154" s="24" t="s">
        <v>6</v>
      </c>
      <c r="I154" s="24">
        <v>9592</v>
      </c>
      <c r="J154" s="24">
        <v>36</v>
      </c>
      <c r="K154" s="24">
        <v>5.3763440860215075E-4</v>
      </c>
      <c r="L154" s="24">
        <v>0</v>
      </c>
      <c r="M154" s="24" t="s">
        <v>182</v>
      </c>
      <c r="BF154" s="1">
        <v>0.3</v>
      </c>
      <c r="BG154" t="str">
        <f>"1"</f>
        <v>1</v>
      </c>
      <c r="BH154" t="str">
        <f xml:space="preserve"> IF($BF$154 &gt;= $G$204, "1","0")</f>
        <v>1</v>
      </c>
      <c r="BI154">
        <f xml:space="preserve"> IF( AND( $BG$154 = "1", $BH$154 = "1" ), 1, IF( AND( $BG$154 = "1", $BH$154 = "0" ), 2, IF( AND( $BG$154 = "0", $BH$154 = "1" ), 3, 4 ) ) )</f>
        <v>1</v>
      </c>
      <c r="BK154" s="1">
        <v>1.8947368421052633E-2</v>
      </c>
      <c r="BL154" t="str">
        <f>"0"</f>
        <v>0</v>
      </c>
      <c r="BM154" t="str">
        <f xml:space="preserve"> IF($BK$154 &gt;= $G$281, "1","0")</f>
        <v>0</v>
      </c>
      <c r="BN154">
        <f xml:space="preserve"> IF( AND( $BL$154 = "1", $BM$154 = "1" ), 1, IF( AND( $BL$154 = "1", $BM$154 = "0" ), 2, IF( AND( $BL$154 = "0", $BM$154 = "1" ), 3, 4 ) ) )</f>
        <v>4</v>
      </c>
    </row>
    <row r="155" spans="3:66" x14ac:dyDescent="0.25">
      <c r="C155" s="24">
        <v>46</v>
      </c>
      <c r="D155" s="24">
        <v>8</v>
      </c>
      <c r="E155" s="24">
        <v>33</v>
      </c>
      <c r="F155" s="24" t="s">
        <v>181</v>
      </c>
      <c r="G155" s="24" t="s">
        <v>181</v>
      </c>
      <c r="H155" s="24" t="s">
        <v>181</v>
      </c>
      <c r="I155" s="24" t="s">
        <v>181</v>
      </c>
      <c r="J155" s="24">
        <v>3</v>
      </c>
      <c r="K155" s="24">
        <v>5.3763440860215054E-4</v>
      </c>
      <c r="L155" s="24">
        <v>1</v>
      </c>
      <c r="M155" s="24" t="s">
        <v>183</v>
      </c>
      <c r="BF155" s="1">
        <v>0.68181818181818188</v>
      </c>
      <c r="BG155" t="str">
        <f>"1"</f>
        <v>1</v>
      </c>
      <c r="BH155" t="str">
        <f xml:space="preserve"> IF($BF$155 &gt;= $G$204, "1","0")</f>
        <v>1</v>
      </c>
      <c r="BI155">
        <f xml:space="preserve"> IF( AND( $BG$155 = "1", $BH$155 = "1" ), 1, IF( AND( $BG$155 = "1", $BH$155 = "0" ), 2, IF( AND( $BG$155 = "0", $BH$155 = "1" ), 3, 4 ) ) )</f>
        <v>1</v>
      </c>
      <c r="BK155" s="1">
        <v>1</v>
      </c>
      <c r="BL155" t="str">
        <f>"1"</f>
        <v>1</v>
      </c>
      <c r="BM155" t="str">
        <f xml:space="preserve"> IF($BK$155 &gt;= $G$281, "1","0")</f>
        <v>1</v>
      </c>
      <c r="BN155">
        <f xml:space="preserve"> IF( AND( $BL$155 = "1", $BM$155 = "1" ), 1, IF( AND( $BL$155 = "1", $BM$155 = "0" ), 2, IF( AND( $BL$155 = "0", $BM$155 = "1" ), 3, 4 ) ) )</f>
        <v>1</v>
      </c>
    </row>
    <row r="156" spans="3:66" x14ac:dyDescent="0.25">
      <c r="C156" s="24">
        <v>47</v>
      </c>
      <c r="D156" s="24">
        <v>8</v>
      </c>
      <c r="E156" s="24">
        <v>35</v>
      </c>
      <c r="F156" s="24" t="s">
        <v>181</v>
      </c>
      <c r="G156" s="24" t="s">
        <v>181</v>
      </c>
      <c r="H156" s="24" t="s">
        <v>181</v>
      </c>
      <c r="I156" s="24" t="s">
        <v>181</v>
      </c>
      <c r="J156" s="24">
        <v>3</v>
      </c>
      <c r="K156" s="24">
        <v>5.3763440860215054E-4</v>
      </c>
      <c r="L156" s="24">
        <v>1</v>
      </c>
      <c r="M156" s="24" t="s">
        <v>183</v>
      </c>
      <c r="BF156" s="1">
        <v>0.68181818181818188</v>
      </c>
      <c r="BG156" t="str">
        <f>"1"</f>
        <v>1</v>
      </c>
      <c r="BH156" t="str">
        <f xml:space="preserve"> IF($BF$156 &gt;= $G$204, "1","0")</f>
        <v>1</v>
      </c>
      <c r="BI156">
        <f xml:space="preserve"> IF( AND( $BG$156 = "1", $BH$156 = "1" ), 1, IF( AND( $BG$156 = "1", $BH$156 = "0" ), 2, IF( AND( $BG$156 = "0", $BH$156 = "1" ), 3, 4 ) ) )</f>
        <v>1</v>
      </c>
      <c r="BK156" s="1">
        <v>0.64</v>
      </c>
      <c r="BL156" t="str">
        <f>"1"</f>
        <v>1</v>
      </c>
      <c r="BM156" t="str">
        <f xml:space="preserve"> IF($BK$156 &gt;= $G$281, "1","0")</f>
        <v>1</v>
      </c>
      <c r="BN156">
        <f xml:space="preserve"> IF( AND( $BL$156 = "1", $BM$156 = "1" ), 1, IF( AND( $BL$156 = "1", $BM$156 = "0" ), 2, IF( AND( $BL$156 = "0", $BM$156 = "1" ), 3, 4 ) ) )</f>
        <v>1</v>
      </c>
    </row>
    <row r="157" spans="3:66" x14ac:dyDescent="0.25">
      <c r="C157" s="24">
        <v>48</v>
      </c>
      <c r="D157" s="24">
        <v>8</v>
      </c>
      <c r="E157" s="24">
        <v>35</v>
      </c>
      <c r="F157" s="24">
        <v>61</v>
      </c>
      <c r="G157" s="24">
        <v>62</v>
      </c>
      <c r="H157" s="24" t="s">
        <v>0</v>
      </c>
      <c r="I157" s="24">
        <v>82.5</v>
      </c>
      <c r="J157" s="24">
        <v>45</v>
      </c>
      <c r="K157" s="24">
        <v>5.3763440860215041E-3</v>
      </c>
      <c r="L157" s="24">
        <v>0</v>
      </c>
      <c r="M157" s="24" t="s">
        <v>182</v>
      </c>
      <c r="BF157" s="1">
        <v>0.68181818181818188</v>
      </c>
      <c r="BG157" t="str">
        <f>"1"</f>
        <v>1</v>
      </c>
      <c r="BH157" t="str">
        <f xml:space="preserve"> IF($BF$157 &gt;= $G$204, "1","0")</f>
        <v>1</v>
      </c>
      <c r="BI157">
        <f xml:space="preserve"> IF( AND( $BG$157 = "1", $BH$157 = "1" ), 1, IF( AND( $BG$157 = "1", $BH$157 = "0" ), 2, IF( AND( $BG$157 = "0", $BH$157 = "1" ), 3, 4 ) ) )</f>
        <v>1</v>
      </c>
      <c r="BK157" s="1">
        <v>0.14285714285714288</v>
      </c>
      <c r="BL157" t="str">
        <f>"0"</f>
        <v>0</v>
      </c>
      <c r="BM157" t="str">
        <f xml:space="preserve"> IF($BK$157 &gt;= $G$281, "1","0")</f>
        <v>0</v>
      </c>
      <c r="BN157">
        <f xml:space="preserve"> IF( AND( $BL$157 = "1", $BM$157 = "1" ), 1, IF( AND( $BL$157 = "1", $BM$157 = "0" ), 2, IF( AND( $BL$157 = "0", $BM$157 = "1" ), 3, 4 ) ) )</f>
        <v>4</v>
      </c>
    </row>
    <row r="158" spans="3:66" x14ac:dyDescent="0.25">
      <c r="C158" s="24">
        <v>49</v>
      </c>
      <c r="D158" s="24">
        <v>8</v>
      </c>
      <c r="E158" s="24">
        <v>40</v>
      </c>
      <c r="F158" s="24" t="s">
        <v>181</v>
      </c>
      <c r="G158" s="24" t="s">
        <v>181</v>
      </c>
      <c r="H158" s="24" t="s">
        <v>181</v>
      </c>
      <c r="I158" s="24" t="s">
        <v>181</v>
      </c>
      <c r="J158" s="24">
        <v>3</v>
      </c>
      <c r="K158" s="24">
        <v>0</v>
      </c>
      <c r="L158" s="24">
        <v>0</v>
      </c>
      <c r="M158" s="24" t="s">
        <v>183</v>
      </c>
      <c r="BF158" s="1">
        <v>0.68181818181818188</v>
      </c>
      <c r="BG158" t="str">
        <f>"1"</f>
        <v>1</v>
      </c>
      <c r="BH158" t="str">
        <f xml:space="preserve"> IF($BF$158 &gt;= $G$204, "1","0")</f>
        <v>1</v>
      </c>
      <c r="BI158">
        <f xml:space="preserve"> IF( AND( $BG$158 = "1", $BH$158 = "1" ), 1, IF( AND( $BG$158 = "1", $BH$158 = "0" ), 2, IF( AND( $BG$158 = "0", $BH$158 = "1" ), 3, 4 ) ) )</f>
        <v>1</v>
      </c>
      <c r="BK158" s="1">
        <v>0</v>
      </c>
      <c r="BL158" t="str">
        <f>"0"</f>
        <v>0</v>
      </c>
      <c r="BM158" t="str">
        <f xml:space="preserve"> IF($BK$158 &gt;= $G$281, "1","0")</f>
        <v>0</v>
      </c>
      <c r="BN158">
        <f xml:space="preserve"> IF( AND( $BL$158 = "1", $BM$158 = "1" ), 1, IF( AND( $BL$158 = "1", $BM$158 = "0" ), 2, IF( AND( $BL$158 = "0", $BM$158 = "1" ), 3, 4 ) ) )</f>
        <v>4</v>
      </c>
    </row>
    <row r="159" spans="3:66" x14ac:dyDescent="0.25">
      <c r="C159" s="24">
        <v>50</v>
      </c>
      <c r="D159" s="24">
        <v>8</v>
      </c>
      <c r="E159" s="24">
        <v>40</v>
      </c>
      <c r="F159" s="24">
        <v>63</v>
      </c>
      <c r="G159" s="24">
        <v>64</v>
      </c>
      <c r="H159" s="24" t="s">
        <v>2</v>
      </c>
      <c r="I159" s="24">
        <v>8.5</v>
      </c>
      <c r="J159" s="24">
        <v>49</v>
      </c>
      <c r="K159" s="24">
        <v>1.0215053763440857E-2</v>
      </c>
      <c r="L159" s="24">
        <v>1</v>
      </c>
      <c r="M159" s="24" t="s">
        <v>182</v>
      </c>
      <c r="BF159" s="1">
        <v>0.68181818181818188</v>
      </c>
      <c r="BG159" t="str">
        <f>"1"</f>
        <v>1</v>
      </c>
      <c r="BH159" t="str">
        <f xml:space="preserve"> IF($BF$159 &gt;= $G$204, "1","0")</f>
        <v>1</v>
      </c>
      <c r="BI159">
        <f xml:space="preserve"> IF( AND( $BG$159 = "1", $BH$159 = "1" ), 1, IF( AND( $BG$159 = "1", $BH$159 = "0" ), 2, IF( AND( $BG$159 = "0", $BH$159 = "1" ), 3, 4 ) ) )</f>
        <v>1</v>
      </c>
      <c r="BK159" s="1">
        <v>0.83333333333333326</v>
      </c>
      <c r="BL159" t="str">
        <f>"0"</f>
        <v>0</v>
      </c>
      <c r="BM159" t="str">
        <f xml:space="preserve"> IF($BK$159 &gt;= $G$281, "1","0")</f>
        <v>1</v>
      </c>
      <c r="BN159">
        <f xml:space="preserve"> IF( AND( $BL$159 = "1", $BM$159 = "1" ), 1, IF( AND( $BL$159 = "1", $BM$159 = "0" ), 2, IF( AND( $BL$159 = "0", $BM$159 = "1" ), 3, 4 ) ) )</f>
        <v>3</v>
      </c>
    </row>
    <row r="160" spans="3:66" x14ac:dyDescent="0.25">
      <c r="C160" s="24">
        <v>51</v>
      </c>
      <c r="D160" s="24">
        <v>9</v>
      </c>
      <c r="E160" s="24">
        <v>41</v>
      </c>
      <c r="F160" s="24">
        <v>65</v>
      </c>
      <c r="G160" s="24">
        <v>66</v>
      </c>
      <c r="H160" s="24" t="s">
        <v>1</v>
      </c>
      <c r="I160" s="24">
        <v>0.5</v>
      </c>
      <c r="J160" s="24">
        <v>69</v>
      </c>
      <c r="K160" s="24">
        <v>3.2258064516129045E-3</v>
      </c>
      <c r="L160" s="24">
        <v>0</v>
      </c>
      <c r="M160" s="24" t="s">
        <v>182</v>
      </c>
      <c r="BF160" s="1">
        <v>0.68181818181818188</v>
      </c>
      <c r="BG160" t="str">
        <f>"1"</f>
        <v>1</v>
      </c>
      <c r="BH160" t="str">
        <f xml:space="preserve"> IF($BF$160 &gt;= $G$204, "1","0")</f>
        <v>1</v>
      </c>
      <c r="BI160">
        <f xml:space="preserve"> IF( AND( $BG$160 = "1", $BH$160 = "1" ), 1, IF( AND( $BG$160 = "1", $BH$160 = "0" ), 2, IF( AND( $BG$160 = "0", $BH$160 = "1" ), 3, 4 ) ) )</f>
        <v>1</v>
      </c>
      <c r="BK160" s="1">
        <v>1</v>
      </c>
      <c r="BL160" t="str">
        <f>"1"</f>
        <v>1</v>
      </c>
      <c r="BM160" t="str">
        <f xml:space="preserve"> IF($BK$160 &gt;= $G$281, "1","0")</f>
        <v>1</v>
      </c>
      <c r="BN160">
        <f xml:space="preserve"> IF( AND( $BL$160 = "1", $BM$160 = "1" ), 1, IF( AND( $BL$160 = "1", $BM$160 = "0" ), 2, IF( AND( $BL$160 = "0", $BM$160 = "1" ), 3, 4 ) ) )</f>
        <v>1</v>
      </c>
    </row>
    <row r="161" spans="3:66" x14ac:dyDescent="0.25">
      <c r="C161" s="24">
        <v>52</v>
      </c>
      <c r="D161" s="24">
        <v>9</v>
      </c>
      <c r="E161" s="24">
        <v>41</v>
      </c>
      <c r="F161" s="24" t="s">
        <v>181</v>
      </c>
      <c r="G161" s="24" t="s">
        <v>181</v>
      </c>
      <c r="H161" s="24" t="s">
        <v>181</v>
      </c>
      <c r="I161" s="24" t="s">
        <v>181</v>
      </c>
      <c r="J161" s="24">
        <v>1</v>
      </c>
      <c r="K161" s="24">
        <v>0</v>
      </c>
      <c r="L161" s="24">
        <v>1</v>
      </c>
      <c r="M161" s="24" t="s">
        <v>183</v>
      </c>
      <c r="BF161" s="1">
        <v>0.68181818181818188</v>
      </c>
      <c r="BG161" t="str">
        <f>"1"</f>
        <v>1</v>
      </c>
      <c r="BH161" t="str">
        <f xml:space="preserve"> IF($BF$161 &gt;= $G$204, "1","0")</f>
        <v>1</v>
      </c>
      <c r="BI161">
        <f xml:space="preserve"> IF( AND( $BG$161 = "1", $BH$161 = "1" ), 1, IF( AND( $BG$161 = "1", $BH$161 = "0" ), 2, IF( AND( $BG$161 = "0", $BH$161 = "1" ), 3, 4 ) ) )</f>
        <v>1</v>
      </c>
      <c r="BK161" s="1">
        <v>2.5000000000000001E-3</v>
      </c>
      <c r="BL161" t="str">
        <f>"0"</f>
        <v>0</v>
      </c>
      <c r="BM161" t="str">
        <f xml:space="preserve"> IF($BK$161 &gt;= $G$281, "1","0")</f>
        <v>0</v>
      </c>
      <c r="BN161">
        <f xml:space="preserve"> IF( AND( $BL$161 = "1", $BM$161 = "1" ), 1, IF( AND( $BL$161 = "1", $BM$161 = "0" ), 2, IF( AND( $BL$161 = "0", $BM$161 = "1" ), 3, 4 ) ) )</f>
        <v>4</v>
      </c>
    </row>
    <row r="162" spans="3:66" x14ac:dyDescent="0.25">
      <c r="C162" s="24">
        <v>53</v>
      </c>
      <c r="D162" s="24">
        <v>9</v>
      </c>
      <c r="E162" s="24">
        <v>42</v>
      </c>
      <c r="F162" s="24">
        <v>67</v>
      </c>
      <c r="G162" s="24">
        <v>68</v>
      </c>
      <c r="H162" s="24" t="s">
        <v>6</v>
      </c>
      <c r="I162" s="24">
        <v>14944.5</v>
      </c>
      <c r="J162" s="24">
        <v>152</v>
      </c>
      <c r="K162" s="24">
        <v>1.0752688172042946E-3</v>
      </c>
      <c r="L162" s="24">
        <v>0</v>
      </c>
      <c r="M162" s="24" t="s">
        <v>182</v>
      </c>
      <c r="BF162" s="1">
        <v>0.68181818181818188</v>
      </c>
      <c r="BG162" t="str">
        <f>"1"</f>
        <v>1</v>
      </c>
      <c r="BH162" t="str">
        <f xml:space="preserve"> IF($BF$162 &gt;= $G$204, "1","0")</f>
        <v>1</v>
      </c>
      <c r="BI162">
        <f xml:space="preserve"> IF( AND( $BG$162 = "1", $BH$162 = "1" ), 1, IF( AND( $BG$162 = "1", $BH$162 = "0" ), 2, IF( AND( $BG$162 = "0", $BH$162 = "1" ), 3, 4 ) ) )</f>
        <v>1</v>
      </c>
      <c r="BK162" s="1">
        <v>0.68181818181818188</v>
      </c>
      <c r="BL162" t="str">
        <f>"0"</f>
        <v>0</v>
      </c>
      <c r="BM162" t="str">
        <f xml:space="preserve"> IF($BK$162 &gt;= $G$281, "1","0")</f>
        <v>1</v>
      </c>
      <c r="BN162">
        <f xml:space="preserve"> IF( AND( $BL$162 = "1", $BM$162 = "1" ), 1, IF( AND( $BL$162 = "1", $BM$162 = "0" ), 2, IF( AND( $BL$162 = "0", $BM$162 = "1" ), 3, 4 ) ) )</f>
        <v>3</v>
      </c>
    </row>
    <row r="163" spans="3:66" x14ac:dyDescent="0.25">
      <c r="C163" s="24">
        <v>54</v>
      </c>
      <c r="D163" s="24">
        <v>9</v>
      </c>
      <c r="E163" s="24">
        <v>42</v>
      </c>
      <c r="F163" s="24" t="s">
        <v>181</v>
      </c>
      <c r="G163" s="24" t="s">
        <v>181</v>
      </c>
      <c r="H163" s="24" t="s">
        <v>181</v>
      </c>
      <c r="I163" s="24" t="s">
        <v>181</v>
      </c>
      <c r="J163" s="24">
        <v>253</v>
      </c>
      <c r="K163" s="24">
        <v>0</v>
      </c>
      <c r="L163" s="24">
        <v>0</v>
      </c>
      <c r="M163" s="24" t="s">
        <v>183</v>
      </c>
      <c r="BF163" s="1">
        <v>0.68181818181818188</v>
      </c>
      <c r="BG163" t="str">
        <f>"1"</f>
        <v>1</v>
      </c>
      <c r="BH163" t="str">
        <f xml:space="preserve"> IF($BF$163 &gt;= $G$204, "1","0")</f>
        <v>1</v>
      </c>
      <c r="BI163">
        <f xml:space="preserve"> IF( AND( $BG$163 = "1", $BH$163 = "1" ), 1, IF( AND( $BG$163 = "1", $BH$163 = "0" ), 2, IF( AND( $BG$163 = "0", $BH$163 = "1" ), 3, 4 ) ) )</f>
        <v>1</v>
      </c>
      <c r="BK163" s="1">
        <v>0.79999999999999993</v>
      </c>
      <c r="BL163" t="str">
        <f>"1"</f>
        <v>1</v>
      </c>
      <c r="BM163" t="str">
        <f xml:space="preserve"> IF($BK$163 &gt;= $G$281, "1","0")</f>
        <v>1</v>
      </c>
      <c r="BN163">
        <f xml:space="preserve"> IF( AND( $BL$163 = "1", $BM$163 = "1" ), 1, IF( AND( $BL$163 = "1", $BM$163 = "0" ), 2, IF( AND( $BL$163 = "0", $BM$163 = "1" ), 3, 4 ) ) )</f>
        <v>1</v>
      </c>
    </row>
    <row r="164" spans="3:66" x14ac:dyDescent="0.25">
      <c r="C164" s="24">
        <v>55</v>
      </c>
      <c r="D164" s="24">
        <v>9</v>
      </c>
      <c r="E164" s="24">
        <v>43</v>
      </c>
      <c r="F164" s="24">
        <v>69</v>
      </c>
      <c r="G164" s="24">
        <v>70</v>
      </c>
      <c r="H164" s="24" t="s">
        <v>0</v>
      </c>
      <c r="I164" s="24">
        <v>35.5</v>
      </c>
      <c r="J164" s="24">
        <v>115</v>
      </c>
      <c r="K164" s="24">
        <v>1.2365591397849464E-2</v>
      </c>
      <c r="L164" s="24">
        <v>0</v>
      </c>
      <c r="M164" s="24" t="s">
        <v>182</v>
      </c>
      <c r="BF164" s="1">
        <v>0.68181818181818188</v>
      </c>
      <c r="BG164" t="str">
        <f>"1"</f>
        <v>1</v>
      </c>
      <c r="BH164" t="str">
        <f xml:space="preserve"> IF($BF$164 &gt;= $G$204, "1","0")</f>
        <v>1</v>
      </c>
      <c r="BI164">
        <f xml:space="preserve"> IF( AND( $BG$164 = "1", $BH$164 = "1" ), 1, IF( AND( $BG$164 = "1", $BH$164 = "0" ), 2, IF( AND( $BG$164 = "0", $BH$164 = "1" ), 3, 4 ) ) )</f>
        <v>1</v>
      </c>
      <c r="BK164" s="1">
        <v>0.79999999999999993</v>
      </c>
      <c r="BL164" t="str">
        <f>"0"</f>
        <v>0</v>
      </c>
      <c r="BM164" t="str">
        <f xml:space="preserve"> IF($BK$164 &gt;= $G$281, "1","0")</f>
        <v>1</v>
      </c>
      <c r="BN164">
        <f xml:space="preserve"> IF( AND( $BL$164 = "1", $BM$164 = "1" ), 1, IF( AND( $BL$164 = "1", $BM$164 = "0" ), 2, IF( AND( $BL$164 = "0", $BM$164 = "1" ), 3, 4 ) ) )</f>
        <v>3</v>
      </c>
    </row>
    <row r="165" spans="3:66" x14ac:dyDescent="0.25">
      <c r="C165" s="24">
        <v>56</v>
      </c>
      <c r="D165" s="24">
        <v>9</v>
      </c>
      <c r="E165" s="24">
        <v>43</v>
      </c>
      <c r="F165" s="24" t="s">
        <v>181</v>
      </c>
      <c r="G165" s="24" t="s">
        <v>181</v>
      </c>
      <c r="H165" s="24" t="s">
        <v>181</v>
      </c>
      <c r="I165" s="24" t="s">
        <v>181</v>
      </c>
      <c r="J165" s="24">
        <v>156</v>
      </c>
      <c r="K165" s="24">
        <v>0</v>
      </c>
      <c r="L165" s="24">
        <v>0</v>
      </c>
      <c r="M165" s="24" t="s">
        <v>183</v>
      </c>
      <c r="BF165" s="1">
        <v>0.68181818181818188</v>
      </c>
      <c r="BG165" t="str">
        <f>"1"</f>
        <v>1</v>
      </c>
      <c r="BH165" t="str">
        <f xml:space="preserve"> IF($BF$165 &gt;= $G$204, "1","0")</f>
        <v>1</v>
      </c>
      <c r="BI165">
        <f xml:space="preserve"> IF( AND( $BG$165 = "1", $BH$165 = "1" ), 1, IF( AND( $BG$165 = "1", $BH$165 = "0" ), 2, IF( AND( $BG$165 = "0", $BH$165 = "1" ), 3, 4 ) ) )</f>
        <v>1</v>
      </c>
      <c r="BK165" s="1">
        <v>1.8947368421052633E-2</v>
      </c>
      <c r="BL165" t="str">
        <f>"0"</f>
        <v>0</v>
      </c>
      <c r="BM165" t="str">
        <f xml:space="preserve"> IF($BK$165 &gt;= $G$281, "1","0")</f>
        <v>0</v>
      </c>
      <c r="BN165">
        <f xml:space="preserve"> IF( AND( $BL$165 = "1", $BM$165 = "1" ), 1, IF( AND( $BL$165 = "1", $BM$165 = "0" ), 2, IF( AND( $BL$165 = "0", $BM$165 = "1" ), 3, 4 ) ) )</f>
        <v>4</v>
      </c>
    </row>
    <row r="166" spans="3:66" x14ac:dyDescent="0.25">
      <c r="C166" s="24">
        <v>57</v>
      </c>
      <c r="D166" s="24">
        <v>9</v>
      </c>
      <c r="E166" s="24">
        <v>44</v>
      </c>
      <c r="F166" s="24" t="s">
        <v>181</v>
      </c>
      <c r="G166" s="24" t="s">
        <v>181</v>
      </c>
      <c r="H166" s="24" t="s">
        <v>181</v>
      </c>
      <c r="I166" s="24" t="s">
        <v>181</v>
      </c>
      <c r="J166" s="24">
        <v>13</v>
      </c>
      <c r="K166" s="24">
        <v>2.1505376344086021E-3</v>
      </c>
      <c r="L166" s="24">
        <v>1</v>
      </c>
      <c r="M166" s="24" t="s">
        <v>183</v>
      </c>
      <c r="BF166" s="1">
        <v>0.68181818181818188</v>
      </c>
      <c r="BG166" t="str">
        <f>"1"</f>
        <v>1</v>
      </c>
      <c r="BH166" t="str">
        <f xml:space="preserve"> IF($BF$166 &gt;= $G$204, "1","0")</f>
        <v>1</v>
      </c>
      <c r="BI166">
        <f xml:space="preserve"> IF( AND( $BG$166 = "1", $BH$166 = "1" ), 1, IF( AND( $BG$166 = "1", $BH$166 = "0" ), 2, IF( AND( $BG$166 = "0", $BH$166 = "1" ), 3, 4 ) ) )</f>
        <v>1</v>
      </c>
      <c r="BK166" s="1">
        <v>1</v>
      </c>
      <c r="BL166" t="str">
        <f>"1"</f>
        <v>1</v>
      </c>
      <c r="BM166" t="str">
        <f xml:space="preserve"> IF($BK$166 &gt;= $G$281, "1","0")</f>
        <v>1</v>
      </c>
      <c r="BN166">
        <f xml:space="preserve"> IF( AND( $BL$166 = "1", $BM$166 = "1" ), 1, IF( AND( $BL$166 = "1", $BM$166 = "0" ), 2, IF( AND( $BL$166 = "0", $BM$166 = "1" ), 3, 4 ) ) )</f>
        <v>1</v>
      </c>
    </row>
    <row r="167" spans="3:66" x14ac:dyDescent="0.25">
      <c r="C167" s="24">
        <v>58</v>
      </c>
      <c r="D167" s="24">
        <v>9</v>
      </c>
      <c r="E167" s="24">
        <v>44</v>
      </c>
      <c r="F167" s="24">
        <v>71</v>
      </c>
      <c r="G167" s="24">
        <v>72</v>
      </c>
      <c r="H167" s="24" t="s">
        <v>4</v>
      </c>
      <c r="I167" s="24">
        <v>0.5</v>
      </c>
      <c r="J167" s="24">
        <v>42</v>
      </c>
      <c r="K167" s="24">
        <v>3.2258064516129045E-3</v>
      </c>
      <c r="L167" s="24">
        <v>0</v>
      </c>
      <c r="M167" s="24" t="s">
        <v>182</v>
      </c>
      <c r="BF167" s="1">
        <v>0.68181818181818188</v>
      </c>
      <c r="BG167" t="str">
        <f>"1"</f>
        <v>1</v>
      </c>
      <c r="BH167" t="str">
        <f xml:space="preserve"> IF($BF$167 &gt;= $G$204, "1","0")</f>
        <v>1</v>
      </c>
      <c r="BI167">
        <f xml:space="preserve"> IF( AND( $BG$167 = "1", $BH$167 = "1" ), 1, IF( AND( $BG$167 = "1", $BH$167 = "0" ), 2, IF( AND( $BG$167 = "0", $BH$167 = "1" ), 3, 4 ) ) )</f>
        <v>1</v>
      </c>
      <c r="BK167" s="1">
        <v>1.8947368421052633E-2</v>
      </c>
      <c r="BL167" t="str">
        <f>"0"</f>
        <v>0</v>
      </c>
      <c r="BM167" t="str">
        <f xml:space="preserve"> IF($BK$167 &gt;= $G$281, "1","0")</f>
        <v>0</v>
      </c>
      <c r="BN167">
        <f xml:space="preserve"> IF( AND( $BL$167 = "1", $BM$167 = "1" ), 1, IF( AND( $BL$167 = "1", $BM$167 = "0" ), 2, IF( AND( $BL$167 = "0", $BM$167 = "1" ), 3, 4 ) ) )</f>
        <v>4</v>
      </c>
    </row>
    <row r="168" spans="3:66" x14ac:dyDescent="0.25">
      <c r="C168" s="24">
        <v>59</v>
      </c>
      <c r="D168" s="24">
        <v>9</v>
      </c>
      <c r="E168" s="24">
        <v>45</v>
      </c>
      <c r="F168" s="24" t="s">
        <v>181</v>
      </c>
      <c r="G168" s="24" t="s">
        <v>181</v>
      </c>
      <c r="H168" s="24" t="s">
        <v>181</v>
      </c>
      <c r="I168" s="24" t="s">
        <v>181</v>
      </c>
      <c r="J168" s="24">
        <v>10</v>
      </c>
      <c r="K168" s="24">
        <v>5.3763440860215075E-4</v>
      </c>
      <c r="L168" s="24">
        <v>0</v>
      </c>
      <c r="M168" s="24" t="s">
        <v>183</v>
      </c>
      <c r="BF168" s="1">
        <v>0.68181818181818188</v>
      </c>
      <c r="BG168" t="str">
        <f>"1"</f>
        <v>1</v>
      </c>
      <c r="BH168" t="str">
        <f xml:space="preserve"> IF($BF$168 &gt;= $G$204, "1","0")</f>
        <v>1</v>
      </c>
      <c r="BI168">
        <f xml:space="preserve"> IF( AND( $BG$168 = "1", $BH$168 = "1" ), 1, IF( AND( $BG$168 = "1", $BH$168 = "0" ), 2, IF( AND( $BG$168 = "0", $BH$168 = "1" ), 3, 4 ) ) )</f>
        <v>1</v>
      </c>
      <c r="BK168" s="1">
        <v>2.5000000000000001E-3</v>
      </c>
      <c r="BL168" t="str">
        <f>"0"</f>
        <v>0</v>
      </c>
      <c r="BM168" t="str">
        <f xml:space="preserve"> IF($BK$168 &gt;= $G$281, "1","0")</f>
        <v>0</v>
      </c>
      <c r="BN168">
        <f xml:space="preserve"> IF( AND( $BL$168 = "1", $BM$168 = "1" ), 1, IF( AND( $BL$168 = "1", $BM$168 = "0" ), 2, IF( AND( $BL$168 = "0", $BM$168 = "1" ), 3, 4 ) ) )</f>
        <v>4</v>
      </c>
    </row>
    <row r="169" spans="3:66" x14ac:dyDescent="0.25">
      <c r="C169" s="24">
        <v>60</v>
      </c>
      <c r="D169" s="24">
        <v>9</v>
      </c>
      <c r="E169" s="24">
        <v>45</v>
      </c>
      <c r="F169" s="24" t="s">
        <v>181</v>
      </c>
      <c r="G169" s="24" t="s">
        <v>181</v>
      </c>
      <c r="H169" s="24" t="s">
        <v>181</v>
      </c>
      <c r="I169" s="24" t="s">
        <v>181</v>
      </c>
      <c r="J169" s="24">
        <v>26</v>
      </c>
      <c r="K169" s="24">
        <v>0</v>
      </c>
      <c r="L169" s="24">
        <v>0</v>
      </c>
      <c r="M169" s="24" t="s">
        <v>183</v>
      </c>
      <c r="BF169" s="1">
        <v>0.68181818181818188</v>
      </c>
      <c r="BG169" t="str">
        <f>"1"</f>
        <v>1</v>
      </c>
      <c r="BH169" t="str">
        <f xml:space="preserve"> IF($BF$169 &gt;= $G$204, "1","0")</f>
        <v>1</v>
      </c>
      <c r="BI169">
        <f xml:space="preserve"> IF( AND( $BG$169 = "1", $BH$169 = "1" ), 1, IF( AND( $BG$169 = "1", $BH$169 = "0" ), 2, IF( AND( $BG$169 = "0", $BH$169 = "1" ), 3, 4 ) ) )</f>
        <v>1</v>
      </c>
      <c r="BK169" s="1">
        <v>1.8947368421052633E-2</v>
      </c>
      <c r="BL169" t="str">
        <f>"0"</f>
        <v>0</v>
      </c>
      <c r="BM169" t="str">
        <f xml:space="preserve"> IF($BK$169 &gt;= $G$281, "1","0")</f>
        <v>0</v>
      </c>
      <c r="BN169">
        <f xml:space="preserve"> IF( AND( $BL$169 = "1", $BM$169 = "1" ), 1, IF( AND( $BL$169 = "1", $BM$169 = "0" ), 2, IF( AND( $BL$169 = "0", $BM$169 = "1" ), 3, 4 ) ) )</f>
        <v>4</v>
      </c>
    </row>
    <row r="170" spans="3:66" x14ac:dyDescent="0.25">
      <c r="C170" s="24">
        <v>61</v>
      </c>
      <c r="D170" s="24">
        <v>9</v>
      </c>
      <c r="E170" s="24">
        <v>48</v>
      </c>
      <c r="F170" s="24" t="s">
        <v>181</v>
      </c>
      <c r="G170" s="24" t="s">
        <v>181</v>
      </c>
      <c r="H170" s="24" t="s">
        <v>181</v>
      </c>
      <c r="I170" s="24" t="s">
        <v>181</v>
      </c>
      <c r="J170" s="24">
        <v>10</v>
      </c>
      <c r="K170" s="24">
        <v>2.1505376344086026E-3</v>
      </c>
      <c r="L170" s="24">
        <v>0</v>
      </c>
      <c r="M170" s="24" t="s">
        <v>183</v>
      </c>
      <c r="BF170" s="1">
        <v>1</v>
      </c>
      <c r="BG170" t="str">
        <f>"1"</f>
        <v>1</v>
      </c>
      <c r="BH170" t="str">
        <f xml:space="preserve"> IF($BF$170 &gt;= $G$204, "1","0")</f>
        <v>1</v>
      </c>
      <c r="BI170">
        <f xml:space="preserve"> IF( AND( $BG$170 = "1", $BH$170 = "1" ), 1, IF( AND( $BG$170 = "1", $BH$170 = "0" ), 2, IF( AND( $BG$170 = "0", $BH$170 = "1" ), 3, 4 ) ) )</f>
        <v>1</v>
      </c>
      <c r="BK170" s="1">
        <v>1.8947368421052633E-2</v>
      </c>
      <c r="BL170" t="str">
        <f>"0"</f>
        <v>0</v>
      </c>
      <c r="BM170" t="str">
        <f xml:space="preserve"> IF($BK$170 &gt;= $G$281, "1","0")</f>
        <v>0</v>
      </c>
      <c r="BN170">
        <f xml:space="preserve"> IF( AND( $BL$170 = "1", $BM$170 = "1" ), 1, IF( AND( $BL$170 = "1", $BM$170 = "0" ), 2, IF( AND( $BL$170 = "0", $BM$170 = "1" ), 3, 4 ) ) )</f>
        <v>4</v>
      </c>
    </row>
    <row r="171" spans="3:66" x14ac:dyDescent="0.25">
      <c r="C171" s="24">
        <v>62</v>
      </c>
      <c r="D171" s="24">
        <v>9</v>
      </c>
      <c r="E171" s="24">
        <v>48</v>
      </c>
      <c r="F171" s="24">
        <v>73</v>
      </c>
      <c r="G171" s="24">
        <v>74</v>
      </c>
      <c r="H171" s="24" t="s">
        <v>0</v>
      </c>
      <c r="I171" s="24">
        <v>95.5</v>
      </c>
      <c r="J171" s="24">
        <v>35</v>
      </c>
      <c r="K171" s="24">
        <v>3.2258064516129028E-3</v>
      </c>
      <c r="L171" s="24">
        <v>0</v>
      </c>
      <c r="M171" s="24" t="s">
        <v>182</v>
      </c>
      <c r="BF171" s="1">
        <v>0.72727272727272729</v>
      </c>
      <c r="BG171" t="str">
        <f>"1"</f>
        <v>1</v>
      </c>
      <c r="BH171" t="str">
        <f xml:space="preserve"> IF($BF$171 &gt;= $G$204, "1","0")</f>
        <v>1</v>
      </c>
      <c r="BI171">
        <f xml:space="preserve"> IF( AND( $BG$171 = "1", $BH$171 = "1" ), 1, IF( AND( $BG$171 = "1", $BH$171 = "0" ), 2, IF( AND( $BG$171 = "0", $BH$171 = "1" ), 3, 4 ) ) )</f>
        <v>1</v>
      </c>
      <c r="BK171" s="1">
        <v>1.8947368421052633E-2</v>
      </c>
      <c r="BL171" t="str">
        <f>"0"</f>
        <v>0</v>
      </c>
      <c r="BM171" t="str">
        <f xml:space="preserve"> IF($BK$171 &gt;= $G$281, "1","0")</f>
        <v>0</v>
      </c>
      <c r="BN171">
        <f xml:space="preserve"> IF( AND( $BL$171 = "1", $BM$171 = "1" ), 1, IF( AND( $BL$171 = "1", $BM$171 = "0" ), 2, IF( AND( $BL$171 = "0", $BM$171 = "1" ), 3, 4 ) ) )</f>
        <v>4</v>
      </c>
    </row>
    <row r="172" spans="3:66" x14ac:dyDescent="0.25">
      <c r="C172" s="24">
        <v>63</v>
      </c>
      <c r="D172" s="24">
        <v>9</v>
      </c>
      <c r="E172" s="24">
        <v>50</v>
      </c>
      <c r="F172" s="24">
        <v>75</v>
      </c>
      <c r="G172" s="24">
        <v>76</v>
      </c>
      <c r="H172" s="24" t="s">
        <v>0</v>
      </c>
      <c r="I172" s="24">
        <v>89.5</v>
      </c>
      <c r="J172" s="24">
        <v>34</v>
      </c>
      <c r="K172" s="24">
        <v>8.6021505376344086E-3</v>
      </c>
      <c r="L172" s="24">
        <v>1</v>
      </c>
      <c r="M172" s="24" t="s">
        <v>182</v>
      </c>
      <c r="BF172" s="1">
        <v>0.72727272727272729</v>
      </c>
      <c r="BG172" t="str">
        <f>"1"</f>
        <v>1</v>
      </c>
      <c r="BH172" t="str">
        <f xml:space="preserve"> IF($BF$172 &gt;= $G$204, "1","0")</f>
        <v>1</v>
      </c>
      <c r="BI172">
        <f xml:space="preserve"> IF( AND( $BG$172 = "1", $BH$172 = "1" ), 1, IF( AND( $BG$172 = "1", $BH$172 = "0" ), 2, IF( AND( $BG$172 = "0", $BH$172 = "1" ), 3, 4 ) ) )</f>
        <v>1</v>
      </c>
      <c r="BK172" s="1">
        <v>1.8947368421052633E-2</v>
      </c>
      <c r="BL172" t="str">
        <f>"0"</f>
        <v>0</v>
      </c>
      <c r="BM172" t="str">
        <f xml:space="preserve"> IF($BK$172 &gt;= $G$281, "1","0")</f>
        <v>0</v>
      </c>
      <c r="BN172">
        <f xml:space="preserve"> IF( AND( $BL$172 = "1", $BM$172 = "1" ), 1, IF( AND( $BL$172 = "1", $BM$172 = "0" ), 2, IF( AND( $BL$172 = "0", $BM$172 = "1" ), 3, 4 ) ) )</f>
        <v>4</v>
      </c>
    </row>
    <row r="173" spans="3:66" x14ac:dyDescent="0.25">
      <c r="C173" s="24">
        <v>64</v>
      </c>
      <c r="D173" s="24">
        <v>9</v>
      </c>
      <c r="E173" s="24">
        <v>50</v>
      </c>
      <c r="F173" s="24" t="s">
        <v>181</v>
      </c>
      <c r="G173" s="24" t="s">
        <v>181</v>
      </c>
      <c r="H173" s="24" t="s">
        <v>181</v>
      </c>
      <c r="I173" s="24" t="s">
        <v>181</v>
      </c>
      <c r="J173" s="24">
        <v>15</v>
      </c>
      <c r="K173" s="24">
        <v>1.6129032258064523E-3</v>
      </c>
      <c r="L173" s="24">
        <v>1</v>
      </c>
      <c r="M173" s="24" t="s">
        <v>183</v>
      </c>
      <c r="BF173" s="1">
        <v>0.72727272727272729</v>
      </c>
      <c r="BG173" t="str">
        <f>"1"</f>
        <v>1</v>
      </c>
      <c r="BH173" t="str">
        <f xml:space="preserve"> IF($BF$173 &gt;= $G$204, "1","0")</f>
        <v>1</v>
      </c>
      <c r="BI173">
        <f xml:space="preserve"> IF( AND( $BG$173 = "1", $BH$173 = "1" ), 1, IF( AND( $BG$173 = "1", $BH$173 = "0" ), 2, IF( AND( $BG$173 = "0", $BH$173 = "1" ), 3, 4 ) ) )</f>
        <v>1</v>
      </c>
      <c r="BK173" s="1">
        <v>2.5000000000000001E-3</v>
      </c>
      <c r="BL173" t="str">
        <f>"0"</f>
        <v>0</v>
      </c>
      <c r="BM173" t="str">
        <f xml:space="preserve"> IF($BK$173 &gt;= $G$281, "1","0")</f>
        <v>0</v>
      </c>
      <c r="BN173">
        <f xml:space="preserve"> IF( AND( $BL$173 = "1", $BM$173 = "1" ), 1, IF( AND( $BL$173 = "1", $BM$173 = "0" ), 2, IF( AND( $BL$173 = "0", $BM$173 = "1" ), 3, 4 ) ) )</f>
        <v>4</v>
      </c>
    </row>
    <row r="174" spans="3:66" x14ac:dyDescent="0.25">
      <c r="C174" s="24">
        <v>65</v>
      </c>
      <c r="D174" s="24">
        <v>10</v>
      </c>
      <c r="E174" s="24">
        <v>51</v>
      </c>
      <c r="F174" s="24">
        <v>77</v>
      </c>
      <c r="G174" s="24">
        <v>78</v>
      </c>
      <c r="H174" s="24" t="s">
        <v>6</v>
      </c>
      <c r="I174" s="24">
        <v>1300</v>
      </c>
      <c r="J174" s="24">
        <v>31</v>
      </c>
      <c r="K174" s="24">
        <v>5.3763440860215075E-4</v>
      </c>
      <c r="L174" s="24">
        <v>0</v>
      </c>
      <c r="M174" s="24" t="s">
        <v>182</v>
      </c>
      <c r="BF174" s="1">
        <v>0.72727272727272729</v>
      </c>
      <c r="BG174" t="str">
        <f>"1"</f>
        <v>1</v>
      </c>
      <c r="BH174" t="str">
        <f xml:space="preserve"> IF($BF$174 &gt;= $G$204, "1","0")</f>
        <v>1</v>
      </c>
      <c r="BI174">
        <f xml:space="preserve"> IF( AND( $BG$174 = "1", $BH$174 = "1" ), 1, IF( AND( $BG$174 = "1", $BH$174 = "0" ), 2, IF( AND( $BG$174 = "0", $BH$174 = "1" ), 3, 4 ) ) )</f>
        <v>1</v>
      </c>
      <c r="BK174" s="1">
        <v>0.32</v>
      </c>
      <c r="BL174" t="str">
        <f>"1"</f>
        <v>1</v>
      </c>
      <c r="BM174" t="str">
        <f xml:space="preserve"> IF($BK$174 &gt;= $G$281, "1","0")</f>
        <v>1</v>
      </c>
      <c r="BN174">
        <f xml:space="preserve"> IF( AND( $BL$174 = "1", $BM$174 = "1" ), 1, IF( AND( $BL$174 = "1", $BM$174 = "0" ), 2, IF( AND( $BL$174 = "0", $BM$174 = "1" ), 3, 4 ) ) )</f>
        <v>1</v>
      </c>
    </row>
    <row r="175" spans="3:66" x14ac:dyDescent="0.25">
      <c r="C175" s="24">
        <v>66</v>
      </c>
      <c r="D175" s="24">
        <v>10</v>
      </c>
      <c r="E175" s="24">
        <v>51</v>
      </c>
      <c r="F175" s="24">
        <v>79</v>
      </c>
      <c r="G175" s="24">
        <v>80</v>
      </c>
      <c r="H175" s="24" t="s">
        <v>6</v>
      </c>
      <c r="I175" s="24">
        <v>1190</v>
      </c>
      <c r="J175" s="24">
        <v>38</v>
      </c>
      <c r="K175" s="24">
        <v>2.6881720430107538E-3</v>
      </c>
      <c r="L175" s="24">
        <v>0</v>
      </c>
      <c r="M175" s="24" t="s">
        <v>182</v>
      </c>
      <c r="BF175" s="1">
        <v>0.72727272727272729</v>
      </c>
      <c r="BG175" t="str">
        <f>"1"</f>
        <v>1</v>
      </c>
      <c r="BH175" t="str">
        <f xml:space="preserve"> IF($BF$175 &gt;= $G$204, "1","0")</f>
        <v>1</v>
      </c>
      <c r="BI175">
        <f xml:space="preserve"> IF( AND( $BG$175 = "1", $BH$175 = "1" ), 1, IF( AND( $BG$175 = "1", $BH$175 = "0" ), 2, IF( AND( $BG$175 = "0", $BH$175 = "1" ), 3, 4 ) ) )</f>
        <v>1</v>
      </c>
      <c r="BK175" s="1">
        <v>3.333333333333334E-2</v>
      </c>
      <c r="BL175" t="str">
        <f>"0"</f>
        <v>0</v>
      </c>
      <c r="BM175" t="str">
        <f xml:space="preserve"> IF($BK$175 &gt;= $G$281, "1","0")</f>
        <v>0</v>
      </c>
      <c r="BN175">
        <f xml:space="preserve"> IF( AND( $BL$175 = "1", $BM$175 = "1" ), 1, IF( AND( $BL$175 = "1", $BM$175 = "0" ), 2, IF( AND( $BL$175 = "0", $BM$175 = "1" ), 3, 4 ) ) )</f>
        <v>4</v>
      </c>
    </row>
    <row r="176" spans="3:66" x14ac:dyDescent="0.25">
      <c r="C176" s="24">
        <v>67</v>
      </c>
      <c r="D176" s="24">
        <v>10</v>
      </c>
      <c r="E176" s="24">
        <v>53</v>
      </c>
      <c r="F176" s="24">
        <v>81</v>
      </c>
      <c r="G176" s="24">
        <v>82</v>
      </c>
      <c r="H176" s="24" t="s">
        <v>6</v>
      </c>
      <c r="I176" s="24">
        <v>2135.5</v>
      </c>
      <c r="J176" s="24">
        <v>142</v>
      </c>
      <c r="K176" s="24">
        <v>5.3763440860214728E-4</v>
      </c>
      <c r="L176" s="24">
        <v>0</v>
      </c>
      <c r="M176" s="24" t="s">
        <v>182</v>
      </c>
      <c r="BF176" s="1">
        <v>0.72727272727272729</v>
      </c>
      <c r="BG176" t="str">
        <f>"1"</f>
        <v>1</v>
      </c>
      <c r="BH176" t="str">
        <f xml:space="preserve"> IF($BF$176 &gt;= $G$204, "1","0")</f>
        <v>1</v>
      </c>
      <c r="BI176">
        <f xml:space="preserve"> IF( AND( $BG$176 = "1", $BH$176 = "1" ), 1, IF( AND( $BG$176 = "1", $BH$176 = "0" ), 2, IF( AND( $BG$176 = "0", $BH$176 = "1" ), 3, 4 ) ) )</f>
        <v>1</v>
      </c>
      <c r="BK176" s="1">
        <v>1</v>
      </c>
      <c r="BL176" t="str">
        <f>"1"</f>
        <v>1</v>
      </c>
      <c r="BM176" t="str">
        <f xml:space="preserve"> IF($BK$176 &gt;= $G$281, "1","0")</f>
        <v>1</v>
      </c>
      <c r="BN176">
        <f xml:space="preserve"> IF( AND( $BL$176 = "1", $BM$176 = "1" ), 1, IF( AND( $BL$176 = "1", $BM$176 = "0" ), 2, IF( AND( $BL$176 = "0", $BM$176 = "1" ), 3, 4 ) ) )</f>
        <v>1</v>
      </c>
    </row>
    <row r="177" spans="3:66" x14ac:dyDescent="0.25">
      <c r="C177" s="24">
        <v>68</v>
      </c>
      <c r="D177" s="24">
        <v>10</v>
      </c>
      <c r="E177" s="24">
        <v>53</v>
      </c>
      <c r="F177" s="24" t="s">
        <v>181</v>
      </c>
      <c r="G177" s="24" t="s">
        <v>181</v>
      </c>
      <c r="H177" s="24" t="s">
        <v>181</v>
      </c>
      <c r="I177" s="24" t="s">
        <v>181</v>
      </c>
      <c r="J177" s="24">
        <v>10</v>
      </c>
      <c r="K177" s="24">
        <v>5.3763440860215075E-4</v>
      </c>
      <c r="L177" s="24">
        <v>0</v>
      </c>
      <c r="M177" s="24" t="s">
        <v>183</v>
      </c>
      <c r="BF177" s="1">
        <v>0.72727272727272729</v>
      </c>
      <c r="BG177" t="str">
        <f>"1"</f>
        <v>1</v>
      </c>
      <c r="BH177" t="str">
        <f xml:space="preserve"> IF($BF$177 &gt;= $G$204, "1","0")</f>
        <v>1</v>
      </c>
      <c r="BI177">
        <f xml:space="preserve"> IF( AND( $BG$177 = "1", $BH$177 = "1" ), 1, IF( AND( $BG$177 = "1", $BH$177 = "0" ), 2, IF( AND( $BG$177 = "0", $BH$177 = "1" ), 3, 4 ) ) )</f>
        <v>1</v>
      </c>
      <c r="BK177" s="1">
        <v>2.5000000000000001E-3</v>
      </c>
      <c r="BL177" t="str">
        <f>"0"</f>
        <v>0</v>
      </c>
      <c r="BM177" t="str">
        <f xml:space="preserve"> IF($BK$177 &gt;= $G$281, "1","0")</f>
        <v>0</v>
      </c>
      <c r="BN177">
        <f xml:space="preserve"> IF( AND( $BL$177 = "1", $BM$177 = "1" ), 1, IF( AND( $BL$177 = "1", $BM$177 = "0" ), 2, IF( AND( $BL$177 = "0", $BM$177 = "1" ), 3, 4 ) ) )</f>
        <v>4</v>
      </c>
    </row>
    <row r="178" spans="3:66" x14ac:dyDescent="0.25">
      <c r="C178" s="24">
        <v>69</v>
      </c>
      <c r="D178" s="24">
        <v>10</v>
      </c>
      <c r="E178" s="24">
        <v>55</v>
      </c>
      <c r="F178" s="24">
        <v>83</v>
      </c>
      <c r="G178" s="24">
        <v>84</v>
      </c>
      <c r="H178" s="24" t="s">
        <v>0</v>
      </c>
      <c r="I178" s="24">
        <v>29.5</v>
      </c>
      <c r="J178" s="24">
        <v>90</v>
      </c>
      <c r="K178" s="24">
        <v>1.6129032258064488E-3</v>
      </c>
      <c r="L178" s="24">
        <v>0</v>
      </c>
      <c r="M178" s="24" t="s">
        <v>182</v>
      </c>
      <c r="BF178" s="1">
        <v>0.83333333333333326</v>
      </c>
      <c r="BG178" t="str">
        <f>"1"</f>
        <v>1</v>
      </c>
      <c r="BH178" t="str">
        <f xml:space="preserve"> IF($BF$178 &gt;= $G$204, "1","0")</f>
        <v>1</v>
      </c>
      <c r="BI178">
        <f xml:space="preserve"> IF( AND( $BG$178 = "1", $BH$178 = "1" ), 1, IF( AND( $BG$178 = "1", $BH$178 = "0" ), 2, IF( AND( $BG$178 = "0", $BH$178 = "1" ), 3, 4 ) ) )</f>
        <v>1</v>
      </c>
      <c r="BK178" s="1">
        <v>0.14285714285714288</v>
      </c>
      <c r="BL178" t="str">
        <f>"1"</f>
        <v>1</v>
      </c>
      <c r="BM178" t="str">
        <f xml:space="preserve"> IF($BK$178 &gt;= $G$281, "1","0")</f>
        <v>0</v>
      </c>
      <c r="BN178">
        <f xml:space="preserve"> IF( AND( $BL$178 = "1", $BM$178 = "1" ), 1, IF( AND( $BL$178 = "1", $BM$178 = "0" ), 2, IF( AND( $BL$178 = "0", $BM$178 = "1" ), 3, 4 ) ) )</f>
        <v>2</v>
      </c>
    </row>
    <row r="179" spans="3:66" x14ac:dyDescent="0.25">
      <c r="C179" s="24">
        <v>70</v>
      </c>
      <c r="D179" s="24">
        <v>10</v>
      </c>
      <c r="E179" s="24">
        <v>55</v>
      </c>
      <c r="F179" s="24" t="s">
        <v>181</v>
      </c>
      <c r="G179" s="24" t="s">
        <v>181</v>
      </c>
      <c r="H179" s="24" t="s">
        <v>181</v>
      </c>
      <c r="I179" s="24" t="s">
        <v>181</v>
      </c>
      <c r="J179" s="24">
        <v>25</v>
      </c>
      <c r="K179" s="24">
        <v>2.6881720430107538E-3</v>
      </c>
      <c r="L179" s="24">
        <v>1</v>
      </c>
      <c r="M179" s="24" t="s">
        <v>183</v>
      </c>
      <c r="BF179" s="1">
        <v>0.83333333333333326</v>
      </c>
      <c r="BG179" t="str">
        <f>"1"</f>
        <v>1</v>
      </c>
      <c r="BH179" t="str">
        <f xml:space="preserve"> IF($BF$179 &gt;= $G$204, "1","0")</f>
        <v>1</v>
      </c>
      <c r="BI179">
        <f xml:space="preserve"> IF( AND( $BG$179 = "1", $BH$179 = "1" ), 1, IF( AND( $BG$179 = "1", $BH$179 = "0" ), 2, IF( AND( $BG$179 = "0", $BH$179 = "1" ), 3, 4 ) ) )</f>
        <v>1</v>
      </c>
      <c r="BK179" s="1">
        <v>1</v>
      </c>
      <c r="BL179" t="str">
        <f>"1"</f>
        <v>1</v>
      </c>
      <c r="BM179" t="str">
        <f xml:space="preserve"> IF($BK$179 &gt;= $G$281, "1","0")</f>
        <v>1</v>
      </c>
      <c r="BN179">
        <f xml:space="preserve"> IF( AND( $BL$179 = "1", $BM$179 = "1" ), 1, IF( AND( $BL$179 = "1", $BM$179 = "0" ), 2, IF( AND( $BL$179 = "0", $BM$179 = "1" ), 3, 4 ) ) )</f>
        <v>1</v>
      </c>
    </row>
    <row r="180" spans="3:66" x14ac:dyDescent="0.25">
      <c r="C180" s="24">
        <v>71</v>
      </c>
      <c r="D180" s="24">
        <v>10</v>
      </c>
      <c r="E180" s="24">
        <v>58</v>
      </c>
      <c r="F180" s="24" t="s">
        <v>181</v>
      </c>
      <c r="G180" s="24" t="s">
        <v>181</v>
      </c>
      <c r="H180" s="24" t="s">
        <v>181</v>
      </c>
      <c r="I180" s="24" t="s">
        <v>181</v>
      </c>
      <c r="J180" s="24">
        <v>29</v>
      </c>
      <c r="K180" s="24">
        <v>5.3763440860215075E-4</v>
      </c>
      <c r="L180" s="24">
        <v>0</v>
      </c>
      <c r="M180" s="24" t="s">
        <v>183</v>
      </c>
      <c r="BF180" s="1">
        <v>0.83333333333333326</v>
      </c>
      <c r="BG180" t="str">
        <f>"1"</f>
        <v>1</v>
      </c>
      <c r="BH180" t="str">
        <f xml:space="preserve"> IF($BF$180 &gt;= $G$204, "1","0")</f>
        <v>1</v>
      </c>
      <c r="BI180">
        <f xml:space="preserve"> IF( AND( $BG$180 = "1", $BH$180 = "1" ), 1, IF( AND( $BG$180 = "1", $BH$180 = "0" ), 2, IF( AND( $BG$180 = "0", $BH$180 = "1" ), 3, 4 ) ) )</f>
        <v>1</v>
      </c>
      <c r="BK180" s="1">
        <v>1</v>
      </c>
      <c r="BL180" t="str">
        <f>"1"</f>
        <v>1</v>
      </c>
      <c r="BM180" t="str">
        <f xml:space="preserve"> IF($BK$180 &gt;= $G$281, "1","0")</f>
        <v>1</v>
      </c>
      <c r="BN180">
        <f xml:space="preserve"> IF( AND( $BL$180 = "1", $BM$180 = "1" ), 1, IF( AND( $BL$180 = "1", $BM$180 = "0" ), 2, IF( AND( $BL$180 = "0", $BM$180 = "1" ), 3, 4 ) ) )</f>
        <v>1</v>
      </c>
    </row>
    <row r="181" spans="3:66" x14ac:dyDescent="0.25">
      <c r="C181" s="24">
        <v>72</v>
      </c>
      <c r="D181" s="24">
        <v>10</v>
      </c>
      <c r="E181" s="24">
        <v>58</v>
      </c>
      <c r="F181" s="24" t="s">
        <v>181</v>
      </c>
      <c r="G181" s="24" t="s">
        <v>181</v>
      </c>
      <c r="H181" s="24" t="s">
        <v>181</v>
      </c>
      <c r="I181" s="24" t="s">
        <v>181</v>
      </c>
      <c r="J181" s="24">
        <v>13</v>
      </c>
      <c r="K181" s="24">
        <v>2.6881720430107529E-3</v>
      </c>
      <c r="L181" s="24">
        <v>0</v>
      </c>
      <c r="M181" s="24" t="s">
        <v>183</v>
      </c>
      <c r="BF181" s="1">
        <v>0.21428571428571427</v>
      </c>
      <c r="BG181" t="str">
        <f>"1"</f>
        <v>1</v>
      </c>
      <c r="BH181" t="str">
        <f xml:space="preserve"> IF($BF$181 &gt;= $G$204, "1","0")</f>
        <v>0</v>
      </c>
      <c r="BI181">
        <f xml:space="preserve"> IF( AND( $BG$181 = "1", $BH$181 = "1" ), 1, IF( AND( $BG$181 = "1", $BH$181 = "0" ), 2, IF( AND( $BG$181 = "0", $BH$181 = "1" ), 3, 4 ) ) )</f>
        <v>2</v>
      </c>
      <c r="BK181" s="1">
        <v>0</v>
      </c>
      <c r="BL181" t="str">
        <f>"0"</f>
        <v>0</v>
      </c>
      <c r="BM181" t="str">
        <f xml:space="preserve"> IF($BK$181 &gt;= $G$281, "1","0")</f>
        <v>0</v>
      </c>
      <c r="BN181">
        <f xml:space="preserve"> IF( AND( $BL$181 = "1", $BM$181 = "1" ), 1, IF( AND( $BL$181 = "1", $BM$181 = "0" ), 2, IF( AND( $BL$181 = "0", $BM$181 = "1" ), 3, 4 ) ) )</f>
        <v>4</v>
      </c>
    </row>
    <row r="182" spans="3:66" x14ac:dyDescent="0.25">
      <c r="C182" s="24">
        <v>73</v>
      </c>
      <c r="D182" s="24">
        <v>10</v>
      </c>
      <c r="E182" s="24">
        <v>62</v>
      </c>
      <c r="F182" s="24">
        <v>85</v>
      </c>
      <c r="G182" s="24">
        <v>86</v>
      </c>
      <c r="H182" s="24" t="s">
        <v>3</v>
      </c>
      <c r="I182" s="24">
        <v>2.5</v>
      </c>
      <c r="J182" s="24">
        <v>31</v>
      </c>
      <c r="K182" s="24">
        <v>2.1505376344086013E-3</v>
      </c>
      <c r="L182" s="24">
        <v>0</v>
      </c>
      <c r="M182" s="24" t="s">
        <v>182</v>
      </c>
      <c r="BF182" s="1">
        <v>8.3333333333333329E-2</v>
      </c>
      <c r="BG182" t="str">
        <f>"1"</f>
        <v>1</v>
      </c>
      <c r="BH182" t="str">
        <f xml:space="preserve"> IF($BF$182 &gt;= $G$204, "1","0")</f>
        <v>0</v>
      </c>
      <c r="BI182">
        <f xml:space="preserve"> IF( AND( $BG$182 = "1", $BH$182 = "1" ), 1, IF( AND( $BG$182 = "1", $BH$182 = "0" ), 2, IF( AND( $BG$182 = "0", $BH$182 = "1" ), 3, 4 ) ) )</f>
        <v>2</v>
      </c>
      <c r="BK182" s="1">
        <v>2.5000000000000001E-3</v>
      </c>
      <c r="BL182" t="str">
        <f>"0"</f>
        <v>0</v>
      </c>
      <c r="BM182" t="str">
        <f xml:space="preserve"> IF($BK$182 &gt;= $G$281, "1","0")</f>
        <v>0</v>
      </c>
      <c r="BN182">
        <f xml:space="preserve"> IF( AND( $BL$182 = "1", $BM$182 = "1" ), 1, IF( AND( $BL$182 = "1", $BM$182 = "0" ), 2, IF( AND( $BL$182 = "0", $BM$182 = "1" ), 3, 4 ) ) )</f>
        <v>4</v>
      </c>
    </row>
    <row r="183" spans="3:66" x14ac:dyDescent="0.25">
      <c r="C183" s="24">
        <v>74</v>
      </c>
      <c r="D183" s="24">
        <v>10</v>
      </c>
      <c r="E183" s="24">
        <v>62</v>
      </c>
      <c r="F183" s="24" t="s">
        <v>181</v>
      </c>
      <c r="G183" s="24" t="s">
        <v>181</v>
      </c>
      <c r="H183" s="24" t="s">
        <v>181</v>
      </c>
      <c r="I183" s="24" t="s">
        <v>181</v>
      </c>
      <c r="J183" s="24">
        <v>4</v>
      </c>
      <c r="K183" s="24">
        <v>1.0752688172043011E-3</v>
      </c>
      <c r="L183" s="24">
        <v>0</v>
      </c>
      <c r="M183" s="24" t="s">
        <v>183</v>
      </c>
      <c r="BF183" s="1">
        <v>0.21428571428571427</v>
      </c>
      <c r="BG183" t="str">
        <f>"1"</f>
        <v>1</v>
      </c>
      <c r="BH183" t="str">
        <f xml:space="preserve"> IF($BF$183 &gt;= $G$204, "1","0")</f>
        <v>0</v>
      </c>
      <c r="BI183">
        <f xml:space="preserve"> IF( AND( $BG$183 = "1", $BH$183 = "1" ), 1, IF( AND( $BG$183 = "1", $BH$183 = "0" ), 2, IF( AND( $BG$183 = "0", $BH$183 = "1" ), 3, 4 ) ) )</f>
        <v>2</v>
      </c>
      <c r="BK183" s="1">
        <v>0.79999999999999993</v>
      </c>
      <c r="BL183" t="str">
        <f>"1"</f>
        <v>1</v>
      </c>
      <c r="BM183" t="str">
        <f xml:space="preserve"> IF($BK$183 &gt;= $G$281, "1","0")</f>
        <v>1</v>
      </c>
      <c r="BN183">
        <f xml:space="preserve"> IF( AND( $BL$183 = "1", $BM$183 = "1" ), 1, IF( AND( $BL$183 = "1", $BM$183 = "0" ), 2, IF( AND( $BL$183 = "0", $BM$183 = "1" ), 3, 4 ) ) )</f>
        <v>1</v>
      </c>
    </row>
    <row r="184" spans="3:66" x14ac:dyDescent="0.25">
      <c r="C184" s="24">
        <v>75</v>
      </c>
      <c r="D184" s="24">
        <v>10</v>
      </c>
      <c r="E184" s="24">
        <v>63</v>
      </c>
      <c r="F184" s="24">
        <v>87</v>
      </c>
      <c r="G184" s="24">
        <v>88</v>
      </c>
      <c r="H184" s="24" t="s">
        <v>6</v>
      </c>
      <c r="I184" s="24">
        <v>26526</v>
      </c>
      <c r="J184" s="24">
        <v>32</v>
      </c>
      <c r="K184" s="24">
        <v>7.5268817204301071E-3</v>
      </c>
      <c r="L184" s="24">
        <v>1</v>
      </c>
      <c r="M184" s="24" t="s">
        <v>182</v>
      </c>
      <c r="BF184" s="1">
        <v>8.3333333333333329E-2</v>
      </c>
      <c r="BG184" t="str">
        <f>"1"</f>
        <v>1</v>
      </c>
      <c r="BH184" t="str">
        <f xml:space="preserve"> IF($BF$184 &gt;= $G$204, "1","0")</f>
        <v>0</v>
      </c>
      <c r="BI184">
        <f xml:space="preserve"> IF( AND( $BG$184 = "1", $BH$184 = "1" ), 1, IF( AND( $BG$184 = "1", $BH$184 = "0" ), 2, IF( AND( $BG$184 = "0", $BH$184 = "1" ), 3, 4 ) ) )</f>
        <v>2</v>
      </c>
      <c r="BK184" s="1">
        <v>0.14285714285714288</v>
      </c>
      <c r="BL184" t="str">
        <f>"0"</f>
        <v>0</v>
      </c>
      <c r="BM184" t="str">
        <f xml:space="preserve"> IF($BK$184 &gt;= $G$281, "1","0")</f>
        <v>0</v>
      </c>
      <c r="BN184">
        <f xml:space="preserve"> IF( AND( $BL$184 = "1", $BM$184 = "1" ), 1, IF( AND( $BL$184 = "1", $BM$184 = "0" ), 2, IF( AND( $BL$184 = "0", $BM$184 = "1" ), 3, 4 ) ) )</f>
        <v>4</v>
      </c>
    </row>
    <row r="185" spans="3:66" x14ac:dyDescent="0.25">
      <c r="C185" s="24">
        <v>76</v>
      </c>
      <c r="D185" s="24">
        <v>10</v>
      </c>
      <c r="E185" s="24">
        <v>63</v>
      </c>
      <c r="F185" s="24" t="s">
        <v>181</v>
      </c>
      <c r="G185" s="24" t="s">
        <v>181</v>
      </c>
      <c r="H185" s="24" t="s">
        <v>181</v>
      </c>
      <c r="I185" s="24" t="s">
        <v>181</v>
      </c>
      <c r="J185" s="24">
        <v>2</v>
      </c>
      <c r="K185" s="24">
        <v>0</v>
      </c>
      <c r="L185" s="24">
        <v>0</v>
      </c>
      <c r="M185" s="24" t="s">
        <v>183</v>
      </c>
      <c r="BF185" s="1">
        <v>7.1428571428571411E-2</v>
      </c>
      <c r="BG185" t="str">
        <f>"1"</f>
        <v>1</v>
      </c>
      <c r="BH185" t="str">
        <f xml:space="preserve"> IF($BF$185 &gt;= $G$204, "1","0")</f>
        <v>0</v>
      </c>
      <c r="BI185">
        <f xml:space="preserve"> IF( AND( $BG$185 = "1", $BH$185 = "1" ), 1, IF( AND( $BG$185 = "1", $BH$185 = "0" ), 2, IF( AND( $BG$185 = "0", $BH$185 = "1" ), 3, 4 ) ) )</f>
        <v>2</v>
      </c>
      <c r="BK185" s="1">
        <v>1</v>
      </c>
      <c r="BL185" t="str">
        <f>"1"</f>
        <v>1</v>
      </c>
      <c r="BM185" t="str">
        <f xml:space="preserve"> IF($BK$185 &gt;= $G$281, "1","0")</f>
        <v>1</v>
      </c>
      <c r="BN185">
        <f xml:space="preserve"> IF( AND( $BL$185 = "1", $BM$185 = "1" ), 1, IF( AND( $BL$185 = "1", $BM$185 = "0" ), 2, IF( AND( $BL$185 = "0", $BM$185 = "1" ), 3, 4 ) ) )</f>
        <v>1</v>
      </c>
    </row>
    <row r="186" spans="3:66" x14ac:dyDescent="0.25">
      <c r="C186" s="24">
        <v>77</v>
      </c>
      <c r="D186" s="24">
        <v>11</v>
      </c>
      <c r="E186" s="24">
        <v>65</v>
      </c>
      <c r="F186" s="24" t="s">
        <v>181</v>
      </c>
      <c r="G186" s="24" t="s">
        <v>181</v>
      </c>
      <c r="H186" s="24" t="s">
        <v>181</v>
      </c>
      <c r="I186" s="24" t="s">
        <v>181</v>
      </c>
      <c r="J186" s="24">
        <v>14</v>
      </c>
      <c r="K186" s="24">
        <v>5.3763440860215075E-4</v>
      </c>
      <c r="L186" s="24">
        <v>0</v>
      </c>
      <c r="M186" s="24" t="s">
        <v>183</v>
      </c>
      <c r="BF186" s="1">
        <v>0.83333333333333326</v>
      </c>
      <c r="BG186" t="str">
        <f>"1"</f>
        <v>1</v>
      </c>
      <c r="BH186" t="str">
        <f xml:space="preserve"> IF($BF$186 &gt;= $G$204, "1","0")</f>
        <v>1</v>
      </c>
      <c r="BI186">
        <f xml:space="preserve"> IF( AND( $BG$186 = "1", $BH$186 = "1" ), 1, IF( AND( $BG$186 = "1", $BH$186 = "0" ), 2, IF( AND( $BG$186 = "0", $BH$186 = "1" ), 3, 4 ) ) )</f>
        <v>1</v>
      </c>
      <c r="BK186" s="1">
        <v>2.5000000000000001E-3</v>
      </c>
      <c r="BL186" t="str">
        <f>"0"</f>
        <v>0</v>
      </c>
      <c r="BM186" t="str">
        <f xml:space="preserve"> IF($BK$186 &gt;= $G$281, "1","0")</f>
        <v>0</v>
      </c>
      <c r="BN186">
        <f xml:space="preserve"> IF( AND( $BL$186 = "1", $BM$186 = "1" ), 1, IF( AND( $BL$186 = "1", $BM$186 = "0" ), 2, IF( AND( $BL$186 = "0", $BM$186 = "1" ), 3, 4 ) ) )</f>
        <v>4</v>
      </c>
    </row>
    <row r="187" spans="3:66" x14ac:dyDescent="0.25">
      <c r="C187" s="24">
        <v>78</v>
      </c>
      <c r="D187" s="24">
        <v>11</v>
      </c>
      <c r="E187" s="24">
        <v>65</v>
      </c>
      <c r="F187" s="24" t="s">
        <v>181</v>
      </c>
      <c r="G187" s="24" t="s">
        <v>181</v>
      </c>
      <c r="H187" s="24" t="s">
        <v>181</v>
      </c>
      <c r="I187" s="24" t="s">
        <v>181</v>
      </c>
      <c r="J187" s="24">
        <v>17</v>
      </c>
      <c r="K187" s="24">
        <v>0</v>
      </c>
      <c r="L187" s="24">
        <v>0</v>
      </c>
      <c r="M187" s="24" t="s">
        <v>183</v>
      </c>
      <c r="BF187" s="1">
        <v>0.83333333333333326</v>
      </c>
      <c r="BG187" t="str">
        <f>"1"</f>
        <v>1</v>
      </c>
      <c r="BH187" t="str">
        <f xml:space="preserve"> IF($BF$187 &gt;= $G$204, "1","0")</f>
        <v>1</v>
      </c>
      <c r="BI187">
        <f xml:space="preserve"> IF( AND( $BG$187 = "1", $BH$187 = "1" ), 1, IF( AND( $BG$187 = "1", $BH$187 = "0" ), 2, IF( AND( $BG$187 = "0", $BH$187 = "1" ), 3, 4 ) ) )</f>
        <v>1</v>
      </c>
      <c r="BK187" s="1">
        <v>1.8947368421052633E-2</v>
      </c>
      <c r="BL187" t="str">
        <f>"1"</f>
        <v>1</v>
      </c>
      <c r="BM187" t="str">
        <f xml:space="preserve"> IF($BK$187 &gt;= $G$281, "1","0")</f>
        <v>0</v>
      </c>
      <c r="BN187">
        <f xml:space="preserve"> IF( AND( $BL$187 = "1", $BM$187 = "1" ), 1, IF( AND( $BL$187 = "1", $BM$187 = "0" ), 2, IF( AND( $BL$187 = "0", $BM$187 = "1" ), 3, 4 ) ) )</f>
        <v>2</v>
      </c>
    </row>
    <row r="188" spans="3:66" x14ac:dyDescent="0.25">
      <c r="C188" s="24">
        <v>79</v>
      </c>
      <c r="D188" s="24">
        <v>11</v>
      </c>
      <c r="E188" s="24">
        <v>66</v>
      </c>
      <c r="F188" s="24" t="s">
        <v>181</v>
      </c>
      <c r="G188" s="24" t="s">
        <v>181</v>
      </c>
      <c r="H188" s="24" t="s">
        <v>181</v>
      </c>
      <c r="I188" s="24" t="s">
        <v>181</v>
      </c>
      <c r="J188" s="24">
        <v>14</v>
      </c>
      <c r="K188" s="24">
        <v>1.6129032258064523E-3</v>
      </c>
      <c r="L188" s="24">
        <v>0</v>
      </c>
      <c r="M188" s="24" t="s">
        <v>183</v>
      </c>
      <c r="BF188" s="1">
        <v>0.21428571428571427</v>
      </c>
      <c r="BG188" t="str">
        <f>"1"</f>
        <v>1</v>
      </c>
      <c r="BH188" t="str">
        <f xml:space="preserve"> IF($BF$188 &gt;= $G$204, "1","0")</f>
        <v>0</v>
      </c>
      <c r="BI188">
        <f xml:space="preserve"> IF( AND( $BG$188 = "1", $BH$188 = "1" ), 1, IF( AND( $BG$188 = "1", $BH$188 = "0" ), 2, IF( AND( $BG$188 = "0", $BH$188 = "1" ), 3, 4 ) ) )</f>
        <v>2</v>
      </c>
      <c r="BK188" s="1">
        <v>1</v>
      </c>
      <c r="BL188" t="str">
        <f>"1"</f>
        <v>1</v>
      </c>
      <c r="BM188" t="str">
        <f xml:space="preserve"> IF($BK$188 &gt;= $G$281, "1","0")</f>
        <v>1</v>
      </c>
      <c r="BN188">
        <f xml:space="preserve"> IF( AND( $BL$188 = "1", $BM$188 = "1" ), 1, IF( AND( $BL$188 = "1", $BM$188 = "0" ), 2, IF( AND( $BL$188 = "0", $BM$188 = "1" ), 3, 4 ) ) )</f>
        <v>1</v>
      </c>
    </row>
    <row r="189" spans="3:66" x14ac:dyDescent="0.25">
      <c r="C189" s="24">
        <v>80</v>
      </c>
      <c r="D189" s="24">
        <v>11</v>
      </c>
      <c r="E189" s="24">
        <v>66</v>
      </c>
      <c r="F189" s="24" t="s">
        <v>181</v>
      </c>
      <c r="G189" s="24" t="s">
        <v>181</v>
      </c>
      <c r="H189" s="24" t="s">
        <v>181</v>
      </c>
      <c r="I189" s="24" t="s">
        <v>181</v>
      </c>
      <c r="J189" s="24">
        <v>24</v>
      </c>
      <c r="K189" s="24">
        <v>1.0752688172043015E-3</v>
      </c>
      <c r="L189" s="24">
        <v>0</v>
      </c>
      <c r="M189" s="24" t="s">
        <v>183</v>
      </c>
      <c r="BF189" s="1">
        <v>1</v>
      </c>
      <c r="BG189" t="str">
        <f>"1"</f>
        <v>1</v>
      </c>
      <c r="BH189" t="str">
        <f xml:space="preserve"> IF($BF$189 &gt;= $G$204, "1","0")</f>
        <v>1</v>
      </c>
      <c r="BI189">
        <f xml:space="preserve"> IF( AND( $BG$189 = "1", $BH$189 = "1" ), 1, IF( AND( $BG$189 = "1", $BH$189 = "0" ), 2, IF( AND( $BG$189 = "0", $BH$189 = "1" ), 3, 4 ) ) )</f>
        <v>1</v>
      </c>
      <c r="BK189" s="1">
        <v>2.5000000000000001E-3</v>
      </c>
      <c r="BL189" t="str">
        <f>"0"</f>
        <v>0</v>
      </c>
      <c r="BM189" t="str">
        <f xml:space="preserve"> IF($BK$189 &gt;= $G$281, "1","0")</f>
        <v>0</v>
      </c>
      <c r="BN189">
        <f xml:space="preserve"> IF( AND( $BL$189 = "1", $BM$189 = "1" ), 1, IF( AND( $BL$189 = "1", $BM$189 = "0" ), 2, IF( AND( $BL$189 = "0", $BM$189 = "1" ), 3, 4 ) ) )</f>
        <v>4</v>
      </c>
    </row>
    <row r="190" spans="3:66" x14ac:dyDescent="0.25">
      <c r="C190" s="24">
        <v>81</v>
      </c>
      <c r="D190" s="24">
        <v>11</v>
      </c>
      <c r="E190" s="24">
        <v>67</v>
      </c>
      <c r="F190" s="24">
        <v>89</v>
      </c>
      <c r="G190" s="24">
        <v>90</v>
      </c>
      <c r="H190" s="24" t="s">
        <v>6</v>
      </c>
      <c r="I190" s="24">
        <v>2123.5</v>
      </c>
      <c r="J190" s="24">
        <v>55</v>
      </c>
      <c r="K190" s="24">
        <v>5.3763440860215075E-4</v>
      </c>
      <c r="L190" s="24">
        <v>0</v>
      </c>
      <c r="M190" s="24" t="s">
        <v>182</v>
      </c>
      <c r="BF190" s="1">
        <v>9.9999999999999992E-2</v>
      </c>
      <c r="BG190" t="str">
        <f>"1"</f>
        <v>1</v>
      </c>
      <c r="BH190" t="str">
        <f xml:space="preserve"> IF($BF$190 &gt;= $G$204, "1","0")</f>
        <v>0</v>
      </c>
      <c r="BI190">
        <f xml:space="preserve"> IF( AND( $BG$190 = "1", $BH$190 = "1" ), 1, IF( AND( $BG$190 = "1", $BH$190 = "0" ), 2, IF( AND( $BG$190 = "0", $BH$190 = "1" ), 3, 4 ) ) )</f>
        <v>2</v>
      </c>
      <c r="BK190" s="1">
        <v>3.333333333333334E-2</v>
      </c>
      <c r="BL190" t="str">
        <f>"0"</f>
        <v>0</v>
      </c>
      <c r="BM190" t="str">
        <f xml:space="preserve"> IF($BK$190 &gt;= $G$281, "1","0")</f>
        <v>0</v>
      </c>
      <c r="BN190">
        <f xml:space="preserve"> IF( AND( $BL$190 = "1", $BM$190 = "1" ), 1, IF( AND( $BL$190 = "1", $BM$190 = "0" ), 2, IF( AND( $BL$190 = "0", $BM$190 = "1" ), 3, 4 ) ) )</f>
        <v>4</v>
      </c>
    </row>
    <row r="191" spans="3:66" x14ac:dyDescent="0.25">
      <c r="C191" s="24">
        <v>82</v>
      </c>
      <c r="D191" s="24">
        <v>11</v>
      </c>
      <c r="E191" s="24">
        <v>67</v>
      </c>
      <c r="F191" s="24" t="s">
        <v>181</v>
      </c>
      <c r="G191" s="24" t="s">
        <v>181</v>
      </c>
      <c r="H191" s="24" t="s">
        <v>181</v>
      </c>
      <c r="I191" s="24" t="s">
        <v>181</v>
      </c>
      <c r="J191" s="24">
        <v>87</v>
      </c>
      <c r="K191" s="24">
        <v>0</v>
      </c>
      <c r="L191" s="24">
        <v>0</v>
      </c>
      <c r="M191" s="24" t="s">
        <v>183</v>
      </c>
      <c r="BF191" s="1">
        <v>0.5</v>
      </c>
      <c r="BG191" t="str">
        <f>"0"</f>
        <v>0</v>
      </c>
      <c r="BH191" t="str">
        <f xml:space="preserve"> IF($BF$191 &gt;= $G$204, "1","0")</f>
        <v>1</v>
      </c>
      <c r="BI191">
        <f xml:space="preserve"> IF( AND( $BG$191 = "1", $BH$191 = "1" ), 1, IF( AND( $BG$191 = "1", $BH$191 = "0" ), 2, IF( AND( $BG$191 = "0", $BH$191 = "1" ), 3, 4 ) ) )</f>
        <v>3</v>
      </c>
      <c r="BK191" s="1">
        <v>1</v>
      </c>
      <c r="BL191" t="str">
        <f>"1"</f>
        <v>1</v>
      </c>
      <c r="BM191" t="str">
        <f xml:space="preserve"> IF($BK$191 &gt;= $G$281, "1","0")</f>
        <v>1</v>
      </c>
      <c r="BN191">
        <f xml:space="preserve"> IF( AND( $BL$191 = "1", $BM$191 = "1" ), 1, IF( AND( $BL$191 = "1", $BM$191 = "0" ), 2, IF( AND( $BL$191 = "0", $BM$191 = "1" ), 3, 4 ) ) )</f>
        <v>1</v>
      </c>
    </row>
    <row r="192" spans="3:66" x14ac:dyDescent="0.25">
      <c r="C192" s="24">
        <v>83</v>
      </c>
      <c r="D192" s="24">
        <v>11</v>
      </c>
      <c r="E192" s="24">
        <v>69</v>
      </c>
      <c r="F192" s="24" t="s">
        <v>181</v>
      </c>
      <c r="G192" s="24" t="s">
        <v>181</v>
      </c>
      <c r="H192" s="24" t="s">
        <v>181</v>
      </c>
      <c r="I192" s="24" t="s">
        <v>181</v>
      </c>
      <c r="J192" s="24">
        <v>10</v>
      </c>
      <c r="K192" s="24">
        <v>1.6129032258064518E-3</v>
      </c>
      <c r="L192" s="24">
        <v>0</v>
      </c>
      <c r="M192" s="24" t="s">
        <v>183</v>
      </c>
      <c r="BF192" s="1">
        <v>4.3478260869565209E-2</v>
      </c>
      <c r="BG192" t="str">
        <f>"0"</f>
        <v>0</v>
      </c>
      <c r="BH192" t="str">
        <f xml:space="preserve"> IF($BF$192 &gt;= $G$204, "1","0")</f>
        <v>0</v>
      </c>
      <c r="BI192">
        <f xml:space="preserve"> IF( AND( $BG$192 = "1", $BH$192 = "1" ), 1, IF( AND( $BG$192 = "1", $BH$192 = "0" ), 2, IF( AND( $BG$192 = "0", $BH$192 = "1" ), 3, 4 ) ) )</f>
        <v>4</v>
      </c>
      <c r="BK192" s="1">
        <v>0.32</v>
      </c>
      <c r="BL192" t="str">
        <f>"1"</f>
        <v>1</v>
      </c>
      <c r="BM192" t="str">
        <f xml:space="preserve"> IF($BK$192 &gt;= $G$281, "1","0")</f>
        <v>1</v>
      </c>
      <c r="BN192">
        <f xml:space="preserve"> IF( AND( $BL$192 = "1", $BM$192 = "1" ), 1, IF( AND( $BL$192 = "1", $BM$192 = "0" ), 2, IF( AND( $BL$192 = "0", $BM$192 = "1" ), 3, 4 ) ) )</f>
        <v>1</v>
      </c>
    </row>
    <row r="193" spans="2:66" x14ac:dyDescent="0.25">
      <c r="C193" s="24">
        <v>84</v>
      </c>
      <c r="D193" s="24">
        <v>11</v>
      </c>
      <c r="E193" s="24">
        <v>69</v>
      </c>
      <c r="F193" s="24" t="s">
        <v>181</v>
      </c>
      <c r="G193" s="24" t="s">
        <v>181</v>
      </c>
      <c r="H193" s="24" t="s">
        <v>181</v>
      </c>
      <c r="I193" s="24" t="s">
        <v>181</v>
      </c>
      <c r="J193" s="24">
        <v>80</v>
      </c>
      <c r="K193" s="24">
        <v>0</v>
      </c>
      <c r="L193" s="24">
        <v>0</v>
      </c>
      <c r="M193" s="24" t="s">
        <v>183</v>
      </c>
      <c r="BF193" s="1">
        <v>0</v>
      </c>
      <c r="BG193" t="str">
        <f>"0"</f>
        <v>0</v>
      </c>
      <c r="BH193" t="str">
        <f xml:space="preserve"> IF($BF$193 &gt;= $G$204, "1","0")</f>
        <v>0</v>
      </c>
      <c r="BI193">
        <f xml:space="preserve"> IF( AND( $BG$193 = "1", $BH$193 = "1" ), 1, IF( AND( $BG$193 = "1", $BH$193 = "0" ), 2, IF( AND( $BG$193 = "0", $BH$193 = "1" ), 3, 4 ) ) )</f>
        <v>4</v>
      </c>
      <c r="BK193" s="1">
        <v>0.14285714285714288</v>
      </c>
      <c r="BL193" t="str">
        <f>"0"</f>
        <v>0</v>
      </c>
      <c r="BM193" t="str">
        <f xml:space="preserve"> IF($BK$193 &gt;= $G$281, "1","0")</f>
        <v>0</v>
      </c>
      <c r="BN193">
        <f xml:space="preserve"> IF( AND( $BL$193 = "1", $BM$193 = "1" ), 1, IF( AND( $BL$193 = "1", $BM$193 = "0" ), 2, IF( AND( $BL$193 = "0", $BM$193 = "1" ), 3, 4 ) ) )</f>
        <v>4</v>
      </c>
    </row>
    <row r="194" spans="2:66" x14ac:dyDescent="0.25">
      <c r="C194" s="24">
        <v>85</v>
      </c>
      <c r="D194" s="24">
        <v>11</v>
      </c>
      <c r="E194" s="24">
        <v>73</v>
      </c>
      <c r="F194" s="24" t="s">
        <v>181</v>
      </c>
      <c r="G194" s="24" t="s">
        <v>181</v>
      </c>
      <c r="H194" s="24" t="s">
        <v>181</v>
      </c>
      <c r="I194" s="24" t="s">
        <v>181</v>
      </c>
      <c r="J194" s="24">
        <v>8</v>
      </c>
      <c r="K194" s="24">
        <v>1.6129032258064514E-3</v>
      </c>
      <c r="L194" s="24">
        <v>0</v>
      </c>
      <c r="M194" s="24" t="s">
        <v>183</v>
      </c>
      <c r="BF194" s="1">
        <v>0.37500000000000006</v>
      </c>
      <c r="BG194" t="str">
        <f>"0"</f>
        <v>0</v>
      </c>
      <c r="BH194" t="str">
        <f xml:space="preserve"> IF($BF$194 &gt;= $G$204, "1","0")</f>
        <v>1</v>
      </c>
      <c r="BI194">
        <f xml:space="preserve"> IF( AND( $BG$194 = "1", $BH$194 = "1" ), 1, IF( AND( $BG$194 = "1", $BH$194 = "0" ), 2, IF( AND( $BG$194 = "0", $BH$194 = "1" ), 3, 4 ) ) )</f>
        <v>3</v>
      </c>
      <c r="BK194" s="1">
        <v>0.14285714285714288</v>
      </c>
      <c r="BL194" t="str">
        <f>"0"</f>
        <v>0</v>
      </c>
      <c r="BM194" t="str">
        <f xml:space="preserve"> IF($BK$194 &gt;= $G$281, "1","0")</f>
        <v>0</v>
      </c>
      <c r="BN194">
        <f xml:space="preserve"> IF( AND( $BL$194 = "1", $BM$194 = "1" ), 1, IF( AND( $BL$194 = "1", $BM$194 = "0" ), 2, IF( AND( $BL$194 = "0", $BM$194 = "1" ), 3, 4 ) ) )</f>
        <v>4</v>
      </c>
    </row>
    <row r="195" spans="2:66" x14ac:dyDescent="0.25">
      <c r="C195" s="24">
        <v>86</v>
      </c>
      <c r="D195" s="24">
        <v>11</v>
      </c>
      <c r="E195" s="24">
        <v>73</v>
      </c>
      <c r="F195" s="24" t="s">
        <v>181</v>
      </c>
      <c r="G195" s="24" t="s">
        <v>181</v>
      </c>
      <c r="H195" s="24" t="s">
        <v>181</v>
      </c>
      <c r="I195" s="24" t="s">
        <v>181</v>
      </c>
      <c r="J195" s="24">
        <v>23</v>
      </c>
      <c r="K195" s="24">
        <v>5.3763440860215075E-4</v>
      </c>
      <c r="L195" s="24">
        <v>0</v>
      </c>
      <c r="M195" s="24" t="s">
        <v>183</v>
      </c>
      <c r="BF195" s="1">
        <v>0.44444444444444448</v>
      </c>
      <c r="BG195" t="str">
        <f>"0"</f>
        <v>0</v>
      </c>
      <c r="BH195" t="str">
        <f xml:space="preserve"> IF($BF$195 &gt;= $G$204, "1","0")</f>
        <v>1</v>
      </c>
      <c r="BI195">
        <f xml:space="preserve"> IF( AND( $BG$195 = "1", $BH$195 = "1" ), 1, IF( AND( $BG$195 = "1", $BH$195 = "0" ), 2, IF( AND( $BG$195 = "0", $BH$195 = "1" ), 3, 4 ) ) )</f>
        <v>3</v>
      </c>
      <c r="BK195" s="1">
        <v>2.5000000000000001E-3</v>
      </c>
      <c r="BL195" t="str">
        <f>"0"</f>
        <v>0</v>
      </c>
      <c r="BM195" t="str">
        <f xml:space="preserve"> IF($BK$195 &gt;= $G$281, "1","0")</f>
        <v>0</v>
      </c>
      <c r="BN195">
        <f xml:space="preserve"> IF( AND( $BL$195 = "1", $BM$195 = "1" ), 1, IF( AND( $BL$195 = "1", $BM$195 = "0" ), 2, IF( AND( $BL$195 = "0", $BM$195 = "1" ), 3, 4 ) ) )</f>
        <v>4</v>
      </c>
    </row>
    <row r="196" spans="2:66" x14ac:dyDescent="0.25">
      <c r="C196" s="24">
        <v>87</v>
      </c>
      <c r="D196" s="24">
        <v>11</v>
      </c>
      <c r="E196" s="24">
        <v>75</v>
      </c>
      <c r="F196" s="24" t="s">
        <v>181</v>
      </c>
      <c r="G196" s="24" t="s">
        <v>181</v>
      </c>
      <c r="H196" s="24" t="s">
        <v>181</v>
      </c>
      <c r="I196" s="24" t="s">
        <v>181</v>
      </c>
      <c r="J196" s="24">
        <v>25</v>
      </c>
      <c r="K196" s="24">
        <v>4.8387096774193551E-3</v>
      </c>
      <c r="L196" s="24">
        <v>1</v>
      </c>
      <c r="M196" s="24" t="s">
        <v>183</v>
      </c>
      <c r="BF196" s="1">
        <v>4.3478260869565209E-2</v>
      </c>
      <c r="BG196" t="str">
        <f>"0"</f>
        <v>0</v>
      </c>
      <c r="BH196" t="str">
        <f xml:space="preserve"> IF($BF$196 &gt;= $G$204, "1","0")</f>
        <v>0</v>
      </c>
      <c r="BI196">
        <f xml:space="preserve"> IF( AND( $BG$196 = "1", $BH$196 = "1" ), 1, IF( AND( $BG$196 = "1", $BH$196 = "0" ), 2, IF( AND( $BG$196 = "0", $BH$196 = "1" ), 3, 4 ) ) )</f>
        <v>4</v>
      </c>
      <c r="BK196" s="1">
        <v>2.5000000000000001E-3</v>
      </c>
      <c r="BL196" t="str">
        <f>"0"</f>
        <v>0</v>
      </c>
      <c r="BM196" t="str">
        <f xml:space="preserve"> IF($BK$196 &gt;= $G$281, "1","0")</f>
        <v>0</v>
      </c>
      <c r="BN196">
        <f xml:space="preserve"> IF( AND( $BL$196 = "1", $BM$196 = "1" ), 1, IF( AND( $BL$196 = "1", $BM$196 = "0" ), 2, IF( AND( $BL$196 = "0", $BM$196 = "1" ), 3, 4 ) ) )</f>
        <v>4</v>
      </c>
    </row>
    <row r="197" spans="2:66" x14ac:dyDescent="0.25">
      <c r="C197" s="24">
        <v>88</v>
      </c>
      <c r="D197" s="24">
        <v>11</v>
      </c>
      <c r="E197" s="24">
        <v>75</v>
      </c>
      <c r="F197" s="24" t="s">
        <v>181</v>
      </c>
      <c r="G197" s="24" t="s">
        <v>181</v>
      </c>
      <c r="H197" s="24" t="s">
        <v>181</v>
      </c>
      <c r="I197" s="24" t="s">
        <v>181</v>
      </c>
      <c r="J197" s="24">
        <v>7</v>
      </c>
      <c r="K197" s="24">
        <v>1.0752688172043011E-3</v>
      </c>
      <c r="L197" s="24">
        <v>0</v>
      </c>
      <c r="M197" s="24" t="s">
        <v>183</v>
      </c>
      <c r="BF197" s="1">
        <v>4.3478260869565209E-2</v>
      </c>
      <c r="BG197" t="str">
        <f>"0"</f>
        <v>0</v>
      </c>
      <c r="BH197" t="str">
        <f xml:space="preserve"> IF($BF$197 &gt;= $G$204, "1","0")</f>
        <v>0</v>
      </c>
      <c r="BI197">
        <f xml:space="preserve"> IF( AND( $BG$197 = "1", $BH$197 = "1" ), 1, IF( AND( $BG$197 = "1", $BH$197 = "0" ), 2, IF( AND( $BG$197 = "0", $BH$197 = "1" ), 3, 4 ) ) )</f>
        <v>4</v>
      </c>
      <c r="BK197" s="1">
        <v>3.333333333333334E-2</v>
      </c>
      <c r="BL197" t="str">
        <f>"0"</f>
        <v>0</v>
      </c>
      <c r="BM197" t="str">
        <f xml:space="preserve"> IF($BK$197 &gt;= $G$281, "1","0")</f>
        <v>0</v>
      </c>
      <c r="BN197">
        <f xml:space="preserve"> IF( AND( $BL$197 = "1", $BM$197 = "1" ), 1, IF( AND( $BL$197 = "1", $BM$197 = "0" ), 2, IF( AND( $BL$197 = "0", $BM$197 = "1" ), 3, 4 ) ) )</f>
        <v>4</v>
      </c>
    </row>
    <row r="198" spans="2:66" x14ac:dyDescent="0.25">
      <c r="C198" s="24">
        <v>89</v>
      </c>
      <c r="D198" s="24">
        <v>12</v>
      </c>
      <c r="E198" s="24">
        <v>81</v>
      </c>
      <c r="F198" s="24" t="s">
        <v>181</v>
      </c>
      <c r="G198" s="24" t="s">
        <v>181</v>
      </c>
      <c r="H198" s="24" t="s">
        <v>181</v>
      </c>
      <c r="I198" s="24" t="s">
        <v>181</v>
      </c>
      <c r="J198" s="24">
        <v>54</v>
      </c>
      <c r="K198" s="24">
        <v>0</v>
      </c>
      <c r="L198" s="24">
        <v>0</v>
      </c>
      <c r="M198" s="24" t="s">
        <v>183</v>
      </c>
      <c r="BF198" s="1">
        <v>4.3478260869565209E-2</v>
      </c>
      <c r="BG198" t="str">
        <f>"0"</f>
        <v>0</v>
      </c>
      <c r="BH198" t="str">
        <f xml:space="preserve"> IF($BF$198 &gt;= $G$204, "1","0")</f>
        <v>0</v>
      </c>
      <c r="BI198">
        <f xml:space="preserve"> IF( AND( $BG$198 = "1", $BH$198 = "1" ), 1, IF( AND( $BG$198 = "1", $BH$198 = "0" ), 2, IF( AND( $BG$198 = "0", $BH$198 = "1" ), 3, 4 ) ) )</f>
        <v>4</v>
      </c>
      <c r="BK198" s="1">
        <v>1</v>
      </c>
      <c r="BL198" t="str">
        <f>"1"</f>
        <v>1</v>
      </c>
      <c r="BM198" t="str">
        <f xml:space="preserve"> IF($BK$198 &gt;= $G$281, "1","0")</f>
        <v>1</v>
      </c>
      <c r="BN198">
        <f xml:space="preserve"> IF( AND( $BL$198 = "1", $BM$198 = "1" ), 1, IF( AND( $BL$198 = "1", $BM$198 = "0" ), 2, IF( AND( $BL$198 = "0", $BM$198 = "1" ), 3, 4 ) ) )</f>
        <v>1</v>
      </c>
    </row>
    <row r="199" spans="2:66" x14ac:dyDescent="0.25">
      <c r="C199" s="24">
        <v>90</v>
      </c>
      <c r="D199" s="24">
        <v>12</v>
      </c>
      <c r="E199" s="24">
        <v>81</v>
      </c>
      <c r="F199" s="24" t="s">
        <v>181</v>
      </c>
      <c r="G199" s="24" t="s">
        <v>181</v>
      </c>
      <c r="H199" s="24" t="s">
        <v>181</v>
      </c>
      <c r="I199" s="24" t="s">
        <v>181</v>
      </c>
      <c r="J199" s="24">
        <v>1</v>
      </c>
      <c r="K199" s="24">
        <v>0</v>
      </c>
      <c r="L199" s="24">
        <v>1</v>
      </c>
      <c r="M199" s="24" t="s">
        <v>183</v>
      </c>
      <c r="BF199" s="1">
        <v>4.3478260869565209E-2</v>
      </c>
      <c r="BG199" t="str">
        <f>"0"</f>
        <v>0</v>
      </c>
      <c r="BH199" t="str">
        <f xml:space="preserve"> IF($BF$199 &gt;= $G$204, "1","0")</f>
        <v>0</v>
      </c>
      <c r="BI199">
        <f xml:space="preserve"> IF( AND( $BG$199 = "1", $BH$199 = "1" ), 1, IF( AND( $BG$199 = "1", $BH$199 = "0" ), 2, IF( AND( $BG$199 = "0", $BH$199 = "1" ), 3, 4 ) ) )</f>
        <v>4</v>
      </c>
      <c r="BK199" s="1">
        <v>1.8947368421052633E-2</v>
      </c>
      <c r="BL199" t="str">
        <f>"0"</f>
        <v>0</v>
      </c>
      <c r="BM199" t="str">
        <f xml:space="preserve"> IF($BK$199 &gt;= $G$281, "1","0")</f>
        <v>0</v>
      </c>
      <c r="BN199">
        <f xml:space="preserve"> IF( AND( $BL$199 = "1", $BM$199 = "1" ), 1, IF( AND( $BL$199 = "1", $BM$199 = "0" ), 2, IF( AND( $BL$199 = "0", $BM$199 = "1" ), 3, 4 ) ) )</f>
        <v>4</v>
      </c>
    </row>
    <row r="200" spans="2:66" x14ac:dyDescent="0.25">
      <c r="BF200" s="1">
        <v>0.2608695652173913</v>
      </c>
      <c r="BG200" t="str">
        <f>"0"</f>
        <v>0</v>
      </c>
      <c r="BH200" t="str">
        <f xml:space="preserve"> IF($BF$200 &gt;= $G$204, "1","0")</f>
        <v>1</v>
      </c>
      <c r="BI200">
        <f xml:space="preserve"> IF( AND( $BG$200 = "1", $BH$200 = "1" ), 1, IF( AND( $BG$200 = "1", $BH$200 = "0" ), 2, IF( AND( $BG$200 = "0", $BH$200 = "1" ), 3, 4 ) ) )</f>
        <v>3</v>
      </c>
      <c r="BK200" s="1">
        <v>2.5000000000000001E-3</v>
      </c>
      <c r="BL200" t="str">
        <f>"0"</f>
        <v>0</v>
      </c>
      <c r="BM200" t="str">
        <f xml:space="preserve"> IF($BK$200 &gt;= $G$281, "1","0")</f>
        <v>0</v>
      </c>
      <c r="BN200">
        <f xml:space="preserve"> IF( AND( $BL$200 = "1", $BM$200 = "1" ), 1, IF( AND( $BL$200 = "1", $BM$200 = "0" ), 2, IF( AND( $BL$200 = "0", $BM$200 = "1" ), 3, 4 ) ) )</f>
        <v>4</v>
      </c>
    </row>
    <row r="201" spans="2:66" x14ac:dyDescent="0.25">
      <c r="BF201" s="1">
        <v>0.2608695652173913</v>
      </c>
      <c r="BG201" t="str">
        <f>"0"</f>
        <v>0</v>
      </c>
      <c r="BH201" t="str">
        <f xml:space="preserve"> IF($BF$201 &gt;= $G$204, "1","0")</f>
        <v>1</v>
      </c>
      <c r="BI201">
        <f xml:space="preserve"> IF( AND( $BG$201 = "1", $BH$201 = "1" ), 1, IF( AND( $BG$201 = "1", $BH$201 = "0" ), 2, IF( AND( $BG$201 = "0", $BH$201 = "1" ), 3, 4 ) ) )</f>
        <v>3</v>
      </c>
      <c r="BK201" s="1">
        <v>2.5000000000000001E-3</v>
      </c>
      <c r="BL201" t="str">
        <f>"0"</f>
        <v>0</v>
      </c>
      <c r="BM201" t="str">
        <f xml:space="preserve"> IF($BK$201 &gt;= $G$281, "1","0")</f>
        <v>0</v>
      </c>
      <c r="BN201">
        <f xml:space="preserve"> IF( AND( $BL$201 = "1", $BM$201 = "1" ), 1, IF( AND( $BL$201 = "1", $BM$201 = "0" ), 2, IF( AND( $BL$201 = "0", $BM$201 = "1" ), 3, 4 ) ) )</f>
        <v>4</v>
      </c>
    </row>
    <row r="202" spans="2:66" ht="18.75" x14ac:dyDescent="0.3">
      <c r="B202" s="22" t="s">
        <v>184</v>
      </c>
      <c r="BF202" s="1">
        <v>0.2608695652173913</v>
      </c>
      <c r="BG202" t="str">
        <f>"0"</f>
        <v>0</v>
      </c>
      <c r="BH202" t="str">
        <f xml:space="preserve"> IF($BF$202 &gt;= $G$204, "1","0")</f>
        <v>1</v>
      </c>
      <c r="BI202">
        <f xml:space="preserve"> IF( AND( $BG$202 = "1", $BH$202 = "1" ), 1, IF( AND( $BG$202 = "1", $BH$202 = "0" ), 2, IF( AND( $BG$202 = "0", $BH$202 = "1" ), 3, 4 ) ) )</f>
        <v>3</v>
      </c>
      <c r="BK202" s="1">
        <v>0.64</v>
      </c>
      <c r="BL202" t="str">
        <f>"1"</f>
        <v>1</v>
      </c>
      <c r="BM202" t="str">
        <f xml:space="preserve"> IF($BK$202 &gt;= $G$281, "1","0")</f>
        <v>1</v>
      </c>
      <c r="BN202">
        <f xml:space="preserve"> IF( AND( $BL$202 = "1", $BM$202 = "1" ), 1, IF( AND( $BL$202 = "1", $BM$202 = "0" ), 2, IF( AND( $BL$202 = "0", $BM$202 = "1" ), 3, 4 ) ) )</f>
        <v>1</v>
      </c>
    </row>
    <row r="203" spans="2:66" x14ac:dyDescent="0.25">
      <c r="BF203" s="1">
        <v>0.37500000000000006</v>
      </c>
      <c r="BG203" t="str">
        <f>"0"</f>
        <v>0</v>
      </c>
      <c r="BH203" t="str">
        <f xml:space="preserve"> IF($BF$203 &gt;= $G$204, "1","0")</f>
        <v>1</v>
      </c>
      <c r="BI203">
        <f xml:space="preserve"> IF( AND( $BG$203 = "1", $BH$203 = "1" ), 1, IF( AND( $BG$203 = "1", $BH$203 = "0" ), 2, IF( AND( $BG$203 = "0", $BH$203 = "1" ), 3, 4 ) ) )</f>
        <v>3</v>
      </c>
      <c r="BK203" s="1">
        <v>1.8947368421052633E-2</v>
      </c>
      <c r="BL203" t="str">
        <f>"0"</f>
        <v>0</v>
      </c>
      <c r="BM203" t="str">
        <f xml:space="preserve"> IF($BK$203 &gt;= $G$281, "1","0")</f>
        <v>0</v>
      </c>
      <c r="BN203">
        <f xml:space="preserve"> IF( AND( $BL$203 = "1", $BM$203 = "1" ), 1, IF( AND( $BL$203 = "1", $BM$203 = "0" ), 2, IF( AND( $BL$203 = "0", $BM$203 = "1" ), 3, 4 ) ) )</f>
        <v>4</v>
      </c>
    </row>
    <row r="204" spans="2:66" x14ac:dyDescent="0.25">
      <c r="C204" s="19" t="s">
        <v>130</v>
      </c>
      <c r="D204" s="20"/>
      <c r="E204" s="20"/>
      <c r="F204" s="21"/>
      <c r="G204" s="15">
        <v>0.25</v>
      </c>
      <c r="H204" s="19" t="s">
        <v>185</v>
      </c>
      <c r="I204" s="20"/>
      <c r="J204" s="20"/>
      <c r="K204" s="20"/>
      <c r="L204" s="20"/>
      <c r="M204" s="21"/>
      <c r="BF204" s="1">
        <v>4.3478260869565209E-2</v>
      </c>
      <c r="BG204" t="str">
        <f>"0"</f>
        <v>0</v>
      </c>
      <c r="BH204" t="str">
        <f xml:space="preserve"> IF($BF$204 &gt;= $G$204, "1","0")</f>
        <v>0</v>
      </c>
      <c r="BI204">
        <f xml:space="preserve"> IF( AND( $BG$204 = "1", $BH$204 = "1" ), 1, IF( AND( $BG$204 = "1", $BH$204 = "0" ), 2, IF( AND( $BG$204 = "0", $BH$204 = "1" ), 3, 4 ) ) )</f>
        <v>4</v>
      </c>
      <c r="BK204" s="1">
        <v>1</v>
      </c>
      <c r="BL204" t="str">
        <f>"1"</f>
        <v>1</v>
      </c>
      <c r="BM204" t="str">
        <f xml:space="preserve"> IF($BK$204 &gt;= $G$281, "1","0")</f>
        <v>1</v>
      </c>
      <c r="BN204">
        <f xml:space="preserve"> IF( AND( $BL$204 = "1", $BM$204 = "1" ), 1, IF( AND( $BL$204 = "1", $BM$204 = "0" ), 2, IF( AND( $BL$204 = "0", $BM$204 = "1" ), 3, 4 ) ) )</f>
        <v>1</v>
      </c>
    </row>
    <row r="205" spans="2:66" x14ac:dyDescent="0.25">
      <c r="BF205" s="1">
        <v>0.2608695652173913</v>
      </c>
      <c r="BG205" t="str">
        <f>"0"</f>
        <v>0</v>
      </c>
      <c r="BH205" t="str">
        <f xml:space="preserve"> IF($BF$205 &gt;= $G$204, "1","0")</f>
        <v>1</v>
      </c>
      <c r="BI205">
        <f xml:space="preserve"> IF( AND( $BG$205 = "1", $BH$205 = "1" ), 1, IF( AND( $BG$205 = "1", $BH$205 = "0" ), 2, IF( AND( $BG$205 = "0", $BH$205 = "1" ), 3, 4 ) ) )</f>
        <v>3</v>
      </c>
      <c r="BK205" s="1">
        <v>3.333333333333334E-2</v>
      </c>
      <c r="BL205" t="str">
        <f>"0"</f>
        <v>0</v>
      </c>
      <c r="BM205" t="str">
        <f xml:space="preserve"> IF($BK$205 &gt;= $G$281, "1","0")</f>
        <v>0</v>
      </c>
      <c r="BN205">
        <f xml:space="preserve"> IF( AND( $BL$205 = "1", $BM$205 = "1" ), 1, IF( AND( $BL$205 = "1", $BM$205 = "0" ), 2, IF( AND( $BL$205 = "0", $BM$205 = "1" ), 3, 4 ) ) )</f>
        <v>4</v>
      </c>
    </row>
    <row r="206" spans="2:66" ht="15.75" x14ac:dyDescent="0.25">
      <c r="C206" s="9" t="s">
        <v>186</v>
      </c>
      <c r="D206" s="10"/>
      <c r="E206" s="11"/>
      <c r="BF206" s="1">
        <v>4.3478260869565209E-2</v>
      </c>
      <c r="BG206" t="str">
        <f>"0"</f>
        <v>0</v>
      </c>
      <c r="BH206" t="str">
        <f xml:space="preserve"> IF($BF$206 &gt;= $G$204, "1","0")</f>
        <v>0</v>
      </c>
      <c r="BI206">
        <f xml:space="preserve"> IF( AND( $BG$206 = "1", $BH$206 = "1" ), 1, IF( AND( $BG$206 = "1", $BH$206 = "0" ), 2, IF( AND( $BG$206 = "0", $BH$206 = "1" ), 3, 4 ) ) )</f>
        <v>4</v>
      </c>
      <c r="BK206" s="1">
        <v>1.8947368421052633E-2</v>
      </c>
      <c r="BL206" t="str">
        <f>"0"</f>
        <v>0</v>
      </c>
      <c r="BM206" t="str">
        <f xml:space="preserve"> IF($BK$206 &gt;= $G$281, "1","0")</f>
        <v>0</v>
      </c>
      <c r="BN206">
        <f xml:space="preserve"> IF( AND( $BL$206 = "1", $BM$206 = "1" ), 1, IF( AND( $BL$206 = "1", $BM$206 = "0" ), 2, IF( AND( $BL$206 = "0", $BM$206 = "1" ), 3, 4 ) ) )</f>
        <v>4</v>
      </c>
    </row>
    <row r="207" spans="2:66" x14ac:dyDescent="0.25">
      <c r="C207" s="2"/>
      <c r="D207" s="30" t="s">
        <v>187</v>
      </c>
      <c r="E207" s="32"/>
      <c r="BF207" s="1">
        <v>4.3478260869565209E-2</v>
      </c>
      <c r="BG207" t="str">
        <f>"0"</f>
        <v>0</v>
      </c>
      <c r="BH207" t="str">
        <f xml:space="preserve"> IF($BF$207 &gt;= $G$204, "1","0")</f>
        <v>0</v>
      </c>
      <c r="BI207">
        <f xml:space="preserve"> IF( AND( $BG$207 = "1", $BH$207 = "1" ), 1, IF( AND( $BG$207 = "1", $BH$207 = "0" ), 2, IF( AND( $BG$207 = "0", $BH$207 = "1" ), 3, 4 ) ) )</f>
        <v>4</v>
      </c>
      <c r="BK207" s="1">
        <v>0.37500000000000006</v>
      </c>
      <c r="BL207" t="str">
        <f>"0"</f>
        <v>0</v>
      </c>
      <c r="BM207" t="str">
        <f xml:space="preserve"> IF($BK$207 &gt;= $G$281, "1","0")</f>
        <v>1</v>
      </c>
      <c r="BN207">
        <f xml:space="preserve"> IF( AND( $BL$207 = "1", $BM$207 = "1" ), 1, IF( AND( $BL$207 = "1", $BM$207 = "0" ), 2, IF( AND( $BL$207 = "0", $BM$207 = "1" ), 3, 4 ) ) )</f>
        <v>3</v>
      </c>
    </row>
    <row r="208" spans="2:66" x14ac:dyDescent="0.25">
      <c r="C208" s="3" t="s">
        <v>188</v>
      </c>
      <c r="D208" s="2">
        <v>1</v>
      </c>
      <c r="E208" s="2">
        <v>0</v>
      </c>
      <c r="BF208" s="1">
        <v>0.2857142857142857</v>
      </c>
      <c r="BG208" t="str">
        <f>"0"</f>
        <v>0</v>
      </c>
      <c r="BH208" t="str">
        <f xml:space="preserve"> IF($BF$208 &gt;= $G$204, "1","0")</f>
        <v>1</v>
      </c>
      <c r="BI208">
        <f xml:space="preserve"> IF( AND( $BG$208 = "1", $BH$208 = "1" ), 1, IF( AND( $BG$208 = "1", $BH$208 = "0" ), 2, IF( AND( $BG$208 = "0", $BH$208 = "1" ), 3, 4 ) ) )</f>
        <v>3</v>
      </c>
      <c r="BK208" s="1">
        <v>2.5000000000000001E-3</v>
      </c>
      <c r="BL208" t="str">
        <f>"0"</f>
        <v>0</v>
      </c>
      <c r="BM208" t="str">
        <f xml:space="preserve"> IF($BK$208 &gt;= $G$281, "1","0")</f>
        <v>0</v>
      </c>
      <c r="BN208">
        <f xml:space="preserve"> IF( AND( $BL$208 = "1", $BM$208 = "1" ), 1, IF( AND( $BL$208 = "1", $BM$208 = "0" ), 2, IF( AND( $BL$208 = "0", $BM$208 = "1" ), 3, 4 ) ) )</f>
        <v>4</v>
      </c>
    </row>
    <row r="209" spans="3:66" x14ac:dyDescent="0.25">
      <c r="C209" s="3">
        <v>1</v>
      </c>
      <c r="D209" s="1">
        <f xml:space="preserve"> COUNTIF( $BI$1:$BI$1860, 1 )</f>
        <v>514</v>
      </c>
      <c r="E209" s="1">
        <f xml:space="preserve"> COUNTIF( $BI$1:$BI$1860, 2 )</f>
        <v>11</v>
      </c>
      <c r="BF209" s="1">
        <v>0.44444444444444448</v>
      </c>
      <c r="BG209" t="str">
        <f>"0"</f>
        <v>0</v>
      </c>
      <c r="BH209" t="str">
        <f xml:space="preserve"> IF($BF$209 &gt;= $G$204, "1","0")</f>
        <v>1</v>
      </c>
      <c r="BI209">
        <f xml:space="preserve"> IF( AND( $BG$209 = "1", $BH$209 = "1" ), 1, IF( AND( $BG$209 = "1", $BH$209 = "0" ), 2, IF( AND( $BG$209 = "0", $BH$209 = "1" ), 3, 4 ) ) )</f>
        <v>3</v>
      </c>
      <c r="BK209" s="1">
        <v>2.5000000000000001E-3</v>
      </c>
      <c r="BL209" t="str">
        <f>"0"</f>
        <v>0</v>
      </c>
      <c r="BM209" t="str">
        <f xml:space="preserve"> IF($BK$209 &gt;= $G$281, "1","0")</f>
        <v>0</v>
      </c>
      <c r="BN209">
        <f xml:space="preserve"> IF( AND( $BL$209 = "1", $BM$209 = "1" ), 1, IF( AND( $BL$209 = "1", $BM$209 = "0" ), 2, IF( AND( $BL$209 = "0", $BM$209 = "1" ), 3, 4 ) ) )</f>
        <v>4</v>
      </c>
    </row>
    <row r="210" spans="3:66" x14ac:dyDescent="0.25">
      <c r="C210" s="3">
        <v>0</v>
      </c>
      <c r="D210" s="1">
        <f xml:space="preserve"> COUNTIF( $BI$1:$BI$1860, 3 )</f>
        <v>129</v>
      </c>
      <c r="E210" s="1">
        <f xml:space="preserve"> COUNTIF( $BI$1:$BI$1860, 4 )</f>
        <v>1206</v>
      </c>
      <c r="BF210" s="1">
        <v>0.79999999999999993</v>
      </c>
      <c r="BG210" t="str">
        <f>"0"</f>
        <v>0</v>
      </c>
      <c r="BH210" t="str">
        <f xml:space="preserve"> IF($BF$210 &gt;= $G$204, "1","0")</f>
        <v>1</v>
      </c>
      <c r="BI210">
        <f xml:space="preserve"> IF( AND( $BG$210 = "1", $BH$210 = "1" ), 1, IF( AND( $BG$210 = "1", $BH$210 = "0" ), 2, IF( AND( $BG$210 = "0", $BH$210 = "1" ), 3, 4 ) ) )</f>
        <v>3</v>
      </c>
      <c r="BK210" s="1">
        <v>3.333333333333334E-2</v>
      </c>
      <c r="BL210" t="str">
        <f>"0"</f>
        <v>0</v>
      </c>
      <c r="BM210" t="str">
        <f xml:space="preserve"> IF($BK$210 &gt;= $G$281, "1","0")</f>
        <v>0</v>
      </c>
      <c r="BN210">
        <f xml:space="preserve"> IF( AND( $BL$210 = "1", $BM$210 = "1" ), 1, IF( AND( $BL$210 = "1", $BM$210 = "0" ), 2, IF( AND( $BL$210 = "0", $BM$210 = "1" ), 3, 4 ) ) )</f>
        <v>4</v>
      </c>
    </row>
    <row r="211" spans="3:66" x14ac:dyDescent="0.25">
      <c r="BF211" s="1">
        <v>0.2608695652173913</v>
      </c>
      <c r="BG211" t="str">
        <f>"0"</f>
        <v>0</v>
      </c>
      <c r="BH211" t="str">
        <f xml:space="preserve"> IF($BF$211 &gt;= $G$204, "1","0")</f>
        <v>1</v>
      </c>
      <c r="BI211">
        <f xml:space="preserve"> IF( AND( $BG$211 = "1", $BH$211 = "1" ), 1, IF( AND( $BG$211 = "1", $BH$211 = "0" ), 2, IF( AND( $BG$211 = "0", $BH$211 = "1" ), 3, 4 ) ) )</f>
        <v>3</v>
      </c>
      <c r="BK211" s="1">
        <v>2.5000000000000001E-3</v>
      </c>
      <c r="BL211" t="str">
        <f>"0"</f>
        <v>0</v>
      </c>
      <c r="BM211" t="str">
        <f xml:space="preserve"> IF($BK$211 &gt;= $G$281, "1","0")</f>
        <v>0</v>
      </c>
      <c r="BN211">
        <f xml:space="preserve"> IF( AND( $BL$211 = "1", $BM$211 = "1" ), 1, IF( AND( $BL$211 = "1", $BM$211 = "0" ), 2, IF( AND( $BL$211 = "0", $BM$211 = "1" ), 3, 4 ) ) )</f>
        <v>4</v>
      </c>
    </row>
    <row r="212" spans="3:66" ht="15.75" x14ac:dyDescent="0.25">
      <c r="C212" s="9" t="s">
        <v>189</v>
      </c>
      <c r="D212" s="10"/>
      <c r="E212" s="10"/>
      <c r="F212" s="11"/>
      <c r="BF212" s="1">
        <v>0.64</v>
      </c>
      <c r="BG212" t="str">
        <f>"0"</f>
        <v>0</v>
      </c>
      <c r="BH212" t="str">
        <f xml:space="preserve"> IF($BF$212 &gt;= $G$204, "1","0")</f>
        <v>1</v>
      </c>
      <c r="BI212">
        <f xml:space="preserve"> IF( AND( $BG$212 = "1", $BH$212 = "1" ), 1, IF( AND( $BG$212 = "1", $BH$212 = "0" ), 2, IF( AND( $BG$212 = "0", $BH$212 = "1" ), 3, 4 ) ) )</f>
        <v>3</v>
      </c>
      <c r="BK212" s="1">
        <v>0.37500000000000006</v>
      </c>
      <c r="BL212" t="str">
        <f>"0"</f>
        <v>0</v>
      </c>
      <c r="BM212" t="str">
        <f xml:space="preserve"> IF($BK$212 &gt;= $G$281, "1","0")</f>
        <v>1</v>
      </c>
      <c r="BN212">
        <f xml:space="preserve"> IF( AND( $BL$212 = "1", $BM$212 = "1" ), 1, IF( AND( $BL$212 = "1", $BM$212 = "0" ), 2, IF( AND( $BL$212 = "0", $BM$212 = "1" ), 3, 4 ) ) )</f>
        <v>3</v>
      </c>
    </row>
    <row r="213" spans="3:66" x14ac:dyDescent="0.25">
      <c r="C213" s="2" t="s">
        <v>13</v>
      </c>
      <c r="D213" s="2" t="s">
        <v>190</v>
      </c>
      <c r="E213" s="2" t="s">
        <v>191</v>
      </c>
      <c r="F213" s="2" t="s">
        <v>121</v>
      </c>
      <c r="BF213" s="1">
        <v>4.3478260869565209E-2</v>
      </c>
      <c r="BG213" t="str">
        <f>"0"</f>
        <v>0</v>
      </c>
      <c r="BH213" t="str">
        <f xml:space="preserve"> IF($BF$213 &gt;= $G$204, "1","0")</f>
        <v>0</v>
      </c>
      <c r="BI213">
        <f xml:space="preserve"> IF( AND( $BG$213 = "1", $BH$213 = "1" ), 1, IF( AND( $BG$213 = "1", $BH$213 = "0" ), 2, IF( AND( $BG$213 = "0", $BH$213 = "1" ), 3, 4 ) ) )</f>
        <v>4</v>
      </c>
      <c r="BK213" s="1">
        <v>1.8947368421052633E-2</v>
      </c>
      <c r="BL213" t="str">
        <f>"0"</f>
        <v>0</v>
      </c>
      <c r="BM213" t="str">
        <f xml:space="preserve"> IF($BK$213 &gt;= $G$281, "1","0")</f>
        <v>0</v>
      </c>
      <c r="BN213">
        <f xml:space="preserve"> IF( AND( $BL$213 = "1", $BM$213 = "1" ), 1, IF( AND( $BL$213 = "1", $BM$213 = "0" ), 2, IF( AND( $BL$213 = "0", $BM$213 = "1" ), 3, 4 ) ) )</f>
        <v>4</v>
      </c>
    </row>
    <row r="214" spans="3:66" x14ac:dyDescent="0.25">
      <c r="C214" s="3">
        <v>1</v>
      </c>
      <c r="D214" s="1">
        <f>SUM($D$209:$E$209)</f>
        <v>525</v>
      </c>
      <c r="E214" s="1">
        <f>SUM($D$209:$E$209) - $D$209</f>
        <v>11</v>
      </c>
      <c r="F214" s="1">
        <f>IF($D$214=0,"Undefined",(($E$214)*100) / ($D$214))</f>
        <v>2.0952380952380953</v>
      </c>
      <c r="BF214" s="1">
        <v>0.44444444444444448</v>
      </c>
      <c r="BG214" t="str">
        <f>"0"</f>
        <v>0</v>
      </c>
      <c r="BH214" t="str">
        <f xml:space="preserve"> IF($BF$214 &gt;= $G$204, "1","0")</f>
        <v>1</v>
      </c>
      <c r="BI214">
        <f xml:space="preserve"> IF( AND( $BG$214 = "1", $BH$214 = "1" ), 1, IF( AND( $BG$214 = "1", $BH$214 = "0" ), 2, IF( AND( $BG$214 = "0", $BH$214 = "1" ), 3, 4 ) ) )</f>
        <v>3</v>
      </c>
      <c r="BK214" s="1">
        <v>2.5000000000000001E-3</v>
      </c>
      <c r="BL214" t="str">
        <f>"0"</f>
        <v>0</v>
      </c>
      <c r="BM214" t="str">
        <f xml:space="preserve"> IF($BK$214 &gt;= $G$281, "1","0")</f>
        <v>0</v>
      </c>
      <c r="BN214">
        <f xml:space="preserve"> IF( AND( $BL$214 = "1", $BM$214 = "1" ), 1, IF( AND( $BL$214 = "1", $BM$214 = "0" ), 2, IF( AND( $BL$214 = "0", $BM$214 = "1" ), 3, 4 ) ) )</f>
        <v>4</v>
      </c>
    </row>
    <row r="215" spans="3:66" x14ac:dyDescent="0.25">
      <c r="C215" s="3">
        <v>0</v>
      </c>
      <c r="D215" s="1">
        <f>SUM($D$210:$E$210)</f>
        <v>1335</v>
      </c>
      <c r="E215" s="1">
        <f>SUM($D$210:$E$210) - $E$210</f>
        <v>129</v>
      </c>
      <c r="F215" s="1">
        <f>IF($D$215=0,"Undefined",(($E$215)*100) / ($D$215))</f>
        <v>9.6629213483146064</v>
      </c>
      <c r="BF215" s="1">
        <v>0.2608695652173913</v>
      </c>
      <c r="BG215" t="str">
        <f>"0"</f>
        <v>0</v>
      </c>
      <c r="BH215" t="str">
        <f xml:space="preserve"> IF($BF$215 &gt;= $G$204, "1","0")</f>
        <v>1</v>
      </c>
      <c r="BI215">
        <f xml:space="preserve"> IF( AND( $BG$215 = "1", $BH$215 = "1" ), 1, IF( AND( $BG$215 = "1", $BH$215 = "0" ), 2, IF( AND( $BG$215 = "0", $BH$215 = "1" ), 3, 4 ) ) )</f>
        <v>3</v>
      </c>
      <c r="BK215" s="1">
        <v>1</v>
      </c>
      <c r="BL215" t="str">
        <f>"1"</f>
        <v>1</v>
      </c>
      <c r="BM215" t="str">
        <f xml:space="preserve"> IF($BK$215 &gt;= $G$281, "1","0")</f>
        <v>1</v>
      </c>
      <c r="BN215">
        <f xml:space="preserve"> IF( AND( $BL$215 = "1", $BM$215 = "1" ), 1, IF( AND( $BL$215 = "1", $BM$215 = "0" ), 2, IF( AND( $BL$215 = "0", $BM$215 = "1" ), 3, 4 ) ) )</f>
        <v>1</v>
      </c>
    </row>
    <row r="216" spans="3:66" x14ac:dyDescent="0.25">
      <c r="C216" s="3" t="s">
        <v>192</v>
      </c>
      <c r="D216" s="1">
        <f>SUM($D$214:$D$215)</f>
        <v>1860</v>
      </c>
      <c r="E216" s="1">
        <f>SUM($E$214:$E$215)</f>
        <v>140</v>
      </c>
      <c r="F216" s="1">
        <f>IF($D$216=0,"Undefined",(($E$216)*100) / ($D$216))</f>
        <v>7.5268817204301079</v>
      </c>
      <c r="BF216" s="1">
        <v>0.44444444444444448</v>
      </c>
      <c r="BG216" t="str">
        <f>"0"</f>
        <v>0</v>
      </c>
      <c r="BH216" t="str">
        <f xml:space="preserve"> IF($BF$216 &gt;= $G$204, "1","0")</f>
        <v>1</v>
      </c>
      <c r="BI216">
        <f xml:space="preserve"> IF( AND( $BG$216 = "1", $BH$216 = "1" ), 1, IF( AND( $BG$216 = "1", $BH$216 = "0" ), 2, IF( AND( $BG$216 = "0", $BH$216 = "1" ), 3, 4 ) ) )</f>
        <v>3</v>
      </c>
      <c r="BK216" s="1">
        <v>1.8947368421052633E-2</v>
      </c>
      <c r="BL216" t="str">
        <f>"0"</f>
        <v>0</v>
      </c>
      <c r="BM216" t="str">
        <f xml:space="preserve"> IF($BK$216 &gt;= $G$281, "1","0")</f>
        <v>0</v>
      </c>
      <c r="BN216">
        <f xml:space="preserve"> IF( AND( $BL$216 = "1", $BM$216 = "1" ), 1, IF( AND( $BL$216 = "1", $BM$216 = "0" ), 2, IF( AND( $BL$216 = "0", $BM$216 = "1" ), 3, 4 ) ) )</f>
        <v>4</v>
      </c>
    </row>
    <row r="217" spans="3:66" x14ac:dyDescent="0.25">
      <c r="BF217" s="1">
        <v>0.64</v>
      </c>
      <c r="BG217" t="str">
        <f>"0"</f>
        <v>0</v>
      </c>
      <c r="BH217" t="str">
        <f xml:space="preserve"> IF($BF$217 &gt;= $G$204, "1","0")</f>
        <v>1</v>
      </c>
      <c r="BI217">
        <f xml:space="preserve"> IF( AND( $BG$217 = "1", $BH$217 = "1" ), 1, IF( AND( $BG$217 = "1", $BH$217 = "0" ), 2, IF( AND( $BG$217 = "0", $BH$217 = "1" ), 3, 4 ) ) )</f>
        <v>3</v>
      </c>
      <c r="BK217" s="1">
        <v>0</v>
      </c>
      <c r="BL217" t="str">
        <f>"0"</f>
        <v>0</v>
      </c>
      <c r="BM217" t="str">
        <f xml:space="preserve"> IF($BK$217 &gt;= $G$281, "1","0")</f>
        <v>0</v>
      </c>
      <c r="BN217">
        <f xml:space="preserve"> IF( AND( $BL$217 = "1", $BM$217 = "1" ), 1, IF( AND( $BL$217 = "1", $BM$217 = "0" ), 2, IF( AND( $BL$217 = "0", $BM$217 = "1" ), 3, 4 ) ) )</f>
        <v>4</v>
      </c>
    </row>
    <row r="218" spans="3:66" ht="15.75" x14ac:dyDescent="0.25">
      <c r="C218" s="9" t="s">
        <v>193</v>
      </c>
      <c r="D218" s="10"/>
      <c r="E218" s="11"/>
      <c r="BF218" s="1">
        <v>0.2608695652173913</v>
      </c>
      <c r="BG218" t="str">
        <f>"0"</f>
        <v>0</v>
      </c>
      <c r="BH218" t="str">
        <f xml:space="preserve"> IF($BF$218 &gt;= $G$204, "1","0")</f>
        <v>1</v>
      </c>
      <c r="BI218">
        <f xml:space="preserve"> IF( AND( $BG$218 = "1", $BH$218 = "1" ), 1, IF( AND( $BG$218 = "1", $BH$218 = "0" ), 2, IF( AND( $BG$218 = "0", $BH$218 = "1" ), 3, 4 ) ) )</f>
        <v>3</v>
      </c>
      <c r="BK218" s="1">
        <v>2.5000000000000001E-3</v>
      </c>
      <c r="BL218" t="str">
        <f>"0"</f>
        <v>0</v>
      </c>
      <c r="BM218" t="str">
        <f xml:space="preserve"> IF($BK$218 &gt;= $G$281, "1","0")</f>
        <v>0</v>
      </c>
      <c r="BN218">
        <f xml:space="preserve"> IF( AND( $BL$218 = "1", $BM$218 = "1" ), 1, IF( AND( $BL$218 = "1", $BM$218 = "0" ), 2, IF( AND( $BL$218 = "0", $BM$218 = "1" ), 3, 4 ) ) )</f>
        <v>4</v>
      </c>
    </row>
    <row r="219" spans="3:66" x14ac:dyDescent="0.25">
      <c r="C219" s="13" t="s">
        <v>194</v>
      </c>
      <c r="D219" s="14"/>
      <c r="E219" s="25">
        <v>1</v>
      </c>
      <c r="BF219" s="1">
        <v>4.3478260869565209E-2</v>
      </c>
      <c r="BG219" t="str">
        <f>"0"</f>
        <v>0</v>
      </c>
      <c r="BH219" t="str">
        <f xml:space="preserve"> IF($BF$219 &gt;= $G$204, "1","0")</f>
        <v>0</v>
      </c>
      <c r="BI219">
        <f xml:space="preserve"> IF( AND( $BG$219 = "1", $BH$219 = "1" ), 1, IF( AND( $BG$219 = "1", $BH$219 = "0" ), 2, IF( AND( $BG$219 = "0", $BH$219 = "1" ), 3, 4 ) ) )</f>
        <v>4</v>
      </c>
      <c r="BK219" s="1">
        <v>1.8947368421052633E-2</v>
      </c>
      <c r="BL219" t="str">
        <f>"0"</f>
        <v>0</v>
      </c>
      <c r="BM219" t="str">
        <f xml:space="preserve"> IF($BK$219 &gt;= $G$281, "1","0")</f>
        <v>0</v>
      </c>
      <c r="BN219">
        <f xml:space="preserve"> IF( AND( $BL$219 = "1", $BM$219 = "1" ), 1, IF( AND( $BL$219 = "1", $BM$219 = "0" ), 2, IF( AND( $BL$219 = "0", $BM$219 = "1" ), 3, 4 ) ) )</f>
        <v>4</v>
      </c>
    </row>
    <row r="220" spans="3:66" x14ac:dyDescent="0.25">
      <c r="C220" s="13" t="s">
        <v>195</v>
      </c>
      <c r="D220" s="14"/>
      <c r="E220" s="25">
        <f>IF(($D$209 + $D$210) = 0,"Undefined",$D$209/($D$209 + $D$210))</f>
        <v>0.79937791601866248</v>
      </c>
      <c r="BF220" s="1">
        <v>0.2608695652173913</v>
      </c>
      <c r="BG220" t="str">
        <f>"0"</f>
        <v>0</v>
      </c>
      <c r="BH220" t="str">
        <f xml:space="preserve"> IF($BF$220 &gt;= $G$204, "1","0")</f>
        <v>1</v>
      </c>
      <c r="BI220">
        <f xml:space="preserve"> IF( AND( $BG$220 = "1", $BH$220 = "1" ), 1, IF( AND( $BG$220 = "1", $BH$220 = "0" ), 2, IF( AND( $BG$220 = "0", $BH$220 = "1" ), 3, 4 ) ) )</f>
        <v>3</v>
      </c>
      <c r="BK220" s="1">
        <v>1.8947368421052633E-2</v>
      </c>
      <c r="BL220" t="str">
        <f>"0"</f>
        <v>0</v>
      </c>
      <c r="BM220" t="str">
        <f xml:space="preserve"> IF($BK$220 &gt;= $G$281, "1","0")</f>
        <v>0</v>
      </c>
      <c r="BN220">
        <f xml:space="preserve"> IF( AND( $BL$220 = "1", $BM$220 = "1" ), 1, IF( AND( $BL$220 = "1", $BM$220 = "0" ), 2, IF( AND( $BL$220 = "0", $BM$220 = "1" ), 3, 4 ) ) )</f>
        <v>4</v>
      </c>
    </row>
    <row r="221" spans="3:66" x14ac:dyDescent="0.25">
      <c r="C221" s="13" t="s">
        <v>196</v>
      </c>
      <c r="D221" s="14"/>
      <c r="E221" s="25">
        <f>IF(($D$209 + $E$209) = 0,"Undefined",$D$209/($D$209 + $E$209))</f>
        <v>0.97904761904761906</v>
      </c>
      <c r="BF221" s="1">
        <v>4.3478260869565209E-2</v>
      </c>
      <c r="BG221" t="str">
        <f>"0"</f>
        <v>0</v>
      </c>
      <c r="BH221" t="str">
        <f xml:space="preserve"> IF($BF$221 &gt;= $G$204, "1","0")</f>
        <v>0</v>
      </c>
      <c r="BI221">
        <f xml:space="preserve"> IF( AND( $BG$221 = "1", $BH$221 = "1" ), 1, IF( AND( $BG$221 = "1", $BH$221 = "0" ), 2, IF( AND( $BG$221 = "0", $BH$221 = "1" ), 3, 4 ) ) )</f>
        <v>4</v>
      </c>
      <c r="BK221" s="1">
        <v>0.2857142857142857</v>
      </c>
      <c r="BL221" t="str">
        <f>"1"</f>
        <v>1</v>
      </c>
      <c r="BM221" t="str">
        <f xml:space="preserve"> IF($BK$221 &gt;= $G$281, "1","0")</f>
        <v>1</v>
      </c>
      <c r="BN221">
        <f xml:space="preserve"> IF( AND( $BL$221 = "1", $BM$221 = "1" ), 1, IF( AND( $BL$221 = "1", $BM$221 = "0" ), 2, IF( AND( $BL$221 = "0", $BM$221 = "1" ), 3, 4 ) ) )</f>
        <v>1</v>
      </c>
    </row>
    <row r="222" spans="3:66" x14ac:dyDescent="0.25">
      <c r="C222" s="13" t="s">
        <v>197</v>
      </c>
      <c r="D222" s="14"/>
      <c r="E222" s="25">
        <f>IF(($D$210 + $E$210) = 0,"Undefined",$E$210/($D$210 + $E$210))</f>
        <v>0.90337078651685399</v>
      </c>
      <c r="BF222" s="1">
        <v>4.3478260869565209E-2</v>
      </c>
      <c r="BG222" t="str">
        <f>"0"</f>
        <v>0</v>
      </c>
      <c r="BH222" t="str">
        <f xml:space="preserve"> IF($BF$222 &gt;= $G$204, "1","0")</f>
        <v>0</v>
      </c>
      <c r="BI222">
        <f xml:space="preserve"> IF( AND( $BG$222 = "1", $BH$222 = "1" ), 1, IF( AND( $BG$222 = "1", $BH$222 = "0" ), 2, IF( AND( $BG$222 = "0", $BH$222 = "1" ), 3, 4 ) ) )</f>
        <v>4</v>
      </c>
      <c r="BK222" s="1">
        <v>2.5000000000000001E-3</v>
      </c>
      <c r="BL222" t="str">
        <f>"0"</f>
        <v>0</v>
      </c>
      <c r="BM222" t="str">
        <f xml:space="preserve"> IF($BK$222 &gt;= $G$281, "1","0")</f>
        <v>0</v>
      </c>
      <c r="BN222">
        <f xml:space="preserve"> IF( AND( $BL$222 = "1", $BM$222 = "1" ), 1, IF( AND( $BL$222 = "1", $BM$222 = "0" ), 2, IF( AND( $BL$222 = "0", $BM$222 = "1" ), 3, 4 ) ) )</f>
        <v>4</v>
      </c>
    </row>
    <row r="223" spans="3:66" x14ac:dyDescent="0.25">
      <c r="C223" s="13" t="s">
        <v>198</v>
      </c>
      <c r="D223" s="14"/>
      <c r="E223" s="25">
        <f>IF(OR($E$220="Undefined",$E$221="Undefined"),"Undefined",IF(($E$220+ $E$221)=0,"Undefined",2*$E$220*$E$221/($E$220+$E$221)))</f>
        <v>0.88013698630136983</v>
      </c>
      <c r="BF223" s="1">
        <v>0.44444444444444448</v>
      </c>
      <c r="BG223" t="str">
        <f>"0"</f>
        <v>0</v>
      </c>
      <c r="BH223" t="str">
        <f xml:space="preserve"> IF($BF$223 &gt;= $G$204, "1","0")</f>
        <v>1</v>
      </c>
      <c r="BI223">
        <f xml:space="preserve"> IF( AND( $BG$223 = "1", $BH$223 = "1" ), 1, IF( AND( $BG$223 = "1", $BH$223 = "0" ), 2, IF( AND( $BG$223 = "0", $BH$223 = "1" ), 3, 4 ) ) )</f>
        <v>3</v>
      </c>
      <c r="BK223" s="1">
        <v>0</v>
      </c>
      <c r="BL223" t="str">
        <f>"0"</f>
        <v>0</v>
      </c>
      <c r="BM223" t="str">
        <f xml:space="preserve"> IF($BK$223 &gt;= $G$281, "1","0")</f>
        <v>0</v>
      </c>
      <c r="BN223">
        <f xml:space="preserve"> IF( AND( $BL$223 = "1", $BM$223 = "1" ), 1, IF( AND( $BL$223 = "1", $BM$223 = "0" ), 2, IF( AND( $BL$223 = "0", $BM$223 = "1" ), 3, 4 ) ) )</f>
        <v>4</v>
      </c>
    </row>
    <row r="224" spans="3:66" x14ac:dyDescent="0.25">
      <c r="BF224" s="1">
        <v>0.2608695652173913</v>
      </c>
      <c r="BG224" t="str">
        <f>"0"</f>
        <v>0</v>
      </c>
      <c r="BH224" t="str">
        <f xml:space="preserve"> IF($BF$224 &gt;= $G$204, "1","0")</f>
        <v>1</v>
      </c>
      <c r="BI224">
        <f xml:space="preserve"> IF( AND( $BG$224 = "1", $BH$224 = "1" ), 1, IF( AND( $BG$224 = "1", $BH$224 = "0" ), 2, IF( AND( $BG$224 = "0", $BH$224 = "1" ), 3, 4 ) ) )</f>
        <v>3</v>
      </c>
      <c r="BK224" s="1">
        <v>0.14285714285714285</v>
      </c>
      <c r="BL224" t="str">
        <f>"0"</f>
        <v>0</v>
      </c>
      <c r="BM224" t="str">
        <f xml:space="preserve"> IF($BK$224 &gt;= $G$281, "1","0")</f>
        <v>0</v>
      </c>
      <c r="BN224">
        <f xml:space="preserve"> IF( AND( $BL$224 = "1", $BM$224 = "1" ), 1, IF( AND( $BL$224 = "1", $BM$224 = "0" ), 2, IF( AND( $BL$224 = "0", $BM$224 = "1" ), 3, 4 ) ) )</f>
        <v>4</v>
      </c>
    </row>
    <row r="225" spans="2:66" ht="18.75" x14ac:dyDescent="0.3">
      <c r="B225" s="22" t="s">
        <v>199</v>
      </c>
      <c r="BF225" s="1">
        <v>0.44444444444444448</v>
      </c>
      <c r="BG225" t="str">
        <f>"0"</f>
        <v>0</v>
      </c>
      <c r="BH225" t="str">
        <f xml:space="preserve"> IF($BF$225 &gt;= $G$204, "1","0")</f>
        <v>1</v>
      </c>
      <c r="BI225">
        <f xml:space="preserve"> IF( AND( $BG$225 = "1", $BH$225 = "1" ), 1, IF( AND( $BG$225 = "1", $BH$225 = "0" ), 2, IF( AND( $BG$225 = "0", $BH$225 = "1" ), 3, 4 ) ) )</f>
        <v>3</v>
      </c>
      <c r="BK225" s="1">
        <v>2.5000000000000001E-3</v>
      </c>
      <c r="BL225" t="str">
        <f>"0"</f>
        <v>0</v>
      </c>
      <c r="BM225" t="str">
        <f xml:space="preserve"> IF($BK$225 &gt;= $G$281, "1","0")</f>
        <v>0</v>
      </c>
      <c r="BN225">
        <f xml:space="preserve"> IF( AND( $BL$225 = "1", $BM$225 = "1" ), 1, IF( AND( $BL$225 = "1", $BM$225 = "0" ), 2, IF( AND( $BL$225 = "0", $BM$225 = "1" ), 3, 4 ) ) )</f>
        <v>4</v>
      </c>
    </row>
    <row r="226" spans="2:66" x14ac:dyDescent="0.25">
      <c r="BF226" s="1">
        <v>0.2608695652173913</v>
      </c>
      <c r="BG226" t="str">
        <f>"0"</f>
        <v>0</v>
      </c>
      <c r="BH226" t="str">
        <f xml:space="preserve"> IF($BF$226 &gt;= $G$204, "1","0")</f>
        <v>1</v>
      </c>
      <c r="BI226">
        <f xml:space="preserve"> IF( AND( $BG$226 = "1", $BH$226 = "1" ), 1, IF( AND( $BG$226 = "1", $BH$226 = "0" ), 2, IF( AND( $BG$226 = "0", $BH$226 = "1" ), 3, 4 ) ) )</f>
        <v>3</v>
      </c>
      <c r="BK226" s="1">
        <v>1</v>
      </c>
      <c r="BL226" t="str">
        <f>"1"</f>
        <v>1</v>
      </c>
      <c r="BM226" t="str">
        <f xml:space="preserve"> IF($BK$226 &gt;= $G$281, "1","0")</f>
        <v>1</v>
      </c>
      <c r="BN226">
        <f xml:space="preserve"> IF( AND( $BL$226 = "1", $BM$226 = "1" ), 1, IF( AND( $BL$226 = "1", $BM$226 = "0" ), 2, IF( AND( $BL$226 = "0", $BM$226 = "1" ), 3, 4 ) ) )</f>
        <v>1</v>
      </c>
    </row>
    <row r="227" spans="2:66" x14ac:dyDescent="0.25">
      <c r="C227" s="13" t="s">
        <v>173</v>
      </c>
      <c r="D227" s="14"/>
      <c r="E227" s="1">
        <v>23</v>
      </c>
      <c r="H227" s="13" t="s">
        <v>174</v>
      </c>
      <c r="I227" s="14"/>
      <c r="J227" s="1">
        <v>24</v>
      </c>
      <c r="BF227" s="1">
        <v>0.64</v>
      </c>
      <c r="BG227" t="str">
        <f>"0"</f>
        <v>0</v>
      </c>
      <c r="BH227" t="str">
        <f xml:space="preserve"> IF($BF$227 &gt;= $G$204, "1","0")</f>
        <v>1</v>
      </c>
      <c r="BI227">
        <f xml:space="preserve"> IF( AND( $BG$227 = "1", $BH$227 = "1" ), 1, IF( AND( $BG$227 = "1", $BH$227 = "0" ), 2, IF( AND( $BG$227 = "0", $BH$227 = "1" ), 3, 4 ) ) )</f>
        <v>3</v>
      </c>
      <c r="BK227" s="1">
        <v>0</v>
      </c>
      <c r="BL227" t="str">
        <f>"0"</f>
        <v>0</v>
      </c>
      <c r="BM227" t="str">
        <f xml:space="preserve"> IF($BK$227 &gt;= $G$281, "1","0")</f>
        <v>0</v>
      </c>
      <c r="BN227">
        <f xml:space="preserve"> IF( AND( $BL$227 = "1", $BM$227 = "1" ), 1, IF( AND( $BL$227 = "1", $BM$227 = "0" ), 2, IF( AND( $BL$227 = "0", $BM$227 = "1" ), 3, 4 ) ) )</f>
        <v>4</v>
      </c>
    </row>
    <row r="228" spans="2:66" x14ac:dyDescent="0.25">
      <c r="BF228" s="1">
        <v>0.72727272727272729</v>
      </c>
      <c r="BG228" t="str">
        <f>"0"</f>
        <v>0</v>
      </c>
      <c r="BH228" t="str">
        <f xml:space="preserve"> IF($BF$228 &gt;= $G$204, "1","0")</f>
        <v>1</v>
      </c>
      <c r="BI228">
        <f xml:space="preserve"> IF( AND( $BG$228 = "1", $BH$228 = "1" ), 1, IF( AND( $BG$228 = "1", $BH$228 = "0" ), 2, IF( AND( $BG$228 = "0", $BH$228 = "1" ), 3, 4 ) ) )</f>
        <v>3</v>
      </c>
      <c r="BK228" s="1">
        <v>1.8947368421052633E-2</v>
      </c>
      <c r="BL228" t="str">
        <f>"0"</f>
        <v>0</v>
      </c>
      <c r="BM228" t="str">
        <f xml:space="preserve"> IF($BK$228 &gt;= $G$281, "1","0")</f>
        <v>0</v>
      </c>
      <c r="BN228">
        <f xml:space="preserve"> IF( AND( $BL$228 = "1", $BM$228 = "1" ), 1, IF( AND( $BL$228 = "1", $BM$228 = "0" ), 2, IF( AND( $BL$228 = "0", $BM$228 = "1" ), 3, 4 ) ) )</f>
        <v>4</v>
      </c>
    </row>
    <row r="229" spans="2:66" x14ac:dyDescent="0.25">
      <c r="C229" s="2" t="s">
        <v>175</v>
      </c>
      <c r="D229" s="2" t="s">
        <v>176</v>
      </c>
      <c r="E229" s="2" t="s">
        <v>177</v>
      </c>
      <c r="F229" s="2" t="s">
        <v>55</v>
      </c>
      <c r="G229" s="2" t="s">
        <v>56</v>
      </c>
      <c r="H229" s="2" t="s">
        <v>51</v>
      </c>
      <c r="I229" s="2" t="s">
        <v>178</v>
      </c>
      <c r="J229" s="2" t="s">
        <v>179</v>
      </c>
      <c r="K229" s="2" t="s">
        <v>180</v>
      </c>
      <c r="L229" s="2" t="s">
        <v>13</v>
      </c>
      <c r="M229" s="2" t="s">
        <v>23</v>
      </c>
      <c r="BF229" s="1">
        <v>0.64</v>
      </c>
      <c r="BG229" t="str">
        <f>"0"</f>
        <v>0</v>
      </c>
      <c r="BH229" t="str">
        <f xml:space="preserve"> IF($BF$229 &gt;= $G$204, "1","0")</f>
        <v>1</v>
      </c>
      <c r="BI229">
        <f xml:space="preserve"> IF( AND( $BG$229 = "1", $BH$229 = "1" ), 1, IF( AND( $BG$229 = "1", $BH$229 = "0" ), 2, IF( AND( $BG$229 = "0", $BH$229 = "1" ), 3, 4 ) ) )</f>
        <v>3</v>
      </c>
      <c r="BK229" s="1">
        <v>1.8947368421052633E-2</v>
      </c>
      <c r="BL229" t="str">
        <f>"0"</f>
        <v>0</v>
      </c>
      <c r="BM229" t="str">
        <f xml:space="preserve"> IF($BK$229 &gt;= $G$281, "1","0")</f>
        <v>0</v>
      </c>
      <c r="BN229">
        <f xml:space="preserve"> IF( AND( $BL$229 = "1", $BM$229 = "1" ), 1, IF( AND( $BL$229 = "1", $BM$229 = "0" ), 2, IF( AND( $BL$229 = "0", $BM$229 = "1" ), 3, 4 ) ) )</f>
        <v>4</v>
      </c>
    </row>
    <row r="230" spans="2:66" x14ac:dyDescent="0.25">
      <c r="C230" s="24">
        <v>0</v>
      </c>
      <c r="D230" s="24">
        <v>0</v>
      </c>
      <c r="E230" s="24" t="s">
        <v>181</v>
      </c>
      <c r="F230" s="24">
        <v>1</v>
      </c>
      <c r="G230" s="24">
        <v>2</v>
      </c>
      <c r="H230" s="24" t="s">
        <v>5</v>
      </c>
      <c r="I230" s="24">
        <v>0.5</v>
      </c>
      <c r="J230" s="24">
        <v>1240</v>
      </c>
      <c r="K230" s="24">
        <v>0.282258064516129</v>
      </c>
      <c r="L230" s="24">
        <v>0</v>
      </c>
      <c r="M230" s="24" t="s">
        <v>182</v>
      </c>
      <c r="BF230" s="1">
        <v>0.2857142857142857</v>
      </c>
      <c r="BG230" t="str">
        <f>"0"</f>
        <v>0</v>
      </c>
      <c r="BH230" t="str">
        <f xml:space="preserve"> IF($BF$230 &gt;= $G$204, "1","0")</f>
        <v>1</v>
      </c>
      <c r="BI230">
        <f xml:space="preserve"> IF( AND( $BG$230 = "1", $BH$230 = "1" ), 1, IF( AND( $BG$230 = "1", $BH$230 = "0" ), 2, IF( AND( $BG$230 = "0", $BH$230 = "1" ), 3, 4 ) ) )</f>
        <v>3</v>
      </c>
      <c r="BK230" s="1">
        <v>1</v>
      </c>
      <c r="BL230" t="str">
        <f>"1"</f>
        <v>1</v>
      </c>
      <c r="BM230" t="str">
        <f xml:space="preserve"> IF($BK$230 &gt;= $G$281, "1","0")</f>
        <v>1</v>
      </c>
      <c r="BN230">
        <f xml:space="preserve"> IF( AND( $BL$230 = "1", $BM$230 = "1" ), 1, IF( AND( $BL$230 = "1", $BM$230 = "0" ), 2, IF( AND( $BL$230 = "0", $BM$230 = "1" ), 3, 4 ) ) )</f>
        <v>1</v>
      </c>
    </row>
    <row r="231" spans="2:66" x14ac:dyDescent="0.25">
      <c r="C231" s="24">
        <v>1</v>
      </c>
      <c r="D231" s="24">
        <v>1</v>
      </c>
      <c r="E231" s="24">
        <v>0</v>
      </c>
      <c r="F231" s="24">
        <v>3</v>
      </c>
      <c r="G231" s="24">
        <v>4</v>
      </c>
      <c r="H231" s="24" t="s">
        <v>0</v>
      </c>
      <c r="I231" s="24">
        <v>73.5</v>
      </c>
      <c r="J231" s="24">
        <v>1039</v>
      </c>
      <c r="K231" s="24">
        <v>0.1118279569892473</v>
      </c>
      <c r="L231" s="24">
        <v>0</v>
      </c>
      <c r="M231" s="24" t="s">
        <v>182</v>
      </c>
      <c r="BF231" s="1">
        <v>0.44444444444444448</v>
      </c>
      <c r="BG231" t="str">
        <f>"0"</f>
        <v>0</v>
      </c>
      <c r="BH231" t="str">
        <f xml:space="preserve"> IF($BF$231 &gt;= $G$204, "1","0")</f>
        <v>1</v>
      </c>
      <c r="BI231">
        <f xml:space="preserve"> IF( AND( $BG$231 = "1", $BH$231 = "1" ), 1, IF( AND( $BG$231 = "1", $BH$231 = "0" ), 2, IF( AND( $BG$231 = "0", $BH$231 = "1" ), 3, 4 ) ) )</f>
        <v>3</v>
      </c>
      <c r="BK231" s="1">
        <v>0</v>
      </c>
      <c r="BL231" t="str">
        <f>"0"</f>
        <v>0</v>
      </c>
      <c r="BM231" t="str">
        <f xml:space="preserve"> IF($BK$231 &gt;= $G$281, "1","0")</f>
        <v>0</v>
      </c>
      <c r="BN231">
        <f xml:space="preserve"> IF( AND( $BL$231 = "1", $BM$231 = "1" ), 1, IF( AND( $BL$231 = "1", $BM$231 = "0" ), 2, IF( AND( $BL$231 = "0", $BM$231 = "1" ), 3, 4 ) ) )</f>
        <v>4</v>
      </c>
    </row>
    <row r="232" spans="2:66" x14ac:dyDescent="0.25">
      <c r="C232" s="24">
        <v>2</v>
      </c>
      <c r="D232" s="24">
        <v>1</v>
      </c>
      <c r="E232" s="24">
        <v>0</v>
      </c>
      <c r="F232" s="24" t="s">
        <v>181</v>
      </c>
      <c r="G232" s="24" t="s">
        <v>181</v>
      </c>
      <c r="H232" s="24" t="s">
        <v>181</v>
      </c>
      <c r="I232" s="24" t="s">
        <v>181</v>
      </c>
      <c r="J232" s="24">
        <v>201</v>
      </c>
      <c r="K232" s="24">
        <v>0</v>
      </c>
      <c r="L232" s="24">
        <v>1</v>
      </c>
      <c r="M232" s="24" t="s">
        <v>183</v>
      </c>
      <c r="BF232" s="1">
        <v>0.2608695652173913</v>
      </c>
      <c r="BG232" t="str">
        <f>"0"</f>
        <v>0</v>
      </c>
      <c r="BH232" t="str">
        <f xml:space="preserve"> IF($BF$232 &gt;= $G$204, "1","0")</f>
        <v>1</v>
      </c>
      <c r="BI232">
        <f xml:space="preserve"> IF( AND( $BG$232 = "1", $BH$232 = "1" ), 1, IF( AND( $BG$232 = "1", $BH$232 = "0" ), 2, IF( AND( $BG$232 = "0", $BH$232 = "1" ), 3, 4 ) ) )</f>
        <v>3</v>
      </c>
      <c r="BK232" s="1">
        <v>0.90476190476190477</v>
      </c>
      <c r="BL232" t="str">
        <f>"1"</f>
        <v>1</v>
      </c>
      <c r="BM232" t="str">
        <f xml:space="preserve"> IF($BK$232 &gt;= $G$281, "1","0")</f>
        <v>1</v>
      </c>
      <c r="BN232">
        <f xml:space="preserve"> IF( AND( $BL$232 = "1", $BM$232 = "1" ), 1, IF( AND( $BL$232 = "1", $BM$232 = "0" ), 2, IF( AND( $BL$232 = "0", $BM$232 = "1" ), 3, 4 ) ) )</f>
        <v>1</v>
      </c>
    </row>
    <row r="233" spans="2:66" x14ac:dyDescent="0.25">
      <c r="C233" s="24">
        <v>3</v>
      </c>
      <c r="D233" s="24">
        <v>2</v>
      </c>
      <c r="E233" s="24">
        <v>1</v>
      </c>
      <c r="F233" s="24">
        <v>5</v>
      </c>
      <c r="G233" s="24">
        <v>6</v>
      </c>
      <c r="H233" s="24" t="s">
        <v>2</v>
      </c>
      <c r="I233" s="24">
        <v>45.5</v>
      </c>
      <c r="J233" s="24">
        <v>846</v>
      </c>
      <c r="K233" s="24">
        <v>5.1075268817204256E-2</v>
      </c>
      <c r="L233" s="24">
        <v>0</v>
      </c>
      <c r="M233" s="24" t="s">
        <v>182</v>
      </c>
      <c r="BF233" s="1">
        <v>0.66666666666666663</v>
      </c>
      <c r="BG233" t="str">
        <f>"0"</f>
        <v>0</v>
      </c>
      <c r="BH233" t="str">
        <f xml:space="preserve"> IF($BF$233 &gt;= $G$204, "1","0")</f>
        <v>1</v>
      </c>
      <c r="BI233">
        <f xml:space="preserve"> IF( AND( $BG$233 = "1", $BH$233 = "1" ), 1, IF( AND( $BG$233 = "1", $BH$233 = "0" ), 2, IF( AND( $BG$233 = "0", $BH$233 = "1" ), 3, 4 ) ) )</f>
        <v>3</v>
      </c>
      <c r="BK233" s="1">
        <v>0.32</v>
      </c>
      <c r="BL233" t="str">
        <f>"1"</f>
        <v>1</v>
      </c>
      <c r="BM233" t="str">
        <f xml:space="preserve"> IF($BK$233 &gt;= $G$281, "1","0")</f>
        <v>1</v>
      </c>
      <c r="BN233">
        <f xml:space="preserve"> IF( AND( $BL$233 = "1", $BM$233 = "1" ), 1, IF( AND( $BL$233 = "1", $BM$233 = "0" ), 2, IF( AND( $BL$233 = "0", $BM$233 = "1" ), 3, 4 ) ) )</f>
        <v>1</v>
      </c>
    </row>
    <row r="234" spans="2:66" x14ac:dyDescent="0.25">
      <c r="C234" s="24">
        <v>4</v>
      </c>
      <c r="D234" s="24">
        <v>2</v>
      </c>
      <c r="E234" s="24">
        <v>1</v>
      </c>
      <c r="F234" s="24">
        <v>7</v>
      </c>
      <c r="G234" s="24">
        <v>8</v>
      </c>
      <c r="H234" s="24" t="s">
        <v>0</v>
      </c>
      <c r="I234" s="24">
        <v>74.5</v>
      </c>
      <c r="J234" s="24">
        <v>193</v>
      </c>
      <c r="K234" s="24">
        <v>6.0752688172043004E-2</v>
      </c>
      <c r="L234" s="24">
        <v>0</v>
      </c>
      <c r="M234" s="24" t="s">
        <v>182</v>
      </c>
      <c r="BF234" s="1">
        <v>4.3478260869565209E-2</v>
      </c>
      <c r="BG234" t="str">
        <f>"0"</f>
        <v>0</v>
      </c>
      <c r="BH234" t="str">
        <f xml:space="preserve"> IF($BF$234 &gt;= $G$204, "1","0")</f>
        <v>0</v>
      </c>
      <c r="BI234">
        <f xml:space="preserve"> IF( AND( $BG$234 = "1", $BH$234 = "1" ), 1, IF( AND( $BG$234 = "1", $BH$234 = "0" ), 2, IF( AND( $BG$234 = "0", $BH$234 = "1" ), 3, 4 ) ) )</f>
        <v>4</v>
      </c>
      <c r="BK234" s="1">
        <v>1.8947368421052633E-2</v>
      </c>
      <c r="BL234" t="str">
        <f>"0"</f>
        <v>0</v>
      </c>
      <c r="BM234" t="str">
        <f xml:space="preserve"> IF($BK$234 &gt;= $G$281, "1","0")</f>
        <v>0</v>
      </c>
      <c r="BN234">
        <f xml:space="preserve"> IF( AND( $BL$234 = "1", $BM$234 = "1" ), 1, IF( AND( $BL$234 = "1", $BM$234 = "0" ), 2, IF( AND( $BL$234 = "0", $BM$234 = "1" ), 3, 4 ) ) )</f>
        <v>4</v>
      </c>
    </row>
    <row r="235" spans="2:66" x14ac:dyDescent="0.25">
      <c r="C235" s="24">
        <v>5</v>
      </c>
      <c r="D235" s="24">
        <v>3</v>
      </c>
      <c r="E235" s="24">
        <v>3</v>
      </c>
      <c r="F235" s="24">
        <v>9</v>
      </c>
      <c r="G235" s="24">
        <v>10</v>
      </c>
      <c r="H235" s="24" t="s">
        <v>0</v>
      </c>
      <c r="I235" s="24">
        <v>53.5</v>
      </c>
      <c r="J235" s="24">
        <v>842</v>
      </c>
      <c r="K235" s="24">
        <v>4.6774193548387077E-2</v>
      </c>
      <c r="L235" s="24">
        <v>0</v>
      </c>
      <c r="M235" s="24" t="s">
        <v>182</v>
      </c>
      <c r="BF235" s="1">
        <v>0.79999999999999993</v>
      </c>
      <c r="BG235" t="str">
        <f>"0"</f>
        <v>0</v>
      </c>
      <c r="BH235" t="str">
        <f xml:space="preserve"> IF($BF$235 &gt;= $G$204, "1","0")</f>
        <v>1</v>
      </c>
      <c r="BI235">
        <f xml:space="preserve"> IF( AND( $BG$235 = "1", $BH$235 = "1" ), 1, IF( AND( $BG$235 = "1", $BH$235 = "0" ), 2, IF( AND( $BG$235 = "0", $BH$235 = "1" ), 3, 4 ) ) )</f>
        <v>3</v>
      </c>
      <c r="BK235" s="1">
        <v>0</v>
      </c>
      <c r="BL235" t="str">
        <f>"0"</f>
        <v>0</v>
      </c>
      <c r="BM235" t="str">
        <f xml:space="preserve"> IF($BK$235 &gt;= $G$281, "1","0")</f>
        <v>0</v>
      </c>
      <c r="BN235">
        <f xml:space="preserve"> IF( AND( $BL$235 = "1", $BM$235 = "1" ), 1, IF( AND( $BL$235 = "1", $BM$235 = "0" ), 2, IF( AND( $BL$235 = "0", $BM$235 = "1" ), 3, 4 ) ) )</f>
        <v>4</v>
      </c>
    </row>
    <row r="236" spans="2:66" x14ac:dyDescent="0.25">
      <c r="C236" s="24">
        <v>6</v>
      </c>
      <c r="D236" s="24">
        <v>3</v>
      </c>
      <c r="E236" s="24">
        <v>3</v>
      </c>
      <c r="F236" s="24" t="s">
        <v>181</v>
      </c>
      <c r="G236" s="24" t="s">
        <v>181</v>
      </c>
      <c r="H236" s="24" t="s">
        <v>181</v>
      </c>
      <c r="I236" s="24" t="s">
        <v>181</v>
      </c>
      <c r="J236" s="24">
        <v>4</v>
      </c>
      <c r="K236" s="24">
        <v>1.6129032258064514E-3</v>
      </c>
      <c r="L236" s="24">
        <v>1</v>
      </c>
      <c r="M236" s="24" t="s">
        <v>183</v>
      </c>
      <c r="BF236" s="1">
        <v>4.3478260869565209E-2</v>
      </c>
      <c r="BG236" t="str">
        <f>"0"</f>
        <v>0</v>
      </c>
      <c r="BH236" t="str">
        <f xml:space="preserve"> IF($BF$236 &gt;= $G$204, "1","0")</f>
        <v>0</v>
      </c>
      <c r="BI236">
        <f xml:space="preserve"> IF( AND( $BG$236 = "1", $BH$236 = "1" ), 1, IF( AND( $BG$236 = "1", $BH$236 = "0" ), 2, IF( AND( $BG$236 = "0", $BH$236 = "1" ), 3, 4 ) ) )</f>
        <v>4</v>
      </c>
      <c r="BK236" s="1">
        <v>0.69230769230769229</v>
      </c>
      <c r="BL236" t="str">
        <f>"0"</f>
        <v>0</v>
      </c>
      <c r="BM236" t="str">
        <f xml:space="preserve"> IF($BK$236 &gt;= $G$281, "1","0")</f>
        <v>1</v>
      </c>
      <c r="BN236">
        <f xml:space="preserve"> IF( AND( $BL$236 = "1", $BM$236 = "1" ), 1, IF( AND( $BL$236 = "1", $BM$236 = "0" ), 2, IF( AND( $BL$236 = "0", $BM$236 = "1" ), 3, 4 ) ) )</f>
        <v>3</v>
      </c>
    </row>
    <row r="237" spans="2:66" x14ac:dyDescent="0.25">
      <c r="C237" s="24">
        <v>7</v>
      </c>
      <c r="D237" s="24">
        <v>3</v>
      </c>
      <c r="E237" s="24">
        <v>4</v>
      </c>
      <c r="F237" s="24" t="s">
        <v>181</v>
      </c>
      <c r="G237" s="24" t="s">
        <v>181</v>
      </c>
      <c r="H237" s="24" t="s">
        <v>181</v>
      </c>
      <c r="I237" s="24" t="s">
        <v>181</v>
      </c>
      <c r="J237" s="24">
        <v>11</v>
      </c>
      <c r="K237" s="24">
        <v>5.3763440860215075E-4</v>
      </c>
      <c r="L237" s="24">
        <v>1</v>
      </c>
      <c r="M237" s="24" t="s">
        <v>183</v>
      </c>
      <c r="BF237" s="1">
        <v>0.64</v>
      </c>
      <c r="BG237" t="str">
        <f>"0"</f>
        <v>0</v>
      </c>
      <c r="BH237" t="str">
        <f xml:space="preserve"> IF($BF$237 &gt;= $G$204, "1","0")</f>
        <v>1</v>
      </c>
      <c r="BI237">
        <f xml:space="preserve"> IF( AND( $BG$237 = "1", $BH$237 = "1" ), 1, IF( AND( $BG$237 = "1", $BH$237 = "0" ), 2, IF( AND( $BG$237 = "0", $BH$237 = "1" ), 3, 4 ) ) )</f>
        <v>3</v>
      </c>
      <c r="BK237" s="1">
        <v>1.8947368421052633E-2</v>
      </c>
      <c r="BL237" t="str">
        <f>"0"</f>
        <v>0</v>
      </c>
      <c r="BM237" t="str">
        <f xml:space="preserve"> IF($BK$237 &gt;= $G$281, "1","0")</f>
        <v>0</v>
      </c>
      <c r="BN237">
        <f xml:space="preserve"> IF( AND( $BL$237 = "1", $BM$237 = "1" ), 1, IF( AND( $BL$237 = "1", $BM$237 = "0" ), 2, IF( AND( $BL$237 = "0", $BM$237 = "1" ), 3, 4 ) ) )</f>
        <v>4</v>
      </c>
    </row>
    <row r="238" spans="2:66" x14ac:dyDescent="0.25">
      <c r="C238" s="24">
        <v>8</v>
      </c>
      <c r="D238" s="24">
        <v>3</v>
      </c>
      <c r="E238" s="24">
        <v>4</v>
      </c>
      <c r="F238" s="24">
        <v>11</v>
      </c>
      <c r="G238" s="24">
        <v>12</v>
      </c>
      <c r="H238" s="24" t="s">
        <v>0</v>
      </c>
      <c r="I238" s="24">
        <v>79.5</v>
      </c>
      <c r="J238" s="24">
        <v>182</v>
      </c>
      <c r="K238" s="24">
        <v>5.5913978494623651E-2</v>
      </c>
      <c r="L238" s="24">
        <v>0</v>
      </c>
      <c r="M238" s="24" t="s">
        <v>182</v>
      </c>
      <c r="BF238" s="1">
        <v>0.2857142857142857</v>
      </c>
      <c r="BG238" t="str">
        <f>"0"</f>
        <v>0</v>
      </c>
      <c r="BH238" t="str">
        <f xml:space="preserve"> IF($BF$238 &gt;= $G$204, "1","0")</f>
        <v>1</v>
      </c>
      <c r="BI238">
        <f xml:space="preserve"> IF( AND( $BG$238 = "1", $BH$238 = "1" ), 1, IF( AND( $BG$238 = "1", $BH$238 = "0" ), 2, IF( AND( $BG$238 = "0", $BH$238 = "1" ), 3, 4 ) ) )</f>
        <v>3</v>
      </c>
      <c r="BK238" s="1">
        <v>0.32</v>
      </c>
      <c r="BL238" t="str">
        <f>"0"</f>
        <v>0</v>
      </c>
      <c r="BM238" t="str">
        <f xml:space="preserve"> IF($BK$238 &gt;= $G$281, "1","0")</f>
        <v>1</v>
      </c>
      <c r="BN238">
        <f xml:space="preserve"> IF( AND( $BL$238 = "1", $BM$238 = "1" ), 1, IF( AND( $BL$238 = "1", $BM$238 = "0" ), 2, IF( AND( $BL$238 = "0", $BM$238 = "1" ), 3, 4 ) ) )</f>
        <v>3</v>
      </c>
    </row>
    <row r="239" spans="2:66" x14ac:dyDescent="0.25">
      <c r="C239" s="24">
        <v>9</v>
      </c>
      <c r="D239" s="24">
        <v>4</v>
      </c>
      <c r="E239" s="24">
        <v>5</v>
      </c>
      <c r="F239" s="24">
        <v>13</v>
      </c>
      <c r="G239" s="24">
        <v>14</v>
      </c>
      <c r="H239" s="24" t="s">
        <v>0</v>
      </c>
      <c r="I239" s="24">
        <v>52.5</v>
      </c>
      <c r="J239" s="24">
        <v>587</v>
      </c>
      <c r="K239" s="24">
        <v>4.6236559139784972E-2</v>
      </c>
      <c r="L239" s="24">
        <v>0</v>
      </c>
      <c r="M239" s="24" t="s">
        <v>182</v>
      </c>
      <c r="BF239" s="1">
        <v>4.3478260869565209E-2</v>
      </c>
      <c r="BG239" t="str">
        <f>"0"</f>
        <v>0</v>
      </c>
      <c r="BH239" t="str">
        <f xml:space="preserve"> IF($BF$239 &gt;= $G$204, "1","0")</f>
        <v>0</v>
      </c>
      <c r="BI239">
        <f xml:space="preserve"> IF( AND( $BG$239 = "1", $BH$239 = "1" ), 1, IF( AND( $BG$239 = "1", $BH$239 = "0" ), 2, IF( AND( $BG$239 = "0", $BH$239 = "1" ), 3, 4 ) ) )</f>
        <v>4</v>
      </c>
      <c r="BK239" s="1">
        <v>0.14285714285714288</v>
      </c>
      <c r="BL239" t="str">
        <f>"0"</f>
        <v>0</v>
      </c>
      <c r="BM239" t="str">
        <f xml:space="preserve"> IF($BK$239 &gt;= $G$281, "1","0")</f>
        <v>0</v>
      </c>
      <c r="BN239">
        <f xml:space="preserve"> IF( AND( $BL$239 = "1", $BM$239 = "1" ), 1, IF( AND( $BL$239 = "1", $BM$239 = "0" ), 2, IF( AND( $BL$239 = "0", $BM$239 = "1" ), 3, 4 ) ) )</f>
        <v>4</v>
      </c>
    </row>
    <row r="240" spans="2:66" x14ac:dyDescent="0.25">
      <c r="C240" s="24">
        <v>10</v>
      </c>
      <c r="D240" s="24">
        <v>4</v>
      </c>
      <c r="E240" s="24">
        <v>5</v>
      </c>
      <c r="F240" s="24" t="s">
        <v>181</v>
      </c>
      <c r="G240" s="24" t="s">
        <v>181</v>
      </c>
      <c r="H240" s="24" t="s">
        <v>181</v>
      </c>
      <c r="I240" s="24" t="s">
        <v>181</v>
      </c>
      <c r="J240" s="24">
        <v>255</v>
      </c>
      <c r="K240" s="24">
        <v>5.3763440860216116E-4</v>
      </c>
      <c r="L240" s="24">
        <v>0</v>
      </c>
      <c r="M240" s="24" t="s">
        <v>183</v>
      </c>
      <c r="BF240" s="1">
        <v>0.72727272727272729</v>
      </c>
      <c r="BG240" t="str">
        <f>"0"</f>
        <v>0</v>
      </c>
      <c r="BH240" t="str">
        <f xml:space="preserve"> IF($BF$240 &gt;= $G$204, "1","0")</f>
        <v>1</v>
      </c>
      <c r="BI240">
        <f xml:space="preserve"> IF( AND( $BG$240 = "1", $BH$240 = "1" ), 1, IF( AND( $BG$240 = "1", $BH$240 = "0" ), 2, IF( AND( $BG$240 = "0", $BH$240 = "1" ), 3, 4 ) ) )</f>
        <v>3</v>
      </c>
      <c r="BK240" s="1">
        <v>2.5000000000000001E-3</v>
      </c>
      <c r="BL240" t="str">
        <f>"0"</f>
        <v>0</v>
      </c>
      <c r="BM240" t="str">
        <f xml:space="preserve"> IF($BK$240 &gt;= $G$281, "1","0")</f>
        <v>0</v>
      </c>
      <c r="BN240">
        <f xml:space="preserve"> IF( AND( $BL$240 = "1", $BM$240 = "1" ), 1, IF( AND( $BL$240 = "1", $BM$240 = "0" ), 2, IF( AND( $BL$240 = "0", $BM$240 = "1" ), 3, 4 ) ) )</f>
        <v>4</v>
      </c>
    </row>
    <row r="241" spans="3:66" x14ac:dyDescent="0.25">
      <c r="C241" s="24">
        <v>11</v>
      </c>
      <c r="D241" s="24">
        <v>4</v>
      </c>
      <c r="E241" s="24">
        <v>8</v>
      </c>
      <c r="F241" s="24">
        <v>15</v>
      </c>
      <c r="G241" s="24">
        <v>16</v>
      </c>
      <c r="H241" s="24" t="s">
        <v>0</v>
      </c>
      <c r="I241" s="24">
        <v>75.5</v>
      </c>
      <c r="J241" s="24">
        <v>58</v>
      </c>
      <c r="K241" s="24">
        <v>1.0215053763440861E-2</v>
      </c>
      <c r="L241" s="24">
        <v>0</v>
      </c>
      <c r="M241" s="24" t="s">
        <v>182</v>
      </c>
      <c r="BF241" s="1">
        <v>0.44444444444444448</v>
      </c>
      <c r="BG241" t="str">
        <f>"0"</f>
        <v>0</v>
      </c>
      <c r="BH241" t="str">
        <f xml:space="preserve"> IF($BF$241 &gt;= $G$204, "1","0")</f>
        <v>1</v>
      </c>
      <c r="BI241">
        <f xml:space="preserve"> IF( AND( $BG$241 = "1", $BH$241 = "1" ), 1, IF( AND( $BG$241 = "1", $BH$241 = "0" ), 2, IF( AND( $BG$241 = "0", $BH$241 = "1" ), 3, 4 ) ) )</f>
        <v>3</v>
      </c>
      <c r="BK241" s="1">
        <v>0</v>
      </c>
      <c r="BL241" t="str">
        <f>"0"</f>
        <v>0</v>
      </c>
      <c r="BM241" t="str">
        <f xml:space="preserve"> IF($BK$241 &gt;= $G$281, "1","0")</f>
        <v>0</v>
      </c>
      <c r="BN241">
        <f xml:space="preserve"> IF( AND( $BL$241 = "1", $BM$241 = "1" ), 1, IF( AND( $BL$241 = "1", $BM$241 = "0" ), 2, IF( AND( $BL$241 = "0", $BM$241 = "1" ), 3, 4 ) ) )</f>
        <v>4</v>
      </c>
    </row>
    <row r="242" spans="3:66" x14ac:dyDescent="0.25">
      <c r="C242" s="24">
        <v>12</v>
      </c>
      <c r="D242" s="24">
        <v>4</v>
      </c>
      <c r="E242" s="24">
        <v>8</v>
      </c>
      <c r="F242" s="24">
        <v>17</v>
      </c>
      <c r="G242" s="24">
        <v>18</v>
      </c>
      <c r="H242" s="24" t="s">
        <v>6</v>
      </c>
      <c r="I242" s="24">
        <v>12715.5</v>
      </c>
      <c r="J242" s="24">
        <v>124</v>
      </c>
      <c r="K242" s="24">
        <v>4.5698924731182797E-2</v>
      </c>
      <c r="L242" s="24">
        <v>0</v>
      </c>
      <c r="M242" s="24" t="s">
        <v>182</v>
      </c>
      <c r="BF242" s="1">
        <v>0.2857142857142857</v>
      </c>
      <c r="BG242" t="str">
        <f>"0"</f>
        <v>0</v>
      </c>
      <c r="BH242" t="str">
        <f xml:space="preserve"> IF($BF$242 &gt;= $G$204, "1","0")</f>
        <v>1</v>
      </c>
      <c r="BI242">
        <f xml:space="preserve"> IF( AND( $BG$242 = "1", $BH$242 = "1" ), 1, IF( AND( $BG$242 = "1", $BH$242 = "0" ), 2, IF( AND( $BG$242 = "0", $BH$242 = "1" ), 3, 4 ) ) )</f>
        <v>3</v>
      </c>
      <c r="BK242" s="1">
        <v>2.5000000000000001E-3</v>
      </c>
      <c r="BL242" t="str">
        <f>"0"</f>
        <v>0</v>
      </c>
      <c r="BM242" t="str">
        <f xml:space="preserve"> IF($BK$242 &gt;= $G$281, "1","0")</f>
        <v>0</v>
      </c>
      <c r="BN242">
        <f xml:space="preserve"> IF( AND( $BL$242 = "1", $BM$242 = "1" ), 1, IF( AND( $BL$242 = "1", $BM$242 = "0" ), 2, IF( AND( $BL$242 = "0", $BM$242 = "1" ), 3, 4 ) ) )</f>
        <v>4</v>
      </c>
    </row>
    <row r="243" spans="3:66" x14ac:dyDescent="0.25">
      <c r="C243" s="24">
        <v>13</v>
      </c>
      <c r="D243" s="24">
        <v>5</v>
      </c>
      <c r="E243" s="24">
        <v>9</v>
      </c>
      <c r="F243" s="24">
        <v>19</v>
      </c>
      <c r="G243" s="24">
        <v>20</v>
      </c>
      <c r="H243" s="24" t="s">
        <v>0</v>
      </c>
      <c r="I243" s="24">
        <v>27.5</v>
      </c>
      <c r="J243" s="24">
        <v>572</v>
      </c>
      <c r="K243" s="24">
        <v>3.6021505376344076E-2</v>
      </c>
      <c r="L243" s="24">
        <v>0</v>
      </c>
      <c r="M243" s="24" t="s">
        <v>182</v>
      </c>
      <c r="BF243" s="1">
        <v>0.52941176470588236</v>
      </c>
      <c r="BG243" t="str">
        <f>"0"</f>
        <v>0</v>
      </c>
      <c r="BH243" t="str">
        <f xml:space="preserve"> IF($BF$243 &gt;= $G$204, "1","0")</f>
        <v>1</v>
      </c>
      <c r="BI243">
        <f xml:space="preserve"> IF( AND( $BG$243 = "1", $BH$243 = "1" ), 1, IF( AND( $BG$243 = "1", $BH$243 = "0" ), 2, IF( AND( $BG$243 = "0", $BH$243 = "1" ), 3, 4 ) ) )</f>
        <v>3</v>
      </c>
      <c r="BK243" s="1">
        <v>1.8947368421052633E-2</v>
      </c>
      <c r="BL243" t="str">
        <f>"0"</f>
        <v>0</v>
      </c>
      <c r="BM243" t="str">
        <f xml:space="preserve"> IF($BK$243 &gt;= $G$281, "1","0")</f>
        <v>0</v>
      </c>
      <c r="BN243">
        <f xml:space="preserve"> IF( AND( $BL$243 = "1", $BM$243 = "1" ), 1, IF( AND( $BL$243 = "1", $BM$243 = "0" ), 2, IF( AND( $BL$243 = "0", $BM$243 = "1" ), 3, 4 ) ) )</f>
        <v>4</v>
      </c>
    </row>
    <row r="244" spans="3:66" x14ac:dyDescent="0.25">
      <c r="C244" s="24">
        <v>14</v>
      </c>
      <c r="D244" s="24">
        <v>5</v>
      </c>
      <c r="E244" s="24">
        <v>9</v>
      </c>
      <c r="F244" s="24" t="s">
        <v>181</v>
      </c>
      <c r="G244" s="24" t="s">
        <v>181</v>
      </c>
      <c r="H244" s="24" t="s">
        <v>181</v>
      </c>
      <c r="I244" s="24" t="s">
        <v>181</v>
      </c>
      <c r="J244" s="24">
        <v>15</v>
      </c>
      <c r="K244" s="24">
        <v>1.0752688172043015E-3</v>
      </c>
      <c r="L244" s="24">
        <v>1</v>
      </c>
      <c r="M244" s="24" t="s">
        <v>183</v>
      </c>
      <c r="BF244" s="1">
        <v>0.39999999999999997</v>
      </c>
      <c r="BG244" t="str">
        <f>"0"</f>
        <v>0</v>
      </c>
      <c r="BH244" t="str">
        <f xml:space="preserve"> IF($BF$244 &gt;= $G$204, "1","0")</f>
        <v>1</v>
      </c>
      <c r="BI244">
        <f xml:space="preserve"> IF( AND( $BG$244 = "1", $BH$244 = "1" ), 1, IF( AND( $BG$244 = "1", $BH$244 = "0" ), 2, IF( AND( $BG$244 = "0", $BH$244 = "1" ), 3, 4 ) ) )</f>
        <v>3</v>
      </c>
      <c r="BK244" s="1">
        <v>1.8947368421052633E-2</v>
      </c>
      <c r="BL244" t="str">
        <f>"0"</f>
        <v>0</v>
      </c>
      <c r="BM244" t="str">
        <f xml:space="preserve"> IF($BK$244 &gt;= $G$281, "1","0")</f>
        <v>0</v>
      </c>
      <c r="BN244">
        <f xml:space="preserve"> IF( AND( $BL$244 = "1", $BM$244 = "1" ), 1, IF( AND( $BL$244 = "1", $BM$244 = "0" ), 2, IF( AND( $BL$244 = "0", $BM$244 = "1" ), 3, 4 ) ) )</f>
        <v>4</v>
      </c>
    </row>
    <row r="245" spans="3:66" x14ac:dyDescent="0.25">
      <c r="C245" s="24">
        <v>15</v>
      </c>
      <c r="D245" s="24">
        <v>5</v>
      </c>
      <c r="E245" s="24">
        <v>11</v>
      </c>
      <c r="F245" s="24" t="s">
        <v>181</v>
      </c>
      <c r="G245" s="24" t="s">
        <v>181</v>
      </c>
      <c r="H245" s="24" t="s">
        <v>181</v>
      </c>
      <c r="I245" s="24" t="s">
        <v>181</v>
      </c>
      <c r="J245" s="24">
        <v>9</v>
      </c>
      <c r="K245" s="24">
        <v>3.7634408602150535E-3</v>
      </c>
      <c r="L245" s="24">
        <v>1</v>
      </c>
      <c r="M245" s="24" t="s">
        <v>183</v>
      </c>
      <c r="BF245" s="1">
        <v>0</v>
      </c>
      <c r="BG245" t="str">
        <f>"0"</f>
        <v>0</v>
      </c>
      <c r="BH245" t="str">
        <f xml:space="preserve"> IF($BF$245 &gt;= $G$204, "1","0")</f>
        <v>0</v>
      </c>
      <c r="BI245">
        <f xml:space="preserve"> IF( AND( $BG$245 = "1", $BH$245 = "1" ), 1, IF( AND( $BG$245 = "1", $BH$245 = "0" ), 2, IF( AND( $BG$245 = "0", $BH$245 = "1" ), 3, 4 ) ) )</f>
        <v>4</v>
      </c>
      <c r="BK245" s="1">
        <v>1.8947368421052633E-2</v>
      </c>
      <c r="BL245" t="str">
        <f>"0"</f>
        <v>0</v>
      </c>
      <c r="BM245" t="str">
        <f xml:space="preserve"> IF($BK$245 &gt;= $G$281, "1","0")</f>
        <v>0</v>
      </c>
      <c r="BN245">
        <f xml:space="preserve"> IF( AND( $BL$245 = "1", $BM$245 = "1" ), 1, IF( AND( $BL$245 = "1", $BM$245 = "0" ), 2, IF( AND( $BL$245 = "0", $BM$245 = "1" ), 3, 4 ) ) )</f>
        <v>4</v>
      </c>
    </row>
    <row r="246" spans="3:66" x14ac:dyDescent="0.25">
      <c r="C246" s="24">
        <v>16</v>
      </c>
      <c r="D246" s="24">
        <v>5</v>
      </c>
      <c r="E246" s="24">
        <v>11</v>
      </c>
      <c r="F246" s="24" t="s">
        <v>181</v>
      </c>
      <c r="G246" s="24" t="s">
        <v>181</v>
      </c>
      <c r="H246" s="24" t="s">
        <v>181</v>
      </c>
      <c r="I246" s="24" t="s">
        <v>181</v>
      </c>
      <c r="J246" s="24">
        <v>49</v>
      </c>
      <c r="K246" s="24">
        <v>5.3763440860215075E-3</v>
      </c>
      <c r="L246" s="24">
        <v>0</v>
      </c>
      <c r="M246" s="24" t="s">
        <v>183</v>
      </c>
      <c r="BF246" s="1">
        <v>0.39999999999999997</v>
      </c>
      <c r="BG246" t="str">
        <f>"0"</f>
        <v>0</v>
      </c>
      <c r="BH246" t="str">
        <f xml:space="preserve"> IF($BF$246 &gt;= $G$204, "1","0")</f>
        <v>1</v>
      </c>
      <c r="BI246">
        <f xml:space="preserve"> IF( AND( $BG$246 = "1", $BH$246 = "1" ), 1, IF( AND( $BG$246 = "1", $BH$246 = "0" ), 2, IF( AND( $BG$246 = "0", $BH$246 = "1" ), 3, 4 ) ) )</f>
        <v>3</v>
      </c>
      <c r="BK246" s="1">
        <v>1</v>
      </c>
      <c r="BL246" t="str">
        <f>"1"</f>
        <v>1</v>
      </c>
      <c r="BM246" t="str">
        <f xml:space="preserve"> IF($BK$246 &gt;= $G$281, "1","0")</f>
        <v>1</v>
      </c>
      <c r="BN246">
        <f xml:space="preserve"> IF( AND( $BL$246 = "1", $BM$246 = "1" ), 1, IF( AND( $BL$246 = "1", $BM$246 = "0" ), 2, IF( AND( $BL$246 = "0", $BM$246 = "1" ), 3, 4 ) ) )</f>
        <v>1</v>
      </c>
    </row>
    <row r="247" spans="3:66" x14ac:dyDescent="0.25">
      <c r="C247" s="24">
        <v>17</v>
      </c>
      <c r="D247" s="24">
        <v>5</v>
      </c>
      <c r="E247" s="24">
        <v>12</v>
      </c>
      <c r="F247" s="24">
        <v>21</v>
      </c>
      <c r="G247" s="24">
        <v>22</v>
      </c>
      <c r="H247" s="24" t="s">
        <v>6</v>
      </c>
      <c r="I247" s="24">
        <v>6145.5</v>
      </c>
      <c r="J247" s="24">
        <v>46</v>
      </c>
      <c r="K247" s="24">
        <v>1.7204301075268814E-2</v>
      </c>
      <c r="L247" s="24">
        <v>0</v>
      </c>
      <c r="M247" s="24" t="s">
        <v>182</v>
      </c>
      <c r="BF247" s="1">
        <v>0.52941176470588236</v>
      </c>
      <c r="BG247" t="str">
        <f>"0"</f>
        <v>0</v>
      </c>
      <c r="BH247" t="str">
        <f xml:space="preserve"> IF($BF$247 &gt;= $G$204, "1","0")</f>
        <v>1</v>
      </c>
      <c r="BI247">
        <f xml:space="preserve"> IF( AND( $BG$247 = "1", $BH$247 = "1" ), 1, IF( AND( $BG$247 = "1", $BH$247 = "0" ), 2, IF( AND( $BG$247 = "0", $BH$247 = "1" ), 3, 4 ) ) )</f>
        <v>3</v>
      </c>
      <c r="BK247" s="1">
        <v>0.5625</v>
      </c>
      <c r="BL247" t="str">
        <f>"0"</f>
        <v>0</v>
      </c>
      <c r="BM247" t="str">
        <f xml:space="preserve"> IF($BK$247 &gt;= $G$281, "1","0")</f>
        <v>1</v>
      </c>
      <c r="BN247">
        <f xml:space="preserve"> IF( AND( $BL$247 = "1", $BM$247 = "1" ), 1, IF( AND( $BL$247 = "1", $BM$247 = "0" ), 2, IF( AND( $BL$247 = "0", $BM$247 = "1" ), 3, 4 ) ) )</f>
        <v>3</v>
      </c>
    </row>
    <row r="248" spans="3:66" x14ac:dyDescent="0.25">
      <c r="C248" s="24">
        <v>18</v>
      </c>
      <c r="D248" s="24">
        <v>5</v>
      </c>
      <c r="E248" s="24">
        <v>12</v>
      </c>
      <c r="F248" s="24">
        <v>23</v>
      </c>
      <c r="G248" s="24">
        <v>24</v>
      </c>
      <c r="H248" s="24" t="s">
        <v>3</v>
      </c>
      <c r="I248" s="24">
        <v>3.5</v>
      </c>
      <c r="J248" s="24">
        <v>78</v>
      </c>
      <c r="K248" s="24">
        <v>2.5268817204301075E-2</v>
      </c>
      <c r="L248" s="24">
        <v>1</v>
      </c>
      <c r="M248" s="24" t="s">
        <v>182</v>
      </c>
      <c r="BF248" s="1">
        <v>0.44444444444444448</v>
      </c>
      <c r="BG248" t="str">
        <f>"0"</f>
        <v>0</v>
      </c>
      <c r="BH248" t="str">
        <f xml:space="preserve"> IF($BF$248 &gt;= $G$204, "1","0")</f>
        <v>1</v>
      </c>
      <c r="BI248">
        <f xml:space="preserve"> IF( AND( $BG$248 = "1", $BH$248 = "1" ), 1, IF( AND( $BG$248 = "1", $BH$248 = "0" ), 2, IF( AND( $BG$248 = "0", $BH$248 = "1" ), 3, 4 ) ) )</f>
        <v>3</v>
      </c>
      <c r="BK248" s="1">
        <v>2.5000000000000001E-3</v>
      </c>
      <c r="BL248" t="str">
        <f>"0"</f>
        <v>0</v>
      </c>
      <c r="BM248" t="str">
        <f xml:space="preserve"> IF($BK$248 &gt;= $G$281, "1","0")</f>
        <v>0</v>
      </c>
      <c r="BN248">
        <f xml:space="preserve"> IF( AND( $BL$248 = "1", $BM$248 = "1" ), 1, IF( AND( $BL$248 = "1", $BM$248 = "0" ), 2, IF( AND( $BL$248 = "0", $BM$248 = "1" ), 3, 4 ) ) )</f>
        <v>4</v>
      </c>
    </row>
    <row r="249" spans="3:66" x14ac:dyDescent="0.25">
      <c r="C249" s="24">
        <v>19</v>
      </c>
      <c r="D249" s="24">
        <v>6</v>
      </c>
      <c r="E249" s="24">
        <v>13</v>
      </c>
      <c r="F249" s="24">
        <v>25</v>
      </c>
      <c r="G249" s="24">
        <v>26</v>
      </c>
      <c r="H249" s="24" t="s">
        <v>6</v>
      </c>
      <c r="I249" s="24">
        <v>36388</v>
      </c>
      <c r="J249" s="24">
        <v>303</v>
      </c>
      <c r="K249" s="24">
        <v>7.5268817204300897E-3</v>
      </c>
      <c r="L249" s="24">
        <v>0</v>
      </c>
      <c r="M249" s="24" t="s">
        <v>182</v>
      </c>
      <c r="BF249" s="1">
        <v>0.44444444444444448</v>
      </c>
      <c r="BG249" t="str">
        <f>"0"</f>
        <v>0</v>
      </c>
      <c r="BH249" t="str">
        <f xml:space="preserve"> IF($BF$249 &gt;= $G$204, "1","0")</f>
        <v>1</v>
      </c>
      <c r="BI249">
        <f xml:space="preserve"> IF( AND( $BG$249 = "1", $BH$249 = "1" ), 1, IF( AND( $BG$249 = "1", $BH$249 = "0" ), 2, IF( AND( $BG$249 = "0", $BH$249 = "1" ), 3, 4 ) ) )</f>
        <v>3</v>
      </c>
      <c r="BK249" s="1">
        <v>2.5000000000000001E-3</v>
      </c>
      <c r="BL249" t="str">
        <f>"0"</f>
        <v>0</v>
      </c>
      <c r="BM249" t="str">
        <f xml:space="preserve"> IF($BK$249 &gt;= $G$281, "1","0")</f>
        <v>0</v>
      </c>
      <c r="BN249">
        <f xml:space="preserve"> IF( AND( $BL$249 = "1", $BM$249 = "1" ), 1, IF( AND( $BL$249 = "1", $BM$249 = "0" ), 2, IF( AND( $BL$249 = "0", $BM$249 = "1" ), 3, 4 ) ) )</f>
        <v>4</v>
      </c>
    </row>
    <row r="250" spans="3:66" x14ac:dyDescent="0.25">
      <c r="C250" s="24">
        <v>20</v>
      </c>
      <c r="D250" s="24">
        <v>6</v>
      </c>
      <c r="E250" s="24">
        <v>13</v>
      </c>
      <c r="F250" s="24">
        <v>27</v>
      </c>
      <c r="G250" s="24">
        <v>28</v>
      </c>
      <c r="H250" s="24" t="s">
        <v>0</v>
      </c>
      <c r="I250" s="24">
        <v>28.5</v>
      </c>
      <c r="J250" s="24">
        <v>269</v>
      </c>
      <c r="K250" s="24">
        <v>2.8494623655913986E-2</v>
      </c>
      <c r="L250" s="24">
        <v>0</v>
      </c>
      <c r="M250" s="24" t="s">
        <v>182</v>
      </c>
      <c r="BF250" s="1">
        <v>0.52941176470588236</v>
      </c>
      <c r="BG250" t="str">
        <f>"0"</f>
        <v>0</v>
      </c>
      <c r="BH250" t="str">
        <f xml:space="preserve"> IF($BF$250 &gt;= $G$204, "1","0")</f>
        <v>1</v>
      </c>
      <c r="BI250">
        <f xml:space="preserve"> IF( AND( $BG$250 = "1", $BH$250 = "1" ), 1, IF( AND( $BG$250 = "1", $BH$250 = "0" ), 2, IF( AND( $BG$250 = "0", $BH$250 = "1" ), 3, 4 ) ) )</f>
        <v>3</v>
      </c>
      <c r="BK250" s="1">
        <v>1</v>
      </c>
      <c r="BL250" t="str">
        <f>"1"</f>
        <v>1</v>
      </c>
      <c r="BM250" t="str">
        <f xml:space="preserve"> IF($BK$250 &gt;= $G$281, "1","0")</f>
        <v>1</v>
      </c>
      <c r="BN250">
        <f xml:space="preserve"> IF( AND( $BL$250 = "1", $BM$250 = "1" ), 1, IF( AND( $BL$250 = "1", $BM$250 = "0" ), 2, IF( AND( $BL$250 = "0", $BM$250 = "1" ), 3, 4 ) ) )</f>
        <v>1</v>
      </c>
    </row>
    <row r="251" spans="3:66" x14ac:dyDescent="0.25">
      <c r="C251" s="24">
        <v>21</v>
      </c>
      <c r="D251" s="24">
        <v>6</v>
      </c>
      <c r="E251" s="24">
        <v>17</v>
      </c>
      <c r="F251" s="24" t="s">
        <v>181</v>
      </c>
      <c r="G251" s="24" t="s">
        <v>181</v>
      </c>
      <c r="H251" s="24" t="s">
        <v>181</v>
      </c>
      <c r="I251" s="24" t="s">
        <v>181</v>
      </c>
      <c r="J251" s="24">
        <v>10</v>
      </c>
      <c r="K251" s="24">
        <v>1.6129032258064514E-3</v>
      </c>
      <c r="L251" s="24">
        <v>1</v>
      </c>
      <c r="M251" s="24" t="s">
        <v>183</v>
      </c>
      <c r="BF251" s="1">
        <v>0.39999999999999997</v>
      </c>
      <c r="BG251" t="str">
        <f>"0"</f>
        <v>0</v>
      </c>
      <c r="BH251" t="str">
        <f xml:space="preserve"> IF($BF$251 &gt;= $G$204, "1","0")</f>
        <v>1</v>
      </c>
      <c r="BI251">
        <f xml:space="preserve"> IF( AND( $BG$251 = "1", $BH$251 = "1" ), 1, IF( AND( $BG$251 = "1", $BH$251 = "0" ), 2, IF( AND( $BG$251 = "0", $BH$251 = "1" ), 3, 4 ) ) )</f>
        <v>3</v>
      </c>
      <c r="BK251" s="1">
        <v>0</v>
      </c>
      <c r="BL251" t="str">
        <f>"0"</f>
        <v>0</v>
      </c>
      <c r="BM251" t="str">
        <f xml:space="preserve"> IF($BK$251 &gt;= $G$281, "1","0")</f>
        <v>0</v>
      </c>
      <c r="BN251">
        <f xml:space="preserve"> IF( AND( $BL$251 = "1", $BM$251 = "1" ), 1, IF( AND( $BL$251 = "1", $BM$251 = "0" ), 2, IF( AND( $BL$251 = "0", $BM$251 = "1" ), 3, 4 ) ) )</f>
        <v>4</v>
      </c>
    </row>
    <row r="252" spans="3:66" x14ac:dyDescent="0.25">
      <c r="C252" s="24">
        <v>22</v>
      </c>
      <c r="D252" s="24">
        <v>6</v>
      </c>
      <c r="E252" s="24">
        <v>17</v>
      </c>
      <c r="F252" s="24" t="s">
        <v>181</v>
      </c>
      <c r="G252" s="24" t="s">
        <v>181</v>
      </c>
      <c r="H252" s="24" t="s">
        <v>181</v>
      </c>
      <c r="I252" s="24" t="s">
        <v>181</v>
      </c>
      <c r="J252" s="24">
        <v>36</v>
      </c>
      <c r="K252" s="24">
        <v>1.2903225806451615E-2</v>
      </c>
      <c r="L252" s="24">
        <v>0</v>
      </c>
      <c r="M252" s="24" t="s">
        <v>183</v>
      </c>
      <c r="BF252" s="1">
        <v>0.39999999999999997</v>
      </c>
      <c r="BG252" t="str">
        <f>"0"</f>
        <v>0</v>
      </c>
      <c r="BH252" t="str">
        <f xml:space="preserve"> IF($BF$252 &gt;= $G$204, "1","0")</f>
        <v>1</v>
      </c>
      <c r="BI252">
        <f xml:space="preserve"> IF( AND( $BG$252 = "1", $BH$252 = "1" ), 1, IF( AND( $BG$252 = "1", $BH$252 = "0" ), 2, IF( AND( $BG$252 = "0", $BH$252 = "1" ), 3, 4 ) ) )</f>
        <v>3</v>
      </c>
      <c r="BK252" s="1">
        <v>1.8947368421052633E-2</v>
      </c>
      <c r="BL252" t="str">
        <f>"0"</f>
        <v>0</v>
      </c>
      <c r="BM252" t="str">
        <f xml:space="preserve"> IF($BK$252 &gt;= $G$281, "1","0")</f>
        <v>0</v>
      </c>
      <c r="BN252">
        <f xml:space="preserve"> IF( AND( $BL$252 = "1", $BM$252 = "1" ), 1, IF( AND( $BL$252 = "1", $BM$252 = "0" ), 2, IF( AND( $BL$252 = "0", $BM$252 = "1" ), 3, 4 ) ) )</f>
        <v>4</v>
      </c>
    </row>
    <row r="253" spans="3:66" x14ac:dyDescent="0.25">
      <c r="C253" s="24">
        <v>23</v>
      </c>
      <c r="D253" s="24">
        <v>6</v>
      </c>
      <c r="E253" s="24">
        <v>18</v>
      </c>
      <c r="F253" s="24" t="s">
        <v>181</v>
      </c>
      <c r="G253" s="24" t="s">
        <v>181</v>
      </c>
      <c r="H253" s="24" t="s">
        <v>181</v>
      </c>
      <c r="I253" s="24" t="s">
        <v>181</v>
      </c>
      <c r="J253" s="24">
        <v>29</v>
      </c>
      <c r="K253" s="24">
        <v>8.0645161290322578E-3</v>
      </c>
      <c r="L253" s="24">
        <v>0</v>
      </c>
      <c r="M253" s="24" t="s">
        <v>183</v>
      </c>
      <c r="BF253" s="1">
        <v>0.52941176470588236</v>
      </c>
      <c r="BG253" t="str">
        <f>"0"</f>
        <v>0</v>
      </c>
      <c r="BH253" t="str">
        <f xml:space="preserve"> IF($BF$253 &gt;= $G$204, "1","0")</f>
        <v>1</v>
      </c>
      <c r="BI253">
        <f xml:space="preserve"> IF( AND( $BG$253 = "1", $BH$253 = "1" ), 1, IF( AND( $BG$253 = "1", $BH$253 = "0" ), 2, IF( AND( $BG$253 = "0", $BH$253 = "1" ), 3, 4 ) ) )</f>
        <v>3</v>
      </c>
      <c r="BK253" s="1">
        <v>0.32</v>
      </c>
      <c r="BL253" t="str">
        <f>"1"</f>
        <v>1</v>
      </c>
      <c r="BM253" t="str">
        <f xml:space="preserve"> IF($BK$253 &gt;= $G$281, "1","0")</f>
        <v>1</v>
      </c>
      <c r="BN253">
        <f xml:space="preserve"> IF( AND( $BL$253 = "1", $BM$253 = "1" ), 1, IF( AND( $BL$253 = "1", $BM$253 = "0" ), 2, IF( AND( $BL$253 = "0", $BM$253 = "1" ), 3, 4 ) ) )</f>
        <v>1</v>
      </c>
    </row>
    <row r="254" spans="3:66" x14ac:dyDescent="0.25">
      <c r="C254" s="24">
        <v>24</v>
      </c>
      <c r="D254" s="24">
        <v>6</v>
      </c>
      <c r="E254" s="24">
        <v>18</v>
      </c>
      <c r="F254" s="24">
        <v>29</v>
      </c>
      <c r="G254" s="24">
        <v>30</v>
      </c>
      <c r="H254" s="24" t="s">
        <v>6</v>
      </c>
      <c r="I254" s="24">
        <v>14127.5</v>
      </c>
      <c r="J254" s="24">
        <v>49</v>
      </c>
      <c r="K254" s="24">
        <v>1.182795698924731E-2</v>
      </c>
      <c r="L254" s="24">
        <v>1</v>
      </c>
      <c r="M254" s="24" t="s">
        <v>182</v>
      </c>
      <c r="BF254" s="1">
        <v>0.64</v>
      </c>
      <c r="BG254" t="str">
        <f>"0"</f>
        <v>0</v>
      </c>
      <c r="BH254" t="str">
        <f xml:space="preserve"> IF($BF$254 &gt;= $G$204, "1","0")</f>
        <v>1</v>
      </c>
      <c r="BI254">
        <f xml:space="preserve"> IF( AND( $BG$254 = "1", $BH$254 = "1" ), 1, IF( AND( $BG$254 = "1", $BH$254 = "0" ), 2, IF( AND( $BG$254 = "0", $BH$254 = "1" ), 3, 4 ) ) )</f>
        <v>3</v>
      </c>
      <c r="BK254" s="1">
        <v>1.8947368421052633E-2</v>
      </c>
      <c r="BL254" t="str">
        <f>"0"</f>
        <v>0</v>
      </c>
      <c r="BM254" t="str">
        <f xml:space="preserve"> IF($BK$254 &gt;= $G$281, "1","0")</f>
        <v>0</v>
      </c>
      <c r="BN254">
        <f xml:space="preserve"> IF( AND( $BL$254 = "1", $BM$254 = "1" ), 1, IF( AND( $BL$254 = "1", $BM$254 = "0" ), 2, IF( AND( $BL$254 = "0", $BM$254 = "1" ), 3, 4 ) ) )</f>
        <v>4</v>
      </c>
    </row>
    <row r="255" spans="3:66" x14ac:dyDescent="0.25">
      <c r="C255" s="24">
        <v>25</v>
      </c>
      <c r="D255" s="24">
        <v>7</v>
      </c>
      <c r="E255" s="24">
        <v>19</v>
      </c>
      <c r="F255" s="24" t="s">
        <v>181</v>
      </c>
      <c r="G255" s="24" t="s">
        <v>181</v>
      </c>
      <c r="H255" s="24" t="s">
        <v>181</v>
      </c>
      <c r="I255" s="24" t="s">
        <v>181</v>
      </c>
      <c r="J255" s="24">
        <v>296</v>
      </c>
      <c r="K255" s="24">
        <v>4.8387096774193394E-3</v>
      </c>
      <c r="L255" s="24">
        <v>0</v>
      </c>
      <c r="M255" s="24" t="s">
        <v>183</v>
      </c>
      <c r="BF255" s="1">
        <v>0.52941176470588236</v>
      </c>
      <c r="BG255" t="str">
        <f>"0"</f>
        <v>0</v>
      </c>
      <c r="BH255" t="str">
        <f xml:space="preserve"> IF($BF$255 &gt;= $G$204, "1","0")</f>
        <v>1</v>
      </c>
      <c r="BI255">
        <f xml:space="preserve"> IF( AND( $BG$255 = "1", $BH$255 = "1" ), 1, IF( AND( $BG$255 = "1", $BH$255 = "0" ), 2, IF( AND( $BG$255 = "0", $BH$255 = "1" ), 3, 4 ) ) )</f>
        <v>3</v>
      </c>
      <c r="BK255" s="1">
        <v>1</v>
      </c>
      <c r="BL255" t="str">
        <f>"1"</f>
        <v>1</v>
      </c>
      <c r="BM255" t="str">
        <f xml:space="preserve"> IF($BK$255 &gt;= $G$281, "1","0")</f>
        <v>1</v>
      </c>
      <c r="BN255">
        <f xml:space="preserve"> IF( AND( $BL$255 = "1", $BM$255 = "1" ), 1, IF( AND( $BL$255 = "1", $BM$255 = "0" ), 2, IF( AND( $BL$255 = "0", $BM$255 = "1" ), 3, 4 ) ) )</f>
        <v>1</v>
      </c>
    </row>
    <row r="256" spans="3:66" x14ac:dyDescent="0.25">
      <c r="C256" s="24">
        <v>26</v>
      </c>
      <c r="D256" s="24">
        <v>7</v>
      </c>
      <c r="E256" s="24">
        <v>19</v>
      </c>
      <c r="F256" s="24" t="s">
        <v>181</v>
      </c>
      <c r="G256" s="24" t="s">
        <v>181</v>
      </c>
      <c r="H256" s="24" t="s">
        <v>181</v>
      </c>
      <c r="I256" s="24" t="s">
        <v>181</v>
      </c>
      <c r="J256" s="24">
        <v>7</v>
      </c>
      <c r="K256" s="24">
        <v>5.3763440860215075E-4</v>
      </c>
      <c r="L256" s="24">
        <v>1</v>
      </c>
      <c r="M256" s="24" t="s">
        <v>183</v>
      </c>
      <c r="BF256" s="1">
        <v>0.39999999999999997</v>
      </c>
      <c r="BG256" t="str">
        <f>"0"</f>
        <v>0</v>
      </c>
      <c r="BH256" t="str">
        <f xml:space="preserve"> IF($BF$256 &gt;= $G$204, "1","0")</f>
        <v>1</v>
      </c>
      <c r="BI256">
        <f xml:space="preserve"> IF( AND( $BG$256 = "1", $BH$256 = "1" ), 1, IF( AND( $BG$256 = "1", $BH$256 = "0" ), 2, IF( AND( $BG$256 = "0", $BH$256 = "1" ), 3, 4 ) ) )</f>
        <v>3</v>
      </c>
      <c r="BK256" s="1">
        <v>1</v>
      </c>
      <c r="BL256" t="str">
        <f>"1"</f>
        <v>1</v>
      </c>
      <c r="BM256" t="str">
        <f xml:space="preserve"> IF($BK$256 &gt;= $G$281, "1","0")</f>
        <v>1</v>
      </c>
      <c r="BN256">
        <f xml:space="preserve"> IF( AND( $BL$256 = "1", $BM$256 = "1" ), 1, IF( AND( $BL$256 = "1", $BM$256 = "0" ), 2, IF( AND( $BL$256 = "0", $BM$256 = "1" ), 3, 4 ) ) )</f>
        <v>1</v>
      </c>
    </row>
    <row r="257" spans="3:66" x14ac:dyDescent="0.25">
      <c r="C257" s="24">
        <v>27</v>
      </c>
      <c r="D257" s="24">
        <v>7</v>
      </c>
      <c r="E257" s="24">
        <v>20</v>
      </c>
      <c r="F257" s="24" t="s">
        <v>181</v>
      </c>
      <c r="G257" s="24" t="s">
        <v>181</v>
      </c>
      <c r="H257" s="24" t="s">
        <v>181</v>
      </c>
      <c r="I257" s="24" t="s">
        <v>181</v>
      </c>
      <c r="J257" s="24">
        <v>21</v>
      </c>
      <c r="K257" s="24">
        <v>3.7634408602150535E-3</v>
      </c>
      <c r="L257" s="24">
        <v>1</v>
      </c>
      <c r="M257" s="24" t="s">
        <v>183</v>
      </c>
      <c r="BF257" s="1">
        <v>0.52941176470588236</v>
      </c>
      <c r="BG257" t="str">
        <f>"0"</f>
        <v>0</v>
      </c>
      <c r="BH257" t="str">
        <f xml:space="preserve"> IF($BF$257 &gt;= $G$204, "1","0")</f>
        <v>1</v>
      </c>
      <c r="BI257">
        <f xml:space="preserve"> IF( AND( $BG$257 = "1", $BH$257 = "1" ), 1, IF( AND( $BG$257 = "1", $BH$257 = "0" ), 2, IF( AND( $BG$257 = "0", $BH$257 = "1" ), 3, 4 ) ) )</f>
        <v>3</v>
      </c>
      <c r="BK257" s="1">
        <v>1.8947368421052633E-2</v>
      </c>
      <c r="BL257" t="str">
        <f>"0"</f>
        <v>0</v>
      </c>
      <c r="BM257" t="str">
        <f xml:space="preserve"> IF($BK$257 &gt;= $G$281, "1","0")</f>
        <v>0</v>
      </c>
      <c r="BN257">
        <f xml:space="preserve"> IF( AND( $BL$257 = "1", $BM$257 = "1" ), 1, IF( AND( $BL$257 = "1", $BM$257 = "0" ), 2, IF( AND( $BL$257 = "0", $BM$257 = "1" ), 3, 4 ) ) )</f>
        <v>4</v>
      </c>
    </row>
    <row r="258" spans="3:66" x14ac:dyDescent="0.25">
      <c r="C258" s="24">
        <v>28</v>
      </c>
      <c r="D258" s="24">
        <v>7</v>
      </c>
      <c r="E258" s="24">
        <v>20</v>
      </c>
      <c r="F258" s="24">
        <v>31</v>
      </c>
      <c r="G258" s="24">
        <v>32</v>
      </c>
      <c r="H258" s="24" t="s">
        <v>0</v>
      </c>
      <c r="I258" s="24">
        <v>49.5</v>
      </c>
      <c r="J258" s="24">
        <v>248</v>
      </c>
      <c r="K258" s="24">
        <v>2.0430107526881736E-2</v>
      </c>
      <c r="L258" s="24">
        <v>0</v>
      </c>
      <c r="M258" s="24" t="s">
        <v>182</v>
      </c>
      <c r="BF258" s="1">
        <v>0.39999999999999997</v>
      </c>
      <c r="BG258" t="str">
        <f>"0"</f>
        <v>0</v>
      </c>
      <c r="BH258" t="str">
        <f xml:space="preserve"> IF($BF$258 &gt;= $G$204, "1","0")</f>
        <v>1</v>
      </c>
      <c r="BI258">
        <f xml:space="preserve"> IF( AND( $BG$258 = "1", $BH$258 = "1" ), 1, IF( AND( $BG$258 = "1", $BH$258 = "0" ), 2, IF( AND( $BG$258 = "0", $BH$258 = "1" ), 3, 4 ) ) )</f>
        <v>3</v>
      </c>
      <c r="BK258" s="1">
        <v>3.333333333333334E-2</v>
      </c>
      <c r="BL258" t="str">
        <f>"0"</f>
        <v>0</v>
      </c>
      <c r="BM258" t="str">
        <f xml:space="preserve"> IF($BK$258 &gt;= $G$281, "1","0")</f>
        <v>0</v>
      </c>
      <c r="BN258">
        <f xml:space="preserve"> IF( AND( $BL$258 = "1", $BM$258 = "1" ), 1, IF( AND( $BL$258 = "1", $BM$258 = "0" ), 2, IF( AND( $BL$258 = "0", $BM$258 = "1" ), 3, 4 ) ) )</f>
        <v>4</v>
      </c>
    </row>
    <row r="259" spans="3:66" x14ac:dyDescent="0.25">
      <c r="C259" s="24">
        <v>29</v>
      </c>
      <c r="D259" s="24">
        <v>7</v>
      </c>
      <c r="E259" s="24">
        <v>24</v>
      </c>
      <c r="F259" s="24" t="s">
        <v>181</v>
      </c>
      <c r="G259" s="24" t="s">
        <v>181</v>
      </c>
      <c r="H259" s="24" t="s">
        <v>181</v>
      </c>
      <c r="I259" s="24" t="s">
        <v>181</v>
      </c>
      <c r="J259" s="24">
        <v>7</v>
      </c>
      <c r="K259" s="24">
        <v>0</v>
      </c>
      <c r="L259" s="24">
        <v>1</v>
      </c>
      <c r="M259" s="24" t="s">
        <v>183</v>
      </c>
      <c r="BF259" s="1">
        <v>0.2857142857142857</v>
      </c>
      <c r="BG259" t="str">
        <f>"0"</f>
        <v>0</v>
      </c>
      <c r="BH259" t="str">
        <f xml:space="preserve"> IF($BF$259 &gt;= $G$204, "1","0")</f>
        <v>1</v>
      </c>
      <c r="BI259">
        <f xml:space="preserve"> IF( AND( $BG$259 = "1", $BH$259 = "1" ), 1, IF( AND( $BG$259 = "1", $BH$259 = "0" ), 2, IF( AND( $BG$259 = "0", $BH$259 = "1" ), 3, 4 ) ) )</f>
        <v>3</v>
      </c>
      <c r="BK259" s="1">
        <v>1</v>
      </c>
      <c r="BL259" t="str">
        <f>"1"</f>
        <v>1</v>
      </c>
      <c r="BM259" t="str">
        <f xml:space="preserve"> IF($BK$259 &gt;= $G$281, "1","0")</f>
        <v>1</v>
      </c>
      <c r="BN259">
        <f xml:space="preserve"> IF( AND( $BL$259 = "1", $BM$259 = "1" ), 1, IF( AND( $BL$259 = "1", $BM$259 = "0" ), 2, IF( AND( $BL$259 = "0", $BM$259 = "1" ), 3, 4 ) ) )</f>
        <v>1</v>
      </c>
    </row>
    <row r="260" spans="3:66" x14ac:dyDescent="0.25">
      <c r="C260" s="24">
        <v>30</v>
      </c>
      <c r="D260" s="24">
        <v>7</v>
      </c>
      <c r="E260" s="24">
        <v>24</v>
      </c>
      <c r="F260" s="24">
        <v>33</v>
      </c>
      <c r="G260" s="24">
        <v>34</v>
      </c>
      <c r="H260" s="24" t="s">
        <v>6</v>
      </c>
      <c r="I260" s="24">
        <v>14423</v>
      </c>
      <c r="J260" s="24">
        <v>42</v>
      </c>
      <c r="K260" s="24">
        <v>1.1827956989247313E-2</v>
      </c>
      <c r="L260" s="24">
        <v>1</v>
      </c>
      <c r="M260" s="24" t="s">
        <v>182</v>
      </c>
      <c r="BF260" s="1">
        <v>0</v>
      </c>
      <c r="BG260" t="str">
        <f>"0"</f>
        <v>0</v>
      </c>
      <c r="BH260" t="str">
        <f xml:space="preserve"> IF($BF$260 &gt;= $G$204, "1","0")</f>
        <v>0</v>
      </c>
      <c r="BI260">
        <f xml:space="preserve"> IF( AND( $BG$260 = "1", $BH$260 = "1" ), 1, IF( AND( $BG$260 = "1", $BH$260 = "0" ), 2, IF( AND( $BG$260 = "0", $BH$260 = "1" ), 3, 4 ) ) )</f>
        <v>4</v>
      </c>
      <c r="BK260" s="1">
        <v>2.5000000000000001E-3</v>
      </c>
      <c r="BL260" t="str">
        <f>"0"</f>
        <v>0</v>
      </c>
      <c r="BM260" t="str">
        <f xml:space="preserve"> IF($BK$260 &gt;= $G$281, "1","0")</f>
        <v>0</v>
      </c>
      <c r="BN260">
        <f xml:space="preserve"> IF( AND( $BL$260 = "1", $BM$260 = "1" ), 1, IF( AND( $BL$260 = "1", $BM$260 = "0" ), 2, IF( AND( $BL$260 = "0", $BM$260 = "1" ), 3, 4 ) ) )</f>
        <v>4</v>
      </c>
    </row>
    <row r="261" spans="3:66" x14ac:dyDescent="0.25">
      <c r="C261" s="24">
        <v>31</v>
      </c>
      <c r="D261" s="24">
        <v>8</v>
      </c>
      <c r="E261" s="24">
        <v>28</v>
      </c>
      <c r="F261" s="24">
        <v>35</v>
      </c>
      <c r="G261" s="24">
        <v>36</v>
      </c>
      <c r="H261" s="24" t="s">
        <v>0</v>
      </c>
      <c r="I261" s="24">
        <v>37.5</v>
      </c>
      <c r="J261" s="24">
        <v>212</v>
      </c>
      <c r="K261" s="24">
        <v>1.2365591397849457E-2</v>
      </c>
      <c r="L261" s="24">
        <v>0</v>
      </c>
      <c r="M261" s="24" t="s">
        <v>182</v>
      </c>
      <c r="BF261" s="1">
        <v>0</v>
      </c>
      <c r="BG261" t="str">
        <f>"0"</f>
        <v>0</v>
      </c>
      <c r="BH261" t="str">
        <f xml:space="preserve"> IF($BF$261 &gt;= $G$204, "1","0")</f>
        <v>0</v>
      </c>
      <c r="BI261">
        <f xml:space="preserve"> IF( AND( $BG$261 = "1", $BH$261 = "1" ), 1, IF( AND( $BG$261 = "1", $BH$261 = "0" ), 2, IF( AND( $BG$261 = "0", $BH$261 = "1" ), 3, 4 ) ) )</f>
        <v>4</v>
      </c>
      <c r="BK261" s="1">
        <v>2.5000000000000001E-3</v>
      </c>
      <c r="BL261" t="str">
        <f>"0"</f>
        <v>0</v>
      </c>
      <c r="BM261" t="str">
        <f xml:space="preserve"> IF($BK$261 &gt;= $G$281, "1","0")</f>
        <v>0</v>
      </c>
      <c r="BN261">
        <f xml:space="preserve"> IF( AND( $BL$261 = "1", $BM$261 = "1" ), 1, IF( AND( $BL$261 = "1", $BM$261 = "0" ), 2, IF( AND( $BL$261 = "0", $BM$261 = "1" ), 3, 4 ) ) )</f>
        <v>4</v>
      </c>
    </row>
    <row r="262" spans="3:66" x14ac:dyDescent="0.25">
      <c r="C262" s="24">
        <v>32</v>
      </c>
      <c r="D262" s="24">
        <v>8</v>
      </c>
      <c r="E262" s="24">
        <v>28</v>
      </c>
      <c r="F262" s="24">
        <v>37</v>
      </c>
      <c r="G262" s="24">
        <v>38</v>
      </c>
      <c r="H262" s="24" t="s">
        <v>0</v>
      </c>
      <c r="I262" s="24">
        <v>50.5</v>
      </c>
      <c r="J262" s="24">
        <v>36</v>
      </c>
      <c r="K262" s="24">
        <v>8.0645161290322578E-3</v>
      </c>
      <c r="L262" s="24">
        <v>0</v>
      </c>
      <c r="M262" s="24" t="s">
        <v>182</v>
      </c>
      <c r="BF262" s="1">
        <v>0</v>
      </c>
      <c r="BG262" t="str">
        <f>"0"</f>
        <v>0</v>
      </c>
      <c r="BH262" t="str">
        <f xml:space="preserve"> IF($BF$262 &gt;= $G$204, "1","0")</f>
        <v>0</v>
      </c>
      <c r="BI262">
        <f xml:space="preserve"> IF( AND( $BG$262 = "1", $BH$262 = "1" ), 1, IF( AND( $BG$262 = "1", $BH$262 = "0" ), 2, IF( AND( $BG$262 = "0", $BH$262 = "1" ), 3, 4 ) ) )</f>
        <v>4</v>
      </c>
      <c r="BK262" s="1">
        <v>2.5000000000000001E-3</v>
      </c>
      <c r="BL262" t="str">
        <f>"0"</f>
        <v>0</v>
      </c>
      <c r="BM262" t="str">
        <f xml:space="preserve"> IF($BK$262 &gt;= $G$281, "1","0")</f>
        <v>0</v>
      </c>
      <c r="BN262">
        <f xml:space="preserve"> IF( AND( $BL$262 = "1", $BM$262 = "1" ), 1, IF( AND( $BL$262 = "1", $BM$262 = "0" ), 2, IF( AND( $BL$262 = "0", $BM$262 = "1" ), 3, 4 ) ) )</f>
        <v>4</v>
      </c>
    </row>
    <row r="263" spans="3:66" x14ac:dyDescent="0.25">
      <c r="C263" s="24">
        <v>33</v>
      </c>
      <c r="D263" s="24">
        <v>8</v>
      </c>
      <c r="E263" s="24">
        <v>30</v>
      </c>
      <c r="F263" s="24" t="s">
        <v>181</v>
      </c>
      <c r="G263" s="24" t="s">
        <v>181</v>
      </c>
      <c r="H263" s="24" t="s">
        <v>181</v>
      </c>
      <c r="I263" s="24" t="s">
        <v>181</v>
      </c>
      <c r="J263" s="24">
        <v>0</v>
      </c>
      <c r="K263" s="24">
        <v>0</v>
      </c>
      <c r="L263" s="24">
        <v>0</v>
      </c>
      <c r="M263" s="24" t="s">
        <v>183</v>
      </c>
      <c r="BF263" s="1">
        <v>0</v>
      </c>
      <c r="BG263" t="str">
        <f>"0"</f>
        <v>0</v>
      </c>
      <c r="BH263" t="str">
        <f xml:space="preserve"> IF($BF$263 &gt;= $G$204, "1","0")</f>
        <v>0</v>
      </c>
      <c r="BI263">
        <f xml:space="preserve"> IF( AND( $BG$263 = "1", $BH$263 = "1" ), 1, IF( AND( $BG$263 = "1", $BH$263 = "0" ), 2, IF( AND( $BG$263 = "0", $BH$263 = "1" ), 3, 4 ) ) )</f>
        <v>4</v>
      </c>
      <c r="BK263" s="1">
        <v>1.8947368421052633E-2</v>
      </c>
      <c r="BL263" t="str">
        <f>"0"</f>
        <v>0</v>
      </c>
      <c r="BM263" t="str">
        <f xml:space="preserve"> IF($BK$263 &gt;= $G$281, "1","0")</f>
        <v>0</v>
      </c>
      <c r="BN263">
        <f xml:space="preserve"> IF( AND( $BL$263 = "1", $BM$263 = "1" ), 1, IF( AND( $BL$263 = "1", $BM$263 = "0" ), 2, IF( AND( $BL$263 = "0", $BM$263 = "1" ), 3, 4 ) ) )</f>
        <v>4</v>
      </c>
    </row>
    <row r="264" spans="3:66" x14ac:dyDescent="0.25">
      <c r="C264" s="24">
        <v>34</v>
      </c>
      <c r="D264" s="24">
        <v>8</v>
      </c>
      <c r="E264" s="24">
        <v>30</v>
      </c>
      <c r="F264" s="24">
        <v>39</v>
      </c>
      <c r="G264" s="24">
        <v>40</v>
      </c>
      <c r="H264" s="24" t="s">
        <v>2</v>
      </c>
      <c r="I264" s="24">
        <v>8.5</v>
      </c>
      <c r="J264" s="24">
        <v>42</v>
      </c>
      <c r="K264" s="24">
        <v>1.0215053763440857E-2</v>
      </c>
      <c r="L264" s="24">
        <v>1</v>
      </c>
      <c r="M264" s="24" t="s">
        <v>182</v>
      </c>
      <c r="BF264" s="1">
        <v>0</v>
      </c>
      <c r="BG264" t="str">
        <f>"0"</f>
        <v>0</v>
      </c>
      <c r="BH264" t="str">
        <f xml:space="preserve"> IF($BF$264 &gt;= $G$204, "1","0")</f>
        <v>0</v>
      </c>
      <c r="BI264">
        <f xml:space="preserve"> IF( AND( $BG$264 = "1", $BH$264 = "1" ), 1, IF( AND( $BG$264 = "1", $BH$264 = "0" ), 2, IF( AND( $BG$264 = "0", $BH$264 = "1" ), 3, 4 ) ) )</f>
        <v>4</v>
      </c>
      <c r="BK264" s="1">
        <v>2.5000000000000001E-3</v>
      </c>
      <c r="BL264" t="str">
        <f>"0"</f>
        <v>0</v>
      </c>
      <c r="BM264" t="str">
        <f xml:space="preserve"> IF($BK$264 &gt;= $G$281, "1","0")</f>
        <v>0</v>
      </c>
      <c r="BN264">
        <f xml:space="preserve"> IF( AND( $BL$264 = "1", $BM$264 = "1" ), 1, IF( AND( $BL$264 = "1", $BM$264 = "0" ), 2, IF( AND( $BL$264 = "0", $BM$264 = "1" ), 3, 4 ) ) )</f>
        <v>4</v>
      </c>
    </row>
    <row r="265" spans="3:66" x14ac:dyDescent="0.25">
      <c r="C265" s="24">
        <v>35</v>
      </c>
      <c r="D265" s="24">
        <v>9</v>
      </c>
      <c r="E265" s="24">
        <v>31</v>
      </c>
      <c r="F265" s="24">
        <v>41</v>
      </c>
      <c r="G265" s="24">
        <v>42</v>
      </c>
      <c r="H265" s="24" t="s">
        <v>0</v>
      </c>
      <c r="I265" s="24">
        <v>35.5</v>
      </c>
      <c r="J265" s="24">
        <v>83</v>
      </c>
      <c r="K265" s="24">
        <v>1.2365591397849464E-2</v>
      </c>
      <c r="L265" s="24">
        <v>0</v>
      </c>
      <c r="M265" s="24" t="s">
        <v>182</v>
      </c>
      <c r="BF265" s="1">
        <v>0</v>
      </c>
      <c r="BG265" t="str">
        <f>"0"</f>
        <v>0</v>
      </c>
      <c r="BH265" t="str">
        <f xml:space="preserve"> IF($BF$265 &gt;= $G$204, "1","0")</f>
        <v>0</v>
      </c>
      <c r="BI265">
        <f xml:space="preserve"> IF( AND( $BG$265 = "1", $BH$265 = "1" ), 1, IF( AND( $BG$265 = "1", $BH$265 = "0" ), 2, IF( AND( $BG$265 = "0", $BH$265 = "1" ), 3, 4 ) ) )</f>
        <v>4</v>
      </c>
      <c r="BK265" s="1">
        <v>1.8947368421052633E-2</v>
      </c>
      <c r="BL265" t="str">
        <f>"0"</f>
        <v>0</v>
      </c>
      <c r="BM265" t="str">
        <f xml:space="preserve"> IF($BK$265 &gt;= $G$281, "1","0")</f>
        <v>0</v>
      </c>
      <c r="BN265">
        <f xml:space="preserve"> IF( AND( $BL$265 = "1", $BM$265 = "1" ), 1, IF( AND( $BL$265 = "1", $BM$265 = "0" ), 2, IF( AND( $BL$265 = "0", $BM$265 = "1" ), 3, 4 ) ) )</f>
        <v>4</v>
      </c>
    </row>
    <row r="266" spans="3:66" x14ac:dyDescent="0.25">
      <c r="C266" s="24">
        <v>36</v>
      </c>
      <c r="D266" s="24">
        <v>9</v>
      </c>
      <c r="E266" s="24">
        <v>31</v>
      </c>
      <c r="F266" s="24" t="s">
        <v>181</v>
      </c>
      <c r="G266" s="24" t="s">
        <v>181</v>
      </c>
      <c r="H266" s="24" t="s">
        <v>181</v>
      </c>
      <c r="I266" s="24" t="s">
        <v>181</v>
      </c>
      <c r="J266" s="24">
        <v>129</v>
      </c>
      <c r="K266" s="24">
        <v>0</v>
      </c>
      <c r="L266" s="24">
        <v>0</v>
      </c>
      <c r="M266" s="24" t="s">
        <v>183</v>
      </c>
      <c r="BF266" s="1">
        <v>0.43750000000000006</v>
      </c>
      <c r="BG266" t="str">
        <f>"0"</f>
        <v>0</v>
      </c>
      <c r="BH266" t="str">
        <f xml:space="preserve"> IF($BF$266 &gt;= $G$204, "1","0")</f>
        <v>1</v>
      </c>
      <c r="BI266">
        <f xml:space="preserve"> IF( AND( $BG$266 = "1", $BH$266 = "1" ), 1, IF( AND( $BG$266 = "1", $BH$266 = "0" ), 2, IF( AND( $BG$266 = "0", $BH$266 = "1" ), 3, 4 ) ) )</f>
        <v>3</v>
      </c>
      <c r="BK266" s="1">
        <v>0.32</v>
      </c>
      <c r="BL266" t="str">
        <f>"1"</f>
        <v>1</v>
      </c>
      <c r="BM266" t="str">
        <f xml:space="preserve"> IF($BK$266 &gt;= $G$281, "1","0")</f>
        <v>1</v>
      </c>
      <c r="BN266">
        <f xml:space="preserve"> IF( AND( $BL$266 = "1", $BM$266 = "1" ), 1, IF( AND( $BL$266 = "1", $BM$266 = "0" ), 2, IF( AND( $BL$266 = "0", $BM$266 = "1" ), 3, 4 ) ) )</f>
        <v>1</v>
      </c>
    </row>
    <row r="267" spans="3:66" x14ac:dyDescent="0.25">
      <c r="C267" s="24">
        <v>37</v>
      </c>
      <c r="D267" s="24">
        <v>9</v>
      </c>
      <c r="E267" s="24">
        <v>32</v>
      </c>
      <c r="F267" s="24" t="s">
        <v>181</v>
      </c>
      <c r="G267" s="24" t="s">
        <v>181</v>
      </c>
      <c r="H267" s="24" t="s">
        <v>181</v>
      </c>
      <c r="I267" s="24" t="s">
        <v>181</v>
      </c>
      <c r="J267" s="24">
        <v>9</v>
      </c>
      <c r="K267" s="24">
        <v>2.1505376344086021E-3</v>
      </c>
      <c r="L267" s="24">
        <v>1</v>
      </c>
      <c r="M267" s="24" t="s">
        <v>183</v>
      </c>
      <c r="BF267" s="1">
        <v>0.43750000000000006</v>
      </c>
      <c r="BG267" t="str">
        <f>"0"</f>
        <v>0</v>
      </c>
      <c r="BH267" t="str">
        <f xml:space="preserve"> IF($BF$267 &gt;= $G$204, "1","0")</f>
        <v>1</v>
      </c>
      <c r="BI267">
        <f xml:space="preserve"> IF( AND( $BG$267 = "1", $BH$267 = "1" ), 1, IF( AND( $BG$267 = "1", $BH$267 = "0" ), 2, IF( AND( $BG$267 = "0", $BH$267 = "1" ), 3, 4 ) ) )</f>
        <v>3</v>
      </c>
      <c r="BK267" s="1">
        <v>0</v>
      </c>
      <c r="BL267" t="str">
        <f>"0"</f>
        <v>0</v>
      </c>
      <c r="BM267" t="str">
        <f xml:space="preserve"> IF($BK$267 &gt;= $G$281, "1","0")</f>
        <v>0</v>
      </c>
      <c r="BN267">
        <f xml:space="preserve"> IF( AND( $BL$267 = "1", $BM$267 = "1" ), 1, IF( AND( $BL$267 = "1", $BM$267 = "0" ), 2, IF( AND( $BL$267 = "0", $BM$267 = "1" ), 3, 4 ) ) )</f>
        <v>4</v>
      </c>
    </row>
    <row r="268" spans="3:66" x14ac:dyDescent="0.25">
      <c r="C268" s="24">
        <v>38</v>
      </c>
      <c r="D268" s="24">
        <v>9</v>
      </c>
      <c r="E268" s="24">
        <v>32</v>
      </c>
      <c r="F268" s="24" t="s">
        <v>181</v>
      </c>
      <c r="G268" s="24" t="s">
        <v>181</v>
      </c>
      <c r="H268" s="24" t="s">
        <v>181</v>
      </c>
      <c r="I268" s="24" t="s">
        <v>181</v>
      </c>
      <c r="J268" s="24">
        <v>27</v>
      </c>
      <c r="K268" s="24">
        <v>3.2258064516129045E-3</v>
      </c>
      <c r="L268" s="24">
        <v>0</v>
      </c>
      <c r="M268" s="24" t="s">
        <v>183</v>
      </c>
      <c r="BF268" s="1">
        <v>0.43750000000000006</v>
      </c>
      <c r="BG268" t="str">
        <f>"0"</f>
        <v>0</v>
      </c>
      <c r="BH268" t="str">
        <f xml:space="preserve"> IF($BF$268 &gt;= $G$204, "1","0")</f>
        <v>1</v>
      </c>
      <c r="BI268">
        <f xml:space="preserve"> IF( AND( $BG$268 = "1", $BH$268 = "1" ), 1, IF( AND( $BG$268 = "1", $BH$268 = "0" ), 2, IF( AND( $BG$268 = "0", $BH$268 = "1" ), 3, 4 ) ) )</f>
        <v>3</v>
      </c>
      <c r="BK268" s="1">
        <v>2.5000000000000001E-3</v>
      </c>
      <c r="BL268" t="str">
        <f>"0"</f>
        <v>0</v>
      </c>
      <c r="BM268" t="str">
        <f xml:space="preserve"> IF($BK$268 &gt;= $G$281, "1","0")</f>
        <v>0</v>
      </c>
      <c r="BN268">
        <f xml:space="preserve"> IF( AND( $BL$268 = "1", $BM$268 = "1" ), 1, IF( AND( $BL$268 = "1", $BM$268 = "0" ), 2, IF( AND( $BL$268 = "0", $BM$268 = "1" ), 3, 4 ) ) )</f>
        <v>4</v>
      </c>
    </row>
    <row r="269" spans="3:66" x14ac:dyDescent="0.25">
      <c r="C269" s="24">
        <v>39</v>
      </c>
      <c r="D269" s="24">
        <v>9</v>
      </c>
      <c r="E269" s="24">
        <v>34</v>
      </c>
      <c r="F269" s="24">
        <v>43</v>
      </c>
      <c r="G269" s="24">
        <v>44</v>
      </c>
      <c r="H269" s="24" t="s">
        <v>0</v>
      </c>
      <c r="I269" s="24">
        <v>89.5</v>
      </c>
      <c r="J269" s="24">
        <v>32</v>
      </c>
      <c r="K269" s="24">
        <v>8.6021505376344086E-3</v>
      </c>
      <c r="L269" s="24">
        <v>1</v>
      </c>
      <c r="M269" s="24" t="s">
        <v>182</v>
      </c>
      <c r="BF269" s="1">
        <v>9.9999999999999992E-2</v>
      </c>
      <c r="BG269" t="str">
        <f>"0"</f>
        <v>0</v>
      </c>
      <c r="BH269" t="str">
        <f xml:space="preserve"> IF($BF$269 &gt;= $G$204, "1","0")</f>
        <v>0</v>
      </c>
      <c r="BI269">
        <f xml:space="preserve"> IF( AND( $BG$269 = "1", $BH$269 = "1" ), 1, IF( AND( $BG$269 = "1", $BH$269 = "0" ), 2, IF( AND( $BG$269 = "0", $BH$269 = "1" ), 3, 4 ) ) )</f>
        <v>4</v>
      </c>
      <c r="BK269" s="1">
        <v>2.5000000000000001E-3</v>
      </c>
      <c r="BL269" t="str">
        <f>"0"</f>
        <v>0</v>
      </c>
      <c r="BM269" t="str">
        <f xml:space="preserve"> IF($BK$269 &gt;= $G$281, "1","0")</f>
        <v>0</v>
      </c>
      <c r="BN269">
        <f xml:space="preserve"> IF( AND( $BL$269 = "1", $BM$269 = "1" ), 1, IF( AND( $BL$269 = "1", $BM$269 = "0" ), 2, IF( AND( $BL$269 = "0", $BM$269 = "1" ), 3, 4 ) ) )</f>
        <v>4</v>
      </c>
    </row>
    <row r="270" spans="3:66" x14ac:dyDescent="0.25">
      <c r="C270" s="24">
        <v>40</v>
      </c>
      <c r="D270" s="24">
        <v>9</v>
      </c>
      <c r="E270" s="24">
        <v>34</v>
      </c>
      <c r="F270" s="24" t="s">
        <v>181</v>
      </c>
      <c r="G270" s="24" t="s">
        <v>181</v>
      </c>
      <c r="H270" s="24" t="s">
        <v>181</v>
      </c>
      <c r="I270" s="24" t="s">
        <v>181</v>
      </c>
      <c r="J270" s="24">
        <v>10</v>
      </c>
      <c r="K270" s="24">
        <v>1.6129032258064523E-3</v>
      </c>
      <c r="L270" s="24">
        <v>1</v>
      </c>
      <c r="M270" s="24" t="s">
        <v>183</v>
      </c>
      <c r="BF270" s="1">
        <v>0</v>
      </c>
      <c r="BG270" t="str">
        <f>"0"</f>
        <v>0</v>
      </c>
      <c r="BH270" t="str">
        <f xml:space="preserve"> IF($BF$270 &gt;= $G$204, "1","0")</f>
        <v>0</v>
      </c>
      <c r="BI270">
        <f xml:space="preserve"> IF( AND( $BG$270 = "1", $BH$270 = "1" ), 1, IF( AND( $BG$270 = "1", $BH$270 = "0" ), 2, IF( AND( $BG$270 = "0", $BH$270 = "1" ), 3, 4 ) ) )</f>
        <v>4</v>
      </c>
      <c r="BK270" s="1">
        <v>0</v>
      </c>
      <c r="BL270" t="str">
        <f>"0"</f>
        <v>0</v>
      </c>
      <c r="BM270" t="str">
        <f xml:space="preserve"> IF($BK$270 &gt;= $G$281, "1","0")</f>
        <v>0</v>
      </c>
      <c r="BN270">
        <f xml:space="preserve"> IF( AND( $BL$270 = "1", $BM$270 = "1" ), 1, IF( AND( $BL$270 = "1", $BM$270 = "0" ), 2, IF( AND( $BL$270 = "0", $BM$270 = "1" ), 3, 4 ) ) )</f>
        <v>4</v>
      </c>
    </row>
    <row r="271" spans="3:66" x14ac:dyDescent="0.25">
      <c r="C271" s="24">
        <v>41</v>
      </c>
      <c r="D271" s="24">
        <v>10</v>
      </c>
      <c r="E271" s="24">
        <v>35</v>
      </c>
      <c r="F271" s="24" t="s">
        <v>181</v>
      </c>
      <c r="G271" s="24" t="s">
        <v>181</v>
      </c>
      <c r="H271" s="24" t="s">
        <v>181</v>
      </c>
      <c r="I271" s="24" t="s">
        <v>181</v>
      </c>
      <c r="J271" s="24">
        <v>68</v>
      </c>
      <c r="K271" s="24">
        <v>1.6129032258064488E-3</v>
      </c>
      <c r="L271" s="24">
        <v>0</v>
      </c>
      <c r="M271" s="24" t="s">
        <v>183</v>
      </c>
      <c r="BF271" s="1">
        <v>0</v>
      </c>
      <c r="BG271" t="str">
        <f>"0"</f>
        <v>0</v>
      </c>
      <c r="BH271" t="str">
        <f xml:space="preserve"> IF($BF$271 &gt;= $G$204, "1","0")</f>
        <v>0</v>
      </c>
      <c r="BI271">
        <f xml:space="preserve"> IF( AND( $BG$271 = "1", $BH$271 = "1" ), 1, IF( AND( $BG$271 = "1", $BH$271 = "0" ), 2, IF( AND( $BG$271 = "0", $BH$271 = "1" ), 3, 4 ) ) )</f>
        <v>4</v>
      </c>
      <c r="BK271" s="1">
        <v>0.5625</v>
      </c>
      <c r="BL271" t="str">
        <f>"1"</f>
        <v>1</v>
      </c>
      <c r="BM271" t="str">
        <f xml:space="preserve"> IF($BK$271 &gt;= $G$281, "1","0")</f>
        <v>1</v>
      </c>
      <c r="BN271">
        <f xml:space="preserve"> IF( AND( $BL$271 = "1", $BM$271 = "1" ), 1, IF( AND( $BL$271 = "1", $BM$271 = "0" ), 2, IF( AND( $BL$271 = "0", $BM$271 = "1" ), 3, 4 ) ) )</f>
        <v>1</v>
      </c>
    </row>
    <row r="272" spans="3:66" x14ac:dyDescent="0.25">
      <c r="C272" s="24">
        <v>42</v>
      </c>
      <c r="D272" s="24">
        <v>10</v>
      </c>
      <c r="E272" s="24">
        <v>35</v>
      </c>
      <c r="F272" s="24" t="s">
        <v>181</v>
      </c>
      <c r="G272" s="24" t="s">
        <v>181</v>
      </c>
      <c r="H272" s="24" t="s">
        <v>181</v>
      </c>
      <c r="I272" s="24" t="s">
        <v>181</v>
      </c>
      <c r="J272" s="24">
        <v>15</v>
      </c>
      <c r="K272" s="24">
        <v>2.6881720430107538E-3</v>
      </c>
      <c r="L272" s="24">
        <v>1</v>
      </c>
      <c r="M272" s="24" t="s">
        <v>183</v>
      </c>
      <c r="BF272" s="1">
        <v>0</v>
      </c>
      <c r="BG272" t="str">
        <f>"0"</f>
        <v>0</v>
      </c>
      <c r="BH272" t="str">
        <f xml:space="preserve"> IF($BF$272 &gt;= $G$204, "1","0")</f>
        <v>0</v>
      </c>
      <c r="BI272">
        <f xml:space="preserve"> IF( AND( $BG$272 = "1", $BH$272 = "1" ), 1, IF( AND( $BG$272 = "1", $BH$272 = "0" ), 2, IF( AND( $BG$272 = "0", $BH$272 = "1" ), 3, 4 ) ) )</f>
        <v>4</v>
      </c>
      <c r="BK272" s="1">
        <v>1.8947368421052633E-2</v>
      </c>
      <c r="BL272" t="str">
        <f>"0"</f>
        <v>0</v>
      </c>
      <c r="BM272" t="str">
        <f xml:space="preserve"> IF($BK$272 &gt;= $G$281, "1","0")</f>
        <v>0</v>
      </c>
      <c r="BN272">
        <f xml:space="preserve"> IF( AND( $BL$272 = "1", $BM$272 = "1" ), 1, IF( AND( $BL$272 = "1", $BM$272 = "0" ), 2, IF( AND( $BL$272 = "0", $BM$272 = "1" ), 3, 4 ) ) )</f>
        <v>4</v>
      </c>
    </row>
    <row r="273" spans="2:66" x14ac:dyDescent="0.25">
      <c r="C273" s="24">
        <v>43</v>
      </c>
      <c r="D273" s="24">
        <v>10</v>
      </c>
      <c r="E273" s="24">
        <v>39</v>
      </c>
      <c r="F273" s="24">
        <v>45</v>
      </c>
      <c r="G273" s="24">
        <v>46</v>
      </c>
      <c r="H273" s="24" t="s">
        <v>6</v>
      </c>
      <c r="I273" s="24">
        <v>26526</v>
      </c>
      <c r="J273" s="24">
        <v>26</v>
      </c>
      <c r="K273" s="24">
        <v>7.5268817204301071E-3</v>
      </c>
      <c r="L273" s="24">
        <v>1</v>
      </c>
      <c r="M273" s="24" t="s">
        <v>182</v>
      </c>
      <c r="BF273" s="1">
        <v>0.5625</v>
      </c>
      <c r="BG273" t="str">
        <f>"0"</f>
        <v>0</v>
      </c>
      <c r="BH273" t="str">
        <f xml:space="preserve"> IF($BF$273 &gt;= $G$204, "1","0")</f>
        <v>1</v>
      </c>
      <c r="BI273">
        <f xml:space="preserve"> IF( AND( $BG$273 = "1", $BH$273 = "1" ), 1, IF( AND( $BG$273 = "1", $BH$273 = "0" ), 2, IF( AND( $BG$273 = "0", $BH$273 = "1" ), 3, 4 ) ) )</f>
        <v>3</v>
      </c>
      <c r="BK273" s="1">
        <v>2.5000000000000001E-3</v>
      </c>
      <c r="BL273" t="str">
        <f>"0"</f>
        <v>0</v>
      </c>
      <c r="BM273" t="str">
        <f xml:space="preserve"> IF($BK$273 &gt;= $G$281, "1","0")</f>
        <v>0</v>
      </c>
      <c r="BN273">
        <f xml:space="preserve"> IF( AND( $BL$273 = "1", $BM$273 = "1" ), 1, IF( AND( $BL$273 = "1", $BM$273 = "0" ), 2, IF( AND( $BL$273 = "0", $BM$273 = "1" ), 3, 4 ) ) )</f>
        <v>4</v>
      </c>
    </row>
    <row r="274" spans="2:66" x14ac:dyDescent="0.25">
      <c r="C274" s="24">
        <v>44</v>
      </c>
      <c r="D274" s="24">
        <v>10</v>
      </c>
      <c r="E274" s="24">
        <v>39</v>
      </c>
      <c r="F274" s="24" t="s">
        <v>181</v>
      </c>
      <c r="G274" s="24" t="s">
        <v>181</v>
      </c>
      <c r="H274" s="24" t="s">
        <v>181</v>
      </c>
      <c r="I274" s="24" t="s">
        <v>181</v>
      </c>
      <c r="J274" s="24">
        <v>6</v>
      </c>
      <c r="K274" s="24">
        <v>0</v>
      </c>
      <c r="L274" s="24">
        <v>0</v>
      </c>
      <c r="M274" s="24" t="s">
        <v>183</v>
      </c>
      <c r="BF274" s="1">
        <v>0.5625</v>
      </c>
      <c r="BG274" t="str">
        <f>"0"</f>
        <v>0</v>
      </c>
      <c r="BH274" t="str">
        <f xml:space="preserve"> IF($BF$274 &gt;= $G$204, "1","0")</f>
        <v>1</v>
      </c>
      <c r="BI274">
        <f xml:space="preserve"> IF( AND( $BG$274 = "1", $BH$274 = "1" ), 1, IF( AND( $BG$274 = "1", $BH$274 = "0" ), 2, IF( AND( $BG$274 = "0", $BH$274 = "1" ), 3, 4 ) ) )</f>
        <v>3</v>
      </c>
      <c r="BK274" s="1">
        <v>1.8947368421052633E-2</v>
      </c>
      <c r="BL274" t="str">
        <f>"0"</f>
        <v>0</v>
      </c>
      <c r="BM274" t="str">
        <f xml:space="preserve"> IF($BK$274 &gt;= $G$281, "1","0")</f>
        <v>0</v>
      </c>
      <c r="BN274">
        <f xml:space="preserve"> IF( AND( $BL$274 = "1", $BM$274 = "1" ), 1, IF( AND( $BL$274 = "1", $BM$274 = "0" ), 2, IF( AND( $BL$274 = "0", $BM$274 = "1" ), 3, 4 ) ) )</f>
        <v>4</v>
      </c>
    </row>
    <row r="275" spans="2:66" x14ac:dyDescent="0.25">
      <c r="C275" s="24">
        <v>45</v>
      </c>
      <c r="D275" s="24">
        <v>11</v>
      </c>
      <c r="E275" s="24">
        <v>43</v>
      </c>
      <c r="F275" s="24" t="s">
        <v>181</v>
      </c>
      <c r="G275" s="24" t="s">
        <v>181</v>
      </c>
      <c r="H275" s="24" t="s">
        <v>181</v>
      </c>
      <c r="I275" s="24" t="s">
        <v>181</v>
      </c>
      <c r="J275" s="24">
        <v>23</v>
      </c>
      <c r="K275" s="24">
        <v>4.8387096774193551E-3</v>
      </c>
      <c r="L275" s="24">
        <v>1</v>
      </c>
      <c r="M275" s="24" t="s">
        <v>183</v>
      </c>
      <c r="BF275" s="1">
        <v>0.5625</v>
      </c>
      <c r="BG275" t="str">
        <f>"0"</f>
        <v>0</v>
      </c>
      <c r="BH275" t="str">
        <f xml:space="preserve"> IF($BF$275 &gt;= $G$204, "1","0")</f>
        <v>1</v>
      </c>
      <c r="BI275">
        <f xml:space="preserve"> IF( AND( $BG$275 = "1", $BH$275 = "1" ), 1, IF( AND( $BG$275 = "1", $BH$275 = "0" ), 2, IF( AND( $BG$275 = "0", $BH$275 = "1" ), 3, 4 ) ) )</f>
        <v>3</v>
      </c>
      <c r="BK275" s="1">
        <v>0</v>
      </c>
      <c r="BL275" t="str">
        <f>"0"</f>
        <v>0</v>
      </c>
      <c r="BM275" t="str">
        <f xml:space="preserve"> IF($BK$275 &gt;= $G$281, "1","0")</f>
        <v>0</v>
      </c>
      <c r="BN275">
        <f xml:space="preserve"> IF( AND( $BL$275 = "1", $BM$275 = "1" ), 1, IF( AND( $BL$275 = "1", $BM$275 = "0" ), 2, IF( AND( $BL$275 = "0", $BM$275 = "1" ), 3, 4 ) ) )</f>
        <v>4</v>
      </c>
    </row>
    <row r="276" spans="2:66" x14ac:dyDescent="0.25">
      <c r="C276" s="24">
        <v>46</v>
      </c>
      <c r="D276" s="24">
        <v>11</v>
      </c>
      <c r="E276" s="24">
        <v>43</v>
      </c>
      <c r="F276" s="24" t="s">
        <v>181</v>
      </c>
      <c r="G276" s="24" t="s">
        <v>181</v>
      </c>
      <c r="H276" s="24" t="s">
        <v>181</v>
      </c>
      <c r="I276" s="24" t="s">
        <v>181</v>
      </c>
      <c r="J276" s="24">
        <v>3</v>
      </c>
      <c r="K276" s="24">
        <v>1.0752688172043011E-3</v>
      </c>
      <c r="L276" s="24">
        <v>0</v>
      </c>
      <c r="M276" s="24" t="s">
        <v>183</v>
      </c>
      <c r="BF276" s="1">
        <v>0.5625</v>
      </c>
      <c r="BG276" t="str">
        <f>"0"</f>
        <v>0</v>
      </c>
      <c r="BH276" t="str">
        <f xml:space="preserve"> IF($BF$276 &gt;= $G$204, "1","0")</f>
        <v>1</v>
      </c>
      <c r="BI276">
        <f xml:space="preserve"> IF( AND( $BG$276 = "1", $BH$276 = "1" ), 1, IF( AND( $BG$276 = "1", $BH$276 = "0" ), 2, IF( AND( $BG$276 = "0", $BH$276 = "1" ), 3, 4 ) ) )</f>
        <v>3</v>
      </c>
      <c r="BK276" s="1">
        <v>0.14285714285714288</v>
      </c>
      <c r="BL276" t="str">
        <f>"0"</f>
        <v>0</v>
      </c>
      <c r="BM276" t="str">
        <f xml:space="preserve"> IF($BK$276 &gt;= $G$281, "1","0")</f>
        <v>0</v>
      </c>
      <c r="BN276">
        <f xml:space="preserve"> IF( AND( $BL$276 = "1", $BM$276 = "1" ), 1, IF( AND( $BL$276 = "1", $BM$276 = "0" ), 2, IF( AND( $BL$276 = "0", $BM$276 = "1" ), 3, 4 ) ) )</f>
        <v>4</v>
      </c>
    </row>
    <row r="277" spans="2:66" x14ac:dyDescent="0.25">
      <c r="BF277" s="1">
        <v>0.5625</v>
      </c>
      <c r="BG277" t="str">
        <f>"0"</f>
        <v>0</v>
      </c>
      <c r="BH277" t="str">
        <f xml:space="preserve"> IF($BF$277 &gt;= $G$204, "1","0")</f>
        <v>1</v>
      </c>
      <c r="BI277">
        <f xml:space="preserve"> IF( AND( $BG$277 = "1", $BH$277 = "1" ), 1, IF( AND( $BG$277 = "1", $BH$277 = "0" ), 2, IF( AND( $BG$277 = "0", $BH$277 = "1" ), 3, 4 ) ) )</f>
        <v>3</v>
      </c>
      <c r="BK277" s="1">
        <v>1.8947368421052633E-2</v>
      </c>
      <c r="BL277" t="str">
        <f>"0"</f>
        <v>0</v>
      </c>
      <c r="BM277" t="str">
        <f xml:space="preserve"> IF($BK$277 &gt;= $G$281, "1","0")</f>
        <v>0</v>
      </c>
      <c r="BN277">
        <f xml:space="preserve"> IF( AND( $BL$277 = "1", $BM$277 = "1" ), 1, IF( AND( $BL$277 = "1", $BM$277 = "0" ), 2, IF( AND( $BL$277 = "0", $BM$277 = "1" ), 3, 4 ) ) )</f>
        <v>4</v>
      </c>
    </row>
    <row r="278" spans="2:66" x14ac:dyDescent="0.25">
      <c r="BF278" s="1">
        <v>0.5625</v>
      </c>
      <c r="BG278" t="str">
        <f>"0"</f>
        <v>0</v>
      </c>
      <c r="BH278" t="str">
        <f xml:space="preserve"> IF($BF$278 &gt;= $G$204, "1","0")</f>
        <v>1</v>
      </c>
      <c r="BI278">
        <f xml:space="preserve"> IF( AND( $BG$278 = "1", $BH$278 = "1" ), 1, IF( AND( $BG$278 = "1", $BH$278 = "0" ), 2, IF( AND( $BG$278 = "0", $BH$278 = "1" ), 3, 4 ) ) )</f>
        <v>3</v>
      </c>
      <c r="BK278" s="1">
        <v>1</v>
      </c>
      <c r="BL278" t="str">
        <f>"1"</f>
        <v>1</v>
      </c>
      <c r="BM278" t="str">
        <f xml:space="preserve"> IF($BK$278 &gt;= $G$281, "1","0")</f>
        <v>1</v>
      </c>
      <c r="BN278">
        <f xml:space="preserve"> IF( AND( $BL$278 = "1", $BM$278 = "1" ), 1, IF( AND( $BL$278 = "1", $BM$278 = "0" ), 2, IF( AND( $BL$278 = "0", $BM$278 = "1" ), 3, 4 ) ) )</f>
        <v>1</v>
      </c>
    </row>
    <row r="279" spans="2:66" ht="18.75" x14ac:dyDescent="0.3">
      <c r="B279" s="22" t="s">
        <v>200</v>
      </c>
      <c r="BF279" s="1">
        <v>0.5625</v>
      </c>
      <c r="BG279" t="str">
        <f>"0"</f>
        <v>0</v>
      </c>
      <c r="BH279" t="str">
        <f xml:space="preserve"> IF($BF$279 &gt;= $G$204, "1","0")</f>
        <v>1</v>
      </c>
      <c r="BI279">
        <f xml:space="preserve"> IF( AND( $BG$279 = "1", $BH$279 = "1" ), 1, IF( AND( $BG$279 = "1", $BH$279 = "0" ), 2, IF( AND( $BG$279 = "0", $BH$279 = "1" ), 3, 4 ) ) )</f>
        <v>3</v>
      </c>
      <c r="BK279" s="1">
        <v>2.5000000000000001E-3</v>
      </c>
      <c r="BL279" t="str">
        <f>"0"</f>
        <v>0</v>
      </c>
      <c r="BM279" t="str">
        <f xml:space="preserve"> IF($BK$279 &gt;= $G$281, "1","0")</f>
        <v>0</v>
      </c>
      <c r="BN279">
        <f xml:space="preserve"> IF( AND( $BL$279 = "1", $BM$279 = "1" ), 1, IF( AND( $BL$279 = "1", $BM$279 = "0" ), 2, IF( AND( $BL$279 = "0", $BM$279 = "1" ), 3, 4 ) ) )</f>
        <v>4</v>
      </c>
    </row>
    <row r="280" spans="2:66" x14ac:dyDescent="0.25">
      <c r="BF280" s="1">
        <v>0</v>
      </c>
      <c r="BG280" t="str">
        <f>"0"</f>
        <v>0</v>
      </c>
      <c r="BH280" t="str">
        <f xml:space="preserve"> IF($BF$280 &gt;= $G$204, "1","0")</f>
        <v>0</v>
      </c>
      <c r="BI280">
        <f xml:space="preserve"> IF( AND( $BG$280 = "1", $BH$280 = "1" ), 1, IF( AND( $BG$280 = "1", $BH$280 = "0" ), 2, IF( AND( $BG$280 = "0", $BH$280 = "1" ), 3, 4 ) ) )</f>
        <v>4</v>
      </c>
      <c r="BK280" s="1">
        <v>1.8947368421052633E-2</v>
      </c>
      <c r="BL280" t="str">
        <f>"0"</f>
        <v>0</v>
      </c>
      <c r="BM280" t="str">
        <f xml:space="preserve"> IF($BK$280 &gt;= $G$281, "1","0")</f>
        <v>0</v>
      </c>
      <c r="BN280">
        <f xml:space="preserve"> IF( AND( $BL$280 = "1", $BM$280 = "1" ), 1, IF( AND( $BL$280 = "1", $BM$280 = "0" ), 2, IF( AND( $BL$280 = "0", $BM$280 = "1" ), 3, 4 ) ) )</f>
        <v>4</v>
      </c>
    </row>
    <row r="281" spans="2:66" x14ac:dyDescent="0.25">
      <c r="C281" s="19" t="s">
        <v>130</v>
      </c>
      <c r="D281" s="20"/>
      <c r="E281" s="20"/>
      <c r="F281" s="21"/>
      <c r="G281" s="15">
        <v>0.25</v>
      </c>
      <c r="H281" s="19" t="s">
        <v>185</v>
      </c>
      <c r="I281" s="20"/>
      <c r="J281" s="20"/>
      <c r="K281" s="20"/>
      <c r="L281" s="20"/>
      <c r="M281" s="21"/>
      <c r="BF281" s="1">
        <v>0</v>
      </c>
      <c r="BG281" t="str">
        <f>"0"</f>
        <v>0</v>
      </c>
      <c r="BH281" t="str">
        <f xml:space="preserve"> IF($BF$281 &gt;= $G$204, "1","0")</f>
        <v>0</v>
      </c>
      <c r="BI281">
        <f xml:space="preserve"> IF( AND( $BG$281 = "1", $BH$281 = "1" ), 1, IF( AND( $BG$281 = "1", $BH$281 = "0" ), 2, IF( AND( $BG$281 = "0", $BH$281 = "1" ), 3, 4 ) ) )</f>
        <v>4</v>
      </c>
      <c r="BK281" s="1">
        <v>3.333333333333334E-2</v>
      </c>
      <c r="BL281" t="str">
        <f>"0"</f>
        <v>0</v>
      </c>
      <c r="BM281" t="str">
        <f xml:space="preserve"> IF($BK$281 &gt;= $G$281, "1","0")</f>
        <v>0</v>
      </c>
      <c r="BN281">
        <f xml:space="preserve"> IF( AND( $BL$281 = "1", $BM$281 = "1" ), 1, IF( AND( $BL$281 = "1", $BM$281 = "0" ), 2, IF( AND( $BL$281 = "0", $BM$281 = "1" ), 3, 4 ) ) )</f>
        <v>4</v>
      </c>
    </row>
    <row r="282" spans="2:66" x14ac:dyDescent="0.25">
      <c r="BF282" s="1">
        <v>0</v>
      </c>
      <c r="BG282" t="str">
        <f>"0"</f>
        <v>0</v>
      </c>
      <c r="BH282" t="str">
        <f xml:space="preserve"> IF($BF$282 &gt;= $G$204, "1","0")</f>
        <v>0</v>
      </c>
      <c r="BI282">
        <f xml:space="preserve"> IF( AND( $BG$282 = "1", $BH$282 = "1" ), 1, IF( AND( $BG$282 = "1", $BH$282 = "0" ), 2, IF( AND( $BG$282 = "0", $BH$282 = "1" ), 3, 4 ) ) )</f>
        <v>4</v>
      </c>
      <c r="BK282" s="1">
        <v>0.5625</v>
      </c>
      <c r="BL282" t="str">
        <f>"0"</f>
        <v>0</v>
      </c>
      <c r="BM282" t="str">
        <f xml:space="preserve"> IF($BK$282 &gt;= $G$281, "1","0")</f>
        <v>1</v>
      </c>
      <c r="BN282">
        <f xml:space="preserve"> IF( AND( $BL$282 = "1", $BM$282 = "1" ), 1, IF( AND( $BL$282 = "1", $BM$282 = "0" ), 2, IF( AND( $BL$282 = "0", $BM$282 = "1" ), 3, 4 ) ) )</f>
        <v>3</v>
      </c>
    </row>
    <row r="283" spans="2:66" ht="15.75" x14ac:dyDescent="0.25">
      <c r="C283" s="9" t="s">
        <v>186</v>
      </c>
      <c r="D283" s="10"/>
      <c r="E283" s="11"/>
      <c r="BF283" s="1">
        <v>0</v>
      </c>
      <c r="BG283" t="str">
        <f>"0"</f>
        <v>0</v>
      </c>
      <c r="BH283" t="str">
        <f xml:space="preserve"> IF($BF$283 &gt;= $G$204, "1","0")</f>
        <v>0</v>
      </c>
      <c r="BI283">
        <f xml:space="preserve"> IF( AND( $BG$283 = "1", $BH$283 = "1" ), 1, IF( AND( $BG$283 = "1", $BH$283 = "0" ), 2, IF( AND( $BG$283 = "0", $BH$283 = "1" ), 3, 4 ) ) )</f>
        <v>4</v>
      </c>
      <c r="BK283" s="1">
        <v>0</v>
      </c>
      <c r="BL283" t="str">
        <f>"0"</f>
        <v>0</v>
      </c>
      <c r="BM283" t="str">
        <f xml:space="preserve"> IF($BK$283 &gt;= $G$281, "1","0")</f>
        <v>0</v>
      </c>
      <c r="BN283">
        <f xml:space="preserve"> IF( AND( $BL$283 = "1", $BM$283 = "1" ), 1, IF( AND( $BL$283 = "1", $BM$283 = "0" ), 2, IF( AND( $BL$283 = "0", $BM$283 = "1" ), 3, 4 ) ) )</f>
        <v>4</v>
      </c>
    </row>
    <row r="284" spans="2:66" x14ac:dyDescent="0.25">
      <c r="C284" s="2"/>
      <c r="D284" s="30" t="s">
        <v>187</v>
      </c>
      <c r="E284" s="32"/>
      <c r="BF284" s="1">
        <v>0</v>
      </c>
      <c r="BG284" t="str">
        <f>"0"</f>
        <v>0</v>
      </c>
      <c r="BH284" t="str">
        <f xml:space="preserve"> IF($BF$284 &gt;= $G$204, "1","0")</f>
        <v>0</v>
      </c>
      <c r="BI284">
        <f xml:space="preserve"> IF( AND( $BG$284 = "1", $BH$284 = "1" ), 1, IF( AND( $BG$284 = "1", $BH$284 = "0" ), 2, IF( AND( $BG$284 = "0", $BH$284 = "1" ), 3, 4 ) ) )</f>
        <v>4</v>
      </c>
      <c r="BK284" s="1">
        <v>1.8947368421052633E-2</v>
      </c>
      <c r="BL284" t="str">
        <f>"0"</f>
        <v>0</v>
      </c>
      <c r="BM284" t="str">
        <f xml:space="preserve"> IF($BK$284 &gt;= $G$281, "1","0")</f>
        <v>0</v>
      </c>
      <c r="BN284">
        <f xml:space="preserve"> IF( AND( $BL$284 = "1", $BM$284 = "1" ), 1, IF( AND( $BL$284 = "1", $BM$284 = "0" ), 2, IF( AND( $BL$284 = "0", $BM$284 = "1" ), 3, 4 ) ) )</f>
        <v>4</v>
      </c>
    </row>
    <row r="285" spans="2:66" x14ac:dyDescent="0.25">
      <c r="C285" s="3" t="s">
        <v>188</v>
      </c>
      <c r="D285" s="2">
        <v>1</v>
      </c>
      <c r="E285" s="2">
        <v>0</v>
      </c>
      <c r="BF285" s="1">
        <v>0</v>
      </c>
      <c r="BG285" t="str">
        <f>"0"</f>
        <v>0</v>
      </c>
      <c r="BH285" t="str">
        <f xml:space="preserve"> IF($BF$285 &gt;= $G$204, "1","0")</f>
        <v>0</v>
      </c>
      <c r="BI285">
        <f xml:space="preserve"> IF( AND( $BG$285 = "1", $BH$285 = "1" ), 1, IF( AND( $BG$285 = "1", $BH$285 = "0" ), 2, IF( AND( $BG$285 = "0", $BH$285 = "1" ), 3, 4 ) ) )</f>
        <v>4</v>
      </c>
      <c r="BK285" s="1">
        <v>2.5000000000000001E-3</v>
      </c>
      <c r="BL285" t="str">
        <f>"0"</f>
        <v>0</v>
      </c>
      <c r="BM285" t="str">
        <f xml:space="preserve"> IF($BK$285 &gt;= $G$281, "1","0")</f>
        <v>0</v>
      </c>
      <c r="BN285">
        <f xml:space="preserve"> IF( AND( $BL$285 = "1", $BM$285 = "1" ), 1, IF( AND( $BL$285 = "1", $BM$285 = "0" ), 2, IF( AND( $BL$285 = "0", $BM$285 = "1" ), 3, 4 ) ) )</f>
        <v>4</v>
      </c>
    </row>
    <row r="286" spans="2:66" x14ac:dyDescent="0.25">
      <c r="C286" s="3">
        <v>1</v>
      </c>
      <c r="D286" s="1">
        <f xml:space="preserve"> COUNTIF( $BN$1:$BN$1240, 1 )</f>
        <v>316</v>
      </c>
      <c r="E286" s="1">
        <f xml:space="preserve"> COUNTIF( $BN$1:$BN$1240, 2 )</f>
        <v>26</v>
      </c>
      <c r="BF286" s="1">
        <v>0</v>
      </c>
      <c r="BG286" t="str">
        <f>"0"</f>
        <v>0</v>
      </c>
      <c r="BH286" t="str">
        <f xml:space="preserve"> IF($BF$286 &gt;= $G$204, "1","0")</f>
        <v>0</v>
      </c>
      <c r="BI286">
        <f xml:space="preserve"> IF( AND( $BG$286 = "1", $BH$286 = "1" ), 1, IF( AND( $BG$286 = "1", $BH$286 = "0" ), 2, IF( AND( $BG$286 = "0", $BH$286 = "1" ), 3, 4 ) ) )</f>
        <v>4</v>
      </c>
      <c r="BK286" s="1">
        <v>1.8947368421052633E-2</v>
      </c>
      <c r="BL286" t="str">
        <f>"0"</f>
        <v>0</v>
      </c>
      <c r="BM286" t="str">
        <f xml:space="preserve"> IF($BK$286 &gt;= $G$281, "1","0")</f>
        <v>0</v>
      </c>
      <c r="BN286">
        <f xml:space="preserve"> IF( AND( $BL$286 = "1", $BM$286 = "1" ), 1, IF( AND( $BL$286 = "1", $BM$286 = "0" ), 2, IF( AND( $BL$286 = "0", $BM$286 = "1" ), 3, 4 ) ) )</f>
        <v>4</v>
      </c>
    </row>
    <row r="287" spans="2:66" x14ac:dyDescent="0.25">
      <c r="C287" s="3">
        <v>0</v>
      </c>
      <c r="D287" s="1">
        <f xml:space="preserve"> COUNTIF( $BN$1:$BN$1240, 3 )</f>
        <v>94</v>
      </c>
      <c r="E287" s="1">
        <f xml:space="preserve"> COUNTIF( $BN$1:$BN$1240, 4 )</f>
        <v>804</v>
      </c>
      <c r="BF287" s="1">
        <v>0</v>
      </c>
      <c r="BG287" t="str">
        <f>"0"</f>
        <v>0</v>
      </c>
      <c r="BH287" t="str">
        <f xml:space="preserve"> IF($BF$287 &gt;= $G$204, "1","0")</f>
        <v>0</v>
      </c>
      <c r="BI287">
        <f xml:space="preserve"> IF( AND( $BG$287 = "1", $BH$287 = "1" ), 1, IF( AND( $BG$287 = "1", $BH$287 = "0" ), 2, IF( AND( $BG$287 = "0", $BH$287 = "1" ), 3, 4 ) ) )</f>
        <v>4</v>
      </c>
      <c r="BK287" s="1">
        <v>2.5000000000000001E-3</v>
      </c>
      <c r="BL287" t="str">
        <f>"0"</f>
        <v>0</v>
      </c>
      <c r="BM287" t="str">
        <f xml:space="preserve"> IF($BK$287 &gt;= $G$281, "1","0")</f>
        <v>0</v>
      </c>
      <c r="BN287">
        <f xml:space="preserve"> IF( AND( $BL$287 = "1", $BM$287 = "1" ), 1, IF( AND( $BL$287 = "1", $BM$287 = "0" ), 2, IF( AND( $BL$287 = "0", $BM$287 = "1" ), 3, 4 ) ) )</f>
        <v>4</v>
      </c>
    </row>
    <row r="288" spans="2:66" x14ac:dyDescent="0.25">
      <c r="BF288" s="1">
        <v>0</v>
      </c>
      <c r="BG288" t="str">
        <f>"0"</f>
        <v>0</v>
      </c>
      <c r="BH288" t="str">
        <f xml:space="preserve"> IF($BF$288 &gt;= $G$204, "1","0")</f>
        <v>0</v>
      </c>
      <c r="BI288">
        <f xml:space="preserve"> IF( AND( $BG$288 = "1", $BH$288 = "1" ), 1, IF( AND( $BG$288 = "1", $BH$288 = "0" ), 2, IF( AND( $BG$288 = "0", $BH$288 = "1" ), 3, 4 ) ) )</f>
        <v>4</v>
      </c>
      <c r="BK288" s="1">
        <v>2.5000000000000001E-3</v>
      </c>
      <c r="BL288" t="str">
        <f>"0"</f>
        <v>0</v>
      </c>
      <c r="BM288" t="str">
        <f xml:space="preserve"> IF($BK$288 &gt;= $G$281, "1","0")</f>
        <v>0</v>
      </c>
      <c r="BN288">
        <f xml:space="preserve"> IF( AND( $BL$288 = "1", $BM$288 = "1" ), 1, IF( AND( $BL$288 = "1", $BM$288 = "0" ), 2, IF( AND( $BL$288 = "0", $BM$288 = "1" ), 3, 4 ) ) )</f>
        <v>4</v>
      </c>
    </row>
    <row r="289" spans="3:66" ht="15.75" x14ac:dyDescent="0.25">
      <c r="C289" s="9" t="s">
        <v>189</v>
      </c>
      <c r="D289" s="10"/>
      <c r="E289" s="10"/>
      <c r="F289" s="11"/>
      <c r="BF289" s="1">
        <v>0</v>
      </c>
      <c r="BG289" t="str">
        <f>"0"</f>
        <v>0</v>
      </c>
      <c r="BH289" t="str">
        <f xml:space="preserve"> IF($BF$289 &gt;= $G$204, "1","0")</f>
        <v>0</v>
      </c>
      <c r="BI289">
        <f xml:space="preserve"> IF( AND( $BG$289 = "1", $BH$289 = "1" ), 1, IF( AND( $BG$289 = "1", $BH$289 = "0" ), 2, IF( AND( $BG$289 = "0", $BH$289 = "1" ), 3, 4 ) ) )</f>
        <v>4</v>
      </c>
      <c r="BK289" s="1">
        <v>1.8947368421052633E-2</v>
      </c>
      <c r="BL289" t="str">
        <f>"0"</f>
        <v>0</v>
      </c>
      <c r="BM289" t="str">
        <f xml:space="preserve"> IF($BK$289 &gt;= $G$281, "1","0")</f>
        <v>0</v>
      </c>
      <c r="BN289">
        <f xml:space="preserve"> IF( AND( $BL$289 = "1", $BM$289 = "1" ), 1, IF( AND( $BL$289 = "1", $BM$289 = "0" ), 2, IF( AND( $BL$289 = "0", $BM$289 = "1" ), 3, 4 ) ) )</f>
        <v>4</v>
      </c>
    </row>
    <row r="290" spans="3:66" x14ac:dyDescent="0.25">
      <c r="C290" s="2" t="s">
        <v>13</v>
      </c>
      <c r="D290" s="2" t="s">
        <v>190</v>
      </c>
      <c r="E290" s="2" t="s">
        <v>191</v>
      </c>
      <c r="F290" s="2" t="s">
        <v>121</v>
      </c>
      <c r="BF290" s="1">
        <v>0</v>
      </c>
      <c r="BG290" t="str">
        <f>"0"</f>
        <v>0</v>
      </c>
      <c r="BH290" t="str">
        <f xml:space="preserve"> IF($BF$290 &gt;= $G$204, "1","0")</f>
        <v>0</v>
      </c>
      <c r="BI290">
        <f xml:space="preserve"> IF( AND( $BG$290 = "1", $BH$290 = "1" ), 1, IF( AND( $BG$290 = "1", $BH$290 = "0" ), 2, IF( AND( $BG$290 = "0", $BH$290 = "1" ), 3, 4 ) ) )</f>
        <v>4</v>
      </c>
      <c r="BK290" s="1">
        <v>0.68181818181818188</v>
      </c>
      <c r="BL290" t="str">
        <f>"1"</f>
        <v>1</v>
      </c>
      <c r="BM290" t="str">
        <f xml:space="preserve"> IF($BK$290 &gt;= $G$281, "1","0")</f>
        <v>1</v>
      </c>
      <c r="BN290">
        <f xml:space="preserve"> IF( AND( $BL$290 = "1", $BM$290 = "1" ), 1, IF( AND( $BL$290 = "1", $BM$290 = "0" ), 2, IF( AND( $BL$290 = "0", $BM$290 = "1" ), 3, 4 ) ) )</f>
        <v>1</v>
      </c>
    </row>
    <row r="291" spans="3:66" x14ac:dyDescent="0.25">
      <c r="C291" s="3">
        <v>1</v>
      </c>
      <c r="D291" s="1">
        <f>SUM($D$286:$E$286)</f>
        <v>342</v>
      </c>
      <c r="E291" s="1">
        <f>SUM($D$286:$E$286) - $D$286</f>
        <v>26</v>
      </c>
      <c r="F291" s="1">
        <f>IF($D$291=0,"Undefined",(($E$291)*100) / ($D$291))</f>
        <v>7.60233918128655</v>
      </c>
      <c r="BF291" s="1">
        <v>0</v>
      </c>
      <c r="BG291" t="str">
        <f>"0"</f>
        <v>0</v>
      </c>
      <c r="BH291" t="str">
        <f xml:space="preserve"> IF($BF$291 &gt;= $G$204, "1","0")</f>
        <v>0</v>
      </c>
      <c r="BI291">
        <f xml:space="preserve"> IF( AND( $BG$291 = "1", $BH$291 = "1" ), 1, IF( AND( $BG$291 = "1", $BH$291 = "0" ), 2, IF( AND( $BG$291 = "0", $BH$291 = "1" ), 3, 4 ) ) )</f>
        <v>4</v>
      </c>
      <c r="BK291" s="1">
        <v>0.14285714285714285</v>
      </c>
      <c r="BL291" t="str">
        <f>"0"</f>
        <v>0</v>
      </c>
      <c r="BM291" t="str">
        <f xml:space="preserve"> IF($BK$291 &gt;= $G$281, "1","0")</f>
        <v>0</v>
      </c>
      <c r="BN291">
        <f xml:space="preserve"> IF( AND( $BL$291 = "1", $BM$291 = "1" ), 1, IF( AND( $BL$291 = "1", $BM$291 = "0" ), 2, IF( AND( $BL$291 = "0", $BM$291 = "1" ), 3, 4 ) ) )</f>
        <v>4</v>
      </c>
    </row>
    <row r="292" spans="3:66" x14ac:dyDescent="0.25">
      <c r="C292" s="3">
        <v>0</v>
      </c>
      <c r="D292" s="1">
        <f>SUM($D$287:$E$287)</f>
        <v>898</v>
      </c>
      <c r="E292" s="1">
        <f>SUM($D$287:$E$287) - $E$287</f>
        <v>94</v>
      </c>
      <c r="F292" s="1">
        <f>IF($D$292=0,"Undefined",(($E$292)*100) / ($D$292))</f>
        <v>10.46770601336303</v>
      </c>
      <c r="BF292" s="1">
        <v>0</v>
      </c>
      <c r="BG292" t="str">
        <f>"0"</f>
        <v>0</v>
      </c>
      <c r="BH292" t="str">
        <f xml:space="preserve"> IF($BF$292 &gt;= $G$204, "1","0")</f>
        <v>0</v>
      </c>
      <c r="BI292">
        <f xml:space="preserve"> IF( AND( $BG$292 = "1", $BH$292 = "1" ), 1, IF( AND( $BG$292 = "1", $BH$292 = "0" ), 2, IF( AND( $BG$292 = "0", $BH$292 = "1" ), 3, 4 ) ) )</f>
        <v>4</v>
      </c>
      <c r="BK292" s="1">
        <v>2.5000000000000001E-3</v>
      </c>
      <c r="BL292" t="str">
        <f>"0"</f>
        <v>0</v>
      </c>
      <c r="BM292" t="str">
        <f xml:space="preserve"> IF($BK$292 &gt;= $G$281, "1","0")</f>
        <v>0</v>
      </c>
      <c r="BN292">
        <f xml:space="preserve"> IF( AND( $BL$292 = "1", $BM$292 = "1" ), 1, IF( AND( $BL$292 = "1", $BM$292 = "0" ), 2, IF( AND( $BL$292 = "0", $BM$292 = "1" ), 3, 4 ) ) )</f>
        <v>4</v>
      </c>
    </row>
    <row r="293" spans="3:66" x14ac:dyDescent="0.25">
      <c r="C293" s="3" t="s">
        <v>192</v>
      </c>
      <c r="D293" s="1">
        <f>SUM($D$291:$D$292)</f>
        <v>1240</v>
      </c>
      <c r="E293" s="1">
        <f>SUM($E$291:$E$292)</f>
        <v>120</v>
      </c>
      <c r="F293" s="1">
        <f>IF($D$293=0,"Undefined",(($E$293)*100) / ($D$293))</f>
        <v>9.67741935483871</v>
      </c>
      <c r="BF293" s="1">
        <v>0</v>
      </c>
      <c r="BG293" t="str">
        <f>"0"</f>
        <v>0</v>
      </c>
      <c r="BH293" t="str">
        <f xml:space="preserve"> IF($BF$293 &gt;= $G$204, "1","0")</f>
        <v>0</v>
      </c>
      <c r="BI293">
        <f xml:space="preserve"> IF( AND( $BG$293 = "1", $BH$293 = "1" ), 1, IF( AND( $BG$293 = "1", $BH$293 = "0" ), 2, IF( AND( $BG$293 = "0", $BH$293 = "1" ), 3, 4 ) ) )</f>
        <v>4</v>
      </c>
      <c r="BK293" s="1">
        <v>1.8947368421052633E-2</v>
      </c>
      <c r="BL293" t="str">
        <f>"0"</f>
        <v>0</v>
      </c>
      <c r="BM293" t="str">
        <f xml:space="preserve"> IF($BK$293 &gt;= $G$281, "1","0")</f>
        <v>0</v>
      </c>
      <c r="BN293">
        <f xml:space="preserve"> IF( AND( $BL$293 = "1", $BM$293 = "1" ), 1, IF( AND( $BL$293 = "1", $BM$293 = "0" ), 2, IF( AND( $BL$293 = "0", $BM$293 = "1" ), 3, 4 ) ) )</f>
        <v>4</v>
      </c>
    </row>
    <row r="294" spans="3:66" x14ac:dyDescent="0.25">
      <c r="BF294" s="1">
        <v>0</v>
      </c>
      <c r="BG294" t="str">
        <f>"0"</f>
        <v>0</v>
      </c>
      <c r="BH294" t="str">
        <f xml:space="preserve"> IF($BF$294 &gt;= $G$204, "1","0")</f>
        <v>0</v>
      </c>
      <c r="BI294">
        <f xml:space="preserve"> IF( AND( $BG$294 = "1", $BH$294 = "1" ), 1, IF( AND( $BG$294 = "1", $BH$294 = "0" ), 2, IF( AND( $BG$294 = "0", $BH$294 = "1" ), 3, 4 ) ) )</f>
        <v>4</v>
      </c>
      <c r="BK294" s="1">
        <v>2.5000000000000001E-3</v>
      </c>
      <c r="BL294" t="str">
        <f>"0"</f>
        <v>0</v>
      </c>
      <c r="BM294" t="str">
        <f xml:space="preserve"> IF($BK$294 &gt;= $G$281, "1","0")</f>
        <v>0</v>
      </c>
      <c r="BN294">
        <f xml:space="preserve"> IF( AND( $BL$294 = "1", $BM$294 = "1" ), 1, IF( AND( $BL$294 = "1", $BM$294 = "0" ), 2, IF( AND( $BL$294 = "0", $BM$294 = "1" ), 3, 4 ) ) )</f>
        <v>4</v>
      </c>
    </row>
    <row r="295" spans="3:66" ht="15.75" x14ac:dyDescent="0.25">
      <c r="C295" s="9" t="s">
        <v>193</v>
      </c>
      <c r="D295" s="10"/>
      <c r="E295" s="11"/>
      <c r="BF295" s="1">
        <v>0</v>
      </c>
      <c r="BG295" t="str">
        <f>"0"</f>
        <v>0</v>
      </c>
      <c r="BH295" t="str">
        <f xml:space="preserve"> IF($BF$295 &gt;= $G$204, "1","0")</f>
        <v>0</v>
      </c>
      <c r="BI295">
        <f xml:space="preserve"> IF( AND( $BG$295 = "1", $BH$295 = "1" ), 1, IF( AND( $BG$295 = "1", $BH$295 = "0" ), 2, IF( AND( $BG$295 = "0", $BH$295 = "1" ), 3, 4 ) ) )</f>
        <v>4</v>
      </c>
      <c r="BK295" s="1">
        <v>0.14285714285714288</v>
      </c>
      <c r="BL295" t="str">
        <f>"0"</f>
        <v>0</v>
      </c>
      <c r="BM295" t="str">
        <f xml:space="preserve"> IF($BK$295 &gt;= $G$281, "1","0")</f>
        <v>0</v>
      </c>
      <c r="BN295">
        <f xml:space="preserve"> IF( AND( $BL$295 = "1", $BM$295 = "1" ), 1, IF( AND( $BL$295 = "1", $BM$295 = "0" ), 2, IF( AND( $BL$295 = "0", $BM$295 = "1" ), 3, 4 ) ) )</f>
        <v>4</v>
      </c>
    </row>
    <row r="296" spans="3:66" x14ac:dyDescent="0.25">
      <c r="C296" s="13" t="s">
        <v>194</v>
      </c>
      <c r="D296" s="14"/>
      <c r="E296" s="25">
        <v>1</v>
      </c>
      <c r="BF296" s="1">
        <v>0</v>
      </c>
      <c r="BG296" t="str">
        <f>"0"</f>
        <v>0</v>
      </c>
      <c r="BH296" t="str">
        <f xml:space="preserve"> IF($BF$296 &gt;= $G$204, "1","0")</f>
        <v>0</v>
      </c>
      <c r="BI296">
        <f xml:space="preserve"> IF( AND( $BG$296 = "1", $BH$296 = "1" ), 1, IF( AND( $BG$296 = "1", $BH$296 = "0" ), 2, IF( AND( $BG$296 = "0", $BH$296 = "1" ), 3, 4 ) ) )</f>
        <v>4</v>
      </c>
      <c r="BK296" s="1">
        <v>0.64</v>
      </c>
      <c r="BL296" t="str">
        <f>"1"</f>
        <v>1</v>
      </c>
      <c r="BM296" t="str">
        <f xml:space="preserve"> IF($BK$296 &gt;= $G$281, "1","0")</f>
        <v>1</v>
      </c>
      <c r="BN296">
        <f xml:space="preserve"> IF( AND( $BL$296 = "1", $BM$296 = "1" ), 1, IF( AND( $BL$296 = "1", $BM$296 = "0" ), 2, IF( AND( $BL$296 = "0", $BM$296 = "1" ), 3, 4 ) ) )</f>
        <v>1</v>
      </c>
    </row>
    <row r="297" spans="3:66" x14ac:dyDescent="0.25">
      <c r="C297" s="13" t="s">
        <v>195</v>
      </c>
      <c r="D297" s="14"/>
      <c r="E297" s="25">
        <f>IF(($D$286 + $D$287) = 0,"Undefined",$D$286/($D$286 + $D$287))</f>
        <v>0.77073170731707319</v>
      </c>
      <c r="BF297" s="1">
        <v>0</v>
      </c>
      <c r="BG297" t="str">
        <f>"0"</f>
        <v>0</v>
      </c>
      <c r="BH297" t="str">
        <f xml:space="preserve"> IF($BF$297 &gt;= $G$204, "1","0")</f>
        <v>0</v>
      </c>
      <c r="BI297">
        <f xml:space="preserve"> IF( AND( $BG$297 = "1", $BH$297 = "1" ), 1, IF( AND( $BG$297 = "1", $BH$297 = "0" ), 2, IF( AND( $BG$297 = "0", $BH$297 = "1" ), 3, 4 ) ) )</f>
        <v>4</v>
      </c>
      <c r="BK297" s="1">
        <v>1.8947368421052633E-2</v>
      </c>
      <c r="BL297" t="str">
        <f>"0"</f>
        <v>0</v>
      </c>
      <c r="BM297" t="str">
        <f xml:space="preserve"> IF($BK$297 &gt;= $G$281, "1","0")</f>
        <v>0</v>
      </c>
      <c r="BN297">
        <f xml:space="preserve"> IF( AND( $BL$297 = "1", $BM$297 = "1" ), 1, IF( AND( $BL$297 = "1", $BM$297 = "0" ), 2, IF( AND( $BL$297 = "0", $BM$297 = "1" ), 3, 4 ) ) )</f>
        <v>4</v>
      </c>
    </row>
    <row r="298" spans="3:66" x14ac:dyDescent="0.25">
      <c r="C298" s="13" t="s">
        <v>196</v>
      </c>
      <c r="D298" s="14"/>
      <c r="E298" s="25">
        <f>IF(($D$286 + $E$286) = 0,"Undefined",$D$286/($D$286 + $E$286))</f>
        <v>0.92397660818713445</v>
      </c>
      <c r="BF298" s="1">
        <v>0</v>
      </c>
      <c r="BG298" t="str">
        <f>"0"</f>
        <v>0</v>
      </c>
      <c r="BH298" t="str">
        <f xml:space="preserve"> IF($BF$298 &gt;= $G$204, "1","0")</f>
        <v>0</v>
      </c>
      <c r="BI298">
        <f xml:space="preserve"> IF( AND( $BG$298 = "1", $BH$298 = "1" ), 1, IF( AND( $BG$298 = "1", $BH$298 = "0" ), 2, IF( AND( $BG$298 = "0", $BH$298 = "1" ), 3, 4 ) ) )</f>
        <v>4</v>
      </c>
      <c r="BK298" s="1">
        <v>2.5000000000000001E-3</v>
      </c>
      <c r="BL298" t="str">
        <f>"0"</f>
        <v>0</v>
      </c>
      <c r="BM298" t="str">
        <f xml:space="preserve"> IF($BK$298 &gt;= $G$281, "1","0")</f>
        <v>0</v>
      </c>
      <c r="BN298">
        <f xml:space="preserve"> IF( AND( $BL$298 = "1", $BM$298 = "1" ), 1, IF( AND( $BL$298 = "1", $BM$298 = "0" ), 2, IF( AND( $BL$298 = "0", $BM$298 = "1" ), 3, 4 ) ) )</f>
        <v>4</v>
      </c>
    </row>
    <row r="299" spans="3:66" x14ac:dyDescent="0.25">
      <c r="C299" s="13" t="s">
        <v>197</v>
      </c>
      <c r="D299" s="14"/>
      <c r="E299" s="25">
        <f>IF(($D$287 + $E$287) = 0,"Undefined",$E$287/($D$287 + $E$287))</f>
        <v>0.89532293986636968</v>
      </c>
      <c r="BF299" s="1">
        <v>0</v>
      </c>
      <c r="BG299" t="str">
        <f>"0"</f>
        <v>0</v>
      </c>
      <c r="BH299" t="str">
        <f xml:space="preserve"> IF($BF$299 &gt;= $G$204, "1","0")</f>
        <v>0</v>
      </c>
      <c r="BI299">
        <f xml:space="preserve"> IF( AND( $BG$299 = "1", $BH$299 = "1" ), 1, IF( AND( $BG$299 = "1", $BH$299 = "0" ), 2, IF( AND( $BG$299 = "0", $BH$299 = "1" ), 3, 4 ) ) )</f>
        <v>4</v>
      </c>
      <c r="BK299" s="1">
        <v>0.69230769230769229</v>
      </c>
      <c r="BL299" t="str">
        <f>"1"</f>
        <v>1</v>
      </c>
      <c r="BM299" t="str">
        <f xml:space="preserve"> IF($BK$299 &gt;= $G$281, "1","0")</f>
        <v>1</v>
      </c>
      <c r="BN299">
        <f xml:space="preserve"> IF( AND( $BL$299 = "1", $BM$299 = "1" ), 1, IF( AND( $BL$299 = "1", $BM$299 = "0" ), 2, IF( AND( $BL$299 = "0", $BM$299 = "1" ), 3, 4 ) ) )</f>
        <v>1</v>
      </c>
    </row>
    <row r="300" spans="3:66" x14ac:dyDescent="0.25">
      <c r="C300" s="13" t="s">
        <v>198</v>
      </c>
      <c r="D300" s="14"/>
      <c r="E300" s="25">
        <f>IF(OR($E$297="Undefined",$E$298="Undefined"),"Undefined",IF(($E$297+ $E$298)=0,"Undefined",2*$E$297*$E$298/($E$297+$E$298)))</f>
        <v>0.84042553191489366</v>
      </c>
      <c r="BF300" s="1">
        <v>0</v>
      </c>
      <c r="BG300" t="str">
        <f>"0"</f>
        <v>0</v>
      </c>
      <c r="BH300" t="str">
        <f xml:space="preserve"> IF($BF$300 &gt;= $G$204, "1","0")</f>
        <v>0</v>
      </c>
      <c r="BI300">
        <f xml:space="preserve"> IF( AND( $BG$300 = "1", $BH$300 = "1" ), 1, IF( AND( $BG$300 = "1", $BH$300 = "0" ), 2, IF( AND( $BG$300 = "0", $BH$300 = "1" ), 3, 4 ) ) )</f>
        <v>4</v>
      </c>
      <c r="BK300" s="1">
        <v>2.5000000000000001E-3</v>
      </c>
      <c r="BL300" t="str">
        <f>"0"</f>
        <v>0</v>
      </c>
      <c r="BM300" t="str">
        <f xml:space="preserve"> IF($BK$300 &gt;= $G$281, "1","0")</f>
        <v>0</v>
      </c>
      <c r="BN300">
        <f xml:space="preserve"> IF( AND( $BL$300 = "1", $BM$300 = "1" ), 1, IF( AND( $BL$300 = "1", $BM$300 = "0" ), 2, IF( AND( $BL$300 = "0", $BM$300 = "1" ), 3, 4 ) ) )</f>
        <v>4</v>
      </c>
    </row>
    <row r="301" spans="3:66" x14ac:dyDescent="0.25">
      <c r="BF301" s="1">
        <v>0</v>
      </c>
      <c r="BG301" t="str">
        <f>"0"</f>
        <v>0</v>
      </c>
      <c r="BH301" t="str">
        <f xml:space="preserve"> IF($BF$301 &gt;= $G$204, "1","0")</f>
        <v>0</v>
      </c>
      <c r="BI301">
        <f xml:space="preserve"> IF( AND( $BG$301 = "1", $BH$301 = "1" ), 1, IF( AND( $BG$301 = "1", $BH$301 = "0" ), 2, IF( AND( $BG$301 = "0", $BH$301 = "1" ), 3, 4 ) ) )</f>
        <v>4</v>
      </c>
      <c r="BK301" s="1">
        <v>1</v>
      </c>
      <c r="BL301" t="str">
        <f>"1"</f>
        <v>1</v>
      </c>
      <c r="BM301" t="str">
        <f xml:space="preserve"> IF($BK$301 &gt;= $G$281, "1","0")</f>
        <v>1</v>
      </c>
      <c r="BN301">
        <f xml:space="preserve"> IF( AND( $BL$301 = "1", $BM$301 = "1" ), 1, IF( AND( $BL$301 = "1", $BM$301 = "0" ), 2, IF( AND( $BL$301 = "0", $BM$301 = "1" ), 3, 4 ) ) )</f>
        <v>1</v>
      </c>
    </row>
    <row r="302" spans="3:66" x14ac:dyDescent="0.25">
      <c r="BF302" s="1">
        <v>0</v>
      </c>
      <c r="BG302" t="str">
        <f>"0"</f>
        <v>0</v>
      </c>
      <c r="BH302" t="str">
        <f xml:space="preserve"> IF($BF$302 &gt;= $G$204, "1","0")</f>
        <v>0</v>
      </c>
      <c r="BI302">
        <f xml:space="preserve"> IF( AND( $BG$302 = "1", $BH$302 = "1" ), 1, IF( AND( $BG$302 = "1", $BH$302 = "0" ), 2, IF( AND( $BG$302 = "0", $BH$302 = "1" ), 3, 4 ) ) )</f>
        <v>4</v>
      </c>
      <c r="BK302" s="1">
        <v>2.5000000000000001E-3</v>
      </c>
      <c r="BL302" t="str">
        <f>"0"</f>
        <v>0</v>
      </c>
      <c r="BM302" t="str">
        <f xml:space="preserve"> IF($BK$302 &gt;= $G$281, "1","0")</f>
        <v>0</v>
      </c>
      <c r="BN302">
        <f xml:space="preserve"> IF( AND( $BL$302 = "1", $BM$302 = "1" ), 1, IF( AND( $BL$302 = "1", $BM$302 = "0" ), 2, IF( AND( $BL$302 = "0", $BM$302 = "1" ), 3, 4 ) ) )</f>
        <v>4</v>
      </c>
    </row>
    <row r="303" spans="3:66" x14ac:dyDescent="0.25">
      <c r="BF303" s="1">
        <v>0</v>
      </c>
      <c r="BG303" t="str">
        <f>"0"</f>
        <v>0</v>
      </c>
      <c r="BH303" t="str">
        <f xml:space="preserve"> IF($BF$303 &gt;= $G$204, "1","0")</f>
        <v>0</v>
      </c>
      <c r="BI303">
        <f xml:space="preserve"> IF( AND( $BG$303 = "1", $BH$303 = "1" ), 1, IF( AND( $BG$303 = "1", $BH$303 = "0" ), 2, IF( AND( $BG$303 = "0", $BH$303 = "1" ), 3, 4 ) ) )</f>
        <v>4</v>
      </c>
      <c r="BK303" s="1">
        <v>2.5000000000000001E-3</v>
      </c>
      <c r="BL303" t="str">
        <f>"0"</f>
        <v>0</v>
      </c>
      <c r="BM303" t="str">
        <f xml:space="preserve"> IF($BK$303 &gt;= $G$281, "1","0")</f>
        <v>0</v>
      </c>
      <c r="BN303">
        <f xml:space="preserve"> IF( AND( $BL$303 = "1", $BM$303 = "1" ), 1, IF( AND( $BL$303 = "1", $BM$303 = "0" ), 2, IF( AND( $BL$303 = "0", $BM$303 = "1" ), 3, 4 ) ) )</f>
        <v>4</v>
      </c>
    </row>
    <row r="304" spans="3:66" x14ac:dyDescent="0.25">
      <c r="BF304" s="1">
        <v>0</v>
      </c>
      <c r="BG304" t="str">
        <f>"0"</f>
        <v>0</v>
      </c>
      <c r="BH304" t="str">
        <f xml:space="preserve"> IF($BF$304 &gt;= $G$204, "1","0")</f>
        <v>0</v>
      </c>
      <c r="BI304">
        <f xml:space="preserve"> IF( AND( $BG$304 = "1", $BH$304 = "1" ), 1, IF( AND( $BG$304 = "1", $BH$304 = "0" ), 2, IF( AND( $BG$304 = "0", $BH$304 = "1" ), 3, 4 ) ) )</f>
        <v>4</v>
      </c>
      <c r="BK304" s="1">
        <v>1</v>
      </c>
      <c r="BL304" t="str">
        <f>"1"</f>
        <v>1</v>
      </c>
      <c r="BM304" t="str">
        <f xml:space="preserve"> IF($BK$304 &gt;= $G$281, "1","0")</f>
        <v>1</v>
      </c>
      <c r="BN304">
        <f xml:space="preserve"> IF( AND( $BL$304 = "1", $BM$304 = "1" ), 1, IF( AND( $BL$304 = "1", $BM$304 = "0" ), 2, IF( AND( $BL$304 = "0", $BM$304 = "1" ), 3, 4 ) ) )</f>
        <v>1</v>
      </c>
    </row>
    <row r="305" spans="58:66" x14ac:dyDescent="0.25">
      <c r="BF305" s="1">
        <v>0</v>
      </c>
      <c r="BG305" t="str">
        <f>"0"</f>
        <v>0</v>
      </c>
      <c r="BH305" t="str">
        <f xml:space="preserve"> IF($BF$305 &gt;= $G$204, "1","0")</f>
        <v>0</v>
      </c>
      <c r="BI305">
        <f xml:space="preserve"> IF( AND( $BG$305 = "1", $BH$305 = "1" ), 1, IF( AND( $BG$305 = "1", $BH$305 = "0" ), 2, IF( AND( $BG$305 = "0", $BH$305 = "1" ), 3, 4 ) ) )</f>
        <v>4</v>
      </c>
      <c r="BK305" s="1">
        <v>1.8947368421052633E-2</v>
      </c>
      <c r="BL305" t="str">
        <f>"0"</f>
        <v>0</v>
      </c>
      <c r="BM305" t="str">
        <f xml:space="preserve"> IF($BK$305 &gt;= $G$281, "1","0")</f>
        <v>0</v>
      </c>
      <c r="BN305">
        <f xml:space="preserve"> IF( AND( $BL$305 = "1", $BM$305 = "1" ), 1, IF( AND( $BL$305 = "1", $BM$305 = "0" ), 2, IF( AND( $BL$305 = "0", $BM$305 = "1" ), 3, 4 ) ) )</f>
        <v>4</v>
      </c>
    </row>
    <row r="306" spans="58:66" x14ac:dyDescent="0.25">
      <c r="BF306" s="1">
        <v>0</v>
      </c>
      <c r="BG306" t="str">
        <f>"0"</f>
        <v>0</v>
      </c>
      <c r="BH306" t="str">
        <f xml:space="preserve"> IF($BF$306 &gt;= $G$204, "1","0")</f>
        <v>0</v>
      </c>
      <c r="BI306">
        <f xml:space="preserve"> IF( AND( $BG$306 = "1", $BH$306 = "1" ), 1, IF( AND( $BG$306 = "1", $BH$306 = "0" ), 2, IF( AND( $BG$306 = "0", $BH$306 = "1" ), 3, 4 ) ) )</f>
        <v>4</v>
      </c>
      <c r="BK306" s="1">
        <v>1</v>
      </c>
      <c r="BL306" t="str">
        <f>"1"</f>
        <v>1</v>
      </c>
      <c r="BM306" t="str">
        <f xml:space="preserve"> IF($BK$306 &gt;= $G$281, "1","0")</f>
        <v>1</v>
      </c>
      <c r="BN306">
        <f xml:space="preserve"> IF( AND( $BL$306 = "1", $BM$306 = "1" ), 1, IF( AND( $BL$306 = "1", $BM$306 = "0" ), 2, IF( AND( $BL$306 = "0", $BM$306 = "1" ), 3, 4 ) ) )</f>
        <v>1</v>
      </c>
    </row>
    <row r="307" spans="58:66" x14ac:dyDescent="0.25">
      <c r="BF307" s="1">
        <v>0</v>
      </c>
      <c r="BG307" t="str">
        <f>"0"</f>
        <v>0</v>
      </c>
      <c r="BH307" t="str">
        <f xml:space="preserve"> IF($BF$307 &gt;= $G$204, "1","0")</f>
        <v>0</v>
      </c>
      <c r="BI307">
        <f xml:space="preserve"> IF( AND( $BG$307 = "1", $BH$307 = "1" ), 1, IF( AND( $BG$307 = "1", $BH$307 = "0" ), 2, IF( AND( $BG$307 = "0", $BH$307 = "1" ), 3, 4 ) ) )</f>
        <v>4</v>
      </c>
      <c r="BK307" s="1">
        <v>1.8947368421052633E-2</v>
      </c>
      <c r="BL307" t="str">
        <f>"0"</f>
        <v>0</v>
      </c>
      <c r="BM307" t="str">
        <f xml:space="preserve"> IF($BK$307 &gt;= $G$281, "1","0")</f>
        <v>0</v>
      </c>
      <c r="BN307">
        <f xml:space="preserve"> IF( AND( $BL$307 = "1", $BM$307 = "1" ), 1, IF( AND( $BL$307 = "1", $BM$307 = "0" ), 2, IF( AND( $BL$307 = "0", $BM$307 = "1" ), 3, 4 ) ) )</f>
        <v>4</v>
      </c>
    </row>
    <row r="308" spans="58:66" x14ac:dyDescent="0.25">
      <c r="BF308" s="1">
        <v>0</v>
      </c>
      <c r="BG308" t="str">
        <f>"0"</f>
        <v>0</v>
      </c>
      <c r="BH308" t="str">
        <f xml:space="preserve"> IF($BF$308 &gt;= $G$204, "1","0")</f>
        <v>0</v>
      </c>
      <c r="BI308">
        <f xml:space="preserve"> IF( AND( $BG$308 = "1", $BH$308 = "1" ), 1, IF( AND( $BG$308 = "1", $BH$308 = "0" ), 2, IF( AND( $BG$308 = "0", $BH$308 = "1" ), 3, 4 ) ) )</f>
        <v>4</v>
      </c>
      <c r="BK308" s="1">
        <v>2.5000000000000001E-3</v>
      </c>
      <c r="BL308" t="str">
        <f>"0"</f>
        <v>0</v>
      </c>
      <c r="BM308" t="str">
        <f xml:space="preserve"> IF($BK$308 &gt;= $G$281, "1","0")</f>
        <v>0</v>
      </c>
      <c r="BN308">
        <f xml:space="preserve"> IF( AND( $BL$308 = "1", $BM$308 = "1" ), 1, IF( AND( $BL$308 = "1", $BM$308 = "0" ), 2, IF( AND( $BL$308 = "0", $BM$308 = "1" ), 3, 4 ) ) )</f>
        <v>4</v>
      </c>
    </row>
    <row r="309" spans="58:66" x14ac:dyDescent="0.25">
      <c r="BF309" s="1">
        <v>0</v>
      </c>
      <c r="BG309" t="str">
        <f>"0"</f>
        <v>0</v>
      </c>
      <c r="BH309" t="str">
        <f xml:space="preserve"> IF($BF$309 &gt;= $G$204, "1","0")</f>
        <v>0</v>
      </c>
      <c r="BI309">
        <f xml:space="preserve"> IF( AND( $BG$309 = "1", $BH$309 = "1" ), 1, IF( AND( $BG$309 = "1", $BH$309 = "0" ), 2, IF( AND( $BG$309 = "0", $BH$309 = "1" ), 3, 4 ) ) )</f>
        <v>4</v>
      </c>
      <c r="BK309" s="1">
        <v>2.5000000000000001E-3</v>
      </c>
      <c r="BL309" t="str">
        <f>"0"</f>
        <v>0</v>
      </c>
      <c r="BM309" t="str">
        <f xml:space="preserve"> IF($BK$309 &gt;= $G$281, "1","0")</f>
        <v>0</v>
      </c>
      <c r="BN309">
        <f xml:space="preserve"> IF( AND( $BL$309 = "1", $BM$309 = "1" ), 1, IF( AND( $BL$309 = "1", $BM$309 = "0" ), 2, IF( AND( $BL$309 = "0", $BM$309 = "1" ), 3, 4 ) ) )</f>
        <v>4</v>
      </c>
    </row>
    <row r="310" spans="58:66" x14ac:dyDescent="0.25">
      <c r="BF310" s="1">
        <v>0</v>
      </c>
      <c r="BG310" t="str">
        <f>"0"</f>
        <v>0</v>
      </c>
      <c r="BH310" t="str">
        <f xml:space="preserve"> IF($BF$310 &gt;= $G$204, "1","0")</f>
        <v>0</v>
      </c>
      <c r="BI310">
        <f xml:space="preserve"> IF( AND( $BG$310 = "1", $BH$310 = "1" ), 1, IF( AND( $BG$310 = "1", $BH$310 = "0" ), 2, IF( AND( $BG$310 = "0", $BH$310 = "1" ), 3, 4 ) ) )</f>
        <v>4</v>
      </c>
      <c r="BK310" s="1">
        <v>0.64</v>
      </c>
      <c r="BL310" t="str">
        <f>"1"</f>
        <v>1</v>
      </c>
      <c r="BM310" t="str">
        <f xml:space="preserve"> IF($BK$310 &gt;= $G$281, "1","0")</f>
        <v>1</v>
      </c>
      <c r="BN310">
        <f xml:space="preserve"> IF( AND( $BL$310 = "1", $BM$310 = "1" ), 1, IF( AND( $BL$310 = "1", $BM$310 = "0" ), 2, IF( AND( $BL$310 = "0", $BM$310 = "1" ), 3, 4 ) ) )</f>
        <v>1</v>
      </c>
    </row>
    <row r="311" spans="58:66" x14ac:dyDescent="0.25">
      <c r="BF311" s="1">
        <v>0</v>
      </c>
      <c r="BG311" t="str">
        <f>"0"</f>
        <v>0</v>
      </c>
      <c r="BH311" t="str">
        <f xml:space="preserve"> IF($BF$311 &gt;= $G$204, "1","0")</f>
        <v>0</v>
      </c>
      <c r="BI311">
        <f xml:space="preserve"> IF( AND( $BG$311 = "1", $BH$311 = "1" ), 1, IF( AND( $BG$311 = "1", $BH$311 = "0" ), 2, IF( AND( $BG$311 = "0", $BH$311 = "1" ), 3, 4 ) ) )</f>
        <v>4</v>
      </c>
      <c r="BK311" s="1">
        <v>3.333333333333334E-2</v>
      </c>
      <c r="BL311" t="str">
        <f>"0"</f>
        <v>0</v>
      </c>
      <c r="BM311" t="str">
        <f xml:space="preserve"> IF($BK$311 &gt;= $G$281, "1","0")</f>
        <v>0</v>
      </c>
      <c r="BN311">
        <f xml:space="preserve"> IF( AND( $BL$311 = "1", $BM$311 = "1" ), 1, IF( AND( $BL$311 = "1", $BM$311 = "0" ), 2, IF( AND( $BL$311 = "0", $BM$311 = "1" ), 3, 4 ) ) )</f>
        <v>4</v>
      </c>
    </row>
    <row r="312" spans="58:66" x14ac:dyDescent="0.25">
      <c r="BF312" s="1">
        <v>0</v>
      </c>
      <c r="BG312" t="str">
        <f>"0"</f>
        <v>0</v>
      </c>
      <c r="BH312" t="str">
        <f xml:space="preserve"> IF($BF$312 &gt;= $G$204, "1","0")</f>
        <v>0</v>
      </c>
      <c r="BI312">
        <f xml:space="preserve"> IF( AND( $BG$312 = "1", $BH$312 = "1" ), 1, IF( AND( $BG$312 = "1", $BH$312 = "0" ), 2, IF( AND( $BG$312 = "0", $BH$312 = "1" ), 3, 4 ) ) )</f>
        <v>4</v>
      </c>
      <c r="BK312" s="1">
        <v>2.5000000000000001E-3</v>
      </c>
      <c r="BL312" t="str">
        <f>"0"</f>
        <v>0</v>
      </c>
      <c r="BM312" t="str">
        <f xml:space="preserve"> IF($BK$312 &gt;= $G$281, "1","0")</f>
        <v>0</v>
      </c>
      <c r="BN312">
        <f xml:space="preserve"> IF( AND( $BL$312 = "1", $BM$312 = "1" ), 1, IF( AND( $BL$312 = "1", $BM$312 = "0" ), 2, IF( AND( $BL$312 = "0", $BM$312 = "1" ), 3, 4 ) ) )</f>
        <v>4</v>
      </c>
    </row>
    <row r="313" spans="58:66" x14ac:dyDescent="0.25">
      <c r="BF313" s="1">
        <v>0</v>
      </c>
      <c r="BG313" t="str">
        <f>"0"</f>
        <v>0</v>
      </c>
      <c r="BH313" t="str">
        <f xml:space="preserve"> IF($BF$313 &gt;= $G$204, "1","0")</f>
        <v>0</v>
      </c>
      <c r="BI313">
        <f xml:space="preserve"> IF( AND( $BG$313 = "1", $BH$313 = "1" ), 1, IF( AND( $BG$313 = "1", $BH$313 = "0" ), 2, IF( AND( $BG$313 = "0", $BH$313 = "1" ), 3, 4 ) ) )</f>
        <v>4</v>
      </c>
      <c r="BK313" s="1">
        <v>1</v>
      </c>
      <c r="BL313" t="str">
        <f>"1"</f>
        <v>1</v>
      </c>
      <c r="BM313" t="str">
        <f xml:space="preserve"> IF($BK$313 &gt;= $G$281, "1","0")</f>
        <v>1</v>
      </c>
      <c r="BN313">
        <f xml:space="preserve"> IF( AND( $BL$313 = "1", $BM$313 = "1" ), 1, IF( AND( $BL$313 = "1", $BM$313 = "0" ), 2, IF( AND( $BL$313 = "0", $BM$313 = "1" ), 3, 4 ) ) )</f>
        <v>1</v>
      </c>
    </row>
    <row r="314" spans="58:66" x14ac:dyDescent="0.25">
      <c r="BF314" s="1">
        <v>0</v>
      </c>
      <c r="BG314" t="str">
        <f>"0"</f>
        <v>0</v>
      </c>
      <c r="BH314" t="str">
        <f xml:space="preserve"> IF($BF$314 &gt;= $G$204, "1","0")</f>
        <v>0</v>
      </c>
      <c r="BI314">
        <f xml:space="preserve"> IF( AND( $BG$314 = "1", $BH$314 = "1" ), 1, IF( AND( $BG$314 = "1", $BH$314 = "0" ), 2, IF( AND( $BG$314 = "0", $BH$314 = "1" ), 3, 4 ) ) )</f>
        <v>4</v>
      </c>
      <c r="BK314" s="1">
        <v>1</v>
      </c>
      <c r="BL314" t="str">
        <f>"1"</f>
        <v>1</v>
      </c>
      <c r="BM314" t="str">
        <f xml:space="preserve"> IF($BK$314 &gt;= $G$281, "1","0")</f>
        <v>1</v>
      </c>
      <c r="BN314">
        <f xml:space="preserve"> IF( AND( $BL$314 = "1", $BM$314 = "1" ), 1, IF( AND( $BL$314 = "1", $BM$314 = "0" ), 2, IF( AND( $BL$314 = "0", $BM$314 = "1" ), 3, 4 ) ) )</f>
        <v>1</v>
      </c>
    </row>
    <row r="315" spans="58:66" x14ac:dyDescent="0.25">
      <c r="BF315" s="1">
        <v>0</v>
      </c>
      <c r="BG315" t="str">
        <f>"0"</f>
        <v>0</v>
      </c>
      <c r="BH315" t="str">
        <f xml:space="preserve"> IF($BF$315 &gt;= $G$204, "1","0")</f>
        <v>0</v>
      </c>
      <c r="BI315">
        <f xml:space="preserve"> IF( AND( $BG$315 = "1", $BH$315 = "1" ), 1, IF( AND( $BG$315 = "1", $BH$315 = "0" ), 2, IF( AND( $BG$315 = "0", $BH$315 = "1" ), 3, 4 ) ) )</f>
        <v>4</v>
      </c>
      <c r="BK315" s="1">
        <v>1.8947368421052633E-2</v>
      </c>
      <c r="BL315" t="str">
        <f>"0"</f>
        <v>0</v>
      </c>
      <c r="BM315" t="str">
        <f xml:space="preserve"> IF($BK$315 &gt;= $G$281, "1","0")</f>
        <v>0</v>
      </c>
      <c r="BN315">
        <f xml:space="preserve"> IF( AND( $BL$315 = "1", $BM$315 = "1" ), 1, IF( AND( $BL$315 = "1", $BM$315 = "0" ), 2, IF( AND( $BL$315 = "0", $BM$315 = "1" ), 3, 4 ) ) )</f>
        <v>4</v>
      </c>
    </row>
    <row r="316" spans="58:66" x14ac:dyDescent="0.25">
      <c r="BF316" s="1">
        <v>0</v>
      </c>
      <c r="BG316" t="str">
        <f>"0"</f>
        <v>0</v>
      </c>
      <c r="BH316" t="str">
        <f xml:space="preserve"> IF($BF$316 &gt;= $G$204, "1","0")</f>
        <v>0</v>
      </c>
      <c r="BI316">
        <f xml:space="preserve"> IF( AND( $BG$316 = "1", $BH$316 = "1" ), 1, IF( AND( $BG$316 = "1", $BH$316 = "0" ), 2, IF( AND( $BG$316 = "0", $BH$316 = "1" ), 3, 4 ) ) )</f>
        <v>4</v>
      </c>
      <c r="BK316" s="1">
        <v>1.8947368421052633E-2</v>
      </c>
      <c r="BL316" t="str">
        <f>"0"</f>
        <v>0</v>
      </c>
      <c r="BM316" t="str">
        <f xml:space="preserve"> IF($BK$316 &gt;= $G$281, "1","0")</f>
        <v>0</v>
      </c>
      <c r="BN316">
        <f xml:space="preserve"> IF( AND( $BL$316 = "1", $BM$316 = "1" ), 1, IF( AND( $BL$316 = "1", $BM$316 = "0" ), 2, IF( AND( $BL$316 = "0", $BM$316 = "1" ), 3, 4 ) ) )</f>
        <v>4</v>
      </c>
    </row>
    <row r="317" spans="58:66" x14ac:dyDescent="0.25">
      <c r="BF317" s="1">
        <v>0</v>
      </c>
      <c r="BG317" t="str">
        <f>"0"</f>
        <v>0</v>
      </c>
      <c r="BH317" t="str">
        <f xml:space="preserve"> IF($BF$317 &gt;= $G$204, "1","0")</f>
        <v>0</v>
      </c>
      <c r="BI317">
        <f xml:space="preserve"> IF( AND( $BG$317 = "1", $BH$317 = "1" ), 1, IF( AND( $BG$317 = "1", $BH$317 = "0" ), 2, IF( AND( $BG$317 = "0", $BH$317 = "1" ), 3, 4 ) ) )</f>
        <v>4</v>
      </c>
      <c r="BK317" s="1">
        <v>1</v>
      </c>
      <c r="BL317" t="str">
        <f>"1"</f>
        <v>1</v>
      </c>
      <c r="BM317" t="str">
        <f xml:space="preserve"> IF($BK$317 &gt;= $G$281, "1","0")</f>
        <v>1</v>
      </c>
      <c r="BN317">
        <f xml:space="preserve"> IF( AND( $BL$317 = "1", $BM$317 = "1" ), 1, IF( AND( $BL$317 = "1", $BM$317 = "0" ), 2, IF( AND( $BL$317 = "0", $BM$317 = "1" ), 3, 4 ) ) )</f>
        <v>1</v>
      </c>
    </row>
    <row r="318" spans="58:66" x14ac:dyDescent="0.25">
      <c r="BF318" s="1">
        <v>0</v>
      </c>
      <c r="BG318" t="str">
        <f>"0"</f>
        <v>0</v>
      </c>
      <c r="BH318" t="str">
        <f xml:space="preserve"> IF($BF$318 &gt;= $G$204, "1","0")</f>
        <v>0</v>
      </c>
      <c r="BI318">
        <f xml:space="preserve"> IF( AND( $BG$318 = "1", $BH$318 = "1" ), 1, IF( AND( $BG$318 = "1", $BH$318 = "0" ), 2, IF( AND( $BG$318 = "0", $BH$318 = "1" ), 3, 4 ) ) )</f>
        <v>4</v>
      </c>
      <c r="BK318" s="1">
        <v>2.5000000000000001E-3</v>
      </c>
      <c r="BL318" t="str">
        <f>"0"</f>
        <v>0</v>
      </c>
      <c r="BM318" t="str">
        <f xml:space="preserve"> IF($BK$318 &gt;= $G$281, "1","0")</f>
        <v>0</v>
      </c>
      <c r="BN318">
        <f xml:space="preserve"> IF( AND( $BL$318 = "1", $BM$318 = "1" ), 1, IF( AND( $BL$318 = "1", $BM$318 = "0" ), 2, IF( AND( $BL$318 = "0", $BM$318 = "1" ), 3, 4 ) ) )</f>
        <v>4</v>
      </c>
    </row>
    <row r="319" spans="58:66" x14ac:dyDescent="0.25">
      <c r="BF319" s="1">
        <v>0</v>
      </c>
      <c r="BG319" t="str">
        <f>"0"</f>
        <v>0</v>
      </c>
      <c r="BH319" t="str">
        <f xml:space="preserve"> IF($BF$319 &gt;= $G$204, "1","0")</f>
        <v>0</v>
      </c>
      <c r="BI319">
        <f xml:space="preserve"> IF( AND( $BG$319 = "1", $BH$319 = "1" ), 1, IF( AND( $BG$319 = "1", $BH$319 = "0" ), 2, IF( AND( $BG$319 = "0", $BH$319 = "1" ), 3, 4 ) ) )</f>
        <v>4</v>
      </c>
      <c r="BK319" s="1">
        <v>0</v>
      </c>
      <c r="BL319" t="str">
        <f>"0"</f>
        <v>0</v>
      </c>
      <c r="BM319" t="str">
        <f xml:space="preserve"> IF($BK$319 &gt;= $G$281, "1","0")</f>
        <v>0</v>
      </c>
      <c r="BN319">
        <f xml:space="preserve"> IF( AND( $BL$319 = "1", $BM$319 = "1" ), 1, IF( AND( $BL$319 = "1", $BM$319 = "0" ), 2, IF( AND( $BL$319 = "0", $BM$319 = "1" ), 3, 4 ) ) )</f>
        <v>4</v>
      </c>
    </row>
    <row r="320" spans="58:66" x14ac:dyDescent="0.25">
      <c r="BF320" s="1">
        <v>0</v>
      </c>
      <c r="BG320" t="str">
        <f>"0"</f>
        <v>0</v>
      </c>
      <c r="BH320" t="str">
        <f xml:space="preserve"> IF($BF$320 &gt;= $G$204, "1","0")</f>
        <v>0</v>
      </c>
      <c r="BI320">
        <f xml:space="preserve"> IF( AND( $BG$320 = "1", $BH$320 = "1" ), 1, IF( AND( $BG$320 = "1", $BH$320 = "0" ), 2, IF( AND( $BG$320 = "0", $BH$320 = "1" ), 3, 4 ) ) )</f>
        <v>4</v>
      </c>
      <c r="BK320" s="1">
        <v>1.8947368421052633E-2</v>
      </c>
      <c r="BL320" t="str">
        <f>"0"</f>
        <v>0</v>
      </c>
      <c r="BM320" t="str">
        <f xml:space="preserve"> IF($BK$320 &gt;= $G$281, "1","0")</f>
        <v>0</v>
      </c>
      <c r="BN320">
        <f xml:space="preserve"> IF( AND( $BL$320 = "1", $BM$320 = "1" ), 1, IF( AND( $BL$320 = "1", $BM$320 = "0" ), 2, IF( AND( $BL$320 = "0", $BM$320 = "1" ), 3, 4 ) ) )</f>
        <v>4</v>
      </c>
    </row>
    <row r="321" spans="58:66" x14ac:dyDescent="0.25">
      <c r="BF321" s="1">
        <v>0</v>
      </c>
      <c r="BG321" t="str">
        <f>"0"</f>
        <v>0</v>
      </c>
      <c r="BH321" t="str">
        <f xml:space="preserve"> IF($BF$321 &gt;= $G$204, "1","0")</f>
        <v>0</v>
      </c>
      <c r="BI321">
        <f xml:space="preserve"> IF( AND( $BG$321 = "1", $BH$321 = "1" ), 1, IF( AND( $BG$321 = "1", $BH$321 = "0" ), 2, IF( AND( $BG$321 = "0", $BH$321 = "1" ), 3, 4 ) ) )</f>
        <v>4</v>
      </c>
      <c r="BK321" s="1">
        <v>0</v>
      </c>
      <c r="BL321" t="str">
        <f>"0"</f>
        <v>0</v>
      </c>
      <c r="BM321" t="str">
        <f xml:space="preserve"> IF($BK$321 &gt;= $G$281, "1","0")</f>
        <v>0</v>
      </c>
      <c r="BN321">
        <f xml:space="preserve"> IF( AND( $BL$321 = "1", $BM$321 = "1" ), 1, IF( AND( $BL$321 = "1", $BM$321 = "0" ), 2, IF( AND( $BL$321 = "0", $BM$321 = "1" ), 3, 4 ) ) )</f>
        <v>4</v>
      </c>
    </row>
    <row r="322" spans="58:66" x14ac:dyDescent="0.25">
      <c r="BF322" s="1">
        <v>0.90476190476190477</v>
      </c>
      <c r="BG322" t="str">
        <f>"0"</f>
        <v>0</v>
      </c>
      <c r="BH322" t="str">
        <f xml:space="preserve"> IF($BF$322 &gt;= $G$204, "1","0")</f>
        <v>1</v>
      </c>
      <c r="BI322">
        <f xml:space="preserve"> IF( AND( $BG$322 = "1", $BH$322 = "1" ), 1, IF( AND( $BG$322 = "1", $BH$322 = "0" ), 2, IF( AND( $BG$322 = "0", $BH$322 = "1" ), 3, 4 ) ) )</f>
        <v>3</v>
      </c>
      <c r="BK322" s="1">
        <v>1</v>
      </c>
      <c r="BL322" t="str">
        <f>"1"</f>
        <v>1</v>
      </c>
      <c r="BM322" t="str">
        <f xml:space="preserve"> IF($BK$322 &gt;= $G$281, "1","0")</f>
        <v>1</v>
      </c>
      <c r="BN322">
        <f xml:space="preserve"> IF( AND( $BL$322 = "1", $BM$322 = "1" ), 1, IF( AND( $BL$322 = "1", $BM$322 = "0" ), 2, IF( AND( $BL$322 = "0", $BM$322 = "1" ), 3, 4 ) ) )</f>
        <v>1</v>
      </c>
    </row>
    <row r="323" spans="58:66" x14ac:dyDescent="0.25">
      <c r="BF323" s="1">
        <v>0.38461538461538464</v>
      </c>
      <c r="BG323" t="str">
        <f>"0"</f>
        <v>0</v>
      </c>
      <c r="BH323" t="str">
        <f xml:space="preserve"> IF($BF$323 &gt;= $G$204, "1","0")</f>
        <v>1</v>
      </c>
      <c r="BI323">
        <f xml:space="preserve"> IF( AND( $BG$323 = "1", $BH$323 = "1" ), 1, IF( AND( $BG$323 = "1", $BH$323 = "0" ), 2, IF( AND( $BG$323 = "0", $BH$323 = "1" ), 3, 4 ) ) )</f>
        <v>3</v>
      </c>
      <c r="BK323" s="1">
        <v>2.5000000000000001E-3</v>
      </c>
      <c r="BL323" t="str">
        <f>"0"</f>
        <v>0</v>
      </c>
      <c r="BM323" t="str">
        <f xml:space="preserve"> IF($BK$323 &gt;= $G$281, "1","0")</f>
        <v>0</v>
      </c>
      <c r="BN323">
        <f xml:space="preserve"> IF( AND( $BL$323 = "1", $BM$323 = "1" ), 1, IF( AND( $BL$323 = "1", $BM$323 = "0" ), 2, IF( AND( $BL$323 = "0", $BM$323 = "1" ), 3, 4 ) ) )</f>
        <v>4</v>
      </c>
    </row>
    <row r="324" spans="58:66" x14ac:dyDescent="0.25">
      <c r="BF324" s="1">
        <v>0</v>
      </c>
      <c r="BG324" t="str">
        <f>"0"</f>
        <v>0</v>
      </c>
      <c r="BH324" t="str">
        <f xml:space="preserve"> IF($BF$324 &gt;= $G$204, "1","0")</f>
        <v>0</v>
      </c>
      <c r="BI324">
        <f xml:space="preserve"> IF( AND( $BG$324 = "1", $BH$324 = "1" ), 1, IF( AND( $BG$324 = "1", $BH$324 = "0" ), 2, IF( AND( $BG$324 = "0", $BH$324 = "1" ), 3, 4 ) ) )</f>
        <v>4</v>
      </c>
      <c r="BK324" s="1">
        <v>2.5000000000000001E-3</v>
      </c>
      <c r="BL324" t="str">
        <f>"0"</f>
        <v>0</v>
      </c>
      <c r="BM324" t="str">
        <f xml:space="preserve"> IF($BK$324 &gt;= $G$281, "1","0")</f>
        <v>0</v>
      </c>
      <c r="BN324">
        <f xml:space="preserve"> IF( AND( $BL$324 = "1", $BM$324 = "1" ), 1, IF( AND( $BL$324 = "1", $BM$324 = "0" ), 2, IF( AND( $BL$324 = "0", $BM$324 = "1" ), 3, 4 ) ) )</f>
        <v>4</v>
      </c>
    </row>
    <row r="325" spans="58:66" x14ac:dyDescent="0.25">
      <c r="BF325" s="1">
        <v>0</v>
      </c>
      <c r="BG325" t="str">
        <f>"0"</f>
        <v>0</v>
      </c>
      <c r="BH325" t="str">
        <f xml:space="preserve"> IF($BF$325 &gt;= $G$204, "1","0")</f>
        <v>0</v>
      </c>
      <c r="BI325">
        <f xml:space="preserve"> IF( AND( $BG$325 = "1", $BH$325 = "1" ), 1, IF( AND( $BG$325 = "1", $BH$325 = "0" ), 2, IF( AND( $BG$325 = "0", $BH$325 = "1" ), 3, 4 ) ) )</f>
        <v>4</v>
      </c>
      <c r="BK325" s="1">
        <v>1</v>
      </c>
      <c r="BL325" t="str">
        <f>"1"</f>
        <v>1</v>
      </c>
      <c r="BM325" t="str">
        <f xml:space="preserve"> IF($BK$325 &gt;= $G$281, "1","0")</f>
        <v>1</v>
      </c>
      <c r="BN325">
        <f xml:space="preserve"> IF( AND( $BL$325 = "1", $BM$325 = "1" ), 1, IF( AND( $BL$325 = "1", $BM$325 = "0" ), 2, IF( AND( $BL$325 = "0", $BM$325 = "1" ), 3, 4 ) ) )</f>
        <v>1</v>
      </c>
    </row>
    <row r="326" spans="58:66" x14ac:dyDescent="0.25">
      <c r="BF326" s="1">
        <v>0</v>
      </c>
      <c r="BG326" t="str">
        <f>"0"</f>
        <v>0</v>
      </c>
      <c r="BH326" t="str">
        <f xml:space="preserve"> IF($BF$326 &gt;= $G$204, "1","0")</f>
        <v>0</v>
      </c>
      <c r="BI326">
        <f xml:space="preserve"> IF( AND( $BG$326 = "1", $BH$326 = "1" ), 1, IF( AND( $BG$326 = "1", $BH$326 = "0" ), 2, IF( AND( $BG$326 = "0", $BH$326 = "1" ), 3, 4 ) ) )</f>
        <v>4</v>
      </c>
      <c r="BK326" s="1">
        <v>0</v>
      </c>
      <c r="BL326" t="str">
        <f>"0"</f>
        <v>0</v>
      </c>
      <c r="BM326" t="str">
        <f xml:space="preserve"> IF($BK$326 &gt;= $G$281, "1","0")</f>
        <v>0</v>
      </c>
      <c r="BN326">
        <f xml:space="preserve"> IF( AND( $BL$326 = "1", $BM$326 = "1" ), 1, IF( AND( $BL$326 = "1", $BM$326 = "0" ), 2, IF( AND( $BL$326 = "0", $BM$326 = "1" ), 3, 4 ) ) )</f>
        <v>4</v>
      </c>
    </row>
    <row r="327" spans="58:66" x14ac:dyDescent="0.25">
      <c r="BF327" s="1">
        <v>0</v>
      </c>
      <c r="BG327" t="str">
        <f>"0"</f>
        <v>0</v>
      </c>
      <c r="BH327" t="str">
        <f xml:space="preserve"> IF($BF$327 &gt;= $G$204, "1","0")</f>
        <v>0</v>
      </c>
      <c r="BI327">
        <f xml:space="preserve"> IF( AND( $BG$327 = "1", $BH$327 = "1" ), 1, IF( AND( $BG$327 = "1", $BH$327 = "0" ), 2, IF( AND( $BG$327 = "0", $BH$327 = "1" ), 3, 4 ) ) )</f>
        <v>4</v>
      </c>
      <c r="BK327" s="1">
        <v>2.5000000000000001E-3</v>
      </c>
      <c r="BL327" t="str">
        <f>"0"</f>
        <v>0</v>
      </c>
      <c r="BM327" t="str">
        <f xml:space="preserve"> IF($BK$327 &gt;= $G$281, "1","0")</f>
        <v>0</v>
      </c>
      <c r="BN327">
        <f xml:space="preserve"> IF( AND( $BL$327 = "1", $BM$327 = "1" ), 1, IF( AND( $BL$327 = "1", $BM$327 = "0" ), 2, IF( AND( $BL$327 = "0", $BM$327 = "1" ), 3, 4 ) ) )</f>
        <v>4</v>
      </c>
    </row>
    <row r="328" spans="58:66" x14ac:dyDescent="0.25">
      <c r="BF328" s="1">
        <v>0</v>
      </c>
      <c r="BG328" t="str">
        <f>"0"</f>
        <v>0</v>
      </c>
      <c r="BH328" t="str">
        <f xml:space="preserve"> IF($BF$328 &gt;= $G$204, "1","0")</f>
        <v>0</v>
      </c>
      <c r="BI328">
        <f xml:space="preserve"> IF( AND( $BG$328 = "1", $BH$328 = "1" ), 1, IF( AND( $BG$328 = "1", $BH$328 = "0" ), 2, IF( AND( $BG$328 = "0", $BH$328 = "1" ), 3, 4 ) ) )</f>
        <v>4</v>
      </c>
      <c r="BK328" s="1">
        <v>1</v>
      </c>
      <c r="BL328" t="str">
        <f>"1"</f>
        <v>1</v>
      </c>
      <c r="BM328" t="str">
        <f xml:space="preserve"> IF($BK$328 &gt;= $G$281, "1","0")</f>
        <v>1</v>
      </c>
      <c r="BN328">
        <f xml:space="preserve"> IF( AND( $BL$328 = "1", $BM$328 = "1" ), 1, IF( AND( $BL$328 = "1", $BM$328 = "0" ), 2, IF( AND( $BL$328 = "0", $BM$328 = "1" ), 3, 4 ) ) )</f>
        <v>1</v>
      </c>
    </row>
    <row r="329" spans="58:66" x14ac:dyDescent="0.25">
      <c r="BF329" s="1">
        <v>0.3</v>
      </c>
      <c r="BG329" t="str">
        <f>"0"</f>
        <v>0</v>
      </c>
      <c r="BH329" t="str">
        <f xml:space="preserve"> IF($BF$329 &gt;= $G$204, "1","0")</f>
        <v>1</v>
      </c>
      <c r="BI329">
        <f xml:space="preserve"> IF( AND( $BG$329 = "1", $BH$329 = "1" ), 1, IF( AND( $BG$329 = "1", $BH$329 = "0" ), 2, IF( AND( $BG$329 = "0", $BH$329 = "1" ), 3, 4 ) ) )</f>
        <v>3</v>
      </c>
      <c r="BK329" s="1">
        <v>2.5000000000000001E-3</v>
      </c>
      <c r="BL329" t="str">
        <f>"0"</f>
        <v>0</v>
      </c>
      <c r="BM329" t="str">
        <f xml:space="preserve"> IF($BK$329 &gt;= $G$281, "1","0")</f>
        <v>0</v>
      </c>
      <c r="BN329">
        <f xml:space="preserve"> IF( AND( $BL$329 = "1", $BM$329 = "1" ), 1, IF( AND( $BL$329 = "1", $BM$329 = "0" ), 2, IF( AND( $BL$329 = "0", $BM$329 = "1" ), 3, 4 ) ) )</f>
        <v>4</v>
      </c>
    </row>
    <row r="330" spans="58:66" x14ac:dyDescent="0.25">
      <c r="BF330" s="1">
        <v>0.3</v>
      </c>
      <c r="BG330" t="str">
        <f>"0"</f>
        <v>0</v>
      </c>
      <c r="BH330" t="str">
        <f xml:space="preserve"> IF($BF$330 &gt;= $G$204, "1","0")</f>
        <v>1</v>
      </c>
      <c r="BI330">
        <f xml:space="preserve"> IF( AND( $BG$330 = "1", $BH$330 = "1" ), 1, IF( AND( $BG$330 = "1", $BH$330 = "0" ), 2, IF( AND( $BG$330 = "0", $BH$330 = "1" ), 3, 4 ) ) )</f>
        <v>3</v>
      </c>
      <c r="BK330" s="1">
        <v>0</v>
      </c>
      <c r="BL330" t="str">
        <f>"0"</f>
        <v>0</v>
      </c>
      <c r="BM330" t="str">
        <f xml:space="preserve"> IF($BK$330 &gt;= $G$281, "1","0")</f>
        <v>0</v>
      </c>
      <c r="BN330">
        <f xml:space="preserve"> IF( AND( $BL$330 = "1", $BM$330 = "1" ), 1, IF( AND( $BL$330 = "1", $BM$330 = "0" ), 2, IF( AND( $BL$330 = "0", $BM$330 = "1" ), 3, 4 ) ) )</f>
        <v>4</v>
      </c>
    </row>
    <row r="331" spans="58:66" x14ac:dyDescent="0.25">
      <c r="BF331" s="1">
        <v>0</v>
      </c>
      <c r="BG331" t="str">
        <f>"0"</f>
        <v>0</v>
      </c>
      <c r="BH331" t="str">
        <f xml:space="preserve"> IF($BF$331 &gt;= $G$204, "1","0")</f>
        <v>0</v>
      </c>
      <c r="BI331">
        <f xml:space="preserve"> IF( AND( $BG$331 = "1", $BH$331 = "1" ), 1, IF( AND( $BG$331 = "1", $BH$331 = "0" ), 2, IF( AND( $BG$331 = "0", $BH$331 = "1" ), 3, 4 ) ) )</f>
        <v>4</v>
      </c>
      <c r="BK331" s="1">
        <v>3.333333333333334E-2</v>
      </c>
      <c r="BL331" t="str">
        <f>"0"</f>
        <v>0</v>
      </c>
      <c r="BM331" t="str">
        <f xml:space="preserve"> IF($BK$331 &gt;= $G$281, "1","0")</f>
        <v>0</v>
      </c>
      <c r="BN331">
        <f xml:space="preserve"> IF( AND( $BL$331 = "1", $BM$331 = "1" ), 1, IF( AND( $BL$331 = "1", $BM$331 = "0" ), 2, IF( AND( $BL$331 = "0", $BM$331 = "1" ), 3, 4 ) ) )</f>
        <v>4</v>
      </c>
    </row>
    <row r="332" spans="58:66" x14ac:dyDescent="0.25">
      <c r="BF332" s="1">
        <v>0</v>
      </c>
      <c r="BG332" t="str">
        <f>"0"</f>
        <v>0</v>
      </c>
      <c r="BH332" t="str">
        <f xml:space="preserve"> IF($BF$332 &gt;= $G$204, "1","0")</f>
        <v>0</v>
      </c>
      <c r="BI332">
        <f xml:space="preserve"> IF( AND( $BG$332 = "1", $BH$332 = "1" ), 1, IF( AND( $BG$332 = "1", $BH$332 = "0" ), 2, IF( AND( $BG$332 = "0", $BH$332 = "1" ), 3, 4 ) ) )</f>
        <v>4</v>
      </c>
      <c r="BK332" s="1">
        <v>1.8947368421052633E-2</v>
      </c>
      <c r="BL332" t="str">
        <f>"0"</f>
        <v>0</v>
      </c>
      <c r="BM332" t="str">
        <f xml:space="preserve"> IF($BK$332 &gt;= $G$281, "1","0")</f>
        <v>0</v>
      </c>
      <c r="BN332">
        <f xml:space="preserve"> IF( AND( $BL$332 = "1", $BM$332 = "1" ), 1, IF( AND( $BL$332 = "1", $BM$332 = "0" ), 2, IF( AND( $BL$332 = "0", $BM$332 = "1" ), 3, 4 ) ) )</f>
        <v>4</v>
      </c>
    </row>
    <row r="333" spans="58:66" x14ac:dyDescent="0.25">
      <c r="BF333" s="1">
        <v>0</v>
      </c>
      <c r="BG333" t="str">
        <f>"0"</f>
        <v>0</v>
      </c>
      <c r="BH333" t="str">
        <f xml:space="preserve"> IF($BF$333 &gt;= $G$204, "1","0")</f>
        <v>0</v>
      </c>
      <c r="BI333">
        <f xml:space="preserve"> IF( AND( $BG$333 = "1", $BH$333 = "1" ), 1, IF( AND( $BG$333 = "1", $BH$333 = "0" ), 2, IF( AND( $BG$333 = "0", $BH$333 = "1" ), 3, 4 ) ) )</f>
        <v>4</v>
      </c>
      <c r="BK333" s="1">
        <v>2.5000000000000001E-3</v>
      </c>
      <c r="BL333" t="str">
        <f>"0"</f>
        <v>0</v>
      </c>
      <c r="BM333" t="str">
        <f xml:space="preserve"> IF($BK$333 &gt;= $G$281, "1","0")</f>
        <v>0</v>
      </c>
      <c r="BN333">
        <f xml:space="preserve"> IF( AND( $BL$333 = "1", $BM$333 = "1" ), 1, IF( AND( $BL$333 = "1", $BM$333 = "0" ), 2, IF( AND( $BL$333 = "0", $BM$333 = "1" ), 3, 4 ) ) )</f>
        <v>4</v>
      </c>
    </row>
    <row r="334" spans="58:66" x14ac:dyDescent="0.25">
      <c r="BF334" s="1">
        <v>0</v>
      </c>
      <c r="BG334" t="str">
        <f>"0"</f>
        <v>0</v>
      </c>
      <c r="BH334" t="str">
        <f xml:space="preserve"> IF($BF$334 &gt;= $G$204, "1","0")</f>
        <v>0</v>
      </c>
      <c r="BI334">
        <f xml:space="preserve"> IF( AND( $BG$334 = "1", $BH$334 = "1" ), 1, IF( AND( $BG$334 = "1", $BH$334 = "0" ), 2, IF( AND( $BG$334 = "0", $BH$334 = "1" ), 3, 4 ) ) )</f>
        <v>4</v>
      </c>
      <c r="BK334" s="1">
        <v>0</v>
      </c>
      <c r="BL334" t="str">
        <f>"0"</f>
        <v>0</v>
      </c>
      <c r="BM334" t="str">
        <f xml:space="preserve"> IF($BK$334 &gt;= $G$281, "1","0")</f>
        <v>0</v>
      </c>
      <c r="BN334">
        <f xml:space="preserve"> IF( AND( $BL$334 = "1", $BM$334 = "1" ), 1, IF( AND( $BL$334 = "1", $BM$334 = "0" ), 2, IF( AND( $BL$334 = "0", $BM$334 = "1" ), 3, 4 ) ) )</f>
        <v>4</v>
      </c>
    </row>
    <row r="335" spans="58:66" x14ac:dyDescent="0.25">
      <c r="BF335" s="1">
        <v>0</v>
      </c>
      <c r="BG335" t="str">
        <f>"0"</f>
        <v>0</v>
      </c>
      <c r="BH335" t="str">
        <f xml:space="preserve"> IF($BF$335 &gt;= $G$204, "1","0")</f>
        <v>0</v>
      </c>
      <c r="BI335">
        <f xml:space="preserve"> IF( AND( $BG$335 = "1", $BH$335 = "1" ), 1, IF( AND( $BG$335 = "1", $BH$335 = "0" ), 2, IF( AND( $BG$335 = "0", $BH$335 = "1" ), 3, 4 ) ) )</f>
        <v>4</v>
      </c>
      <c r="BK335" s="1">
        <v>2.5000000000000001E-3</v>
      </c>
      <c r="BL335" t="str">
        <f>"0"</f>
        <v>0</v>
      </c>
      <c r="BM335" t="str">
        <f xml:space="preserve"> IF($BK$335 &gt;= $G$281, "1","0")</f>
        <v>0</v>
      </c>
      <c r="BN335">
        <f xml:space="preserve"> IF( AND( $BL$335 = "1", $BM$335 = "1" ), 1, IF( AND( $BL$335 = "1", $BM$335 = "0" ), 2, IF( AND( $BL$335 = "0", $BM$335 = "1" ), 3, 4 ) ) )</f>
        <v>4</v>
      </c>
    </row>
    <row r="336" spans="58:66" x14ac:dyDescent="0.25">
      <c r="BF336" s="1">
        <v>0</v>
      </c>
      <c r="BG336" t="str">
        <f>"0"</f>
        <v>0</v>
      </c>
      <c r="BH336" t="str">
        <f xml:space="preserve"> IF($BF$336 &gt;= $G$204, "1","0")</f>
        <v>0</v>
      </c>
      <c r="BI336">
        <f xml:space="preserve"> IF( AND( $BG$336 = "1", $BH$336 = "1" ), 1, IF( AND( $BG$336 = "1", $BH$336 = "0" ), 2, IF( AND( $BG$336 = "0", $BH$336 = "1" ), 3, 4 ) ) )</f>
        <v>4</v>
      </c>
      <c r="BK336" s="1">
        <v>3.333333333333334E-2</v>
      </c>
      <c r="BL336" t="str">
        <f>"0"</f>
        <v>0</v>
      </c>
      <c r="BM336" t="str">
        <f xml:space="preserve"> IF($BK$336 &gt;= $G$281, "1","0")</f>
        <v>0</v>
      </c>
      <c r="BN336">
        <f xml:space="preserve"> IF( AND( $BL$336 = "1", $BM$336 = "1" ), 1, IF( AND( $BL$336 = "1", $BM$336 = "0" ), 2, IF( AND( $BL$336 = "0", $BM$336 = "1" ), 3, 4 ) ) )</f>
        <v>4</v>
      </c>
    </row>
    <row r="337" spans="58:66" x14ac:dyDescent="0.25">
      <c r="BF337" s="1">
        <v>0</v>
      </c>
      <c r="BG337" t="str">
        <f>"0"</f>
        <v>0</v>
      </c>
      <c r="BH337" t="str">
        <f xml:space="preserve"> IF($BF$337 &gt;= $G$204, "1","0")</f>
        <v>0</v>
      </c>
      <c r="BI337">
        <f xml:space="preserve"> IF( AND( $BG$337 = "1", $BH$337 = "1" ), 1, IF( AND( $BG$337 = "1", $BH$337 = "0" ), 2, IF( AND( $BG$337 = "0", $BH$337 = "1" ), 3, 4 ) ) )</f>
        <v>4</v>
      </c>
      <c r="BK337" s="1">
        <v>1</v>
      </c>
      <c r="BL337" t="str">
        <f>"1"</f>
        <v>1</v>
      </c>
      <c r="BM337" t="str">
        <f xml:space="preserve"> IF($BK$337 &gt;= $G$281, "1","0")</f>
        <v>1</v>
      </c>
      <c r="BN337">
        <f xml:space="preserve"> IF( AND( $BL$337 = "1", $BM$337 = "1" ), 1, IF( AND( $BL$337 = "1", $BM$337 = "0" ), 2, IF( AND( $BL$337 = "0", $BM$337 = "1" ), 3, 4 ) ) )</f>
        <v>1</v>
      </c>
    </row>
    <row r="338" spans="58:66" x14ac:dyDescent="0.25">
      <c r="BF338" s="1">
        <v>0</v>
      </c>
      <c r="BG338" t="str">
        <f>"0"</f>
        <v>0</v>
      </c>
      <c r="BH338" t="str">
        <f xml:space="preserve"> IF($BF$338 &gt;= $G$204, "1","0")</f>
        <v>0</v>
      </c>
      <c r="BI338">
        <f xml:space="preserve"> IF( AND( $BG$338 = "1", $BH$338 = "1" ), 1, IF( AND( $BG$338 = "1", $BH$338 = "0" ), 2, IF( AND( $BG$338 = "0", $BH$338 = "1" ), 3, 4 ) ) )</f>
        <v>4</v>
      </c>
      <c r="BK338" s="1">
        <v>1</v>
      </c>
      <c r="BL338" t="str">
        <f>"1"</f>
        <v>1</v>
      </c>
      <c r="BM338" t="str">
        <f xml:space="preserve"> IF($BK$338 &gt;= $G$281, "1","0")</f>
        <v>1</v>
      </c>
      <c r="BN338">
        <f xml:space="preserve"> IF( AND( $BL$338 = "1", $BM$338 = "1" ), 1, IF( AND( $BL$338 = "1", $BM$338 = "0" ), 2, IF( AND( $BL$338 = "0", $BM$338 = "1" ), 3, 4 ) ) )</f>
        <v>1</v>
      </c>
    </row>
    <row r="339" spans="58:66" x14ac:dyDescent="0.25">
      <c r="BF339" s="1">
        <v>0</v>
      </c>
      <c r="BG339" t="str">
        <f>"0"</f>
        <v>0</v>
      </c>
      <c r="BH339" t="str">
        <f xml:space="preserve"> IF($BF$339 &gt;= $G$204, "1","0")</f>
        <v>0</v>
      </c>
      <c r="BI339">
        <f xml:space="preserve"> IF( AND( $BG$339 = "1", $BH$339 = "1" ), 1, IF( AND( $BG$339 = "1", $BH$339 = "0" ), 2, IF( AND( $BG$339 = "0", $BH$339 = "1" ), 3, 4 ) ) )</f>
        <v>4</v>
      </c>
      <c r="BK339" s="1">
        <v>1.8947368421052633E-2</v>
      </c>
      <c r="BL339" t="str">
        <f>"0"</f>
        <v>0</v>
      </c>
      <c r="BM339" t="str">
        <f xml:space="preserve"> IF($BK$339 &gt;= $G$281, "1","0")</f>
        <v>0</v>
      </c>
      <c r="BN339">
        <f xml:space="preserve"> IF( AND( $BL$339 = "1", $BM$339 = "1" ), 1, IF( AND( $BL$339 = "1", $BM$339 = "0" ), 2, IF( AND( $BL$339 = "0", $BM$339 = "1" ), 3, 4 ) ) )</f>
        <v>4</v>
      </c>
    </row>
    <row r="340" spans="58:66" x14ac:dyDescent="0.25">
      <c r="BF340" s="1">
        <v>0</v>
      </c>
      <c r="BG340" t="str">
        <f>"0"</f>
        <v>0</v>
      </c>
      <c r="BH340" t="str">
        <f xml:space="preserve"> IF($BF$340 &gt;= $G$204, "1","0")</f>
        <v>0</v>
      </c>
      <c r="BI340">
        <f xml:space="preserve"> IF( AND( $BG$340 = "1", $BH$340 = "1" ), 1, IF( AND( $BG$340 = "1", $BH$340 = "0" ), 2, IF( AND( $BG$340 = "0", $BH$340 = "1" ), 3, 4 ) ) )</f>
        <v>4</v>
      </c>
      <c r="BK340" s="1">
        <v>1.8947368421052633E-2</v>
      </c>
      <c r="BL340" t="str">
        <f>"0"</f>
        <v>0</v>
      </c>
      <c r="BM340" t="str">
        <f xml:space="preserve"> IF($BK$340 &gt;= $G$281, "1","0")</f>
        <v>0</v>
      </c>
      <c r="BN340">
        <f xml:space="preserve"> IF( AND( $BL$340 = "1", $BM$340 = "1" ), 1, IF( AND( $BL$340 = "1", $BM$340 = "0" ), 2, IF( AND( $BL$340 = "0", $BM$340 = "1" ), 3, 4 ) ) )</f>
        <v>4</v>
      </c>
    </row>
    <row r="341" spans="58:66" x14ac:dyDescent="0.25">
      <c r="BF341" s="1">
        <v>7.1428571428571411E-2</v>
      </c>
      <c r="BG341" t="str">
        <f>"0"</f>
        <v>0</v>
      </c>
      <c r="BH341" t="str">
        <f xml:space="preserve"> IF($BF$341 &gt;= $G$204, "1","0")</f>
        <v>0</v>
      </c>
      <c r="BI341">
        <f xml:space="preserve"> IF( AND( $BG$341 = "1", $BH$341 = "1" ), 1, IF( AND( $BG$341 = "1", $BH$341 = "0" ), 2, IF( AND( $BG$341 = "0", $BH$341 = "1" ), 3, 4 ) ) )</f>
        <v>4</v>
      </c>
      <c r="BK341" s="1">
        <v>2.5000000000000001E-3</v>
      </c>
      <c r="BL341" t="str">
        <f>"0"</f>
        <v>0</v>
      </c>
      <c r="BM341" t="str">
        <f xml:space="preserve"> IF($BK$341 &gt;= $G$281, "1","0")</f>
        <v>0</v>
      </c>
      <c r="BN341">
        <f xml:space="preserve"> IF( AND( $BL$341 = "1", $BM$341 = "1" ), 1, IF( AND( $BL$341 = "1", $BM$341 = "0" ), 2, IF( AND( $BL$341 = "0", $BM$341 = "1" ), 3, 4 ) ) )</f>
        <v>4</v>
      </c>
    </row>
    <row r="342" spans="58:66" x14ac:dyDescent="0.25">
      <c r="BF342" s="1">
        <v>8.3333333333333329E-2</v>
      </c>
      <c r="BG342" t="str">
        <f>"0"</f>
        <v>0</v>
      </c>
      <c r="BH342" t="str">
        <f xml:space="preserve"> IF($BF$342 &gt;= $G$204, "1","0")</f>
        <v>0</v>
      </c>
      <c r="BI342">
        <f xml:space="preserve"> IF( AND( $BG$342 = "1", $BH$342 = "1" ), 1, IF( AND( $BG$342 = "1", $BH$342 = "0" ), 2, IF( AND( $BG$342 = "0", $BH$342 = "1" ), 3, 4 ) ) )</f>
        <v>4</v>
      </c>
      <c r="BK342" s="1">
        <v>0.32</v>
      </c>
      <c r="BL342" t="str">
        <f>"0"</f>
        <v>0</v>
      </c>
      <c r="BM342" t="str">
        <f xml:space="preserve"> IF($BK$342 &gt;= $G$281, "1","0")</f>
        <v>1</v>
      </c>
      <c r="BN342">
        <f xml:space="preserve"> IF( AND( $BL$342 = "1", $BM$342 = "1" ), 1, IF( AND( $BL$342 = "1", $BM$342 = "0" ), 2, IF( AND( $BL$342 = "0", $BM$342 = "1" ), 3, 4 ) ) )</f>
        <v>3</v>
      </c>
    </row>
    <row r="343" spans="58:66" x14ac:dyDescent="0.25">
      <c r="BF343" s="1">
        <v>8.3333333333333329E-2</v>
      </c>
      <c r="BG343" t="str">
        <f>"0"</f>
        <v>0</v>
      </c>
      <c r="BH343" t="str">
        <f xml:space="preserve"> IF($BF$343 &gt;= $G$204, "1","0")</f>
        <v>0</v>
      </c>
      <c r="BI343">
        <f xml:space="preserve"> IF( AND( $BG$343 = "1", $BH$343 = "1" ), 1, IF( AND( $BG$343 = "1", $BH$343 = "0" ), 2, IF( AND( $BG$343 = "0", $BH$343 = "1" ), 3, 4 ) ) )</f>
        <v>4</v>
      </c>
      <c r="BK343" s="1">
        <v>1.8947368421052633E-2</v>
      </c>
      <c r="BL343" t="str">
        <f>"0"</f>
        <v>0</v>
      </c>
      <c r="BM343" t="str">
        <f xml:space="preserve"> IF($BK$343 &gt;= $G$281, "1","0")</f>
        <v>0</v>
      </c>
      <c r="BN343">
        <f xml:space="preserve"> IF( AND( $BL$343 = "1", $BM$343 = "1" ), 1, IF( AND( $BL$343 = "1", $BM$343 = "0" ), 2, IF( AND( $BL$343 = "0", $BM$343 = "1" ), 3, 4 ) ) )</f>
        <v>4</v>
      </c>
    </row>
    <row r="344" spans="58:66" x14ac:dyDescent="0.25">
      <c r="BF344" s="1">
        <v>0.21428571428571427</v>
      </c>
      <c r="BG344" t="str">
        <f>"0"</f>
        <v>0</v>
      </c>
      <c r="BH344" t="str">
        <f xml:space="preserve"> IF($BF$344 &gt;= $G$204, "1","0")</f>
        <v>0</v>
      </c>
      <c r="BI344">
        <f xml:space="preserve"> IF( AND( $BG$344 = "1", $BH$344 = "1" ), 1, IF( AND( $BG$344 = "1", $BH$344 = "0" ), 2, IF( AND( $BG$344 = "0", $BH$344 = "1" ), 3, 4 ) ) )</f>
        <v>4</v>
      </c>
      <c r="BK344" s="1">
        <v>0.32</v>
      </c>
      <c r="BL344" t="str">
        <f>"0"</f>
        <v>0</v>
      </c>
      <c r="BM344" t="str">
        <f xml:space="preserve"> IF($BK$344 &gt;= $G$281, "1","0")</f>
        <v>1</v>
      </c>
      <c r="BN344">
        <f xml:space="preserve"> IF( AND( $BL$344 = "1", $BM$344 = "1" ), 1, IF( AND( $BL$344 = "1", $BM$344 = "0" ), 2, IF( AND( $BL$344 = "0", $BM$344 = "1" ), 3, 4 ) ) )</f>
        <v>3</v>
      </c>
    </row>
    <row r="345" spans="58:66" x14ac:dyDescent="0.25">
      <c r="BF345" s="1">
        <v>0</v>
      </c>
      <c r="BG345" t="str">
        <f>"0"</f>
        <v>0</v>
      </c>
      <c r="BH345" t="str">
        <f xml:space="preserve"> IF($BF$345 &gt;= $G$204, "1","0")</f>
        <v>0</v>
      </c>
      <c r="BI345">
        <f xml:space="preserve"> IF( AND( $BG$345 = "1", $BH$345 = "1" ), 1, IF( AND( $BG$345 = "1", $BH$345 = "0" ), 2, IF( AND( $BG$345 = "0", $BH$345 = "1" ), 3, 4 ) ) )</f>
        <v>4</v>
      </c>
      <c r="BK345" s="1">
        <v>2.5000000000000001E-3</v>
      </c>
      <c r="BL345" t="str">
        <f>"0"</f>
        <v>0</v>
      </c>
      <c r="BM345" t="str">
        <f xml:space="preserve"> IF($BK$345 &gt;= $G$281, "1","0")</f>
        <v>0</v>
      </c>
      <c r="BN345">
        <f xml:space="preserve"> IF( AND( $BL$345 = "1", $BM$345 = "1" ), 1, IF( AND( $BL$345 = "1", $BM$345 = "0" ), 2, IF( AND( $BL$345 = "0", $BM$345 = "1" ), 3, 4 ) ) )</f>
        <v>4</v>
      </c>
    </row>
    <row r="346" spans="58:66" x14ac:dyDescent="0.25">
      <c r="BF346" s="1">
        <v>0</v>
      </c>
      <c r="BG346" t="str">
        <f>"0"</f>
        <v>0</v>
      </c>
      <c r="BH346" t="str">
        <f xml:space="preserve"> IF($BF$346 &gt;= $G$204, "1","0")</f>
        <v>0</v>
      </c>
      <c r="BI346">
        <f xml:space="preserve"> IF( AND( $BG$346 = "1", $BH$346 = "1" ), 1, IF( AND( $BG$346 = "1", $BH$346 = "0" ), 2, IF( AND( $BG$346 = "0", $BH$346 = "1" ), 3, 4 ) ) )</f>
        <v>4</v>
      </c>
      <c r="BK346" s="1">
        <v>1.8947368421052633E-2</v>
      </c>
      <c r="BL346" t="str">
        <f>"0"</f>
        <v>0</v>
      </c>
      <c r="BM346" t="str">
        <f xml:space="preserve"> IF($BK$346 &gt;= $G$281, "1","0")</f>
        <v>0</v>
      </c>
      <c r="BN346">
        <f xml:space="preserve"> IF( AND( $BL$346 = "1", $BM$346 = "1" ), 1, IF( AND( $BL$346 = "1", $BM$346 = "0" ), 2, IF( AND( $BL$346 = "0", $BM$346 = "1" ), 3, 4 ) ) )</f>
        <v>4</v>
      </c>
    </row>
    <row r="347" spans="58:66" x14ac:dyDescent="0.25">
      <c r="BF347" s="1">
        <v>8.3333333333333329E-2</v>
      </c>
      <c r="BG347" t="str">
        <f>"0"</f>
        <v>0</v>
      </c>
      <c r="BH347" t="str">
        <f xml:space="preserve"> IF($BF$347 &gt;= $G$204, "1","0")</f>
        <v>0</v>
      </c>
      <c r="BI347">
        <f xml:space="preserve"> IF( AND( $BG$347 = "1", $BH$347 = "1" ), 1, IF( AND( $BG$347 = "1", $BH$347 = "0" ), 2, IF( AND( $BG$347 = "0", $BH$347 = "1" ), 3, 4 ) ) )</f>
        <v>4</v>
      </c>
      <c r="BK347" s="1">
        <v>1</v>
      </c>
      <c r="BL347" t="str">
        <f>"1"</f>
        <v>1</v>
      </c>
      <c r="BM347" t="str">
        <f xml:space="preserve"> IF($BK$347 &gt;= $G$281, "1","0")</f>
        <v>1</v>
      </c>
      <c r="BN347">
        <f xml:space="preserve"> IF( AND( $BL$347 = "1", $BM$347 = "1" ), 1, IF( AND( $BL$347 = "1", $BM$347 = "0" ), 2, IF( AND( $BL$347 = "0", $BM$347 = "1" ), 3, 4 ) ) )</f>
        <v>1</v>
      </c>
    </row>
    <row r="348" spans="58:66" x14ac:dyDescent="0.25">
      <c r="BF348" s="1">
        <v>0</v>
      </c>
      <c r="BG348" t="str">
        <f>"0"</f>
        <v>0</v>
      </c>
      <c r="BH348" t="str">
        <f xml:space="preserve"> IF($BF$348 &gt;= $G$204, "1","0")</f>
        <v>0</v>
      </c>
      <c r="BI348">
        <f xml:space="preserve"> IF( AND( $BG$348 = "1", $BH$348 = "1" ), 1, IF( AND( $BG$348 = "1", $BH$348 = "0" ), 2, IF( AND( $BG$348 = "0", $BH$348 = "1" ), 3, 4 ) ) )</f>
        <v>4</v>
      </c>
      <c r="BK348" s="1">
        <v>0.79999999999999993</v>
      </c>
      <c r="BL348" t="str">
        <f>"1"</f>
        <v>1</v>
      </c>
      <c r="BM348" t="str">
        <f xml:space="preserve"> IF($BK$348 &gt;= $G$281, "1","0")</f>
        <v>1</v>
      </c>
      <c r="BN348">
        <f xml:space="preserve"> IF( AND( $BL$348 = "1", $BM$348 = "1" ), 1, IF( AND( $BL$348 = "1", $BM$348 = "0" ), 2, IF( AND( $BL$348 = "0", $BM$348 = "1" ), 3, 4 ) ) )</f>
        <v>1</v>
      </c>
    </row>
    <row r="349" spans="58:66" x14ac:dyDescent="0.25">
      <c r="BF349" s="1">
        <v>8.3333333333333329E-2</v>
      </c>
      <c r="BG349" t="str">
        <f>"0"</f>
        <v>0</v>
      </c>
      <c r="BH349" t="str">
        <f xml:space="preserve"> IF($BF$349 &gt;= $G$204, "1","0")</f>
        <v>0</v>
      </c>
      <c r="BI349">
        <f xml:space="preserve"> IF( AND( $BG$349 = "1", $BH$349 = "1" ), 1, IF( AND( $BG$349 = "1", $BH$349 = "0" ), 2, IF( AND( $BG$349 = "0", $BH$349 = "1" ), 3, 4 ) ) )</f>
        <v>4</v>
      </c>
      <c r="BK349" s="1">
        <v>0.32</v>
      </c>
      <c r="BL349" t="str">
        <f>"1"</f>
        <v>1</v>
      </c>
      <c r="BM349" t="str">
        <f xml:space="preserve"> IF($BK$349 &gt;= $G$281, "1","0")</f>
        <v>1</v>
      </c>
      <c r="BN349">
        <f xml:space="preserve"> IF( AND( $BL$349 = "1", $BM$349 = "1" ), 1, IF( AND( $BL$349 = "1", $BM$349 = "0" ), 2, IF( AND( $BL$349 = "0", $BM$349 = "1" ), 3, 4 ) ) )</f>
        <v>1</v>
      </c>
    </row>
    <row r="350" spans="58:66" x14ac:dyDescent="0.25">
      <c r="BF350" s="1">
        <v>0</v>
      </c>
      <c r="BG350" t="str">
        <f>"0"</f>
        <v>0</v>
      </c>
      <c r="BH350" t="str">
        <f xml:space="preserve"> IF($BF$350 &gt;= $G$204, "1","0")</f>
        <v>0</v>
      </c>
      <c r="BI350">
        <f xml:space="preserve"> IF( AND( $BG$350 = "1", $BH$350 = "1" ), 1, IF( AND( $BG$350 = "1", $BH$350 = "0" ), 2, IF( AND( $BG$350 = "0", $BH$350 = "1" ), 3, 4 ) ) )</f>
        <v>4</v>
      </c>
      <c r="BK350" s="1">
        <v>1.8947368421052633E-2</v>
      </c>
      <c r="BL350" t="str">
        <f>"0"</f>
        <v>0</v>
      </c>
      <c r="BM350" t="str">
        <f xml:space="preserve"> IF($BK$350 &gt;= $G$281, "1","0")</f>
        <v>0</v>
      </c>
      <c r="BN350">
        <f xml:space="preserve"> IF( AND( $BL$350 = "1", $BM$350 = "1" ), 1, IF( AND( $BL$350 = "1", $BM$350 = "0" ), 2, IF( AND( $BL$350 = "0", $BM$350 = "1" ), 3, 4 ) ) )</f>
        <v>4</v>
      </c>
    </row>
    <row r="351" spans="58:66" x14ac:dyDescent="0.25">
      <c r="BF351" s="1">
        <v>0.21428571428571427</v>
      </c>
      <c r="BG351" t="str">
        <f>"0"</f>
        <v>0</v>
      </c>
      <c r="BH351" t="str">
        <f xml:space="preserve"> IF($BF$351 &gt;= $G$204, "1","0")</f>
        <v>0</v>
      </c>
      <c r="BI351">
        <f xml:space="preserve"> IF( AND( $BG$351 = "1", $BH$351 = "1" ), 1, IF( AND( $BG$351 = "1", $BH$351 = "0" ), 2, IF( AND( $BG$351 = "0", $BH$351 = "1" ), 3, 4 ) ) )</f>
        <v>4</v>
      </c>
      <c r="BK351" s="1">
        <v>0.79999999999999993</v>
      </c>
      <c r="BL351" t="str">
        <f>"0"</f>
        <v>0</v>
      </c>
      <c r="BM351" t="str">
        <f xml:space="preserve"> IF($BK$351 &gt;= $G$281, "1","0")</f>
        <v>1</v>
      </c>
      <c r="BN351">
        <f xml:space="preserve"> IF( AND( $BL$351 = "1", $BM$351 = "1" ), 1, IF( AND( $BL$351 = "1", $BM$351 = "0" ), 2, IF( AND( $BL$351 = "0", $BM$351 = "1" ), 3, 4 ) ) )</f>
        <v>3</v>
      </c>
    </row>
    <row r="352" spans="58:66" x14ac:dyDescent="0.25">
      <c r="BF352" s="1">
        <v>7.1428571428571411E-2</v>
      </c>
      <c r="BG352" t="str">
        <f>"0"</f>
        <v>0</v>
      </c>
      <c r="BH352" t="str">
        <f xml:space="preserve"> IF($BF$352 &gt;= $G$204, "1","0")</f>
        <v>0</v>
      </c>
      <c r="BI352">
        <f xml:space="preserve"> IF( AND( $BG$352 = "1", $BH$352 = "1" ), 1, IF( AND( $BG$352 = "1", $BH$352 = "0" ), 2, IF( AND( $BG$352 = "0", $BH$352 = "1" ), 3, 4 ) ) )</f>
        <v>4</v>
      </c>
      <c r="BK352" s="1">
        <v>2.5000000000000001E-3</v>
      </c>
      <c r="BL352" t="str">
        <f>"0"</f>
        <v>0</v>
      </c>
      <c r="BM352" t="str">
        <f xml:space="preserve"> IF($BK$352 &gt;= $G$281, "1","0")</f>
        <v>0</v>
      </c>
      <c r="BN352">
        <f xml:space="preserve"> IF( AND( $BL$352 = "1", $BM$352 = "1" ), 1, IF( AND( $BL$352 = "1", $BM$352 = "0" ), 2, IF( AND( $BL$352 = "0", $BM$352 = "1" ), 3, 4 ) ) )</f>
        <v>4</v>
      </c>
    </row>
    <row r="353" spans="58:66" x14ac:dyDescent="0.25">
      <c r="BF353" s="1">
        <v>0</v>
      </c>
      <c r="BG353" t="str">
        <f>"0"</f>
        <v>0</v>
      </c>
      <c r="BH353" t="str">
        <f xml:space="preserve"> IF($BF$353 &gt;= $G$204, "1","0")</f>
        <v>0</v>
      </c>
      <c r="BI353">
        <f xml:space="preserve"> IF( AND( $BG$353 = "1", $BH$353 = "1" ), 1, IF( AND( $BG$353 = "1", $BH$353 = "0" ), 2, IF( AND( $BG$353 = "0", $BH$353 = "1" ), 3, 4 ) ) )</f>
        <v>4</v>
      </c>
      <c r="BK353" s="1">
        <v>2.5000000000000001E-3</v>
      </c>
      <c r="BL353" t="str">
        <f>"0"</f>
        <v>0</v>
      </c>
      <c r="BM353" t="str">
        <f xml:space="preserve"> IF($BK$353 &gt;= $G$281, "1","0")</f>
        <v>0</v>
      </c>
      <c r="BN353">
        <f xml:space="preserve"> IF( AND( $BL$353 = "1", $BM$353 = "1" ), 1, IF( AND( $BL$353 = "1", $BM$353 = "0" ), 2, IF( AND( $BL$353 = "0", $BM$353 = "1" ), 3, 4 ) ) )</f>
        <v>4</v>
      </c>
    </row>
    <row r="354" spans="58:66" x14ac:dyDescent="0.25">
      <c r="BF354" s="1">
        <v>8.3333333333333329E-2</v>
      </c>
      <c r="BG354" t="str">
        <f>"0"</f>
        <v>0</v>
      </c>
      <c r="BH354" t="str">
        <f xml:space="preserve"> IF($BF$354 &gt;= $G$204, "1","0")</f>
        <v>0</v>
      </c>
      <c r="BI354">
        <f xml:space="preserve"> IF( AND( $BG$354 = "1", $BH$354 = "1" ), 1, IF( AND( $BG$354 = "1", $BH$354 = "0" ), 2, IF( AND( $BG$354 = "0", $BH$354 = "1" ), 3, 4 ) ) )</f>
        <v>4</v>
      </c>
      <c r="BK354" s="1">
        <v>3.333333333333334E-2</v>
      </c>
      <c r="BL354" t="str">
        <f>"1"</f>
        <v>1</v>
      </c>
      <c r="BM354" t="str">
        <f xml:space="preserve"> IF($BK$354 &gt;= $G$281, "1","0")</f>
        <v>0</v>
      </c>
      <c r="BN354">
        <f xml:space="preserve"> IF( AND( $BL$354 = "1", $BM$354 = "1" ), 1, IF( AND( $BL$354 = "1", $BM$354 = "0" ), 2, IF( AND( $BL$354 = "0", $BM$354 = "1" ), 3, 4 ) ) )</f>
        <v>2</v>
      </c>
    </row>
    <row r="355" spans="58:66" x14ac:dyDescent="0.25">
      <c r="BF355" s="1">
        <v>0</v>
      </c>
      <c r="BG355" t="str">
        <f>"0"</f>
        <v>0</v>
      </c>
      <c r="BH355" t="str">
        <f xml:space="preserve"> IF($BF$355 &gt;= $G$204, "1","0")</f>
        <v>0</v>
      </c>
      <c r="BI355">
        <f xml:space="preserve"> IF( AND( $BG$355 = "1", $BH$355 = "1" ), 1, IF( AND( $BG$355 = "1", $BH$355 = "0" ), 2, IF( AND( $BG$355 = "0", $BH$355 = "1" ), 3, 4 ) ) )</f>
        <v>4</v>
      </c>
      <c r="BK355" s="1">
        <v>1</v>
      </c>
      <c r="BL355" t="str">
        <f>"1"</f>
        <v>1</v>
      </c>
      <c r="BM355" t="str">
        <f xml:space="preserve"> IF($BK$355 &gt;= $G$281, "1","0")</f>
        <v>1</v>
      </c>
      <c r="BN355">
        <f xml:space="preserve"> IF( AND( $BL$355 = "1", $BM$355 = "1" ), 1, IF( AND( $BL$355 = "1", $BM$355 = "0" ), 2, IF( AND( $BL$355 = "0", $BM$355 = "1" ), 3, 4 ) ) )</f>
        <v>1</v>
      </c>
    </row>
    <row r="356" spans="58:66" x14ac:dyDescent="0.25">
      <c r="BF356" s="1">
        <v>0</v>
      </c>
      <c r="BG356" t="str">
        <f>"0"</f>
        <v>0</v>
      </c>
      <c r="BH356" t="str">
        <f xml:space="preserve"> IF($BF$356 &gt;= $G$204, "1","0")</f>
        <v>0</v>
      </c>
      <c r="BI356">
        <f xml:space="preserve"> IF( AND( $BG$356 = "1", $BH$356 = "1" ), 1, IF( AND( $BG$356 = "1", $BH$356 = "0" ), 2, IF( AND( $BG$356 = "0", $BH$356 = "1" ), 3, 4 ) ) )</f>
        <v>4</v>
      </c>
      <c r="BK356" s="1">
        <v>3.333333333333334E-2</v>
      </c>
      <c r="BL356" t="str">
        <f>"0"</f>
        <v>0</v>
      </c>
      <c r="BM356" t="str">
        <f xml:space="preserve"> IF($BK$356 &gt;= $G$281, "1","0")</f>
        <v>0</v>
      </c>
      <c r="BN356">
        <f xml:space="preserve"> IF( AND( $BL$356 = "1", $BM$356 = "1" ), 1, IF( AND( $BL$356 = "1", $BM$356 = "0" ), 2, IF( AND( $BL$356 = "0", $BM$356 = "1" ), 3, 4 ) ) )</f>
        <v>4</v>
      </c>
    </row>
    <row r="357" spans="58:66" x14ac:dyDescent="0.25">
      <c r="BF357" s="1">
        <v>0</v>
      </c>
      <c r="BG357" t="str">
        <f>"0"</f>
        <v>0</v>
      </c>
      <c r="BH357" t="str">
        <f xml:space="preserve"> IF($BF$357 &gt;= $G$204, "1","0")</f>
        <v>0</v>
      </c>
      <c r="BI357">
        <f xml:space="preserve"> IF( AND( $BG$357 = "1", $BH$357 = "1" ), 1, IF( AND( $BG$357 = "1", $BH$357 = "0" ), 2, IF( AND( $BG$357 = "0", $BH$357 = "1" ), 3, 4 ) ) )</f>
        <v>4</v>
      </c>
      <c r="BK357" s="1">
        <v>1.8947368421052633E-2</v>
      </c>
      <c r="BL357" t="str">
        <f>"0"</f>
        <v>0</v>
      </c>
      <c r="BM357" t="str">
        <f xml:space="preserve"> IF($BK$357 &gt;= $G$281, "1","0")</f>
        <v>0</v>
      </c>
      <c r="BN357">
        <f xml:space="preserve"> IF( AND( $BL$357 = "1", $BM$357 = "1" ), 1, IF( AND( $BL$357 = "1", $BM$357 = "0" ), 2, IF( AND( $BL$357 = "0", $BM$357 = "1" ), 3, 4 ) ) )</f>
        <v>4</v>
      </c>
    </row>
    <row r="358" spans="58:66" x14ac:dyDescent="0.25">
      <c r="BF358" s="1">
        <v>0</v>
      </c>
      <c r="BG358" t="str">
        <f>"0"</f>
        <v>0</v>
      </c>
      <c r="BH358" t="str">
        <f xml:space="preserve"> IF($BF$358 &gt;= $G$204, "1","0")</f>
        <v>0</v>
      </c>
      <c r="BI358">
        <f xml:space="preserve"> IF( AND( $BG$358 = "1", $BH$358 = "1" ), 1, IF( AND( $BG$358 = "1", $BH$358 = "0" ), 2, IF( AND( $BG$358 = "0", $BH$358 = "1" ), 3, 4 ) ) )</f>
        <v>4</v>
      </c>
      <c r="BK358" s="1">
        <v>1.8947368421052633E-2</v>
      </c>
      <c r="BL358" t="str">
        <f>"0"</f>
        <v>0</v>
      </c>
      <c r="BM358" t="str">
        <f xml:space="preserve"> IF($BK$358 &gt;= $G$281, "1","0")</f>
        <v>0</v>
      </c>
      <c r="BN358">
        <f xml:space="preserve"> IF( AND( $BL$358 = "1", $BM$358 = "1" ), 1, IF( AND( $BL$358 = "1", $BM$358 = "0" ), 2, IF( AND( $BL$358 = "0", $BM$358 = "1" ), 3, 4 ) ) )</f>
        <v>4</v>
      </c>
    </row>
    <row r="359" spans="58:66" x14ac:dyDescent="0.25">
      <c r="BF359" s="1">
        <v>0.83333333333333326</v>
      </c>
      <c r="BG359" t="str">
        <f>"0"</f>
        <v>0</v>
      </c>
      <c r="BH359" t="str">
        <f xml:space="preserve"> IF($BF$359 &gt;= $G$204, "1","0")</f>
        <v>1</v>
      </c>
      <c r="BI359">
        <f xml:space="preserve"> IF( AND( $BG$359 = "1", $BH$359 = "1" ), 1, IF( AND( $BG$359 = "1", $BH$359 = "0" ), 2, IF( AND( $BG$359 = "0", $BH$359 = "1" ), 3, 4 ) ) )</f>
        <v>3</v>
      </c>
      <c r="BK359" s="1">
        <v>2.5000000000000001E-3</v>
      </c>
      <c r="BL359" t="str">
        <f>"0"</f>
        <v>0</v>
      </c>
      <c r="BM359" t="str">
        <f xml:space="preserve"> IF($BK$359 &gt;= $G$281, "1","0")</f>
        <v>0</v>
      </c>
      <c r="BN359">
        <f xml:space="preserve"> IF( AND( $BL$359 = "1", $BM$359 = "1" ), 1, IF( AND( $BL$359 = "1", $BM$359 = "0" ), 2, IF( AND( $BL$359 = "0", $BM$359 = "1" ), 3, 4 ) ) )</f>
        <v>4</v>
      </c>
    </row>
    <row r="360" spans="58:66" x14ac:dyDescent="0.25">
      <c r="BF360" s="1">
        <v>0.5</v>
      </c>
      <c r="BG360" t="str">
        <f>"0"</f>
        <v>0</v>
      </c>
      <c r="BH360" t="str">
        <f xml:space="preserve"> IF($BF$360 &gt;= $G$204, "1","0")</f>
        <v>1</v>
      </c>
      <c r="BI360">
        <f xml:space="preserve"> IF( AND( $BG$360 = "1", $BH$360 = "1" ), 1, IF( AND( $BG$360 = "1", $BH$360 = "0" ), 2, IF( AND( $BG$360 = "0", $BH$360 = "1" ), 3, 4 ) ) )</f>
        <v>3</v>
      </c>
      <c r="BK360" s="1">
        <v>0.37500000000000006</v>
      </c>
      <c r="BL360" t="str">
        <f>"1"</f>
        <v>1</v>
      </c>
      <c r="BM360" t="str">
        <f xml:space="preserve"> IF($BK$360 &gt;= $G$281, "1","0")</f>
        <v>1</v>
      </c>
      <c r="BN360">
        <f xml:space="preserve"> IF( AND( $BL$360 = "1", $BM$360 = "1" ), 1, IF( AND( $BL$360 = "1", $BM$360 = "0" ), 2, IF( AND( $BL$360 = "0", $BM$360 = "1" ), 3, 4 ) ) )</f>
        <v>1</v>
      </c>
    </row>
    <row r="361" spans="58:66" x14ac:dyDescent="0.25">
      <c r="BF361" s="1">
        <v>4.3478260869565209E-2</v>
      </c>
      <c r="BG361" t="str">
        <f>"0"</f>
        <v>0</v>
      </c>
      <c r="BH361" t="str">
        <f xml:space="preserve"> IF($BF$361 &gt;= $G$204, "1","0")</f>
        <v>0</v>
      </c>
      <c r="BI361">
        <f xml:space="preserve"> IF( AND( $BG$361 = "1", $BH$361 = "1" ), 1, IF( AND( $BG$361 = "1", $BH$361 = "0" ), 2, IF( AND( $BG$361 = "0", $BH$361 = "1" ), 3, 4 ) ) )</f>
        <v>4</v>
      </c>
      <c r="BK361" s="1">
        <v>0.32</v>
      </c>
      <c r="BL361" t="str">
        <f>"1"</f>
        <v>1</v>
      </c>
      <c r="BM361" t="str">
        <f xml:space="preserve"> IF($BK$361 &gt;= $G$281, "1","0")</f>
        <v>1</v>
      </c>
      <c r="BN361">
        <f xml:space="preserve"> IF( AND( $BL$361 = "1", $BM$361 = "1" ), 1, IF( AND( $BL$361 = "1", $BM$361 = "0" ), 2, IF( AND( $BL$361 = "0", $BM$361 = "1" ), 3, 4 ) ) )</f>
        <v>1</v>
      </c>
    </row>
    <row r="362" spans="58:66" x14ac:dyDescent="0.25">
      <c r="BF362" s="1">
        <v>0.37500000000000006</v>
      </c>
      <c r="BG362" t="str">
        <f>"0"</f>
        <v>0</v>
      </c>
      <c r="BH362" t="str">
        <f xml:space="preserve"> IF($BF$362 &gt;= $G$204, "1","0")</f>
        <v>1</v>
      </c>
      <c r="BI362">
        <f xml:space="preserve"> IF( AND( $BG$362 = "1", $BH$362 = "1" ), 1, IF( AND( $BG$362 = "1", $BH$362 = "0" ), 2, IF( AND( $BG$362 = "0", $BH$362 = "1" ), 3, 4 ) ) )</f>
        <v>3</v>
      </c>
      <c r="BK362" s="1">
        <v>1.8947368421052633E-2</v>
      </c>
      <c r="BL362" t="str">
        <f>"0"</f>
        <v>0</v>
      </c>
      <c r="BM362" t="str">
        <f xml:space="preserve"> IF($BK$362 &gt;= $G$281, "1","0")</f>
        <v>0</v>
      </c>
      <c r="BN362">
        <f xml:space="preserve"> IF( AND( $BL$362 = "1", $BM$362 = "1" ), 1, IF( AND( $BL$362 = "1", $BM$362 = "0" ), 2, IF( AND( $BL$362 = "0", $BM$362 = "1" ), 3, 4 ) ) )</f>
        <v>4</v>
      </c>
    </row>
    <row r="363" spans="58:66" x14ac:dyDescent="0.25">
      <c r="BF363" s="1">
        <v>0</v>
      </c>
      <c r="BG363" t="str">
        <f>"0"</f>
        <v>0</v>
      </c>
      <c r="BH363" t="str">
        <f xml:space="preserve"> IF($BF$363 &gt;= $G$204, "1","0")</f>
        <v>0</v>
      </c>
      <c r="BI363">
        <f xml:space="preserve"> IF( AND( $BG$363 = "1", $BH$363 = "1" ), 1, IF( AND( $BG$363 = "1", $BH$363 = "0" ), 2, IF( AND( $BG$363 = "0", $BH$363 = "1" ), 3, 4 ) ) )</f>
        <v>4</v>
      </c>
      <c r="BK363" s="1">
        <v>2.5000000000000001E-3</v>
      </c>
      <c r="BL363" t="str">
        <f>"0"</f>
        <v>0</v>
      </c>
      <c r="BM363" t="str">
        <f xml:space="preserve"> IF($BK$363 &gt;= $G$281, "1","0")</f>
        <v>0</v>
      </c>
      <c r="BN363">
        <f xml:space="preserve"> IF( AND( $BL$363 = "1", $BM$363 = "1" ), 1, IF( AND( $BL$363 = "1", $BM$363 = "0" ), 2, IF( AND( $BL$363 = "0", $BM$363 = "1" ), 3, 4 ) ) )</f>
        <v>4</v>
      </c>
    </row>
    <row r="364" spans="58:66" x14ac:dyDescent="0.25">
      <c r="BF364" s="1">
        <v>4.3478260869565209E-2</v>
      </c>
      <c r="BG364" t="str">
        <f>"0"</f>
        <v>0</v>
      </c>
      <c r="BH364" t="str">
        <f xml:space="preserve"> IF($BF$364 &gt;= $G$204, "1","0")</f>
        <v>0</v>
      </c>
      <c r="BI364">
        <f xml:space="preserve"> IF( AND( $BG$364 = "1", $BH$364 = "1" ), 1, IF( AND( $BG$364 = "1", $BH$364 = "0" ), 2, IF( AND( $BG$364 = "0", $BH$364 = "1" ), 3, 4 ) ) )</f>
        <v>4</v>
      </c>
      <c r="BK364" s="1">
        <v>0.14285714285714285</v>
      </c>
      <c r="BL364" t="str">
        <f>"0"</f>
        <v>0</v>
      </c>
      <c r="BM364" t="str">
        <f xml:space="preserve"> IF($BK$364 &gt;= $G$281, "1","0")</f>
        <v>0</v>
      </c>
      <c r="BN364">
        <f xml:space="preserve"> IF( AND( $BL$364 = "1", $BM$364 = "1" ), 1, IF( AND( $BL$364 = "1", $BM$364 = "0" ), 2, IF( AND( $BL$364 = "0", $BM$364 = "1" ), 3, 4 ) ) )</f>
        <v>4</v>
      </c>
    </row>
    <row r="365" spans="58:66" x14ac:dyDescent="0.25">
      <c r="BF365" s="1">
        <v>0.64</v>
      </c>
      <c r="BG365" t="str">
        <f>"0"</f>
        <v>0</v>
      </c>
      <c r="BH365" t="str">
        <f xml:space="preserve"> IF($BF$365 &gt;= $G$204, "1","0")</f>
        <v>1</v>
      </c>
      <c r="BI365">
        <f xml:space="preserve"> IF( AND( $BG$365 = "1", $BH$365 = "1" ), 1, IF( AND( $BG$365 = "1", $BH$365 = "0" ), 2, IF( AND( $BG$365 = "0", $BH$365 = "1" ), 3, 4 ) ) )</f>
        <v>3</v>
      </c>
      <c r="BK365" s="1">
        <v>1.8947368421052633E-2</v>
      </c>
      <c r="BL365" t="str">
        <f>"0"</f>
        <v>0</v>
      </c>
      <c r="BM365" t="str">
        <f xml:space="preserve"> IF($BK$365 &gt;= $G$281, "1","0")</f>
        <v>0</v>
      </c>
      <c r="BN365">
        <f xml:space="preserve"> IF( AND( $BL$365 = "1", $BM$365 = "1" ), 1, IF( AND( $BL$365 = "1", $BM$365 = "0" ), 2, IF( AND( $BL$365 = "0", $BM$365 = "1" ), 3, 4 ) ) )</f>
        <v>4</v>
      </c>
    </row>
    <row r="366" spans="58:66" x14ac:dyDescent="0.25">
      <c r="BF366" s="1">
        <v>0.44444444444444448</v>
      </c>
      <c r="BG366" t="str">
        <f>"0"</f>
        <v>0</v>
      </c>
      <c r="BH366" t="str">
        <f xml:space="preserve"> IF($BF$366 &gt;= $G$204, "1","0")</f>
        <v>1</v>
      </c>
      <c r="BI366">
        <f xml:space="preserve"> IF( AND( $BG$366 = "1", $BH$366 = "1" ), 1, IF( AND( $BG$366 = "1", $BH$366 = "0" ), 2, IF( AND( $BG$366 = "0", $BH$366 = "1" ), 3, 4 ) ) )</f>
        <v>3</v>
      </c>
      <c r="BK366" s="1">
        <v>0</v>
      </c>
      <c r="BL366" t="str">
        <f>"0"</f>
        <v>0</v>
      </c>
      <c r="BM366" t="str">
        <f xml:space="preserve"> IF($BK$366 &gt;= $G$281, "1","0")</f>
        <v>0</v>
      </c>
      <c r="BN366">
        <f xml:space="preserve"> IF( AND( $BL$366 = "1", $BM$366 = "1" ), 1, IF( AND( $BL$366 = "1", $BM$366 = "0" ), 2, IF( AND( $BL$366 = "0", $BM$366 = "1" ), 3, 4 ) ) )</f>
        <v>4</v>
      </c>
    </row>
    <row r="367" spans="58:66" x14ac:dyDescent="0.25">
      <c r="BF367" s="1">
        <v>0.2608695652173913</v>
      </c>
      <c r="BG367" t="str">
        <f>"0"</f>
        <v>0</v>
      </c>
      <c r="BH367" t="str">
        <f xml:space="preserve"> IF($BF$367 &gt;= $G$204, "1","0")</f>
        <v>1</v>
      </c>
      <c r="BI367">
        <f xml:space="preserve"> IF( AND( $BG$367 = "1", $BH$367 = "1" ), 1, IF( AND( $BG$367 = "1", $BH$367 = "0" ), 2, IF( AND( $BG$367 = "0", $BH$367 = "1" ), 3, 4 ) ) )</f>
        <v>3</v>
      </c>
      <c r="BK367" s="1">
        <v>1.8947368421052633E-2</v>
      </c>
      <c r="BL367" t="str">
        <f>"0"</f>
        <v>0</v>
      </c>
      <c r="BM367" t="str">
        <f xml:space="preserve"> IF($BK$367 &gt;= $G$281, "1","0")</f>
        <v>0</v>
      </c>
      <c r="BN367">
        <f xml:space="preserve"> IF( AND( $BL$367 = "1", $BM$367 = "1" ), 1, IF( AND( $BL$367 = "1", $BM$367 = "0" ), 2, IF( AND( $BL$367 = "0", $BM$367 = "1" ), 3, 4 ) ) )</f>
        <v>4</v>
      </c>
    </row>
    <row r="368" spans="58:66" x14ac:dyDescent="0.25">
      <c r="BF368" s="1">
        <v>0.2608695652173913</v>
      </c>
      <c r="BG368" t="str">
        <f>"0"</f>
        <v>0</v>
      </c>
      <c r="BH368" t="str">
        <f xml:space="preserve"> IF($BF$368 &gt;= $G$204, "1","0")</f>
        <v>1</v>
      </c>
      <c r="BI368">
        <f xml:space="preserve"> IF( AND( $BG$368 = "1", $BH$368 = "1" ), 1, IF( AND( $BG$368 = "1", $BH$368 = "0" ), 2, IF( AND( $BG$368 = "0", $BH$368 = "1" ), 3, 4 ) ) )</f>
        <v>3</v>
      </c>
      <c r="BK368" s="1">
        <v>1.8947368421052633E-2</v>
      </c>
      <c r="BL368" t="str">
        <f>"0"</f>
        <v>0</v>
      </c>
      <c r="BM368" t="str">
        <f xml:space="preserve"> IF($BK$368 &gt;= $G$281, "1","0")</f>
        <v>0</v>
      </c>
      <c r="BN368">
        <f xml:space="preserve"> IF( AND( $BL$368 = "1", $BM$368 = "1" ), 1, IF( AND( $BL$368 = "1", $BM$368 = "0" ), 2, IF( AND( $BL$368 = "0", $BM$368 = "1" ), 3, 4 ) ) )</f>
        <v>4</v>
      </c>
    </row>
    <row r="369" spans="58:66" x14ac:dyDescent="0.25">
      <c r="BF369" s="1">
        <v>0.37500000000000006</v>
      </c>
      <c r="BG369" t="str">
        <f>"0"</f>
        <v>0</v>
      </c>
      <c r="BH369" t="str">
        <f xml:space="preserve"> IF($BF$369 &gt;= $G$204, "1","0")</f>
        <v>1</v>
      </c>
      <c r="BI369">
        <f xml:space="preserve"> IF( AND( $BG$369 = "1", $BH$369 = "1" ), 1, IF( AND( $BG$369 = "1", $BH$369 = "0" ), 2, IF( AND( $BG$369 = "0", $BH$369 = "1" ), 3, 4 ) ) )</f>
        <v>3</v>
      </c>
      <c r="BK369" s="1">
        <v>0</v>
      </c>
      <c r="BL369" t="str">
        <f>"0"</f>
        <v>0</v>
      </c>
      <c r="BM369" t="str">
        <f xml:space="preserve"> IF($BK$369 &gt;= $G$281, "1","0")</f>
        <v>0</v>
      </c>
      <c r="BN369">
        <f xml:space="preserve"> IF( AND( $BL$369 = "1", $BM$369 = "1" ), 1, IF( AND( $BL$369 = "1", $BM$369 = "0" ), 2, IF( AND( $BL$369 = "0", $BM$369 = "1" ), 3, 4 ) ) )</f>
        <v>4</v>
      </c>
    </row>
    <row r="370" spans="58:66" x14ac:dyDescent="0.25">
      <c r="BF370" s="1">
        <v>0.2608695652173913</v>
      </c>
      <c r="BG370" t="str">
        <f>"0"</f>
        <v>0</v>
      </c>
      <c r="BH370" t="str">
        <f xml:space="preserve"> IF($BF$370 &gt;= $G$204, "1","0")</f>
        <v>1</v>
      </c>
      <c r="BI370">
        <f xml:space="preserve"> IF( AND( $BG$370 = "1", $BH$370 = "1" ), 1, IF( AND( $BG$370 = "1", $BH$370 = "0" ), 2, IF( AND( $BG$370 = "0", $BH$370 = "1" ), 3, 4 ) ) )</f>
        <v>3</v>
      </c>
      <c r="BK370" s="1">
        <v>1.8947368421052633E-2</v>
      </c>
      <c r="BL370" t="str">
        <f>"0"</f>
        <v>0</v>
      </c>
      <c r="BM370" t="str">
        <f xml:space="preserve"> IF($BK$370 &gt;= $G$281, "1","0")</f>
        <v>0</v>
      </c>
      <c r="BN370">
        <f xml:space="preserve"> IF( AND( $BL$370 = "1", $BM$370 = "1" ), 1, IF( AND( $BL$370 = "1", $BM$370 = "0" ), 2, IF( AND( $BL$370 = "0", $BM$370 = "1" ), 3, 4 ) ) )</f>
        <v>4</v>
      </c>
    </row>
    <row r="371" spans="58:66" x14ac:dyDescent="0.25">
      <c r="BF371" s="1">
        <v>0.44444444444444448</v>
      </c>
      <c r="BG371" t="str">
        <f>"0"</f>
        <v>0</v>
      </c>
      <c r="BH371" t="str">
        <f xml:space="preserve"> IF($BF$371 &gt;= $G$204, "1","0")</f>
        <v>1</v>
      </c>
      <c r="BI371">
        <f xml:space="preserve"> IF( AND( $BG$371 = "1", $BH$371 = "1" ), 1, IF( AND( $BG$371 = "1", $BH$371 = "0" ), 2, IF( AND( $BG$371 = "0", $BH$371 = "1" ), 3, 4 ) ) )</f>
        <v>3</v>
      </c>
      <c r="BK371" s="1">
        <v>1.8947368421052633E-2</v>
      </c>
      <c r="BL371" t="str">
        <f>"0"</f>
        <v>0</v>
      </c>
      <c r="BM371" t="str">
        <f xml:space="preserve"> IF($BK$371 &gt;= $G$281, "1","0")</f>
        <v>0</v>
      </c>
      <c r="BN371">
        <f xml:space="preserve"> IF( AND( $BL$371 = "1", $BM$371 = "1" ), 1, IF( AND( $BL$371 = "1", $BM$371 = "0" ), 2, IF( AND( $BL$371 = "0", $BM$371 = "1" ), 3, 4 ) ) )</f>
        <v>4</v>
      </c>
    </row>
    <row r="372" spans="58:66" x14ac:dyDescent="0.25">
      <c r="BF372" s="1">
        <v>0.79999999999999993</v>
      </c>
      <c r="BG372" t="str">
        <f>"0"</f>
        <v>0</v>
      </c>
      <c r="BH372" t="str">
        <f xml:space="preserve"> IF($BF$372 &gt;= $G$204, "1","0")</f>
        <v>1</v>
      </c>
      <c r="BI372">
        <f xml:space="preserve"> IF( AND( $BG$372 = "1", $BH$372 = "1" ), 1, IF( AND( $BG$372 = "1", $BH$372 = "0" ), 2, IF( AND( $BG$372 = "0", $BH$372 = "1" ), 3, 4 ) ) )</f>
        <v>3</v>
      </c>
      <c r="BK372" s="1">
        <v>0.83333333333333326</v>
      </c>
      <c r="BL372" t="str">
        <f>"0"</f>
        <v>0</v>
      </c>
      <c r="BM372" t="str">
        <f xml:space="preserve"> IF($BK$372 &gt;= $G$281, "1","0")</f>
        <v>1</v>
      </c>
      <c r="BN372">
        <f xml:space="preserve"> IF( AND( $BL$372 = "1", $BM$372 = "1" ), 1, IF( AND( $BL$372 = "1", $BM$372 = "0" ), 2, IF( AND( $BL$372 = "0", $BM$372 = "1" ), 3, 4 ) ) )</f>
        <v>3</v>
      </c>
    </row>
    <row r="373" spans="58:66" x14ac:dyDescent="0.25">
      <c r="BF373" s="1">
        <v>0.2608695652173913</v>
      </c>
      <c r="BG373" t="str">
        <f>"0"</f>
        <v>0</v>
      </c>
      <c r="BH373" t="str">
        <f xml:space="preserve"> IF($BF$373 &gt;= $G$204, "1","0")</f>
        <v>1</v>
      </c>
      <c r="BI373">
        <f xml:space="preserve"> IF( AND( $BG$373 = "1", $BH$373 = "1" ), 1, IF( AND( $BG$373 = "1", $BH$373 = "0" ), 2, IF( AND( $BG$373 = "0", $BH$373 = "1" ), 3, 4 ) ) )</f>
        <v>3</v>
      </c>
      <c r="BK373" s="1">
        <v>2.5000000000000001E-3</v>
      </c>
      <c r="BL373" t="str">
        <f>"0"</f>
        <v>0</v>
      </c>
      <c r="BM373" t="str">
        <f xml:space="preserve"> IF($BK$373 &gt;= $G$281, "1","0")</f>
        <v>0</v>
      </c>
      <c r="BN373">
        <f xml:space="preserve"> IF( AND( $BL$373 = "1", $BM$373 = "1" ), 1, IF( AND( $BL$373 = "1", $BM$373 = "0" ), 2, IF( AND( $BL$373 = "0", $BM$373 = "1" ), 3, 4 ) ) )</f>
        <v>4</v>
      </c>
    </row>
    <row r="374" spans="58:66" x14ac:dyDescent="0.25">
      <c r="BF374" s="1">
        <v>4.3478260869565209E-2</v>
      </c>
      <c r="BG374" t="str">
        <f>"0"</f>
        <v>0</v>
      </c>
      <c r="BH374" t="str">
        <f xml:space="preserve"> IF($BF$374 &gt;= $G$204, "1","0")</f>
        <v>0</v>
      </c>
      <c r="BI374">
        <f xml:space="preserve"> IF( AND( $BG$374 = "1", $BH$374 = "1" ), 1, IF( AND( $BG$374 = "1", $BH$374 = "0" ), 2, IF( AND( $BG$374 = "0", $BH$374 = "1" ), 3, 4 ) ) )</f>
        <v>4</v>
      </c>
      <c r="BK374" s="1">
        <v>1.8947368421052633E-2</v>
      </c>
      <c r="BL374" t="str">
        <f>"0"</f>
        <v>0</v>
      </c>
      <c r="BM374" t="str">
        <f xml:space="preserve"> IF($BK$374 &gt;= $G$281, "1","0")</f>
        <v>0</v>
      </c>
      <c r="BN374">
        <f xml:space="preserve"> IF( AND( $BL$374 = "1", $BM$374 = "1" ), 1, IF( AND( $BL$374 = "1", $BM$374 = "0" ), 2, IF( AND( $BL$374 = "0", $BM$374 = "1" ), 3, 4 ) ) )</f>
        <v>4</v>
      </c>
    </row>
    <row r="375" spans="58:66" x14ac:dyDescent="0.25">
      <c r="BF375" s="1">
        <v>0.64</v>
      </c>
      <c r="BG375" t="str">
        <f>"0"</f>
        <v>0</v>
      </c>
      <c r="BH375" t="str">
        <f xml:space="preserve"> IF($BF$375 &gt;= $G$204, "1","0")</f>
        <v>1</v>
      </c>
      <c r="BI375">
        <f xml:space="preserve"> IF( AND( $BG$375 = "1", $BH$375 = "1" ), 1, IF( AND( $BG$375 = "1", $BH$375 = "0" ), 2, IF( AND( $BG$375 = "0", $BH$375 = "1" ), 3, 4 ) ) )</f>
        <v>3</v>
      </c>
      <c r="BK375" s="1">
        <v>1.8947368421052633E-2</v>
      </c>
      <c r="BL375" t="str">
        <f>"0"</f>
        <v>0</v>
      </c>
      <c r="BM375" t="str">
        <f xml:space="preserve"> IF($BK$375 &gt;= $G$281, "1","0")</f>
        <v>0</v>
      </c>
      <c r="BN375">
        <f xml:space="preserve"> IF( AND( $BL$375 = "1", $BM$375 = "1" ), 1, IF( AND( $BL$375 = "1", $BM$375 = "0" ), 2, IF( AND( $BL$375 = "0", $BM$375 = "1" ), 3, 4 ) ) )</f>
        <v>4</v>
      </c>
    </row>
    <row r="376" spans="58:66" x14ac:dyDescent="0.25">
      <c r="BF376" s="1">
        <v>0.2608695652173913</v>
      </c>
      <c r="BG376" t="str">
        <f>"0"</f>
        <v>0</v>
      </c>
      <c r="BH376" t="str">
        <f xml:space="preserve"> IF($BF$376 &gt;= $G$204, "1","0")</f>
        <v>1</v>
      </c>
      <c r="BI376">
        <f xml:space="preserve"> IF( AND( $BG$376 = "1", $BH$376 = "1" ), 1, IF( AND( $BG$376 = "1", $BH$376 = "0" ), 2, IF( AND( $BG$376 = "0", $BH$376 = "1" ), 3, 4 ) ) )</f>
        <v>3</v>
      </c>
      <c r="BK376" s="1">
        <v>3.333333333333334E-2</v>
      </c>
      <c r="BL376" t="str">
        <f>"0"</f>
        <v>0</v>
      </c>
      <c r="BM376" t="str">
        <f xml:space="preserve"> IF($BK$376 &gt;= $G$281, "1","0")</f>
        <v>0</v>
      </c>
      <c r="BN376">
        <f xml:space="preserve"> IF( AND( $BL$376 = "1", $BM$376 = "1" ), 1, IF( AND( $BL$376 = "1", $BM$376 = "0" ), 2, IF( AND( $BL$376 = "0", $BM$376 = "1" ), 3, 4 ) ) )</f>
        <v>4</v>
      </c>
    </row>
    <row r="377" spans="58:66" x14ac:dyDescent="0.25">
      <c r="BF377" s="1">
        <v>0.72727272727272729</v>
      </c>
      <c r="BG377" t="str">
        <f>"0"</f>
        <v>0</v>
      </c>
      <c r="BH377" t="str">
        <f xml:space="preserve"> IF($BF$377 &gt;= $G$204, "1","0")</f>
        <v>1</v>
      </c>
      <c r="BI377">
        <f xml:space="preserve"> IF( AND( $BG$377 = "1", $BH$377 = "1" ), 1, IF( AND( $BG$377 = "1", $BH$377 = "0" ), 2, IF( AND( $BG$377 = "0", $BH$377 = "1" ), 3, 4 ) ) )</f>
        <v>3</v>
      </c>
      <c r="BK377" s="1">
        <v>1</v>
      </c>
      <c r="BL377" t="str">
        <f>"1"</f>
        <v>1</v>
      </c>
      <c r="BM377" t="str">
        <f xml:space="preserve"> IF($BK$377 &gt;= $G$281, "1","0")</f>
        <v>1</v>
      </c>
      <c r="BN377">
        <f xml:space="preserve"> IF( AND( $BL$377 = "1", $BM$377 = "1" ), 1, IF( AND( $BL$377 = "1", $BM$377 = "0" ), 2, IF( AND( $BL$377 = "0", $BM$377 = "1" ), 3, 4 ) ) )</f>
        <v>1</v>
      </c>
    </row>
    <row r="378" spans="58:66" x14ac:dyDescent="0.25">
      <c r="BF378" s="1">
        <v>4.3478260869565209E-2</v>
      </c>
      <c r="BG378" t="str">
        <f>"0"</f>
        <v>0</v>
      </c>
      <c r="BH378" t="str">
        <f xml:space="preserve"> IF($BF$378 &gt;= $G$204, "1","0")</f>
        <v>0</v>
      </c>
      <c r="BI378">
        <f xml:space="preserve"> IF( AND( $BG$378 = "1", $BH$378 = "1" ), 1, IF( AND( $BG$378 = "1", $BH$378 = "0" ), 2, IF( AND( $BG$378 = "0", $BH$378 = "1" ), 3, 4 ) ) )</f>
        <v>4</v>
      </c>
      <c r="BK378" s="1">
        <v>3.333333333333334E-2</v>
      </c>
      <c r="BL378" t="str">
        <f>"0"</f>
        <v>0</v>
      </c>
      <c r="BM378" t="str">
        <f xml:space="preserve"> IF($BK$378 &gt;= $G$281, "1","0")</f>
        <v>0</v>
      </c>
      <c r="BN378">
        <f xml:space="preserve"> IF( AND( $BL$378 = "1", $BM$378 = "1" ), 1, IF( AND( $BL$378 = "1", $BM$378 = "0" ), 2, IF( AND( $BL$378 = "0", $BM$378 = "1" ), 3, 4 ) ) )</f>
        <v>4</v>
      </c>
    </row>
    <row r="379" spans="58:66" x14ac:dyDescent="0.25">
      <c r="BF379" s="1">
        <v>4.3478260869565209E-2</v>
      </c>
      <c r="BG379" t="str">
        <f>"0"</f>
        <v>0</v>
      </c>
      <c r="BH379" t="str">
        <f xml:space="preserve"> IF($BF$379 &gt;= $G$204, "1","0")</f>
        <v>0</v>
      </c>
      <c r="BI379">
        <f xml:space="preserve"> IF( AND( $BG$379 = "1", $BH$379 = "1" ), 1, IF( AND( $BG$379 = "1", $BH$379 = "0" ), 2, IF( AND( $BG$379 = "0", $BH$379 = "1" ), 3, 4 ) ) )</f>
        <v>4</v>
      </c>
      <c r="BK379" s="1">
        <v>2.5000000000000001E-3</v>
      </c>
      <c r="BL379" t="str">
        <f>"0"</f>
        <v>0</v>
      </c>
      <c r="BM379" t="str">
        <f xml:space="preserve"> IF($BK$379 &gt;= $G$281, "1","0")</f>
        <v>0</v>
      </c>
      <c r="BN379">
        <f xml:space="preserve"> IF( AND( $BL$379 = "1", $BM$379 = "1" ), 1, IF( AND( $BL$379 = "1", $BM$379 = "0" ), 2, IF( AND( $BL$379 = "0", $BM$379 = "1" ), 3, 4 ) ) )</f>
        <v>4</v>
      </c>
    </row>
    <row r="380" spans="58:66" x14ac:dyDescent="0.25">
      <c r="BF380" s="1">
        <v>0.44444444444444448</v>
      </c>
      <c r="BG380" t="str">
        <f>"0"</f>
        <v>0</v>
      </c>
      <c r="BH380" t="str">
        <f xml:space="preserve"> IF($BF$380 &gt;= $G$204, "1","0")</f>
        <v>1</v>
      </c>
      <c r="BI380">
        <f xml:space="preserve"> IF( AND( $BG$380 = "1", $BH$380 = "1" ), 1, IF( AND( $BG$380 = "1", $BH$380 = "0" ), 2, IF( AND( $BG$380 = "0", $BH$380 = "1" ), 3, 4 ) ) )</f>
        <v>3</v>
      </c>
      <c r="BK380" s="1">
        <v>0.32</v>
      </c>
      <c r="BL380" t="str">
        <f>"0"</f>
        <v>0</v>
      </c>
      <c r="BM380" t="str">
        <f xml:space="preserve"> IF($BK$380 &gt;= $G$281, "1","0")</f>
        <v>1</v>
      </c>
      <c r="BN380">
        <f xml:space="preserve"> IF( AND( $BL$380 = "1", $BM$380 = "1" ), 1, IF( AND( $BL$380 = "1", $BM$380 = "0" ), 2, IF( AND( $BL$380 = "0", $BM$380 = "1" ), 3, 4 ) ) )</f>
        <v>3</v>
      </c>
    </row>
    <row r="381" spans="58:66" x14ac:dyDescent="0.25">
      <c r="BF381" s="1">
        <v>0</v>
      </c>
      <c r="BG381" t="str">
        <f>"0"</f>
        <v>0</v>
      </c>
      <c r="BH381" t="str">
        <f xml:space="preserve"> IF($BF$381 &gt;= $G$204, "1","0")</f>
        <v>0</v>
      </c>
      <c r="BI381">
        <f xml:space="preserve"> IF( AND( $BG$381 = "1", $BH$381 = "1" ), 1, IF( AND( $BG$381 = "1", $BH$381 = "0" ), 2, IF( AND( $BG$381 = "0", $BH$381 = "1" ), 3, 4 ) ) )</f>
        <v>4</v>
      </c>
      <c r="BK381" s="1">
        <v>0.14285714285714288</v>
      </c>
      <c r="BL381" t="str">
        <f>"0"</f>
        <v>0</v>
      </c>
      <c r="BM381" t="str">
        <f xml:space="preserve"> IF($BK$381 &gt;= $G$281, "1","0")</f>
        <v>0</v>
      </c>
      <c r="BN381">
        <f xml:space="preserve"> IF( AND( $BL$381 = "1", $BM$381 = "1" ), 1, IF( AND( $BL$381 = "1", $BM$381 = "0" ), 2, IF( AND( $BL$381 = "0", $BM$381 = "1" ), 3, 4 ) ) )</f>
        <v>4</v>
      </c>
    </row>
    <row r="382" spans="58:66" x14ac:dyDescent="0.25">
      <c r="BF382" s="1">
        <v>0</v>
      </c>
      <c r="BG382" t="str">
        <f>"0"</f>
        <v>0</v>
      </c>
      <c r="BH382" t="str">
        <f xml:space="preserve"> IF($BF$382 &gt;= $G$204, "1","0")</f>
        <v>0</v>
      </c>
      <c r="BI382">
        <f xml:space="preserve"> IF( AND( $BG$382 = "1", $BH$382 = "1" ), 1, IF( AND( $BG$382 = "1", $BH$382 = "0" ), 2, IF( AND( $BG$382 = "0", $BH$382 = "1" ), 3, 4 ) ) )</f>
        <v>4</v>
      </c>
      <c r="BK382" s="1">
        <v>1</v>
      </c>
      <c r="BL382" t="str">
        <f>"1"</f>
        <v>1</v>
      </c>
      <c r="BM382" t="str">
        <f xml:space="preserve"> IF($BK$382 &gt;= $G$281, "1","0")</f>
        <v>1</v>
      </c>
      <c r="BN382">
        <f xml:space="preserve"> IF( AND( $BL$382 = "1", $BM$382 = "1" ), 1, IF( AND( $BL$382 = "1", $BM$382 = "0" ), 2, IF( AND( $BL$382 = "0", $BM$382 = "1" ), 3, 4 ) ) )</f>
        <v>1</v>
      </c>
    </row>
    <row r="383" spans="58:66" x14ac:dyDescent="0.25">
      <c r="BF383" s="1">
        <v>0</v>
      </c>
      <c r="BG383" t="str">
        <f>"0"</f>
        <v>0</v>
      </c>
      <c r="BH383" t="str">
        <f xml:space="preserve"> IF($BF$383 &gt;= $G$204, "1","0")</f>
        <v>0</v>
      </c>
      <c r="BI383">
        <f xml:space="preserve"> IF( AND( $BG$383 = "1", $BH$383 = "1" ), 1, IF( AND( $BG$383 = "1", $BH$383 = "0" ), 2, IF( AND( $BG$383 = "0", $BH$383 = "1" ), 3, 4 ) ) )</f>
        <v>4</v>
      </c>
      <c r="BK383" s="1">
        <v>0.64</v>
      </c>
      <c r="BL383" t="str">
        <f>"1"</f>
        <v>1</v>
      </c>
      <c r="BM383" t="str">
        <f xml:space="preserve"> IF($BK$383 &gt;= $G$281, "1","0")</f>
        <v>1</v>
      </c>
      <c r="BN383">
        <f xml:space="preserve"> IF( AND( $BL$383 = "1", $BM$383 = "1" ), 1, IF( AND( $BL$383 = "1", $BM$383 = "0" ), 2, IF( AND( $BL$383 = "0", $BM$383 = "1" ), 3, 4 ) ) )</f>
        <v>1</v>
      </c>
    </row>
    <row r="384" spans="58:66" x14ac:dyDescent="0.25">
      <c r="BF384" s="1">
        <v>0</v>
      </c>
      <c r="BG384" t="str">
        <f>"0"</f>
        <v>0</v>
      </c>
      <c r="BH384" t="str">
        <f xml:space="preserve"> IF($BF$384 &gt;= $G$204, "1","0")</f>
        <v>0</v>
      </c>
      <c r="BI384">
        <f xml:space="preserve"> IF( AND( $BG$384 = "1", $BH$384 = "1" ), 1, IF( AND( $BG$384 = "1", $BH$384 = "0" ), 2, IF( AND( $BG$384 = "0", $BH$384 = "1" ), 3, 4 ) ) )</f>
        <v>4</v>
      </c>
      <c r="BK384" s="1">
        <v>2.5000000000000001E-3</v>
      </c>
      <c r="BL384" t="str">
        <f>"0"</f>
        <v>0</v>
      </c>
      <c r="BM384" t="str">
        <f xml:space="preserve"> IF($BK$384 &gt;= $G$281, "1","0")</f>
        <v>0</v>
      </c>
      <c r="BN384">
        <f xml:space="preserve"> IF( AND( $BL$384 = "1", $BM$384 = "1" ), 1, IF( AND( $BL$384 = "1", $BM$384 = "0" ), 2, IF( AND( $BL$384 = "0", $BM$384 = "1" ), 3, 4 ) ) )</f>
        <v>4</v>
      </c>
    </row>
    <row r="385" spans="58:66" x14ac:dyDescent="0.25">
      <c r="BF385" s="1">
        <v>0</v>
      </c>
      <c r="BG385" t="str">
        <f>"0"</f>
        <v>0</v>
      </c>
      <c r="BH385" t="str">
        <f xml:space="preserve"> IF($BF$385 &gt;= $G$204, "1","0")</f>
        <v>0</v>
      </c>
      <c r="BI385">
        <f xml:space="preserve"> IF( AND( $BG$385 = "1", $BH$385 = "1" ), 1, IF( AND( $BG$385 = "1", $BH$385 = "0" ), 2, IF( AND( $BG$385 = "0", $BH$385 = "1" ), 3, 4 ) ) )</f>
        <v>4</v>
      </c>
      <c r="BK385" s="1">
        <v>1.8947368421052633E-2</v>
      </c>
      <c r="BL385" t="str">
        <f>"0"</f>
        <v>0</v>
      </c>
      <c r="BM385" t="str">
        <f xml:space="preserve"> IF($BK$385 &gt;= $G$281, "1","0")</f>
        <v>0</v>
      </c>
      <c r="BN385">
        <f xml:space="preserve"> IF( AND( $BL$385 = "1", $BM$385 = "1" ), 1, IF( AND( $BL$385 = "1", $BM$385 = "0" ), 2, IF( AND( $BL$385 = "0", $BM$385 = "1" ), 3, 4 ) ) )</f>
        <v>4</v>
      </c>
    </row>
    <row r="386" spans="58:66" x14ac:dyDescent="0.25">
      <c r="BF386" s="1">
        <v>0</v>
      </c>
      <c r="BG386" t="str">
        <f>"0"</f>
        <v>0</v>
      </c>
      <c r="BH386" t="str">
        <f xml:space="preserve"> IF($BF$386 &gt;= $G$204, "1","0")</f>
        <v>0</v>
      </c>
      <c r="BI386">
        <f xml:space="preserve"> IF( AND( $BG$386 = "1", $BH$386 = "1" ), 1, IF( AND( $BG$386 = "1", $BH$386 = "0" ), 2, IF( AND( $BG$386 = "0", $BH$386 = "1" ), 3, 4 ) ) )</f>
        <v>4</v>
      </c>
      <c r="BK386" s="1">
        <v>1</v>
      </c>
      <c r="BL386" t="str">
        <f>"1"</f>
        <v>1</v>
      </c>
      <c r="BM386" t="str">
        <f xml:space="preserve"> IF($BK$386 &gt;= $G$281, "1","0")</f>
        <v>1</v>
      </c>
      <c r="BN386">
        <f xml:space="preserve"> IF( AND( $BL$386 = "1", $BM$386 = "1" ), 1, IF( AND( $BL$386 = "1", $BM$386 = "0" ), 2, IF( AND( $BL$386 = "0", $BM$386 = "1" ), 3, 4 ) ) )</f>
        <v>1</v>
      </c>
    </row>
    <row r="387" spans="58:66" x14ac:dyDescent="0.25">
      <c r="BF387" s="1">
        <v>0</v>
      </c>
      <c r="BG387" t="str">
        <f>"0"</f>
        <v>0</v>
      </c>
      <c r="BH387" t="str">
        <f xml:space="preserve"> IF($BF$387 &gt;= $G$204, "1","0")</f>
        <v>0</v>
      </c>
      <c r="BI387">
        <f xml:space="preserve"> IF( AND( $BG$387 = "1", $BH$387 = "1" ), 1, IF( AND( $BG$387 = "1", $BH$387 = "0" ), 2, IF( AND( $BG$387 = "0", $BH$387 = "1" ), 3, 4 ) ) )</f>
        <v>4</v>
      </c>
      <c r="BK387" s="1">
        <v>1.8947368421052633E-2</v>
      </c>
      <c r="BL387" t="str">
        <f>"0"</f>
        <v>0</v>
      </c>
      <c r="BM387" t="str">
        <f xml:space="preserve"> IF($BK$387 &gt;= $G$281, "1","0")</f>
        <v>0</v>
      </c>
      <c r="BN387">
        <f xml:space="preserve"> IF( AND( $BL$387 = "1", $BM$387 = "1" ), 1, IF( AND( $BL$387 = "1", $BM$387 = "0" ), 2, IF( AND( $BL$387 = "0", $BM$387 = "1" ), 3, 4 ) ) )</f>
        <v>4</v>
      </c>
    </row>
    <row r="388" spans="58:66" x14ac:dyDescent="0.25">
      <c r="BF388" s="1">
        <v>0</v>
      </c>
      <c r="BG388" t="str">
        <f>"0"</f>
        <v>0</v>
      </c>
      <c r="BH388" t="str">
        <f xml:space="preserve"> IF($BF$388 &gt;= $G$204, "1","0")</f>
        <v>0</v>
      </c>
      <c r="BI388">
        <f xml:space="preserve"> IF( AND( $BG$388 = "1", $BH$388 = "1" ), 1, IF( AND( $BG$388 = "1", $BH$388 = "0" ), 2, IF( AND( $BG$388 = "0", $BH$388 = "1" ), 3, 4 ) ) )</f>
        <v>4</v>
      </c>
      <c r="BK388" s="1">
        <v>0.14285714285714288</v>
      </c>
      <c r="BL388" t="str">
        <f>"0"</f>
        <v>0</v>
      </c>
      <c r="BM388" t="str">
        <f xml:space="preserve"> IF($BK$388 &gt;= $G$281, "1","0")</f>
        <v>0</v>
      </c>
      <c r="BN388">
        <f xml:space="preserve"> IF( AND( $BL$388 = "1", $BM$388 = "1" ), 1, IF( AND( $BL$388 = "1", $BM$388 = "0" ), 2, IF( AND( $BL$388 = "0", $BM$388 = "1" ), 3, 4 ) ) )</f>
        <v>4</v>
      </c>
    </row>
    <row r="389" spans="58:66" x14ac:dyDescent="0.25">
      <c r="BF389" s="1">
        <v>0.43750000000000006</v>
      </c>
      <c r="BG389" t="str">
        <f>"0"</f>
        <v>0</v>
      </c>
      <c r="BH389" t="str">
        <f xml:space="preserve"> IF($BF$389 &gt;= $G$204, "1","0")</f>
        <v>1</v>
      </c>
      <c r="BI389">
        <f xml:space="preserve"> IF( AND( $BG$389 = "1", $BH$389 = "1" ), 1, IF( AND( $BG$389 = "1", $BH$389 = "0" ), 2, IF( AND( $BG$389 = "0", $BH$389 = "1" ), 3, 4 ) ) )</f>
        <v>3</v>
      </c>
      <c r="BK389" s="1">
        <v>2.5000000000000001E-3</v>
      </c>
      <c r="BL389" t="str">
        <f>"0"</f>
        <v>0</v>
      </c>
      <c r="BM389" t="str">
        <f xml:space="preserve"> IF($BK$389 &gt;= $G$281, "1","0")</f>
        <v>0</v>
      </c>
      <c r="BN389">
        <f xml:space="preserve"> IF( AND( $BL$389 = "1", $BM$389 = "1" ), 1, IF( AND( $BL$389 = "1", $BM$389 = "0" ), 2, IF( AND( $BL$389 = "0", $BM$389 = "1" ), 3, 4 ) ) )</f>
        <v>4</v>
      </c>
    </row>
    <row r="390" spans="58:66" x14ac:dyDescent="0.25">
      <c r="BF390" s="1">
        <v>0.43750000000000006</v>
      </c>
      <c r="BG390" t="str">
        <f>"0"</f>
        <v>0</v>
      </c>
      <c r="BH390" t="str">
        <f xml:space="preserve"> IF($BF$390 &gt;= $G$204, "1","0")</f>
        <v>1</v>
      </c>
      <c r="BI390">
        <f xml:space="preserve"> IF( AND( $BG$390 = "1", $BH$390 = "1" ), 1, IF( AND( $BG$390 = "1", $BH$390 = "0" ), 2, IF( AND( $BG$390 = "0", $BH$390 = "1" ), 3, 4 ) ) )</f>
        <v>3</v>
      </c>
      <c r="BK390" s="1">
        <v>1.8947368421052633E-2</v>
      </c>
      <c r="BL390" t="str">
        <f>"0"</f>
        <v>0</v>
      </c>
      <c r="BM390" t="str">
        <f xml:space="preserve"> IF($BK$390 &gt;= $G$281, "1","0")</f>
        <v>0</v>
      </c>
      <c r="BN390">
        <f xml:space="preserve"> IF( AND( $BL$390 = "1", $BM$390 = "1" ), 1, IF( AND( $BL$390 = "1", $BM$390 = "0" ), 2, IF( AND( $BL$390 = "0", $BM$390 = "1" ), 3, 4 ) ) )</f>
        <v>4</v>
      </c>
    </row>
    <row r="391" spans="58:66" x14ac:dyDescent="0.25">
      <c r="BF391" s="1">
        <v>0.43750000000000006</v>
      </c>
      <c r="BG391" t="str">
        <f>"0"</f>
        <v>0</v>
      </c>
      <c r="BH391" t="str">
        <f xml:space="preserve"> IF($BF$391 &gt;= $G$204, "1","0")</f>
        <v>1</v>
      </c>
      <c r="BI391">
        <f xml:space="preserve"> IF( AND( $BG$391 = "1", $BH$391 = "1" ), 1, IF( AND( $BG$391 = "1", $BH$391 = "0" ), 2, IF( AND( $BG$391 = "0", $BH$391 = "1" ), 3, 4 ) ) )</f>
        <v>3</v>
      </c>
      <c r="BK391" s="1">
        <v>0</v>
      </c>
      <c r="BL391" t="str">
        <f>"0"</f>
        <v>0</v>
      </c>
      <c r="BM391" t="str">
        <f xml:space="preserve"> IF($BK$391 &gt;= $G$281, "1","0")</f>
        <v>0</v>
      </c>
      <c r="BN391">
        <f xml:space="preserve"> IF( AND( $BL$391 = "1", $BM$391 = "1" ), 1, IF( AND( $BL$391 = "1", $BM$391 = "0" ), 2, IF( AND( $BL$391 = "0", $BM$391 = "1" ), 3, 4 ) ) )</f>
        <v>4</v>
      </c>
    </row>
    <row r="392" spans="58:66" x14ac:dyDescent="0.25">
      <c r="BF392" s="1">
        <v>0.43750000000000006</v>
      </c>
      <c r="BG392" t="str">
        <f>"0"</f>
        <v>0</v>
      </c>
      <c r="BH392" t="str">
        <f xml:space="preserve"> IF($BF$392 &gt;= $G$204, "1","0")</f>
        <v>1</v>
      </c>
      <c r="BI392">
        <f xml:space="preserve"> IF( AND( $BG$392 = "1", $BH$392 = "1" ), 1, IF( AND( $BG$392 = "1", $BH$392 = "0" ), 2, IF( AND( $BG$392 = "0", $BH$392 = "1" ), 3, 4 ) ) )</f>
        <v>3</v>
      </c>
      <c r="BK392" s="1">
        <v>2.5000000000000001E-3</v>
      </c>
      <c r="BL392" t="str">
        <f>"0"</f>
        <v>0</v>
      </c>
      <c r="BM392" t="str">
        <f xml:space="preserve"> IF($BK$392 &gt;= $G$281, "1","0")</f>
        <v>0</v>
      </c>
      <c r="BN392">
        <f xml:space="preserve"> IF( AND( $BL$392 = "1", $BM$392 = "1" ), 1, IF( AND( $BL$392 = "1", $BM$392 = "0" ), 2, IF( AND( $BL$392 = "0", $BM$392 = "1" ), 3, 4 ) ) )</f>
        <v>4</v>
      </c>
    </row>
    <row r="393" spans="58:66" x14ac:dyDescent="0.25">
      <c r="BF393" s="1">
        <v>0</v>
      </c>
      <c r="BG393" t="str">
        <f>"0"</f>
        <v>0</v>
      </c>
      <c r="BH393" t="str">
        <f xml:space="preserve"> IF($BF$393 &gt;= $G$204, "1","0")</f>
        <v>0</v>
      </c>
      <c r="BI393">
        <f xml:space="preserve"> IF( AND( $BG$393 = "1", $BH$393 = "1" ), 1, IF( AND( $BG$393 = "1", $BH$393 = "0" ), 2, IF( AND( $BG$393 = "0", $BH$393 = "1" ), 3, 4 ) ) )</f>
        <v>4</v>
      </c>
      <c r="BK393" s="1">
        <v>1.8947368421052633E-2</v>
      </c>
      <c r="BL393" t="str">
        <f>"0"</f>
        <v>0</v>
      </c>
      <c r="BM393" t="str">
        <f xml:space="preserve"> IF($BK$393 &gt;= $G$281, "1","0")</f>
        <v>0</v>
      </c>
      <c r="BN393">
        <f xml:space="preserve"> IF( AND( $BL$393 = "1", $BM$393 = "1" ), 1, IF( AND( $BL$393 = "1", $BM$393 = "0" ), 2, IF( AND( $BL$393 = "0", $BM$393 = "1" ), 3, 4 ) ) )</f>
        <v>4</v>
      </c>
    </row>
    <row r="394" spans="58:66" x14ac:dyDescent="0.25">
      <c r="BF394" s="1">
        <v>9.9999999999999992E-2</v>
      </c>
      <c r="BG394" t="str">
        <f>"0"</f>
        <v>0</v>
      </c>
      <c r="BH394" t="str">
        <f xml:space="preserve"> IF($BF$394 &gt;= $G$204, "1","0")</f>
        <v>0</v>
      </c>
      <c r="BI394">
        <f xml:space="preserve"> IF( AND( $BG$394 = "1", $BH$394 = "1" ), 1, IF( AND( $BG$394 = "1", $BH$394 = "0" ), 2, IF( AND( $BG$394 = "0", $BH$394 = "1" ), 3, 4 ) ) )</f>
        <v>4</v>
      </c>
      <c r="BK394" s="1">
        <v>2.5000000000000001E-3</v>
      </c>
      <c r="BL394" t="str">
        <f>"0"</f>
        <v>0</v>
      </c>
      <c r="BM394" t="str">
        <f xml:space="preserve"> IF($BK$394 &gt;= $G$281, "1","0")</f>
        <v>0</v>
      </c>
      <c r="BN394">
        <f xml:space="preserve"> IF( AND( $BL$394 = "1", $BM$394 = "1" ), 1, IF( AND( $BL$394 = "1", $BM$394 = "0" ), 2, IF( AND( $BL$394 = "0", $BM$394 = "1" ), 3, 4 ) ) )</f>
        <v>4</v>
      </c>
    </row>
    <row r="395" spans="58:66" x14ac:dyDescent="0.25">
      <c r="BF395" s="1">
        <v>9.9999999999999992E-2</v>
      </c>
      <c r="BG395" t="str">
        <f>"0"</f>
        <v>0</v>
      </c>
      <c r="BH395" t="str">
        <f xml:space="preserve"> IF($BF$395 &gt;= $G$204, "1","0")</f>
        <v>0</v>
      </c>
      <c r="BI395">
        <f xml:space="preserve"> IF( AND( $BG$395 = "1", $BH$395 = "1" ), 1, IF( AND( $BG$395 = "1", $BH$395 = "0" ), 2, IF( AND( $BG$395 = "0", $BH$395 = "1" ), 3, 4 ) ) )</f>
        <v>4</v>
      </c>
      <c r="BK395" s="1">
        <v>0</v>
      </c>
      <c r="BL395" t="str">
        <f>"0"</f>
        <v>0</v>
      </c>
      <c r="BM395" t="str">
        <f xml:space="preserve"> IF($BK$395 &gt;= $G$281, "1","0")</f>
        <v>0</v>
      </c>
      <c r="BN395">
        <f xml:space="preserve"> IF( AND( $BL$395 = "1", $BM$395 = "1" ), 1, IF( AND( $BL$395 = "1", $BM$395 = "0" ), 2, IF( AND( $BL$395 = "0", $BM$395 = "1" ), 3, 4 ) ) )</f>
        <v>4</v>
      </c>
    </row>
    <row r="396" spans="58:66" x14ac:dyDescent="0.25">
      <c r="BF396" s="1">
        <v>0</v>
      </c>
      <c r="BG396" t="str">
        <f>"0"</f>
        <v>0</v>
      </c>
      <c r="BH396" t="str">
        <f xml:space="preserve"> IF($BF$396 &gt;= $G$204, "1","0")</f>
        <v>0</v>
      </c>
      <c r="BI396">
        <f xml:space="preserve"> IF( AND( $BG$396 = "1", $BH$396 = "1" ), 1, IF( AND( $BG$396 = "1", $BH$396 = "0" ), 2, IF( AND( $BG$396 = "0", $BH$396 = "1" ), 3, 4 ) ) )</f>
        <v>4</v>
      </c>
      <c r="BK396" s="1">
        <v>1</v>
      </c>
      <c r="BL396" t="str">
        <f>"1"</f>
        <v>1</v>
      </c>
      <c r="BM396" t="str">
        <f xml:space="preserve"> IF($BK$396 &gt;= $G$281, "1","0")</f>
        <v>1</v>
      </c>
      <c r="BN396">
        <f xml:space="preserve"> IF( AND( $BL$396 = "1", $BM$396 = "1" ), 1, IF( AND( $BL$396 = "1", $BM$396 = "0" ), 2, IF( AND( $BL$396 = "0", $BM$396 = "1" ), 3, 4 ) ) )</f>
        <v>1</v>
      </c>
    </row>
    <row r="397" spans="58:66" x14ac:dyDescent="0.25">
      <c r="BF397" s="1">
        <v>9.9999999999999992E-2</v>
      </c>
      <c r="BG397" t="str">
        <f>"0"</f>
        <v>0</v>
      </c>
      <c r="BH397" t="str">
        <f xml:space="preserve"> IF($BF$397 &gt;= $G$204, "1","0")</f>
        <v>0</v>
      </c>
      <c r="BI397">
        <f xml:space="preserve"> IF( AND( $BG$397 = "1", $BH$397 = "1" ), 1, IF( AND( $BG$397 = "1", $BH$397 = "0" ), 2, IF( AND( $BG$397 = "0", $BH$397 = "1" ), 3, 4 ) ) )</f>
        <v>4</v>
      </c>
      <c r="BK397" s="1">
        <v>0.14285714285714285</v>
      </c>
      <c r="BL397" t="str">
        <f>"0"</f>
        <v>0</v>
      </c>
      <c r="BM397" t="str">
        <f xml:space="preserve"> IF($BK$397 &gt;= $G$281, "1","0")</f>
        <v>0</v>
      </c>
      <c r="BN397">
        <f xml:space="preserve"> IF( AND( $BL$397 = "1", $BM$397 = "1" ), 1, IF( AND( $BL$397 = "1", $BM$397 = "0" ), 2, IF( AND( $BL$397 = "0", $BM$397 = "1" ), 3, 4 ) ) )</f>
        <v>4</v>
      </c>
    </row>
    <row r="398" spans="58:66" x14ac:dyDescent="0.25">
      <c r="BF398" s="1">
        <v>0</v>
      </c>
      <c r="BG398" t="str">
        <f>"0"</f>
        <v>0</v>
      </c>
      <c r="BH398" t="str">
        <f xml:space="preserve"> IF($BF$398 &gt;= $G$204, "1","0")</f>
        <v>0</v>
      </c>
      <c r="BI398">
        <f xml:space="preserve"> IF( AND( $BG$398 = "1", $BH$398 = "1" ), 1, IF( AND( $BG$398 = "1", $BH$398 = "0" ), 2, IF( AND( $BG$398 = "0", $BH$398 = "1" ), 3, 4 ) ) )</f>
        <v>4</v>
      </c>
      <c r="BK398" s="1">
        <v>0</v>
      </c>
      <c r="BL398" t="str">
        <f>"0"</f>
        <v>0</v>
      </c>
      <c r="BM398" t="str">
        <f xml:space="preserve"> IF($BK$398 &gt;= $G$281, "1","0")</f>
        <v>0</v>
      </c>
      <c r="BN398">
        <f xml:space="preserve"> IF( AND( $BL$398 = "1", $BM$398 = "1" ), 1, IF( AND( $BL$398 = "1", $BM$398 = "0" ), 2, IF( AND( $BL$398 = "0", $BM$398 = "1" ), 3, 4 ) ) )</f>
        <v>4</v>
      </c>
    </row>
    <row r="399" spans="58:66" x14ac:dyDescent="0.25">
      <c r="BF399" s="1">
        <v>0</v>
      </c>
      <c r="BG399" t="str">
        <f>"0"</f>
        <v>0</v>
      </c>
      <c r="BH399" t="str">
        <f xml:space="preserve"> IF($BF$399 &gt;= $G$204, "1","0")</f>
        <v>0</v>
      </c>
      <c r="BI399">
        <f xml:space="preserve"> IF( AND( $BG$399 = "1", $BH$399 = "1" ), 1, IF( AND( $BG$399 = "1", $BH$399 = "0" ), 2, IF( AND( $BG$399 = "0", $BH$399 = "1" ), 3, 4 ) ) )</f>
        <v>4</v>
      </c>
      <c r="BK399" s="1">
        <v>0.9</v>
      </c>
      <c r="BL399" t="str">
        <f>"1"</f>
        <v>1</v>
      </c>
      <c r="BM399" t="str">
        <f xml:space="preserve"> IF($BK$399 &gt;= $G$281, "1","0")</f>
        <v>1</v>
      </c>
      <c r="BN399">
        <f xml:space="preserve"> IF( AND( $BL$399 = "1", $BM$399 = "1" ), 1, IF( AND( $BL$399 = "1", $BM$399 = "0" ), 2, IF( AND( $BL$399 = "0", $BM$399 = "1" ), 3, 4 ) ) )</f>
        <v>1</v>
      </c>
    </row>
    <row r="400" spans="58:66" x14ac:dyDescent="0.25">
      <c r="BF400" s="1">
        <v>0</v>
      </c>
      <c r="BG400" t="str">
        <f>"0"</f>
        <v>0</v>
      </c>
      <c r="BH400" t="str">
        <f xml:space="preserve"> IF($BF$400 &gt;= $G$204, "1","0")</f>
        <v>0</v>
      </c>
      <c r="BI400">
        <f xml:space="preserve"> IF( AND( $BG$400 = "1", $BH$400 = "1" ), 1, IF( AND( $BG$400 = "1", $BH$400 = "0" ), 2, IF( AND( $BG$400 = "0", $BH$400 = "1" ), 3, 4 ) ) )</f>
        <v>4</v>
      </c>
      <c r="BK400" s="1">
        <v>0.37500000000000006</v>
      </c>
      <c r="BL400" t="str">
        <f>"1"</f>
        <v>1</v>
      </c>
      <c r="BM400" t="str">
        <f xml:space="preserve"> IF($BK$400 &gt;= $G$281, "1","0")</f>
        <v>1</v>
      </c>
      <c r="BN400">
        <f xml:space="preserve"> IF( AND( $BL$400 = "1", $BM$400 = "1" ), 1, IF( AND( $BL$400 = "1", $BM$400 = "0" ), 2, IF( AND( $BL$400 = "0", $BM$400 = "1" ), 3, 4 ) ) )</f>
        <v>1</v>
      </c>
    </row>
    <row r="401" spans="58:66" x14ac:dyDescent="0.25">
      <c r="BF401" s="1">
        <v>9.9999999999999992E-2</v>
      </c>
      <c r="BG401" t="str">
        <f>"0"</f>
        <v>0</v>
      </c>
      <c r="BH401" t="str">
        <f xml:space="preserve"> IF($BF$401 &gt;= $G$204, "1","0")</f>
        <v>0</v>
      </c>
      <c r="BI401">
        <f xml:space="preserve"> IF( AND( $BG$401 = "1", $BH$401 = "1" ), 1, IF( AND( $BG$401 = "1", $BH$401 = "0" ), 2, IF( AND( $BG$401 = "0", $BH$401 = "1" ), 3, 4 ) ) )</f>
        <v>4</v>
      </c>
      <c r="BK401" s="1">
        <v>1.8947368421052633E-2</v>
      </c>
      <c r="BL401" t="str">
        <f>"0"</f>
        <v>0</v>
      </c>
      <c r="BM401" t="str">
        <f xml:space="preserve"> IF($BK$401 &gt;= $G$281, "1","0")</f>
        <v>0</v>
      </c>
      <c r="BN401">
        <f xml:space="preserve"> IF( AND( $BL$401 = "1", $BM$401 = "1" ), 1, IF( AND( $BL$401 = "1", $BM$401 = "0" ), 2, IF( AND( $BL$401 = "0", $BM$401 = "1" ), 3, 4 ) ) )</f>
        <v>4</v>
      </c>
    </row>
    <row r="402" spans="58:66" x14ac:dyDescent="0.25">
      <c r="BF402" s="1">
        <v>0</v>
      </c>
      <c r="BG402" t="str">
        <f>"0"</f>
        <v>0</v>
      </c>
      <c r="BH402" t="str">
        <f xml:space="preserve"> IF($BF$402 &gt;= $G$204, "1","0")</f>
        <v>0</v>
      </c>
      <c r="BI402">
        <f xml:space="preserve"> IF( AND( $BG$402 = "1", $BH$402 = "1" ), 1, IF( AND( $BG$402 = "1", $BH$402 = "0" ), 2, IF( AND( $BG$402 = "0", $BH$402 = "1" ), 3, 4 ) ) )</f>
        <v>4</v>
      </c>
      <c r="BK402" s="1">
        <v>0</v>
      </c>
      <c r="BL402" t="str">
        <f>"0"</f>
        <v>0</v>
      </c>
      <c r="BM402" t="str">
        <f xml:space="preserve"> IF($BK$402 &gt;= $G$281, "1","0")</f>
        <v>0</v>
      </c>
      <c r="BN402">
        <f xml:space="preserve"> IF( AND( $BL$402 = "1", $BM$402 = "1" ), 1, IF( AND( $BL$402 = "1", $BM$402 = "0" ), 2, IF( AND( $BL$402 = "0", $BM$402 = "1" ), 3, 4 ) ) )</f>
        <v>4</v>
      </c>
    </row>
    <row r="403" spans="58:66" x14ac:dyDescent="0.25">
      <c r="BF403" s="1">
        <v>9.9999999999999992E-2</v>
      </c>
      <c r="BG403" t="str">
        <f>"0"</f>
        <v>0</v>
      </c>
      <c r="BH403" t="str">
        <f xml:space="preserve"> IF($BF$403 &gt;= $G$204, "1","0")</f>
        <v>0</v>
      </c>
      <c r="BI403">
        <f xml:space="preserve"> IF( AND( $BG$403 = "1", $BH$403 = "1" ), 1, IF( AND( $BG$403 = "1", $BH$403 = "0" ), 2, IF( AND( $BG$403 = "0", $BH$403 = "1" ), 3, 4 ) ) )</f>
        <v>4</v>
      </c>
      <c r="BK403" s="1">
        <v>2.5000000000000001E-3</v>
      </c>
      <c r="BL403" t="str">
        <f>"0"</f>
        <v>0</v>
      </c>
      <c r="BM403" t="str">
        <f xml:space="preserve"> IF($BK$403 &gt;= $G$281, "1","0")</f>
        <v>0</v>
      </c>
      <c r="BN403">
        <f xml:space="preserve"> IF( AND( $BL$403 = "1", $BM$403 = "1" ), 1, IF( AND( $BL$403 = "1", $BM$403 = "0" ), 2, IF( AND( $BL$403 = "0", $BM$403 = "1" ), 3, 4 ) ) )</f>
        <v>4</v>
      </c>
    </row>
    <row r="404" spans="58:66" x14ac:dyDescent="0.25">
      <c r="BF404" s="1">
        <v>0.66666666666666663</v>
      </c>
      <c r="BG404" t="str">
        <f>"0"</f>
        <v>0</v>
      </c>
      <c r="BH404" t="str">
        <f xml:space="preserve"> IF($BF$404 &gt;= $G$204, "1","0")</f>
        <v>1</v>
      </c>
      <c r="BI404">
        <f xml:space="preserve"> IF( AND( $BG$404 = "1", $BH$404 = "1" ), 1, IF( AND( $BG$404 = "1", $BH$404 = "0" ), 2, IF( AND( $BG$404 = "0", $BH$404 = "1" ), 3, 4 ) ) )</f>
        <v>3</v>
      </c>
      <c r="BK404" s="1">
        <v>0.14285714285714288</v>
      </c>
      <c r="BL404" t="str">
        <f>"0"</f>
        <v>0</v>
      </c>
      <c r="BM404" t="str">
        <f xml:space="preserve"> IF($BK$404 &gt;= $G$281, "1","0")</f>
        <v>0</v>
      </c>
      <c r="BN404">
        <f xml:space="preserve"> IF( AND( $BL$404 = "1", $BM$404 = "1" ), 1, IF( AND( $BL$404 = "1", $BM$404 = "0" ), 2, IF( AND( $BL$404 = "0", $BM$404 = "1" ), 3, 4 ) ) )</f>
        <v>4</v>
      </c>
    </row>
    <row r="405" spans="58:66" x14ac:dyDescent="0.25">
      <c r="BF405" s="1">
        <v>9.9999999999999992E-2</v>
      </c>
      <c r="BG405" t="str">
        <f>"0"</f>
        <v>0</v>
      </c>
      <c r="BH405" t="str">
        <f xml:space="preserve"> IF($BF$405 &gt;= $G$204, "1","0")</f>
        <v>0</v>
      </c>
      <c r="BI405">
        <f xml:space="preserve"> IF( AND( $BG$405 = "1", $BH$405 = "1" ), 1, IF( AND( $BG$405 = "1", $BH$405 = "0" ), 2, IF( AND( $BG$405 = "0", $BH$405 = "1" ), 3, 4 ) ) )</f>
        <v>4</v>
      </c>
      <c r="BK405" s="1">
        <v>1</v>
      </c>
      <c r="BL405" t="str">
        <f>"1"</f>
        <v>1</v>
      </c>
      <c r="BM405" t="str">
        <f xml:space="preserve"> IF($BK$405 &gt;= $G$281, "1","0")</f>
        <v>1</v>
      </c>
      <c r="BN405">
        <f xml:space="preserve"> IF( AND( $BL$405 = "1", $BM$405 = "1" ), 1, IF( AND( $BL$405 = "1", $BM$405 = "0" ), 2, IF( AND( $BL$405 = "0", $BM$405 = "1" ), 3, 4 ) ) )</f>
        <v>1</v>
      </c>
    </row>
    <row r="406" spans="58:66" x14ac:dyDescent="0.25">
      <c r="BF406" s="1">
        <v>0</v>
      </c>
      <c r="BG406" t="str">
        <f>"0"</f>
        <v>0</v>
      </c>
      <c r="BH406" t="str">
        <f xml:space="preserve"> IF($BF$406 &gt;= $G$204, "1","0")</f>
        <v>0</v>
      </c>
      <c r="BI406">
        <f xml:space="preserve"> IF( AND( $BG$406 = "1", $BH$406 = "1" ), 1, IF( AND( $BG$406 = "1", $BH$406 = "0" ), 2, IF( AND( $BG$406 = "0", $BH$406 = "1" ), 3, 4 ) ) )</f>
        <v>4</v>
      </c>
      <c r="BK406" s="1">
        <v>0</v>
      </c>
      <c r="BL406" t="str">
        <f>"0"</f>
        <v>0</v>
      </c>
      <c r="BM406" t="str">
        <f xml:space="preserve"> IF($BK$406 &gt;= $G$281, "1","0")</f>
        <v>0</v>
      </c>
      <c r="BN406">
        <f xml:space="preserve"> IF( AND( $BL$406 = "1", $BM$406 = "1" ), 1, IF( AND( $BL$406 = "1", $BM$406 = "0" ), 2, IF( AND( $BL$406 = "0", $BM$406 = "1" ), 3, 4 ) ) )</f>
        <v>4</v>
      </c>
    </row>
    <row r="407" spans="58:66" x14ac:dyDescent="0.25">
      <c r="BF407" s="1">
        <v>0</v>
      </c>
      <c r="BG407" t="str">
        <f>"0"</f>
        <v>0</v>
      </c>
      <c r="BH407" t="str">
        <f xml:space="preserve"> IF($BF$407 &gt;= $G$204, "1","0")</f>
        <v>0</v>
      </c>
      <c r="BI407">
        <f xml:space="preserve"> IF( AND( $BG$407 = "1", $BH$407 = "1" ), 1, IF( AND( $BG$407 = "1", $BH$407 = "0" ), 2, IF( AND( $BG$407 = "0", $BH$407 = "1" ), 3, 4 ) ) )</f>
        <v>4</v>
      </c>
      <c r="BK407" s="1">
        <v>1</v>
      </c>
      <c r="BL407" t="str">
        <f>"1"</f>
        <v>1</v>
      </c>
      <c r="BM407" t="str">
        <f xml:space="preserve"> IF($BK$407 &gt;= $G$281, "1","0")</f>
        <v>1</v>
      </c>
      <c r="BN407">
        <f xml:space="preserve"> IF( AND( $BL$407 = "1", $BM$407 = "1" ), 1, IF( AND( $BL$407 = "1", $BM$407 = "0" ), 2, IF( AND( $BL$407 = "0", $BM$407 = "1" ), 3, 4 ) ) )</f>
        <v>1</v>
      </c>
    </row>
    <row r="408" spans="58:66" x14ac:dyDescent="0.25">
      <c r="BF408" s="1">
        <v>0</v>
      </c>
      <c r="BG408" t="str">
        <f>"0"</f>
        <v>0</v>
      </c>
      <c r="BH408" t="str">
        <f xml:space="preserve"> IF($BF$408 &gt;= $G$204, "1","0")</f>
        <v>0</v>
      </c>
      <c r="BI408">
        <f xml:space="preserve"> IF( AND( $BG$408 = "1", $BH$408 = "1" ), 1, IF( AND( $BG$408 = "1", $BH$408 = "0" ), 2, IF( AND( $BG$408 = "0", $BH$408 = "1" ), 3, 4 ) ) )</f>
        <v>4</v>
      </c>
      <c r="BK408" s="1">
        <v>1.8947368421052633E-2</v>
      </c>
      <c r="BL408" t="str">
        <f>"0"</f>
        <v>0</v>
      </c>
      <c r="BM408" t="str">
        <f xml:space="preserve"> IF($BK$408 &gt;= $G$281, "1","0")</f>
        <v>0</v>
      </c>
      <c r="BN408">
        <f xml:space="preserve"> IF( AND( $BL$408 = "1", $BM$408 = "1" ), 1, IF( AND( $BL$408 = "1", $BM$408 = "0" ), 2, IF( AND( $BL$408 = "0", $BM$408 = "1" ), 3, 4 ) ) )</f>
        <v>4</v>
      </c>
    </row>
    <row r="409" spans="58:66" x14ac:dyDescent="0.25">
      <c r="BF409" s="1">
        <v>0</v>
      </c>
      <c r="BG409" t="str">
        <f>"0"</f>
        <v>0</v>
      </c>
      <c r="BH409" t="str">
        <f xml:space="preserve"> IF($BF$409 &gt;= $G$204, "1","0")</f>
        <v>0</v>
      </c>
      <c r="BI409">
        <f xml:space="preserve"> IF( AND( $BG$409 = "1", $BH$409 = "1" ), 1, IF( AND( $BG$409 = "1", $BH$409 = "0" ), 2, IF( AND( $BG$409 = "0", $BH$409 = "1" ), 3, 4 ) ) )</f>
        <v>4</v>
      </c>
      <c r="BK409" s="1">
        <v>1</v>
      </c>
      <c r="BL409" t="str">
        <f>"1"</f>
        <v>1</v>
      </c>
      <c r="BM409" t="str">
        <f xml:space="preserve"> IF($BK$409 &gt;= $G$281, "1","0")</f>
        <v>1</v>
      </c>
      <c r="BN409">
        <f xml:space="preserve"> IF( AND( $BL$409 = "1", $BM$409 = "1" ), 1, IF( AND( $BL$409 = "1", $BM$409 = "0" ), 2, IF( AND( $BL$409 = "0", $BM$409 = "1" ), 3, 4 ) ) )</f>
        <v>1</v>
      </c>
    </row>
    <row r="410" spans="58:66" x14ac:dyDescent="0.25">
      <c r="BF410" s="1">
        <v>0</v>
      </c>
      <c r="BG410" t="str">
        <f>"0"</f>
        <v>0</v>
      </c>
      <c r="BH410" t="str">
        <f xml:space="preserve"> IF($BF$410 &gt;= $G$204, "1","0")</f>
        <v>0</v>
      </c>
      <c r="BI410">
        <f xml:space="preserve"> IF( AND( $BG$410 = "1", $BH$410 = "1" ), 1, IF( AND( $BG$410 = "1", $BH$410 = "0" ), 2, IF( AND( $BG$410 = "0", $BH$410 = "1" ), 3, 4 ) ) )</f>
        <v>4</v>
      </c>
      <c r="BK410" s="1">
        <v>0</v>
      </c>
      <c r="BL410" t="str">
        <f>"0"</f>
        <v>0</v>
      </c>
      <c r="BM410" t="str">
        <f xml:space="preserve"> IF($BK$410 &gt;= $G$281, "1","0")</f>
        <v>0</v>
      </c>
      <c r="BN410">
        <f xml:space="preserve"> IF( AND( $BL$410 = "1", $BM$410 = "1" ), 1, IF( AND( $BL$410 = "1", $BM$410 = "0" ), 2, IF( AND( $BL$410 = "0", $BM$410 = "1" ), 3, 4 ) ) )</f>
        <v>4</v>
      </c>
    </row>
    <row r="411" spans="58:66" x14ac:dyDescent="0.25">
      <c r="BF411" s="1">
        <v>0</v>
      </c>
      <c r="BG411" t="str">
        <f>"0"</f>
        <v>0</v>
      </c>
      <c r="BH411" t="str">
        <f xml:space="preserve"> IF($BF$411 &gt;= $G$204, "1","0")</f>
        <v>0</v>
      </c>
      <c r="BI411">
        <f xml:space="preserve"> IF( AND( $BG$411 = "1", $BH$411 = "1" ), 1, IF( AND( $BG$411 = "1", $BH$411 = "0" ), 2, IF( AND( $BG$411 = "0", $BH$411 = "1" ), 3, 4 ) ) )</f>
        <v>4</v>
      </c>
      <c r="BK411" s="1">
        <v>1</v>
      </c>
      <c r="BL411" t="str">
        <f>"1"</f>
        <v>1</v>
      </c>
      <c r="BM411" t="str">
        <f xml:space="preserve"> IF($BK$411 &gt;= $G$281, "1","0")</f>
        <v>1</v>
      </c>
      <c r="BN411">
        <f xml:space="preserve"> IF( AND( $BL$411 = "1", $BM$411 = "1" ), 1, IF( AND( $BL$411 = "1", $BM$411 = "0" ), 2, IF( AND( $BL$411 = "0", $BM$411 = "1" ), 3, 4 ) ) )</f>
        <v>1</v>
      </c>
    </row>
    <row r="412" spans="58:66" x14ac:dyDescent="0.25">
      <c r="BF412" s="1">
        <v>9.9999999999999992E-2</v>
      </c>
      <c r="BG412" t="str">
        <f>"0"</f>
        <v>0</v>
      </c>
      <c r="BH412" t="str">
        <f xml:space="preserve"> IF($BF$412 &gt;= $G$204, "1","0")</f>
        <v>0</v>
      </c>
      <c r="BI412">
        <f xml:space="preserve"> IF( AND( $BG$412 = "1", $BH$412 = "1" ), 1, IF( AND( $BG$412 = "1", $BH$412 = "0" ), 2, IF( AND( $BG$412 = "0", $BH$412 = "1" ), 3, 4 ) ) )</f>
        <v>4</v>
      </c>
      <c r="BK412" s="1">
        <v>1.8947368421052633E-2</v>
      </c>
      <c r="BL412" t="str">
        <f>"0"</f>
        <v>0</v>
      </c>
      <c r="BM412" t="str">
        <f xml:space="preserve"> IF($BK$412 &gt;= $G$281, "1","0")</f>
        <v>0</v>
      </c>
      <c r="BN412">
        <f xml:space="preserve"> IF( AND( $BL$412 = "1", $BM$412 = "1" ), 1, IF( AND( $BL$412 = "1", $BM$412 = "0" ), 2, IF( AND( $BL$412 = "0", $BM$412 = "1" ), 3, 4 ) ) )</f>
        <v>4</v>
      </c>
    </row>
    <row r="413" spans="58:66" x14ac:dyDescent="0.25">
      <c r="BF413" s="1">
        <v>0</v>
      </c>
      <c r="BG413" t="str">
        <f>"0"</f>
        <v>0</v>
      </c>
      <c r="BH413" t="str">
        <f xml:space="preserve"> IF($BF$413 &gt;= $G$204, "1","0")</f>
        <v>0</v>
      </c>
      <c r="BI413">
        <f xml:space="preserve"> IF( AND( $BG$413 = "1", $BH$413 = "1" ), 1, IF( AND( $BG$413 = "1", $BH$413 = "0" ), 2, IF( AND( $BG$413 = "0", $BH$413 = "1" ), 3, 4 ) ) )</f>
        <v>4</v>
      </c>
      <c r="BK413" s="1">
        <v>1.8947368421052633E-2</v>
      </c>
      <c r="BL413" t="str">
        <f>"0"</f>
        <v>0</v>
      </c>
      <c r="BM413" t="str">
        <f xml:space="preserve"> IF($BK$413 &gt;= $G$281, "1","0")</f>
        <v>0</v>
      </c>
      <c r="BN413">
        <f xml:space="preserve"> IF( AND( $BL$413 = "1", $BM$413 = "1" ), 1, IF( AND( $BL$413 = "1", $BM$413 = "0" ), 2, IF( AND( $BL$413 = "0", $BM$413 = "1" ), 3, 4 ) ) )</f>
        <v>4</v>
      </c>
    </row>
    <row r="414" spans="58:66" x14ac:dyDescent="0.25">
      <c r="BF414" s="1">
        <v>0</v>
      </c>
      <c r="BG414" t="str">
        <f>"0"</f>
        <v>0</v>
      </c>
      <c r="BH414" t="str">
        <f xml:space="preserve"> IF($BF$414 &gt;= $G$204, "1","0")</f>
        <v>0</v>
      </c>
      <c r="BI414">
        <f xml:space="preserve"> IF( AND( $BG$414 = "1", $BH$414 = "1" ), 1, IF( AND( $BG$414 = "1", $BH$414 = "0" ), 2, IF( AND( $BG$414 = "0", $BH$414 = "1" ), 3, 4 ) ) )</f>
        <v>4</v>
      </c>
      <c r="BK414" s="1">
        <v>0.90476190476190477</v>
      </c>
      <c r="BL414" t="str">
        <f>"0"</f>
        <v>0</v>
      </c>
      <c r="BM414" t="str">
        <f xml:space="preserve"> IF($BK$414 &gt;= $G$281, "1","0")</f>
        <v>1</v>
      </c>
      <c r="BN414">
        <f xml:space="preserve"> IF( AND( $BL$414 = "1", $BM$414 = "1" ), 1, IF( AND( $BL$414 = "1", $BM$414 = "0" ), 2, IF( AND( $BL$414 = "0", $BM$414 = "1" ), 3, 4 ) ) )</f>
        <v>3</v>
      </c>
    </row>
    <row r="415" spans="58:66" x14ac:dyDescent="0.25">
      <c r="BF415" s="1">
        <v>0</v>
      </c>
      <c r="BG415" t="str">
        <f>"0"</f>
        <v>0</v>
      </c>
      <c r="BH415" t="str">
        <f xml:space="preserve"> IF($BF$415 &gt;= $G$204, "1","0")</f>
        <v>0</v>
      </c>
      <c r="BI415">
        <f xml:space="preserve"> IF( AND( $BG$415 = "1", $BH$415 = "1" ), 1, IF( AND( $BG$415 = "1", $BH$415 = "0" ), 2, IF( AND( $BG$415 = "0", $BH$415 = "1" ), 3, 4 ) ) )</f>
        <v>4</v>
      </c>
      <c r="BK415" s="1">
        <v>1</v>
      </c>
      <c r="BL415" t="str">
        <f>"1"</f>
        <v>1</v>
      </c>
      <c r="BM415" t="str">
        <f xml:space="preserve"> IF($BK$415 &gt;= $G$281, "1","0")</f>
        <v>1</v>
      </c>
      <c r="BN415">
        <f xml:space="preserve"> IF( AND( $BL$415 = "1", $BM$415 = "1" ), 1, IF( AND( $BL$415 = "1", $BM$415 = "0" ), 2, IF( AND( $BL$415 = "0", $BM$415 = "1" ), 3, 4 ) ) )</f>
        <v>1</v>
      </c>
    </row>
    <row r="416" spans="58:66" x14ac:dyDescent="0.25">
      <c r="BF416" s="1">
        <v>0</v>
      </c>
      <c r="BG416" t="str">
        <f>"0"</f>
        <v>0</v>
      </c>
      <c r="BH416" t="str">
        <f xml:space="preserve"> IF($BF$416 &gt;= $G$204, "1","0")</f>
        <v>0</v>
      </c>
      <c r="BI416">
        <f xml:space="preserve"> IF( AND( $BG$416 = "1", $BH$416 = "1" ), 1, IF( AND( $BG$416 = "1", $BH$416 = "0" ), 2, IF( AND( $BG$416 = "0", $BH$416 = "1" ), 3, 4 ) ) )</f>
        <v>4</v>
      </c>
      <c r="BK416" s="1">
        <v>0.32</v>
      </c>
      <c r="BL416" t="str">
        <f>"0"</f>
        <v>0</v>
      </c>
      <c r="BM416" t="str">
        <f xml:space="preserve"> IF($BK$416 &gt;= $G$281, "1","0")</f>
        <v>1</v>
      </c>
      <c r="BN416">
        <f xml:space="preserve"> IF( AND( $BL$416 = "1", $BM$416 = "1" ), 1, IF( AND( $BL$416 = "1", $BM$416 = "0" ), 2, IF( AND( $BL$416 = "0", $BM$416 = "1" ), 3, 4 ) ) )</f>
        <v>3</v>
      </c>
    </row>
    <row r="417" spans="58:66" x14ac:dyDescent="0.25">
      <c r="BF417" s="1">
        <v>0</v>
      </c>
      <c r="BG417" t="str">
        <f>"0"</f>
        <v>0</v>
      </c>
      <c r="BH417" t="str">
        <f xml:space="preserve"> IF($BF$417 &gt;= $G$204, "1","0")</f>
        <v>0</v>
      </c>
      <c r="BI417">
        <f xml:space="preserve"> IF( AND( $BG$417 = "1", $BH$417 = "1" ), 1, IF( AND( $BG$417 = "1", $BH$417 = "0" ), 2, IF( AND( $BG$417 = "0", $BH$417 = "1" ), 3, 4 ) ) )</f>
        <v>4</v>
      </c>
      <c r="BK417" s="1">
        <v>1</v>
      </c>
      <c r="BL417" t="str">
        <f>"1"</f>
        <v>1</v>
      </c>
      <c r="BM417" t="str">
        <f xml:space="preserve"> IF($BK$417 &gt;= $G$281, "1","0")</f>
        <v>1</v>
      </c>
      <c r="BN417">
        <f xml:space="preserve"> IF( AND( $BL$417 = "1", $BM$417 = "1" ), 1, IF( AND( $BL$417 = "1", $BM$417 = "0" ), 2, IF( AND( $BL$417 = "0", $BM$417 = "1" ), 3, 4 ) ) )</f>
        <v>1</v>
      </c>
    </row>
    <row r="418" spans="58:66" x14ac:dyDescent="0.25">
      <c r="BF418" s="1">
        <v>0.9</v>
      </c>
      <c r="BG418" t="str">
        <f>"0"</f>
        <v>0</v>
      </c>
      <c r="BH418" t="str">
        <f xml:space="preserve"> IF($BF$418 &gt;= $G$204, "1","0")</f>
        <v>1</v>
      </c>
      <c r="BI418">
        <f xml:space="preserve"> IF( AND( $BG$418 = "1", $BH$418 = "1" ), 1, IF( AND( $BG$418 = "1", $BH$418 = "0" ), 2, IF( AND( $BG$418 = "0", $BH$418 = "1" ), 3, 4 ) ) )</f>
        <v>3</v>
      </c>
      <c r="BK418" s="1">
        <v>1.8947368421052633E-2</v>
      </c>
      <c r="BL418" t="str">
        <f>"0"</f>
        <v>0</v>
      </c>
      <c r="BM418" t="str">
        <f xml:space="preserve"> IF($BK$418 &gt;= $G$281, "1","0")</f>
        <v>0</v>
      </c>
      <c r="BN418">
        <f xml:space="preserve"> IF( AND( $BL$418 = "1", $BM$418 = "1" ), 1, IF( AND( $BL$418 = "1", $BM$418 = "0" ), 2, IF( AND( $BL$418 = "0", $BM$418 = "1" ), 3, 4 ) ) )</f>
        <v>4</v>
      </c>
    </row>
    <row r="419" spans="58:66" x14ac:dyDescent="0.25">
      <c r="BF419" s="1">
        <v>0</v>
      </c>
      <c r="BG419" t="str">
        <f>"0"</f>
        <v>0</v>
      </c>
      <c r="BH419" t="str">
        <f xml:space="preserve"> IF($BF$419 &gt;= $G$204, "1","0")</f>
        <v>0</v>
      </c>
      <c r="BI419">
        <f xml:space="preserve"> IF( AND( $BG$419 = "1", $BH$419 = "1" ), 1, IF( AND( $BG$419 = "1", $BH$419 = "0" ), 2, IF( AND( $BG$419 = "0", $BH$419 = "1" ), 3, 4 ) ) )</f>
        <v>4</v>
      </c>
      <c r="BK419" s="1">
        <v>2.5000000000000001E-3</v>
      </c>
      <c r="BL419" t="str">
        <f>"0"</f>
        <v>0</v>
      </c>
      <c r="BM419" t="str">
        <f xml:space="preserve"> IF($BK$419 &gt;= $G$281, "1","0")</f>
        <v>0</v>
      </c>
      <c r="BN419">
        <f xml:space="preserve"> IF( AND( $BL$419 = "1", $BM$419 = "1" ), 1, IF( AND( $BL$419 = "1", $BM$419 = "0" ), 2, IF( AND( $BL$419 = "0", $BM$419 = "1" ), 3, 4 ) ) )</f>
        <v>4</v>
      </c>
    </row>
    <row r="420" spans="58:66" x14ac:dyDescent="0.25">
      <c r="BF420" s="1">
        <v>0</v>
      </c>
      <c r="BG420" t="str">
        <f>"0"</f>
        <v>0</v>
      </c>
      <c r="BH420" t="str">
        <f xml:space="preserve"> IF($BF$420 &gt;= $G$204, "1","0")</f>
        <v>0</v>
      </c>
      <c r="BI420">
        <f xml:space="preserve"> IF( AND( $BG$420 = "1", $BH$420 = "1" ), 1, IF( AND( $BG$420 = "1", $BH$420 = "0" ), 2, IF( AND( $BG$420 = "0", $BH$420 = "1" ), 3, 4 ) ) )</f>
        <v>4</v>
      </c>
      <c r="BK420" s="1">
        <v>2.5000000000000001E-3</v>
      </c>
      <c r="BL420" t="str">
        <f>"0"</f>
        <v>0</v>
      </c>
      <c r="BM420" t="str">
        <f xml:space="preserve"> IF($BK$420 &gt;= $G$281, "1","0")</f>
        <v>0</v>
      </c>
      <c r="BN420">
        <f xml:space="preserve"> IF( AND( $BL$420 = "1", $BM$420 = "1" ), 1, IF( AND( $BL$420 = "1", $BM$420 = "0" ), 2, IF( AND( $BL$420 = "0", $BM$420 = "1" ), 3, 4 ) ) )</f>
        <v>4</v>
      </c>
    </row>
    <row r="421" spans="58:66" x14ac:dyDescent="0.25">
      <c r="BF421" s="1">
        <v>0</v>
      </c>
      <c r="BG421" t="str">
        <f>"0"</f>
        <v>0</v>
      </c>
      <c r="BH421" t="str">
        <f xml:space="preserve"> IF($BF$421 &gt;= $G$204, "1","0")</f>
        <v>0</v>
      </c>
      <c r="BI421">
        <f xml:space="preserve"> IF( AND( $BG$421 = "1", $BH$421 = "1" ), 1, IF( AND( $BG$421 = "1", $BH$421 = "0" ), 2, IF( AND( $BG$421 = "0", $BH$421 = "1" ), 3, 4 ) ) )</f>
        <v>4</v>
      </c>
      <c r="BK421" s="1">
        <v>0</v>
      </c>
      <c r="BL421" t="str">
        <f>"0"</f>
        <v>0</v>
      </c>
      <c r="BM421" t="str">
        <f xml:space="preserve"> IF($BK$421 &gt;= $G$281, "1","0")</f>
        <v>0</v>
      </c>
      <c r="BN421">
        <f xml:space="preserve"> IF( AND( $BL$421 = "1", $BM$421 = "1" ), 1, IF( AND( $BL$421 = "1", $BM$421 = "0" ), 2, IF( AND( $BL$421 = "0", $BM$421 = "1" ), 3, 4 ) ) )</f>
        <v>4</v>
      </c>
    </row>
    <row r="422" spans="58:66" x14ac:dyDescent="0.25">
      <c r="BF422" s="1">
        <v>0</v>
      </c>
      <c r="BG422" t="str">
        <f>"0"</f>
        <v>0</v>
      </c>
      <c r="BH422" t="str">
        <f xml:space="preserve"> IF($BF$422 &gt;= $G$204, "1","0")</f>
        <v>0</v>
      </c>
      <c r="BI422">
        <f xml:space="preserve"> IF( AND( $BG$422 = "1", $BH$422 = "1" ), 1, IF( AND( $BG$422 = "1", $BH$422 = "0" ), 2, IF( AND( $BG$422 = "0", $BH$422 = "1" ), 3, 4 ) ) )</f>
        <v>4</v>
      </c>
      <c r="BK422" s="1">
        <v>1.8947368421052633E-2</v>
      </c>
      <c r="BL422" t="str">
        <f>"0"</f>
        <v>0</v>
      </c>
      <c r="BM422" t="str">
        <f xml:space="preserve"> IF($BK$422 &gt;= $G$281, "1","0")</f>
        <v>0</v>
      </c>
      <c r="BN422">
        <f xml:space="preserve"> IF( AND( $BL$422 = "1", $BM$422 = "1" ), 1, IF( AND( $BL$422 = "1", $BM$422 = "0" ), 2, IF( AND( $BL$422 = "0", $BM$422 = "1" ), 3, 4 ) ) )</f>
        <v>4</v>
      </c>
    </row>
    <row r="423" spans="58:66" x14ac:dyDescent="0.25">
      <c r="BF423" s="1">
        <v>0</v>
      </c>
      <c r="BG423" t="str">
        <f>"0"</f>
        <v>0</v>
      </c>
      <c r="BH423" t="str">
        <f xml:space="preserve"> IF($BF$423 &gt;= $G$204, "1","0")</f>
        <v>0</v>
      </c>
      <c r="BI423">
        <f xml:space="preserve"> IF( AND( $BG$423 = "1", $BH$423 = "1" ), 1, IF( AND( $BG$423 = "1", $BH$423 = "0" ), 2, IF( AND( $BG$423 = "0", $BH$423 = "1" ), 3, 4 ) ) )</f>
        <v>4</v>
      </c>
      <c r="BK423" s="1">
        <v>1.8947368421052633E-2</v>
      </c>
      <c r="BL423" t="str">
        <f>"0"</f>
        <v>0</v>
      </c>
      <c r="BM423" t="str">
        <f xml:space="preserve"> IF($BK$423 &gt;= $G$281, "1","0")</f>
        <v>0</v>
      </c>
      <c r="BN423">
        <f xml:space="preserve"> IF( AND( $BL$423 = "1", $BM$423 = "1" ), 1, IF( AND( $BL$423 = "1", $BM$423 = "0" ), 2, IF( AND( $BL$423 = "0", $BM$423 = "1" ), 3, 4 ) ) )</f>
        <v>4</v>
      </c>
    </row>
    <row r="424" spans="58:66" x14ac:dyDescent="0.25">
      <c r="BF424" s="1">
        <v>0</v>
      </c>
      <c r="BG424" t="str">
        <f>"0"</f>
        <v>0</v>
      </c>
      <c r="BH424" t="str">
        <f xml:space="preserve"> IF($BF$424 &gt;= $G$204, "1","0")</f>
        <v>0</v>
      </c>
      <c r="BI424">
        <f xml:space="preserve"> IF( AND( $BG$424 = "1", $BH$424 = "1" ), 1, IF( AND( $BG$424 = "1", $BH$424 = "0" ), 2, IF( AND( $BG$424 = "0", $BH$424 = "1" ), 3, 4 ) ) )</f>
        <v>4</v>
      </c>
      <c r="BK424" s="1">
        <v>2.5000000000000001E-3</v>
      </c>
      <c r="BL424" t="str">
        <f>"0"</f>
        <v>0</v>
      </c>
      <c r="BM424" t="str">
        <f xml:space="preserve"> IF($BK$424 &gt;= $G$281, "1","0")</f>
        <v>0</v>
      </c>
      <c r="BN424">
        <f xml:space="preserve"> IF( AND( $BL$424 = "1", $BM$424 = "1" ), 1, IF( AND( $BL$424 = "1", $BM$424 = "0" ), 2, IF( AND( $BL$424 = "0", $BM$424 = "1" ), 3, 4 ) ) )</f>
        <v>4</v>
      </c>
    </row>
    <row r="425" spans="58:66" x14ac:dyDescent="0.25">
      <c r="BF425" s="1">
        <v>0</v>
      </c>
      <c r="BG425" t="str">
        <f>"0"</f>
        <v>0</v>
      </c>
      <c r="BH425" t="str">
        <f xml:space="preserve"> IF($BF$425 &gt;= $G$204, "1","0")</f>
        <v>0</v>
      </c>
      <c r="BI425">
        <f xml:space="preserve"> IF( AND( $BG$425 = "1", $BH$425 = "1" ), 1, IF( AND( $BG$425 = "1", $BH$425 = "0" ), 2, IF( AND( $BG$425 = "0", $BH$425 = "1" ), 3, 4 ) ) )</f>
        <v>4</v>
      </c>
      <c r="BK425" s="1">
        <v>1.8947368421052633E-2</v>
      </c>
      <c r="BL425" t="str">
        <f>"0"</f>
        <v>0</v>
      </c>
      <c r="BM425" t="str">
        <f xml:space="preserve"> IF($BK$425 &gt;= $G$281, "1","0")</f>
        <v>0</v>
      </c>
      <c r="BN425">
        <f xml:space="preserve"> IF( AND( $BL$425 = "1", $BM$425 = "1" ), 1, IF( AND( $BL$425 = "1", $BM$425 = "0" ), 2, IF( AND( $BL$425 = "0", $BM$425 = "1" ), 3, 4 ) ) )</f>
        <v>4</v>
      </c>
    </row>
    <row r="426" spans="58:66" x14ac:dyDescent="0.25">
      <c r="BF426" s="1">
        <v>0</v>
      </c>
      <c r="BG426" t="str">
        <f>"0"</f>
        <v>0</v>
      </c>
      <c r="BH426" t="str">
        <f xml:space="preserve"> IF($BF$426 &gt;= $G$204, "1","0")</f>
        <v>0</v>
      </c>
      <c r="BI426">
        <f xml:space="preserve"> IF( AND( $BG$426 = "1", $BH$426 = "1" ), 1, IF( AND( $BG$426 = "1", $BH$426 = "0" ), 2, IF( AND( $BG$426 = "0", $BH$426 = "1" ), 3, 4 ) ) )</f>
        <v>4</v>
      </c>
      <c r="BK426" s="1">
        <v>0</v>
      </c>
      <c r="BL426" t="str">
        <f>"0"</f>
        <v>0</v>
      </c>
      <c r="BM426" t="str">
        <f xml:space="preserve"> IF($BK$426 &gt;= $G$281, "1","0")</f>
        <v>0</v>
      </c>
      <c r="BN426">
        <f xml:space="preserve"> IF( AND( $BL$426 = "1", $BM$426 = "1" ), 1, IF( AND( $BL$426 = "1", $BM$426 = "0" ), 2, IF( AND( $BL$426 = "0", $BM$426 = "1" ), 3, 4 ) ) )</f>
        <v>4</v>
      </c>
    </row>
    <row r="427" spans="58:66" x14ac:dyDescent="0.25">
      <c r="BF427" s="1">
        <v>0</v>
      </c>
      <c r="BG427" t="str">
        <f>"0"</f>
        <v>0</v>
      </c>
      <c r="BH427" t="str">
        <f xml:space="preserve"> IF($BF$427 &gt;= $G$204, "1","0")</f>
        <v>0</v>
      </c>
      <c r="BI427">
        <f xml:space="preserve"> IF( AND( $BG$427 = "1", $BH$427 = "1" ), 1, IF( AND( $BG$427 = "1", $BH$427 = "0" ), 2, IF( AND( $BG$427 = "0", $BH$427 = "1" ), 3, 4 ) ) )</f>
        <v>4</v>
      </c>
      <c r="BK427" s="1">
        <v>2.5000000000000001E-3</v>
      </c>
      <c r="BL427" t="str">
        <f>"0"</f>
        <v>0</v>
      </c>
      <c r="BM427" t="str">
        <f xml:space="preserve"> IF($BK$427 &gt;= $G$281, "1","0")</f>
        <v>0</v>
      </c>
      <c r="BN427">
        <f xml:space="preserve"> IF( AND( $BL$427 = "1", $BM$427 = "1" ), 1, IF( AND( $BL$427 = "1", $BM$427 = "0" ), 2, IF( AND( $BL$427 = "0", $BM$427 = "1" ), 3, 4 ) ) )</f>
        <v>4</v>
      </c>
    </row>
    <row r="428" spans="58:66" x14ac:dyDescent="0.25">
      <c r="BF428" s="1">
        <v>0</v>
      </c>
      <c r="BG428" t="str">
        <f>"0"</f>
        <v>0</v>
      </c>
      <c r="BH428" t="str">
        <f xml:space="preserve"> IF($BF$428 &gt;= $G$204, "1","0")</f>
        <v>0</v>
      </c>
      <c r="BI428">
        <f xml:space="preserve"> IF( AND( $BG$428 = "1", $BH$428 = "1" ), 1, IF( AND( $BG$428 = "1", $BH$428 = "0" ), 2, IF( AND( $BG$428 = "0", $BH$428 = "1" ), 3, 4 ) ) )</f>
        <v>4</v>
      </c>
      <c r="BK428" s="1">
        <v>1.8947368421052633E-2</v>
      </c>
      <c r="BL428" t="str">
        <f>"0"</f>
        <v>0</v>
      </c>
      <c r="BM428" t="str">
        <f xml:space="preserve"> IF($BK$428 &gt;= $G$281, "1","0")</f>
        <v>0</v>
      </c>
      <c r="BN428">
        <f xml:space="preserve"> IF( AND( $BL$428 = "1", $BM$428 = "1" ), 1, IF( AND( $BL$428 = "1", $BM$428 = "0" ), 2, IF( AND( $BL$428 = "0", $BM$428 = "1" ), 3, 4 ) ) )</f>
        <v>4</v>
      </c>
    </row>
    <row r="429" spans="58:66" x14ac:dyDescent="0.25">
      <c r="BF429" s="1">
        <v>0</v>
      </c>
      <c r="BG429" t="str">
        <f>"0"</f>
        <v>0</v>
      </c>
      <c r="BH429" t="str">
        <f xml:space="preserve"> IF($BF$429 &gt;= $G$204, "1","0")</f>
        <v>0</v>
      </c>
      <c r="BI429">
        <f xml:space="preserve"> IF( AND( $BG$429 = "1", $BH$429 = "1" ), 1, IF( AND( $BG$429 = "1", $BH$429 = "0" ), 2, IF( AND( $BG$429 = "0", $BH$429 = "1" ), 3, 4 ) ) )</f>
        <v>4</v>
      </c>
      <c r="BK429" s="1">
        <v>0.14285714285714288</v>
      </c>
      <c r="BL429" t="str">
        <f>"0"</f>
        <v>0</v>
      </c>
      <c r="BM429" t="str">
        <f xml:space="preserve"> IF($BK$429 &gt;= $G$281, "1","0")</f>
        <v>0</v>
      </c>
      <c r="BN429">
        <f xml:space="preserve"> IF( AND( $BL$429 = "1", $BM$429 = "1" ), 1, IF( AND( $BL$429 = "1", $BM$429 = "0" ), 2, IF( AND( $BL$429 = "0", $BM$429 = "1" ), 3, 4 ) ) )</f>
        <v>4</v>
      </c>
    </row>
    <row r="430" spans="58:66" x14ac:dyDescent="0.25">
      <c r="BF430" s="1">
        <v>0</v>
      </c>
      <c r="BG430" t="str">
        <f>"0"</f>
        <v>0</v>
      </c>
      <c r="BH430" t="str">
        <f xml:space="preserve"> IF($BF$430 &gt;= $G$204, "1","0")</f>
        <v>0</v>
      </c>
      <c r="BI430">
        <f xml:space="preserve"> IF( AND( $BG$430 = "1", $BH$430 = "1" ), 1, IF( AND( $BG$430 = "1", $BH$430 = "0" ), 2, IF( AND( $BG$430 = "0", $BH$430 = "1" ), 3, 4 ) ) )</f>
        <v>4</v>
      </c>
      <c r="BK430" s="1">
        <v>2.5000000000000001E-3</v>
      </c>
      <c r="BL430" t="str">
        <f>"0"</f>
        <v>0</v>
      </c>
      <c r="BM430" t="str">
        <f xml:space="preserve"> IF($BK$430 &gt;= $G$281, "1","0")</f>
        <v>0</v>
      </c>
      <c r="BN430">
        <f xml:space="preserve"> IF( AND( $BL$430 = "1", $BM$430 = "1" ), 1, IF( AND( $BL$430 = "1", $BM$430 = "0" ), 2, IF( AND( $BL$430 = "0", $BM$430 = "1" ), 3, 4 ) ) )</f>
        <v>4</v>
      </c>
    </row>
    <row r="431" spans="58:66" x14ac:dyDescent="0.25">
      <c r="BF431" s="1">
        <v>0</v>
      </c>
      <c r="BG431" t="str">
        <f>"0"</f>
        <v>0</v>
      </c>
      <c r="BH431" t="str">
        <f xml:space="preserve"> IF($BF$431 &gt;= $G$204, "1","0")</f>
        <v>0</v>
      </c>
      <c r="BI431">
        <f xml:space="preserve"> IF( AND( $BG$431 = "1", $BH$431 = "1" ), 1, IF( AND( $BG$431 = "1", $BH$431 = "0" ), 2, IF( AND( $BG$431 = "0", $BH$431 = "1" ), 3, 4 ) ) )</f>
        <v>4</v>
      </c>
      <c r="BK431" s="1">
        <v>1.8947368421052633E-2</v>
      </c>
      <c r="BL431" t="str">
        <f>"0"</f>
        <v>0</v>
      </c>
      <c r="BM431" t="str">
        <f xml:space="preserve"> IF($BK$431 &gt;= $G$281, "1","0")</f>
        <v>0</v>
      </c>
      <c r="BN431">
        <f xml:space="preserve"> IF( AND( $BL$431 = "1", $BM$431 = "1" ), 1, IF( AND( $BL$431 = "1", $BM$431 = "0" ), 2, IF( AND( $BL$431 = "0", $BM$431 = "1" ), 3, 4 ) ) )</f>
        <v>4</v>
      </c>
    </row>
    <row r="432" spans="58:66" x14ac:dyDescent="0.25">
      <c r="BF432" s="1">
        <v>0</v>
      </c>
      <c r="BG432" t="str">
        <f>"0"</f>
        <v>0</v>
      </c>
      <c r="BH432" t="str">
        <f xml:space="preserve"> IF($BF$432 &gt;= $G$204, "1","0")</f>
        <v>0</v>
      </c>
      <c r="BI432">
        <f xml:space="preserve"> IF( AND( $BG$432 = "1", $BH$432 = "1" ), 1, IF( AND( $BG$432 = "1", $BH$432 = "0" ), 2, IF( AND( $BG$432 = "0", $BH$432 = "1" ), 3, 4 ) ) )</f>
        <v>4</v>
      </c>
      <c r="BK432" s="1">
        <v>1.8947368421052633E-2</v>
      </c>
      <c r="BL432" t="str">
        <f>"0"</f>
        <v>0</v>
      </c>
      <c r="BM432" t="str">
        <f xml:space="preserve"> IF($BK$432 &gt;= $G$281, "1","0")</f>
        <v>0</v>
      </c>
      <c r="BN432">
        <f xml:space="preserve"> IF( AND( $BL$432 = "1", $BM$432 = "1" ), 1, IF( AND( $BL$432 = "1", $BM$432 = "0" ), 2, IF( AND( $BL$432 = "0", $BM$432 = "1" ), 3, 4 ) ) )</f>
        <v>4</v>
      </c>
    </row>
    <row r="433" spans="58:66" x14ac:dyDescent="0.25">
      <c r="BF433" s="1">
        <v>0</v>
      </c>
      <c r="BG433" t="str">
        <f>"0"</f>
        <v>0</v>
      </c>
      <c r="BH433" t="str">
        <f xml:space="preserve"> IF($BF$433 &gt;= $G$204, "1","0")</f>
        <v>0</v>
      </c>
      <c r="BI433">
        <f xml:space="preserve"> IF( AND( $BG$433 = "1", $BH$433 = "1" ), 1, IF( AND( $BG$433 = "1", $BH$433 = "0" ), 2, IF( AND( $BG$433 = "0", $BH$433 = "1" ), 3, 4 ) ) )</f>
        <v>4</v>
      </c>
      <c r="BK433" s="1">
        <v>2.5000000000000001E-3</v>
      </c>
      <c r="BL433" t="str">
        <f>"0"</f>
        <v>0</v>
      </c>
      <c r="BM433" t="str">
        <f xml:space="preserve"> IF($BK$433 &gt;= $G$281, "1","0")</f>
        <v>0</v>
      </c>
      <c r="BN433">
        <f xml:space="preserve"> IF( AND( $BL$433 = "1", $BM$433 = "1" ), 1, IF( AND( $BL$433 = "1", $BM$433 = "0" ), 2, IF( AND( $BL$433 = "0", $BM$433 = "1" ), 3, 4 ) ) )</f>
        <v>4</v>
      </c>
    </row>
    <row r="434" spans="58:66" x14ac:dyDescent="0.25">
      <c r="BF434" s="1">
        <v>0</v>
      </c>
      <c r="BG434" t="str">
        <f>"0"</f>
        <v>0</v>
      </c>
      <c r="BH434" t="str">
        <f xml:space="preserve"> IF($BF$434 &gt;= $G$204, "1","0")</f>
        <v>0</v>
      </c>
      <c r="BI434">
        <f xml:space="preserve"> IF( AND( $BG$434 = "1", $BH$434 = "1" ), 1, IF( AND( $BG$434 = "1", $BH$434 = "0" ), 2, IF( AND( $BG$434 = "0", $BH$434 = "1" ), 3, 4 ) ) )</f>
        <v>4</v>
      </c>
      <c r="BK434" s="1">
        <v>0</v>
      </c>
      <c r="BL434" t="str">
        <f>"0"</f>
        <v>0</v>
      </c>
      <c r="BM434" t="str">
        <f xml:space="preserve"> IF($BK$434 &gt;= $G$281, "1","0")</f>
        <v>0</v>
      </c>
      <c r="BN434">
        <f xml:space="preserve"> IF( AND( $BL$434 = "1", $BM$434 = "1" ), 1, IF( AND( $BL$434 = "1", $BM$434 = "0" ), 2, IF( AND( $BL$434 = "0", $BM$434 = "1" ), 3, 4 ) ) )</f>
        <v>4</v>
      </c>
    </row>
    <row r="435" spans="58:66" x14ac:dyDescent="0.25">
      <c r="BF435" s="1">
        <v>0</v>
      </c>
      <c r="BG435" t="str">
        <f>"0"</f>
        <v>0</v>
      </c>
      <c r="BH435" t="str">
        <f xml:space="preserve"> IF($BF$435 &gt;= $G$204, "1","0")</f>
        <v>0</v>
      </c>
      <c r="BI435">
        <f xml:space="preserve"> IF( AND( $BG$435 = "1", $BH$435 = "1" ), 1, IF( AND( $BG$435 = "1", $BH$435 = "0" ), 2, IF( AND( $BG$435 = "0", $BH$435 = "1" ), 3, 4 ) ) )</f>
        <v>4</v>
      </c>
      <c r="BK435" s="1">
        <v>0.64</v>
      </c>
      <c r="BL435" t="str">
        <f>"0"</f>
        <v>0</v>
      </c>
      <c r="BM435" t="str">
        <f xml:space="preserve"> IF($BK$435 &gt;= $G$281, "1","0")</f>
        <v>1</v>
      </c>
      <c r="BN435">
        <f xml:space="preserve"> IF( AND( $BL$435 = "1", $BM$435 = "1" ), 1, IF( AND( $BL$435 = "1", $BM$435 = "0" ), 2, IF( AND( $BL$435 = "0", $BM$435 = "1" ), 3, 4 ) ) )</f>
        <v>3</v>
      </c>
    </row>
    <row r="436" spans="58:66" x14ac:dyDescent="0.25">
      <c r="BF436" s="1">
        <v>0</v>
      </c>
      <c r="BG436" t="str">
        <f>"0"</f>
        <v>0</v>
      </c>
      <c r="BH436" t="str">
        <f xml:space="preserve"> IF($BF$436 &gt;= $G$204, "1","0")</f>
        <v>0</v>
      </c>
      <c r="BI436">
        <f xml:space="preserve"> IF( AND( $BG$436 = "1", $BH$436 = "1" ), 1, IF( AND( $BG$436 = "1", $BH$436 = "0" ), 2, IF( AND( $BG$436 = "0", $BH$436 = "1" ), 3, 4 ) ) )</f>
        <v>4</v>
      </c>
      <c r="BK436" s="1">
        <v>2.5000000000000001E-3</v>
      </c>
      <c r="BL436" t="str">
        <f>"0"</f>
        <v>0</v>
      </c>
      <c r="BM436" t="str">
        <f xml:space="preserve"> IF($BK$436 &gt;= $G$281, "1","0")</f>
        <v>0</v>
      </c>
      <c r="BN436">
        <f xml:space="preserve"> IF( AND( $BL$436 = "1", $BM$436 = "1" ), 1, IF( AND( $BL$436 = "1", $BM$436 = "0" ), 2, IF( AND( $BL$436 = "0", $BM$436 = "1" ), 3, 4 ) ) )</f>
        <v>4</v>
      </c>
    </row>
    <row r="437" spans="58:66" x14ac:dyDescent="0.25">
      <c r="BF437" s="1">
        <v>0</v>
      </c>
      <c r="BG437" t="str">
        <f>"0"</f>
        <v>0</v>
      </c>
      <c r="BH437" t="str">
        <f xml:space="preserve"> IF($BF$437 &gt;= $G$204, "1","0")</f>
        <v>0</v>
      </c>
      <c r="BI437">
        <f xml:space="preserve"> IF( AND( $BG$437 = "1", $BH$437 = "1" ), 1, IF( AND( $BG$437 = "1", $BH$437 = "0" ), 2, IF( AND( $BG$437 = "0", $BH$437 = "1" ), 3, 4 ) ) )</f>
        <v>4</v>
      </c>
      <c r="BK437" s="1">
        <v>0</v>
      </c>
      <c r="BL437" t="str">
        <f>"0"</f>
        <v>0</v>
      </c>
      <c r="BM437" t="str">
        <f xml:space="preserve"> IF($BK$437 &gt;= $G$281, "1","0")</f>
        <v>0</v>
      </c>
      <c r="BN437">
        <f xml:space="preserve"> IF( AND( $BL$437 = "1", $BM$437 = "1" ), 1, IF( AND( $BL$437 = "1", $BM$437 = "0" ), 2, IF( AND( $BL$437 = "0", $BM$437 = "1" ), 3, 4 ) ) )</f>
        <v>4</v>
      </c>
    </row>
    <row r="438" spans="58:66" x14ac:dyDescent="0.25">
      <c r="BF438" s="1">
        <v>0</v>
      </c>
      <c r="BG438" t="str">
        <f>"0"</f>
        <v>0</v>
      </c>
      <c r="BH438" t="str">
        <f xml:space="preserve"> IF($BF$438 &gt;= $G$204, "1","0")</f>
        <v>0</v>
      </c>
      <c r="BI438">
        <f xml:space="preserve"> IF( AND( $BG$438 = "1", $BH$438 = "1" ), 1, IF( AND( $BG$438 = "1", $BH$438 = "0" ), 2, IF( AND( $BG$438 = "0", $BH$438 = "1" ), 3, 4 ) ) )</f>
        <v>4</v>
      </c>
      <c r="BK438" s="1">
        <v>1.8947368421052633E-2</v>
      </c>
      <c r="BL438" t="str">
        <f>"0"</f>
        <v>0</v>
      </c>
      <c r="BM438" t="str">
        <f xml:space="preserve"> IF($BK$438 &gt;= $G$281, "1","0")</f>
        <v>0</v>
      </c>
      <c r="BN438">
        <f xml:space="preserve"> IF( AND( $BL$438 = "1", $BM$438 = "1" ), 1, IF( AND( $BL$438 = "1", $BM$438 = "0" ), 2, IF( AND( $BL$438 = "0", $BM$438 = "1" ), 3, 4 ) ) )</f>
        <v>4</v>
      </c>
    </row>
    <row r="439" spans="58:66" x14ac:dyDescent="0.25">
      <c r="BF439" s="1">
        <v>0</v>
      </c>
      <c r="BG439" t="str">
        <f>"0"</f>
        <v>0</v>
      </c>
      <c r="BH439" t="str">
        <f xml:space="preserve"> IF($BF$439 &gt;= $G$204, "1","0")</f>
        <v>0</v>
      </c>
      <c r="BI439">
        <f xml:space="preserve"> IF( AND( $BG$439 = "1", $BH$439 = "1" ), 1, IF( AND( $BG$439 = "1", $BH$439 = "0" ), 2, IF( AND( $BG$439 = "0", $BH$439 = "1" ), 3, 4 ) ) )</f>
        <v>4</v>
      </c>
      <c r="BK439" s="1">
        <v>3.333333333333334E-2</v>
      </c>
      <c r="BL439" t="str">
        <f>"1"</f>
        <v>1</v>
      </c>
      <c r="BM439" t="str">
        <f xml:space="preserve"> IF($BK$439 &gt;= $G$281, "1","0")</f>
        <v>0</v>
      </c>
      <c r="BN439">
        <f xml:space="preserve"> IF( AND( $BL$439 = "1", $BM$439 = "1" ), 1, IF( AND( $BL$439 = "1", $BM$439 = "0" ), 2, IF( AND( $BL$439 = "0", $BM$439 = "1" ), 3, 4 ) ) )</f>
        <v>2</v>
      </c>
    </row>
    <row r="440" spans="58:66" x14ac:dyDescent="0.25">
      <c r="BF440" s="1">
        <v>0</v>
      </c>
      <c r="BG440" t="str">
        <f>"0"</f>
        <v>0</v>
      </c>
      <c r="BH440" t="str">
        <f xml:space="preserve"> IF($BF$440 &gt;= $G$204, "1","0")</f>
        <v>0</v>
      </c>
      <c r="BI440">
        <f xml:space="preserve"> IF( AND( $BG$440 = "1", $BH$440 = "1" ), 1, IF( AND( $BG$440 = "1", $BH$440 = "0" ), 2, IF( AND( $BG$440 = "0", $BH$440 = "1" ), 3, 4 ) ) )</f>
        <v>4</v>
      </c>
      <c r="BK440" s="1">
        <v>0</v>
      </c>
      <c r="BL440" t="str">
        <f>"0"</f>
        <v>0</v>
      </c>
      <c r="BM440" t="str">
        <f xml:space="preserve"> IF($BK$440 &gt;= $G$281, "1","0")</f>
        <v>0</v>
      </c>
      <c r="BN440">
        <f xml:space="preserve"> IF( AND( $BL$440 = "1", $BM$440 = "1" ), 1, IF( AND( $BL$440 = "1", $BM$440 = "0" ), 2, IF( AND( $BL$440 = "0", $BM$440 = "1" ), 3, 4 ) ) )</f>
        <v>4</v>
      </c>
    </row>
    <row r="441" spans="58:66" x14ac:dyDescent="0.25">
      <c r="BF441" s="1">
        <v>0</v>
      </c>
      <c r="BG441" t="str">
        <f>"0"</f>
        <v>0</v>
      </c>
      <c r="BH441" t="str">
        <f xml:space="preserve"> IF($BF$441 &gt;= $G$204, "1","0")</f>
        <v>0</v>
      </c>
      <c r="BI441">
        <f xml:space="preserve"> IF( AND( $BG$441 = "1", $BH$441 = "1" ), 1, IF( AND( $BG$441 = "1", $BH$441 = "0" ), 2, IF( AND( $BG$441 = "0", $BH$441 = "1" ), 3, 4 ) ) )</f>
        <v>4</v>
      </c>
      <c r="BK441" s="1">
        <v>2.5000000000000001E-3</v>
      </c>
      <c r="BL441" t="str">
        <f>"0"</f>
        <v>0</v>
      </c>
      <c r="BM441" t="str">
        <f xml:space="preserve"> IF($BK$441 &gt;= $G$281, "1","0")</f>
        <v>0</v>
      </c>
      <c r="BN441">
        <f xml:space="preserve"> IF( AND( $BL$441 = "1", $BM$441 = "1" ), 1, IF( AND( $BL$441 = "1", $BM$441 = "0" ), 2, IF( AND( $BL$441 = "0", $BM$441 = "1" ), 3, 4 ) ) )</f>
        <v>4</v>
      </c>
    </row>
    <row r="442" spans="58:66" x14ac:dyDescent="0.25">
      <c r="BF442" s="1">
        <v>0</v>
      </c>
      <c r="BG442" t="str">
        <f>"0"</f>
        <v>0</v>
      </c>
      <c r="BH442" t="str">
        <f xml:space="preserve"> IF($BF$442 &gt;= $G$204, "1","0")</f>
        <v>0</v>
      </c>
      <c r="BI442">
        <f xml:space="preserve"> IF( AND( $BG$442 = "1", $BH$442 = "1" ), 1, IF( AND( $BG$442 = "1", $BH$442 = "0" ), 2, IF( AND( $BG$442 = "0", $BH$442 = "1" ), 3, 4 ) ) )</f>
        <v>4</v>
      </c>
      <c r="BK442" s="1">
        <v>1.8947368421052633E-2</v>
      </c>
      <c r="BL442" t="str">
        <f>"0"</f>
        <v>0</v>
      </c>
      <c r="BM442" t="str">
        <f xml:space="preserve"> IF($BK$442 &gt;= $G$281, "1","0")</f>
        <v>0</v>
      </c>
      <c r="BN442">
        <f xml:space="preserve"> IF( AND( $BL$442 = "1", $BM$442 = "1" ), 1, IF( AND( $BL$442 = "1", $BM$442 = "0" ), 2, IF( AND( $BL$442 = "0", $BM$442 = "1" ), 3, 4 ) ) )</f>
        <v>4</v>
      </c>
    </row>
    <row r="443" spans="58:66" x14ac:dyDescent="0.25">
      <c r="BF443" s="1">
        <v>0</v>
      </c>
      <c r="BG443" t="str">
        <f>"0"</f>
        <v>0</v>
      </c>
      <c r="BH443" t="str">
        <f xml:space="preserve"> IF($BF$443 &gt;= $G$204, "1","0")</f>
        <v>0</v>
      </c>
      <c r="BI443">
        <f xml:space="preserve"> IF( AND( $BG$443 = "1", $BH$443 = "1" ), 1, IF( AND( $BG$443 = "1", $BH$443 = "0" ), 2, IF( AND( $BG$443 = "0", $BH$443 = "1" ), 3, 4 ) ) )</f>
        <v>4</v>
      </c>
      <c r="BK443" s="1">
        <v>0.79999999999999993</v>
      </c>
      <c r="BL443" t="str">
        <f>"0"</f>
        <v>0</v>
      </c>
      <c r="BM443" t="str">
        <f xml:space="preserve"> IF($BK$443 &gt;= $G$281, "1","0")</f>
        <v>1</v>
      </c>
      <c r="BN443">
        <f xml:space="preserve"> IF( AND( $BL$443 = "1", $BM$443 = "1" ), 1, IF( AND( $BL$443 = "1", $BM$443 = "0" ), 2, IF( AND( $BL$443 = "0", $BM$443 = "1" ), 3, 4 ) ) )</f>
        <v>3</v>
      </c>
    </row>
    <row r="444" spans="58:66" x14ac:dyDescent="0.25">
      <c r="BF444" s="1">
        <v>0</v>
      </c>
      <c r="BG444" t="str">
        <f>"0"</f>
        <v>0</v>
      </c>
      <c r="BH444" t="str">
        <f xml:space="preserve"> IF($BF$444 &gt;= $G$204, "1","0")</f>
        <v>0</v>
      </c>
      <c r="BI444">
        <f xml:space="preserve"> IF( AND( $BG$444 = "1", $BH$444 = "1" ), 1, IF( AND( $BG$444 = "1", $BH$444 = "0" ), 2, IF( AND( $BG$444 = "0", $BH$444 = "1" ), 3, 4 ) ) )</f>
        <v>4</v>
      </c>
      <c r="BK444" s="1">
        <v>1</v>
      </c>
      <c r="BL444" t="str">
        <f>"1"</f>
        <v>1</v>
      </c>
      <c r="BM444" t="str">
        <f xml:space="preserve"> IF($BK$444 &gt;= $G$281, "1","0")</f>
        <v>1</v>
      </c>
      <c r="BN444">
        <f xml:space="preserve"> IF( AND( $BL$444 = "1", $BM$444 = "1" ), 1, IF( AND( $BL$444 = "1", $BM$444 = "0" ), 2, IF( AND( $BL$444 = "0", $BM$444 = "1" ), 3, 4 ) ) )</f>
        <v>1</v>
      </c>
    </row>
    <row r="445" spans="58:66" x14ac:dyDescent="0.25">
      <c r="BF445" s="1">
        <v>0</v>
      </c>
      <c r="BG445" t="str">
        <f>"0"</f>
        <v>0</v>
      </c>
      <c r="BH445" t="str">
        <f xml:space="preserve"> IF($BF$445 &gt;= $G$204, "1","0")</f>
        <v>0</v>
      </c>
      <c r="BI445">
        <f xml:space="preserve"> IF( AND( $BG$445 = "1", $BH$445 = "1" ), 1, IF( AND( $BG$445 = "1", $BH$445 = "0" ), 2, IF( AND( $BG$445 = "0", $BH$445 = "1" ), 3, 4 ) ) )</f>
        <v>4</v>
      </c>
      <c r="BK445" s="1">
        <v>1.8947368421052633E-2</v>
      </c>
      <c r="BL445" t="str">
        <f>"0"</f>
        <v>0</v>
      </c>
      <c r="BM445" t="str">
        <f xml:space="preserve"> IF($BK$445 &gt;= $G$281, "1","0")</f>
        <v>0</v>
      </c>
      <c r="BN445">
        <f xml:space="preserve"> IF( AND( $BL$445 = "1", $BM$445 = "1" ), 1, IF( AND( $BL$445 = "1", $BM$445 = "0" ), 2, IF( AND( $BL$445 = "0", $BM$445 = "1" ), 3, 4 ) ) )</f>
        <v>4</v>
      </c>
    </row>
    <row r="446" spans="58:66" x14ac:dyDescent="0.25">
      <c r="BF446" s="1">
        <v>0</v>
      </c>
      <c r="BG446" t="str">
        <f>"0"</f>
        <v>0</v>
      </c>
      <c r="BH446" t="str">
        <f xml:space="preserve"> IF($BF$446 &gt;= $G$204, "1","0")</f>
        <v>0</v>
      </c>
      <c r="BI446">
        <f xml:space="preserve"> IF( AND( $BG$446 = "1", $BH$446 = "1" ), 1, IF( AND( $BG$446 = "1", $BH$446 = "0" ), 2, IF( AND( $BG$446 = "0", $BH$446 = "1" ), 3, 4 ) ) )</f>
        <v>4</v>
      </c>
      <c r="BK446" s="1">
        <v>0</v>
      </c>
      <c r="BL446" t="str">
        <f>"0"</f>
        <v>0</v>
      </c>
      <c r="BM446" t="str">
        <f xml:space="preserve"> IF($BK$446 &gt;= $G$281, "1","0")</f>
        <v>0</v>
      </c>
      <c r="BN446">
        <f xml:space="preserve"> IF( AND( $BL$446 = "1", $BM$446 = "1" ), 1, IF( AND( $BL$446 = "1", $BM$446 = "0" ), 2, IF( AND( $BL$446 = "0", $BM$446 = "1" ), 3, 4 ) ) )</f>
        <v>4</v>
      </c>
    </row>
    <row r="447" spans="58:66" x14ac:dyDescent="0.25">
      <c r="BF447" s="1">
        <v>0</v>
      </c>
      <c r="BG447" t="str">
        <f>"0"</f>
        <v>0</v>
      </c>
      <c r="BH447" t="str">
        <f xml:space="preserve"> IF($BF$447 &gt;= $G$204, "1","0")</f>
        <v>0</v>
      </c>
      <c r="BI447">
        <f xml:space="preserve"> IF( AND( $BG$447 = "1", $BH$447 = "1" ), 1, IF( AND( $BG$447 = "1", $BH$447 = "0" ), 2, IF( AND( $BG$447 = "0", $BH$447 = "1" ), 3, 4 ) ) )</f>
        <v>4</v>
      </c>
      <c r="BK447" s="1">
        <v>0.69230769230769229</v>
      </c>
      <c r="BL447" t="str">
        <f>"1"</f>
        <v>1</v>
      </c>
      <c r="BM447" t="str">
        <f xml:space="preserve"> IF($BK$447 &gt;= $G$281, "1","0")</f>
        <v>1</v>
      </c>
      <c r="BN447">
        <f xml:space="preserve"> IF( AND( $BL$447 = "1", $BM$447 = "1" ), 1, IF( AND( $BL$447 = "1", $BM$447 = "0" ), 2, IF( AND( $BL$447 = "0", $BM$447 = "1" ), 3, 4 ) ) )</f>
        <v>1</v>
      </c>
    </row>
    <row r="448" spans="58:66" x14ac:dyDescent="0.25">
      <c r="BF448" s="1">
        <v>0</v>
      </c>
      <c r="BG448" t="str">
        <f>"0"</f>
        <v>0</v>
      </c>
      <c r="BH448" t="str">
        <f xml:space="preserve"> IF($BF$448 &gt;= $G$204, "1","0")</f>
        <v>0</v>
      </c>
      <c r="BI448">
        <f xml:space="preserve"> IF( AND( $BG$448 = "1", $BH$448 = "1" ), 1, IF( AND( $BG$448 = "1", $BH$448 = "0" ), 2, IF( AND( $BG$448 = "0", $BH$448 = "1" ), 3, 4 ) ) )</f>
        <v>4</v>
      </c>
      <c r="BK448" s="1">
        <v>0.72727272727272729</v>
      </c>
      <c r="BL448" t="str">
        <f>"0"</f>
        <v>0</v>
      </c>
      <c r="BM448" t="str">
        <f xml:space="preserve"> IF($BK$448 &gt;= $G$281, "1","0")</f>
        <v>1</v>
      </c>
      <c r="BN448">
        <f xml:space="preserve"> IF( AND( $BL$448 = "1", $BM$448 = "1" ), 1, IF( AND( $BL$448 = "1", $BM$448 = "0" ), 2, IF( AND( $BL$448 = "0", $BM$448 = "1" ), 3, 4 ) ) )</f>
        <v>3</v>
      </c>
    </row>
    <row r="449" spans="58:66" x14ac:dyDescent="0.25">
      <c r="BF449" s="1">
        <v>0</v>
      </c>
      <c r="BG449" t="str">
        <f>"0"</f>
        <v>0</v>
      </c>
      <c r="BH449" t="str">
        <f xml:space="preserve"> IF($BF$449 &gt;= $G$204, "1","0")</f>
        <v>0</v>
      </c>
      <c r="BI449">
        <f xml:space="preserve"> IF( AND( $BG$449 = "1", $BH$449 = "1" ), 1, IF( AND( $BG$449 = "1", $BH$449 = "0" ), 2, IF( AND( $BG$449 = "0", $BH$449 = "1" ), 3, 4 ) ) )</f>
        <v>4</v>
      </c>
      <c r="BK449" s="1">
        <v>0.79999999999999993</v>
      </c>
      <c r="BL449" t="str">
        <f>"1"</f>
        <v>1</v>
      </c>
      <c r="BM449" t="str">
        <f xml:space="preserve"> IF($BK$449 &gt;= $G$281, "1","0")</f>
        <v>1</v>
      </c>
      <c r="BN449">
        <f xml:space="preserve"> IF( AND( $BL$449 = "1", $BM$449 = "1" ), 1, IF( AND( $BL$449 = "1", $BM$449 = "0" ), 2, IF( AND( $BL$449 = "0", $BM$449 = "1" ), 3, 4 ) ) )</f>
        <v>1</v>
      </c>
    </row>
    <row r="450" spans="58:66" x14ac:dyDescent="0.25">
      <c r="BF450" s="1">
        <v>0</v>
      </c>
      <c r="BG450" t="str">
        <f>"0"</f>
        <v>0</v>
      </c>
      <c r="BH450" t="str">
        <f xml:space="preserve"> IF($BF$450 &gt;= $G$204, "1","0")</f>
        <v>0</v>
      </c>
      <c r="BI450">
        <f xml:space="preserve"> IF( AND( $BG$450 = "1", $BH$450 = "1" ), 1, IF( AND( $BG$450 = "1", $BH$450 = "0" ), 2, IF( AND( $BG$450 = "0", $BH$450 = "1" ), 3, 4 ) ) )</f>
        <v>4</v>
      </c>
      <c r="BK450" s="1">
        <v>0</v>
      </c>
      <c r="BL450" t="str">
        <f>"0"</f>
        <v>0</v>
      </c>
      <c r="BM450" t="str">
        <f xml:space="preserve"> IF($BK$450 &gt;= $G$281, "1","0")</f>
        <v>0</v>
      </c>
      <c r="BN450">
        <f xml:space="preserve"> IF( AND( $BL$450 = "1", $BM$450 = "1" ), 1, IF( AND( $BL$450 = "1", $BM$450 = "0" ), 2, IF( AND( $BL$450 = "0", $BM$450 = "1" ), 3, 4 ) ) )</f>
        <v>4</v>
      </c>
    </row>
    <row r="451" spans="58:66" x14ac:dyDescent="0.25">
      <c r="BF451" s="1">
        <v>0</v>
      </c>
      <c r="BG451" t="str">
        <f>"0"</f>
        <v>0</v>
      </c>
      <c r="BH451" t="str">
        <f xml:space="preserve"> IF($BF$451 &gt;= $G$204, "1","0")</f>
        <v>0</v>
      </c>
      <c r="BI451">
        <f xml:space="preserve"> IF( AND( $BG$451 = "1", $BH$451 = "1" ), 1, IF( AND( $BG$451 = "1", $BH$451 = "0" ), 2, IF( AND( $BG$451 = "0", $BH$451 = "1" ), 3, 4 ) ) )</f>
        <v>4</v>
      </c>
      <c r="BK451" s="1">
        <v>1.8947368421052633E-2</v>
      </c>
      <c r="BL451" t="str">
        <f>"0"</f>
        <v>0</v>
      </c>
      <c r="BM451" t="str">
        <f xml:space="preserve"> IF($BK$451 &gt;= $G$281, "1","0")</f>
        <v>0</v>
      </c>
      <c r="BN451">
        <f xml:space="preserve"> IF( AND( $BL$451 = "1", $BM$451 = "1" ), 1, IF( AND( $BL$451 = "1", $BM$451 = "0" ), 2, IF( AND( $BL$451 = "0", $BM$451 = "1" ), 3, 4 ) ) )</f>
        <v>4</v>
      </c>
    </row>
    <row r="452" spans="58:66" x14ac:dyDescent="0.25">
      <c r="BF452" s="1">
        <v>0</v>
      </c>
      <c r="BG452" t="str">
        <f>"0"</f>
        <v>0</v>
      </c>
      <c r="BH452" t="str">
        <f xml:space="preserve"> IF($BF$452 &gt;= $G$204, "1","0")</f>
        <v>0</v>
      </c>
      <c r="BI452">
        <f xml:space="preserve"> IF( AND( $BG$452 = "1", $BH$452 = "1" ), 1, IF( AND( $BG$452 = "1", $BH$452 = "0" ), 2, IF( AND( $BG$452 = "0", $BH$452 = "1" ), 3, 4 ) ) )</f>
        <v>4</v>
      </c>
      <c r="BK452" s="1">
        <v>0.9</v>
      </c>
      <c r="BL452" t="str">
        <f>"0"</f>
        <v>0</v>
      </c>
      <c r="BM452" t="str">
        <f xml:space="preserve"> IF($BK$452 &gt;= $G$281, "1","0")</f>
        <v>1</v>
      </c>
      <c r="BN452">
        <f xml:space="preserve"> IF( AND( $BL$452 = "1", $BM$452 = "1" ), 1, IF( AND( $BL$452 = "1", $BM$452 = "0" ), 2, IF( AND( $BL$452 = "0", $BM$452 = "1" ), 3, 4 ) ) )</f>
        <v>3</v>
      </c>
    </row>
    <row r="453" spans="58:66" x14ac:dyDescent="0.25">
      <c r="BF453" s="1">
        <v>0</v>
      </c>
      <c r="BG453" t="str">
        <f>"0"</f>
        <v>0</v>
      </c>
      <c r="BH453" t="str">
        <f xml:space="preserve"> IF($BF$453 &gt;= $G$204, "1","0")</f>
        <v>0</v>
      </c>
      <c r="BI453">
        <f xml:space="preserve"> IF( AND( $BG$453 = "1", $BH$453 = "1" ), 1, IF( AND( $BG$453 = "1", $BH$453 = "0" ), 2, IF( AND( $BG$453 = "0", $BH$453 = "1" ), 3, 4 ) ) )</f>
        <v>4</v>
      </c>
      <c r="BK453" s="1">
        <v>0.68181818181818188</v>
      </c>
      <c r="BL453" t="str">
        <f>"0"</f>
        <v>0</v>
      </c>
      <c r="BM453" t="str">
        <f xml:space="preserve"> IF($BK$453 &gt;= $G$281, "1","0")</f>
        <v>1</v>
      </c>
      <c r="BN453">
        <f xml:space="preserve"> IF( AND( $BL$453 = "1", $BM$453 = "1" ), 1, IF( AND( $BL$453 = "1", $BM$453 = "0" ), 2, IF( AND( $BL$453 = "0", $BM$453 = "1" ), 3, 4 ) ) )</f>
        <v>3</v>
      </c>
    </row>
    <row r="454" spans="58:66" x14ac:dyDescent="0.25">
      <c r="BF454" s="1">
        <v>0</v>
      </c>
      <c r="BG454" t="str">
        <f>"0"</f>
        <v>0</v>
      </c>
      <c r="BH454" t="str">
        <f xml:space="preserve"> IF($BF$454 &gt;= $G$204, "1","0")</f>
        <v>0</v>
      </c>
      <c r="BI454">
        <f xml:space="preserve"> IF( AND( $BG$454 = "1", $BH$454 = "1" ), 1, IF( AND( $BG$454 = "1", $BH$454 = "0" ), 2, IF( AND( $BG$454 = "0", $BH$454 = "1" ), 3, 4 ) ) )</f>
        <v>4</v>
      </c>
      <c r="BK454" s="1">
        <v>0</v>
      </c>
      <c r="BL454" t="str">
        <f>"0"</f>
        <v>0</v>
      </c>
      <c r="BM454" t="str">
        <f xml:space="preserve"> IF($BK$454 &gt;= $G$281, "1","0")</f>
        <v>0</v>
      </c>
      <c r="BN454">
        <f xml:space="preserve"> IF( AND( $BL$454 = "1", $BM$454 = "1" ), 1, IF( AND( $BL$454 = "1", $BM$454 = "0" ), 2, IF( AND( $BL$454 = "0", $BM$454 = "1" ), 3, 4 ) ) )</f>
        <v>4</v>
      </c>
    </row>
    <row r="455" spans="58:66" x14ac:dyDescent="0.25">
      <c r="BF455" s="1">
        <v>0</v>
      </c>
      <c r="BG455" t="str">
        <f>"0"</f>
        <v>0</v>
      </c>
      <c r="BH455" t="str">
        <f xml:space="preserve"> IF($BF$455 &gt;= $G$204, "1","0")</f>
        <v>0</v>
      </c>
      <c r="BI455">
        <f xml:space="preserve"> IF( AND( $BG$455 = "1", $BH$455 = "1" ), 1, IF( AND( $BG$455 = "1", $BH$455 = "0" ), 2, IF( AND( $BG$455 = "0", $BH$455 = "1" ), 3, 4 ) ) )</f>
        <v>4</v>
      </c>
      <c r="BK455" s="1">
        <v>0.32</v>
      </c>
      <c r="BL455" t="str">
        <f>"0"</f>
        <v>0</v>
      </c>
      <c r="BM455" t="str">
        <f xml:space="preserve"> IF($BK$455 &gt;= $G$281, "1","0")</f>
        <v>1</v>
      </c>
      <c r="BN455">
        <f xml:space="preserve"> IF( AND( $BL$455 = "1", $BM$455 = "1" ), 1, IF( AND( $BL$455 = "1", $BM$455 = "0" ), 2, IF( AND( $BL$455 = "0", $BM$455 = "1" ), 3, 4 ) ) )</f>
        <v>3</v>
      </c>
    </row>
    <row r="456" spans="58:66" x14ac:dyDescent="0.25">
      <c r="BF456" s="1">
        <v>0</v>
      </c>
      <c r="BG456" t="str">
        <f>"0"</f>
        <v>0</v>
      </c>
      <c r="BH456" t="str">
        <f xml:space="preserve"> IF($BF$456 &gt;= $G$204, "1","0")</f>
        <v>0</v>
      </c>
      <c r="BI456">
        <f xml:space="preserve"> IF( AND( $BG$456 = "1", $BH$456 = "1" ), 1, IF( AND( $BG$456 = "1", $BH$456 = "0" ), 2, IF( AND( $BG$456 = "0", $BH$456 = "1" ), 3, 4 ) ) )</f>
        <v>4</v>
      </c>
      <c r="BK456" s="1">
        <v>0.5625</v>
      </c>
      <c r="BL456" t="str">
        <f>"1"</f>
        <v>1</v>
      </c>
      <c r="BM456" t="str">
        <f xml:space="preserve"> IF($BK$456 &gt;= $G$281, "1","0")</f>
        <v>1</v>
      </c>
      <c r="BN456">
        <f xml:space="preserve"> IF( AND( $BL$456 = "1", $BM$456 = "1" ), 1, IF( AND( $BL$456 = "1", $BM$456 = "0" ), 2, IF( AND( $BL$456 = "0", $BM$456 = "1" ), 3, 4 ) ) )</f>
        <v>1</v>
      </c>
    </row>
    <row r="457" spans="58:66" x14ac:dyDescent="0.25">
      <c r="BF457" s="1">
        <v>0</v>
      </c>
      <c r="BG457" t="str">
        <f>"0"</f>
        <v>0</v>
      </c>
      <c r="BH457" t="str">
        <f xml:space="preserve"> IF($BF$457 &gt;= $G$204, "1","0")</f>
        <v>0</v>
      </c>
      <c r="BI457">
        <f xml:space="preserve"> IF( AND( $BG$457 = "1", $BH$457 = "1" ), 1, IF( AND( $BG$457 = "1", $BH$457 = "0" ), 2, IF( AND( $BG$457 = "0", $BH$457 = "1" ), 3, 4 ) ) )</f>
        <v>4</v>
      </c>
      <c r="BK457" s="1">
        <v>2.5000000000000001E-3</v>
      </c>
      <c r="BL457" t="str">
        <f>"0"</f>
        <v>0</v>
      </c>
      <c r="BM457" t="str">
        <f xml:space="preserve"> IF($BK$457 &gt;= $G$281, "1","0")</f>
        <v>0</v>
      </c>
      <c r="BN457">
        <f xml:space="preserve"> IF( AND( $BL$457 = "1", $BM$457 = "1" ), 1, IF( AND( $BL$457 = "1", $BM$457 = "0" ), 2, IF( AND( $BL$457 = "0", $BM$457 = "1" ), 3, 4 ) ) )</f>
        <v>4</v>
      </c>
    </row>
    <row r="458" spans="58:66" x14ac:dyDescent="0.25">
      <c r="BF458" s="1">
        <v>0</v>
      </c>
      <c r="BG458" t="str">
        <f>"0"</f>
        <v>0</v>
      </c>
      <c r="BH458" t="str">
        <f xml:space="preserve"> IF($BF$458 &gt;= $G$204, "1","0")</f>
        <v>0</v>
      </c>
      <c r="BI458">
        <f xml:space="preserve"> IF( AND( $BG$458 = "1", $BH$458 = "1" ), 1, IF( AND( $BG$458 = "1", $BH$458 = "0" ), 2, IF( AND( $BG$458 = "0", $BH$458 = "1" ), 3, 4 ) ) )</f>
        <v>4</v>
      </c>
      <c r="BK458" s="1">
        <v>0.64</v>
      </c>
      <c r="BL458" t="str">
        <f>"1"</f>
        <v>1</v>
      </c>
      <c r="BM458" t="str">
        <f xml:space="preserve"> IF($BK$458 &gt;= $G$281, "1","0")</f>
        <v>1</v>
      </c>
      <c r="BN458">
        <f xml:space="preserve"> IF( AND( $BL$458 = "1", $BM$458 = "1" ), 1, IF( AND( $BL$458 = "1", $BM$458 = "0" ), 2, IF( AND( $BL$458 = "0", $BM$458 = "1" ), 3, 4 ) ) )</f>
        <v>1</v>
      </c>
    </row>
    <row r="459" spans="58:66" x14ac:dyDescent="0.25">
      <c r="BF459" s="1">
        <v>0</v>
      </c>
      <c r="BG459" t="str">
        <f>"0"</f>
        <v>0</v>
      </c>
      <c r="BH459" t="str">
        <f xml:space="preserve"> IF($BF$459 &gt;= $G$204, "1","0")</f>
        <v>0</v>
      </c>
      <c r="BI459">
        <f xml:space="preserve"> IF( AND( $BG$459 = "1", $BH$459 = "1" ), 1, IF( AND( $BG$459 = "1", $BH$459 = "0" ), 2, IF( AND( $BG$459 = "0", $BH$459 = "1" ), 3, 4 ) ) )</f>
        <v>4</v>
      </c>
      <c r="BK459" s="1">
        <v>0.37500000000000006</v>
      </c>
      <c r="BL459" t="str">
        <f>"0"</f>
        <v>0</v>
      </c>
      <c r="BM459" t="str">
        <f xml:space="preserve"> IF($BK$459 &gt;= $G$281, "1","0")</f>
        <v>1</v>
      </c>
      <c r="BN459">
        <f xml:space="preserve"> IF( AND( $BL$459 = "1", $BM$459 = "1" ), 1, IF( AND( $BL$459 = "1", $BM$459 = "0" ), 2, IF( AND( $BL$459 = "0", $BM$459 = "1" ), 3, 4 ) ) )</f>
        <v>3</v>
      </c>
    </row>
    <row r="460" spans="58:66" x14ac:dyDescent="0.25">
      <c r="BF460" s="1">
        <v>0</v>
      </c>
      <c r="BG460" t="str">
        <f>"0"</f>
        <v>0</v>
      </c>
      <c r="BH460" t="str">
        <f xml:space="preserve"> IF($BF$460 &gt;= $G$204, "1","0")</f>
        <v>0</v>
      </c>
      <c r="BI460">
        <f xml:space="preserve"> IF( AND( $BG$460 = "1", $BH$460 = "1" ), 1, IF( AND( $BG$460 = "1", $BH$460 = "0" ), 2, IF( AND( $BG$460 = "0", $BH$460 = "1" ), 3, 4 ) ) )</f>
        <v>4</v>
      </c>
      <c r="BK460" s="1">
        <v>2.5000000000000001E-3</v>
      </c>
      <c r="BL460" t="str">
        <f>"0"</f>
        <v>0</v>
      </c>
      <c r="BM460" t="str">
        <f xml:space="preserve"> IF($BK$460 &gt;= $G$281, "1","0")</f>
        <v>0</v>
      </c>
      <c r="BN460">
        <f xml:space="preserve"> IF( AND( $BL$460 = "1", $BM$460 = "1" ), 1, IF( AND( $BL$460 = "1", $BM$460 = "0" ), 2, IF( AND( $BL$460 = "0", $BM$460 = "1" ), 3, 4 ) ) )</f>
        <v>4</v>
      </c>
    </row>
    <row r="461" spans="58:66" x14ac:dyDescent="0.25">
      <c r="BF461" s="1">
        <v>0</v>
      </c>
      <c r="BG461" t="str">
        <f>"0"</f>
        <v>0</v>
      </c>
      <c r="BH461" t="str">
        <f xml:space="preserve"> IF($BF$461 &gt;= $G$204, "1","0")</f>
        <v>0</v>
      </c>
      <c r="BI461">
        <f xml:space="preserve"> IF( AND( $BG$461 = "1", $BH$461 = "1" ), 1, IF( AND( $BG$461 = "1", $BH$461 = "0" ), 2, IF( AND( $BG$461 = "0", $BH$461 = "1" ), 3, 4 ) ) )</f>
        <v>4</v>
      </c>
      <c r="BK461" s="1">
        <v>0</v>
      </c>
      <c r="BL461" t="str">
        <f>"0"</f>
        <v>0</v>
      </c>
      <c r="BM461" t="str">
        <f xml:space="preserve"> IF($BK$461 &gt;= $G$281, "1","0")</f>
        <v>0</v>
      </c>
      <c r="BN461">
        <f xml:space="preserve"> IF( AND( $BL$461 = "1", $BM$461 = "1" ), 1, IF( AND( $BL$461 = "1", $BM$461 = "0" ), 2, IF( AND( $BL$461 = "0", $BM$461 = "1" ), 3, 4 ) ) )</f>
        <v>4</v>
      </c>
    </row>
    <row r="462" spans="58:66" x14ac:dyDescent="0.25">
      <c r="BF462" s="1">
        <v>0</v>
      </c>
      <c r="BG462" t="str">
        <f>"0"</f>
        <v>0</v>
      </c>
      <c r="BH462" t="str">
        <f xml:space="preserve"> IF($BF$462 &gt;= $G$204, "1","0")</f>
        <v>0</v>
      </c>
      <c r="BI462">
        <f xml:space="preserve"> IF( AND( $BG$462 = "1", $BH$462 = "1" ), 1, IF( AND( $BG$462 = "1", $BH$462 = "0" ), 2, IF( AND( $BG$462 = "0", $BH$462 = "1" ), 3, 4 ) ) )</f>
        <v>4</v>
      </c>
      <c r="BK462" s="1">
        <v>0.14285714285714285</v>
      </c>
      <c r="BL462" t="str">
        <f>"0"</f>
        <v>0</v>
      </c>
      <c r="BM462" t="str">
        <f xml:space="preserve"> IF($BK$462 &gt;= $G$281, "1","0")</f>
        <v>0</v>
      </c>
      <c r="BN462">
        <f xml:space="preserve"> IF( AND( $BL$462 = "1", $BM$462 = "1" ), 1, IF( AND( $BL$462 = "1", $BM$462 = "0" ), 2, IF( AND( $BL$462 = "0", $BM$462 = "1" ), 3, 4 ) ) )</f>
        <v>4</v>
      </c>
    </row>
    <row r="463" spans="58:66" x14ac:dyDescent="0.25">
      <c r="BF463" s="1">
        <v>0</v>
      </c>
      <c r="BG463" t="str">
        <f>"0"</f>
        <v>0</v>
      </c>
      <c r="BH463" t="str">
        <f xml:space="preserve"> IF($BF$463 &gt;= $G$204, "1","0")</f>
        <v>0</v>
      </c>
      <c r="BI463">
        <f xml:space="preserve"> IF( AND( $BG$463 = "1", $BH$463 = "1" ), 1, IF( AND( $BG$463 = "1", $BH$463 = "0" ), 2, IF( AND( $BG$463 = "0", $BH$463 = "1" ), 3, 4 ) ) )</f>
        <v>4</v>
      </c>
      <c r="BK463" s="1">
        <v>1.8947368421052633E-2</v>
      </c>
      <c r="BL463" t="str">
        <f>"0"</f>
        <v>0</v>
      </c>
      <c r="BM463" t="str">
        <f xml:space="preserve"> IF($BK$463 &gt;= $G$281, "1","0")</f>
        <v>0</v>
      </c>
      <c r="BN463">
        <f xml:space="preserve"> IF( AND( $BL$463 = "1", $BM$463 = "1" ), 1, IF( AND( $BL$463 = "1", $BM$463 = "0" ), 2, IF( AND( $BL$463 = "0", $BM$463 = "1" ), 3, 4 ) ) )</f>
        <v>4</v>
      </c>
    </row>
    <row r="464" spans="58:66" x14ac:dyDescent="0.25">
      <c r="BF464" s="1">
        <v>0</v>
      </c>
      <c r="BG464" t="str">
        <f>"0"</f>
        <v>0</v>
      </c>
      <c r="BH464" t="str">
        <f xml:space="preserve"> IF($BF$464 &gt;= $G$204, "1","0")</f>
        <v>0</v>
      </c>
      <c r="BI464">
        <f xml:space="preserve"> IF( AND( $BG$464 = "1", $BH$464 = "1" ), 1, IF( AND( $BG$464 = "1", $BH$464 = "0" ), 2, IF( AND( $BG$464 = "0", $BH$464 = "1" ), 3, 4 ) ) )</f>
        <v>4</v>
      </c>
      <c r="BK464" s="1">
        <v>3.333333333333334E-2</v>
      </c>
      <c r="BL464" t="str">
        <f>"0"</f>
        <v>0</v>
      </c>
      <c r="BM464" t="str">
        <f xml:space="preserve"> IF($BK$464 &gt;= $G$281, "1","0")</f>
        <v>0</v>
      </c>
      <c r="BN464">
        <f xml:space="preserve"> IF( AND( $BL$464 = "1", $BM$464 = "1" ), 1, IF( AND( $BL$464 = "1", $BM$464 = "0" ), 2, IF( AND( $BL$464 = "0", $BM$464 = "1" ), 3, 4 ) ) )</f>
        <v>4</v>
      </c>
    </row>
    <row r="465" spans="58:66" x14ac:dyDescent="0.25">
      <c r="BF465" s="1">
        <v>0</v>
      </c>
      <c r="BG465" t="str">
        <f>"0"</f>
        <v>0</v>
      </c>
      <c r="BH465" t="str">
        <f xml:space="preserve"> IF($BF$465 &gt;= $G$204, "1","0")</f>
        <v>0</v>
      </c>
      <c r="BI465">
        <f xml:space="preserve"> IF( AND( $BG$465 = "1", $BH$465 = "1" ), 1, IF( AND( $BG$465 = "1", $BH$465 = "0" ), 2, IF( AND( $BG$465 = "0", $BH$465 = "1" ), 3, 4 ) ) )</f>
        <v>4</v>
      </c>
      <c r="BK465" s="1">
        <v>0</v>
      </c>
      <c r="BL465" t="str">
        <f>"0"</f>
        <v>0</v>
      </c>
      <c r="BM465" t="str">
        <f xml:space="preserve"> IF($BK$465 &gt;= $G$281, "1","0")</f>
        <v>0</v>
      </c>
      <c r="BN465">
        <f xml:space="preserve"> IF( AND( $BL$465 = "1", $BM$465 = "1" ), 1, IF( AND( $BL$465 = "1", $BM$465 = "0" ), 2, IF( AND( $BL$465 = "0", $BM$465 = "1" ), 3, 4 ) ) )</f>
        <v>4</v>
      </c>
    </row>
    <row r="466" spans="58:66" x14ac:dyDescent="0.25">
      <c r="BF466" s="1">
        <v>0</v>
      </c>
      <c r="BG466" t="str">
        <f>"0"</f>
        <v>0</v>
      </c>
      <c r="BH466" t="str">
        <f xml:space="preserve"> IF($BF$466 &gt;= $G$204, "1","0")</f>
        <v>0</v>
      </c>
      <c r="BI466">
        <f xml:space="preserve"> IF( AND( $BG$466 = "1", $BH$466 = "1" ), 1, IF( AND( $BG$466 = "1", $BH$466 = "0" ), 2, IF( AND( $BG$466 = "0", $BH$466 = "1" ), 3, 4 ) ) )</f>
        <v>4</v>
      </c>
      <c r="BK466" s="1">
        <v>3.333333333333334E-2</v>
      </c>
      <c r="BL466" t="str">
        <f>"0"</f>
        <v>0</v>
      </c>
      <c r="BM466" t="str">
        <f xml:space="preserve"> IF($BK$466 &gt;= $G$281, "1","0")</f>
        <v>0</v>
      </c>
      <c r="BN466">
        <f xml:space="preserve"> IF( AND( $BL$466 = "1", $BM$466 = "1" ), 1, IF( AND( $BL$466 = "1", $BM$466 = "0" ), 2, IF( AND( $BL$466 = "0", $BM$466 = "1" ), 3, 4 ) ) )</f>
        <v>4</v>
      </c>
    </row>
    <row r="467" spans="58:66" x14ac:dyDescent="0.25">
      <c r="BF467" s="1">
        <v>0</v>
      </c>
      <c r="BG467" t="str">
        <f>"0"</f>
        <v>0</v>
      </c>
      <c r="BH467" t="str">
        <f xml:space="preserve"> IF($BF$467 &gt;= $G$204, "1","0")</f>
        <v>0</v>
      </c>
      <c r="BI467">
        <f xml:space="preserve"> IF( AND( $BG$467 = "1", $BH$467 = "1" ), 1, IF( AND( $BG$467 = "1", $BH$467 = "0" ), 2, IF( AND( $BG$467 = "0", $BH$467 = "1" ), 3, 4 ) ) )</f>
        <v>4</v>
      </c>
      <c r="BK467" s="1">
        <v>0.72727272727272729</v>
      </c>
      <c r="BL467" t="str">
        <f>"0"</f>
        <v>0</v>
      </c>
      <c r="BM467" t="str">
        <f xml:space="preserve"> IF($BK$467 &gt;= $G$281, "1","0")</f>
        <v>1</v>
      </c>
      <c r="BN467">
        <f xml:space="preserve"> IF( AND( $BL$467 = "1", $BM$467 = "1" ), 1, IF( AND( $BL$467 = "1", $BM$467 = "0" ), 2, IF( AND( $BL$467 = "0", $BM$467 = "1" ), 3, 4 ) ) )</f>
        <v>3</v>
      </c>
    </row>
    <row r="468" spans="58:66" x14ac:dyDescent="0.25">
      <c r="BF468" s="1">
        <v>0</v>
      </c>
      <c r="BG468" t="str">
        <f>"0"</f>
        <v>0</v>
      </c>
      <c r="BH468" t="str">
        <f xml:space="preserve"> IF($BF$468 &gt;= $G$204, "1","0")</f>
        <v>0</v>
      </c>
      <c r="BI468">
        <f xml:space="preserve"> IF( AND( $BG$468 = "1", $BH$468 = "1" ), 1, IF( AND( $BG$468 = "1", $BH$468 = "0" ), 2, IF( AND( $BG$468 = "0", $BH$468 = "1" ), 3, 4 ) ) )</f>
        <v>4</v>
      </c>
      <c r="BK468" s="1">
        <v>2.5000000000000001E-3</v>
      </c>
      <c r="BL468" t="str">
        <f>"0"</f>
        <v>0</v>
      </c>
      <c r="BM468" t="str">
        <f xml:space="preserve"> IF($BK$468 &gt;= $G$281, "1","0")</f>
        <v>0</v>
      </c>
      <c r="BN468">
        <f xml:space="preserve"> IF( AND( $BL$468 = "1", $BM$468 = "1" ), 1, IF( AND( $BL$468 = "1", $BM$468 = "0" ), 2, IF( AND( $BL$468 = "0", $BM$468 = "1" ), 3, 4 ) ) )</f>
        <v>4</v>
      </c>
    </row>
    <row r="469" spans="58:66" x14ac:dyDescent="0.25">
      <c r="BF469" s="1">
        <v>0</v>
      </c>
      <c r="BG469" t="str">
        <f>"0"</f>
        <v>0</v>
      </c>
      <c r="BH469" t="str">
        <f xml:space="preserve"> IF($BF$469 &gt;= $G$204, "1","0")</f>
        <v>0</v>
      </c>
      <c r="BI469">
        <f xml:space="preserve"> IF( AND( $BG$469 = "1", $BH$469 = "1" ), 1, IF( AND( $BG$469 = "1", $BH$469 = "0" ), 2, IF( AND( $BG$469 = "0", $BH$469 = "1" ), 3, 4 ) ) )</f>
        <v>4</v>
      </c>
      <c r="BK469" s="1">
        <v>1.8947368421052633E-2</v>
      </c>
      <c r="BL469" t="str">
        <f>"0"</f>
        <v>0</v>
      </c>
      <c r="BM469" t="str">
        <f xml:space="preserve"> IF($BK$469 &gt;= $G$281, "1","0")</f>
        <v>0</v>
      </c>
      <c r="BN469">
        <f xml:space="preserve"> IF( AND( $BL$469 = "1", $BM$469 = "1" ), 1, IF( AND( $BL$469 = "1", $BM$469 = "0" ), 2, IF( AND( $BL$469 = "0", $BM$469 = "1" ), 3, 4 ) ) )</f>
        <v>4</v>
      </c>
    </row>
    <row r="470" spans="58:66" x14ac:dyDescent="0.25">
      <c r="BF470" s="1">
        <v>0</v>
      </c>
      <c r="BG470" t="str">
        <f>"0"</f>
        <v>0</v>
      </c>
      <c r="BH470" t="str">
        <f xml:space="preserve"> IF($BF$470 &gt;= $G$204, "1","0")</f>
        <v>0</v>
      </c>
      <c r="BI470">
        <f xml:space="preserve"> IF( AND( $BG$470 = "1", $BH$470 = "1" ), 1, IF( AND( $BG$470 = "1", $BH$470 = "0" ), 2, IF( AND( $BG$470 = "0", $BH$470 = "1" ), 3, 4 ) ) )</f>
        <v>4</v>
      </c>
      <c r="BK470" s="1">
        <v>3.333333333333334E-2</v>
      </c>
      <c r="BL470" t="str">
        <f>"0"</f>
        <v>0</v>
      </c>
      <c r="BM470" t="str">
        <f xml:space="preserve"> IF($BK$470 &gt;= $G$281, "1","0")</f>
        <v>0</v>
      </c>
      <c r="BN470">
        <f xml:space="preserve"> IF( AND( $BL$470 = "1", $BM$470 = "1" ), 1, IF( AND( $BL$470 = "1", $BM$470 = "0" ), 2, IF( AND( $BL$470 = "0", $BM$470 = "1" ), 3, 4 ) ) )</f>
        <v>4</v>
      </c>
    </row>
    <row r="471" spans="58:66" x14ac:dyDescent="0.25">
      <c r="BF471" s="1">
        <v>0</v>
      </c>
      <c r="BG471" t="str">
        <f>"0"</f>
        <v>0</v>
      </c>
      <c r="BH471" t="str">
        <f xml:space="preserve"> IF($BF$471 &gt;= $G$204, "1","0")</f>
        <v>0</v>
      </c>
      <c r="BI471">
        <f xml:space="preserve"> IF( AND( $BG$471 = "1", $BH$471 = "1" ), 1, IF( AND( $BG$471 = "1", $BH$471 = "0" ), 2, IF( AND( $BG$471 = "0", $BH$471 = "1" ), 3, 4 ) ) )</f>
        <v>4</v>
      </c>
      <c r="BK471" s="1">
        <v>1.8947368421052633E-2</v>
      </c>
      <c r="BL471" t="str">
        <f>"0"</f>
        <v>0</v>
      </c>
      <c r="BM471" t="str">
        <f xml:space="preserve"> IF($BK$471 &gt;= $G$281, "1","0")</f>
        <v>0</v>
      </c>
      <c r="BN471">
        <f xml:space="preserve"> IF( AND( $BL$471 = "1", $BM$471 = "1" ), 1, IF( AND( $BL$471 = "1", $BM$471 = "0" ), 2, IF( AND( $BL$471 = "0", $BM$471 = "1" ), 3, 4 ) ) )</f>
        <v>4</v>
      </c>
    </row>
    <row r="472" spans="58:66" x14ac:dyDescent="0.25">
      <c r="BF472" s="1">
        <v>0</v>
      </c>
      <c r="BG472" t="str">
        <f>"0"</f>
        <v>0</v>
      </c>
      <c r="BH472" t="str">
        <f xml:space="preserve"> IF($BF$472 &gt;= $G$204, "1","0")</f>
        <v>0</v>
      </c>
      <c r="BI472">
        <f xml:space="preserve"> IF( AND( $BG$472 = "1", $BH$472 = "1" ), 1, IF( AND( $BG$472 = "1", $BH$472 = "0" ), 2, IF( AND( $BG$472 = "0", $BH$472 = "1" ), 3, 4 ) ) )</f>
        <v>4</v>
      </c>
      <c r="BK472" s="1">
        <v>1.8947368421052633E-2</v>
      </c>
      <c r="BL472" t="str">
        <f>"0"</f>
        <v>0</v>
      </c>
      <c r="BM472" t="str">
        <f xml:space="preserve"> IF($BK$472 &gt;= $G$281, "1","0")</f>
        <v>0</v>
      </c>
      <c r="BN472">
        <f xml:space="preserve"> IF( AND( $BL$472 = "1", $BM$472 = "1" ), 1, IF( AND( $BL$472 = "1", $BM$472 = "0" ), 2, IF( AND( $BL$472 = "0", $BM$472 = "1" ), 3, 4 ) ) )</f>
        <v>4</v>
      </c>
    </row>
    <row r="473" spans="58:66" x14ac:dyDescent="0.25">
      <c r="BF473" s="1">
        <v>0</v>
      </c>
      <c r="BG473" t="str">
        <f>"0"</f>
        <v>0</v>
      </c>
      <c r="BH473" t="str">
        <f xml:space="preserve"> IF($BF$473 &gt;= $G$204, "1","0")</f>
        <v>0</v>
      </c>
      <c r="BI473">
        <f xml:space="preserve"> IF( AND( $BG$473 = "1", $BH$473 = "1" ), 1, IF( AND( $BG$473 = "1", $BH$473 = "0" ), 2, IF( AND( $BG$473 = "0", $BH$473 = "1" ), 3, 4 ) ) )</f>
        <v>4</v>
      </c>
      <c r="BK473" s="1">
        <v>2.5000000000000001E-3</v>
      </c>
      <c r="BL473" t="str">
        <f>"0"</f>
        <v>0</v>
      </c>
      <c r="BM473" t="str">
        <f xml:space="preserve"> IF($BK$473 &gt;= $G$281, "1","0")</f>
        <v>0</v>
      </c>
      <c r="BN473">
        <f xml:space="preserve"> IF( AND( $BL$473 = "1", $BM$473 = "1" ), 1, IF( AND( $BL$473 = "1", $BM$473 = "0" ), 2, IF( AND( $BL$473 = "0", $BM$473 = "1" ), 3, 4 ) ) )</f>
        <v>4</v>
      </c>
    </row>
    <row r="474" spans="58:66" x14ac:dyDescent="0.25">
      <c r="BF474" s="1">
        <v>0.72727272727272729</v>
      </c>
      <c r="BG474" t="str">
        <f>"0"</f>
        <v>0</v>
      </c>
      <c r="BH474" t="str">
        <f xml:space="preserve"> IF($BF$474 &gt;= $G$204, "1","0")</f>
        <v>1</v>
      </c>
      <c r="BI474">
        <f xml:space="preserve"> IF( AND( $BG$474 = "1", $BH$474 = "1" ), 1, IF( AND( $BG$474 = "1", $BH$474 = "0" ), 2, IF( AND( $BG$474 = "0", $BH$474 = "1" ), 3, 4 ) ) )</f>
        <v>3</v>
      </c>
      <c r="BK474" s="1">
        <v>1.8947368421052633E-2</v>
      </c>
      <c r="BL474" t="str">
        <f>"0"</f>
        <v>0</v>
      </c>
      <c r="BM474" t="str">
        <f xml:space="preserve"> IF($BK$474 &gt;= $G$281, "1","0")</f>
        <v>0</v>
      </c>
      <c r="BN474">
        <f xml:space="preserve"> IF( AND( $BL$474 = "1", $BM$474 = "1" ), 1, IF( AND( $BL$474 = "1", $BM$474 = "0" ), 2, IF( AND( $BL$474 = "0", $BM$474 = "1" ), 3, 4 ) ) )</f>
        <v>4</v>
      </c>
    </row>
    <row r="475" spans="58:66" x14ac:dyDescent="0.25">
      <c r="BF475" s="1">
        <v>0</v>
      </c>
      <c r="BG475" t="str">
        <f>"0"</f>
        <v>0</v>
      </c>
      <c r="BH475" t="str">
        <f xml:space="preserve"> IF($BF$475 &gt;= $G$204, "1","0")</f>
        <v>0</v>
      </c>
      <c r="BI475">
        <f xml:space="preserve"> IF( AND( $BG$475 = "1", $BH$475 = "1" ), 1, IF( AND( $BG$475 = "1", $BH$475 = "0" ), 2, IF( AND( $BG$475 = "0", $BH$475 = "1" ), 3, 4 ) ) )</f>
        <v>4</v>
      </c>
      <c r="BK475" s="1">
        <v>0.68181818181818188</v>
      </c>
      <c r="BL475" t="str">
        <f>"0"</f>
        <v>0</v>
      </c>
      <c r="BM475" t="str">
        <f xml:space="preserve"> IF($BK$475 &gt;= $G$281, "1","0")</f>
        <v>1</v>
      </c>
      <c r="BN475">
        <f xml:space="preserve"> IF( AND( $BL$475 = "1", $BM$475 = "1" ), 1, IF( AND( $BL$475 = "1", $BM$475 = "0" ), 2, IF( AND( $BL$475 = "0", $BM$475 = "1" ), 3, 4 ) ) )</f>
        <v>3</v>
      </c>
    </row>
    <row r="476" spans="58:66" x14ac:dyDescent="0.25">
      <c r="BF476" s="1">
        <v>0</v>
      </c>
      <c r="BG476" t="str">
        <f>"0"</f>
        <v>0</v>
      </c>
      <c r="BH476" t="str">
        <f xml:space="preserve"> IF($BF$476 &gt;= $G$204, "1","0")</f>
        <v>0</v>
      </c>
      <c r="BI476">
        <f xml:space="preserve"> IF( AND( $BG$476 = "1", $BH$476 = "1" ), 1, IF( AND( $BG$476 = "1", $BH$476 = "0" ), 2, IF( AND( $BG$476 = "0", $BH$476 = "1" ), 3, 4 ) ) )</f>
        <v>4</v>
      </c>
      <c r="BK476" s="1">
        <v>2.5000000000000001E-3</v>
      </c>
      <c r="BL476" t="str">
        <f>"0"</f>
        <v>0</v>
      </c>
      <c r="BM476" t="str">
        <f xml:space="preserve"> IF($BK$476 &gt;= $G$281, "1","0")</f>
        <v>0</v>
      </c>
      <c r="BN476">
        <f xml:space="preserve"> IF( AND( $BL$476 = "1", $BM$476 = "1" ), 1, IF( AND( $BL$476 = "1", $BM$476 = "0" ), 2, IF( AND( $BL$476 = "0", $BM$476 = "1" ), 3, 4 ) ) )</f>
        <v>4</v>
      </c>
    </row>
    <row r="477" spans="58:66" x14ac:dyDescent="0.25">
      <c r="BF477" s="1">
        <v>0</v>
      </c>
      <c r="BG477" t="str">
        <f>"0"</f>
        <v>0</v>
      </c>
      <c r="BH477" t="str">
        <f xml:space="preserve"> IF($BF$477 &gt;= $G$204, "1","0")</f>
        <v>0</v>
      </c>
      <c r="BI477">
        <f xml:space="preserve"> IF( AND( $BG$477 = "1", $BH$477 = "1" ), 1, IF( AND( $BG$477 = "1", $BH$477 = "0" ), 2, IF( AND( $BG$477 = "0", $BH$477 = "1" ), 3, 4 ) ) )</f>
        <v>4</v>
      </c>
      <c r="BK477" s="1">
        <v>0</v>
      </c>
      <c r="BL477" t="str">
        <f>"0"</f>
        <v>0</v>
      </c>
      <c r="BM477" t="str">
        <f xml:space="preserve"> IF($BK$477 &gt;= $G$281, "1","0")</f>
        <v>0</v>
      </c>
      <c r="BN477">
        <f xml:space="preserve"> IF( AND( $BL$477 = "1", $BM$477 = "1" ), 1, IF( AND( $BL$477 = "1", $BM$477 = "0" ), 2, IF( AND( $BL$477 = "0", $BM$477 = "1" ), 3, 4 ) ) )</f>
        <v>4</v>
      </c>
    </row>
    <row r="478" spans="58:66" x14ac:dyDescent="0.25">
      <c r="BF478" s="1">
        <v>0</v>
      </c>
      <c r="BG478" t="str">
        <f>"0"</f>
        <v>0</v>
      </c>
      <c r="BH478" t="str">
        <f xml:space="preserve"> IF($BF$478 &gt;= $G$204, "1","0")</f>
        <v>0</v>
      </c>
      <c r="BI478">
        <f xml:space="preserve"> IF( AND( $BG$478 = "1", $BH$478 = "1" ), 1, IF( AND( $BG$478 = "1", $BH$478 = "0" ), 2, IF( AND( $BG$478 = "0", $BH$478 = "1" ), 3, 4 ) ) )</f>
        <v>4</v>
      </c>
      <c r="BK478" s="1">
        <v>0.68181818181818188</v>
      </c>
      <c r="BL478" t="str">
        <f>"0"</f>
        <v>0</v>
      </c>
      <c r="BM478" t="str">
        <f xml:space="preserve"> IF($BK$478 &gt;= $G$281, "1","0")</f>
        <v>1</v>
      </c>
      <c r="BN478">
        <f xml:space="preserve"> IF( AND( $BL$478 = "1", $BM$478 = "1" ), 1, IF( AND( $BL$478 = "1", $BM$478 = "0" ), 2, IF( AND( $BL$478 = "0", $BM$478 = "1" ), 3, 4 ) ) )</f>
        <v>3</v>
      </c>
    </row>
    <row r="479" spans="58:66" x14ac:dyDescent="0.25">
      <c r="BF479" s="1">
        <v>0</v>
      </c>
      <c r="BG479" t="str">
        <f>"0"</f>
        <v>0</v>
      </c>
      <c r="BH479" t="str">
        <f xml:space="preserve"> IF($BF$479 &gt;= $G$204, "1","0")</f>
        <v>0</v>
      </c>
      <c r="BI479">
        <f xml:space="preserve"> IF( AND( $BG$479 = "1", $BH$479 = "1" ), 1, IF( AND( $BG$479 = "1", $BH$479 = "0" ), 2, IF( AND( $BG$479 = "0", $BH$479 = "1" ), 3, 4 ) ) )</f>
        <v>4</v>
      </c>
      <c r="BK479" s="1">
        <v>0</v>
      </c>
      <c r="BL479" t="str">
        <f>"0"</f>
        <v>0</v>
      </c>
      <c r="BM479" t="str">
        <f xml:space="preserve"> IF($BK$479 &gt;= $G$281, "1","0")</f>
        <v>0</v>
      </c>
      <c r="BN479">
        <f xml:space="preserve"> IF( AND( $BL$479 = "1", $BM$479 = "1" ), 1, IF( AND( $BL$479 = "1", $BM$479 = "0" ), 2, IF( AND( $BL$479 = "0", $BM$479 = "1" ), 3, 4 ) ) )</f>
        <v>4</v>
      </c>
    </row>
    <row r="480" spans="58:66" x14ac:dyDescent="0.25">
      <c r="BF480" s="1">
        <v>0</v>
      </c>
      <c r="BG480" t="str">
        <f>"0"</f>
        <v>0</v>
      </c>
      <c r="BH480" t="str">
        <f xml:space="preserve"> IF($BF$480 &gt;= $G$204, "1","0")</f>
        <v>0</v>
      </c>
      <c r="BI480">
        <f xml:space="preserve"> IF( AND( $BG$480 = "1", $BH$480 = "1" ), 1, IF( AND( $BG$480 = "1", $BH$480 = "0" ), 2, IF( AND( $BG$480 = "0", $BH$480 = "1" ), 3, 4 ) ) )</f>
        <v>4</v>
      </c>
      <c r="BK480" s="1">
        <v>0.79999999999999993</v>
      </c>
      <c r="BL480" t="str">
        <f>"1"</f>
        <v>1</v>
      </c>
      <c r="BM480" t="str">
        <f xml:space="preserve"> IF($BK$480 &gt;= $G$281, "1","0")</f>
        <v>1</v>
      </c>
      <c r="BN480">
        <f xml:space="preserve"> IF( AND( $BL$480 = "1", $BM$480 = "1" ), 1, IF( AND( $BL$480 = "1", $BM$480 = "0" ), 2, IF( AND( $BL$480 = "0", $BM$480 = "1" ), 3, 4 ) ) )</f>
        <v>1</v>
      </c>
    </row>
    <row r="481" spans="58:66" x14ac:dyDescent="0.25">
      <c r="BF481" s="1">
        <v>0</v>
      </c>
      <c r="BG481" t="str">
        <f>"0"</f>
        <v>0</v>
      </c>
      <c r="BH481" t="str">
        <f xml:space="preserve"> IF($BF$481 &gt;= $G$204, "1","0")</f>
        <v>0</v>
      </c>
      <c r="BI481">
        <f xml:space="preserve"> IF( AND( $BG$481 = "1", $BH$481 = "1" ), 1, IF( AND( $BG$481 = "1", $BH$481 = "0" ), 2, IF( AND( $BG$481 = "0", $BH$481 = "1" ), 3, 4 ) ) )</f>
        <v>4</v>
      </c>
      <c r="BK481" s="1">
        <v>1</v>
      </c>
      <c r="BL481" t="str">
        <f>"1"</f>
        <v>1</v>
      </c>
      <c r="BM481" t="str">
        <f xml:space="preserve"> IF($BK$481 &gt;= $G$281, "1","0")</f>
        <v>1</v>
      </c>
      <c r="BN481">
        <f xml:space="preserve"> IF( AND( $BL$481 = "1", $BM$481 = "1" ), 1, IF( AND( $BL$481 = "1", $BM$481 = "0" ), 2, IF( AND( $BL$481 = "0", $BM$481 = "1" ), 3, 4 ) ) )</f>
        <v>1</v>
      </c>
    </row>
    <row r="482" spans="58:66" x14ac:dyDescent="0.25">
      <c r="BF482" s="1">
        <v>0</v>
      </c>
      <c r="BG482" t="str">
        <f>"0"</f>
        <v>0</v>
      </c>
      <c r="BH482" t="str">
        <f xml:space="preserve"> IF($BF$482 &gt;= $G$204, "1","0")</f>
        <v>0</v>
      </c>
      <c r="BI482">
        <f xml:space="preserve"> IF( AND( $BG$482 = "1", $BH$482 = "1" ), 1, IF( AND( $BG$482 = "1", $BH$482 = "0" ), 2, IF( AND( $BG$482 = "0", $BH$482 = "1" ), 3, 4 ) ) )</f>
        <v>4</v>
      </c>
      <c r="BK482" s="1">
        <v>0</v>
      </c>
      <c r="BL482" t="str">
        <f>"0"</f>
        <v>0</v>
      </c>
      <c r="BM482" t="str">
        <f xml:space="preserve"> IF($BK$482 &gt;= $G$281, "1","0")</f>
        <v>0</v>
      </c>
      <c r="BN482">
        <f xml:space="preserve"> IF( AND( $BL$482 = "1", $BM$482 = "1" ), 1, IF( AND( $BL$482 = "1", $BM$482 = "0" ), 2, IF( AND( $BL$482 = "0", $BM$482 = "1" ), 3, 4 ) ) )</f>
        <v>4</v>
      </c>
    </row>
    <row r="483" spans="58:66" x14ac:dyDescent="0.25">
      <c r="BF483" s="1">
        <v>0</v>
      </c>
      <c r="BG483" t="str">
        <f>"0"</f>
        <v>0</v>
      </c>
      <c r="BH483" t="str">
        <f xml:space="preserve"> IF($BF$483 &gt;= $G$204, "1","0")</f>
        <v>0</v>
      </c>
      <c r="BI483">
        <f xml:space="preserve"> IF( AND( $BG$483 = "1", $BH$483 = "1" ), 1, IF( AND( $BG$483 = "1", $BH$483 = "0" ), 2, IF( AND( $BG$483 = "0", $BH$483 = "1" ), 3, 4 ) ) )</f>
        <v>4</v>
      </c>
      <c r="BK483" s="1">
        <v>2.5000000000000001E-3</v>
      </c>
      <c r="BL483" t="str">
        <f>"0"</f>
        <v>0</v>
      </c>
      <c r="BM483" t="str">
        <f xml:space="preserve"> IF($BK$483 &gt;= $G$281, "1","0")</f>
        <v>0</v>
      </c>
      <c r="BN483">
        <f xml:space="preserve"> IF( AND( $BL$483 = "1", $BM$483 = "1" ), 1, IF( AND( $BL$483 = "1", $BM$483 = "0" ), 2, IF( AND( $BL$483 = "0", $BM$483 = "1" ), 3, 4 ) ) )</f>
        <v>4</v>
      </c>
    </row>
    <row r="484" spans="58:66" x14ac:dyDescent="0.25">
      <c r="BF484" s="1">
        <v>0</v>
      </c>
      <c r="BG484" t="str">
        <f>"0"</f>
        <v>0</v>
      </c>
      <c r="BH484" t="str">
        <f xml:space="preserve"> IF($BF$484 &gt;= $G$204, "1","0")</f>
        <v>0</v>
      </c>
      <c r="BI484">
        <f xml:space="preserve"> IF( AND( $BG$484 = "1", $BH$484 = "1" ), 1, IF( AND( $BG$484 = "1", $BH$484 = "0" ), 2, IF( AND( $BG$484 = "0", $BH$484 = "1" ), 3, 4 ) ) )</f>
        <v>4</v>
      </c>
      <c r="BK484" s="1">
        <v>0.37500000000000006</v>
      </c>
      <c r="BL484" t="str">
        <f>"0"</f>
        <v>0</v>
      </c>
      <c r="BM484" t="str">
        <f xml:space="preserve"> IF($BK$484 &gt;= $G$281, "1","0")</f>
        <v>1</v>
      </c>
      <c r="BN484">
        <f xml:space="preserve"> IF( AND( $BL$484 = "1", $BM$484 = "1" ), 1, IF( AND( $BL$484 = "1", $BM$484 = "0" ), 2, IF( AND( $BL$484 = "0", $BM$484 = "1" ), 3, 4 ) ) )</f>
        <v>3</v>
      </c>
    </row>
    <row r="485" spans="58:66" x14ac:dyDescent="0.25">
      <c r="BF485" s="1">
        <v>0.72727272727272729</v>
      </c>
      <c r="BG485" t="str">
        <f>"0"</f>
        <v>0</v>
      </c>
      <c r="BH485" t="str">
        <f xml:space="preserve"> IF($BF$485 &gt;= $G$204, "1","0")</f>
        <v>1</v>
      </c>
      <c r="BI485">
        <f xml:space="preserve"> IF( AND( $BG$485 = "1", $BH$485 = "1" ), 1, IF( AND( $BG$485 = "1", $BH$485 = "0" ), 2, IF( AND( $BG$485 = "0", $BH$485 = "1" ), 3, 4 ) ) )</f>
        <v>3</v>
      </c>
      <c r="BK485" s="1">
        <v>1.8947368421052633E-2</v>
      </c>
      <c r="BL485" t="str">
        <f>"0"</f>
        <v>0</v>
      </c>
      <c r="BM485" t="str">
        <f xml:space="preserve"> IF($BK$485 &gt;= $G$281, "1","0")</f>
        <v>0</v>
      </c>
      <c r="BN485">
        <f xml:space="preserve"> IF( AND( $BL$485 = "1", $BM$485 = "1" ), 1, IF( AND( $BL$485 = "1", $BM$485 = "0" ), 2, IF( AND( $BL$485 = "0", $BM$485 = "1" ), 3, 4 ) ) )</f>
        <v>4</v>
      </c>
    </row>
    <row r="486" spans="58:66" x14ac:dyDescent="0.25">
      <c r="BF486" s="1">
        <v>0</v>
      </c>
      <c r="BG486" t="str">
        <f>"0"</f>
        <v>0</v>
      </c>
      <c r="BH486" t="str">
        <f xml:space="preserve"> IF($BF$486 &gt;= $G$204, "1","0")</f>
        <v>0</v>
      </c>
      <c r="BI486">
        <f xml:space="preserve"> IF( AND( $BG$486 = "1", $BH$486 = "1" ), 1, IF( AND( $BG$486 = "1", $BH$486 = "0" ), 2, IF( AND( $BG$486 = "0", $BH$486 = "1" ), 3, 4 ) ) )</f>
        <v>4</v>
      </c>
      <c r="BK486" s="1">
        <v>0.37500000000000006</v>
      </c>
      <c r="BL486" t="str">
        <f>"1"</f>
        <v>1</v>
      </c>
      <c r="BM486" t="str">
        <f xml:space="preserve"> IF($BK$486 &gt;= $G$281, "1","0")</f>
        <v>1</v>
      </c>
      <c r="BN486">
        <f xml:space="preserve"> IF( AND( $BL$486 = "1", $BM$486 = "1" ), 1, IF( AND( $BL$486 = "1", $BM$486 = "0" ), 2, IF( AND( $BL$486 = "0", $BM$486 = "1" ), 3, 4 ) ) )</f>
        <v>1</v>
      </c>
    </row>
    <row r="487" spans="58:66" x14ac:dyDescent="0.25">
      <c r="BF487" s="1">
        <v>0</v>
      </c>
      <c r="BG487" t="str">
        <f>"0"</f>
        <v>0</v>
      </c>
      <c r="BH487" t="str">
        <f xml:space="preserve"> IF($BF$487 &gt;= $G$204, "1","0")</f>
        <v>0</v>
      </c>
      <c r="BI487">
        <f xml:space="preserve"> IF( AND( $BG$487 = "1", $BH$487 = "1" ), 1, IF( AND( $BG$487 = "1", $BH$487 = "0" ), 2, IF( AND( $BG$487 = "0", $BH$487 = "1" ), 3, 4 ) ) )</f>
        <v>4</v>
      </c>
      <c r="BK487" s="1">
        <v>0.14285714285714288</v>
      </c>
      <c r="BL487" t="str">
        <f>"1"</f>
        <v>1</v>
      </c>
      <c r="BM487" t="str">
        <f xml:space="preserve"> IF($BK$487 &gt;= $G$281, "1","0")</f>
        <v>0</v>
      </c>
      <c r="BN487">
        <f xml:space="preserve"> IF( AND( $BL$487 = "1", $BM$487 = "1" ), 1, IF( AND( $BL$487 = "1", $BM$487 = "0" ), 2, IF( AND( $BL$487 = "0", $BM$487 = "1" ), 3, 4 ) ) )</f>
        <v>2</v>
      </c>
    </row>
    <row r="488" spans="58:66" x14ac:dyDescent="0.25">
      <c r="BF488" s="1">
        <v>0</v>
      </c>
      <c r="BG488" t="str">
        <f>"0"</f>
        <v>0</v>
      </c>
      <c r="BH488" t="str">
        <f xml:space="preserve"> IF($BF$488 &gt;= $G$204, "1","0")</f>
        <v>0</v>
      </c>
      <c r="BI488">
        <f xml:space="preserve"> IF( AND( $BG$488 = "1", $BH$488 = "1" ), 1, IF( AND( $BG$488 = "1", $BH$488 = "0" ), 2, IF( AND( $BG$488 = "0", $BH$488 = "1" ), 3, 4 ) ) )</f>
        <v>4</v>
      </c>
      <c r="BK488" s="1">
        <v>0</v>
      </c>
      <c r="BL488" t="str">
        <f>"0"</f>
        <v>0</v>
      </c>
      <c r="BM488" t="str">
        <f xml:space="preserve"> IF($BK$488 &gt;= $G$281, "1","0")</f>
        <v>0</v>
      </c>
      <c r="BN488">
        <f xml:space="preserve"> IF( AND( $BL$488 = "1", $BM$488 = "1" ), 1, IF( AND( $BL$488 = "1", $BM$488 = "0" ), 2, IF( AND( $BL$488 = "0", $BM$488 = "1" ), 3, 4 ) ) )</f>
        <v>4</v>
      </c>
    </row>
    <row r="489" spans="58:66" x14ac:dyDescent="0.25">
      <c r="BF489" s="1">
        <v>0</v>
      </c>
      <c r="BG489" t="str">
        <f>"0"</f>
        <v>0</v>
      </c>
      <c r="BH489" t="str">
        <f xml:space="preserve"> IF($BF$489 &gt;= $G$204, "1","0")</f>
        <v>0</v>
      </c>
      <c r="BI489">
        <f xml:space="preserve"> IF( AND( $BG$489 = "1", $BH$489 = "1" ), 1, IF( AND( $BG$489 = "1", $BH$489 = "0" ), 2, IF( AND( $BG$489 = "0", $BH$489 = "1" ), 3, 4 ) ) )</f>
        <v>4</v>
      </c>
      <c r="BK489" s="1">
        <v>2.5000000000000001E-3</v>
      </c>
      <c r="BL489" t="str">
        <f>"0"</f>
        <v>0</v>
      </c>
      <c r="BM489" t="str">
        <f xml:space="preserve"> IF($BK$489 &gt;= $G$281, "1","0")</f>
        <v>0</v>
      </c>
      <c r="BN489">
        <f xml:space="preserve"> IF( AND( $BL$489 = "1", $BM$489 = "1" ), 1, IF( AND( $BL$489 = "1", $BM$489 = "0" ), 2, IF( AND( $BL$489 = "0", $BM$489 = "1" ), 3, 4 ) ) )</f>
        <v>4</v>
      </c>
    </row>
    <row r="490" spans="58:66" x14ac:dyDescent="0.25">
      <c r="BF490" s="1">
        <v>0</v>
      </c>
      <c r="BG490" t="str">
        <f>"0"</f>
        <v>0</v>
      </c>
      <c r="BH490" t="str">
        <f xml:space="preserve"> IF($BF$490 &gt;= $G$204, "1","0")</f>
        <v>0</v>
      </c>
      <c r="BI490">
        <f xml:space="preserve"> IF( AND( $BG$490 = "1", $BH$490 = "1" ), 1, IF( AND( $BG$490 = "1", $BH$490 = "0" ), 2, IF( AND( $BG$490 = "0", $BH$490 = "1" ), 3, 4 ) ) )</f>
        <v>4</v>
      </c>
      <c r="BK490" s="1">
        <v>0.14285714285714288</v>
      </c>
      <c r="BL490" t="str">
        <f>"1"</f>
        <v>1</v>
      </c>
      <c r="BM490" t="str">
        <f xml:space="preserve"> IF($BK$490 &gt;= $G$281, "1","0")</f>
        <v>0</v>
      </c>
      <c r="BN490">
        <f xml:space="preserve"> IF( AND( $BL$490 = "1", $BM$490 = "1" ), 1, IF( AND( $BL$490 = "1", $BM$490 = "0" ), 2, IF( AND( $BL$490 = "0", $BM$490 = "1" ), 3, 4 ) ) )</f>
        <v>2</v>
      </c>
    </row>
    <row r="491" spans="58:66" x14ac:dyDescent="0.25">
      <c r="BF491" s="1">
        <v>0</v>
      </c>
      <c r="BG491" t="str">
        <f>"0"</f>
        <v>0</v>
      </c>
      <c r="BH491" t="str">
        <f xml:space="preserve"> IF($BF$491 &gt;= $G$204, "1","0")</f>
        <v>0</v>
      </c>
      <c r="BI491">
        <f xml:space="preserve"> IF( AND( $BG$491 = "1", $BH$491 = "1" ), 1, IF( AND( $BG$491 = "1", $BH$491 = "0" ), 2, IF( AND( $BG$491 = "0", $BH$491 = "1" ), 3, 4 ) ) )</f>
        <v>4</v>
      </c>
      <c r="BK491" s="1">
        <v>2.5000000000000001E-3</v>
      </c>
      <c r="BL491" t="str">
        <f>"0"</f>
        <v>0</v>
      </c>
      <c r="BM491" t="str">
        <f xml:space="preserve"> IF($BK$491 &gt;= $G$281, "1","0")</f>
        <v>0</v>
      </c>
      <c r="BN491">
        <f xml:space="preserve"> IF( AND( $BL$491 = "1", $BM$491 = "1" ), 1, IF( AND( $BL$491 = "1", $BM$491 = "0" ), 2, IF( AND( $BL$491 = "0", $BM$491 = "1" ), 3, 4 ) ) )</f>
        <v>4</v>
      </c>
    </row>
    <row r="492" spans="58:66" x14ac:dyDescent="0.25">
      <c r="BF492" s="1">
        <v>0</v>
      </c>
      <c r="BG492" t="str">
        <f>"0"</f>
        <v>0</v>
      </c>
      <c r="BH492" t="str">
        <f xml:space="preserve"> IF($BF$492 &gt;= $G$204, "1","0")</f>
        <v>0</v>
      </c>
      <c r="BI492">
        <f xml:space="preserve"> IF( AND( $BG$492 = "1", $BH$492 = "1" ), 1, IF( AND( $BG$492 = "1", $BH$492 = "0" ), 2, IF( AND( $BG$492 = "0", $BH$492 = "1" ), 3, 4 ) ) )</f>
        <v>4</v>
      </c>
      <c r="BK492" s="1">
        <v>3.333333333333334E-2</v>
      </c>
      <c r="BL492" t="str">
        <f>"0"</f>
        <v>0</v>
      </c>
      <c r="BM492" t="str">
        <f xml:space="preserve"> IF($BK$492 &gt;= $G$281, "1","0")</f>
        <v>0</v>
      </c>
      <c r="BN492">
        <f xml:space="preserve"> IF( AND( $BL$492 = "1", $BM$492 = "1" ), 1, IF( AND( $BL$492 = "1", $BM$492 = "0" ), 2, IF( AND( $BL$492 = "0", $BM$492 = "1" ), 3, 4 ) ) )</f>
        <v>4</v>
      </c>
    </row>
    <row r="493" spans="58:66" x14ac:dyDescent="0.25">
      <c r="BF493" s="1">
        <v>0</v>
      </c>
      <c r="BG493" t="str">
        <f>"0"</f>
        <v>0</v>
      </c>
      <c r="BH493" t="str">
        <f xml:space="preserve"> IF($BF$493 &gt;= $G$204, "1","0")</f>
        <v>0</v>
      </c>
      <c r="BI493">
        <f xml:space="preserve"> IF( AND( $BG$493 = "1", $BH$493 = "1" ), 1, IF( AND( $BG$493 = "1", $BH$493 = "0" ), 2, IF( AND( $BG$493 = "0", $BH$493 = "1" ), 3, 4 ) ) )</f>
        <v>4</v>
      </c>
      <c r="BK493" s="1">
        <v>1.8947368421052633E-2</v>
      </c>
      <c r="BL493" t="str">
        <f>"0"</f>
        <v>0</v>
      </c>
      <c r="BM493" t="str">
        <f xml:space="preserve"> IF($BK$493 &gt;= $G$281, "1","0")</f>
        <v>0</v>
      </c>
      <c r="BN493">
        <f xml:space="preserve"> IF( AND( $BL$493 = "1", $BM$493 = "1" ), 1, IF( AND( $BL$493 = "1", $BM$493 = "0" ), 2, IF( AND( $BL$493 = "0", $BM$493 = "1" ), 3, 4 ) ) )</f>
        <v>4</v>
      </c>
    </row>
    <row r="494" spans="58:66" x14ac:dyDescent="0.25">
      <c r="BF494" s="1">
        <v>0</v>
      </c>
      <c r="BG494" t="str">
        <f>"0"</f>
        <v>0</v>
      </c>
      <c r="BH494" t="str">
        <f xml:space="preserve"> IF($BF$494 &gt;= $G$204, "1","0")</f>
        <v>0</v>
      </c>
      <c r="BI494">
        <f xml:space="preserve"> IF( AND( $BG$494 = "1", $BH$494 = "1" ), 1, IF( AND( $BG$494 = "1", $BH$494 = "0" ), 2, IF( AND( $BG$494 = "0", $BH$494 = "1" ), 3, 4 ) ) )</f>
        <v>4</v>
      </c>
      <c r="BK494" s="1">
        <v>0</v>
      </c>
      <c r="BL494" t="str">
        <f>"0"</f>
        <v>0</v>
      </c>
      <c r="BM494" t="str">
        <f xml:space="preserve"> IF($BK$494 &gt;= $G$281, "1","0")</f>
        <v>0</v>
      </c>
      <c r="BN494">
        <f xml:space="preserve"> IF( AND( $BL$494 = "1", $BM$494 = "1" ), 1, IF( AND( $BL$494 = "1", $BM$494 = "0" ), 2, IF( AND( $BL$494 = "0", $BM$494 = "1" ), 3, 4 ) ) )</f>
        <v>4</v>
      </c>
    </row>
    <row r="495" spans="58:66" x14ac:dyDescent="0.25">
      <c r="BF495" s="1">
        <v>0</v>
      </c>
      <c r="BG495" t="str">
        <f>"0"</f>
        <v>0</v>
      </c>
      <c r="BH495" t="str">
        <f xml:space="preserve"> IF($BF$495 &gt;= $G$204, "1","0")</f>
        <v>0</v>
      </c>
      <c r="BI495">
        <f xml:space="preserve"> IF( AND( $BG$495 = "1", $BH$495 = "1" ), 1, IF( AND( $BG$495 = "1", $BH$495 = "0" ), 2, IF( AND( $BG$495 = "0", $BH$495 = "1" ), 3, 4 ) ) )</f>
        <v>4</v>
      </c>
      <c r="BK495" s="1">
        <v>1.8947368421052633E-2</v>
      </c>
      <c r="BL495" t="str">
        <f>"0"</f>
        <v>0</v>
      </c>
      <c r="BM495" t="str">
        <f xml:space="preserve"> IF($BK$495 &gt;= $G$281, "1","0")</f>
        <v>0</v>
      </c>
      <c r="BN495">
        <f xml:space="preserve"> IF( AND( $BL$495 = "1", $BM$495 = "1" ), 1, IF( AND( $BL$495 = "1", $BM$495 = "0" ), 2, IF( AND( $BL$495 = "0", $BM$495 = "1" ), 3, 4 ) ) )</f>
        <v>4</v>
      </c>
    </row>
    <row r="496" spans="58:66" x14ac:dyDescent="0.25">
      <c r="BF496" s="1">
        <v>0</v>
      </c>
      <c r="BG496" t="str">
        <f>"0"</f>
        <v>0</v>
      </c>
      <c r="BH496" t="str">
        <f xml:space="preserve"> IF($BF$496 &gt;= $G$204, "1","0")</f>
        <v>0</v>
      </c>
      <c r="BI496">
        <f xml:space="preserve"> IF( AND( $BG$496 = "1", $BH$496 = "1" ), 1, IF( AND( $BG$496 = "1", $BH$496 = "0" ), 2, IF( AND( $BG$496 = "0", $BH$496 = "1" ), 3, 4 ) ) )</f>
        <v>4</v>
      </c>
      <c r="BK496" s="1">
        <v>1</v>
      </c>
      <c r="BL496" t="str">
        <f>"1"</f>
        <v>1</v>
      </c>
      <c r="BM496" t="str">
        <f xml:space="preserve"> IF($BK$496 &gt;= $G$281, "1","0")</f>
        <v>1</v>
      </c>
      <c r="BN496">
        <f xml:space="preserve"> IF( AND( $BL$496 = "1", $BM$496 = "1" ), 1, IF( AND( $BL$496 = "1", $BM$496 = "0" ), 2, IF( AND( $BL$496 = "0", $BM$496 = "1" ), 3, 4 ) ) )</f>
        <v>1</v>
      </c>
    </row>
    <row r="497" spans="58:66" x14ac:dyDescent="0.25">
      <c r="BF497" s="1">
        <v>0</v>
      </c>
      <c r="BG497" t="str">
        <f>"0"</f>
        <v>0</v>
      </c>
      <c r="BH497" t="str">
        <f xml:space="preserve"> IF($BF$497 &gt;= $G$204, "1","0")</f>
        <v>0</v>
      </c>
      <c r="BI497">
        <f xml:space="preserve"> IF( AND( $BG$497 = "1", $BH$497 = "1" ), 1, IF( AND( $BG$497 = "1", $BH$497 = "0" ), 2, IF( AND( $BG$497 = "0", $BH$497 = "1" ), 3, 4 ) ) )</f>
        <v>4</v>
      </c>
      <c r="BK497" s="1">
        <v>2.5000000000000001E-3</v>
      </c>
      <c r="BL497" t="str">
        <f>"0"</f>
        <v>0</v>
      </c>
      <c r="BM497" t="str">
        <f xml:space="preserve"> IF($BK$497 &gt;= $G$281, "1","0")</f>
        <v>0</v>
      </c>
      <c r="BN497">
        <f xml:space="preserve"> IF( AND( $BL$497 = "1", $BM$497 = "1" ), 1, IF( AND( $BL$497 = "1", $BM$497 = "0" ), 2, IF( AND( $BL$497 = "0", $BM$497 = "1" ), 3, 4 ) ) )</f>
        <v>4</v>
      </c>
    </row>
    <row r="498" spans="58:66" x14ac:dyDescent="0.25">
      <c r="BF498" s="1">
        <v>0</v>
      </c>
      <c r="BG498" t="str">
        <f>"0"</f>
        <v>0</v>
      </c>
      <c r="BH498" t="str">
        <f xml:space="preserve"> IF($BF$498 &gt;= $G$204, "1","0")</f>
        <v>0</v>
      </c>
      <c r="BI498">
        <f xml:space="preserve"> IF( AND( $BG$498 = "1", $BH$498 = "1" ), 1, IF( AND( $BG$498 = "1", $BH$498 = "0" ), 2, IF( AND( $BG$498 = "0", $BH$498 = "1" ), 3, 4 ) ) )</f>
        <v>4</v>
      </c>
      <c r="BK498" s="1">
        <v>1</v>
      </c>
      <c r="BL498" t="str">
        <f>"1"</f>
        <v>1</v>
      </c>
      <c r="BM498" t="str">
        <f xml:space="preserve"> IF($BK$498 &gt;= $G$281, "1","0")</f>
        <v>1</v>
      </c>
      <c r="BN498">
        <f xml:space="preserve"> IF( AND( $BL$498 = "1", $BM$498 = "1" ), 1, IF( AND( $BL$498 = "1", $BM$498 = "0" ), 2, IF( AND( $BL$498 = "0", $BM$498 = "1" ), 3, 4 ) ) )</f>
        <v>1</v>
      </c>
    </row>
    <row r="499" spans="58:66" x14ac:dyDescent="0.25">
      <c r="BF499" s="1">
        <v>0</v>
      </c>
      <c r="BG499" t="str">
        <f>"0"</f>
        <v>0</v>
      </c>
      <c r="BH499" t="str">
        <f xml:space="preserve"> IF($BF$499 &gt;= $G$204, "1","0")</f>
        <v>0</v>
      </c>
      <c r="BI499">
        <f xml:space="preserve"> IF( AND( $BG$499 = "1", $BH$499 = "1" ), 1, IF( AND( $BG$499 = "1", $BH$499 = "0" ), 2, IF( AND( $BG$499 = "0", $BH$499 = "1" ), 3, 4 ) ) )</f>
        <v>4</v>
      </c>
      <c r="BK499" s="1">
        <v>1.8947368421052633E-2</v>
      </c>
      <c r="BL499" t="str">
        <f>"0"</f>
        <v>0</v>
      </c>
      <c r="BM499" t="str">
        <f xml:space="preserve"> IF($BK$499 &gt;= $G$281, "1","0")</f>
        <v>0</v>
      </c>
      <c r="BN499">
        <f xml:space="preserve"> IF( AND( $BL$499 = "1", $BM$499 = "1" ), 1, IF( AND( $BL$499 = "1", $BM$499 = "0" ), 2, IF( AND( $BL$499 = "0", $BM$499 = "1" ), 3, 4 ) ) )</f>
        <v>4</v>
      </c>
    </row>
    <row r="500" spans="58:66" x14ac:dyDescent="0.25">
      <c r="BF500" s="1">
        <v>0</v>
      </c>
      <c r="BG500" t="str">
        <f>"0"</f>
        <v>0</v>
      </c>
      <c r="BH500" t="str">
        <f xml:space="preserve"> IF($BF$500 &gt;= $G$204, "1","0")</f>
        <v>0</v>
      </c>
      <c r="BI500">
        <f xml:space="preserve"> IF( AND( $BG$500 = "1", $BH$500 = "1" ), 1, IF( AND( $BG$500 = "1", $BH$500 = "0" ), 2, IF( AND( $BG$500 = "0", $BH$500 = "1" ), 3, 4 ) ) )</f>
        <v>4</v>
      </c>
      <c r="BK500" s="1">
        <v>1</v>
      </c>
      <c r="BL500" t="str">
        <f>"1"</f>
        <v>1</v>
      </c>
      <c r="BM500" t="str">
        <f xml:space="preserve"> IF($BK$500 &gt;= $G$281, "1","0")</f>
        <v>1</v>
      </c>
      <c r="BN500">
        <f xml:space="preserve"> IF( AND( $BL$500 = "1", $BM$500 = "1" ), 1, IF( AND( $BL$500 = "1", $BM$500 = "0" ), 2, IF( AND( $BL$500 = "0", $BM$500 = "1" ), 3, 4 ) ) )</f>
        <v>1</v>
      </c>
    </row>
    <row r="501" spans="58:66" x14ac:dyDescent="0.25">
      <c r="BF501" s="1">
        <v>0</v>
      </c>
      <c r="BG501" t="str">
        <f>"0"</f>
        <v>0</v>
      </c>
      <c r="BH501" t="str">
        <f xml:space="preserve"> IF($BF$501 &gt;= $G$204, "1","0")</f>
        <v>0</v>
      </c>
      <c r="BI501">
        <f xml:space="preserve"> IF( AND( $BG$501 = "1", $BH$501 = "1" ), 1, IF( AND( $BG$501 = "1", $BH$501 = "0" ), 2, IF( AND( $BG$501 = "0", $BH$501 = "1" ), 3, 4 ) ) )</f>
        <v>4</v>
      </c>
      <c r="BK501" s="1">
        <v>2.5000000000000001E-3</v>
      </c>
      <c r="BL501" t="str">
        <f>"0"</f>
        <v>0</v>
      </c>
      <c r="BM501" t="str">
        <f xml:space="preserve"> IF($BK$501 &gt;= $G$281, "1","0")</f>
        <v>0</v>
      </c>
      <c r="BN501">
        <f xml:space="preserve"> IF( AND( $BL$501 = "1", $BM$501 = "1" ), 1, IF( AND( $BL$501 = "1", $BM$501 = "0" ), 2, IF( AND( $BL$501 = "0", $BM$501 = "1" ), 3, 4 ) ) )</f>
        <v>4</v>
      </c>
    </row>
    <row r="502" spans="58:66" x14ac:dyDescent="0.25">
      <c r="BF502" s="1">
        <v>0</v>
      </c>
      <c r="BG502" t="str">
        <f>"0"</f>
        <v>0</v>
      </c>
      <c r="BH502" t="str">
        <f xml:space="preserve"> IF($BF$502 &gt;= $G$204, "1","0")</f>
        <v>0</v>
      </c>
      <c r="BI502">
        <f xml:space="preserve"> IF( AND( $BG$502 = "1", $BH$502 = "1" ), 1, IF( AND( $BG$502 = "1", $BH$502 = "0" ), 2, IF( AND( $BG$502 = "0", $BH$502 = "1" ), 3, 4 ) ) )</f>
        <v>4</v>
      </c>
      <c r="BK502" s="1">
        <v>2.5000000000000001E-3</v>
      </c>
      <c r="BL502" t="str">
        <f>"0"</f>
        <v>0</v>
      </c>
      <c r="BM502" t="str">
        <f xml:space="preserve"> IF($BK$502 &gt;= $G$281, "1","0")</f>
        <v>0</v>
      </c>
      <c r="BN502">
        <f xml:space="preserve"> IF( AND( $BL$502 = "1", $BM$502 = "1" ), 1, IF( AND( $BL$502 = "1", $BM$502 = "0" ), 2, IF( AND( $BL$502 = "0", $BM$502 = "1" ), 3, 4 ) ) )</f>
        <v>4</v>
      </c>
    </row>
    <row r="503" spans="58:66" x14ac:dyDescent="0.25">
      <c r="BF503" s="1">
        <v>0</v>
      </c>
      <c r="BG503" t="str">
        <f>"0"</f>
        <v>0</v>
      </c>
      <c r="BH503" t="str">
        <f xml:space="preserve"> IF($BF$503 &gt;= $G$204, "1","0")</f>
        <v>0</v>
      </c>
      <c r="BI503">
        <f xml:space="preserve"> IF( AND( $BG$503 = "1", $BH$503 = "1" ), 1, IF( AND( $BG$503 = "1", $BH$503 = "0" ), 2, IF( AND( $BG$503 = "0", $BH$503 = "1" ), 3, 4 ) ) )</f>
        <v>4</v>
      </c>
      <c r="BK503" s="1">
        <v>1.8947368421052633E-2</v>
      </c>
      <c r="BL503" t="str">
        <f>"0"</f>
        <v>0</v>
      </c>
      <c r="BM503" t="str">
        <f xml:space="preserve"> IF($BK$503 &gt;= $G$281, "1","0")</f>
        <v>0</v>
      </c>
      <c r="BN503">
        <f xml:space="preserve"> IF( AND( $BL$503 = "1", $BM$503 = "1" ), 1, IF( AND( $BL$503 = "1", $BM$503 = "0" ), 2, IF( AND( $BL$503 = "0", $BM$503 = "1" ), 3, 4 ) ) )</f>
        <v>4</v>
      </c>
    </row>
    <row r="504" spans="58:66" x14ac:dyDescent="0.25">
      <c r="BF504" s="1">
        <v>0</v>
      </c>
      <c r="BG504" t="str">
        <f>"0"</f>
        <v>0</v>
      </c>
      <c r="BH504" t="str">
        <f xml:space="preserve"> IF($BF$504 &gt;= $G$204, "1","0")</f>
        <v>0</v>
      </c>
      <c r="BI504">
        <f xml:space="preserve"> IF( AND( $BG$504 = "1", $BH$504 = "1" ), 1, IF( AND( $BG$504 = "1", $BH$504 = "0" ), 2, IF( AND( $BG$504 = "0", $BH$504 = "1" ), 3, 4 ) ) )</f>
        <v>4</v>
      </c>
      <c r="BK504" s="1">
        <v>0.64</v>
      </c>
      <c r="BL504" t="str">
        <f>"0"</f>
        <v>0</v>
      </c>
      <c r="BM504" t="str">
        <f xml:space="preserve"> IF($BK$504 &gt;= $G$281, "1","0")</f>
        <v>1</v>
      </c>
      <c r="BN504">
        <f xml:space="preserve"> IF( AND( $BL$504 = "1", $BM$504 = "1" ), 1, IF( AND( $BL$504 = "1", $BM$504 = "0" ), 2, IF( AND( $BL$504 = "0", $BM$504 = "1" ), 3, 4 ) ) )</f>
        <v>3</v>
      </c>
    </row>
    <row r="505" spans="58:66" x14ac:dyDescent="0.25">
      <c r="BF505" s="1">
        <v>0</v>
      </c>
      <c r="BG505" t="str">
        <f>"0"</f>
        <v>0</v>
      </c>
      <c r="BH505" t="str">
        <f xml:space="preserve"> IF($BF$505 &gt;= $G$204, "1","0")</f>
        <v>0</v>
      </c>
      <c r="BI505">
        <f xml:space="preserve"> IF( AND( $BG$505 = "1", $BH$505 = "1" ), 1, IF( AND( $BG$505 = "1", $BH$505 = "0" ), 2, IF( AND( $BG$505 = "0", $BH$505 = "1" ), 3, 4 ) ) )</f>
        <v>4</v>
      </c>
      <c r="BK505" s="1">
        <v>0</v>
      </c>
      <c r="BL505" t="str">
        <f>"0"</f>
        <v>0</v>
      </c>
      <c r="BM505" t="str">
        <f xml:space="preserve"> IF($BK$505 &gt;= $G$281, "1","0")</f>
        <v>0</v>
      </c>
      <c r="BN505">
        <f xml:space="preserve"> IF( AND( $BL$505 = "1", $BM$505 = "1" ), 1, IF( AND( $BL$505 = "1", $BM$505 = "0" ), 2, IF( AND( $BL$505 = "0", $BM$505 = "1" ), 3, 4 ) ) )</f>
        <v>4</v>
      </c>
    </row>
    <row r="506" spans="58:66" x14ac:dyDescent="0.25">
      <c r="BF506" s="1">
        <v>0</v>
      </c>
      <c r="BG506" t="str">
        <f>"0"</f>
        <v>0</v>
      </c>
      <c r="BH506" t="str">
        <f xml:space="preserve"> IF($BF$506 &gt;= $G$204, "1","0")</f>
        <v>0</v>
      </c>
      <c r="BI506">
        <f xml:space="preserve"> IF( AND( $BG$506 = "1", $BH$506 = "1" ), 1, IF( AND( $BG$506 = "1", $BH$506 = "0" ), 2, IF( AND( $BG$506 = "0", $BH$506 = "1" ), 3, 4 ) ) )</f>
        <v>4</v>
      </c>
      <c r="BK506" s="1">
        <v>1</v>
      </c>
      <c r="BL506" t="str">
        <f>"1"</f>
        <v>1</v>
      </c>
      <c r="BM506" t="str">
        <f xml:space="preserve"> IF($BK$506 &gt;= $G$281, "1","0")</f>
        <v>1</v>
      </c>
      <c r="BN506">
        <f xml:space="preserve"> IF( AND( $BL$506 = "1", $BM$506 = "1" ), 1, IF( AND( $BL$506 = "1", $BM$506 = "0" ), 2, IF( AND( $BL$506 = "0", $BM$506 = "1" ), 3, 4 ) ) )</f>
        <v>1</v>
      </c>
    </row>
    <row r="507" spans="58:66" x14ac:dyDescent="0.25">
      <c r="BF507" s="1">
        <v>0</v>
      </c>
      <c r="BG507" t="str">
        <f>"0"</f>
        <v>0</v>
      </c>
      <c r="BH507" t="str">
        <f xml:space="preserve"> IF($BF$507 &gt;= $G$204, "1","0")</f>
        <v>0</v>
      </c>
      <c r="BI507">
        <f xml:space="preserve"> IF( AND( $BG$507 = "1", $BH$507 = "1" ), 1, IF( AND( $BG$507 = "1", $BH$507 = "0" ), 2, IF( AND( $BG$507 = "0", $BH$507 = "1" ), 3, 4 ) ) )</f>
        <v>4</v>
      </c>
      <c r="BK507" s="1">
        <v>1.8947368421052633E-2</v>
      </c>
      <c r="BL507" t="str">
        <f>"0"</f>
        <v>0</v>
      </c>
      <c r="BM507" t="str">
        <f xml:space="preserve"> IF($BK$507 &gt;= $G$281, "1","0")</f>
        <v>0</v>
      </c>
      <c r="BN507">
        <f xml:space="preserve"> IF( AND( $BL$507 = "1", $BM$507 = "1" ), 1, IF( AND( $BL$507 = "1", $BM$507 = "0" ), 2, IF( AND( $BL$507 = "0", $BM$507 = "1" ), 3, 4 ) ) )</f>
        <v>4</v>
      </c>
    </row>
    <row r="508" spans="58:66" x14ac:dyDescent="0.25">
      <c r="BF508" s="1">
        <v>0</v>
      </c>
      <c r="BG508" t="str">
        <f>"0"</f>
        <v>0</v>
      </c>
      <c r="BH508" t="str">
        <f xml:space="preserve"> IF($BF$508 &gt;= $G$204, "1","0")</f>
        <v>0</v>
      </c>
      <c r="BI508">
        <f xml:space="preserve"> IF( AND( $BG$508 = "1", $BH$508 = "1" ), 1, IF( AND( $BG$508 = "1", $BH$508 = "0" ), 2, IF( AND( $BG$508 = "0", $BH$508 = "1" ), 3, 4 ) ) )</f>
        <v>4</v>
      </c>
      <c r="BK508" s="1">
        <v>2.5000000000000001E-3</v>
      </c>
      <c r="BL508" t="str">
        <f>"0"</f>
        <v>0</v>
      </c>
      <c r="BM508" t="str">
        <f xml:space="preserve"> IF($BK$508 &gt;= $G$281, "1","0")</f>
        <v>0</v>
      </c>
      <c r="BN508">
        <f xml:space="preserve"> IF( AND( $BL$508 = "1", $BM$508 = "1" ), 1, IF( AND( $BL$508 = "1", $BM$508 = "0" ), 2, IF( AND( $BL$508 = "0", $BM$508 = "1" ), 3, 4 ) ) )</f>
        <v>4</v>
      </c>
    </row>
    <row r="509" spans="58:66" x14ac:dyDescent="0.25">
      <c r="BF509" s="1">
        <v>0</v>
      </c>
      <c r="BG509" t="str">
        <f>"0"</f>
        <v>0</v>
      </c>
      <c r="BH509" t="str">
        <f xml:space="preserve"> IF($BF$509 &gt;= $G$204, "1","0")</f>
        <v>0</v>
      </c>
      <c r="BI509">
        <f xml:space="preserve"> IF( AND( $BG$509 = "1", $BH$509 = "1" ), 1, IF( AND( $BG$509 = "1", $BH$509 = "0" ), 2, IF( AND( $BG$509 = "0", $BH$509 = "1" ), 3, 4 ) ) )</f>
        <v>4</v>
      </c>
      <c r="BK509" s="1">
        <v>1.8947368421052633E-2</v>
      </c>
      <c r="BL509" t="str">
        <f>"0"</f>
        <v>0</v>
      </c>
      <c r="BM509" t="str">
        <f xml:space="preserve"> IF($BK$509 &gt;= $G$281, "1","0")</f>
        <v>0</v>
      </c>
      <c r="BN509">
        <f xml:space="preserve"> IF( AND( $BL$509 = "1", $BM$509 = "1" ), 1, IF( AND( $BL$509 = "1", $BM$509 = "0" ), 2, IF( AND( $BL$509 = "0", $BM$509 = "1" ), 3, 4 ) ) )</f>
        <v>4</v>
      </c>
    </row>
    <row r="510" spans="58:66" x14ac:dyDescent="0.25">
      <c r="BF510" s="1">
        <v>0</v>
      </c>
      <c r="BG510" t="str">
        <f>"0"</f>
        <v>0</v>
      </c>
      <c r="BH510" t="str">
        <f xml:space="preserve"> IF($BF$510 &gt;= $G$204, "1","0")</f>
        <v>0</v>
      </c>
      <c r="BI510">
        <f xml:space="preserve"> IF( AND( $BG$510 = "1", $BH$510 = "1" ), 1, IF( AND( $BG$510 = "1", $BH$510 = "0" ), 2, IF( AND( $BG$510 = "0", $BH$510 = "1" ), 3, 4 ) ) )</f>
        <v>4</v>
      </c>
      <c r="BK510" s="1">
        <v>1</v>
      </c>
      <c r="BL510" t="str">
        <f>"1"</f>
        <v>1</v>
      </c>
      <c r="BM510" t="str">
        <f xml:space="preserve"> IF($BK$510 &gt;= $G$281, "1","0")</f>
        <v>1</v>
      </c>
      <c r="BN510">
        <f xml:space="preserve"> IF( AND( $BL$510 = "1", $BM$510 = "1" ), 1, IF( AND( $BL$510 = "1", $BM$510 = "0" ), 2, IF( AND( $BL$510 = "0", $BM$510 = "1" ), 3, 4 ) ) )</f>
        <v>1</v>
      </c>
    </row>
    <row r="511" spans="58:66" x14ac:dyDescent="0.25">
      <c r="BF511" s="1">
        <v>0</v>
      </c>
      <c r="BG511" t="str">
        <f>"0"</f>
        <v>0</v>
      </c>
      <c r="BH511" t="str">
        <f xml:space="preserve"> IF($BF$511 &gt;= $G$204, "1","0")</f>
        <v>0</v>
      </c>
      <c r="BI511">
        <f xml:space="preserve"> IF( AND( $BG$511 = "1", $BH$511 = "1" ), 1, IF( AND( $BG$511 = "1", $BH$511 = "0" ), 2, IF( AND( $BG$511 = "0", $BH$511 = "1" ), 3, 4 ) ) )</f>
        <v>4</v>
      </c>
      <c r="BK511" s="1">
        <v>1.8947368421052633E-2</v>
      </c>
      <c r="BL511" t="str">
        <f>"0"</f>
        <v>0</v>
      </c>
      <c r="BM511" t="str">
        <f xml:space="preserve"> IF($BK$511 &gt;= $G$281, "1","0")</f>
        <v>0</v>
      </c>
      <c r="BN511">
        <f xml:space="preserve"> IF( AND( $BL$511 = "1", $BM$511 = "1" ), 1, IF( AND( $BL$511 = "1", $BM$511 = "0" ), 2, IF( AND( $BL$511 = "0", $BM$511 = "1" ), 3, 4 ) ) )</f>
        <v>4</v>
      </c>
    </row>
    <row r="512" spans="58:66" x14ac:dyDescent="0.25">
      <c r="BF512" s="1">
        <v>0</v>
      </c>
      <c r="BG512" t="str">
        <f>"0"</f>
        <v>0</v>
      </c>
      <c r="BH512" t="str">
        <f xml:space="preserve"> IF($BF$512 &gt;= $G$204, "1","0")</f>
        <v>0</v>
      </c>
      <c r="BI512">
        <f xml:space="preserve"> IF( AND( $BG$512 = "1", $BH$512 = "1" ), 1, IF( AND( $BG$512 = "1", $BH$512 = "0" ), 2, IF( AND( $BG$512 = "0", $BH$512 = "1" ), 3, 4 ) ) )</f>
        <v>4</v>
      </c>
      <c r="BK512" s="1">
        <v>0</v>
      </c>
      <c r="BL512" t="str">
        <f>"0"</f>
        <v>0</v>
      </c>
      <c r="BM512" t="str">
        <f xml:space="preserve"> IF($BK$512 &gt;= $G$281, "1","0")</f>
        <v>0</v>
      </c>
      <c r="BN512">
        <f xml:space="preserve"> IF( AND( $BL$512 = "1", $BM$512 = "1" ), 1, IF( AND( $BL$512 = "1", $BM$512 = "0" ), 2, IF( AND( $BL$512 = "0", $BM$512 = "1" ), 3, 4 ) ) )</f>
        <v>4</v>
      </c>
    </row>
    <row r="513" spans="58:66" x14ac:dyDescent="0.25">
      <c r="BF513" s="1">
        <v>0</v>
      </c>
      <c r="BG513" t="str">
        <f>"0"</f>
        <v>0</v>
      </c>
      <c r="BH513" t="str">
        <f xml:space="preserve"> IF($BF$513 &gt;= $G$204, "1","0")</f>
        <v>0</v>
      </c>
      <c r="BI513">
        <f xml:space="preserve"> IF( AND( $BG$513 = "1", $BH$513 = "1" ), 1, IF( AND( $BG$513 = "1", $BH$513 = "0" ), 2, IF( AND( $BG$513 = "0", $BH$513 = "1" ), 3, 4 ) ) )</f>
        <v>4</v>
      </c>
      <c r="BK513" s="1">
        <v>0.32</v>
      </c>
      <c r="BL513" t="str">
        <f>"1"</f>
        <v>1</v>
      </c>
      <c r="BM513" t="str">
        <f xml:space="preserve"> IF($BK$513 &gt;= $G$281, "1","0")</f>
        <v>1</v>
      </c>
      <c r="BN513">
        <f xml:space="preserve"> IF( AND( $BL$513 = "1", $BM$513 = "1" ), 1, IF( AND( $BL$513 = "1", $BM$513 = "0" ), 2, IF( AND( $BL$513 = "0", $BM$513 = "1" ), 3, 4 ) ) )</f>
        <v>1</v>
      </c>
    </row>
    <row r="514" spans="58:66" x14ac:dyDescent="0.25">
      <c r="BF514" s="1">
        <v>0</v>
      </c>
      <c r="BG514" t="str">
        <f>"0"</f>
        <v>0</v>
      </c>
      <c r="BH514" t="str">
        <f xml:space="preserve"> IF($BF$514 &gt;= $G$204, "1","0")</f>
        <v>0</v>
      </c>
      <c r="BI514">
        <f xml:space="preserve"> IF( AND( $BG$514 = "1", $BH$514 = "1" ), 1, IF( AND( $BG$514 = "1", $BH$514 = "0" ), 2, IF( AND( $BG$514 = "0", $BH$514 = "1" ), 3, 4 ) ) )</f>
        <v>4</v>
      </c>
      <c r="BK514" s="1">
        <v>2.5000000000000001E-3</v>
      </c>
      <c r="BL514" t="str">
        <f>"0"</f>
        <v>0</v>
      </c>
      <c r="BM514" t="str">
        <f xml:space="preserve"> IF($BK$514 &gt;= $G$281, "1","0")</f>
        <v>0</v>
      </c>
      <c r="BN514">
        <f xml:space="preserve"> IF( AND( $BL$514 = "1", $BM$514 = "1" ), 1, IF( AND( $BL$514 = "1", $BM$514 = "0" ), 2, IF( AND( $BL$514 = "0", $BM$514 = "1" ), 3, 4 ) ) )</f>
        <v>4</v>
      </c>
    </row>
    <row r="515" spans="58:66" x14ac:dyDescent="0.25">
      <c r="BF515" s="1">
        <v>0</v>
      </c>
      <c r="BG515" t="str">
        <f>"0"</f>
        <v>0</v>
      </c>
      <c r="BH515" t="str">
        <f xml:space="preserve"> IF($BF$515 &gt;= $G$204, "1","0")</f>
        <v>0</v>
      </c>
      <c r="BI515">
        <f xml:space="preserve"> IF( AND( $BG$515 = "1", $BH$515 = "1" ), 1, IF( AND( $BG$515 = "1", $BH$515 = "0" ), 2, IF( AND( $BG$515 = "0", $BH$515 = "1" ), 3, 4 ) ) )</f>
        <v>4</v>
      </c>
      <c r="BK515" s="1">
        <v>0</v>
      </c>
      <c r="BL515" t="str">
        <f>"0"</f>
        <v>0</v>
      </c>
      <c r="BM515" t="str">
        <f xml:space="preserve"> IF($BK$515 &gt;= $G$281, "1","0")</f>
        <v>0</v>
      </c>
      <c r="BN515">
        <f xml:space="preserve"> IF( AND( $BL$515 = "1", $BM$515 = "1" ), 1, IF( AND( $BL$515 = "1", $BM$515 = "0" ), 2, IF( AND( $BL$515 = "0", $BM$515 = "1" ), 3, 4 ) ) )</f>
        <v>4</v>
      </c>
    </row>
    <row r="516" spans="58:66" x14ac:dyDescent="0.25">
      <c r="BF516" s="1">
        <v>0</v>
      </c>
      <c r="BG516" t="str">
        <f>"0"</f>
        <v>0</v>
      </c>
      <c r="BH516" t="str">
        <f xml:space="preserve"> IF($BF$516 &gt;= $G$204, "1","0")</f>
        <v>0</v>
      </c>
      <c r="BI516">
        <f xml:space="preserve"> IF( AND( $BG$516 = "1", $BH$516 = "1" ), 1, IF( AND( $BG$516 = "1", $BH$516 = "0" ), 2, IF( AND( $BG$516 = "0", $BH$516 = "1" ), 3, 4 ) ) )</f>
        <v>4</v>
      </c>
      <c r="BK516" s="1">
        <v>1</v>
      </c>
      <c r="BL516" t="str">
        <f>"1"</f>
        <v>1</v>
      </c>
      <c r="BM516" t="str">
        <f xml:space="preserve"> IF($BK$516 &gt;= $G$281, "1","0")</f>
        <v>1</v>
      </c>
      <c r="BN516">
        <f xml:space="preserve"> IF( AND( $BL$516 = "1", $BM$516 = "1" ), 1, IF( AND( $BL$516 = "1", $BM$516 = "0" ), 2, IF( AND( $BL$516 = "0", $BM$516 = "1" ), 3, 4 ) ) )</f>
        <v>1</v>
      </c>
    </row>
    <row r="517" spans="58:66" x14ac:dyDescent="0.25">
      <c r="BF517" s="1">
        <v>0</v>
      </c>
      <c r="BG517" t="str">
        <f>"0"</f>
        <v>0</v>
      </c>
      <c r="BH517" t="str">
        <f xml:space="preserve"> IF($BF$517 &gt;= $G$204, "1","0")</f>
        <v>0</v>
      </c>
      <c r="BI517">
        <f xml:space="preserve"> IF( AND( $BG$517 = "1", $BH$517 = "1" ), 1, IF( AND( $BG$517 = "1", $BH$517 = "0" ), 2, IF( AND( $BG$517 = "0", $BH$517 = "1" ), 3, 4 ) ) )</f>
        <v>4</v>
      </c>
      <c r="BK517" s="1">
        <v>1.8947368421052633E-2</v>
      </c>
      <c r="BL517" t="str">
        <f>"0"</f>
        <v>0</v>
      </c>
      <c r="BM517" t="str">
        <f xml:space="preserve"> IF($BK$517 &gt;= $G$281, "1","0")</f>
        <v>0</v>
      </c>
      <c r="BN517">
        <f xml:space="preserve"> IF( AND( $BL$517 = "1", $BM$517 = "1" ), 1, IF( AND( $BL$517 = "1", $BM$517 = "0" ), 2, IF( AND( $BL$517 = "0", $BM$517 = "1" ), 3, 4 ) ) )</f>
        <v>4</v>
      </c>
    </row>
    <row r="518" spans="58:66" x14ac:dyDescent="0.25">
      <c r="BF518" s="1">
        <v>0</v>
      </c>
      <c r="BG518" t="str">
        <f>"0"</f>
        <v>0</v>
      </c>
      <c r="BH518" t="str">
        <f xml:space="preserve"> IF($BF$518 &gt;= $G$204, "1","0")</f>
        <v>0</v>
      </c>
      <c r="BI518">
        <f xml:space="preserve"> IF( AND( $BG$518 = "1", $BH$518 = "1" ), 1, IF( AND( $BG$518 = "1", $BH$518 = "0" ), 2, IF( AND( $BG$518 = "0", $BH$518 = "1" ), 3, 4 ) ) )</f>
        <v>4</v>
      </c>
      <c r="BK518" s="1">
        <v>1.8947368421052633E-2</v>
      </c>
      <c r="BL518" t="str">
        <f>"0"</f>
        <v>0</v>
      </c>
      <c r="BM518" t="str">
        <f xml:space="preserve"> IF($BK$518 &gt;= $G$281, "1","0")</f>
        <v>0</v>
      </c>
      <c r="BN518">
        <f xml:space="preserve"> IF( AND( $BL$518 = "1", $BM$518 = "1" ), 1, IF( AND( $BL$518 = "1", $BM$518 = "0" ), 2, IF( AND( $BL$518 = "0", $BM$518 = "1" ), 3, 4 ) ) )</f>
        <v>4</v>
      </c>
    </row>
    <row r="519" spans="58:66" x14ac:dyDescent="0.25">
      <c r="BF519" s="1">
        <v>0</v>
      </c>
      <c r="BG519" t="str">
        <f>"0"</f>
        <v>0</v>
      </c>
      <c r="BH519" t="str">
        <f xml:space="preserve"> IF($BF$519 &gt;= $G$204, "1","0")</f>
        <v>0</v>
      </c>
      <c r="BI519">
        <f xml:space="preserve"> IF( AND( $BG$519 = "1", $BH$519 = "1" ), 1, IF( AND( $BG$519 = "1", $BH$519 = "0" ), 2, IF( AND( $BG$519 = "0", $BH$519 = "1" ), 3, 4 ) ) )</f>
        <v>4</v>
      </c>
      <c r="BK519" s="1">
        <v>1.8947368421052633E-2</v>
      </c>
      <c r="BL519" t="str">
        <f>"0"</f>
        <v>0</v>
      </c>
      <c r="BM519" t="str">
        <f xml:space="preserve"> IF($BK$519 &gt;= $G$281, "1","0")</f>
        <v>0</v>
      </c>
      <c r="BN519">
        <f xml:space="preserve"> IF( AND( $BL$519 = "1", $BM$519 = "1" ), 1, IF( AND( $BL$519 = "1", $BM$519 = "0" ), 2, IF( AND( $BL$519 = "0", $BM$519 = "1" ), 3, 4 ) ) )</f>
        <v>4</v>
      </c>
    </row>
    <row r="520" spans="58:66" x14ac:dyDescent="0.25">
      <c r="BF520" s="1">
        <v>0</v>
      </c>
      <c r="BG520" t="str">
        <f>"0"</f>
        <v>0</v>
      </c>
      <c r="BH520" t="str">
        <f xml:space="preserve"> IF($BF$520 &gt;= $G$204, "1","0")</f>
        <v>0</v>
      </c>
      <c r="BI520">
        <f xml:space="preserve"> IF( AND( $BG$520 = "1", $BH$520 = "1" ), 1, IF( AND( $BG$520 = "1", $BH$520 = "0" ), 2, IF( AND( $BG$520 = "0", $BH$520 = "1" ), 3, 4 ) ) )</f>
        <v>4</v>
      </c>
      <c r="BK520" s="1">
        <v>3.333333333333334E-2</v>
      </c>
      <c r="BL520" t="str">
        <f>"0"</f>
        <v>0</v>
      </c>
      <c r="BM520" t="str">
        <f xml:space="preserve"> IF($BK$520 &gt;= $G$281, "1","0")</f>
        <v>0</v>
      </c>
      <c r="BN520">
        <f xml:space="preserve"> IF( AND( $BL$520 = "1", $BM$520 = "1" ), 1, IF( AND( $BL$520 = "1", $BM$520 = "0" ), 2, IF( AND( $BL$520 = "0", $BM$520 = "1" ), 3, 4 ) ) )</f>
        <v>4</v>
      </c>
    </row>
    <row r="521" spans="58:66" x14ac:dyDescent="0.25">
      <c r="BF521" s="1">
        <v>0</v>
      </c>
      <c r="BG521" t="str">
        <f>"0"</f>
        <v>0</v>
      </c>
      <c r="BH521" t="str">
        <f xml:space="preserve"> IF($BF$521 &gt;= $G$204, "1","0")</f>
        <v>0</v>
      </c>
      <c r="BI521">
        <f xml:space="preserve"> IF( AND( $BG$521 = "1", $BH$521 = "1" ), 1, IF( AND( $BG$521 = "1", $BH$521 = "0" ), 2, IF( AND( $BG$521 = "0", $BH$521 = "1" ), 3, 4 ) ) )</f>
        <v>4</v>
      </c>
      <c r="BK521" s="1">
        <v>0.37500000000000006</v>
      </c>
      <c r="BL521" t="str">
        <f>"0"</f>
        <v>0</v>
      </c>
      <c r="BM521" t="str">
        <f xml:space="preserve"> IF($BK$521 &gt;= $G$281, "1","0")</f>
        <v>1</v>
      </c>
      <c r="BN521">
        <f xml:space="preserve"> IF( AND( $BL$521 = "1", $BM$521 = "1" ), 1, IF( AND( $BL$521 = "1", $BM$521 = "0" ), 2, IF( AND( $BL$521 = "0", $BM$521 = "1" ), 3, 4 ) ) )</f>
        <v>3</v>
      </c>
    </row>
    <row r="522" spans="58:66" x14ac:dyDescent="0.25">
      <c r="BF522" s="1">
        <v>0</v>
      </c>
      <c r="BG522" t="str">
        <f>"0"</f>
        <v>0</v>
      </c>
      <c r="BH522" t="str">
        <f xml:space="preserve"> IF($BF$522 &gt;= $G$204, "1","0")</f>
        <v>0</v>
      </c>
      <c r="BI522">
        <f xml:space="preserve"> IF( AND( $BG$522 = "1", $BH$522 = "1" ), 1, IF( AND( $BG$522 = "1", $BH$522 = "0" ), 2, IF( AND( $BG$522 = "0", $BH$522 = "1" ), 3, 4 ) ) )</f>
        <v>4</v>
      </c>
      <c r="BK522" s="1">
        <v>0</v>
      </c>
      <c r="BL522" t="str">
        <f>"0"</f>
        <v>0</v>
      </c>
      <c r="BM522" t="str">
        <f xml:space="preserve"> IF($BK$522 &gt;= $G$281, "1","0")</f>
        <v>0</v>
      </c>
      <c r="BN522">
        <f xml:space="preserve"> IF( AND( $BL$522 = "1", $BM$522 = "1" ), 1, IF( AND( $BL$522 = "1", $BM$522 = "0" ), 2, IF( AND( $BL$522 = "0", $BM$522 = "1" ), 3, 4 ) ) )</f>
        <v>4</v>
      </c>
    </row>
    <row r="523" spans="58:66" x14ac:dyDescent="0.25">
      <c r="BF523" s="1">
        <v>0</v>
      </c>
      <c r="BG523" t="str">
        <f>"0"</f>
        <v>0</v>
      </c>
      <c r="BH523" t="str">
        <f xml:space="preserve"> IF($BF$523 &gt;= $G$204, "1","0")</f>
        <v>0</v>
      </c>
      <c r="BI523">
        <f xml:space="preserve"> IF( AND( $BG$523 = "1", $BH$523 = "1" ), 1, IF( AND( $BG$523 = "1", $BH$523 = "0" ), 2, IF( AND( $BG$523 = "0", $BH$523 = "1" ), 3, 4 ) ) )</f>
        <v>4</v>
      </c>
      <c r="BK523" s="1">
        <v>2.5000000000000001E-3</v>
      </c>
      <c r="BL523" t="str">
        <f>"0"</f>
        <v>0</v>
      </c>
      <c r="BM523" t="str">
        <f xml:space="preserve"> IF($BK$523 &gt;= $G$281, "1","0")</f>
        <v>0</v>
      </c>
      <c r="BN523">
        <f xml:space="preserve"> IF( AND( $BL$523 = "1", $BM$523 = "1" ), 1, IF( AND( $BL$523 = "1", $BM$523 = "0" ), 2, IF( AND( $BL$523 = "0", $BM$523 = "1" ), 3, 4 ) ) )</f>
        <v>4</v>
      </c>
    </row>
    <row r="524" spans="58:66" x14ac:dyDescent="0.25">
      <c r="BF524" s="1">
        <v>0</v>
      </c>
      <c r="BG524" t="str">
        <f>"0"</f>
        <v>0</v>
      </c>
      <c r="BH524" t="str">
        <f xml:space="preserve"> IF($BF$524 &gt;= $G$204, "1","0")</f>
        <v>0</v>
      </c>
      <c r="BI524">
        <f xml:space="preserve"> IF( AND( $BG$524 = "1", $BH$524 = "1" ), 1, IF( AND( $BG$524 = "1", $BH$524 = "0" ), 2, IF( AND( $BG$524 = "0", $BH$524 = "1" ), 3, 4 ) ) )</f>
        <v>4</v>
      </c>
      <c r="BK524" s="1">
        <v>0</v>
      </c>
      <c r="BL524" t="str">
        <f>"0"</f>
        <v>0</v>
      </c>
      <c r="BM524" t="str">
        <f xml:space="preserve"> IF($BK$524 &gt;= $G$281, "1","0")</f>
        <v>0</v>
      </c>
      <c r="BN524">
        <f xml:space="preserve"> IF( AND( $BL$524 = "1", $BM$524 = "1" ), 1, IF( AND( $BL$524 = "1", $BM$524 = "0" ), 2, IF( AND( $BL$524 = "0", $BM$524 = "1" ), 3, 4 ) ) )</f>
        <v>4</v>
      </c>
    </row>
    <row r="525" spans="58:66" x14ac:dyDescent="0.25">
      <c r="BF525" s="1">
        <v>0</v>
      </c>
      <c r="BG525" t="str">
        <f>"0"</f>
        <v>0</v>
      </c>
      <c r="BH525" t="str">
        <f xml:space="preserve"> IF($BF$525 &gt;= $G$204, "1","0")</f>
        <v>0</v>
      </c>
      <c r="BI525">
        <f xml:space="preserve"> IF( AND( $BG$525 = "1", $BH$525 = "1" ), 1, IF( AND( $BG$525 = "1", $BH$525 = "0" ), 2, IF( AND( $BG$525 = "0", $BH$525 = "1" ), 3, 4 ) ) )</f>
        <v>4</v>
      </c>
      <c r="BK525" s="1">
        <v>0.14285714285714288</v>
      </c>
      <c r="BL525" t="str">
        <f>"0"</f>
        <v>0</v>
      </c>
      <c r="BM525" t="str">
        <f xml:space="preserve"> IF($BK$525 &gt;= $G$281, "1","0")</f>
        <v>0</v>
      </c>
      <c r="BN525">
        <f xml:space="preserve"> IF( AND( $BL$525 = "1", $BM$525 = "1" ), 1, IF( AND( $BL$525 = "1", $BM$525 = "0" ), 2, IF( AND( $BL$525 = "0", $BM$525 = "1" ), 3, 4 ) ) )</f>
        <v>4</v>
      </c>
    </row>
    <row r="526" spans="58:66" x14ac:dyDescent="0.25">
      <c r="BF526" s="1">
        <v>0</v>
      </c>
      <c r="BG526" t="str">
        <f>"0"</f>
        <v>0</v>
      </c>
      <c r="BH526" t="str">
        <f xml:space="preserve"> IF($BF$526 &gt;= $G$204, "1","0")</f>
        <v>0</v>
      </c>
      <c r="BI526">
        <f xml:space="preserve"> IF( AND( $BG$526 = "1", $BH$526 = "1" ), 1, IF( AND( $BG$526 = "1", $BH$526 = "0" ), 2, IF( AND( $BG$526 = "0", $BH$526 = "1" ), 3, 4 ) ) )</f>
        <v>4</v>
      </c>
      <c r="BK526" s="1">
        <v>0.90476190476190477</v>
      </c>
      <c r="BL526" t="str">
        <f>"1"</f>
        <v>1</v>
      </c>
      <c r="BM526" t="str">
        <f xml:space="preserve"> IF($BK$526 &gt;= $G$281, "1","0")</f>
        <v>1</v>
      </c>
      <c r="BN526">
        <f xml:space="preserve"> IF( AND( $BL$526 = "1", $BM$526 = "1" ), 1, IF( AND( $BL$526 = "1", $BM$526 = "0" ), 2, IF( AND( $BL$526 = "0", $BM$526 = "1" ), 3, 4 ) ) )</f>
        <v>1</v>
      </c>
    </row>
    <row r="527" spans="58:66" x14ac:dyDescent="0.25">
      <c r="BF527" s="1">
        <v>0</v>
      </c>
      <c r="BG527" t="str">
        <f>"0"</f>
        <v>0</v>
      </c>
      <c r="BH527" t="str">
        <f xml:space="preserve"> IF($BF$527 &gt;= $G$204, "1","0")</f>
        <v>0</v>
      </c>
      <c r="BI527">
        <f xml:space="preserve"> IF( AND( $BG$527 = "1", $BH$527 = "1" ), 1, IF( AND( $BG$527 = "1", $BH$527 = "0" ), 2, IF( AND( $BG$527 = "0", $BH$527 = "1" ), 3, 4 ) ) )</f>
        <v>4</v>
      </c>
      <c r="BK527" s="1">
        <v>0.14285714285714288</v>
      </c>
      <c r="BL527" t="str">
        <f>"0"</f>
        <v>0</v>
      </c>
      <c r="BM527" t="str">
        <f xml:space="preserve"> IF($BK$527 &gt;= $G$281, "1","0")</f>
        <v>0</v>
      </c>
      <c r="BN527">
        <f xml:space="preserve"> IF( AND( $BL$527 = "1", $BM$527 = "1" ), 1, IF( AND( $BL$527 = "1", $BM$527 = "0" ), 2, IF( AND( $BL$527 = "0", $BM$527 = "1" ), 3, 4 ) ) )</f>
        <v>4</v>
      </c>
    </row>
    <row r="528" spans="58:66" x14ac:dyDescent="0.25">
      <c r="BF528" s="1">
        <v>0</v>
      </c>
      <c r="BG528" t="str">
        <f>"0"</f>
        <v>0</v>
      </c>
      <c r="BH528" t="str">
        <f xml:space="preserve"> IF($BF$528 &gt;= $G$204, "1","0")</f>
        <v>0</v>
      </c>
      <c r="BI528">
        <f xml:space="preserve"> IF( AND( $BG$528 = "1", $BH$528 = "1" ), 1, IF( AND( $BG$528 = "1", $BH$528 = "0" ), 2, IF( AND( $BG$528 = "0", $BH$528 = "1" ), 3, 4 ) ) )</f>
        <v>4</v>
      </c>
      <c r="BK528" s="1">
        <v>0.68181818181818188</v>
      </c>
      <c r="BL528" t="str">
        <f>"1"</f>
        <v>1</v>
      </c>
      <c r="BM528" t="str">
        <f xml:space="preserve"> IF($BK$528 &gt;= $G$281, "1","0")</f>
        <v>1</v>
      </c>
      <c r="BN528">
        <f xml:space="preserve"> IF( AND( $BL$528 = "1", $BM$528 = "1" ), 1, IF( AND( $BL$528 = "1", $BM$528 = "0" ), 2, IF( AND( $BL$528 = "0", $BM$528 = "1" ), 3, 4 ) ) )</f>
        <v>1</v>
      </c>
    </row>
    <row r="529" spans="58:66" x14ac:dyDescent="0.25">
      <c r="BF529" s="1">
        <v>0</v>
      </c>
      <c r="BG529" t="str">
        <f>"0"</f>
        <v>0</v>
      </c>
      <c r="BH529" t="str">
        <f xml:space="preserve"> IF($BF$529 &gt;= $G$204, "1","0")</f>
        <v>0</v>
      </c>
      <c r="BI529">
        <f xml:space="preserve"> IF( AND( $BG$529 = "1", $BH$529 = "1" ), 1, IF( AND( $BG$529 = "1", $BH$529 = "0" ), 2, IF( AND( $BG$529 = "0", $BH$529 = "1" ), 3, 4 ) ) )</f>
        <v>4</v>
      </c>
      <c r="BK529" s="1">
        <v>1</v>
      </c>
      <c r="BL529" t="str">
        <f>"1"</f>
        <v>1</v>
      </c>
      <c r="BM529" t="str">
        <f xml:space="preserve"> IF($BK$529 &gt;= $G$281, "1","0")</f>
        <v>1</v>
      </c>
      <c r="BN529">
        <f xml:space="preserve"> IF( AND( $BL$529 = "1", $BM$529 = "1" ), 1, IF( AND( $BL$529 = "1", $BM$529 = "0" ), 2, IF( AND( $BL$529 = "0", $BM$529 = "1" ), 3, 4 ) ) )</f>
        <v>1</v>
      </c>
    </row>
    <row r="530" spans="58:66" x14ac:dyDescent="0.25">
      <c r="BF530" s="1">
        <v>0</v>
      </c>
      <c r="BG530" t="str">
        <f>"0"</f>
        <v>0</v>
      </c>
      <c r="BH530" t="str">
        <f xml:space="preserve"> IF($BF$530 &gt;= $G$204, "1","0")</f>
        <v>0</v>
      </c>
      <c r="BI530">
        <f xml:space="preserve"> IF( AND( $BG$530 = "1", $BH$530 = "1" ), 1, IF( AND( $BG$530 = "1", $BH$530 = "0" ), 2, IF( AND( $BG$530 = "0", $BH$530 = "1" ), 3, 4 ) ) )</f>
        <v>4</v>
      </c>
      <c r="BK530" s="1">
        <v>0</v>
      </c>
      <c r="BL530" t="str">
        <f>"0"</f>
        <v>0</v>
      </c>
      <c r="BM530" t="str">
        <f xml:space="preserve"> IF($BK$530 &gt;= $G$281, "1","0")</f>
        <v>0</v>
      </c>
      <c r="BN530">
        <f xml:space="preserve"> IF( AND( $BL$530 = "1", $BM$530 = "1" ), 1, IF( AND( $BL$530 = "1", $BM$530 = "0" ), 2, IF( AND( $BL$530 = "0", $BM$530 = "1" ), 3, 4 ) ) )</f>
        <v>4</v>
      </c>
    </row>
    <row r="531" spans="58:66" x14ac:dyDescent="0.25">
      <c r="BF531" s="1">
        <v>0</v>
      </c>
      <c r="BG531" t="str">
        <f>"0"</f>
        <v>0</v>
      </c>
      <c r="BH531" t="str">
        <f xml:space="preserve"> IF($BF$531 &gt;= $G$204, "1","0")</f>
        <v>0</v>
      </c>
      <c r="BI531">
        <f xml:space="preserve"> IF( AND( $BG$531 = "1", $BH$531 = "1" ), 1, IF( AND( $BG$531 = "1", $BH$531 = "0" ), 2, IF( AND( $BG$531 = "0", $BH$531 = "1" ), 3, 4 ) ) )</f>
        <v>4</v>
      </c>
      <c r="BK531" s="1">
        <v>0.14285714285714288</v>
      </c>
      <c r="BL531" t="str">
        <f>"0"</f>
        <v>0</v>
      </c>
      <c r="BM531" t="str">
        <f xml:space="preserve"> IF($BK$531 &gt;= $G$281, "1","0")</f>
        <v>0</v>
      </c>
      <c r="BN531">
        <f xml:space="preserve"> IF( AND( $BL$531 = "1", $BM$531 = "1" ), 1, IF( AND( $BL$531 = "1", $BM$531 = "0" ), 2, IF( AND( $BL$531 = "0", $BM$531 = "1" ), 3, 4 ) ) )</f>
        <v>4</v>
      </c>
    </row>
    <row r="532" spans="58:66" x14ac:dyDescent="0.25">
      <c r="BF532" s="1">
        <v>0</v>
      </c>
      <c r="BG532" t="str">
        <f>"0"</f>
        <v>0</v>
      </c>
      <c r="BH532" t="str">
        <f xml:space="preserve"> IF($BF$532 &gt;= $G$204, "1","0")</f>
        <v>0</v>
      </c>
      <c r="BI532">
        <f xml:space="preserve"> IF( AND( $BG$532 = "1", $BH$532 = "1" ), 1, IF( AND( $BG$532 = "1", $BH$532 = "0" ), 2, IF( AND( $BG$532 = "0", $BH$532 = "1" ), 3, 4 ) ) )</f>
        <v>4</v>
      </c>
      <c r="BK532" s="1">
        <v>0.68181818181818188</v>
      </c>
      <c r="BL532" t="str">
        <f>"1"</f>
        <v>1</v>
      </c>
      <c r="BM532" t="str">
        <f xml:space="preserve"> IF($BK$532 &gt;= $G$281, "1","0")</f>
        <v>1</v>
      </c>
      <c r="BN532">
        <f xml:space="preserve"> IF( AND( $BL$532 = "1", $BM$532 = "1" ), 1, IF( AND( $BL$532 = "1", $BM$532 = "0" ), 2, IF( AND( $BL$532 = "0", $BM$532 = "1" ), 3, 4 ) ) )</f>
        <v>1</v>
      </c>
    </row>
    <row r="533" spans="58:66" x14ac:dyDescent="0.25">
      <c r="BF533" s="1">
        <v>0</v>
      </c>
      <c r="BG533" t="str">
        <f>"0"</f>
        <v>0</v>
      </c>
      <c r="BH533" t="str">
        <f xml:space="preserve"> IF($BF$533 &gt;= $G$204, "1","0")</f>
        <v>0</v>
      </c>
      <c r="BI533">
        <f xml:space="preserve"> IF( AND( $BG$533 = "1", $BH$533 = "1" ), 1, IF( AND( $BG$533 = "1", $BH$533 = "0" ), 2, IF( AND( $BG$533 = "0", $BH$533 = "1" ), 3, 4 ) ) )</f>
        <v>4</v>
      </c>
      <c r="BK533" s="1">
        <v>0.72727272727272729</v>
      </c>
      <c r="BL533" t="str">
        <f>"0"</f>
        <v>0</v>
      </c>
      <c r="BM533" t="str">
        <f xml:space="preserve"> IF($BK$533 &gt;= $G$281, "1","0")</f>
        <v>1</v>
      </c>
      <c r="BN533">
        <f xml:space="preserve"> IF( AND( $BL$533 = "1", $BM$533 = "1" ), 1, IF( AND( $BL$533 = "1", $BM$533 = "0" ), 2, IF( AND( $BL$533 = "0", $BM$533 = "1" ), 3, 4 ) ) )</f>
        <v>3</v>
      </c>
    </row>
    <row r="534" spans="58:66" x14ac:dyDescent="0.25">
      <c r="BF534" s="1">
        <v>0</v>
      </c>
      <c r="BG534" t="str">
        <f>"0"</f>
        <v>0</v>
      </c>
      <c r="BH534" t="str">
        <f xml:space="preserve"> IF($BF$534 &gt;= $G$204, "1","0")</f>
        <v>0</v>
      </c>
      <c r="BI534">
        <f xml:space="preserve"> IF( AND( $BG$534 = "1", $BH$534 = "1" ), 1, IF( AND( $BG$534 = "1", $BH$534 = "0" ), 2, IF( AND( $BG$534 = "0", $BH$534 = "1" ), 3, 4 ) ) )</f>
        <v>4</v>
      </c>
      <c r="BK534" s="1">
        <v>2.5000000000000001E-3</v>
      </c>
      <c r="BL534" t="str">
        <f>"0"</f>
        <v>0</v>
      </c>
      <c r="BM534" t="str">
        <f xml:space="preserve"> IF($BK$534 &gt;= $G$281, "1","0")</f>
        <v>0</v>
      </c>
      <c r="BN534">
        <f xml:space="preserve"> IF( AND( $BL$534 = "1", $BM$534 = "1" ), 1, IF( AND( $BL$534 = "1", $BM$534 = "0" ), 2, IF( AND( $BL$534 = "0", $BM$534 = "1" ), 3, 4 ) ) )</f>
        <v>4</v>
      </c>
    </row>
    <row r="535" spans="58:66" x14ac:dyDescent="0.25">
      <c r="BF535" s="1">
        <v>0</v>
      </c>
      <c r="BG535" t="str">
        <f>"0"</f>
        <v>0</v>
      </c>
      <c r="BH535" t="str">
        <f xml:space="preserve"> IF($BF$535 &gt;= $G$204, "1","0")</f>
        <v>0</v>
      </c>
      <c r="BI535">
        <f xml:space="preserve"> IF( AND( $BG$535 = "1", $BH$535 = "1" ), 1, IF( AND( $BG$535 = "1", $BH$535 = "0" ), 2, IF( AND( $BG$535 = "0", $BH$535 = "1" ), 3, 4 ) ) )</f>
        <v>4</v>
      </c>
      <c r="BK535" s="1">
        <v>1</v>
      </c>
      <c r="BL535" t="str">
        <f>"1"</f>
        <v>1</v>
      </c>
      <c r="BM535" t="str">
        <f xml:space="preserve"> IF($BK$535 &gt;= $G$281, "1","0")</f>
        <v>1</v>
      </c>
      <c r="BN535">
        <f xml:space="preserve"> IF( AND( $BL$535 = "1", $BM$535 = "1" ), 1, IF( AND( $BL$535 = "1", $BM$535 = "0" ), 2, IF( AND( $BL$535 = "0", $BM$535 = "1" ), 3, 4 ) ) )</f>
        <v>1</v>
      </c>
    </row>
    <row r="536" spans="58:66" x14ac:dyDescent="0.25">
      <c r="BF536" s="1">
        <v>0</v>
      </c>
      <c r="BG536" t="str">
        <f>"0"</f>
        <v>0</v>
      </c>
      <c r="BH536" t="str">
        <f xml:space="preserve"> IF($BF$536 &gt;= $G$204, "1","0")</f>
        <v>0</v>
      </c>
      <c r="BI536">
        <f xml:space="preserve"> IF( AND( $BG$536 = "1", $BH$536 = "1" ), 1, IF( AND( $BG$536 = "1", $BH$536 = "0" ), 2, IF( AND( $BG$536 = "0", $BH$536 = "1" ), 3, 4 ) ) )</f>
        <v>4</v>
      </c>
      <c r="BK536" s="1">
        <v>1</v>
      </c>
      <c r="BL536" t="str">
        <f>"1"</f>
        <v>1</v>
      </c>
      <c r="BM536" t="str">
        <f xml:space="preserve"> IF($BK$536 &gt;= $G$281, "1","0")</f>
        <v>1</v>
      </c>
      <c r="BN536">
        <f xml:space="preserve"> IF( AND( $BL$536 = "1", $BM$536 = "1" ), 1, IF( AND( $BL$536 = "1", $BM$536 = "0" ), 2, IF( AND( $BL$536 = "0", $BM$536 = "1" ), 3, 4 ) ) )</f>
        <v>1</v>
      </c>
    </row>
    <row r="537" spans="58:66" x14ac:dyDescent="0.25">
      <c r="BF537" s="1">
        <v>0</v>
      </c>
      <c r="BG537" t="str">
        <f>"0"</f>
        <v>0</v>
      </c>
      <c r="BH537" t="str">
        <f xml:space="preserve"> IF($BF$537 &gt;= $G$204, "1","0")</f>
        <v>0</v>
      </c>
      <c r="BI537">
        <f xml:space="preserve"> IF( AND( $BG$537 = "1", $BH$537 = "1" ), 1, IF( AND( $BG$537 = "1", $BH$537 = "0" ), 2, IF( AND( $BG$537 = "0", $BH$537 = "1" ), 3, 4 ) ) )</f>
        <v>4</v>
      </c>
      <c r="BK537" s="1">
        <v>3.333333333333334E-2</v>
      </c>
      <c r="BL537" t="str">
        <f>"0"</f>
        <v>0</v>
      </c>
      <c r="BM537" t="str">
        <f xml:space="preserve"> IF($BK$537 &gt;= $G$281, "1","0")</f>
        <v>0</v>
      </c>
      <c r="BN537">
        <f xml:space="preserve"> IF( AND( $BL$537 = "1", $BM$537 = "1" ), 1, IF( AND( $BL$537 = "1", $BM$537 = "0" ), 2, IF( AND( $BL$537 = "0", $BM$537 = "1" ), 3, 4 ) ) )</f>
        <v>4</v>
      </c>
    </row>
    <row r="538" spans="58:66" x14ac:dyDescent="0.25">
      <c r="BF538" s="1">
        <v>0</v>
      </c>
      <c r="BG538" t="str">
        <f>"0"</f>
        <v>0</v>
      </c>
      <c r="BH538" t="str">
        <f xml:space="preserve"> IF($BF$538 &gt;= $G$204, "1","0")</f>
        <v>0</v>
      </c>
      <c r="BI538">
        <f xml:space="preserve"> IF( AND( $BG$538 = "1", $BH$538 = "1" ), 1, IF( AND( $BG$538 = "1", $BH$538 = "0" ), 2, IF( AND( $BG$538 = "0", $BH$538 = "1" ), 3, 4 ) ) )</f>
        <v>4</v>
      </c>
      <c r="BK538" s="1">
        <v>1</v>
      </c>
      <c r="BL538" t="str">
        <f>"0"</f>
        <v>0</v>
      </c>
      <c r="BM538" t="str">
        <f xml:space="preserve"> IF($BK$538 &gt;= $G$281, "1","0")</f>
        <v>1</v>
      </c>
      <c r="BN538">
        <f xml:space="preserve"> IF( AND( $BL$538 = "1", $BM$538 = "1" ), 1, IF( AND( $BL$538 = "1", $BM$538 = "0" ), 2, IF( AND( $BL$538 = "0", $BM$538 = "1" ), 3, 4 ) ) )</f>
        <v>3</v>
      </c>
    </row>
    <row r="539" spans="58:66" x14ac:dyDescent="0.25">
      <c r="BF539" s="1">
        <v>0</v>
      </c>
      <c r="BG539" t="str">
        <f>"0"</f>
        <v>0</v>
      </c>
      <c r="BH539" t="str">
        <f xml:space="preserve"> IF($BF$539 &gt;= $G$204, "1","0")</f>
        <v>0</v>
      </c>
      <c r="BI539">
        <f xml:space="preserve"> IF( AND( $BG$539 = "1", $BH$539 = "1" ), 1, IF( AND( $BG$539 = "1", $BH$539 = "0" ), 2, IF( AND( $BG$539 = "0", $BH$539 = "1" ), 3, 4 ) ) )</f>
        <v>4</v>
      </c>
      <c r="BK539" s="1">
        <v>3.333333333333334E-2</v>
      </c>
      <c r="BL539" t="str">
        <f>"0"</f>
        <v>0</v>
      </c>
      <c r="BM539" t="str">
        <f xml:space="preserve"> IF($BK$539 &gt;= $G$281, "1","0")</f>
        <v>0</v>
      </c>
      <c r="BN539">
        <f xml:space="preserve"> IF( AND( $BL$539 = "1", $BM$539 = "1" ), 1, IF( AND( $BL$539 = "1", $BM$539 = "0" ), 2, IF( AND( $BL$539 = "0", $BM$539 = "1" ), 3, 4 ) ) )</f>
        <v>4</v>
      </c>
    </row>
    <row r="540" spans="58:66" x14ac:dyDescent="0.25">
      <c r="BF540" s="1">
        <v>0</v>
      </c>
      <c r="BG540" t="str">
        <f>"0"</f>
        <v>0</v>
      </c>
      <c r="BH540" t="str">
        <f xml:space="preserve"> IF($BF$540 &gt;= $G$204, "1","0")</f>
        <v>0</v>
      </c>
      <c r="BI540">
        <f xml:space="preserve"> IF( AND( $BG$540 = "1", $BH$540 = "1" ), 1, IF( AND( $BG$540 = "1", $BH$540 = "0" ), 2, IF( AND( $BG$540 = "0", $BH$540 = "1" ), 3, 4 ) ) )</f>
        <v>4</v>
      </c>
      <c r="BK540" s="1">
        <v>1</v>
      </c>
      <c r="BL540" t="str">
        <f>"1"</f>
        <v>1</v>
      </c>
      <c r="BM540" t="str">
        <f xml:space="preserve"> IF($BK$540 &gt;= $G$281, "1","0")</f>
        <v>1</v>
      </c>
      <c r="BN540">
        <f xml:space="preserve"> IF( AND( $BL$540 = "1", $BM$540 = "1" ), 1, IF( AND( $BL$540 = "1", $BM$540 = "0" ), 2, IF( AND( $BL$540 = "0", $BM$540 = "1" ), 3, 4 ) ) )</f>
        <v>1</v>
      </c>
    </row>
    <row r="541" spans="58:66" x14ac:dyDescent="0.25">
      <c r="BF541" s="1">
        <v>0</v>
      </c>
      <c r="BG541" t="str">
        <f>"0"</f>
        <v>0</v>
      </c>
      <c r="BH541" t="str">
        <f xml:space="preserve"> IF($BF$541 &gt;= $G$204, "1","0")</f>
        <v>0</v>
      </c>
      <c r="BI541">
        <f xml:space="preserve"> IF( AND( $BG$541 = "1", $BH$541 = "1" ), 1, IF( AND( $BG$541 = "1", $BH$541 = "0" ), 2, IF( AND( $BG$541 = "0", $BH$541 = "1" ), 3, 4 ) ) )</f>
        <v>4</v>
      </c>
      <c r="BK541" s="1">
        <v>1</v>
      </c>
      <c r="BL541" t="str">
        <f>"1"</f>
        <v>1</v>
      </c>
      <c r="BM541" t="str">
        <f xml:space="preserve"> IF($BK$541 &gt;= $G$281, "1","0")</f>
        <v>1</v>
      </c>
      <c r="BN541">
        <f xml:space="preserve"> IF( AND( $BL$541 = "1", $BM$541 = "1" ), 1, IF( AND( $BL$541 = "1", $BM$541 = "0" ), 2, IF( AND( $BL$541 = "0", $BM$541 = "1" ), 3, 4 ) ) )</f>
        <v>1</v>
      </c>
    </row>
    <row r="542" spans="58:66" x14ac:dyDescent="0.25">
      <c r="BF542" s="1">
        <v>0</v>
      </c>
      <c r="BG542" t="str">
        <f>"0"</f>
        <v>0</v>
      </c>
      <c r="BH542" t="str">
        <f xml:space="preserve"> IF($BF$542 &gt;= $G$204, "1","0")</f>
        <v>0</v>
      </c>
      <c r="BI542">
        <f xml:space="preserve"> IF( AND( $BG$542 = "1", $BH$542 = "1" ), 1, IF( AND( $BG$542 = "1", $BH$542 = "0" ), 2, IF( AND( $BG$542 = "0", $BH$542 = "1" ), 3, 4 ) ) )</f>
        <v>4</v>
      </c>
      <c r="BK542" s="1">
        <v>1.8947368421052633E-2</v>
      </c>
      <c r="BL542" t="str">
        <f>"0"</f>
        <v>0</v>
      </c>
      <c r="BM542" t="str">
        <f xml:space="preserve"> IF($BK$542 &gt;= $G$281, "1","0")</f>
        <v>0</v>
      </c>
      <c r="BN542">
        <f xml:space="preserve"> IF( AND( $BL$542 = "1", $BM$542 = "1" ), 1, IF( AND( $BL$542 = "1", $BM$542 = "0" ), 2, IF( AND( $BL$542 = "0", $BM$542 = "1" ), 3, 4 ) ) )</f>
        <v>4</v>
      </c>
    </row>
    <row r="543" spans="58:66" x14ac:dyDescent="0.25">
      <c r="BF543" s="1">
        <v>0</v>
      </c>
      <c r="BG543" t="str">
        <f>"0"</f>
        <v>0</v>
      </c>
      <c r="BH543" t="str">
        <f xml:space="preserve"> IF($BF$543 &gt;= $G$204, "1","0")</f>
        <v>0</v>
      </c>
      <c r="BI543">
        <f xml:space="preserve"> IF( AND( $BG$543 = "1", $BH$543 = "1" ), 1, IF( AND( $BG$543 = "1", $BH$543 = "0" ), 2, IF( AND( $BG$543 = "0", $BH$543 = "1" ), 3, 4 ) ) )</f>
        <v>4</v>
      </c>
      <c r="BK543" s="1">
        <v>0.14285714285714288</v>
      </c>
      <c r="BL543" t="str">
        <f>"0"</f>
        <v>0</v>
      </c>
      <c r="BM543" t="str">
        <f xml:space="preserve"> IF($BK$543 &gt;= $G$281, "1","0")</f>
        <v>0</v>
      </c>
      <c r="BN543">
        <f xml:space="preserve"> IF( AND( $BL$543 = "1", $BM$543 = "1" ), 1, IF( AND( $BL$543 = "1", $BM$543 = "0" ), 2, IF( AND( $BL$543 = "0", $BM$543 = "1" ), 3, 4 ) ) )</f>
        <v>4</v>
      </c>
    </row>
    <row r="544" spans="58:66" x14ac:dyDescent="0.25">
      <c r="BF544" s="1">
        <v>0</v>
      </c>
      <c r="BG544" t="str">
        <f>"0"</f>
        <v>0</v>
      </c>
      <c r="BH544" t="str">
        <f xml:space="preserve"> IF($BF$544 &gt;= $G$204, "1","0")</f>
        <v>0</v>
      </c>
      <c r="BI544">
        <f xml:space="preserve"> IF( AND( $BG$544 = "1", $BH$544 = "1" ), 1, IF( AND( $BG$544 = "1", $BH$544 = "0" ), 2, IF( AND( $BG$544 = "0", $BH$544 = "1" ), 3, 4 ) ) )</f>
        <v>4</v>
      </c>
      <c r="BK544" s="1">
        <v>1</v>
      </c>
      <c r="BL544" t="str">
        <f>"1"</f>
        <v>1</v>
      </c>
      <c r="BM544" t="str">
        <f xml:space="preserve"> IF($BK$544 &gt;= $G$281, "1","0")</f>
        <v>1</v>
      </c>
      <c r="BN544">
        <f xml:space="preserve"> IF( AND( $BL$544 = "1", $BM$544 = "1" ), 1, IF( AND( $BL$544 = "1", $BM$544 = "0" ), 2, IF( AND( $BL$544 = "0", $BM$544 = "1" ), 3, 4 ) ) )</f>
        <v>1</v>
      </c>
    </row>
    <row r="545" spans="58:66" x14ac:dyDescent="0.25">
      <c r="BF545" s="1">
        <v>0</v>
      </c>
      <c r="BG545" t="str">
        <f>"0"</f>
        <v>0</v>
      </c>
      <c r="BH545" t="str">
        <f xml:space="preserve"> IF($BF$545 &gt;= $G$204, "1","0")</f>
        <v>0</v>
      </c>
      <c r="BI545">
        <f xml:space="preserve"> IF( AND( $BG$545 = "1", $BH$545 = "1" ), 1, IF( AND( $BG$545 = "1", $BH$545 = "0" ), 2, IF( AND( $BG$545 = "0", $BH$545 = "1" ), 3, 4 ) ) )</f>
        <v>4</v>
      </c>
      <c r="BK545" s="1">
        <v>0.14285714285714285</v>
      </c>
      <c r="BL545" t="str">
        <f>"0"</f>
        <v>0</v>
      </c>
      <c r="BM545" t="str">
        <f xml:space="preserve"> IF($BK$545 &gt;= $G$281, "1","0")</f>
        <v>0</v>
      </c>
      <c r="BN545">
        <f xml:space="preserve"> IF( AND( $BL$545 = "1", $BM$545 = "1" ), 1, IF( AND( $BL$545 = "1", $BM$545 = "0" ), 2, IF( AND( $BL$545 = "0", $BM$545 = "1" ), 3, 4 ) ) )</f>
        <v>4</v>
      </c>
    </row>
    <row r="546" spans="58:66" x14ac:dyDescent="0.25">
      <c r="BF546" s="1">
        <v>0</v>
      </c>
      <c r="BG546" t="str">
        <f>"0"</f>
        <v>0</v>
      </c>
      <c r="BH546" t="str">
        <f xml:space="preserve"> IF($BF$546 &gt;= $G$204, "1","0")</f>
        <v>0</v>
      </c>
      <c r="BI546">
        <f xml:space="preserve"> IF( AND( $BG$546 = "1", $BH$546 = "1" ), 1, IF( AND( $BG$546 = "1", $BH$546 = "0" ), 2, IF( AND( $BG$546 = "0", $BH$546 = "1" ), 3, 4 ) ) )</f>
        <v>4</v>
      </c>
      <c r="BK546" s="1">
        <v>0</v>
      </c>
      <c r="BL546" t="str">
        <f>"0"</f>
        <v>0</v>
      </c>
      <c r="BM546" t="str">
        <f xml:space="preserve"> IF($BK$546 &gt;= $G$281, "1","0")</f>
        <v>0</v>
      </c>
      <c r="BN546">
        <f xml:space="preserve"> IF( AND( $BL$546 = "1", $BM$546 = "1" ), 1, IF( AND( $BL$546 = "1", $BM$546 = "0" ), 2, IF( AND( $BL$546 = "0", $BM$546 = "1" ), 3, 4 ) ) )</f>
        <v>4</v>
      </c>
    </row>
    <row r="547" spans="58:66" x14ac:dyDescent="0.25">
      <c r="BF547" s="1">
        <v>0</v>
      </c>
      <c r="BG547" t="str">
        <f>"0"</f>
        <v>0</v>
      </c>
      <c r="BH547" t="str">
        <f xml:space="preserve"> IF($BF$547 &gt;= $G$204, "1","0")</f>
        <v>0</v>
      </c>
      <c r="BI547">
        <f xml:space="preserve"> IF( AND( $BG$547 = "1", $BH$547 = "1" ), 1, IF( AND( $BG$547 = "1", $BH$547 = "0" ), 2, IF( AND( $BG$547 = "0", $BH$547 = "1" ), 3, 4 ) ) )</f>
        <v>4</v>
      </c>
      <c r="BK547" s="1">
        <v>1.8947368421052633E-2</v>
      </c>
      <c r="BL547" t="str">
        <f>"0"</f>
        <v>0</v>
      </c>
      <c r="BM547" t="str">
        <f xml:space="preserve"> IF($BK$547 &gt;= $G$281, "1","0")</f>
        <v>0</v>
      </c>
      <c r="BN547">
        <f xml:space="preserve"> IF( AND( $BL$547 = "1", $BM$547 = "1" ), 1, IF( AND( $BL$547 = "1", $BM$547 = "0" ), 2, IF( AND( $BL$547 = "0", $BM$547 = "1" ), 3, 4 ) ) )</f>
        <v>4</v>
      </c>
    </row>
    <row r="548" spans="58:66" x14ac:dyDescent="0.25">
      <c r="BF548" s="1">
        <v>0</v>
      </c>
      <c r="BG548" t="str">
        <f>"0"</f>
        <v>0</v>
      </c>
      <c r="BH548" t="str">
        <f xml:space="preserve"> IF($BF$548 &gt;= $G$204, "1","0")</f>
        <v>0</v>
      </c>
      <c r="BI548">
        <f xml:space="preserve"> IF( AND( $BG$548 = "1", $BH$548 = "1" ), 1, IF( AND( $BG$548 = "1", $BH$548 = "0" ), 2, IF( AND( $BG$548 = "0", $BH$548 = "1" ), 3, 4 ) ) )</f>
        <v>4</v>
      </c>
      <c r="BK548" s="1">
        <v>0.64</v>
      </c>
      <c r="BL548" t="str">
        <f>"1"</f>
        <v>1</v>
      </c>
      <c r="BM548" t="str">
        <f xml:space="preserve"> IF($BK$548 &gt;= $G$281, "1","0")</f>
        <v>1</v>
      </c>
      <c r="BN548">
        <f xml:space="preserve"> IF( AND( $BL$548 = "1", $BM$548 = "1" ), 1, IF( AND( $BL$548 = "1", $BM$548 = "0" ), 2, IF( AND( $BL$548 = "0", $BM$548 = "1" ), 3, 4 ) ) )</f>
        <v>1</v>
      </c>
    </row>
    <row r="549" spans="58:66" x14ac:dyDescent="0.25">
      <c r="BF549" s="1">
        <v>0</v>
      </c>
      <c r="BG549" t="str">
        <f>"0"</f>
        <v>0</v>
      </c>
      <c r="BH549" t="str">
        <f xml:space="preserve"> IF($BF$549 &gt;= $G$204, "1","0")</f>
        <v>0</v>
      </c>
      <c r="BI549">
        <f xml:space="preserve"> IF( AND( $BG$549 = "1", $BH$549 = "1" ), 1, IF( AND( $BG$549 = "1", $BH$549 = "0" ), 2, IF( AND( $BG$549 = "0", $BH$549 = "1" ), 3, 4 ) ) )</f>
        <v>4</v>
      </c>
      <c r="BK549" s="1">
        <v>2.5000000000000001E-3</v>
      </c>
      <c r="BL549" t="str">
        <f>"0"</f>
        <v>0</v>
      </c>
      <c r="BM549" t="str">
        <f xml:space="preserve"> IF($BK$549 &gt;= $G$281, "1","0")</f>
        <v>0</v>
      </c>
      <c r="BN549">
        <f xml:space="preserve"> IF( AND( $BL$549 = "1", $BM$549 = "1" ), 1, IF( AND( $BL$549 = "1", $BM$549 = "0" ), 2, IF( AND( $BL$549 = "0", $BM$549 = "1" ), 3, 4 ) ) )</f>
        <v>4</v>
      </c>
    </row>
    <row r="550" spans="58:66" x14ac:dyDescent="0.25">
      <c r="BF550" s="1">
        <v>0</v>
      </c>
      <c r="BG550" t="str">
        <f>"0"</f>
        <v>0</v>
      </c>
      <c r="BH550" t="str">
        <f xml:space="preserve"> IF($BF$550 &gt;= $G$204, "1","0")</f>
        <v>0</v>
      </c>
      <c r="BI550">
        <f xml:space="preserve"> IF( AND( $BG$550 = "1", $BH$550 = "1" ), 1, IF( AND( $BG$550 = "1", $BH$550 = "0" ), 2, IF( AND( $BG$550 = "0", $BH$550 = "1" ), 3, 4 ) ) )</f>
        <v>4</v>
      </c>
      <c r="BK550" s="1">
        <v>1.8947368421052633E-2</v>
      </c>
      <c r="BL550" t="str">
        <f>"0"</f>
        <v>0</v>
      </c>
      <c r="BM550" t="str">
        <f xml:space="preserve"> IF($BK$550 &gt;= $G$281, "1","0")</f>
        <v>0</v>
      </c>
      <c r="BN550">
        <f xml:space="preserve"> IF( AND( $BL$550 = "1", $BM$550 = "1" ), 1, IF( AND( $BL$550 = "1", $BM$550 = "0" ), 2, IF( AND( $BL$550 = "0", $BM$550 = "1" ), 3, 4 ) ) )</f>
        <v>4</v>
      </c>
    </row>
    <row r="551" spans="58:66" x14ac:dyDescent="0.25">
      <c r="BF551" s="1">
        <v>0</v>
      </c>
      <c r="BG551" t="str">
        <f>"0"</f>
        <v>0</v>
      </c>
      <c r="BH551" t="str">
        <f xml:space="preserve"> IF($BF$551 &gt;= $G$204, "1","0")</f>
        <v>0</v>
      </c>
      <c r="BI551">
        <f xml:space="preserve"> IF( AND( $BG$551 = "1", $BH$551 = "1" ), 1, IF( AND( $BG$551 = "1", $BH$551 = "0" ), 2, IF( AND( $BG$551 = "0", $BH$551 = "1" ), 3, 4 ) ) )</f>
        <v>4</v>
      </c>
      <c r="BK551" s="1">
        <v>0.79999999999999993</v>
      </c>
      <c r="BL551" t="str">
        <f>"1"</f>
        <v>1</v>
      </c>
      <c r="BM551" t="str">
        <f xml:space="preserve"> IF($BK$551 &gt;= $G$281, "1","0")</f>
        <v>1</v>
      </c>
      <c r="BN551">
        <f xml:space="preserve"> IF( AND( $BL$551 = "1", $BM$551 = "1" ), 1, IF( AND( $BL$551 = "1", $BM$551 = "0" ), 2, IF( AND( $BL$551 = "0", $BM$551 = "1" ), 3, 4 ) ) )</f>
        <v>1</v>
      </c>
    </row>
    <row r="552" spans="58:66" x14ac:dyDescent="0.25">
      <c r="BF552" s="1">
        <v>0</v>
      </c>
      <c r="BG552" t="str">
        <f>"0"</f>
        <v>0</v>
      </c>
      <c r="BH552" t="str">
        <f xml:space="preserve"> IF($BF$552 &gt;= $G$204, "1","0")</f>
        <v>0</v>
      </c>
      <c r="BI552">
        <f xml:space="preserve"> IF( AND( $BG$552 = "1", $BH$552 = "1" ), 1, IF( AND( $BG$552 = "1", $BH$552 = "0" ), 2, IF( AND( $BG$552 = "0", $BH$552 = "1" ), 3, 4 ) ) )</f>
        <v>4</v>
      </c>
      <c r="BK552" s="1">
        <v>2.5000000000000001E-3</v>
      </c>
      <c r="BL552" t="str">
        <f>"0"</f>
        <v>0</v>
      </c>
      <c r="BM552" t="str">
        <f xml:space="preserve"> IF($BK$552 &gt;= $G$281, "1","0")</f>
        <v>0</v>
      </c>
      <c r="BN552">
        <f xml:space="preserve"> IF( AND( $BL$552 = "1", $BM$552 = "1" ), 1, IF( AND( $BL$552 = "1", $BM$552 = "0" ), 2, IF( AND( $BL$552 = "0", $BM$552 = "1" ), 3, 4 ) ) )</f>
        <v>4</v>
      </c>
    </row>
    <row r="553" spans="58:66" x14ac:dyDescent="0.25">
      <c r="BF553" s="1">
        <v>0</v>
      </c>
      <c r="BG553" t="str">
        <f>"0"</f>
        <v>0</v>
      </c>
      <c r="BH553" t="str">
        <f xml:space="preserve"> IF($BF$553 &gt;= $G$204, "1","0")</f>
        <v>0</v>
      </c>
      <c r="BI553">
        <f xml:space="preserve"> IF( AND( $BG$553 = "1", $BH$553 = "1" ), 1, IF( AND( $BG$553 = "1", $BH$553 = "0" ), 2, IF( AND( $BG$553 = "0", $BH$553 = "1" ), 3, 4 ) ) )</f>
        <v>4</v>
      </c>
      <c r="BK553" s="1">
        <v>1.8947368421052633E-2</v>
      </c>
      <c r="BL553" t="str">
        <f>"0"</f>
        <v>0</v>
      </c>
      <c r="BM553" t="str">
        <f xml:space="preserve"> IF($BK$553 &gt;= $G$281, "1","0")</f>
        <v>0</v>
      </c>
      <c r="BN553">
        <f xml:space="preserve"> IF( AND( $BL$553 = "1", $BM$553 = "1" ), 1, IF( AND( $BL$553 = "1", $BM$553 = "0" ), 2, IF( AND( $BL$553 = "0", $BM$553 = "1" ), 3, 4 ) ) )</f>
        <v>4</v>
      </c>
    </row>
    <row r="554" spans="58:66" x14ac:dyDescent="0.25">
      <c r="BF554" s="1">
        <v>0</v>
      </c>
      <c r="BG554" t="str">
        <f>"0"</f>
        <v>0</v>
      </c>
      <c r="BH554" t="str">
        <f xml:space="preserve"> IF($BF$554 &gt;= $G$204, "1","0")</f>
        <v>0</v>
      </c>
      <c r="BI554">
        <f xml:space="preserve"> IF( AND( $BG$554 = "1", $BH$554 = "1" ), 1, IF( AND( $BG$554 = "1", $BH$554 = "0" ), 2, IF( AND( $BG$554 = "0", $BH$554 = "1" ), 3, 4 ) ) )</f>
        <v>4</v>
      </c>
      <c r="BK554" s="1">
        <v>1</v>
      </c>
      <c r="BL554" t="str">
        <f>"1"</f>
        <v>1</v>
      </c>
      <c r="BM554" t="str">
        <f xml:space="preserve"> IF($BK$554 &gt;= $G$281, "1","0")</f>
        <v>1</v>
      </c>
      <c r="BN554">
        <f xml:space="preserve"> IF( AND( $BL$554 = "1", $BM$554 = "1" ), 1, IF( AND( $BL$554 = "1", $BM$554 = "0" ), 2, IF( AND( $BL$554 = "0", $BM$554 = "1" ), 3, 4 ) ) )</f>
        <v>1</v>
      </c>
    </row>
    <row r="555" spans="58:66" x14ac:dyDescent="0.25">
      <c r="BF555" s="1">
        <v>0</v>
      </c>
      <c r="BG555" t="str">
        <f>"0"</f>
        <v>0</v>
      </c>
      <c r="BH555" t="str">
        <f xml:space="preserve"> IF($BF$555 &gt;= $G$204, "1","0")</f>
        <v>0</v>
      </c>
      <c r="BI555">
        <f xml:space="preserve"> IF( AND( $BG$555 = "1", $BH$555 = "1" ), 1, IF( AND( $BG$555 = "1", $BH$555 = "0" ), 2, IF( AND( $BG$555 = "0", $BH$555 = "1" ), 3, 4 ) ) )</f>
        <v>4</v>
      </c>
      <c r="BK555" s="1">
        <v>0.14285714285714285</v>
      </c>
      <c r="BL555" t="str">
        <f>"0"</f>
        <v>0</v>
      </c>
      <c r="BM555" t="str">
        <f xml:space="preserve"> IF($BK$555 &gt;= $G$281, "1","0")</f>
        <v>0</v>
      </c>
      <c r="BN555">
        <f xml:space="preserve"> IF( AND( $BL$555 = "1", $BM$555 = "1" ), 1, IF( AND( $BL$555 = "1", $BM$555 = "0" ), 2, IF( AND( $BL$555 = "0", $BM$555 = "1" ), 3, 4 ) ) )</f>
        <v>4</v>
      </c>
    </row>
    <row r="556" spans="58:66" x14ac:dyDescent="0.25">
      <c r="BF556" s="1">
        <v>0</v>
      </c>
      <c r="BG556" t="str">
        <f>"0"</f>
        <v>0</v>
      </c>
      <c r="BH556" t="str">
        <f xml:space="preserve"> IF($BF$556 &gt;= $G$204, "1","0")</f>
        <v>0</v>
      </c>
      <c r="BI556">
        <f xml:space="preserve"> IF( AND( $BG$556 = "1", $BH$556 = "1" ), 1, IF( AND( $BG$556 = "1", $BH$556 = "0" ), 2, IF( AND( $BG$556 = "0", $BH$556 = "1" ), 3, 4 ) ) )</f>
        <v>4</v>
      </c>
      <c r="BK556" s="1">
        <v>0</v>
      </c>
      <c r="BL556" t="str">
        <f>"0"</f>
        <v>0</v>
      </c>
      <c r="BM556" t="str">
        <f xml:space="preserve"> IF($BK$556 &gt;= $G$281, "1","0")</f>
        <v>0</v>
      </c>
      <c r="BN556">
        <f xml:space="preserve"> IF( AND( $BL$556 = "1", $BM$556 = "1" ), 1, IF( AND( $BL$556 = "1", $BM$556 = "0" ), 2, IF( AND( $BL$556 = "0", $BM$556 = "1" ), 3, 4 ) ) )</f>
        <v>4</v>
      </c>
    </row>
    <row r="557" spans="58:66" x14ac:dyDescent="0.25">
      <c r="BF557" s="1">
        <v>0</v>
      </c>
      <c r="BG557" t="str">
        <f>"0"</f>
        <v>0</v>
      </c>
      <c r="BH557" t="str">
        <f xml:space="preserve"> IF($BF$557 &gt;= $G$204, "1","0")</f>
        <v>0</v>
      </c>
      <c r="BI557">
        <f xml:space="preserve"> IF( AND( $BG$557 = "1", $BH$557 = "1" ), 1, IF( AND( $BG$557 = "1", $BH$557 = "0" ), 2, IF( AND( $BG$557 = "0", $BH$557 = "1" ), 3, 4 ) ) )</f>
        <v>4</v>
      </c>
      <c r="BK557" s="1">
        <v>1.8947368421052633E-2</v>
      </c>
      <c r="BL557" t="str">
        <f>"0"</f>
        <v>0</v>
      </c>
      <c r="BM557" t="str">
        <f xml:space="preserve"> IF($BK$557 &gt;= $G$281, "1","0")</f>
        <v>0</v>
      </c>
      <c r="BN557">
        <f xml:space="preserve"> IF( AND( $BL$557 = "1", $BM$557 = "1" ), 1, IF( AND( $BL$557 = "1", $BM$557 = "0" ), 2, IF( AND( $BL$557 = "0", $BM$557 = "1" ), 3, 4 ) ) )</f>
        <v>4</v>
      </c>
    </row>
    <row r="558" spans="58:66" x14ac:dyDescent="0.25">
      <c r="BF558" s="1">
        <v>0</v>
      </c>
      <c r="BG558" t="str">
        <f>"0"</f>
        <v>0</v>
      </c>
      <c r="BH558" t="str">
        <f xml:space="preserve"> IF($BF$558 &gt;= $G$204, "1","0")</f>
        <v>0</v>
      </c>
      <c r="BI558">
        <f xml:space="preserve"> IF( AND( $BG$558 = "1", $BH$558 = "1" ), 1, IF( AND( $BG$558 = "1", $BH$558 = "0" ), 2, IF( AND( $BG$558 = "0", $BH$558 = "1" ), 3, 4 ) ) )</f>
        <v>4</v>
      </c>
      <c r="BK558" s="1">
        <v>0.9</v>
      </c>
      <c r="BL558" t="str">
        <f>"1"</f>
        <v>1</v>
      </c>
      <c r="BM558" t="str">
        <f xml:space="preserve"> IF($BK$558 &gt;= $G$281, "1","0")</f>
        <v>1</v>
      </c>
      <c r="BN558">
        <f xml:space="preserve"> IF( AND( $BL$558 = "1", $BM$558 = "1" ), 1, IF( AND( $BL$558 = "1", $BM$558 = "0" ), 2, IF( AND( $BL$558 = "0", $BM$558 = "1" ), 3, 4 ) ) )</f>
        <v>1</v>
      </c>
    </row>
    <row r="559" spans="58:66" x14ac:dyDescent="0.25">
      <c r="BF559" s="1">
        <v>0</v>
      </c>
      <c r="BG559" t="str">
        <f>"0"</f>
        <v>0</v>
      </c>
      <c r="BH559" t="str">
        <f xml:space="preserve"> IF($BF$559 &gt;= $G$204, "1","0")</f>
        <v>0</v>
      </c>
      <c r="BI559">
        <f xml:space="preserve"> IF( AND( $BG$559 = "1", $BH$559 = "1" ), 1, IF( AND( $BG$559 = "1", $BH$559 = "0" ), 2, IF( AND( $BG$559 = "0", $BH$559 = "1" ), 3, 4 ) ) )</f>
        <v>4</v>
      </c>
      <c r="BK559" s="1">
        <v>1.8947368421052633E-2</v>
      </c>
      <c r="BL559" t="str">
        <f>"0"</f>
        <v>0</v>
      </c>
      <c r="BM559" t="str">
        <f xml:space="preserve"> IF($BK$559 &gt;= $G$281, "1","0")</f>
        <v>0</v>
      </c>
      <c r="BN559">
        <f xml:space="preserve"> IF( AND( $BL$559 = "1", $BM$559 = "1" ), 1, IF( AND( $BL$559 = "1", $BM$559 = "0" ), 2, IF( AND( $BL$559 = "0", $BM$559 = "1" ), 3, 4 ) ) )</f>
        <v>4</v>
      </c>
    </row>
    <row r="560" spans="58:66" x14ac:dyDescent="0.25">
      <c r="BF560" s="1">
        <v>0</v>
      </c>
      <c r="BG560" t="str">
        <f>"0"</f>
        <v>0</v>
      </c>
      <c r="BH560" t="str">
        <f xml:space="preserve"> IF($BF$560 &gt;= $G$204, "1","0")</f>
        <v>0</v>
      </c>
      <c r="BI560">
        <f xml:space="preserve"> IF( AND( $BG$560 = "1", $BH$560 = "1" ), 1, IF( AND( $BG$560 = "1", $BH$560 = "0" ), 2, IF( AND( $BG$560 = "0", $BH$560 = "1" ), 3, 4 ) ) )</f>
        <v>4</v>
      </c>
      <c r="BK560" s="1">
        <v>1</v>
      </c>
      <c r="BL560" t="str">
        <f>"1"</f>
        <v>1</v>
      </c>
      <c r="BM560" t="str">
        <f xml:space="preserve"> IF($BK$560 &gt;= $G$281, "1","0")</f>
        <v>1</v>
      </c>
      <c r="BN560">
        <f xml:space="preserve"> IF( AND( $BL$560 = "1", $BM$560 = "1" ), 1, IF( AND( $BL$560 = "1", $BM$560 = "0" ), 2, IF( AND( $BL$560 = "0", $BM$560 = "1" ), 3, 4 ) ) )</f>
        <v>1</v>
      </c>
    </row>
    <row r="561" spans="58:66" x14ac:dyDescent="0.25">
      <c r="BF561" s="1">
        <v>0</v>
      </c>
      <c r="BG561" t="str">
        <f>"0"</f>
        <v>0</v>
      </c>
      <c r="BH561" t="str">
        <f xml:space="preserve"> IF($BF$561 &gt;= $G$204, "1","0")</f>
        <v>0</v>
      </c>
      <c r="BI561">
        <f xml:space="preserve"> IF( AND( $BG$561 = "1", $BH$561 = "1" ), 1, IF( AND( $BG$561 = "1", $BH$561 = "0" ), 2, IF( AND( $BG$561 = "0", $BH$561 = "1" ), 3, 4 ) ) )</f>
        <v>4</v>
      </c>
      <c r="BK561" s="1">
        <v>0.79999999999999993</v>
      </c>
      <c r="BL561" t="str">
        <f>"1"</f>
        <v>1</v>
      </c>
      <c r="BM561" t="str">
        <f xml:space="preserve"> IF($BK$561 &gt;= $G$281, "1","0")</f>
        <v>1</v>
      </c>
      <c r="BN561">
        <f xml:space="preserve"> IF( AND( $BL$561 = "1", $BM$561 = "1" ), 1, IF( AND( $BL$561 = "1", $BM$561 = "0" ), 2, IF( AND( $BL$561 = "0", $BM$561 = "1" ), 3, 4 ) ) )</f>
        <v>1</v>
      </c>
    </row>
    <row r="562" spans="58:66" x14ac:dyDescent="0.25">
      <c r="BF562" s="1">
        <v>0</v>
      </c>
      <c r="BG562" t="str">
        <f>"0"</f>
        <v>0</v>
      </c>
      <c r="BH562" t="str">
        <f xml:space="preserve"> IF($BF$562 &gt;= $G$204, "1","0")</f>
        <v>0</v>
      </c>
      <c r="BI562">
        <f xml:space="preserve"> IF( AND( $BG$562 = "1", $BH$562 = "1" ), 1, IF( AND( $BG$562 = "1", $BH$562 = "0" ), 2, IF( AND( $BG$562 = "0", $BH$562 = "1" ), 3, 4 ) ) )</f>
        <v>4</v>
      </c>
      <c r="BK562" s="1">
        <v>1</v>
      </c>
      <c r="BL562" t="str">
        <f>"1"</f>
        <v>1</v>
      </c>
      <c r="BM562" t="str">
        <f xml:space="preserve"> IF($BK$562 &gt;= $G$281, "1","0")</f>
        <v>1</v>
      </c>
      <c r="BN562">
        <f xml:space="preserve"> IF( AND( $BL$562 = "1", $BM$562 = "1" ), 1, IF( AND( $BL$562 = "1", $BM$562 = "0" ), 2, IF( AND( $BL$562 = "0", $BM$562 = "1" ), 3, 4 ) ) )</f>
        <v>1</v>
      </c>
    </row>
    <row r="563" spans="58:66" x14ac:dyDescent="0.25">
      <c r="BF563" s="1">
        <v>0</v>
      </c>
      <c r="BG563" t="str">
        <f>"0"</f>
        <v>0</v>
      </c>
      <c r="BH563" t="str">
        <f xml:space="preserve"> IF($BF$563 &gt;= $G$204, "1","0")</f>
        <v>0</v>
      </c>
      <c r="BI563">
        <f xml:space="preserve"> IF( AND( $BG$563 = "1", $BH$563 = "1" ), 1, IF( AND( $BG$563 = "1", $BH$563 = "0" ), 2, IF( AND( $BG$563 = "0", $BH$563 = "1" ), 3, 4 ) ) )</f>
        <v>4</v>
      </c>
      <c r="BK563" s="1">
        <v>1.8947368421052633E-2</v>
      </c>
      <c r="BL563" t="str">
        <f>"0"</f>
        <v>0</v>
      </c>
      <c r="BM563" t="str">
        <f xml:space="preserve"> IF($BK$563 &gt;= $G$281, "1","0")</f>
        <v>0</v>
      </c>
      <c r="BN563">
        <f xml:space="preserve"> IF( AND( $BL$563 = "1", $BM$563 = "1" ), 1, IF( AND( $BL$563 = "1", $BM$563 = "0" ), 2, IF( AND( $BL$563 = "0", $BM$563 = "1" ), 3, 4 ) ) )</f>
        <v>4</v>
      </c>
    </row>
    <row r="564" spans="58:66" x14ac:dyDescent="0.25">
      <c r="BF564" s="1">
        <v>0</v>
      </c>
      <c r="BG564" t="str">
        <f>"0"</f>
        <v>0</v>
      </c>
      <c r="BH564" t="str">
        <f xml:space="preserve"> IF($BF$564 &gt;= $G$204, "1","0")</f>
        <v>0</v>
      </c>
      <c r="BI564">
        <f xml:space="preserve"> IF( AND( $BG$564 = "1", $BH$564 = "1" ), 1, IF( AND( $BG$564 = "1", $BH$564 = "0" ), 2, IF( AND( $BG$564 = "0", $BH$564 = "1" ), 3, 4 ) ) )</f>
        <v>4</v>
      </c>
      <c r="BK564" s="1">
        <v>1.8947368421052633E-2</v>
      </c>
      <c r="BL564" t="str">
        <f>"0"</f>
        <v>0</v>
      </c>
      <c r="BM564" t="str">
        <f xml:space="preserve"> IF($BK$564 &gt;= $G$281, "1","0")</f>
        <v>0</v>
      </c>
      <c r="BN564">
        <f xml:space="preserve"> IF( AND( $BL$564 = "1", $BM$564 = "1" ), 1, IF( AND( $BL$564 = "1", $BM$564 = "0" ), 2, IF( AND( $BL$564 = "0", $BM$564 = "1" ), 3, 4 ) ) )</f>
        <v>4</v>
      </c>
    </row>
    <row r="565" spans="58:66" x14ac:dyDescent="0.25">
      <c r="BF565" s="1">
        <v>0</v>
      </c>
      <c r="BG565" t="str">
        <f>"0"</f>
        <v>0</v>
      </c>
      <c r="BH565" t="str">
        <f xml:space="preserve"> IF($BF$565 &gt;= $G$204, "1","0")</f>
        <v>0</v>
      </c>
      <c r="BI565">
        <f xml:space="preserve"> IF( AND( $BG$565 = "1", $BH$565 = "1" ), 1, IF( AND( $BG$565 = "1", $BH$565 = "0" ), 2, IF( AND( $BG$565 = "0", $BH$565 = "1" ), 3, 4 ) ) )</f>
        <v>4</v>
      </c>
      <c r="BK565" s="1">
        <v>2.5000000000000001E-3</v>
      </c>
      <c r="BL565" t="str">
        <f>"0"</f>
        <v>0</v>
      </c>
      <c r="BM565" t="str">
        <f xml:space="preserve"> IF($BK$565 &gt;= $G$281, "1","0")</f>
        <v>0</v>
      </c>
      <c r="BN565">
        <f xml:space="preserve"> IF( AND( $BL$565 = "1", $BM$565 = "1" ), 1, IF( AND( $BL$565 = "1", $BM$565 = "0" ), 2, IF( AND( $BL$565 = "0", $BM$565 = "1" ), 3, 4 ) ) )</f>
        <v>4</v>
      </c>
    </row>
    <row r="566" spans="58:66" x14ac:dyDescent="0.25">
      <c r="BF566" s="1">
        <v>0</v>
      </c>
      <c r="BG566" t="str">
        <f>"0"</f>
        <v>0</v>
      </c>
      <c r="BH566" t="str">
        <f xml:space="preserve"> IF($BF$566 &gt;= $G$204, "1","0")</f>
        <v>0</v>
      </c>
      <c r="BI566">
        <f xml:space="preserve"> IF( AND( $BG$566 = "1", $BH$566 = "1" ), 1, IF( AND( $BG$566 = "1", $BH$566 = "0" ), 2, IF( AND( $BG$566 = "0", $BH$566 = "1" ), 3, 4 ) ) )</f>
        <v>4</v>
      </c>
      <c r="BK566" s="1">
        <v>0</v>
      </c>
      <c r="BL566" t="str">
        <f>"0"</f>
        <v>0</v>
      </c>
      <c r="BM566" t="str">
        <f xml:space="preserve"> IF($BK$566 &gt;= $G$281, "1","0")</f>
        <v>0</v>
      </c>
      <c r="BN566">
        <f xml:space="preserve"> IF( AND( $BL$566 = "1", $BM$566 = "1" ), 1, IF( AND( $BL$566 = "1", $BM$566 = "0" ), 2, IF( AND( $BL$566 = "0", $BM$566 = "1" ), 3, 4 ) ) )</f>
        <v>4</v>
      </c>
    </row>
    <row r="567" spans="58:66" x14ac:dyDescent="0.25">
      <c r="BF567" s="1">
        <v>0.72727272727272729</v>
      </c>
      <c r="BG567" t="str">
        <f>"0"</f>
        <v>0</v>
      </c>
      <c r="BH567" t="str">
        <f xml:space="preserve"> IF($BF$567 &gt;= $G$204, "1","0")</f>
        <v>1</v>
      </c>
      <c r="BI567">
        <f xml:space="preserve"> IF( AND( $BG$567 = "1", $BH$567 = "1" ), 1, IF( AND( $BG$567 = "1", $BH$567 = "0" ), 2, IF( AND( $BG$567 = "0", $BH$567 = "1" ), 3, 4 ) ) )</f>
        <v>3</v>
      </c>
      <c r="BK567" s="1">
        <v>1.8947368421052633E-2</v>
      </c>
      <c r="BL567" t="str">
        <f>"1"</f>
        <v>1</v>
      </c>
      <c r="BM567" t="str">
        <f xml:space="preserve"> IF($BK$567 &gt;= $G$281, "1","0")</f>
        <v>0</v>
      </c>
      <c r="BN567">
        <f xml:space="preserve"> IF( AND( $BL$567 = "1", $BM$567 = "1" ), 1, IF( AND( $BL$567 = "1", $BM$567 = "0" ), 2, IF( AND( $BL$567 = "0", $BM$567 = "1" ), 3, 4 ) ) )</f>
        <v>2</v>
      </c>
    </row>
    <row r="568" spans="58:66" x14ac:dyDescent="0.25">
      <c r="BF568" s="1">
        <v>0</v>
      </c>
      <c r="BG568" t="str">
        <f>"0"</f>
        <v>0</v>
      </c>
      <c r="BH568" t="str">
        <f xml:space="preserve"> IF($BF$568 &gt;= $G$204, "1","0")</f>
        <v>0</v>
      </c>
      <c r="BI568">
        <f xml:space="preserve"> IF( AND( $BG$568 = "1", $BH$568 = "1" ), 1, IF( AND( $BG$568 = "1", $BH$568 = "0" ), 2, IF( AND( $BG$568 = "0", $BH$568 = "1" ), 3, 4 ) ) )</f>
        <v>4</v>
      </c>
      <c r="BK568" s="1">
        <v>1.8947368421052633E-2</v>
      </c>
      <c r="BL568" t="str">
        <f>"0"</f>
        <v>0</v>
      </c>
      <c r="BM568" t="str">
        <f xml:space="preserve"> IF($BK$568 &gt;= $G$281, "1","0")</f>
        <v>0</v>
      </c>
      <c r="BN568">
        <f xml:space="preserve"> IF( AND( $BL$568 = "1", $BM$568 = "1" ), 1, IF( AND( $BL$568 = "1", $BM$568 = "0" ), 2, IF( AND( $BL$568 = "0", $BM$568 = "1" ), 3, 4 ) ) )</f>
        <v>4</v>
      </c>
    </row>
    <row r="569" spans="58:66" x14ac:dyDescent="0.25">
      <c r="BF569" s="1">
        <v>0</v>
      </c>
      <c r="BG569" t="str">
        <f>"0"</f>
        <v>0</v>
      </c>
      <c r="BH569" t="str">
        <f xml:space="preserve"> IF($BF$569 &gt;= $G$204, "1","0")</f>
        <v>0</v>
      </c>
      <c r="BI569">
        <f xml:space="preserve"> IF( AND( $BG$569 = "1", $BH$569 = "1" ), 1, IF( AND( $BG$569 = "1", $BH$569 = "0" ), 2, IF( AND( $BG$569 = "0", $BH$569 = "1" ), 3, 4 ) ) )</f>
        <v>4</v>
      </c>
      <c r="BK569" s="1">
        <v>0.37500000000000006</v>
      </c>
      <c r="BL569" t="str">
        <f>"1"</f>
        <v>1</v>
      </c>
      <c r="BM569" t="str">
        <f xml:space="preserve"> IF($BK$569 &gt;= $G$281, "1","0")</f>
        <v>1</v>
      </c>
      <c r="BN569">
        <f xml:space="preserve"> IF( AND( $BL$569 = "1", $BM$569 = "1" ), 1, IF( AND( $BL$569 = "1", $BM$569 = "0" ), 2, IF( AND( $BL$569 = "0", $BM$569 = "1" ), 3, 4 ) ) )</f>
        <v>1</v>
      </c>
    </row>
    <row r="570" spans="58:66" x14ac:dyDescent="0.25">
      <c r="BF570" s="1">
        <v>0</v>
      </c>
      <c r="BG570" t="str">
        <f>"0"</f>
        <v>0</v>
      </c>
      <c r="BH570" t="str">
        <f xml:space="preserve"> IF($BF$570 &gt;= $G$204, "1","0")</f>
        <v>0</v>
      </c>
      <c r="BI570">
        <f xml:space="preserve"> IF( AND( $BG$570 = "1", $BH$570 = "1" ), 1, IF( AND( $BG$570 = "1", $BH$570 = "0" ), 2, IF( AND( $BG$570 = "0", $BH$570 = "1" ), 3, 4 ) ) )</f>
        <v>4</v>
      </c>
      <c r="BK570" s="1">
        <v>2.5000000000000001E-3</v>
      </c>
      <c r="BL570" t="str">
        <f>"0"</f>
        <v>0</v>
      </c>
      <c r="BM570" t="str">
        <f xml:space="preserve"> IF($BK$570 &gt;= $G$281, "1","0")</f>
        <v>0</v>
      </c>
      <c r="BN570">
        <f xml:space="preserve"> IF( AND( $BL$570 = "1", $BM$570 = "1" ), 1, IF( AND( $BL$570 = "1", $BM$570 = "0" ), 2, IF( AND( $BL$570 = "0", $BM$570 = "1" ), 3, 4 ) ) )</f>
        <v>4</v>
      </c>
    </row>
    <row r="571" spans="58:66" x14ac:dyDescent="0.25">
      <c r="BF571" s="1">
        <v>0</v>
      </c>
      <c r="BG571" t="str">
        <f>"0"</f>
        <v>0</v>
      </c>
      <c r="BH571" t="str">
        <f xml:space="preserve"> IF($BF$571 &gt;= $G$204, "1","0")</f>
        <v>0</v>
      </c>
      <c r="BI571">
        <f xml:space="preserve"> IF( AND( $BG$571 = "1", $BH$571 = "1" ), 1, IF( AND( $BG$571 = "1", $BH$571 = "0" ), 2, IF( AND( $BG$571 = "0", $BH$571 = "1" ), 3, 4 ) ) )</f>
        <v>4</v>
      </c>
      <c r="BK571" s="1">
        <v>0</v>
      </c>
      <c r="BL571" t="str">
        <f>"0"</f>
        <v>0</v>
      </c>
      <c r="BM571" t="str">
        <f xml:space="preserve"> IF($BK$571 &gt;= $G$281, "1","0")</f>
        <v>0</v>
      </c>
      <c r="BN571">
        <f xml:space="preserve"> IF( AND( $BL$571 = "1", $BM$571 = "1" ), 1, IF( AND( $BL$571 = "1", $BM$571 = "0" ), 2, IF( AND( $BL$571 = "0", $BM$571 = "1" ), 3, 4 ) ) )</f>
        <v>4</v>
      </c>
    </row>
    <row r="572" spans="58:66" x14ac:dyDescent="0.25">
      <c r="BF572" s="1">
        <v>0</v>
      </c>
      <c r="BG572" t="str">
        <f>"0"</f>
        <v>0</v>
      </c>
      <c r="BH572" t="str">
        <f xml:space="preserve"> IF($BF$572 &gt;= $G$204, "1","0")</f>
        <v>0</v>
      </c>
      <c r="BI572">
        <f xml:space="preserve"> IF( AND( $BG$572 = "1", $BH$572 = "1" ), 1, IF( AND( $BG$572 = "1", $BH$572 = "0" ), 2, IF( AND( $BG$572 = "0", $BH$572 = "1" ), 3, 4 ) ) )</f>
        <v>4</v>
      </c>
      <c r="BK572" s="1">
        <v>1</v>
      </c>
      <c r="BL572" t="str">
        <f>"1"</f>
        <v>1</v>
      </c>
      <c r="BM572" t="str">
        <f xml:space="preserve"> IF($BK$572 &gt;= $G$281, "1","0")</f>
        <v>1</v>
      </c>
      <c r="BN572">
        <f xml:space="preserve"> IF( AND( $BL$572 = "1", $BM$572 = "1" ), 1, IF( AND( $BL$572 = "1", $BM$572 = "0" ), 2, IF( AND( $BL$572 = "0", $BM$572 = "1" ), 3, 4 ) ) )</f>
        <v>1</v>
      </c>
    </row>
    <row r="573" spans="58:66" x14ac:dyDescent="0.25">
      <c r="BF573" s="1">
        <v>0</v>
      </c>
      <c r="BG573" t="str">
        <f>"0"</f>
        <v>0</v>
      </c>
      <c r="BH573" t="str">
        <f xml:space="preserve"> IF($BF$573 &gt;= $G$204, "1","0")</f>
        <v>0</v>
      </c>
      <c r="BI573">
        <f xml:space="preserve"> IF( AND( $BG$573 = "1", $BH$573 = "1" ), 1, IF( AND( $BG$573 = "1", $BH$573 = "0" ), 2, IF( AND( $BG$573 = "0", $BH$573 = "1" ), 3, 4 ) ) )</f>
        <v>4</v>
      </c>
      <c r="BK573" s="1">
        <v>2.5000000000000001E-3</v>
      </c>
      <c r="BL573" t="str">
        <f>"0"</f>
        <v>0</v>
      </c>
      <c r="BM573" t="str">
        <f xml:space="preserve"> IF($BK$573 &gt;= $G$281, "1","0")</f>
        <v>0</v>
      </c>
      <c r="BN573">
        <f xml:space="preserve"> IF( AND( $BL$573 = "1", $BM$573 = "1" ), 1, IF( AND( $BL$573 = "1", $BM$573 = "0" ), 2, IF( AND( $BL$573 = "0", $BM$573 = "1" ), 3, 4 ) ) )</f>
        <v>4</v>
      </c>
    </row>
    <row r="574" spans="58:66" x14ac:dyDescent="0.25">
      <c r="BF574" s="1">
        <v>0</v>
      </c>
      <c r="BG574" t="str">
        <f>"0"</f>
        <v>0</v>
      </c>
      <c r="BH574" t="str">
        <f xml:space="preserve"> IF($BF$574 &gt;= $G$204, "1","0")</f>
        <v>0</v>
      </c>
      <c r="BI574">
        <f xml:space="preserve"> IF( AND( $BG$574 = "1", $BH$574 = "1" ), 1, IF( AND( $BG$574 = "1", $BH$574 = "0" ), 2, IF( AND( $BG$574 = "0", $BH$574 = "1" ), 3, 4 ) ) )</f>
        <v>4</v>
      </c>
      <c r="BK574" s="1">
        <v>2.5000000000000001E-3</v>
      </c>
      <c r="BL574" t="str">
        <f>"0"</f>
        <v>0</v>
      </c>
      <c r="BM574" t="str">
        <f xml:space="preserve"> IF($BK$574 &gt;= $G$281, "1","0")</f>
        <v>0</v>
      </c>
      <c r="BN574">
        <f xml:space="preserve"> IF( AND( $BL$574 = "1", $BM$574 = "1" ), 1, IF( AND( $BL$574 = "1", $BM$574 = "0" ), 2, IF( AND( $BL$574 = "0", $BM$574 = "1" ), 3, 4 ) ) )</f>
        <v>4</v>
      </c>
    </row>
    <row r="575" spans="58:66" x14ac:dyDescent="0.25">
      <c r="BF575" s="1">
        <v>0</v>
      </c>
      <c r="BG575" t="str">
        <f>"0"</f>
        <v>0</v>
      </c>
      <c r="BH575" t="str">
        <f xml:space="preserve"> IF($BF$575 &gt;= $G$204, "1","0")</f>
        <v>0</v>
      </c>
      <c r="BI575">
        <f xml:space="preserve"> IF( AND( $BG$575 = "1", $BH$575 = "1" ), 1, IF( AND( $BG$575 = "1", $BH$575 = "0" ), 2, IF( AND( $BG$575 = "0", $BH$575 = "1" ), 3, 4 ) ) )</f>
        <v>4</v>
      </c>
      <c r="BK575" s="1">
        <v>0</v>
      </c>
      <c r="BL575" t="str">
        <f>"0"</f>
        <v>0</v>
      </c>
      <c r="BM575" t="str">
        <f xml:space="preserve"> IF($BK$575 &gt;= $G$281, "1","0")</f>
        <v>0</v>
      </c>
      <c r="BN575">
        <f xml:space="preserve"> IF( AND( $BL$575 = "1", $BM$575 = "1" ), 1, IF( AND( $BL$575 = "1", $BM$575 = "0" ), 2, IF( AND( $BL$575 = "0", $BM$575 = "1" ), 3, 4 ) ) )</f>
        <v>4</v>
      </c>
    </row>
    <row r="576" spans="58:66" x14ac:dyDescent="0.25">
      <c r="BF576" s="1">
        <v>0</v>
      </c>
      <c r="BG576" t="str">
        <f>"0"</f>
        <v>0</v>
      </c>
      <c r="BH576" t="str">
        <f xml:space="preserve"> IF($BF$576 &gt;= $G$204, "1","0")</f>
        <v>0</v>
      </c>
      <c r="BI576">
        <f xml:space="preserve"> IF( AND( $BG$576 = "1", $BH$576 = "1" ), 1, IF( AND( $BG$576 = "1", $BH$576 = "0" ), 2, IF( AND( $BG$576 = "0", $BH$576 = "1" ), 3, 4 ) ) )</f>
        <v>4</v>
      </c>
      <c r="BK576" s="1">
        <v>2.5000000000000001E-3</v>
      </c>
      <c r="BL576" t="str">
        <f>"0"</f>
        <v>0</v>
      </c>
      <c r="BM576" t="str">
        <f xml:space="preserve"> IF($BK$576 &gt;= $G$281, "1","0")</f>
        <v>0</v>
      </c>
      <c r="BN576">
        <f xml:space="preserve"> IF( AND( $BL$576 = "1", $BM$576 = "1" ), 1, IF( AND( $BL$576 = "1", $BM$576 = "0" ), 2, IF( AND( $BL$576 = "0", $BM$576 = "1" ), 3, 4 ) ) )</f>
        <v>4</v>
      </c>
    </row>
    <row r="577" spans="58:66" x14ac:dyDescent="0.25">
      <c r="BF577" s="1">
        <v>0</v>
      </c>
      <c r="BG577" t="str">
        <f>"0"</f>
        <v>0</v>
      </c>
      <c r="BH577" t="str">
        <f xml:space="preserve"> IF($BF$577 &gt;= $G$204, "1","0")</f>
        <v>0</v>
      </c>
      <c r="BI577">
        <f xml:space="preserve"> IF( AND( $BG$577 = "1", $BH$577 = "1" ), 1, IF( AND( $BG$577 = "1", $BH$577 = "0" ), 2, IF( AND( $BG$577 = "0", $BH$577 = "1" ), 3, 4 ) ) )</f>
        <v>4</v>
      </c>
      <c r="BK577" s="1">
        <v>2.5000000000000001E-3</v>
      </c>
      <c r="BL577" t="str">
        <f>"0"</f>
        <v>0</v>
      </c>
      <c r="BM577" t="str">
        <f xml:space="preserve"> IF($BK$577 &gt;= $G$281, "1","0")</f>
        <v>0</v>
      </c>
      <c r="BN577">
        <f xml:space="preserve"> IF( AND( $BL$577 = "1", $BM$577 = "1" ), 1, IF( AND( $BL$577 = "1", $BM$577 = "0" ), 2, IF( AND( $BL$577 = "0", $BM$577 = "1" ), 3, 4 ) ) )</f>
        <v>4</v>
      </c>
    </row>
    <row r="578" spans="58:66" x14ac:dyDescent="0.25">
      <c r="BF578" s="1">
        <v>0</v>
      </c>
      <c r="BG578" t="str">
        <f>"0"</f>
        <v>0</v>
      </c>
      <c r="BH578" t="str">
        <f xml:space="preserve"> IF($BF$578 &gt;= $G$204, "1","0")</f>
        <v>0</v>
      </c>
      <c r="BI578">
        <f xml:space="preserve"> IF( AND( $BG$578 = "1", $BH$578 = "1" ), 1, IF( AND( $BG$578 = "1", $BH$578 = "0" ), 2, IF( AND( $BG$578 = "0", $BH$578 = "1" ), 3, 4 ) ) )</f>
        <v>4</v>
      </c>
      <c r="BK578" s="1">
        <v>2.5000000000000001E-3</v>
      </c>
      <c r="BL578" t="str">
        <f>"0"</f>
        <v>0</v>
      </c>
      <c r="BM578" t="str">
        <f xml:space="preserve"> IF($BK$578 &gt;= $G$281, "1","0")</f>
        <v>0</v>
      </c>
      <c r="BN578">
        <f xml:space="preserve"> IF( AND( $BL$578 = "1", $BM$578 = "1" ), 1, IF( AND( $BL$578 = "1", $BM$578 = "0" ), 2, IF( AND( $BL$578 = "0", $BM$578 = "1" ), 3, 4 ) ) )</f>
        <v>4</v>
      </c>
    </row>
    <row r="579" spans="58:66" x14ac:dyDescent="0.25">
      <c r="BF579" s="1">
        <v>0</v>
      </c>
      <c r="BG579" t="str">
        <f>"0"</f>
        <v>0</v>
      </c>
      <c r="BH579" t="str">
        <f xml:space="preserve"> IF($BF$579 &gt;= $G$204, "1","0")</f>
        <v>0</v>
      </c>
      <c r="BI579">
        <f xml:space="preserve"> IF( AND( $BG$579 = "1", $BH$579 = "1" ), 1, IF( AND( $BG$579 = "1", $BH$579 = "0" ), 2, IF( AND( $BG$579 = "0", $BH$579 = "1" ), 3, 4 ) ) )</f>
        <v>4</v>
      </c>
      <c r="BK579" s="1">
        <v>1.8947368421052633E-2</v>
      </c>
      <c r="BL579" t="str">
        <f>"0"</f>
        <v>0</v>
      </c>
      <c r="BM579" t="str">
        <f xml:space="preserve"> IF($BK$579 &gt;= $G$281, "1","0")</f>
        <v>0</v>
      </c>
      <c r="BN579">
        <f xml:space="preserve"> IF( AND( $BL$579 = "1", $BM$579 = "1" ), 1, IF( AND( $BL$579 = "1", $BM$579 = "0" ), 2, IF( AND( $BL$579 = "0", $BM$579 = "1" ), 3, 4 ) ) )</f>
        <v>4</v>
      </c>
    </row>
    <row r="580" spans="58:66" x14ac:dyDescent="0.25">
      <c r="BF580" s="1">
        <v>0</v>
      </c>
      <c r="BG580" t="str">
        <f>"0"</f>
        <v>0</v>
      </c>
      <c r="BH580" t="str">
        <f xml:space="preserve"> IF($BF$580 &gt;= $G$204, "1","0")</f>
        <v>0</v>
      </c>
      <c r="BI580">
        <f xml:space="preserve"> IF( AND( $BG$580 = "1", $BH$580 = "1" ), 1, IF( AND( $BG$580 = "1", $BH$580 = "0" ), 2, IF( AND( $BG$580 = "0", $BH$580 = "1" ), 3, 4 ) ) )</f>
        <v>4</v>
      </c>
      <c r="BK580" s="1">
        <v>2.5000000000000001E-3</v>
      </c>
      <c r="BL580" t="str">
        <f>"0"</f>
        <v>0</v>
      </c>
      <c r="BM580" t="str">
        <f xml:space="preserve"> IF($BK$580 &gt;= $G$281, "1","0")</f>
        <v>0</v>
      </c>
      <c r="BN580">
        <f xml:space="preserve"> IF( AND( $BL$580 = "1", $BM$580 = "1" ), 1, IF( AND( $BL$580 = "1", $BM$580 = "0" ), 2, IF( AND( $BL$580 = "0", $BM$580 = "1" ), 3, 4 ) ) )</f>
        <v>4</v>
      </c>
    </row>
    <row r="581" spans="58:66" x14ac:dyDescent="0.25">
      <c r="BF581" s="1">
        <v>0</v>
      </c>
      <c r="BG581" t="str">
        <f>"0"</f>
        <v>0</v>
      </c>
      <c r="BH581" t="str">
        <f xml:space="preserve"> IF($BF$581 &gt;= $G$204, "1","0")</f>
        <v>0</v>
      </c>
      <c r="BI581">
        <f xml:space="preserve"> IF( AND( $BG$581 = "1", $BH$581 = "1" ), 1, IF( AND( $BG$581 = "1", $BH$581 = "0" ), 2, IF( AND( $BG$581 = "0", $BH$581 = "1" ), 3, 4 ) ) )</f>
        <v>4</v>
      </c>
      <c r="BK581" s="1">
        <v>1.8947368421052633E-2</v>
      </c>
      <c r="BL581" t="str">
        <f>"0"</f>
        <v>0</v>
      </c>
      <c r="BM581" t="str">
        <f xml:space="preserve"> IF($BK$581 &gt;= $G$281, "1","0")</f>
        <v>0</v>
      </c>
      <c r="BN581">
        <f xml:space="preserve"> IF( AND( $BL$581 = "1", $BM$581 = "1" ), 1, IF( AND( $BL$581 = "1", $BM$581 = "0" ), 2, IF( AND( $BL$581 = "0", $BM$581 = "1" ), 3, 4 ) ) )</f>
        <v>4</v>
      </c>
    </row>
    <row r="582" spans="58:66" x14ac:dyDescent="0.25">
      <c r="BF582" s="1">
        <v>0</v>
      </c>
      <c r="BG582" t="str">
        <f>"0"</f>
        <v>0</v>
      </c>
      <c r="BH582" t="str">
        <f xml:space="preserve"> IF($BF$582 &gt;= $G$204, "1","0")</f>
        <v>0</v>
      </c>
      <c r="BI582">
        <f xml:space="preserve"> IF( AND( $BG$582 = "1", $BH$582 = "1" ), 1, IF( AND( $BG$582 = "1", $BH$582 = "0" ), 2, IF( AND( $BG$582 = "0", $BH$582 = "1" ), 3, 4 ) ) )</f>
        <v>4</v>
      </c>
      <c r="BK582" s="1">
        <v>1</v>
      </c>
      <c r="BL582" t="str">
        <f>"1"</f>
        <v>1</v>
      </c>
      <c r="BM582" t="str">
        <f xml:space="preserve"> IF($BK$582 &gt;= $G$281, "1","0")</f>
        <v>1</v>
      </c>
      <c r="BN582">
        <f xml:space="preserve"> IF( AND( $BL$582 = "1", $BM$582 = "1" ), 1, IF( AND( $BL$582 = "1", $BM$582 = "0" ), 2, IF( AND( $BL$582 = "0", $BM$582 = "1" ), 3, 4 ) ) )</f>
        <v>1</v>
      </c>
    </row>
    <row r="583" spans="58:66" x14ac:dyDescent="0.25">
      <c r="BF583" s="1">
        <v>0</v>
      </c>
      <c r="BG583" t="str">
        <f>"0"</f>
        <v>0</v>
      </c>
      <c r="BH583" t="str">
        <f xml:space="preserve"> IF($BF$583 &gt;= $G$204, "1","0")</f>
        <v>0</v>
      </c>
      <c r="BI583">
        <f xml:space="preserve"> IF( AND( $BG$583 = "1", $BH$583 = "1" ), 1, IF( AND( $BG$583 = "1", $BH$583 = "0" ), 2, IF( AND( $BG$583 = "0", $BH$583 = "1" ), 3, 4 ) ) )</f>
        <v>4</v>
      </c>
      <c r="BK583" s="1">
        <v>0.37500000000000006</v>
      </c>
      <c r="BL583" t="str">
        <f>"0"</f>
        <v>0</v>
      </c>
      <c r="BM583" t="str">
        <f xml:space="preserve"> IF($BK$583 &gt;= $G$281, "1","0")</f>
        <v>1</v>
      </c>
      <c r="BN583">
        <f xml:space="preserve"> IF( AND( $BL$583 = "1", $BM$583 = "1" ), 1, IF( AND( $BL$583 = "1", $BM$583 = "0" ), 2, IF( AND( $BL$583 = "0", $BM$583 = "1" ), 3, 4 ) ) )</f>
        <v>3</v>
      </c>
    </row>
    <row r="584" spans="58:66" x14ac:dyDescent="0.25">
      <c r="BF584" s="1">
        <v>0</v>
      </c>
      <c r="BG584" t="str">
        <f>"0"</f>
        <v>0</v>
      </c>
      <c r="BH584" t="str">
        <f xml:space="preserve"> IF($BF$584 &gt;= $G$204, "1","0")</f>
        <v>0</v>
      </c>
      <c r="BI584">
        <f xml:space="preserve"> IF( AND( $BG$584 = "1", $BH$584 = "1" ), 1, IF( AND( $BG$584 = "1", $BH$584 = "0" ), 2, IF( AND( $BG$584 = "0", $BH$584 = "1" ), 3, 4 ) ) )</f>
        <v>4</v>
      </c>
      <c r="BK584" s="1">
        <v>1</v>
      </c>
      <c r="BL584" t="str">
        <f>"1"</f>
        <v>1</v>
      </c>
      <c r="BM584" t="str">
        <f xml:space="preserve"> IF($BK$584 &gt;= $G$281, "1","0")</f>
        <v>1</v>
      </c>
      <c r="BN584">
        <f xml:space="preserve"> IF( AND( $BL$584 = "1", $BM$584 = "1" ), 1, IF( AND( $BL$584 = "1", $BM$584 = "0" ), 2, IF( AND( $BL$584 = "0", $BM$584 = "1" ), 3, 4 ) ) )</f>
        <v>1</v>
      </c>
    </row>
    <row r="585" spans="58:66" x14ac:dyDescent="0.25">
      <c r="BF585" s="1">
        <v>0</v>
      </c>
      <c r="BG585" t="str">
        <f>"0"</f>
        <v>0</v>
      </c>
      <c r="BH585" t="str">
        <f xml:space="preserve"> IF($BF$585 &gt;= $G$204, "1","0")</f>
        <v>0</v>
      </c>
      <c r="BI585">
        <f xml:space="preserve"> IF( AND( $BG$585 = "1", $BH$585 = "1" ), 1, IF( AND( $BG$585 = "1", $BH$585 = "0" ), 2, IF( AND( $BG$585 = "0", $BH$585 = "1" ), 3, 4 ) ) )</f>
        <v>4</v>
      </c>
      <c r="BK585" s="1">
        <v>1</v>
      </c>
      <c r="BL585" t="str">
        <f>"1"</f>
        <v>1</v>
      </c>
      <c r="BM585" t="str">
        <f xml:space="preserve"> IF($BK$585 &gt;= $G$281, "1","0")</f>
        <v>1</v>
      </c>
      <c r="BN585">
        <f xml:space="preserve"> IF( AND( $BL$585 = "1", $BM$585 = "1" ), 1, IF( AND( $BL$585 = "1", $BM$585 = "0" ), 2, IF( AND( $BL$585 = "0", $BM$585 = "1" ), 3, 4 ) ) )</f>
        <v>1</v>
      </c>
    </row>
    <row r="586" spans="58:66" x14ac:dyDescent="0.25">
      <c r="BF586" s="1">
        <v>0</v>
      </c>
      <c r="BG586" t="str">
        <f>"0"</f>
        <v>0</v>
      </c>
      <c r="BH586" t="str">
        <f xml:space="preserve"> IF($BF$586 &gt;= $G$204, "1","0")</f>
        <v>0</v>
      </c>
      <c r="BI586">
        <f xml:space="preserve"> IF( AND( $BG$586 = "1", $BH$586 = "1" ), 1, IF( AND( $BG$586 = "1", $BH$586 = "0" ), 2, IF( AND( $BG$586 = "0", $BH$586 = "1" ), 3, 4 ) ) )</f>
        <v>4</v>
      </c>
      <c r="BK586" s="1">
        <v>1.8947368421052633E-2</v>
      </c>
      <c r="BL586" t="str">
        <f>"0"</f>
        <v>0</v>
      </c>
      <c r="BM586" t="str">
        <f xml:space="preserve"> IF($BK$586 &gt;= $G$281, "1","0")</f>
        <v>0</v>
      </c>
      <c r="BN586">
        <f xml:space="preserve"> IF( AND( $BL$586 = "1", $BM$586 = "1" ), 1, IF( AND( $BL$586 = "1", $BM$586 = "0" ), 2, IF( AND( $BL$586 = "0", $BM$586 = "1" ), 3, 4 ) ) )</f>
        <v>4</v>
      </c>
    </row>
    <row r="587" spans="58:66" x14ac:dyDescent="0.25">
      <c r="BF587" s="1">
        <v>0</v>
      </c>
      <c r="BG587" t="str">
        <f>"0"</f>
        <v>0</v>
      </c>
      <c r="BH587" t="str">
        <f xml:space="preserve"> IF($BF$587 &gt;= $G$204, "1","0")</f>
        <v>0</v>
      </c>
      <c r="BI587">
        <f xml:space="preserve"> IF( AND( $BG$587 = "1", $BH$587 = "1" ), 1, IF( AND( $BG$587 = "1", $BH$587 = "0" ), 2, IF( AND( $BG$587 = "0", $BH$587 = "1" ), 3, 4 ) ) )</f>
        <v>4</v>
      </c>
      <c r="BK587" s="1">
        <v>0.68181818181818188</v>
      </c>
      <c r="BL587" t="str">
        <f>"1"</f>
        <v>1</v>
      </c>
      <c r="BM587" t="str">
        <f xml:space="preserve"> IF($BK$587 &gt;= $G$281, "1","0")</f>
        <v>1</v>
      </c>
      <c r="BN587">
        <f xml:space="preserve"> IF( AND( $BL$587 = "1", $BM$587 = "1" ), 1, IF( AND( $BL$587 = "1", $BM$587 = "0" ), 2, IF( AND( $BL$587 = "0", $BM$587 = "1" ), 3, 4 ) ) )</f>
        <v>1</v>
      </c>
    </row>
    <row r="588" spans="58:66" x14ac:dyDescent="0.25">
      <c r="BF588" s="1">
        <v>0</v>
      </c>
      <c r="BG588" t="str">
        <f>"0"</f>
        <v>0</v>
      </c>
      <c r="BH588" t="str">
        <f xml:space="preserve"> IF($BF$588 &gt;= $G$204, "1","0")</f>
        <v>0</v>
      </c>
      <c r="BI588">
        <f xml:space="preserve"> IF( AND( $BG$588 = "1", $BH$588 = "1" ), 1, IF( AND( $BG$588 = "1", $BH$588 = "0" ), 2, IF( AND( $BG$588 = "0", $BH$588 = "1" ), 3, 4 ) ) )</f>
        <v>4</v>
      </c>
      <c r="BK588" s="1">
        <v>2.5000000000000001E-3</v>
      </c>
      <c r="BL588" t="str">
        <f>"0"</f>
        <v>0</v>
      </c>
      <c r="BM588" t="str">
        <f xml:space="preserve"> IF($BK$588 &gt;= $G$281, "1","0")</f>
        <v>0</v>
      </c>
      <c r="BN588">
        <f xml:space="preserve"> IF( AND( $BL$588 = "1", $BM$588 = "1" ), 1, IF( AND( $BL$588 = "1", $BM$588 = "0" ), 2, IF( AND( $BL$588 = "0", $BM$588 = "1" ), 3, 4 ) ) )</f>
        <v>4</v>
      </c>
    </row>
    <row r="589" spans="58:66" x14ac:dyDescent="0.25">
      <c r="BF589" s="1">
        <v>0</v>
      </c>
      <c r="BG589" t="str">
        <f>"0"</f>
        <v>0</v>
      </c>
      <c r="BH589" t="str">
        <f xml:space="preserve"> IF($BF$589 &gt;= $G$204, "1","0")</f>
        <v>0</v>
      </c>
      <c r="BI589">
        <f xml:space="preserve"> IF( AND( $BG$589 = "1", $BH$589 = "1" ), 1, IF( AND( $BG$589 = "1", $BH$589 = "0" ), 2, IF( AND( $BG$589 = "0", $BH$589 = "1" ), 3, 4 ) ) )</f>
        <v>4</v>
      </c>
      <c r="BK589" s="1">
        <v>2.5000000000000001E-3</v>
      </c>
      <c r="BL589" t="str">
        <f>"0"</f>
        <v>0</v>
      </c>
      <c r="BM589" t="str">
        <f xml:space="preserve"> IF($BK$589 &gt;= $G$281, "1","0")</f>
        <v>0</v>
      </c>
      <c r="BN589">
        <f xml:space="preserve"> IF( AND( $BL$589 = "1", $BM$589 = "1" ), 1, IF( AND( $BL$589 = "1", $BM$589 = "0" ), 2, IF( AND( $BL$589 = "0", $BM$589 = "1" ), 3, 4 ) ) )</f>
        <v>4</v>
      </c>
    </row>
    <row r="590" spans="58:66" x14ac:dyDescent="0.25">
      <c r="BF590" s="1">
        <v>0</v>
      </c>
      <c r="BG590" t="str">
        <f>"0"</f>
        <v>0</v>
      </c>
      <c r="BH590" t="str">
        <f xml:space="preserve"> IF($BF$590 &gt;= $G$204, "1","0")</f>
        <v>0</v>
      </c>
      <c r="BI590">
        <f xml:space="preserve"> IF( AND( $BG$590 = "1", $BH$590 = "1" ), 1, IF( AND( $BG$590 = "1", $BH$590 = "0" ), 2, IF( AND( $BG$590 = "0", $BH$590 = "1" ), 3, 4 ) ) )</f>
        <v>4</v>
      </c>
      <c r="BK590" s="1">
        <v>1.8947368421052633E-2</v>
      </c>
      <c r="BL590" t="str">
        <f>"0"</f>
        <v>0</v>
      </c>
      <c r="BM590" t="str">
        <f xml:space="preserve"> IF($BK$590 &gt;= $G$281, "1","0")</f>
        <v>0</v>
      </c>
      <c r="BN590">
        <f xml:space="preserve"> IF( AND( $BL$590 = "1", $BM$590 = "1" ), 1, IF( AND( $BL$590 = "1", $BM$590 = "0" ), 2, IF( AND( $BL$590 = "0", $BM$590 = "1" ), 3, 4 ) ) )</f>
        <v>4</v>
      </c>
    </row>
    <row r="591" spans="58:66" x14ac:dyDescent="0.25">
      <c r="BF591" s="1">
        <v>0</v>
      </c>
      <c r="BG591" t="str">
        <f>"0"</f>
        <v>0</v>
      </c>
      <c r="BH591" t="str">
        <f xml:space="preserve"> IF($BF$591 &gt;= $G$204, "1","0")</f>
        <v>0</v>
      </c>
      <c r="BI591">
        <f xml:space="preserve"> IF( AND( $BG$591 = "1", $BH$591 = "1" ), 1, IF( AND( $BG$591 = "1", $BH$591 = "0" ), 2, IF( AND( $BG$591 = "0", $BH$591 = "1" ), 3, 4 ) ) )</f>
        <v>4</v>
      </c>
      <c r="BK591" s="1">
        <v>2.5000000000000001E-3</v>
      </c>
      <c r="BL591" t="str">
        <f>"0"</f>
        <v>0</v>
      </c>
      <c r="BM591" t="str">
        <f xml:space="preserve"> IF($BK$591 &gt;= $G$281, "1","0")</f>
        <v>0</v>
      </c>
      <c r="BN591">
        <f xml:space="preserve"> IF( AND( $BL$591 = "1", $BM$591 = "1" ), 1, IF( AND( $BL$591 = "1", $BM$591 = "0" ), 2, IF( AND( $BL$591 = "0", $BM$591 = "1" ), 3, 4 ) ) )</f>
        <v>4</v>
      </c>
    </row>
    <row r="592" spans="58:66" x14ac:dyDescent="0.25">
      <c r="BF592" s="1">
        <v>0</v>
      </c>
      <c r="BG592" t="str">
        <f>"0"</f>
        <v>0</v>
      </c>
      <c r="BH592" t="str">
        <f xml:space="preserve"> IF($BF$592 &gt;= $G$204, "1","0")</f>
        <v>0</v>
      </c>
      <c r="BI592">
        <f xml:space="preserve"> IF( AND( $BG$592 = "1", $BH$592 = "1" ), 1, IF( AND( $BG$592 = "1", $BH$592 = "0" ), 2, IF( AND( $BG$592 = "0", $BH$592 = "1" ), 3, 4 ) ) )</f>
        <v>4</v>
      </c>
      <c r="BK592" s="1">
        <v>1.8947368421052633E-2</v>
      </c>
      <c r="BL592" t="str">
        <f>"0"</f>
        <v>0</v>
      </c>
      <c r="BM592" t="str">
        <f xml:space="preserve"> IF($BK$592 &gt;= $G$281, "1","0")</f>
        <v>0</v>
      </c>
      <c r="BN592">
        <f xml:space="preserve"> IF( AND( $BL$592 = "1", $BM$592 = "1" ), 1, IF( AND( $BL$592 = "1", $BM$592 = "0" ), 2, IF( AND( $BL$592 = "0", $BM$592 = "1" ), 3, 4 ) ) )</f>
        <v>4</v>
      </c>
    </row>
    <row r="593" spans="58:66" x14ac:dyDescent="0.25">
      <c r="BF593" s="1">
        <v>0</v>
      </c>
      <c r="BG593" t="str">
        <f>"0"</f>
        <v>0</v>
      </c>
      <c r="BH593" t="str">
        <f xml:space="preserve"> IF($BF$593 &gt;= $G$204, "1","0")</f>
        <v>0</v>
      </c>
      <c r="BI593">
        <f xml:space="preserve"> IF( AND( $BG$593 = "1", $BH$593 = "1" ), 1, IF( AND( $BG$593 = "1", $BH$593 = "0" ), 2, IF( AND( $BG$593 = "0", $BH$593 = "1" ), 3, 4 ) ) )</f>
        <v>4</v>
      </c>
      <c r="BK593" s="1">
        <v>1.8947368421052633E-2</v>
      </c>
      <c r="BL593" t="str">
        <f>"1"</f>
        <v>1</v>
      </c>
      <c r="BM593" t="str">
        <f xml:space="preserve"> IF($BK$593 &gt;= $G$281, "1","0")</f>
        <v>0</v>
      </c>
      <c r="BN593">
        <f xml:space="preserve"> IF( AND( $BL$593 = "1", $BM$593 = "1" ), 1, IF( AND( $BL$593 = "1", $BM$593 = "0" ), 2, IF( AND( $BL$593 = "0", $BM$593 = "1" ), 3, 4 ) ) )</f>
        <v>2</v>
      </c>
    </row>
    <row r="594" spans="58:66" x14ac:dyDescent="0.25">
      <c r="BF594" s="1">
        <v>0</v>
      </c>
      <c r="BG594" t="str">
        <f>"0"</f>
        <v>0</v>
      </c>
      <c r="BH594" t="str">
        <f xml:space="preserve"> IF($BF$594 &gt;= $G$204, "1","0")</f>
        <v>0</v>
      </c>
      <c r="BI594">
        <f xml:space="preserve"> IF( AND( $BG$594 = "1", $BH$594 = "1" ), 1, IF( AND( $BG$594 = "1", $BH$594 = "0" ), 2, IF( AND( $BG$594 = "0", $BH$594 = "1" ), 3, 4 ) ) )</f>
        <v>4</v>
      </c>
      <c r="BK594" s="1">
        <v>0.32</v>
      </c>
      <c r="BL594" t="str">
        <f>"0"</f>
        <v>0</v>
      </c>
      <c r="BM594" t="str">
        <f xml:space="preserve"> IF($BK$594 &gt;= $G$281, "1","0")</f>
        <v>1</v>
      </c>
      <c r="BN594">
        <f xml:space="preserve"> IF( AND( $BL$594 = "1", $BM$594 = "1" ), 1, IF( AND( $BL$594 = "1", $BM$594 = "0" ), 2, IF( AND( $BL$594 = "0", $BM$594 = "1" ), 3, 4 ) ) )</f>
        <v>3</v>
      </c>
    </row>
    <row r="595" spans="58:66" x14ac:dyDescent="0.25">
      <c r="BF595" s="1">
        <v>0</v>
      </c>
      <c r="BG595" t="str">
        <f>"0"</f>
        <v>0</v>
      </c>
      <c r="BH595" t="str">
        <f xml:space="preserve"> IF($BF$595 &gt;= $G$204, "1","0")</f>
        <v>0</v>
      </c>
      <c r="BI595">
        <f xml:space="preserve"> IF( AND( $BG$595 = "1", $BH$595 = "1" ), 1, IF( AND( $BG$595 = "1", $BH$595 = "0" ), 2, IF( AND( $BG$595 = "0", $BH$595 = "1" ), 3, 4 ) ) )</f>
        <v>4</v>
      </c>
      <c r="BK595" s="1">
        <v>1</v>
      </c>
      <c r="BL595" t="str">
        <f>"1"</f>
        <v>1</v>
      </c>
      <c r="BM595" t="str">
        <f xml:space="preserve"> IF($BK$595 &gt;= $G$281, "1","0")</f>
        <v>1</v>
      </c>
      <c r="BN595">
        <f xml:space="preserve"> IF( AND( $BL$595 = "1", $BM$595 = "1" ), 1, IF( AND( $BL$595 = "1", $BM$595 = "0" ), 2, IF( AND( $BL$595 = "0", $BM$595 = "1" ), 3, 4 ) ) )</f>
        <v>1</v>
      </c>
    </row>
    <row r="596" spans="58:66" x14ac:dyDescent="0.25">
      <c r="BF596" s="1">
        <v>0</v>
      </c>
      <c r="BG596" t="str">
        <f>"0"</f>
        <v>0</v>
      </c>
      <c r="BH596" t="str">
        <f xml:space="preserve"> IF($BF$596 &gt;= $G$204, "1","0")</f>
        <v>0</v>
      </c>
      <c r="BI596">
        <f xml:space="preserve"> IF( AND( $BG$596 = "1", $BH$596 = "1" ), 1, IF( AND( $BG$596 = "1", $BH$596 = "0" ), 2, IF( AND( $BG$596 = "0", $BH$596 = "1" ), 3, 4 ) ) )</f>
        <v>4</v>
      </c>
      <c r="BK596" s="1">
        <v>0.37500000000000006</v>
      </c>
      <c r="BL596" t="str">
        <f>"1"</f>
        <v>1</v>
      </c>
      <c r="BM596" t="str">
        <f xml:space="preserve"> IF($BK$596 &gt;= $G$281, "1","0")</f>
        <v>1</v>
      </c>
      <c r="BN596">
        <f xml:space="preserve"> IF( AND( $BL$596 = "1", $BM$596 = "1" ), 1, IF( AND( $BL$596 = "1", $BM$596 = "0" ), 2, IF( AND( $BL$596 = "0", $BM$596 = "1" ), 3, 4 ) ) )</f>
        <v>1</v>
      </c>
    </row>
    <row r="597" spans="58:66" x14ac:dyDescent="0.25">
      <c r="BF597" s="1">
        <v>0</v>
      </c>
      <c r="BG597" t="str">
        <f>"0"</f>
        <v>0</v>
      </c>
      <c r="BH597" t="str">
        <f xml:space="preserve"> IF($BF$597 &gt;= $G$204, "1","0")</f>
        <v>0</v>
      </c>
      <c r="BI597">
        <f xml:space="preserve"> IF( AND( $BG$597 = "1", $BH$597 = "1" ), 1, IF( AND( $BG$597 = "1", $BH$597 = "0" ), 2, IF( AND( $BG$597 = "0", $BH$597 = "1" ), 3, 4 ) ) )</f>
        <v>4</v>
      </c>
      <c r="BK597" s="1">
        <v>2.5000000000000001E-3</v>
      </c>
      <c r="BL597" t="str">
        <f>"0"</f>
        <v>0</v>
      </c>
      <c r="BM597" t="str">
        <f xml:space="preserve"> IF($BK$597 &gt;= $G$281, "1","0")</f>
        <v>0</v>
      </c>
      <c r="BN597">
        <f xml:space="preserve"> IF( AND( $BL$597 = "1", $BM$597 = "1" ), 1, IF( AND( $BL$597 = "1", $BM$597 = "0" ), 2, IF( AND( $BL$597 = "0", $BM$597 = "1" ), 3, 4 ) ) )</f>
        <v>4</v>
      </c>
    </row>
    <row r="598" spans="58:66" x14ac:dyDescent="0.25">
      <c r="BF598" s="1">
        <v>0</v>
      </c>
      <c r="BG598" t="str">
        <f>"0"</f>
        <v>0</v>
      </c>
      <c r="BH598" t="str">
        <f xml:space="preserve"> IF($BF$598 &gt;= $G$204, "1","0")</f>
        <v>0</v>
      </c>
      <c r="BI598">
        <f xml:space="preserve"> IF( AND( $BG$598 = "1", $BH$598 = "1" ), 1, IF( AND( $BG$598 = "1", $BH$598 = "0" ), 2, IF( AND( $BG$598 = "0", $BH$598 = "1" ), 3, 4 ) ) )</f>
        <v>4</v>
      </c>
      <c r="BK598" s="1">
        <v>2.5000000000000001E-3</v>
      </c>
      <c r="BL598" t="str">
        <f>"0"</f>
        <v>0</v>
      </c>
      <c r="BM598" t="str">
        <f xml:space="preserve"> IF($BK$598 &gt;= $G$281, "1","0")</f>
        <v>0</v>
      </c>
      <c r="BN598">
        <f xml:space="preserve"> IF( AND( $BL$598 = "1", $BM$598 = "1" ), 1, IF( AND( $BL$598 = "1", $BM$598 = "0" ), 2, IF( AND( $BL$598 = "0", $BM$598 = "1" ), 3, 4 ) ) )</f>
        <v>4</v>
      </c>
    </row>
    <row r="599" spans="58:66" x14ac:dyDescent="0.25">
      <c r="BF599" s="1">
        <v>0</v>
      </c>
      <c r="BG599" t="str">
        <f>"0"</f>
        <v>0</v>
      </c>
      <c r="BH599" t="str">
        <f xml:space="preserve"> IF($BF$599 &gt;= $G$204, "1","0")</f>
        <v>0</v>
      </c>
      <c r="BI599">
        <f xml:space="preserve"> IF( AND( $BG$599 = "1", $BH$599 = "1" ), 1, IF( AND( $BG$599 = "1", $BH$599 = "0" ), 2, IF( AND( $BG$599 = "0", $BH$599 = "1" ), 3, 4 ) ) )</f>
        <v>4</v>
      </c>
      <c r="BK599" s="1">
        <v>3.333333333333334E-2</v>
      </c>
      <c r="BL599" t="str">
        <f>"1"</f>
        <v>1</v>
      </c>
      <c r="BM599" t="str">
        <f xml:space="preserve"> IF($BK$599 &gt;= $G$281, "1","0")</f>
        <v>0</v>
      </c>
      <c r="BN599">
        <f xml:space="preserve"> IF( AND( $BL$599 = "1", $BM$599 = "1" ), 1, IF( AND( $BL$599 = "1", $BM$599 = "0" ), 2, IF( AND( $BL$599 = "0", $BM$599 = "1" ), 3, 4 ) ) )</f>
        <v>2</v>
      </c>
    </row>
    <row r="600" spans="58:66" x14ac:dyDescent="0.25">
      <c r="BF600" s="1">
        <v>0</v>
      </c>
      <c r="BG600" t="str">
        <f>"0"</f>
        <v>0</v>
      </c>
      <c r="BH600" t="str">
        <f xml:space="preserve"> IF($BF$600 &gt;= $G$204, "1","0")</f>
        <v>0</v>
      </c>
      <c r="BI600">
        <f xml:space="preserve"> IF( AND( $BG$600 = "1", $BH$600 = "1" ), 1, IF( AND( $BG$600 = "1", $BH$600 = "0" ), 2, IF( AND( $BG$600 = "0", $BH$600 = "1" ), 3, 4 ) ) )</f>
        <v>4</v>
      </c>
      <c r="BK600" s="1">
        <v>1.8947368421052633E-2</v>
      </c>
      <c r="BL600" t="str">
        <f>"0"</f>
        <v>0</v>
      </c>
      <c r="BM600" t="str">
        <f xml:space="preserve"> IF($BK$600 &gt;= $G$281, "1","0")</f>
        <v>0</v>
      </c>
      <c r="BN600">
        <f xml:space="preserve"> IF( AND( $BL$600 = "1", $BM$600 = "1" ), 1, IF( AND( $BL$600 = "1", $BM$600 = "0" ), 2, IF( AND( $BL$600 = "0", $BM$600 = "1" ), 3, 4 ) ) )</f>
        <v>4</v>
      </c>
    </row>
    <row r="601" spans="58:66" x14ac:dyDescent="0.25">
      <c r="BF601" s="1">
        <v>0</v>
      </c>
      <c r="BG601" t="str">
        <f>"0"</f>
        <v>0</v>
      </c>
      <c r="BH601" t="str">
        <f xml:space="preserve"> IF($BF$601 &gt;= $G$204, "1","0")</f>
        <v>0</v>
      </c>
      <c r="BI601">
        <f xml:space="preserve"> IF( AND( $BG$601 = "1", $BH$601 = "1" ), 1, IF( AND( $BG$601 = "1", $BH$601 = "0" ), 2, IF( AND( $BG$601 = "0", $BH$601 = "1" ), 3, 4 ) ) )</f>
        <v>4</v>
      </c>
      <c r="BK601" s="1">
        <v>1</v>
      </c>
      <c r="BL601" t="str">
        <f>"1"</f>
        <v>1</v>
      </c>
      <c r="BM601" t="str">
        <f xml:space="preserve"> IF($BK$601 &gt;= $G$281, "1","0")</f>
        <v>1</v>
      </c>
      <c r="BN601">
        <f xml:space="preserve"> IF( AND( $BL$601 = "1", $BM$601 = "1" ), 1, IF( AND( $BL$601 = "1", $BM$601 = "0" ), 2, IF( AND( $BL$601 = "0", $BM$601 = "1" ), 3, 4 ) ) )</f>
        <v>1</v>
      </c>
    </row>
    <row r="602" spans="58:66" x14ac:dyDescent="0.25">
      <c r="BF602" s="1">
        <v>0</v>
      </c>
      <c r="BG602" t="str">
        <f>"0"</f>
        <v>0</v>
      </c>
      <c r="BH602" t="str">
        <f xml:space="preserve"> IF($BF$602 &gt;= $G$204, "1","0")</f>
        <v>0</v>
      </c>
      <c r="BI602">
        <f xml:space="preserve"> IF( AND( $BG$602 = "1", $BH$602 = "1" ), 1, IF( AND( $BG$602 = "1", $BH$602 = "0" ), 2, IF( AND( $BG$602 = "0", $BH$602 = "1" ), 3, 4 ) ) )</f>
        <v>4</v>
      </c>
      <c r="BK602" s="1">
        <v>3.333333333333334E-2</v>
      </c>
      <c r="BL602" t="str">
        <f>"0"</f>
        <v>0</v>
      </c>
      <c r="BM602" t="str">
        <f xml:space="preserve"> IF($BK$602 &gt;= $G$281, "1","0")</f>
        <v>0</v>
      </c>
      <c r="BN602">
        <f xml:space="preserve"> IF( AND( $BL$602 = "1", $BM$602 = "1" ), 1, IF( AND( $BL$602 = "1", $BM$602 = "0" ), 2, IF( AND( $BL$602 = "0", $BM$602 = "1" ), 3, 4 ) ) )</f>
        <v>4</v>
      </c>
    </row>
    <row r="603" spans="58:66" x14ac:dyDescent="0.25">
      <c r="BF603" s="1">
        <v>0</v>
      </c>
      <c r="BG603" t="str">
        <f>"0"</f>
        <v>0</v>
      </c>
      <c r="BH603" t="str">
        <f xml:space="preserve"> IF($BF$603 &gt;= $G$204, "1","0")</f>
        <v>0</v>
      </c>
      <c r="BI603">
        <f xml:space="preserve"> IF( AND( $BG$603 = "1", $BH$603 = "1" ), 1, IF( AND( $BG$603 = "1", $BH$603 = "0" ), 2, IF( AND( $BG$603 = "0", $BH$603 = "1" ), 3, 4 ) ) )</f>
        <v>4</v>
      </c>
      <c r="BK603" s="1">
        <v>1</v>
      </c>
      <c r="BL603" t="str">
        <f>"1"</f>
        <v>1</v>
      </c>
      <c r="BM603" t="str">
        <f xml:space="preserve"> IF($BK$603 &gt;= $G$281, "1","0")</f>
        <v>1</v>
      </c>
      <c r="BN603">
        <f xml:space="preserve"> IF( AND( $BL$603 = "1", $BM$603 = "1" ), 1, IF( AND( $BL$603 = "1", $BM$603 = "0" ), 2, IF( AND( $BL$603 = "0", $BM$603 = "1" ), 3, 4 ) ) )</f>
        <v>1</v>
      </c>
    </row>
    <row r="604" spans="58:66" x14ac:dyDescent="0.25">
      <c r="BF604" s="1">
        <v>0</v>
      </c>
      <c r="BG604" t="str">
        <f>"0"</f>
        <v>0</v>
      </c>
      <c r="BH604" t="str">
        <f xml:space="preserve"> IF($BF$604 &gt;= $G$204, "1","0")</f>
        <v>0</v>
      </c>
      <c r="BI604">
        <f xml:space="preserve"> IF( AND( $BG$604 = "1", $BH$604 = "1" ), 1, IF( AND( $BG$604 = "1", $BH$604 = "0" ), 2, IF( AND( $BG$604 = "0", $BH$604 = "1" ), 3, 4 ) ) )</f>
        <v>4</v>
      </c>
      <c r="BK604" s="1">
        <v>1</v>
      </c>
      <c r="BL604" t="str">
        <f>"1"</f>
        <v>1</v>
      </c>
      <c r="BM604" t="str">
        <f xml:space="preserve"> IF($BK$604 &gt;= $G$281, "1","0")</f>
        <v>1</v>
      </c>
      <c r="BN604">
        <f xml:space="preserve"> IF( AND( $BL$604 = "1", $BM$604 = "1" ), 1, IF( AND( $BL$604 = "1", $BM$604 = "0" ), 2, IF( AND( $BL$604 = "0", $BM$604 = "1" ), 3, 4 ) ) )</f>
        <v>1</v>
      </c>
    </row>
    <row r="605" spans="58:66" x14ac:dyDescent="0.25">
      <c r="BF605" s="1">
        <v>0</v>
      </c>
      <c r="BG605" t="str">
        <f>"0"</f>
        <v>0</v>
      </c>
      <c r="BH605" t="str">
        <f xml:space="preserve"> IF($BF$605 &gt;= $G$204, "1","0")</f>
        <v>0</v>
      </c>
      <c r="BI605">
        <f xml:space="preserve"> IF( AND( $BG$605 = "1", $BH$605 = "1" ), 1, IF( AND( $BG$605 = "1", $BH$605 = "0" ), 2, IF( AND( $BG$605 = "0", $BH$605 = "1" ), 3, 4 ) ) )</f>
        <v>4</v>
      </c>
      <c r="BK605" s="1">
        <v>1.8947368421052633E-2</v>
      </c>
      <c r="BL605" t="str">
        <f>"0"</f>
        <v>0</v>
      </c>
      <c r="BM605" t="str">
        <f xml:space="preserve"> IF($BK$605 &gt;= $G$281, "1","0")</f>
        <v>0</v>
      </c>
      <c r="BN605">
        <f xml:space="preserve"> IF( AND( $BL$605 = "1", $BM$605 = "1" ), 1, IF( AND( $BL$605 = "1", $BM$605 = "0" ), 2, IF( AND( $BL$605 = "0", $BM$605 = "1" ), 3, 4 ) ) )</f>
        <v>4</v>
      </c>
    </row>
    <row r="606" spans="58:66" x14ac:dyDescent="0.25">
      <c r="BF606" s="1">
        <v>0</v>
      </c>
      <c r="BG606" t="str">
        <f>"0"</f>
        <v>0</v>
      </c>
      <c r="BH606" t="str">
        <f xml:space="preserve"> IF($BF$606 &gt;= $G$204, "1","0")</f>
        <v>0</v>
      </c>
      <c r="BI606">
        <f xml:space="preserve"> IF( AND( $BG$606 = "1", $BH$606 = "1" ), 1, IF( AND( $BG$606 = "1", $BH$606 = "0" ), 2, IF( AND( $BG$606 = "0", $BH$606 = "1" ), 3, 4 ) ) )</f>
        <v>4</v>
      </c>
      <c r="BK606" s="1">
        <v>1.8947368421052633E-2</v>
      </c>
      <c r="BL606" t="str">
        <f>"0"</f>
        <v>0</v>
      </c>
      <c r="BM606" t="str">
        <f xml:space="preserve"> IF($BK$606 &gt;= $G$281, "1","0")</f>
        <v>0</v>
      </c>
      <c r="BN606">
        <f xml:space="preserve"> IF( AND( $BL$606 = "1", $BM$606 = "1" ), 1, IF( AND( $BL$606 = "1", $BM$606 = "0" ), 2, IF( AND( $BL$606 = "0", $BM$606 = "1" ), 3, 4 ) ) )</f>
        <v>4</v>
      </c>
    </row>
    <row r="607" spans="58:66" x14ac:dyDescent="0.25">
      <c r="BF607" s="1">
        <v>0</v>
      </c>
      <c r="BG607" t="str">
        <f>"0"</f>
        <v>0</v>
      </c>
      <c r="BH607" t="str">
        <f xml:space="preserve"> IF($BF$607 &gt;= $G$204, "1","0")</f>
        <v>0</v>
      </c>
      <c r="BI607">
        <f xml:space="preserve"> IF( AND( $BG$607 = "1", $BH$607 = "1" ), 1, IF( AND( $BG$607 = "1", $BH$607 = "0" ), 2, IF( AND( $BG$607 = "0", $BH$607 = "1" ), 3, 4 ) ) )</f>
        <v>4</v>
      </c>
      <c r="BK607" s="1">
        <v>1.8947368421052633E-2</v>
      </c>
      <c r="BL607" t="str">
        <f>"0"</f>
        <v>0</v>
      </c>
      <c r="BM607" t="str">
        <f xml:space="preserve"> IF($BK$607 &gt;= $G$281, "1","0")</f>
        <v>0</v>
      </c>
      <c r="BN607">
        <f xml:space="preserve"> IF( AND( $BL$607 = "1", $BM$607 = "1" ), 1, IF( AND( $BL$607 = "1", $BM$607 = "0" ), 2, IF( AND( $BL$607 = "0", $BM$607 = "1" ), 3, 4 ) ) )</f>
        <v>4</v>
      </c>
    </row>
    <row r="608" spans="58:66" x14ac:dyDescent="0.25">
      <c r="BF608" s="1">
        <v>0</v>
      </c>
      <c r="BG608" t="str">
        <f>"0"</f>
        <v>0</v>
      </c>
      <c r="BH608" t="str">
        <f xml:space="preserve"> IF($BF$608 &gt;= $G$204, "1","0")</f>
        <v>0</v>
      </c>
      <c r="BI608">
        <f xml:space="preserve"> IF( AND( $BG$608 = "1", $BH$608 = "1" ), 1, IF( AND( $BG$608 = "1", $BH$608 = "0" ), 2, IF( AND( $BG$608 = "0", $BH$608 = "1" ), 3, 4 ) ) )</f>
        <v>4</v>
      </c>
      <c r="BK608" s="1">
        <v>1.8947368421052633E-2</v>
      </c>
      <c r="BL608" t="str">
        <f>"0"</f>
        <v>0</v>
      </c>
      <c r="BM608" t="str">
        <f xml:space="preserve"> IF($BK$608 &gt;= $G$281, "1","0")</f>
        <v>0</v>
      </c>
      <c r="BN608">
        <f xml:space="preserve"> IF( AND( $BL$608 = "1", $BM$608 = "1" ), 1, IF( AND( $BL$608 = "1", $BM$608 = "0" ), 2, IF( AND( $BL$608 = "0", $BM$608 = "1" ), 3, 4 ) ) )</f>
        <v>4</v>
      </c>
    </row>
    <row r="609" spans="58:66" x14ac:dyDescent="0.25">
      <c r="BF609" s="1">
        <v>0</v>
      </c>
      <c r="BG609" t="str">
        <f>"0"</f>
        <v>0</v>
      </c>
      <c r="BH609" t="str">
        <f xml:space="preserve"> IF($BF$609 &gt;= $G$204, "1","0")</f>
        <v>0</v>
      </c>
      <c r="BI609">
        <f xml:space="preserve"> IF( AND( $BG$609 = "1", $BH$609 = "1" ), 1, IF( AND( $BG$609 = "1", $BH$609 = "0" ), 2, IF( AND( $BG$609 = "0", $BH$609 = "1" ), 3, 4 ) ) )</f>
        <v>4</v>
      </c>
      <c r="BK609" s="1">
        <v>0.64</v>
      </c>
      <c r="BL609" t="str">
        <f>"1"</f>
        <v>1</v>
      </c>
      <c r="BM609" t="str">
        <f xml:space="preserve"> IF($BK$609 &gt;= $G$281, "1","0")</f>
        <v>1</v>
      </c>
      <c r="BN609">
        <f xml:space="preserve"> IF( AND( $BL$609 = "1", $BM$609 = "1" ), 1, IF( AND( $BL$609 = "1", $BM$609 = "0" ), 2, IF( AND( $BL$609 = "0", $BM$609 = "1" ), 3, 4 ) ) )</f>
        <v>1</v>
      </c>
    </row>
    <row r="610" spans="58:66" x14ac:dyDescent="0.25">
      <c r="BF610" s="1">
        <v>0</v>
      </c>
      <c r="BG610" t="str">
        <f>"0"</f>
        <v>0</v>
      </c>
      <c r="BH610" t="str">
        <f xml:space="preserve"> IF($BF$610 &gt;= $G$204, "1","0")</f>
        <v>0</v>
      </c>
      <c r="BI610">
        <f xml:space="preserve"> IF( AND( $BG$610 = "1", $BH$610 = "1" ), 1, IF( AND( $BG$610 = "1", $BH$610 = "0" ), 2, IF( AND( $BG$610 = "0", $BH$610 = "1" ), 3, 4 ) ) )</f>
        <v>4</v>
      </c>
      <c r="BK610" s="1">
        <v>0.14285714285714285</v>
      </c>
      <c r="BL610" t="str">
        <f>"0"</f>
        <v>0</v>
      </c>
      <c r="BM610" t="str">
        <f xml:space="preserve"> IF($BK$610 &gt;= $G$281, "1","0")</f>
        <v>0</v>
      </c>
      <c r="BN610">
        <f xml:space="preserve"> IF( AND( $BL$610 = "1", $BM$610 = "1" ), 1, IF( AND( $BL$610 = "1", $BM$610 = "0" ), 2, IF( AND( $BL$610 = "0", $BM$610 = "1" ), 3, 4 ) ) )</f>
        <v>4</v>
      </c>
    </row>
    <row r="611" spans="58:66" x14ac:dyDescent="0.25">
      <c r="BF611" s="1">
        <v>0</v>
      </c>
      <c r="BG611" t="str">
        <f>"0"</f>
        <v>0</v>
      </c>
      <c r="BH611" t="str">
        <f xml:space="preserve"> IF($BF$611 &gt;= $G$204, "1","0")</f>
        <v>0</v>
      </c>
      <c r="BI611">
        <f xml:space="preserve"> IF( AND( $BG$611 = "1", $BH$611 = "1" ), 1, IF( AND( $BG$611 = "1", $BH$611 = "0" ), 2, IF( AND( $BG$611 = "0", $BH$611 = "1" ), 3, 4 ) ) )</f>
        <v>4</v>
      </c>
      <c r="BK611" s="1">
        <v>0.32</v>
      </c>
      <c r="BL611" t="str">
        <f>"1"</f>
        <v>1</v>
      </c>
      <c r="BM611" t="str">
        <f xml:space="preserve"> IF($BK$611 &gt;= $G$281, "1","0")</f>
        <v>1</v>
      </c>
      <c r="BN611">
        <f xml:space="preserve"> IF( AND( $BL$611 = "1", $BM$611 = "1" ), 1, IF( AND( $BL$611 = "1", $BM$611 = "0" ), 2, IF( AND( $BL$611 = "0", $BM$611 = "1" ), 3, 4 ) ) )</f>
        <v>1</v>
      </c>
    </row>
    <row r="612" spans="58:66" x14ac:dyDescent="0.25">
      <c r="BF612" s="1">
        <v>0</v>
      </c>
      <c r="BG612" t="str">
        <f>"0"</f>
        <v>0</v>
      </c>
      <c r="BH612" t="str">
        <f xml:space="preserve"> IF($BF$612 &gt;= $G$204, "1","0")</f>
        <v>0</v>
      </c>
      <c r="BI612">
        <f xml:space="preserve"> IF( AND( $BG$612 = "1", $BH$612 = "1" ), 1, IF( AND( $BG$612 = "1", $BH$612 = "0" ), 2, IF( AND( $BG$612 = "0", $BH$612 = "1" ), 3, 4 ) ) )</f>
        <v>4</v>
      </c>
      <c r="BK612" s="1">
        <v>0.37500000000000006</v>
      </c>
      <c r="BL612" t="str">
        <f>"0"</f>
        <v>0</v>
      </c>
      <c r="BM612" t="str">
        <f xml:space="preserve"> IF($BK$612 &gt;= $G$281, "1","0")</f>
        <v>1</v>
      </c>
      <c r="BN612">
        <f xml:space="preserve"> IF( AND( $BL$612 = "1", $BM$612 = "1" ), 1, IF( AND( $BL$612 = "1", $BM$612 = "0" ), 2, IF( AND( $BL$612 = "0", $BM$612 = "1" ), 3, 4 ) ) )</f>
        <v>3</v>
      </c>
    </row>
    <row r="613" spans="58:66" x14ac:dyDescent="0.25">
      <c r="BF613" s="1">
        <v>0</v>
      </c>
      <c r="BG613" t="str">
        <f>"0"</f>
        <v>0</v>
      </c>
      <c r="BH613" t="str">
        <f xml:space="preserve"> IF($BF$613 &gt;= $G$204, "1","0")</f>
        <v>0</v>
      </c>
      <c r="BI613">
        <f xml:space="preserve"> IF( AND( $BG$613 = "1", $BH$613 = "1" ), 1, IF( AND( $BG$613 = "1", $BH$613 = "0" ), 2, IF( AND( $BG$613 = "0", $BH$613 = "1" ), 3, 4 ) ) )</f>
        <v>4</v>
      </c>
      <c r="BK613" s="1">
        <v>2.5000000000000001E-3</v>
      </c>
      <c r="BL613" t="str">
        <f>"0"</f>
        <v>0</v>
      </c>
      <c r="BM613" t="str">
        <f xml:space="preserve"> IF($BK$613 &gt;= $G$281, "1","0")</f>
        <v>0</v>
      </c>
      <c r="BN613">
        <f xml:space="preserve"> IF( AND( $BL$613 = "1", $BM$613 = "1" ), 1, IF( AND( $BL$613 = "1", $BM$613 = "0" ), 2, IF( AND( $BL$613 = "0", $BM$613 = "1" ), 3, 4 ) ) )</f>
        <v>4</v>
      </c>
    </row>
    <row r="614" spans="58:66" x14ac:dyDescent="0.25">
      <c r="BF614" s="1">
        <v>0</v>
      </c>
      <c r="BG614" t="str">
        <f>"0"</f>
        <v>0</v>
      </c>
      <c r="BH614" t="str">
        <f xml:space="preserve"> IF($BF$614 &gt;= $G$204, "1","0")</f>
        <v>0</v>
      </c>
      <c r="BI614">
        <f xml:space="preserve"> IF( AND( $BG$614 = "1", $BH$614 = "1" ), 1, IF( AND( $BG$614 = "1", $BH$614 = "0" ), 2, IF( AND( $BG$614 = "0", $BH$614 = "1" ), 3, 4 ) ) )</f>
        <v>4</v>
      </c>
      <c r="BK614" s="1">
        <v>2.5000000000000001E-3</v>
      </c>
      <c r="BL614" t="str">
        <f>"0"</f>
        <v>0</v>
      </c>
      <c r="BM614" t="str">
        <f xml:space="preserve"> IF($BK$614 &gt;= $G$281, "1","0")</f>
        <v>0</v>
      </c>
      <c r="BN614">
        <f xml:space="preserve"> IF( AND( $BL$614 = "1", $BM$614 = "1" ), 1, IF( AND( $BL$614 = "1", $BM$614 = "0" ), 2, IF( AND( $BL$614 = "0", $BM$614 = "1" ), 3, 4 ) ) )</f>
        <v>4</v>
      </c>
    </row>
    <row r="615" spans="58:66" x14ac:dyDescent="0.25">
      <c r="BF615" s="1">
        <v>0</v>
      </c>
      <c r="BG615" t="str">
        <f>"0"</f>
        <v>0</v>
      </c>
      <c r="BH615" t="str">
        <f xml:space="preserve"> IF($BF$615 &gt;= $G$204, "1","0")</f>
        <v>0</v>
      </c>
      <c r="BI615">
        <f xml:space="preserve"> IF( AND( $BG$615 = "1", $BH$615 = "1" ), 1, IF( AND( $BG$615 = "1", $BH$615 = "0" ), 2, IF( AND( $BG$615 = "0", $BH$615 = "1" ), 3, 4 ) ) )</f>
        <v>4</v>
      </c>
      <c r="BK615" s="1">
        <v>0.32</v>
      </c>
      <c r="BL615" t="str">
        <f>"0"</f>
        <v>0</v>
      </c>
      <c r="BM615" t="str">
        <f xml:space="preserve"> IF($BK$615 &gt;= $G$281, "1","0")</f>
        <v>1</v>
      </c>
      <c r="BN615">
        <f xml:space="preserve"> IF( AND( $BL$615 = "1", $BM$615 = "1" ), 1, IF( AND( $BL$615 = "1", $BM$615 = "0" ), 2, IF( AND( $BL$615 = "0", $BM$615 = "1" ), 3, 4 ) ) )</f>
        <v>3</v>
      </c>
    </row>
    <row r="616" spans="58:66" x14ac:dyDescent="0.25">
      <c r="BF616" s="1">
        <v>0</v>
      </c>
      <c r="BG616" t="str">
        <f>"0"</f>
        <v>0</v>
      </c>
      <c r="BH616" t="str">
        <f xml:space="preserve"> IF($BF$616 &gt;= $G$204, "1","0")</f>
        <v>0</v>
      </c>
      <c r="BI616">
        <f xml:space="preserve"> IF( AND( $BG$616 = "1", $BH$616 = "1" ), 1, IF( AND( $BG$616 = "1", $BH$616 = "0" ), 2, IF( AND( $BG$616 = "0", $BH$616 = "1" ), 3, 4 ) ) )</f>
        <v>4</v>
      </c>
      <c r="BK616" s="1">
        <v>0.68181818181818188</v>
      </c>
      <c r="BL616" t="str">
        <f>"1"</f>
        <v>1</v>
      </c>
      <c r="BM616" t="str">
        <f xml:space="preserve"> IF($BK$616 &gt;= $G$281, "1","0")</f>
        <v>1</v>
      </c>
      <c r="BN616">
        <f xml:space="preserve"> IF( AND( $BL$616 = "1", $BM$616 = "1" ), 1, IF( AND( $BL$616 = "1", $BM$616 = "0" ), 2, IF( AND( $BL$616 = "0", $BM$616 = "1" ), 3, 4 ) ) )</f>
        <v>1</v>
      </c>
    </row>
    <row r="617" spans="58:66" x14ac:dyDescent="0.25">
      <c r="BF617" s="1">
        <v>0</v>
      </c>
      <c r="BG617" t="str">
        <f>"0"</f>
        <v>0</v>
      </c>
      <c r="BH617" t="str">
        <f xml:space="preserve"> IF($BF$617 &gt;= $G$204, "1","0")</f>
        <v>0</v>
      </c>
      <c r="BI617">
        <f xml:space="preserve"> IF( AND( $BG$617 = "1", $BH$617 = "1" ), 1, IF( AND( $BG$617 = "1", $BH$617 = "0" ), 2, IF( AND( $BG$617 = "0", $BH$617 = "1" ), 3, 4 ) ) )</f>
        <v>4</v>
      </c>
      <c r="BK617" s="1">
        <v>1.8947368421052633E-2</v>
      </c>
      <c r="BL617" t="str">
        <f>"0"</f>
        <v>0</v>
      </c>
      <c r="BM617" t="str">
        <f xml:space="preserve"> IF($BK$617 &gt;= $G$281, "1","0")</f>
        <v>0</v>
      </c>
      <c r="BN617">
        <f xml:space="preserve"> IF( AND( $BL$617 = "1", $BM$617 = "1" ), 1, IF( AND( $BL$617 = "1", $BM$617 = "0" ), 2, IF( AND( $BL$617 = "0", $BM$617 = "1" ), 3, 4 ) ) )</f>
        <v>4</v>
      </c>
    </row>
    <row r="618" spans="58:66" x14ac:dyDescent="0.25">
      <c r="BF618" s="1">
        <v>0</v>
      </c>
      <c r="BG618" t="str">
        <f>"0"</f>
        <v>0</v>
      </c>
      <c r="BH618" t="str">
        <f xml:space="preserve"> IF($BF$618 &gt;= $G$204, "1","0")</f>
        <v>0</v>
      </c>
      <c r="BI618">
        <f xml:space="preserve"> IF( AND( $BG$618 = "1", $BH$618 = "1" ), 1, IF( AND( $BG$618 = "1", $BH$618 = "0" ), 2, IF( AND( $BG$618 = "0", $BH$618 = "1" ), 3, 4 ) ) )</f>
        <v>4</v>
      </c>
      <c r="BK618" s="1">
        <v>0.32</v>
      </c>
      <c r="BL618" t="str">
        <f>"0"</f>
        <v>0</v>
      </c>
      <c r="BM618" t="str">
        <f xml:space="preserve"> IF($BK$618 &gt;= $G$281, "1","0")</f>
        <v>1</v>
      </c>
      <c r="BN618">
        <f xml:space="preserve"> IF( AND( $BL$618 = "1", $BM$618 = "1" ), 1, IF( AND( $BL$618 = "1", $BM$618 = "0" ), 2, IF( AND( $BL$618 = "0", $BM$618 = "1" ), 3, 4 ) ) )</f>
        <v>3</v>
      </c>
    </row>
    <row r="619" spans="58:66" x14ac:dyDescent="0.25">
      <c r="BF619" s="1">
        <v>0</v>
      </c>
      <c r="BG619" t="str">
        <f>"0"</f>
        <v>0</v>
      </c>
      <c r="BH619" t="str">
        <f xml:space="preserve"> IF($BF$619 &gt;= $G$204, "1","0")</f>
        <v>0</v>
      </c>
      <c r="BI619">
        <f xml:space="preserve"> IF( AND( $BG$619 = "1", $BH$619 = "1" ), 1, IF( AND( $BG$619 = "1", $BH$619 = "0" ), 2, IF( AND( $BG$619 = "0", $BH$619 = "1" ), 3, 4 ) ) )</f>
        <v>4</v>
      </c>
      <c r="BK619" s="1">
        <v>1.8947368421052633E-2</v>
      </c>
      <c r="BL619" t="str">
        <f>"0"</f>
        <v>0</v>
      </c>
      <c r="BM619" t="str">
        <f xml:space="preserve"> IF($BK$619 &gt;= $G$281, "1","0")</f>
        <v>0</v>
      </c>
      <c r="BN619">
        <f xml:space="preserve"> IF( AND( $BL$619 = "1", $BM$619 = "1" ), 1, IF( AND( $BL$619 = "1", $BM$619 = "0" ), 2, IF( AND( $BL$619 = "0", $BM$619 = "1" ), 3, 4 ) ) )</f>
        <v>4</v>
      </c>
    </row>
    <row r="620" spans="58:66" x14ac:dyDescent="0.25">
      <c r="BF620" s="1">
        <v>0</v>
      </c>
      <c r="BG620" t="str">
        <f>"0"</f>
        <v>0</v>
      </c>
      <c r="BH620" t="str">
        <f xml:space="preserve"> IF($BF$620 &gt;= $G$204, "1","0")</f>
        <v>0</v>
      </c>
      <c r="BI620">
        <f xml:space="preserve"> IF( AND( $BG$620 = "1", $BH$620 = "1" ), 1, IF( AND( $BG$620 = "1", $BH$620 = "0" ), 2, IF( AND( $BG$620 = "0", $BH$620 = "1" ), 3, 4 ) ) )</f>
        <v>4</v>
      </c>
      <c r="BK620" s="1">
        <v>1.8947368421052633E-2</v>
      </c>
      <c r="BL620" t="str">
        <f>"0"</f>
        <v>0</v>
      </c>
      <c r="BM620" t="str">
        <f xml:space="preserve"> IF($BK$620 &gt;= $G$281, "1","0")</f>
        <v>0</v>
      </c>
      <c r="BN620">
        <f xml:space="preserve"> IF( AND( $BL$620 = "1", $BM$620 = "1" ), 1, IF( AND( $BL$620 = "1", $BM$620 = "0" ), 2, IF( AND( $BL$620 = "0", $BM$620 = "1" ), 3, 4 ) ) )</f>
        <v>4</v>
      </c>
    </row>
    <row r="621" spans="58:66" x14ac:dyDescent="0.25">
      <c r="BF621" s="1">
        <v>0</v>
      </c>
      <c r="BG621" t="str">
        <f>"0"</f>
        <v>0</v>
      </c>
      <c r="BH621" t="str">
        <f xml:space="preserve"> IF($BF$621 &gt;= $G$204, "1","0")</f>
        <v>0</v>
      </c>
      <c r="BI621">
        <f xml:space="preserve"> IF( AND( $BG$621 = "1", $BH$621 = "1" ), 1, IF( AND( $BG$621 = "1", $BH$621 = "0" ), 2, IF( AND( $BG$621 = "0", $BH$621 = "1" ), 3, 4 ) ) )</f>
        <v>4</v>
      </c>
      <c r="BK621" s="1">
        <v>0</v>
      </c>
      <c r="BL621" t="str">
        <f>"0"</f>
        <v>0</v>
      </c>
      <c r="BM621" t="str">
        <f xml:space="preserve"> IF($BK$621 &gt;= $G$281, "1","0")</f>
        <v>0</v>
      </c>
      <c r="BN621">
        <f xml:space="preserve"> IF( AND( $BL$621 = "1", $BM$621 = "1" ), 1, IF( AND( $BL$621 = "1", $BM$621 = "0" ), 2, IF( AND( $BL$621 = "0", $BM$621 = "1" ), 3, 4 ) ) )</f>
        <v>4</v>
      </c>
    </row>
    <row r="622" spans="58:66" x14ac:dyDescent="0.25">
      <c r="BF622" s="1">
        <v>0</v>
      </c>
      <c r="BG622" t="str">
        <f>"0"</f>
        <v>0</v>
      </c>
      <c r="BH622" t="str">
        <f xml:space="preserve"> IF($BF$622 &gt;= $G$204, "1","0")</f>
        <v>0</v>
      </c>
      <c r="BI622">
        <f xml:space="preserve"> IF( AND( $BG$622 = "1", $BH$622 = "1" ), 1, IF( AND( $BG$622 = "1", $BH$622 = "0" ), 2, IF( AND( $BG$622 = "0", $BH$622 = "1" ), 3, 4 ) ) )</f>
        <v>4</v>
      </c>
      <c r="BK622" s="1">
        <v>1</v>
      </c>
      <c r="BL622" t="str">
        <f>"1"</f>
        <v>1</v>
      </c>
      <c r="BM622" t="str">
        <f xml:space="preserve"> IF($BK$622 &gt;= $G$281, "1","0")</f>
        <v>1</v>
      </c>
      <c r="BN622">
        <f xml:space="preserve"> IF( AND( $BL$622 = "1", $BM$622 = "1" ), 1, IF( AND( $BL$622 = "1", $BM$622 = "0" ), 2, IF( AND( $BL$622 = "0", $BM$622 = "1" ), 3, 4 ) ) )</f>
        <v>1</v>
      </c>
    </row>
    <row r="623" spans="58:66" x14ac:dyDescent="0.25">
      <c r="BF623" s="1">
        <v>0</v>
      </c>
      <c r="BG623" t="str">
        <f>"0"</f>
        <v>0</v>
      </c>
      <c r="BH623" t="str">
        <f xml:space="preserve"> IF($BF$623 &gt;= $G$204, "1","0")</f>
        <v>0</v>
      </c>
      <c r="BI623">
        <f xml:space="preserve"> IF( AND( $BG$623 = "1", $BH$623 = "1" ), 1, IF( AND( $BG$623 = "1", $BH$623 = "0" ), 2, IF( AND( $BG$623 = "0", $BH$623 = "1" ), 3, 4 ) ) )</f>
        <v>4</v>
      </c>
      <c r="BK623" s="1">
        <v>3.333333333333334E-2</v>
      </c>
      <c r="BL623" t="str">
        <f>"0"</f>
        <v>0</v>
      </c>
      <c r="BM623" t="str">
        <f xml:space="preserve"> IF($BK$623 &gt;= $G$281, "1","0")</f>
        <v>0</v>
      </c>
      <c r="BN623">
        <f xml:space="preserve"> IF( AND( $BL$623 = "1", $BM$623 = "1" ), 1, IF( AND( $BL$623 = "1", $BM$623 = "0" ), 2, IF( AND( $BL$623 = "0", $BM$623 = "1" ), 3, 4 ) ) )</f>
        <v>4</v>
      </c>
    </row>
    <row r="624" spans="58:66" x14ac:dyDescent="0.25">
      <c r="BF624" s="1">
        <v>0</v>
      </c>
      <c r="BG624" t="str">
        <f>"0"</f>
        <v>0</v>
      </c>
      <c r="BH624" t="str">
        <f xml:space="preserve"> IF($BF$624 &gt;= $G$204, "1","0")</f>
        <v>0</v>
      </c>
      <c r="BI624">
        <f xml:space="preserve"> IF( AND( $BG$624 = "1", $BH$624 = "1" ), 1, IF( AND( $BG$624 = "1", $BH$624 = "0" ), 2, IF( AND( $BG$624 = "0", $BH$624 = "1" ), 3, 4 ) ) )</f>
        <v>4</v>
      </c>
      <c r="BK624" s="1">
        <v>2.5000000000000001E-3</v>
      </c>
      <c r="BL624" t="str">
        <f>"0"</f>
        <v>0</v>
      </c>
      <c r="BM624" t="str">
        <f xml:space="preserve"> IF($BK$624 &gt;= $G$281, "1","0")</f>
        <v>0</v>
      </c>
      <c r="BN624">
        <f xml:space="preserve"> IF( AND( $BL$624 = "1", $BM$624 = "1" ), 1, IF( AND( $BL$624 = "1", $BM$624 = "0" ), 2, IF( AND( $BL$624 = "0", $BM$624 = "1" ), 3, 4 ) ) )</f>
        <v>4</v>
      </c>
    </row>
    <row r="625" spans="58:66" x14ac:dyDescent="0.25">
      <c r="BF625" s="1">
        <v>0</v>
      </c>
      <c r="BG625" t="str">
        <f>"0"</f>
        <v>0</v>
      </c>
      <c r="BH625" t="str">
        <f xml:space="preserve"> IF($BF$625 &gt;= $G$204, "1","0")</f>
        <v>0</v>
      </c>
      <c r="BI625">
        <f xml:space="preserve"> IF( AND( $BG$625 = "1", $BH$625 = "1" ), 1, IF( AND( $BG$625 = "1", $BH$625 = "0" ), 2, IF( AND( $BG$625 = "0", $BH$625 = "1" ), 3, 4 ) ) )</f>
        <v>4</v>
      </c>
      <c r="BK625" s="1">
        <v>1</v>
      </c>
      <c r="BL625" t="str">
        <f>"1"</f>
        <v>1</v>
      </c>
      <c r="BM625" t="str">
        <f xml:space="preserve"> IF($BK$625 &gt;= $G$281, "1","0")</f>
        <v>1</v>
      </c>
      <c r="BN625">
        <f xml:space="preserve"> IF( AND( $BL$625 = "1", $BM$625 = "1" ), 1, IF( AND( $BL$625 = "1", $BM$625 = "0" ), 2, IF( AND( $BL$625 = "0", $BM$625 = "1" ), 3, 4 ) ) )</f>
        <v>1</v>
      </c>
    </row>
    <row r="626" spans="58:66" x14ac:dyDescent="0.25">
      <c r="BF626" s="1">
        <v>0</v>
      </c>
      <c r="BG626" t="str">
        <f>"0"</f>
        <v>0</v>
      </c>
      <c r="BH626" t="str">
        <f xml:space="preserve"> IF($BF$626 &gt;= $G$204, "1","0")</f>
        <v>0</v>
      </c>
      <c r="BI626">
        <f xml:space="preserve"> IF( AND( $BG$626 = "1", $BH$626 = "1" ), 1, IF( AND( $BG$626 = "1", $BH$626 = "0" ), 2, IF( AND( $BG$626 = "0", $BH$626 = "1" ), 3, 4 ) ) )</f>
        <v>4</v>
      </c>
      <c r="BK626" s="1">
        <v>2.5000000000000001E-3</v>
      </c>
      <c r="BL626" t="str">
        <f>"0"</f>
        <v>0</v>
      </c>
      <c r="BM626" t="str">
        <f xml:space="preserve"> IF($BK$626 &gt;= $G$281, "1","0")</f>
        <v>0</v>
      </c>
      <c r="BN626">
        <f xml:space="preserve"> IF( AND( $BL$626 = "1", $BM$626 = "1" ), 1, IF( AND( $BL$626 = "1", $BM$626 = "0" ), 2, IF( AND( $BL$626 = "0", $BM$626 = "1" ), 3, 4 ) ) )</f>
        <v>4</v>
      </c>
    </row>
    <row r="627" spans="58:66" x14ac:dyDescent="0.25">
      <c r="BF627" s="1">
        <v>0</v>
      </c>
      <c r="BG627" t="str">
        <f>"0"</f>
        <v>0</v>
      </c>
      <c r="BH627" t="str">
        <f xml:space="preserve"> IF($BF$627 &gt;= $G$204, "1","0")</f>
        <v>0</v>
      </c>
      <c r="BI627">
        <f xml:space="preserve"> IF( AND( $BG$627 = "1", $BH$627 = "1" ), 1, IF( AND( $BG$627 = "1", $BH$627 = "0" ), 2, IF( AND( $BG$627 = "0", $BH$627 = "1" ), 3, 4 ) ) )</f>
        <v>4</v>
      </c>
      <c r="BK627" s="1">
        <v>1</v>
      </c>
      <c r="BL627" t="str">
        <f>"1"</f>
        <v>1</v>
      </c>
      <c r="BM627" t="str">
        <f xml:space="preserve"> IF($BK$627 &gt;= $G$281, "1","0")</f>
        <v>1</v>
      </c>
      <c r="BN627">
        <f xml:space="preserve"> IF( AND( $BL$627 = "1", $BM$627 = "1" ), 1, IF( AND( $BL$627 = "1", $BM$627 = "0" ), 2, IF( AND( $BL$627 = "0", $BM$627 = "1" ), 3, 4 ) ) )</f>
        <v>1</v>
      </c>
    </row>
    <row r="628" spans="58:66" x14ac:dyDescent="0.25">
      <c r="BF628" s="1">
        <v>0</v>
      </c>
      <c r="BG628" t="str">
        <f>"0"</f>
        <v>0</v>
      </c>
      <c r="BH628" t="str">
        <f xml:space="preserve"> IF($BF$628 &gt;= $G$204, "1","0")</f>
        <v>0</v>
      </c>
      <c r="BI628">
        <f xml:space="preserve"> IF( AND( $BG$628 = "1", $BH$628 = "1" ), 1, IF( AND( $BG$628 = "1", $BH$628 = "0" ), 2, IF( AND( $BG$628 = "0", $BH$628 = "1" ), 3, 4 ) ) )</f>
        <v>4</v>
      </c>
      <c r="BK628" s="1">
        <v>2.5000000000000001E-3</v>
      </c>
      <c r="BL628" t="str">
        <f>"0"</f>
        <v>0</v>
      </c>
      <c r="BM628" t="str">
        <f xml:space="preserve"> IF($BK$628 &gt;= $G$281, "1","0")</f>
        <v>0</v>
      </c>
      <c r="BN628">
        <f xml:space="preserve"> IF( AND( $BL$628 = "1", $BM$628 = "1" ), 1, IF( AND( $BL$628 = "1", $BM$628 = "0" ), 2, IF( AND( $BL$628 = "0", $BM$628 = "1" ), 3, 4 ) ) )</f>
        <v>4</v>
      </c>
    </row>
    <row r="629" spans="58:66" x14ac:dyDescent="0.25">
      <c r="BF629" s="1">
        <v>0</v>
      </c>
      <c r="BG629" t="str">
        <f>"0"</f>
        <v>0</v>
      </c>
      <c r="BH629" t="str">
        <f xml:space="preserve"> IF($BF$629 &gt;= $G$204, "1","0")</f>
        <v>0</v>
      </c>
      <c r="BI629">
        <f xml:space="preserve"> IF( AND( $BG$629 = "1", $BH$629 = "1" ), 1, IF( AND( $BG$629 = "1", $BH$629 = "0" ), 2, IF( AND( $BG$629 = "0", $BH$629 = "1" ), 3, 4 ) ) )</f>
        <v>4</v>
      </c>
      <c r="BK629" s="1">
        <v>1.8947368421052633E-2</v>
      </c>
      <c r="BL629" t="str">
        <f>"0"</f>
        <v>0</v>
      </c>
      <c r="BM629" t="str">
        <f xml:space="preserve"> IF($BK$629 &gt;= $G$281, "1","0")</f>
        <v>0</v>
      </c>
      <c r="BN629">
        <f xml:space="preserve"> IF( AND( $BL$629 = "1", $BM$629 = "1" ), 1, IF( AND( $BL$629 = "1", $BM$629 = "0" ), 2, IF( AND( $BL$629 = "0", $BM$629 = "1" ), 3, 4 ) ) )</f>
        <v>4</v>
      </c>
    </row>
    <row r="630" spans="58:66" x14ac:dyDescent="0.25">
      <c r="BF630" s="1">
        <v>0</v>
      </c>
      <c r="BG630" t="str">
        <f>"0"</f>
        <v>0</v>
      </c>
      <c r="BH630" t="str">
        <f xml:space="preserve"> IF($BF$630 &gt;= $G$204, "1","0")</f>
        <v>0</v>
      </c>
      <c r="BI630">
        <f xml:space="preserve"> IF( AND( $BG$630 = "1", $BH$630 = "1" ), 1, IF( AND( $BG$630 = "1", $BH$630 = "0" ), 2, IF( AND( $BG$630 = "0", $BH$630 = "1" ), 3, 4 ) ) )</f>
        <v>4</v>
      </c>
      <c r="BK630" s="1">
        <v>1.8947368421052633E-2</v>
      </c>
      <c r="BL630" t="str">
        <f>"0"</f>
        <v>0</v>
      </c>
      <c r="BM630" t="str">
        <f xml:space="preserve"> IF($BK$630 &gt;= $G$281, "1","0")</f>
        <v>0</v>
      </c>
      <c r="BN630">
        <f xml:space="preserve"> IF( AND( $BL$630 = "1", $BM$630 = "1" ), 1, IF( AND( $BL$630 = "1", $BM$630 = "0" ), 2, IF( AND( $BL$630 = "0", $BM$630 = "1" ), 3, 4 ) ) )</f>
        <v>4</v>
      </c>
    </row>
    <row r="631" spans="58:66" x14ac:dyDescent="0.25">
      <c r="BF631" s="1">
        <v>0</v>
      </c>
      <c r="BG631" t="str">
        <f>"0"</f>
        <v>0</v>
      </c>
      <c r="BH631" t="str">
        <f xml:space="preserve"> IF($BF$631 &gt;= $G$204, "1","0")</f>
        <v>0</v>
      </c>
      <c r="BI631">
        <f xml:space="preserve"> IF( AND( $BG$631 = "1", $BH$631 = "1" ), 1, IF( AND( $BG$631 = "1", $BH$631 = "0" ), 2, IF( AND( $BG$631 = "0", $BH$631 = "1" ), 3, 4 ) ) )</f>
        <v>4</v>
      </c>
      <c r="BK631" s="1">
        <v>2.5000000000000001E-3</v>
      </c>
      <c r="BL631" t="str">
        <f>"0"</f>
        <v>0</v>
      </c>
      <c r="BM631" t="str">
        <f xml:space="preserve"> IF($BK$631 &gt;= $G$281, "1","0")</f>
        <v>0</v>
      </c>
      <c r="BN631">
        <f xml:space="preserve"> IF( AND( $BL$631 = "1", $BM$631 = "1" ), 1, IF( AND( $BL$631 = "1", $BM$631 = "0" ), 2, IF( AND( $BL$631 = "0", $BM$631 = "1" ), 3, 4 ) ) )</f>
        <v>4</v>
      </c>
    </row>
    <row r="632" spans="58:66" x14ac:dyDescent="0.25">
      <c r="BF632" s="1">
        <v>0</v>
      </c>
      <c r="BG632" t="str">
        <f>"0"</f>
        <v>0</v>
      </c>
      <c r="BH632" t="str">
        <f xml:space="preserve"> IF($BF$632 &gt;= $G$204, "1","0")</f>
        <v>0</v>
      </c>
      <c r="BI632">
        <f xml:space="preserve"> IF( AND( $BG$632 = "1", $BH$632 = "1" ), 1, IF( AND( $BG$632 = "1", $BH$632 = "0" ), 2, IF( AND( $BG$632 = "0", $BH$632 = "1" ), 3, 4 ) ) )</f>
        <v>4</v>
      </c>
      <c r="BK632" s="1">
        <v>0</v>
      </c>
      <c r="BL632" t="str">
        <f>"0"</f>
        <v>0</v>
      </c>
      <c r="BM632" t="str">
        <f xml:space="preserve"> IF($BK$632 &gt;= $G$281, "1","0")</f>
        <v>0</v>
      </c>
      <c r="BN632">
        <f xml:space="preserve"> IF( AND( $BL$632 = "1", $BM$632 = "1" ), 1, IF( AND( $BL$632 = "1", $BM$632 = "0" ), 2, IF( AND( $BL$632 = "0", $BM$632 = "1" ), 3, 4 ) ) )</f>
        <v>4</v>
      </c>
    </row>
    <row r="633" spans="58:66" x14ac:dyDescent="0.25">
      <c r="BF633" s="1">
        <v>0</v>
      </c>
      <c r="BG633" t="str">
        <f>"0"</f>
        <v>0</v>
      </c>
      <c r="BH633" t="str">
        <f xml:space="preserve"> IF($BF$633 &gt;= $G$204, "1","0")</f>
        <v>0</v>
      </c>
      <c r="BI633">
        <f xml:space="preserve"> IF( AND( $BG$633 = "1", $BH$633 = "1" ), 1, IF( AND( $BG$633 = "1", $BH$633 = "0" ), 2, IF( AND( $BG$633 = "0", $BH$633 = "1" ), 3, 4 ) ) )</f>
        <v>4</v>
      </c>
      <c r="BK633" s="1">
        <v>1.8947368421052633E-2</v>
      </c>
      <c r="BL633" t="str">
        <f>"0"</f>
        <v>0</v>
      </c>
      <c r="BM633" t="str">
        <f xml:space="preserve"> IF($BK$633 &gt;= $G$281, "1","0")</f>
        <v>0</v>
      </c>
      <c r="BN633">
        <f xml:space="preserve"> IF( AND( $BL$633 = "1", $BM$633 = "1" ), 1, IF( AND( $BL$633 = "1", $BM$633 = "0" ), 2, IF( AND( $BL$633 = "0", $BM$633 = "1" ), 3, 4 ) ) )</f>
        <v>4</v>
      </c>
    </row>
    <row r="634" spans="58:66" x14ac:dyDescent="0.25">
      <c r="BF634" s="1">
        <v>0</v>
      </c>
      <c r="BG634" t="str">
        <f>"0"</f>
        <v>0</v>
      </c>
      <c r="BH634" t="str">
        <f xml:space="preserve"> IF($BF$634 &gt;= $G$204, "1","0")</f>
        <v>0</v>
      </c>
      <c r="BI634">
        <f xml:space="preserve"> IF( AND( $BG$634 = "1", $BH$634 = "1" ), 1, IF( AND( $BG$634 = "1", $BH$634 = "0" ), 2, IF( AND( $BG$634 = "0", $BH$634 = "1" ), 3, 4 ) ) )</f>
        <v>4</v>
      </c>
      <c r="BK634" s="1">
        <v>1.8947368421052633E-2</v>
      </c>
      <c r="BL634" t="str">
        <f>"0"</f>
        <v>0</v>
      </c>
      <c r="BM634" t="str">
        <f xml:space="preserve"> IF($BK$634 &gt;= $G$281, "1","0")</f>
        <v>0</v>
      </c>
      <c r="BN634">
        <f xml:space="preserve"> IF( AND( $BL$634 = "1", $BM$634 = "1" ), 1, IF( AND( $BL$634 = "1", $BM$634 = "0" ), 2, IF( AND( $BL$634 = "0", $BM$634 = "1" ), 3, 4 ) ) )</f>
        <v>4</v>
      </c>
    </row>
    <row r="635" spans="58:66" x14ac:dyDescent="0.25">
      <c r="BF635" s="1">
        <v>0</v>
      </c>
      <c r="BG635" t="str">
        <f>"0"</f>
        <v>0</v>
      </c>
      <c r="BH635" t="str">
        <f xml:space="preserve"> IF($BF$635 &gt;= $G$204, "1","0")</f>
        <v>0</v>
      </c>
      <c r="BI635">
        <f xml:space="preserve"> IF( AND( $BG$635 = "1", $BH$635 = "1" ), 1, IF( AND( $BG$635 = "1", $BH$635 = "0" ), 2, IF( AND( $BG$635 = "0", $BH$635 = "1" ), 3, 4 ) ) )</f>
        <v>4</v>
      </c>
      <c r="BK635" s="1">
        <v>1</v>
      </c>
      <c r="BL635" t="str">
        <f>"1"</f>
        <v>1</v>
      </c>
      <c r="BM635" t="str">
        <f xml:space="preserve"> IF($BK$635 &gt;= $G$281, "1","0")</f>
        <v>1</v>
      </c>
      <c r="BN635">
        <f xml:space="preserve"> IF( AND( $BL$635 = "1", $BM$635 = "1" ), 1, IF( AND( $BL$635 = "1", $BM$635 = "0" ), 2, IF( AND( $BL$635 = "0", $BM$635 = "1" ), 3, 4 ) ) )</f>
        <v>1</v>
      </c>
    </row>
    <row r="636" spans="58:66" x14ac:dyDescent="0.25">
      <c r="BF636" s="1">
        <v>0</v>
      </c>
      <c r="BG636" t="str">
        <f>"0"</f>
        <v>0</v>
      </c>
      <c r="BH636" t="str">
        <f xml:space="preserve"> IF($BF$636 &gt;= $G$204, "1","0")</f>
        <v>0</v>
      </c>
      <c r="BI636">
        <f xml:space="preserve"> IF( AND( $BG$636 = "1", $BH$636 = "1" ), 1, IF( AND( $BG$636 = "1", $BH$636 = "0" ), 2, IF( AND( $BG$636 = "0", $BH$636 = "1" ), 3, 4 ) ) )</f>
        <v>4</v>
      </c>
      <c r="BK636" s="1">
        <v>0</v>
      </c>
      <c r="BL636" t="str">
        <f>"0"</f>
        <v>0</v>
      </c>
      <c r="BM636" t="str">
        <f xml:space="preserve"> IF($BK$636 &gt;= $G$281, "1","0")</f>
        <v>0</v>
      </c>
      <c r="BN636">
        <f xml:space="preserve"> IF( AND( $BL$636 = "1", $BM$636 = "1" ), 1, IF( AND( $BL$636 = "1", $BM$636 = "0" ), 2, IF( AND( $BL$636 = "0", $BM$636 = "1" ), 3, 4 ) ) )</f>
        <v>4</v>
      </c>
    </row>
    <row r="637" spans="58:66" x14ac:dyDescent="0.25">
      <c r="BF637" s="1">
        <v>0</v>
      </c>
      <c r="BG637" t="str">
        <f>"0"</f>
        <v>0</v>
      </c>
      <c r="BH637" t="str">
        <f xml:space="preserve"> IF($BF$637 &gt;= $G$204, "1","0")</f>
        <v>0</v>
      </c>
      <c r="BI637">
        <f xml:space="preserve"> IF( AND( $BG$637 = "1", $BH$637 = "1" ), 1, IF( AND( $BG$637 = "1", $BH$637 = "0" ), 2, IF( AND( $BG$637 = "0", $BH$637 = "1" ), 3, 4 ) ) )</f>
        <v>4</v>
      </c>
      <c r="BK637" s="1">
        <v>2.5000000000000001E-3</v>
      </c>
      <c r="BL637" t="str">
        <f>"0"</f>
        <v>0</v>
      </c>
      <c r="BM637" t="str">
        <f xml:space="preserve"> IF($BK$637 &gt;= $G$281, "1","0")</f>
        <v>0</v>
      </c>
      <c r="BN637">
        <f xml:space="preserve"> IF( AND( $BL$637 = "1", $BM$637 = "1" ), 1, IF( AND( $BL$637 = "1", $BM$637 = "0" ), 2, IF( AND( $BL$637 = "0", $BM$637 = "1" ), 3, 4 ) ) )</f>
        <v>4</v>
      </c>
    </row>
    <row r="638" spans="58:66" x14ac:dyDescent="0.25">
      <c r="BF638" s="1">
        <v>0</v>
      </c>
      <c r="BG638" t="str">
        <f>"0"</f>
        <v>0</v>
      </c>
      <c r="BH638" t="str">
        <f xml:space="preserve"> IF($BF$638 &gt;= $G$204, "1","0")</f>
        <v>0</v>
      </c>
      <c r="BI638">
        <f xml:space="preserve"> IF( AND( $BG$638 = "1", $BH$638 = "1" ), 1, IF( AND( $BG$638 = "1", $BH$638 = "0" ), 2, IF( AND( $BG$638 = "0", $BH$638 = "1" ), 3, 4 ) ) )</f>
        <v>4</v>
      </c>
      <c r="BK638" s="1">
        <v>1</v>
      </c>
      <c r="BL638" t="str">
        <f>"1"</f>
        <v>1</v>
      </c>
      <c r="BM638" t="str">
        <f xml:space="preserve"> IF($BK$638 &gt;= $G$281, "1","0")</f>
        <v>1</v>
      </c>
      <c r="BN638">
        <f xml:space="preserve"> IF( AND( $BL$638 = "1", $BM$638 = "1" ), 1, IF( AND( $BL$638 = "1", $BM$638 = "0" ), 2, IF( AND( $BL$638 = "0", $BM$638 = "1" ), 3, 4 ) ) )</f>
        <v>1</v>
      </c>
    </row>
    <row r="639" spans="58:66" x14ac:dyDescent="0.25">
      <c r="BF639" s="1">
        <v>0</v>
      </c>
      <c r="BG639" t="str">
        <f>"0"</f>
        <v>0</v>
      </c>
      <c r="BH639" t="str">
        <f xml:space="preserve"> IF($BF$639 &gt;= $G$204, "1","0")</f>
        <v>0</v>
      </c>
      <c r="BI639">
        <f xml:space="preserve"> IF( AND( $BG$639 = "1", $BH$639 = "1" ), 1, IF( AND( $BG$639 = "1", $BH$639 = "0" ), 2, IF( AND( $BG$639 = "0", $BH$639 = "1" ), 3, 4 ) ) )</f>
        <v>4</v>
      </c>
      <c r="BK639" s="1">
        <v>1</v>
      </c>
      <c r="BL639" t="str">
        <f>"1"</f>
        <v>1</v>
      </c>
      <c r="BM639" t="str">
        <f xml:space="preserve"> IF($BK$639 &gt;= $G$281, "1","0")</f>
        <v>1</v>
      </c>
      <c r="BN639">
        <f xml:space="preserve"> IF( AND( $BL$639 = "1", $BM$639 = "1" ), 1, IF( AND( $BL$639 = "1", $BM$639 = "0" ), 2, IF( AND( $BL$639 = "0", $BM$639 = "1" ), 3, 4 ) ) )</f>
        <v>1</v>
      </c>
    </row>
    <row r="640" spans="58:66" x14ac:dyDescent="0.25">
      <c r="BF640" s="1">
        <v>0</v>
      </c>
      <c r="BG640" t="str">
        <f>"0"</f>
        <v>0</v>
      </c>
      <c r="BH640" t="str">
        <f xml:space="preserve"> IF($BF$640 &gt;= $G$204, "1","0")</f>
        <v>0</v>
      </c>
      <c r="BI640">
        <f xml:space="preserve"> IF( AND( $BG$640 = "1", $BH$640 = "1" ), 1, IF( AND( $BG$640 = "1", $BH$640 = "0" ), 2, IF( AND( $BG$640 = "0", $BH$640 = "1" ), 3, 4 ) ) )</f>
        <v>4</v>
      </c>
      <c r="BK640" s="1">
        <v>0.37500000000000006</v>
      </c>
      <c r="BL640" t="str">
        <f>"1"</f>
        <v>1</v>
      </c>
      <c r="BM640" t="str">
        <f xml:space="preserve"> IF($BK$640 &gt;= $G$281, "1","0")</f>
        <v>1</v>
      </c>
      <c r="BN640">
        <f xml:space="preserve"> IF( AND( $BL$640 = "1", $BM$640 = "1" ), 1, IF( AND( $BL$640 = "1", $BM$640 = "0" ), 2, IF( AND( $BL$640 = "0", $BM$640 = "1" ), 3, 4 ) ) )</f>
        <v>1</v>
      </c>
    </row>
    <row r="641" spans="58:66" x14ac:dyDescent="0.25">
      <c r="BF641" s="1">
        <v>0</v>
      </c>
      <c r="BG641" t="str">
        <f>"0"</f>
        <v>0</v>
      </c>
      <c r="BH641" t="str">
        <f xml:space="preserve"> IF($BF$641 &gt;= $G$204, "1","0")</f>
        <v>0</v>
      </c>
      <c r="BI641">
        <f xml:space="preserve"> IF( AND( $BG$641 = "1", $BH$641 = "1" ), 1, IF( AND( $BG$641 = "1", $BH$641 = "0" ), 2, IF( AND( $BG$641 = "0", $BH$641 = "1" ), 3, 4 ) ) )</f>
        <v>4</v>
      </c>
      <c r="BK641" s="1">
        <v>1</v>
      </c>
      <c r="BL641" t="str">
        <f>"1"</f>
        <v>1</v>
      </c>
      <c r="BM641" t="str">
        <f xml:space="preserve"> IF($BK$641 &gt;= $G$281, "1","0")</f>
        <v>1</v>
      </c>
      <c r="BN641">
        <f xml:space="preserve"> IF( AND( $BL$641 = "1", $BM$641 = "1" ), 1, IF( AND( $BL$641 = "1", $BM$641 = "0" ), 2, IF( AND( $BL$641 = "0", $BM$641 = "1" ), 3, 4 ) ) )</f>
        <v>1</v>
      </c>
    </row>
    <row r="642" spans="58:66" x14ac:dyDescent="0.25">
      <c r="BF642" s="1">
        <v>0</v>
      </c>
      <c r="BG642" t="str">
        <f>"0"</f>
        <v>0</v>
      </c>
      <c r="BH642" t="str">
        <f xml:space="preserve"> IF($BF$642 &gt;= $G$204, "1","0")</f>
        <v>0</v>
      </c>
      <c r="BI642">
        <f xml:space="preserve"> IF( AND( $BG$642 = "1", $BH$642 = "1" ), 1, IF( AND( $BG$642 = "1", $BH$642 = "0" ), 2, IF( AND( $BG$642 = "0", $BH$642 = "1" ), 3, 4 ) ) )</f>
        <v>4</v>
      </c>
      <c r="BK642" s="1">
        <v>2.5000000000000001E-3</v>
      </c>
      <c r="BL642" t="str">
        <f>"0"</f>
        <v>0</v>
      </c>
      <c r="BM642" t="str">
        <f xml:space="preserve"> IF($BK$642 &gt;= $G$281, "1","0")</f>
        <v>0</v>
      </c>
      <c r="BN642">
        <f xml:space="preserve"> IF( AND( $BL$642 = "1", $BM$642 = "1" ), 1, IF( AND( $BL$642 = "1", $BM$642 = "0" ), 2, IF( AND( $BL$642 = "0", $BM$642 = "1" ), 3, 4 ) ) )</f>
        <v>4</v>
      </c>
    </row>
    <row r="643" spans="58:66" x14ac:dyDescent="0.25">
      <c r="BF643" s="1">
        <v>0</v>
      </c>
      <c r="BG643" t="str">
        <f>"0"</f>
        <v>0</v>
      </c>
      <c r="BH643" t="str">
        <f xml:space="preserve"> IF($BF$643 &gt;= $G$204, "1","0")</f>
        <v>0</v>
      </c>
      <c r="BI643">
        <f xml:space="preserve"> IF( AND( $BG$643 = "1", $BH$643 = "1" ), 1, IF( AND( $BG$643 = "1", $BH$643 = "0" ), 2, IF( AND( $BG$643 = "0", $BH$643 = "1" ), 3, 4 ) ) )</f>
        <v>4</v>
      </c>
      <c r="BK643" s="1">
        <v>0</v>
      </c>
      <c r="BL643" t="str">
        <f>"0"</f>
        <v>0</v>
      </c>
      <c r="BM643" t="str">
        <f xml:space="preserve"> IF($BK$643 &gt;= $G$281, "1","0")</f>
        <v>0</v>
      </c>
      <c r="BN643">
        <f xml:space="preserve"> IF( AND( $BL$643 = "1", $BM$643 = "1" ), 1, IF( AND( $BL$643 = "1", $BM$643 = "0" ), 2, IF( AND( $BL$643 = "0", $BM$643 = "1" ), 3, 4 ) ) )</f>
        <v>4</v>
      </c>
    </row>
    <row r="644" spans="58:66" x14ac:dyDescent="0.25">
      <c r="BF644" s="1">
        <v>0</v>
      </c>
      <c r="BG644" t="str">
        <f>"0"</f>
        <v>0</v>
      </c>
      <c r="BH644" t="str">
        <f xml:space="preserve"> IF($BF$644 &gt;= $G$204, "1","0")</f>
        <v>0</v>
      </c>
      <c r="BI644">
        <f xml:space="preserve"> IF( AND( $BG$644 = "1", $BH$644 = "1" ), 1, IF( AND( $BG$644 = "1", $BH$644 = "0" ), 2, IF( AND( $BG$644 = "0", $BH$644 = "1" ), 3, 4 ) ) )</f>
        <v>4</v>
      </c>
      <c r="BK644" s="1">
        <v>0.14285714285714285</v>
      </c>
      <c r="BL644" t="str">
        <f>"1"</f>
        <v>1</v>
      </c>
      <c r="BM644" t="str">
        <f xml:space="preserve"> IF($BK$644 &gt;= $G$281, "1","0")</f>
        <v>0</v>
      </c>
      <c r="BN644">
        <f xml:space="preserve"> IF( AND( $BL$644 = "1", $BM$644 = "1" ), 1, IF( AND( $BL$644 = "1", $BM$644 = "0" ), 2, IF( AND( $BL$644 = "0", $BM$644 = "1" ), 3, 4 ) ) )</f>
        <v>2</v>
      </c>
    </row>
    <row r="645" spans="58:66" x14ac:dyDescent="0.25">
      <c r="BF645" s="1">
        <v>0</v>
      </c>
      <c r="BG645" t="str">
        <f>"0"</f>
        <v>0</v>
      </c>
      <c r="BH645" t="str">
        <f xml:space="preserve"> IF($BF$645 &gt;= $G$204, "1","0")</f>
        <v>0</v>
      </c>
      <c r="BI645">
        <f xml:space="preserve"> IF( AND( $BG$645 = "1", $BH$645 = "1" ), 1, IF( AND( $BG$645 = "1", $BH$645 = "0" ), 2, IF( AND( $BG$645 = "0", $BH$645 = "1" ), 3, 4 ) ) )</f>
        <v>4</v>
      </c>
      <c r="BK645" s="1">
        <v>1</v>
      </c>
      <c r="BL645" t="str">
        <f>"1"</f>
        <v>1</v>
      </c>
      <c r="BM645" t="str">
        <f xml:space="preserve"> IF($BK$645 &gt;= $G$281, "1","0")</f>
        <v>1</v>
      </c>
      <c r="BN645">
        <f xml:space="preserve"> IF( AND( $BL$645 = "1", $BM$645 = "1" ), 1, IF( AND( $BL$645 = "1", $BM$645 = "0" ), 2, IF( AND( $BL$645 = "0", $BM$645 = "1" ), 3, 4 ) ) )</f>
        <v>1</v>
      </c>
    </row>
    <row r="646" spans="58:66" x14ac:dyDescent="0.25">
      <c r="BF646" s="1">
        <v>0</v>
      </c>
      <c r="BG646" t="str">
        <f>"0"</f>
        <v>0</v>
      </c>
      <c r="BH646" t="str">
        <f xml:space="preserve"> IF($BF$646 &gt;= $G$204, "1","0")</f>
        <v>0</v>
      </c>
      <c r="BI646">
        <f xml:space="preserve"> IF( AND( $BG$646 = "1", $BH$646 = "1" ), 1, IF( AND( $BG$646 = "1", $BH$646 = "0" ), 2, IF( AND( $BG$646 = "0", $BH$646 = "1" ), 3, 4 ) ) )</f>
        <v>4</v>
      </c>
      <c r="BK646" s="1">
        <v>0</v>
      </c>
      <c r="BL646" t="str">
        <f>"0"</f>
        <v>0</v>
      </c>
      <c r="BM646" t="str">
        <f xml:space="preserve"> IF($BK$646 &gt;= $G$281, "1","0")</f>
        <v>0</v>
      </c>
      <c r="BN646">
        <f xml:space="preserve"> IF( AND( $BL$646 = "1", $BM$646 = "1" ), 1, IF( AND( $BL$646 = "1", $BM$646 = "0" ), 2, IF( AND( $BL$646 = "0", $BM$646 = "1" ), 3, 4 ) ) )</f>
        <v>4</v>
      </c>
    </row>
    <row r="647" spans="58:66" x14ac:dyDescent="0.25">
      <c r="BF647" s="1">
        <v>0</v>
      </c>
      <c r="BG647" t="str">
        <f>"0"</f>
        <v>0</v>
      </c>
      <c r="BH647" t="str">
        <f xml:space="preserve"> IF($BF$647 &gt;= $G$204, "1","0")</f>
        <v>0</v>
      </c>
      <c r="BI647">
        <f xml:space="preserve"> IF( AND( $BG$647 = "1", $BH$647 = "1" ), 1, IF( AND( $BG$647 = "1", $BH$647 = "0" ), 2, IF( AND( $BG$647 = "0", $BH$647 = "1" ), 3, 4 ) ) )</f>
        <v>4</v>
      </c>
      <c r="BK647" s="1">
        <v>3.333333333333334E-2</v>
      </c>
      <c r="BL647" t="str">
        <f>"0"</f>
        <v>0</v>
      </c>
      <c r="BM647" t="str">
        <f xml:space="preserve"> IF($BK$647 &gt;= $G$281, "1","0")</f>
        <v>0</v>
      </c>
      <c r="BN647">
        <f xml:space="preserve"> IF( AND( $BL$647 = "1", $BM$647 = "1" ), 1, IF( AND( $BL$647 = "1", $BM$647 = "0" ), 2, IF( AND( $BL$647 = "0", $BM$647 = "1" ), 3, 4 ) ) )</f>
        <v>4</v>
      </c>
    </row>
    <row r="648" spans="58:66" x14ac:dyDescent="0.25">
      <c r="BF648" s="1">
        <v>0</v>
      </c>
      <c r="BG648" t="str">
        <f>"0"</f>
        <v>0</v>
      </c>
      <c r="BH648" t="str">
        <f xml:space="preserve"> IF($BF$648 &gt;= $G$204, "1","0")</f>
        <v>0</v>
      </c>
      <c r="BI648">
        <f xml:space="preserve"> IF( AND( $BG$648 = "1", $BH$648 = "1" ), 1, IF( AND( $BG$648 = "1", $BH$648 = "0" ), 2, IF( AND( $BG$648 = "0", $BH$648 = "1" ), 3, 4 ) ) )</f>
        <v>4</v>
      </c>
      <c r="BK648" s="1">
        <v>0</v>
      </c>
      <c r="BL648" t="str">
        <f>"0"</f>
        <v>0</v>
      </c>
      <c r="BM648" t="str">
        <f xml:space="preserve"> IF($BK$648 &gt;= $G$281, "1","0")</f>
        <v>0</v>
      </c>
      <c r="BN648">
        <f xml:space="preserve"> IF( AND( $BL$648 = "1", $BM$648 = "1" ), 1, IF( AND( $BL$648 = "1", $BM$648 = "0" ), 2, IF( AND( $BL$648 = "0", $BM$648 = "1" ), 3, 4 ) ) )</f>
        <v>4</v>
      </c>
    </row>
    <row r="649" spans="58:66" x14ac:dyDescent="0.25">
      <c r="BF649" s="1">
        <v>0</v>
      </c>
      <c r="BG649" t="str">
        <f>"0"</f>
        <v>0</v>
      </c>
      <c r="BH649" t="str">
        <f xml:space="preserve"> IF($BF$649 &gt;= $G$204, "1","0")</f>
        <v>0</v>
      </c>
      <c r="BI649">
        <f xml:space="preserve"> IF( AND( $BG$649 = "1", $BH$649 = "1" ), 1, IF( AND( $BG$649 = "1", $BH$649 = "0" ), 2, IF( AND( $BG$649 = "0", $BH$649 = "1" ), 3, 4 ) ) )</f>
        <v>4</v>
      </c>
      <c r="BK649" s="1">
        <v>0.32</v>
      </c>
      <c r="BL649" t="str">
        <f>"1"</f>
        <v>1</v>
      </c>
      <c r="BM649" t="str">
        <f xml:space="preserve"> IF($BK$649 &gt;= $G$281, "1","0")</f>
        <v>1</v>
      </c>
      <c r="BN649">
        <f xml:space="preserve"> IF( AND( $BL$649 = "1", $BM$649 = "1" ), 1, IF( AND( $BL$649 = "1", $BM$649 = "0" ), 2, IF( AND( $BL$649 = "0", $BM$649 = "1" ), 3, 4 ) ) )</f>
        <v>1</v>
      </c>
    </row>
    <row r="650" spans="58:66" x14ac:dyDescent="0.25">
      <c r="BF650" s="1">
        <v>0</v>
      </c>
      <c r="BG650" t="str">
        <f>"0"</f>
        <v>0</v>
      </c>
      <c r="BH650" t="str">
        <f xml:space="preserve"> IF($BF$650 &gt;= $G$204, "1","0")</f>
        <v>0</v>
      </c>
      <c r="BI650">
        <f xml:space="preserve"> IF( AND( $BG$650 = "1", $BH$650 = "1" ), 1, IF( AND( $BG$650 = "1", $BH$650 = "0" ), 2, IF( AND( $BG$650 = "0", $BH$650 = "1" ), 3, 4 ) ) )</f>
        <v>4</v>
      </c>
      <c r="BK650" s="1">
        <v>0.79999999999999993</v>
      </c>
      <c r="BL650" t="str">
        <f>"1"</f>
        <v>1</v>
      </c>
      <c r="BM650" t="str">
        <f xml:space="preserve"> IF($BK$650 &gt;= $G$281, "1","0")</f>
        <v>1</v>
      </c>
      <c r="BN650">
        <f xml:space="preserve"> IF( AND( $BL$650 = "1", $BM$650 = "1" ), 1, IF( AND( $BL$650 = "1", $BM$650 = "0" ), 2, IF( AND( $BL$650 = "0", $BM$650 = "1" ), 3, 4 ) ) )</f>
        <v>1</v>
      </c>
    </row>
    <row r="651" spans="58:66" x14ac:dyDescent="0.25">
      <c r="BF651" s="1">
        <v>0</v>
      </c>
      <c r="BG651" t="str">
        <f>"0"</f>
        <v>0</v>
      </c>
      <c r="BH651" t="str">
        <f xml:space="preserve"> IF($BF$651 &gt;= $G$204, "1","0")</f>
        <v>0</v>
      </c>
      <c r="BI651">
        <f xml:space="preserve"> IF( AND( $BG$651 = "1", $BH$651 = "1" ), 1, IF( AND( $BG$651 = "1", $BH$651 = "0" ), 2, IF( AND( $BG$651 = "0", $BH$651 = "1" ), 3, 4 ) ) )</f>
        <v>4</v>
      </c>
      <c r="BK651" s="1">
        <v>3.333333333333334E-2</v>
      </c>
      <c r="BL651" t="str">
        <f>"0"</f>
        <v>0</v>
      </c>
      <c r="BM651" t="str">
        <f xml:space="preserve"> IF($BK$651 &gt;= $G$281, "1","0")</f>
        <v>0</v>
      </c>
      <c r="BN651">
        <f xml:space="preserve"> IF( AND( $BL$651 = "1", $BM$651 = "1" ), 1, IF( AND( $BL$651 = "1", $BM$651 = "0" ), 2, IF( AND( $BL$651 = "0", $BM$651 = "1" ), 3, 4 ) ) )</f>
        <v>4</v>
      </c>
    </row>
    <row r="652" spans="58:66" x14ac:dyDescent="0.25">
      <c r="BF652" s="1">
        <v>0</v>
      </c>
      <c r="BG652" t="str">
        <f>"0"</f>
        <v>0</v>
      </c>
      <c r="BH652" t="str">
        <f xml:space="preserve"> IF($BF$652 &gt;= $G$204, "1","0")</f>
        <v>0</v>
      </c>
      <c r="BI652">
        <f xml:space="preserve"> IF( AND( $BG$652 = "1", $BH$652 = "1" ), 1, IF( AND( $BG$652 = "1", $BH$652 = "0" ), 2, IF( AND( $BG$652 = "0", $BH$652 = "1" ), 3, 4 ) ) )</f>
        <v>4</v>
      </c>
      <c r="BK652" s="1">
        <v>0.32</v>
      </c>
      <c r="BL652" t="str">
        <f>"0"</f>
        <v>0</v>
      </c>
      <c r="BM652" t="str">
        <f xml:space="preserve"> IF($BK$652 &gt;= $G$281, "1","0")</f>
        <v>1</v>
      </c>
      <c r="BN652">
        <f xml:space="preserve"> IF( AND( $BL$652 = "1", $BM$652 = "1" ), 1, IF( AND( $BL$652 = "1", $BM$652 = "0" ), 2, IF( AND( $BL$652 = "0", $BM$652 = "1" ), 3, 4 ) ) )</f>
        <v>3</v>
      </c>
    </row>
    <row r="653" spans="58:66" x14ac:dyDescent="0.25">
      <c r="BF653" s="1">
        <v>0</v>
      </c>
      <c r="BG653" t="str">
        <f>"0"</f>
        <v>0</v>
      </c>
      <c r="BH653" t="str">
        <f xml:space="preserve"> IF($BF$653 &gt;= $G$204, "1","0")</f>
        <v>0</v>
      </c>
      <c r="BI653">
        <f xml:space="preserve"> IF( AND( $BG$653 = "1", $BH$653 = "1" ), 1, IF( AND( $BG$653 = "1", $BH$653 = "0" ), 2, IF( AND( $BG$653 = "0", $BH$653 = "1" ), 3, 4 ) ) )</f>
        <v>4</v>
      </c>
      <c r="BK653" s="1">
        <v>1</v>
      </c>
      <c r="BL653" t="str">
        <f>"1"</f>
        <v>1</v>
      </c>
      <c r="BM653" t="str">
        <f xml:space="preserve"> IF($BK$653 &gt;= $G$281, "1","0")</f>
        <v>1</v>
      </c>
      <c r="BN653">
        <f xml:space="preserve"> IF( AND( $BL$653 = "1", $BM$653 = "1" ), 1, IF( AND( $BL$653 = "1", $BM$653 = "0" ), 2, IF( AND( $BL$653 = "0", $BM$653 = "1" ), 3, 4 ) ) )</f>
        <v>1</v>
      </c>
    </row>
    <row r="654" spans="58:66" x14ac:dyDescent="0.25">
      <c r="BF654" s="1">
        <v>0</v>
      </c>
      <c r="BG654" t="str">
        <f>"0"</f>
        <v>0</v>
      </c>
      <c r="BH654" t="str">
        <f xml:space="preserve"> IF($BF$654 &gt;= $G$204, "1","0")</f>
        <v>0</v>
      </c>
      <c r="BI654">
        <f xml:space="preserve"> IF( AND( $BG$654 = "1", $BH$654 = "1" ), 1, IF( AND( $BG$654 = "1", $BH$654 = "0" ), 2, IF( AND( $BG$654 = "0", $BH$654 = "1" ), 3, 4 ) ) )</f>
        <v>4</v>
      </c>
      <c r="BK654" s="1">
        <v>2.5000000000000001E-3</v>
      </c>
      <c r="BL654" t="str">
        <f>"0"</f>
        <v>0</v>
      </c>
      <c r="BM654" t="str">
        <f xml:space="preserve"> IF($BK$654 &gt;= $G$281, "1","0")</f>
        <v>0</v>
      </c>
      <c r="BN654">
        <f xml:space="preserve"> IF( AND( $BL$654 = "1", $BM$654 = "1" ), 1, IF( AND( $BL$654 = "1", $BM$654 = "0" ), 2, IF( AND( $BL$654 = "0", $BM$654 = "1" ), 3, 4 ) ) )</f>
        <v>4</v>
      </c>
    </row>
    <row r="655" spans="58:66" x14ac:dyDescent="0.25">
      <c r="BF655" s="1">
        <v>0</v>
      </c>
      <c r="BG655" t="str">
        <f>"0"</f>
        <v>0</v>
      </c>
      <c r="BH655" t="str">
        <f xml:space="preserve"> IF($BF$655 &gt;= $G$204, "1","0")</f>
        <v>0</v>
      </c>
      <c r="BI655">
        <f xml:space="preserve"> IF( AND( $BG$655 = "1", $BH$655 = "1" ), 1, IF( AND( $BG$655 = "1", $BH$655 = "0" ), 2, IF( AND( $BG$655 = "0", $BH$655 = "1" ), 3, 4 ) ) )</f>
        <v>4</v>
      </c>
      <c r="BK655" s="1">
        <v>1</v>
      </c>
      <c r="BL655" t="str">
        <f>"1"</f>
        <v>1</v>
      </c>
      <c r="BM655" t="str">
        <f xml:space="preserve"> IF($BK$655 &gt;= $G$281, "1","0")</f>
        <v>1</v>
      </c>
      <c r="BN655">
        <f xml:space="preserve"> IF( AND( $BL$655 = "1", $BM$655 = "1" ), 1, IF( AND( $BL$655 = "1", $BM$655 = "0" ), 2, IF( AND( $BL$655 = "0", $BM$655 = "1" ), 3, 4 ) ) )</f>
        <v>1</v>
      </c>
    </row>
    <row r="656" spans="58:66" x14ac:dyDescent="0.25">
      <c r="BF656" s="1">
        <v>0</v>
      </c>
      <c r="BG656" t="str">
        <f>"0"</f>
        <v>0</v>
      </c>
      <c r="BH656" t="str">
        <f xml:space="preserve"> IF($BF$656 &gt;= $G$204, "1","0")</f>
        <v>0</v>
      </c>
      <c r="BI656">
        <f xml:space="preserve"> IF( AND( $BG$656 = "1", $BH$656 = "1" ), 1, IF( AND( $BG$656 = "1", $BH$656 = "0" ), 2, IF( AND( $BG$656 = "0", $BH$656 = "1" ), 3, 4 ) ) )</f>
        <v>4</v>
      </c>
      <c r="BK656" s="1">
        <v>1</v>
      </c>
      <c r="BL656" t="str">
        <f>"1"</f>
        <v>1</v>
      </c>
      <c r="BM656" t="str">
        <f xml:space="preserve"> IF($BK$656 &gt;= $G$281, "1","0")</f>
        <v>1</v>
      </c>
      <c r="BN656">
        <f xml:space="preserve"> IF( AND( $BL$656 = "1", $BM$656 = "1" ), 1, IF( AND( $BL$656 = "1", $BM$656 = "0" ), 2, IF( AND( $BL$656 = "0", $BM$656 = "1" ), 3, 4 ) ) )</f>
        <v>1</v>
      </c>
    </row>
    <row r="657" spans="58:66" x14ac:dyDescent="0.25">
      <c r="BF657" s="1">
        <v>0</v>
      </c>
      <c r="BG657" t="str">
        <f>"0"</f>
        <v>0</v>
      </c>
      <c r="BH657" t="str">
        <f xml:space="preserve"> IF($BF$657 &gt;= $G$204, "1","0")</f>
        <v>0</v>
      </c>
      <c r="BI657">
        <f xml:space="preserve"> IF( AND( $BG$657 = "1", $BH$657 = "1" ), 1, IF( AND( $BG$657 = "1", $BH$657 = "0" ), 2, IF( AND( $BG$657 = "0", $BH$657 = "1" ), 3, 4 ) ) )</f>
        <v>4</v>
      </c>
      <c r="BK657" s="1">
        <v>0</v>
      </c>
      <c r="BL657" t="str">
        <f>"0"</f>
        <v>0</v>
      </c>
      <c r="BM657" t="str">
        <f xml:space="preserve"> IF($BK$657 &gt;= $G$281, "1","0")</f>
        <v>0</v>
      </c>
      <c r="BN657">
        <f xml:space="preserve"> IF( AND( $BL$657 = "1", $BM$657 = "1" ), 1, IF( AND( $BL$657 = "1", $BM$657 = "0" ), 2, IF( AND( $BL$657 = "0", $BM$657 = "1" ), 3, 4 ) ) )</f>
        <v>4</v>
      </c>
    </row>
    <row r="658" spans="58:66" x14ac:dyDescent="0.25">
      <c r="BF658" s="1">
        <v>0</v>
      </c>
      <c r="BG658" t="str">
        <f>"0"</f>
        <v>0</v>
      </c>
      <c r="BH658" t="str">
        <f xml:space="preserve"> IF($BF$658 &gt;= $G$204, "1","0")</f>
        <v>0</v>
      </c>
      <c r="BI658">
        <f xml:space="preserve"> IF( AND( $BG$658 = "1", $BH$658 = "1" ), 1, IF( AND( $BG$658 = "1", $BH$658 = "0" ), 2, IF( AND( $BG$658 = "0", $BH$658 = "1" ), 3, 4 ) ) )</f>
        <v>4</v>
      </c>
      <c r="BK658" s="1">
        <v>0</v>
      </c>
      <c r="BL658" t="str">
        <f>"0"</f>
        <v>0</v>
      </c>
      <c r="BM658" t="str">
        <f xml:space="preserve"> IF($BK$658 &gt;= $G$281, "1","0")</f>
        <v>0</v>
      </c>
      <c r="BN658">
        <f xml:space="preserve"> IF( AND( $BL$658 = "1", $BM$658 = "1" ), 1, IF( AND( $BL$658 = "1", $BM$658 = "0" ), 2, IF( AND( $BL$658 = "0", $BM$658 = "1" ), 3, 4 ) ) )</f>
        <v>4</v>
      </c>
    </row>
    <row r="659" spans="58:66" x14ac:dyDescent="0.25">
      <c r="BF659" s="1">
        <v>0</v>
      </c>
      <c r="BG659" t="str">
        <f>"0"</f>
        <v>0</v>
      </c>
      <c r="BH659" t="str">
        <f xml:space="preserve"> IF($BF$659 &gt;= $G$204, "1","0")</f>
        <v>0</v>
      </c>
      <c r="BI659">
        <f xml:space="preserve"> IF( AND( $BG$659 = "1", $BH$659 = "1" ), 1, IF( AND( $BG$659 = "1", $BH$659 = "0" ), 2, IF( AND( $BG$659 = "0", $BH$659 = "1" ), 3, 4 ) ) )</f>
        <v>4</v>
      </c>
      <c r="BK659" s="1">
        <v>1.8947368421052633E-2</v>
      </c>
      <c r="BL659" t="str">
        <f>"0"</f>
        <v>0</v>
      </c>
      <c r="BM659" t="str">
        <f xml:space="preserve"> IF($BK$659 &gt;= $G$281, "1","0")</f>
        <v>0</v>
      </c>
      <c r="BN659">
        <f xml:space="preserve"> IF( AND( $BL$659 = "1", $BM$659 = "1" ), 1, IF( AND( $BL$659 = "1", $BM$659 = "0" ), 2, IF( AND( $BL$659 = "0", $BM$659 = "1" ), 3, 4 ) ) )</f>
        <v>4</v>
      </c>
    </row>
    <row r="660" spans="58:66" x14ac:dyDescent="0.25">
      <c r="BF660" s="1">
        <v>0</v>
      </c>
      <c r="BG660" t="str">
        <f>"0"</f>
        <v>0</v>
      </c>
      <c r="BH660" t="str">
        <f xml:space="preserve"> IF($BF$660 &gt;= $G$204, "1","0")</f>
        <v>0</v>
      </c>
      <c r="BI660">
        <f xml:space="preserve"> IF( AND( $BG$660 = "1", $BH$660 = "1" ), 1, IF( AND( $BG$660 = "1", $BH$660 = "0" ), 2, IF( AND( $BG$660 = "0", $BH$660 = "1" ), 3, 4 ) ) )</f>
        <v>4</v>
      </c>
      <c r="BK660" s="1">
        <v>3.333333333333334E-2</v>
      </c>
      <c r="BL660" t="str">
        <f>"0"</f>
        <v>0</v>
      </c>
      <c r="BM660" t="str">
        <f xml:space="preserve"> IF($BK$660 &gt;= $G$281, "1","0")</f>
        <v>0</v>
      </c>
      <c r="BN660">
        <f xml:space="preserve"> IF( AND( $BL$660 = "1", $BM$660 = "1" ), 1, IF( AND( $BL$660 = "1", $BM$660 = "0" ), 2, IF( AND( $BL$660 = "0", $BM$660 = "1" ), 3, 4 ) ) )</f>
        <v>4</v>
      </c>
    </row>
    <row r="661" spans="58:66" x14ac:dyDescent="0.25">
      <c r="BF661" s="1">
        <v>0</v>
      </c>
      <c r="BG661" t="str">
        <f>"0"</f>
        <v>0</v>
      </c>
      <c r="BH661" t="str">
        <f xml:space="preserve"> IF($BF$661 &gt;= $G$204, "1","0")</f>
        <v>0</v>
      </c>
      <c r="BI661">
        <f xml:space="preserve"> IF( AND( $BG$661 = "1", $BH$661 = "1" ), 1, IF( AND( $BG$661 = "1", $BH$661 = "0" ), 2, IF( AND( $BG$661 = "0", $BH$661 = "1" ), 3, 4 ) ) )</f>
        <v>4</v>
      </c>
      <c r="BK661" s="1">
        <v>0.37500000000000006</v>
      </c>
      <c r="BL661" t="str">
        <f>"0"</f>
        <v>0</v>
      </c>
      <c r="BM661" t="str">
        <f xml:space="preserve"> IF($BK$661 &gt;= $G$281, "1","0")</f>
        <v>1</v>
      </c>
      <c r="BN661">
        <f xml:space="preserve"> IF( AND( $BL$661 = "1", $BM$661 = "1" ), 1, IF( AND( $BL$661 = "1", $BM$661 = "0" ), 2, IF( AND( $BL$661 = "0", $BM$661 = "1" ), 3, 4 ) ) )</f>
        <v>3</v>
      </c>
    </row>
    <row r="662" spans="58:66" x14ac:dyDescent="0.25">
      <c r="BF662" s="1">
        <v>0</v>
      </c>
      <c r="BG662" t="str">
        <f>"0"</f>
        <v>0</v>
      </c>
      <c r="BH662" t="str">
        <f xml:space="preserve"> IF($BF$662 &gt;= $G$204, "1","0")</f>
        <v>0</v>
      </c>
      <c r="BI662">
        <f xml:space="preserve"> IF( AND( $BG$662 = "1", $BH$662 = "1" ), 1, IF( AND( $BG$662 = "1", $BH$662 = "0" ), 2, IF( AND( $BG$662 = "0", $BH$662 = "1" ), 3, 4 ) ) )</f>
        <v>4</v>
      </c>
      <c r="BK662" s="1">
        <v>1.8947368421052633E-2</v>
      </c>
      <c r="BL662" t="str">
        <f>"0"</f>
        <v>0</v>
      </c>
      <c r="BM662" t="str">
        <f xml:space="preserve"> IF($BK$662 &gt;= $G$281, "1","0")</f>
        <v>0</v>
      </c>
      <c r="BN662">
        <f xml:space="preserve"> IF( AND( $BL$662 = "1", $BM$662 = "1" ), 1, IF( AND( $BL$662 = "1", $BM$662 = "0" ), 2, IF( AND( $BL$662 = "0", $BM$662 = "1" ), 3, 4 ) ) )</f>
        <v>4</v>
      </c>
    </row>
    <row r="663" spans="58:66" x14ac:dyDescent="0.25">
      <c r="BF663" s="1">
        <v>0</v>
      </c>
      <c r="BG663" t="str">
        <f>"0"</f>
        <v>0</v>
      </c>
      <c r="BH663" t="str">
        <f xml:space="preserve"> IF($BF$663 &gt;= $G$204, "1","0")</f>
        <v>0</v>
      </c>
      <c r="BI663">
        <f xml:space="preserve"> IF( AND( $BG$663 = "1", $BH$663 = "1" ), 1, IF( AND( $BG$663 = "1", $BH$663 = "0" ), 2, IF( AND( $BG$663 = "0", $BH$663 = "1" ), 3, 4 ) ) )</f>
        <v>4</v>
      </c>
      <c r="BK663" s="1">
        <v>1.8947368421052633E-2</v>
      </c>
      <c r="BL663" t="str">
        <f>"0"</f>
        <v>0</v>
      </c>
      <c r="BM663" t="str">
        <f xml:space="preserve"> IF($BK$663 &gt;= $G$281, "1","0")</f>
        <v>0</v>
      </c>
      <c r="BN663">
        <f xml:space="preserve"> IF( AND( $BL$663 = "1", $BM$663 = "1" ), 1, IF( AND( $BL$663 = "1", $BM$663 = "0" ), 2, IF( AND( $BL$663 = "0", $BM$663 = "1" ), 3, 4 ) ) )</f>
        <v>4</v>
      </c>
    </row>
    <row r="664" spans="58:66" x14ac:dyDescent="0.25">
      <c r="BF664" s="1">
        <v>0</v>
      </c>
      <c r="BG664" t="str">
        <f>"0"</f>
        <v>0</v>
      </c>
      <c r="BH664" t="str">
        <f xml:space="preserve"> IF($BF$664 &gt;= $G$204, "1","0")</f>
        <v>0</v>
      </c>
      <c r="BI664">
        <f xml:space="preserve"> IF( AND( $BG$664 = "1", $BH$664 = "1" ), 1, IF( AND( $BG$664 = "1", $BH$664 = "0" ), 2, IF( AND( $BG$664 = "0", $BH$664 = "1" ), 3, 4 ) ) )</f>
        <v>4</v>
      </c>
      <c r="BK664" s="1">
        <v>0.72727272727272729</v>
      </c>
      <c r="BL664" t="str">
        <f>"0"</f>
        <v>0</v>
      </c>
      <c r="BM664" t="str">
        <f xml:space="preserve"> IF($BK$664 &gt;= $G$281, "1","0")</f>
        <v>1</v>
      </c>
      <c r="BN664">
        <f xml:space="preserve"> IF( AND( $BL$664 = "1", $BM$664 = "1" ), 1, IF( AND( $BL$664 = "1", $BM$664 = "0" ), 2, IF( AND( $BL$664 = "0", $BM$664 = "1" ), 3, 4 ) ) )</f>
        <v>3</v>
      </c>
    </row>
    <row r="665" spans="58:66" x14ac:dyDescent="0.25">
      <c r="BF665" s="1">
        <v>0</v>
      </c>
      <c r="BG665" t="str">
        <f>"0"</f>
        <v>0</v>
      </c>
      <c r="BH665" t="str">
        <f xml:space="preserve"> IF($BF$665 &gt;= $G$204, "1","0")</f>
        <v>0</v>
      </c>
      <c r="BI665">
        <f xml:space="preserve"> IF( AND( $BG$665 = "1", $BH$665 = "1" ), 1, IF( AND( $BG$665 = "1", $BH$665 = "0" ), 2, IF( AND( $BG$665 = "0", $BH$665 = "1" ), 3, 4 ) ) )</f>
        <v>4</v>
      </c>
      <c r="BK665" s="1">
        <v>1.8947368421052633E-2</v>
      </c>
      <c r="BL665" t="str">
        <f>"0"</f>
        <v>0</v>
      </c>
      <c r="BM665" t="str">
        <f xml:space="preserve"> IF($BK$665 &gt;= $G$281, "1","0")</f>
        <v>0</v>
      </c>
      <c r="BN665">
        <f xml:space="preserve"> IF( AND( $BL$665 = "1", $BM$665 = "1" ), 1, IF( AND( $BL$665 = "1", $BM$665 = "0" ), 2, IF( AND( $BL$665 = "0", $BM$665 = "1" ), 3, 4 ) ) )</f>
        <v>4</v>
      </c>
    </row>
    <row r="666" spans="58:66" x14ac:dyDescent="0.25">
      <c r="BF666" s="1">
        <v>0</v>
      </c>
      <c r="BG666" t="str">
        <f>"0"</f>
        <v>0</v>
      </c>
      <c r="BH666" t="str">
        <f xml:space="preserve"> IF($BF$666 &gt;= $G$204, "1","0")</f>
        <v>0</v>
      </c>
      <c r="BI666">
        <f xml:space="preserve"> IF( AND( $BG$666 = "1", $BH$666 = "1" ), 1, IF( AND( $BG$666 = "1", $BH$666 = "0" ), 2, IF( AND( $BG$666 = "0", $BH$666 = "1" ), 3, 4 ) ) )</f>
        <v>4</v>
      </c>
      <c r="BK666" s="1">
        <v>1</v>
      </c>
      <c r="BL666" t="str">
        <f>"1"</f>
        <v>1</v>
      </c>
      <c r="BM666" t="str">
        <f xml:space="preserve"> IF($BK$666 &gt;= $G$281, "1","0")</f>
        <v>1</v>
      </c>
      <c r="BN666">
        <f xml:space="preserve"> IF( AND( $BL$666 = "1", $BM$666 = "1" ), 1, IF( AND( $BL$666 = "1", $BM$666 = "0" ), 2, IF( AND( $BL$666 = "0", $BM$666 = "1" ), 3, 4 ) ) )</f>
        <v>1</v>
      </c>
    </row>
    <row r="667" spans="58:66" x14ac:dyDescent="0.25">
      <c r="BF667" s="1">
        <v>0</v>
      </c>
      <c r="BG667" t="str">
        <f>"0"</f>
        <v>0</v>
      </c>
      <c r="BH667" t="str">
        <f xml:space="preserve"> IF($BF$667 &gt;= $G$204, "1","0")</f>
        <v>0</v>
      </c>
      <c r="BI667">
        <f xml:space="preserve"> IF( AND( $BG$667 = "1", $BH$667 = "1" ), 1, IF( AND( $BG$667 = "1", $BH$667 = "0" ), 2, IF( AND( $BG$667 = "0", $BH$667 = "1" ), 3, 4 ) ) )</f>
        <v>4</v>
      </c>
      <c r="BK667" s="1">
        <v>1.8947368421052633E-2</v>
      </c>
      <c r="BL667" t="str">
        <f>"0"</f>
        <v>0</v>
      </c>
      <c r="BM667" t="str">
        <f xml:space="preserve"> IF($BK$667 &gt;= $G$281, "1","0")</f>
        <v>0</v>
      </c>
      <c r="BN667">
        <f xml:space="preserve"> IF( AND( $BL$667 = "1", $BM$667 = "1" ), 1, IF( AND( $BL$667 = "1", $BM$667 = "0" ), 2, IF( AND( $BL$667 = "0", $BM$667 = "1" ), 3, 4 ) ) )</f>
        <v>4</v>
      </c>
    </row>
    <row r="668" spans="58:66" x14ac:dyDescent="0.25">
      <c r="BF668" s="1">
        <v>0</v>
      </c>
      <c r="BG668" t="str">
        <f>"0"</f>
        <v>0</v>
      </c>
      <c r="BH668" t="str">
        <f xml:space="preserve"> IF($BF$668 &gt;= $G$204, "1","0")</f>
        <v>0</v>
      </c>
      <c r="BI668">
        <f xml:space="preserve"> IF( AND( $BG$668 = "1", $BH$668 = "1" ), 1, IF( AND( $BG$668 = "1", $BH$668 = "0" ), 2, IF( AND( $BG$668 = "0", $BH$668 = "1" ), 3, 4 ) ) )</f>
        <v>4</v>
      </c>
      <c r="BK668" s="1">
        <v>0.72727272727272729</v>
      </c>
      <c r="BL668" t="str">
        <f>"1"</f>
        <v>1</v>
      </c>
      <c r="BM668" t="str">
        <f xml:space="preserve"> IF($BK$668 &gt;= $G$281, "1","0")</f>
        <v>1</v>
      </c>
      <c r="BN668">
        <f xml:space="preserve"> IF( AND( $BL$668 = "1", $BM$668 = "1" ), 1, IF( AND( $BL$668 = "1", $BM$668 = "0" ), 2, IF( AND( $BL$668 = "0", $BM$668 = "1" ), 3, 4 ) ) )</f>
        <v>1</v>
      </c>
    </row>
    <row r="669" spans="58:66" x14ac:dyDescent="0.25">
      <c r="BF669" s="1">
        <v>0</v>
      </c>
      <c r="BG669" t="str">
        <f>"0"</f>
        <v>0</v>
      </c>
      <c r="BH669" t="str">
        <f xml:space="preserve"> IF($BF$669 &gt;= $G$204, "1","0")</f>
        <v>0</v>
      </c>
      <c r="BI669">
        <f xml:space="preserve"> IF( AND( $BG$669 = "1", $BH$669 = "1" ), 1, IF( AND( $BG$669 = "1", $BH$669 = "0" ), 2, IF( AND( $BG$669 = "0", $BH$669 = "1" ), 3, 4 ) ) )</f>
        <v>4</v>
      </c>
      <c r="BK669" s="1">
        <v>0</v>
      </c>
      <c r="BL669" t="str">
        <f>"0"</f>
        <v>0</v>
      </c>
      <c r="BM669" t="str">
        <f xml:space="preserve"> IF($BK$669 &gt;= $G$281, "1","0")</f>
        <v>0</v>
      </c>
      <c r="BN669">
        <f xml:space="preserve"> IF( AND( $BL$669 = "1", $BM$669 = "1" ), 1, IF( AND( $BL$669 = "1", $BM$669 = "0" ), 2, IF( AND( $BL$669 = "0", $BM$669 = "1" ), 3, 4 ) ) )</f>
        <v>4</v>
      </c>
    </row>
    <row r="670" spans="58:66" x14ac:dyDescent="0.25">
      <c r="BF670" s="1">
        <v>0</v>
      </c>
      <c r="BG670" t="str">
        <f>"0"</f>
        <v>0</v>
      </c>
      <c r="BH670" t="str">
        <f xml:space="preserve"> IF($BF$670 &gt;= $G$204, "1","0")</f>
        <v>0</v>
      </c>
      <c r="BI670">
        <f xml:space="preserve"> IF( AND( $BG$670 = "1", $BH$670 = "1" ), 1, IF( AND( $BG$670 = "1", $BH$670 = "0" ), 2, IF( AND( $BG$670 = "0", $BH$670 = "1" ), 3, 4 ) ) )</f>
        <v>4</v>
      </c>
      <c r="BK670" s="1">
        <v>1</v>
      </c>
      <c r="BL670" t="str">
        <f>"1"</f>
        <v>1</v>
      </c>
      <c r="BM670" t="str">
        <f xml:space="preserve"> IF($BK$670 &gt;= $G$281, "1","0")</f>
        <v>1</v>
      </c>
      <c r="BN670">
        <f xml:space="preserve"> IF( AND( $BL$670 = "1", $BM$670 = "1" ), 1, IF( AND( $BL$670 = "1", $BM$670 = "0" ), 2, IF( AND( $BL$670 = "0", $BM$670 = "1" ), 3, 4 ) ) )</f>
        <v>1</v>
      </c>
    </row>
    <row r="671" spans="58:66" x14ac:dyDescent="0.25">
      <c r="BF671" s="1">
        <v>0</v>
      </c>
      <c r="BG671" t="str">
        <f>"0"</f>
        <v>0</v>
      </c>
      <c r="BH671" t="str">
        <f xml:space="preserve"> IF($BF$671 &gt;= $G$204, "1","0")</f>
        <v>0</v>
      </c>
      <c r="BI671">
        <f xml:space="preserve"> IF( AND( $BG$671 = "1", $BH$671 = "1" ), 1, IF( AND( $BG$671 = "1", $BH$671 = "0" ), 2, IF( AND( $BG$671 = "0", $BH$671 = "1" ), 3, 4 ) ) )</f>
        <v>4</v>
      </c>
      <c r="BK671" s="1">
        <v>0.14285714285714288</v>
      </c>
      <c r="BL671" t="str">
        <f>"0"</f>
        <v>0</v>
      </c>
      <c r="BM671" t="str">
        <f xml:space="preserve"> IF($BK$671 &gt;= $G$281, "1","0")</f>
        <v>0</v>
      </c>
      <c r="BN671">
        <f xml:space="preserve"> IF( AND( $BL$671 = "1", $BM$671 = "1" ), 1, IF( AND( $BL$671 = "1", $BM$671 = "0" ), 2, IF( AND( $BL$671 = "0", $BM$671 = "1" ), 3, 4 ) ) )</f>
        <v>4</v>
      </c>
    </row>
    <row r="672" spans="58:66" x14ac:dyDescent="0.25">
      <c r="BF672" s="1">
        <v>0</v>
      </c>
      <c r="BG672" t="str">
        <f>"0"</f>
        <v>0</v>
      </c>
      <c r="BH672" t="str">
        <f xml:space="preserve"> IF($BF$672 &gt;= $G$204, "1","0")</f>
        <v>0</v>
      </c>
      <c r="BI672">
        <f xml:space="preserve"> IF( AND( $BG$672 = "1", $BH$672 = "1" ), 1, IF( AND( $BG$672 = "1", $BH$672 = "0" ), 2, IF( AND( $BG$672 = "0", $BH$672 = "1" ), 3, 4 ) ) )</f>
        <v>4</v>
      </c>
      <c r="BK672" s="1">
        <v>1</v>
      </c>
      <c r="BL672" t="str">
        <f>"1"</f>
        <v>1</v>
      </c>
      <c r="BM672" t="str">
        <f xml:space="preserve"> IF($BK$672 &gt;= $G$281, "1","0")</f>
        <v>1</v>
      </c>
      <c r="BN672">
        <f xml:space="preserve"> IF( AND( $BL$672 = "1", $BM$672 = "1" ), 1, IF( AND( $BL$672 = "1", $BM$672 = "0" ), 2, IF( AND( $BL$672 = "0", $BM$672 = "1" ), 3, 4 ) ) )</f>
        <v>1</v>
      </c>
    </row>
    <row r="673" spans="58:66" x14ac:dyDescent="0.25">
      <c r="BF673" s="1">
        <v>0</v>
      </c>
      <c r="BG673" t="str">
        <f>"0"</f>
        <v>0</v>
      </c>
      <c r="BH673" t="str">
        <f xml:space="preserve"> IF($BF$673 &gt;= $G$204, "1","0")</f>
        <v>0</v>
      </c>
      <c r="BI673">
        <f xml:space="preserve"> IF( AND( $BG$673 = "1", $BH$673 = "1" ), 1, IF( AND( $BG$673 = "1", $BH$673 = "0" ), 2, IF( AND( $BG$673 = "0", $BH$673 = "1" ), 3, 4 ) ) )</f>
        <v>4</v>
      </c>
      <c r="BK673" s="1">
        <v>1</v>
      </c>
      <c r="BL673" t="str">
        <f>"1"</f>
        <v>1</v>
      </c>
      <c r="BM673" t="str">
        <f xml:space="preserve"> IF($BK$673 &gt;= $G$281, "1","0")</f>
        <v>1</v>
      </c>
      <c r="BN673">
        <f xml:space="preserve"> IF( AND( $BL$673 = "1", $BM$673 = "1" ), 1, IF( AND( $BL$673 = "1", $BM$673 = "0" ), 2, IF( AND( $BL$673 = "0", $BM$673 = "1" ), 3, 4 ) ) )</f>
        <v>1</v>
      </c>
    </row>
    <row r="674" spans="58:66" x14ac:dyDescent="0.25">
      <c r="BF674" s="1">
        <v>0</v>
      </c>
      <c r="BG674" t="str">
        <f>"0"</f>
        <v>0</v>
      </c>
      <c r="BH674" t="str">
        <f xml:space="preserve"> IF($BF$674 &gt;= $G$204, "1","0")</f>
        <v>0</v>
      </c>
      <c r="BI674">
        <f xml:space="preserve"> IF( AND( $BG$674 = "1", $BH$674 = "1" ), 1, IF( AND( $BG$674 = "1", $BH$674 = "0" ), 2, IF( AND( $BG$674 = "0", $BH$674 = "1" ), 3, 4 ) ) )</f>
        <v>4</v>
      </c>
      <c r="BK674" s="1">
        <v>0</v>
      </c>
      <c r="BL674" t="str">
        <f>"0"</f>
        <v>0</v>
      </c>
      <c r="BM674" t="str">
        <f xml:space="preserve"> IF($BK$674 &gt;= $G$281, "1","0")</f>
        <v>0</v>
      </c>
      <c r="BN674">
        <f xml:space="preserve"> IF( AND( $BL$674 = "1", $BM$674 = "1" ), 1, IF( AND( $BL$674 = "1", $BM$674 = "0" ), 2, IF( AND( $BL$674 = "0", $BM$674 = "1" ), 3, 4 ) ) )</f>
        <v>4</v>
      </c>
    </row>
    <row r="675" spans="58:66" x14ac:dyDescent="0.25">
      <c r="BF675" s="1">
        <v>0</v>
      </c>
      <c r="BG675" t="str">
        <f>"0"</f>
        <v>0</v>
      </c>
      <c r="BH675" t="str">
        <f xml:space="preserve"> IF($BF$675 &gt;= $G$204, "1","0")</f>
        <v>0</v>
      </c>
      <c r="BI675">
        <f xml:space="preserve"> IF( AND( $BG$675 = "1", $BH$675 = "1" ), 1, IF( AND( $BG$675 = "1", $BH$675 = "0" ), 2, IF( AND( $BG$675 = "0", $BH$675 = "1" ), 3, 4 ) ) )</f>
        <v>4</v>
      </c>
      <c r="BK675" s="1">
        <v>3.333333333333334E-2</v>
      </c>
      <c r="BL675" t="str">
        <f>"1"</f>
        <v>1</v>
      </c>
      <c r="BM675" t="str">
        <f xml:space="preserve"> IF($BK$675 &gt;= $G$281, "1","0")</f>
        <v>0</v>
      </c>
      <c r="BN675">
        <f xml:space="preserve"> IF( AND( $BL$675 = "1", $BM$675 = "1" ), 1, IF( AND( $BL$675 = "1", $BM$675 = "0" ), 2, IF( AND( $BL$675 = "0", $BM$675 = "1" ), 3, 4 ) ) )</f>
        <v>2</v>
      </c>
    </row>
    <row r="676" spans="58:66" x14ac:dyDescent="0.25">
      <c r="BF676" s="1">
        <v>0</v>
      </c>
      <c r="BG676" t="str">
        <f>"0"</f>
        <v>0</v>
      </c>
      <c r="BH676" t="str">
        <f xml:space="preserve"> IF($BF$676 &gt;= $G$204, "1","0")</f>
        <v>0</v>
      </c>
      <c r="BI676">
        <f xml:space="preserve"> IF( AND( $BG$676 = "1", $BH$676 = "1" ), 1, IF( AND( $BG$676 = "1", $BH$676 = "0" ), 2, IF( AND( $BG$676 = "0", $BH$676 = "1" ), 3, 4 ) ) )</f>
        <v>4</v>
      </c>
      <c r="BK676" s="1">
        <v>0.72727272727272729</v>
      </c>
      <c r="BL676" t="str">
        <f>"0"</f>
        <v>0</v>
      </c>
      <c r="BM676" t="str">
        <f xml:space="preserve"> IF($BK$676 &gt;= $G$281, "1","0")</f>
        <v>1</v>
      </c>
      <c r="BN676">
        <f xml:space="preserve"> IF( AND( $BL$676 = "1", $BM$676 = "1" ), 1, IF( AND( $BL$676 = "1", $BM$676 = "0" ), 2, IF( AND( $BL$676 = "0", $BM$676 = "1" ), 3, 4 ) ) )</f>
        <v>3</v>
      </c>
    </row>
    <row r="677" spans="58:66" x14ac:dyDescent="0.25">
      <c r="BF677" s="1">
        <v>0</v>
      </c>
      <c r="BG677" t="str">
        <f>"0"</f>
        <v>0</v>
      </c>
      <c r="BH677" t="str">
        <f xml:space="preserve"> IF($BF$677 &gt;= $G$204, "1","0")</f>
        <v>0</v>
      </c>
      <c r="BI677">
        <f xml:space="preserve"> IF( AND( $BG$677 = "1", $BH$677 = "1" ), 1, IF( AND( $BG$677 = "1", $BH$677 = "0" ), 2, IF( AND( $BG$677 = "0", $BH$677 = "1" ), 3, 4 ) ) )</f>
        <v>4</v>
      </c>
      <c r="BK677" s="1">
        <v>1.8947368421052633E-2</v>
      </c>
      <c r="BL677" t="str">
        <f>"0"</f>
        <v>0</v>
      </c>
      <c r="BM677" t="str">
        <f xml:space="preserve"> IF($BK$677 &gt;= $G$281, "1","0")</f>
        <v>0</v>
      </c>
      <c r="BN677">
        <f xml:space="preserve"> IF( AND( $BL$677 = "1", $BM$677 = "1" ), 1, IF( AND( $BL$677 = "1", $BM$677 = "0" ), 2, IF( AND( $BL$677 = "0", $BM$677 = "1" ), 3, 4 ) ) )</f>
        <v>4</v>
      </c>
    </row>
    <row r="678" spans="58:66" x14ac:dyDescent="0.25">
      <c r="BF678" s="1">
        <v>0</v>
      </c>
      <c r="BG678" t="str">
        <f>"0"</f>
        <v>0</v>
      </c>
      <c r="BH678" t="str">
        <f xml:space="preserve"> IF($BF$678 &gt;= $G$204, "1","0")</f>
        <v>0</v>
      </c>
      <c r="BI678">
        <f xml:space="preserve"> IF( AND( $BG$678 = "1", $BH$678 = "1" ), 1, IF( AND( $BG$678 = "1", $BH$678 = "0" ), 2, IF( AND( $BG$678 = "0", $BH$678 = "1" ), 3, 4 ) ) )</f>
        <v>4</v>
      </c>
      <c r="BK678" s="1">
        <v>2.5000000000000001E-3</v>
      </c>
      <c r="BL678" t="str">
        <f>"0"</f>
        <v>0</v>
      </c>
      <c r="BM678" t="str">
        <f xml:space="preserve"> IF($BK$678 &gt;= $G$281, "1","0")</f>
        <v>0</v>
      </c>
      <c r="BN678">
        <f xml:space="preserve"> IF( AND( $BL$678 = "1", $BM$678 = "1" ), 1, IF( AND( $BL$678 = "1", $BM$678 = "0" ), 2, IF( AND( $BL$678 = "0", $BM$678 = "1" ), 3, 4 ) ) )</f>
        <v>4</v>
      </c>
    </row>
    <row r="679" spans="58:66" x14ac:dyDescent="0.25">
      <c r="BF679" s="1">
        <v>0</v>
      </c>
      <c r="BG679" t="str">
        <f>"0"</f>
        <v>0</v>
      </c>
      <c r="BH679" t="str">
        <f xml:space="preserve"> IF($BF$679 &gt;= $G$204, "1","0")</f>
        <v>0</v>
      </c>
      <c r="BI679">
        <f xml:space="preserve"> IF( AND( $BG$679 = "1", $BH$679 = "1" ), 1, IF( AND( $BG$679 = "1", $BH$679 = "0" ), 2, IF( AND( $BG$679 = "0", $BH$679 = "1" ), 3, 4 ) ) )</f>
        <v>4</v>
      </c>
      <c r="BK679" s="1">
        <v>0.14285714285714285</v>
      </c>
      <c r="BL679" t="str">
        <f>"0"</f>
        <v>0</v>
      </c>
      <c r="BM679" t="str">
        <f xml:space="preserve"> IF($BK$679 &gt;= $G$281, "1","0")</f>
        <v>0</v>
      </c>
      <c r="BN679">
        <f xml:space="preserve"> IF( AND( $BL$679 = "1", $BM$679 = "1" ), 1, IF( AND( $BL$679 = "1", $BM$679 = "0" ), 2, IF( AND( $BL$679 = "0", $BM$679 = "1" ), 3, 4 ) ) )</f>
        <v>4</v>
      </c>
    </row>
    <row r="680" spans="58:66" x14ac:dyDescent="0.25">
      <c r="BF680" s="1">
        <v>0</v>
      </c>
      <c r="BG680" t="str">
        <f>"0"</f>
        <v>0</v>
      </c>
      <c r="BH680" t="str">
        <f xml:space="preserve"> IF($BF$680 &gt;= $G$204, "1","0")</f>
        <v>0</v>
      </c>
      <c r="BI680">
        <f xml:space="preserve"> IF( AND( $BG$680 = "1", $BH$680 = "1" ), 1, IF( AND( $BG$680 = "1", $BH$680 = "0" ), 2, IF( AND( $BG$680 = "0", $BH$680 = "1" ), 3, 4 ) ) )</f>
        <v>4</v>
      </c>
      <c r="BK680" s="1">
        <v>2.5000000000000001E-3</v>
      </c>
      <c r="BL680" t="str">
        <f>"0"</f>
        <v>0</v>
      </c>
      <c r="BM680" t="str">
        <f xml:space="preserve"> IF($BK$680 &gt;= $G$281, "1","0")</f>
        <v>0</v>
      </c>
      <c r="BN680">
        <f xml:space="preserve"> IF( AND( $BL$680 = "1", $BM$680 = "1" ), 1, IF( AND( $BL$680 = "1", $BM$680 = "0" ), 2, IF( AND( $BL$680 = "0", $BM$680 = "1" ), 3, 4 ) ) )</f>
        <v>4</v>
      </c>
    </row>
    <row r="681" spans="58:66" x14ac:dyDescent="0.25">
      <c r="BF681" s="1">
        <v>0</v>
      </c>
      <c r="BG681" t="str">
        <f>"0"</f>
        <v>0</v>
      </c>
      <c r="BH681" t="str">
        <f xml:space="preserve"> IF($BF$681 &gt;= $G$204, "1","0")</f>
        <v>0</v>
      </c>
      <c r="BI681">
        <f xml:space="preserve"> IF( AND( $BG$681 = "1", $BH$681 = "1" ), 1, IF( AND( $BG$681 = "1", $BH$681 = "0" ), 2, IF( AND( $BG$681 = "0", $BH$681 = "1" ), 3, 4 ) ) )</f>
        <v>4</v>
      </c>
      <c r="BK681" s="1">
        <v>0</v>
      </c>
      <c r="BL681" t="str">
        <f>"0"</f>
        <v>0</v>
      </c>
      <c r="BM681" t="str">
        <f xml:space="preserve"> IF($BK$681 &gt;= $G$281, "1","0")</f>
        <v>0</v>
      </c>
      <c r="BN681">
        <f xml:space="preserve"> IF( AND( $BL$681 = "1", $BM$681 = "1" ), 1, IF( AND( $BL$681 = "1", $BM$681 = "0" ), 2, IF( AND( $BL$681 = "0", $BM$681 = "1" ), 3, 4 ) ) )</f>
        <v>4</v>
      </c>
    </row>
    <row r="682" spans="58:66" x14ac:dyDescent="0.25">
      <c r="BF682" s="1">
        <v>0</v>
      </c>
      <c r="BG682" t="str">
        <f>"0"</f>
        <v>0</v>
      </c>
      <c r="BH682" t="str">
        <f xml:space="preserve"> IF($BF$682 &gt;= $G$204, "1","0")</f>
        <v>0</v>
      </c>
      <c r="BI682">
        <f xml:space="preserve"> IF( AND( $BG$682 = "1", $BH$682 = "1" ), 1, IF( AND( $BG$682 = "1", $BH$682 = "0" ), 2, IF( AND( $BG$682 = "0", $BH$682 = "1" ), 3, 4 ) ) )</f>
        <v>4</v>
      </c>
      <c r="BK682" s="1">
        <v>2.5000000000000001E-3</v>
      </c>
      <c r="BL682" t="str">
        <f>"0"</f>
        <v>0</v>
      </c>
      <c r="BM682" t="str">
        <f xml:space="preserve"> IF($BK$682 &gt;= $G$281, "1","0")</f>
        <v>0</v>
      </c>
      <c r="BN682">
        <f xml:space="preserve"> IF( AND( $BL$682 = "1", $BM$682 = "1" ), 1, IF( AND( $BL$682 = "1", $BM$682 = "0" ), 2, IF( AND( $BL$682 = "0", $BM$682 = "1" ), 3, 4 ) ) )</f>
        <v>4</v>
      </c>
    </row>
    <row r="683" spans="58:66" x14ac:dyDescent="0.25">
      <c r="BF683" s="1">
        <v>0</v>
      </c>
      <c r="BG683" t="str">
        <f>"0"</f>
        <v>0</v>
      </c>
      <c r="BH683" t="str">
        <f xml:space="preserve"> IF($BF$683 &gt;= $G$204, "1","0")</f>
        <v>0</v>
      </c>
      <c r="BI683">
        <f xml:space="preserve"> IF( AND( $BG$683 = "1", $BH$683 = "1" ), 1, IF( AND( $BG$683 = "1", $BH$683 = "0" ), 2, IF( AND( $BG$683 = "0", $BH$683 = "1" ), 3, 4 ) ) )</f>
        <v>4</v>
      </c>
      <c r="BK683" s="1">
        <v>1.8947368421052633E-2</v>
      </c>
      <c r="BL683" t="str">
        <f>"0"</f>
        <v>0</v>
      </c>
      <c r="BM683" t="str">
        <f xml:space="preserve"> IF($BK$683 &gt;= $G$281, "1","0")</f>
        <v>0</v>
      </c>
      <c r="BN683">
        <f xml:space="preserve"> IF( AND( $BL$683 = "1", $BM$683 = "1" ), 1, IF( AND( $BL$683 = "1", $BM$683 = "0" ), 2, IF( AND( $BL$683 = "0", $BM$683 = "1" ), 3, 4 ) ) )</f>
        <v>4</v>
      </c>
    </row>
    <row r="684" spans="58:66" x14ac:dyDescent="0.25">
      <c r="BF684" s="1">
        <v>0</v>
      </c>
      <c r="BG684" t="str">
        <f>"0"</f>
        <v>0</v>
      </c>
      <c r="BH684" t="str">
        <f xml:space="preserve"> IF($BF$684 &gt;= $G$204, "1","0")</f>
        <v>0</v>
      </c>
      <c r="BI684">
        <f xml:space="preserve"> IF( AND( $BG$684 = "1", $BH$684 = "1" ), 1, IF( AND( $BG$684 = "1", $BH$684 = "0" ), 2, IF( AND( $BG$684 = "0", $BH$684 = "1" ), 3, 4 ) ) )</f>
        <v>4</v>
      </c>
      <c r="BK684" s="1">
        <v>2.5000000000000001E-3</v>
      </c>
      <c r="BL684" t="str">
        <f>"0"</f>
        <v>0</v>
      </c>
      <c r="BM684" t="str">
        <f xml:space="preserve"> IF($BK$684 &gt;= $G$281, "1","0")</f>
        <v>0</v>
      </c>
      <c r="BN684">
        <f xml:space="preserve"> IF( AND( $BL$684 = "1", $BM$684 = "1" ), 1, IF( AND( $BL$684 = "1", $BM$684 = "0" ), 2, IF( AND( $BL$684 = "0", $BM$684 = "1" ), 3, 4 ) ) )</f>
        <v>4</v>
      </c>
    </row>
    <row r="685" spans="58:66" x14ac:dyDescent="0.25">
      <c r="BF685" s="1">
        <v>0</v>
      </c>
      <c r="BG685" t="str">
        <f>"0"</f>
        <v>0</v>
      </c>
      <c r="BH685" t="str">
        <f xml:space="preserve"> IF($BF$685 &gt;= $G$204, "1","0")</f>
        <v>0</v>
      </c>
      <c r="BI685">
        <f xml:space="preserve"> IF( AND( $BG$685 = "1", $BH$685 = "1" ), 1, IF( AND( $BG$685 = "1", $BH$685 = "0" ), 2, IF( AND( $BG$685 = "0", $BH$685 = "1" ), 3, 4 ) ) )</f>
        <v>4</v>
      </c>
      <c r="BK685" s="1">
        <v>2.5000000000000001E-3</v>
      </c>
      <c r="BL685" t="str">
        <f>"0"</f>
        <v>0</v>
      </c>
      <c r="BM685" t="str">
        <f xml:space="preserve"> IF($BK$685 &gt;= $G$281, "1","0")</f>
        <v>0</v>
      </c>
      <c r="BN685">
        <f xml:space="preserve"> IF( AND( $BL$685 = "1", $BM$685 = "1" ), 1, IF( AND( $BL$685 = "1", $BM$685 = "0" ), 2, IF( AND( $BL$685 = "0", $BM$685 = "1" ), 3, 4 ) ) )</f>
        <v>4</v>
      </c>
    </row>
    <row r="686" spans="58:66" x14ac:dyDescent="0.25">
      <c r="BF686" s="1">
        <v>0</v>
      </c>
      <c r="BG686" t="str">
        <f>"0"</f>
        <v>0</v>
      </c>
      <c r="BH686" t="str">
        <f xml:space="preserve"> IF($BF$686 &gt;= $G$204, "1","0")</f>
        <v>0</v>
      </c>
      <c r="BI686">
        <f xml:space="preserve"> IF( AND( $BG$686 = "1", $BH$686 = "1" ), 1, IF( AND( $BG$686 = "1", $BH$686 = "0" ), 2, IF( AND( $BG$686 = "0", $BH$686 = "1" ), 3, 4 ) ) )</f>
        <v>4</v>
      </c>
      <c r="BK686" s="1">
        <v>1</v>
      </c>
      <c r="BL686" t="str">
        <f>"1"</f>
        <v>1</v>
      </c>
      <c r="BM686" t="str">
        <f xml:space="preserve"> IF($BK$686 &gt;= $G$281, "1","0")</f>
        <v>1</v>
      </c>
      <c r="BN686">
        <f xml:space="preserve"> IF( AND( $BL$686 = "1", $BM$686 = "1" ), 1, IF( AND( $BL$686 = "1", $BM$686 = "0" ), 2, IF( AND( $BL$686 = "0", $BM$686 = "1" ), 3, 4 ) ) )</f>
        <v>1</v>
      </c>
    </row>
    <row r="687" spans="58:66" x14ac:dyDescent="0.25">
      <c r="BF687" s="1">
        <v>0</v>
      </c>
      <c r="BG687" t="str">
        <f>"0"</f>
        <v>0</v>
      </c>
      <c r="BH687" t="str">
        <f xml:space="preserve"> IF($BF$687 &gt;= $G$204, "1","0")</f>
        <v>0</v>
      </c>
      <c r="BI687">
        <f xml:space="preserve"> IF( AND( $BG$687 = "1", $BH$687 = "1" ), 1, IF( AND( $BG$687 = "1", $BH$687 = "0" ), 2, IF( AND( $BG$687 = "0", $BH$687 = "1" ), 3, 4 ) ) )</f>
        <v>4</v>
      </c>
      <c r="BK687" s="1">
        <v>1.8947368421052633E-2</v>
      </c>
      <c r="BL687" t="str">
        <f>"0"</f>
        <v>0</v>
      </c>
      <c r="BM687" t="str">
        <f xml:space="preserve"> IF($BK$687 &gt;= $G$281, "1","0")</f>
        <v>0</v>
      </c>
      <c r="BN687">
        <f xml:space="preserve"> IF( AND( $BL$687 = "1", $BM$687 = "1" ), 1, IF( AND( $BL$687 = "1", $BM$687 = "0" ), 2, IF( AND( $BL$687 = "0", $BM$687 = "1" ), 3, 4 ) ) )</f>
        <v>4</v>
      </c>
    </row>
    <row r="688" spans="58:66" x14ac:dyDescent="0.25">
      <c r="BF688" s="1">
        <v>0</v>
      </c>
      <c r="BG688" t="str">
        <f>"0"</f>
        <v>0</v>
      </c>
      <c r="BH688" t="str">
        <f xml:space="preserve"> IF($BF$688 &gt;= $G$204, "1","0")</f>
        <v>0</v>
      </c>
      <c r="BI688">
        <f xml:space="preserve"> IF( AND( $BG$688 = "1", $BH$688 = "1" ), 1, IF( AND( $BG$688 = "1", $BH$688 = "0" ), 2, IF( AND( $BG$688 = "0", $BH$688 = "1" ), 3, 4 ) ) )</f>
        <v>4</v>
      </c>
      <c r="BK688" s="1">
        <v>2.5000000000000001E-3</v>
      </c>
      <c r="BL688" t="str">
        <f>"0"</f>
        <v>0</v>
      </c>
      <c r="BM688" t="str">
        <f xml:space="preserve"> IF($BK$688 &gt;= $G$281, "1","0")</f>
        <v>0</v>
      </c>
      <c r="BN688">
        <f xml:space="preserve"> IF( AND( $BL$688 = "1", $BM$688 = "1" ), 1, IF( AND( $BL$688 = "1", $BM$688 = "0" ), 2, IF( AND( $BL$688 = "0", $BM$688 = "1" ), 3, 4 ) ) )</f>
        <v>4</v>
      </c>
    </row>
    <row r="689" spans="58:66" x14ac:dyDescent="0.25">
      <c r="BF689" s="1">
        <v>0</v>
      </c>
      <c r="BG689" t="str">
        <f>"0"</f>
        <v>0</v>
      </c>
      <c r="BH689" t="str">
        <f xml:space="preserve"> IF($BF$689 &gt;= $G$204, "1","0")</f>
        <v>0</v>
      </c>
      <c r="BI689">
        <f xml:space="preserve"> IF( AND( $BG$689 = "1", $BH$689 = "1" ), 1, IF( AND( $BG$689 = "1", $BH$689 = "0" ), 2, IF( AND( $BG$689 = "0", $BH$689 = "1" ), 3, 4 ) ) )</f>
        <v>4</v>
      </c>
      <c r="BK689" s="1">
        <v>1.8947368421052633E-2</v>
      </c>
      <c r="BL689" t="str">
        <f>"0"</f>
        <v>0</v>
      </c>
      <c r="BM689" t="str">
        <f xml:space="preserve"> IF($BK$689 &gt;= $G$281, "1","0")</f>
        <v>0</v>
      </c>
      <c r="BN689">
        <f xml:space="preserve"> IF( AND( $BL$689 = "1", $BM$689 = "1" ), 1, IF( AND( $BL$689 = "1", $BM$689 = "0" ), 2, IF( AND( $BL$689 = "0", $BM$689 = "1" ), 3, 4 ) ) )</f>
        <v>4</v>
      </c>
    </row>
    <row r="690" spans="58:66" x14ac:dyDescent="0.25">
      <c r="BF690" s="1">
        <v>0</v>
      </c>
      <c r="BG690" t="str">
        <f>"0"</f>
        <v>0</v>
      </c>
      <c r="BH690" t="str">
        <f xml:space="preserve"> IF($BF$690 &gt;= $G$204, "1","0")</f>
        <v>0</v>
      </c>
      <c r="BI690">
        <f xml:space="preserve"> IF( AND( $BG$690 = "1", $BH$690 = "1" ), 1, IF( AND( $BG$690 = "1", $BH$690 = "0" ), 2, IF( AND( $BG$690 = "0", $BH$690 = "1" ), 3, 4 ) ) )</f>
        <v>4</v>
      </c>
      <c r="BK690" s="1">
        <v>1</v>
      </c>
      <c r="BL690" t="str">
        <f>"1"</f>
        <v>1</v>
      </c>
      <c r="BM690" t="str">
        <f xml:space="preserve"> IF($BK$690 &gt;= $G$281, "1","0")</f>
        <v>1</v>
      </c>
      <c r="BN690">
        <f xml:space="preserve"> IF( AND( $BL$690 = "1", $BM$690 = "1" ), 1, IF( AND( $BL$690 = "1", $BM$690 = "0" ), 2, IF( AND( $BL$690 = "0", $BM$690 = "1" ), 3, 4 ) ) )</f>
        <v>1</v>
      </c>
    </row>
    <row r="691" spans="58:66" x14ac:dyDescent="0.25">
      <c r="BF691" s="1">
        <v>0</v>
      </c>
      <c r="BG691" t="str">
        <f>"0"</f>
        <v>0</v>
      </c>
      <c r="BH691" t="str">
        <f xml:space="preserve"> IF($BF$691 &gt;= $G$204, "1","0")</f>
        <v>0</v>
      </c>
      <c r="BI691">
        <f xml:space="preserve"> IF( AND( $BG$691 = "1", $BH$691 = "1" ), 1, IF( AND( $BG$691 = "1", $BH$691 = "0" ), 2, IF( AND( $BG$691 = "0", $BH$691 = "1" ), 3, 4 ) ) )</f>
        <v>4</v>
      </c>
      <c r="BK691" s="1">
        <v>1</v>
      </c>
      <c r="BL691" t="str">
        <f>"1"</f>
        <v>1</v>
      </c>
      <c r="BM691" t="str">
        <f xml:space="preserve"> IF($BK$691 &gt;= $G$281, "1","0")</f>
        <v>1</v>
      </c>
      <c r="BN691">
        <f xml:space="preserve"> IF( AND( $BL$691 = "1", $BM$691 = "1" ), 1, IF( AND( $BL$691 = "1", $BM$691 = "0" ), 2, IF( AND( $BL$691 = "0", $BM$691 = "1" ), 3, 4 ) ) )</f>
        <v>1</v>
      </c>
    </row>
    <row r="692" spans="58:66" x14ac:dyDescent="0.25">
      <c r="BF692" s="1">
        <v>0</v>
      </c>
      <c r="BG692" t="str">
        <f>"0"</f>
        <v>0</v>
      </c>
      <c r="BH692" t="str">
        <f xml:space="preserve"> IF($BF$692 &gt;= $G$204, "1","0")</f>
        <v>0</v>
      </c>
      <c r="BI692">
        <f xml:space="preserve"> IF( AND( $BG$692 = "1", $BH$692 = "1" ), 1, IF( AND( $BG$692 = "1", $BH$692 = "0" ), 2, IF( AND( $BG$692 = "0", $BH$692 = "1" ), 3, 4 ) ) )</f>
        <v>4</v>
      </c>
      <c r="BK692" s="1">
        <v>1</v>
      </c>
      <c r="BL692" t="str">
        <f>"1"</f>
        <v>1</v>
      </c>
      <c r="BM692" t="str">
        <f xml:space="preserve"> IF($BK$692 &gt;= $G$281, "1","0")</f>
        <v>1</v>
      </c>
      <c r="BN692">
        <f xml:space="preserve"> IF( AND( $BL$692 = "1", $BM$692 = "1" ), 1, IF( AND( $BL$692 = "1", $BM$692 = "0" ), 2, IF( AND( $BL$692 = "0", $BM$692 = "1" ), 3, 4 ) ) )</f>
        <v>1</v>
      </c>
    </row>
    <row r="693" spans="58:66" x14ac:dyDescent="0.25">
      <c r="BF693" s="1">
        <v>0</v>
      </c>
      <c r="BG693" t="str">
        <f>"0"</f>
        <v>0</v>
      </c>
      <c r="BH693" t="str">
        <f xml:space="preserve"> IF($BF$693 &gt;= $G$204, "1","0")</f>
        <v>0</v>
      </c>
      <c r="BI693">
        <f xml:space="preserve"> IF( AND( $BG$693 = "1", $BH$693 = "1" ), 1, IF( AND( $BG$693 = "1", $BH$693 = "0" ), 2, IF( AND( $BG$693 = "0", $BH$693 = "1" ), 3, 4 ) ) )</f>
        <v>4</v>
      </c>
      <c r="BK693" s="1">
        <v>1</v>
      </c>
      <c r="BL693" t="str">
        <f>"1"</f>
        <v>1</v>
      </c>
      <c r="BM693" t="str">
        <f xml:space="preserve"> IF($BK$693 &gt;= $G$281, "1","0")</f>
        <v>1</v>
      </c>
      <c r="BN693">
        <f xml:space="preserve"> IF( AND( $BL$693 = "1", $BM$693 = "1" ), 1, IF( AND( $BL$693 = "1", $BM$693 = "0" ), 2, IF( AND( $BL$693 = "0", $BM$693 = "1" ), 3, 4 ) ) )</f>
        <v>1</v>
      </c>
    </row>
    <row r="694" spans="58:66" x14ac:dyDescent="0.25">
      <c r="BF694" s="1">
        <v>0</v>
      </c>
      <c r="BG694" t="str">
        <f>"0"</f>
        <v>0</v>
      </c>
      <c r="BH694" t="str">
        <f xml:space="preserve"> IF($BF$694 &gt;= $G$204, "1","0")</f>
        <v>0</v>
      </c>
      <c r="BI694">
        <f xml:space="preserve"> IF( AND( $BG$694 = "1", $BH$694 = "1" ), 1, IF( AND( $BG$694 = "1", $BH$694 = "0" ), 2, IF( AND( $BG$694 = "0", $BH$694 = "1" ), 3, 4 ) ) )</f>
        <v>4</v>
      </c>
      <c r="BK694" s="1">
        <v>0.79999999999999993</v>
      </c>
      <c r="BL694" t="str">
        <f>"1"</f>
        <v>1</v>
      </c>
      <c r="BM694" t="str">
        <f xml:space="preserve"> IF($BK$694 &gt;= $G$281, "1","0")</f>
        <v>1</v>
      </c>
      <c r="BN694">
        <f xml:space="preserve"> IF( AND( $BL$694 = "1", $BM$694 = "1" ), 1, IF( AND( $BL$694 = "1", $BM$694 = "0" ), 2, IF( AND( $BL$694 = "0", $BM$694 = "1" ), 3, 4 ) ) )</f>
        <v>1</v>
      </c>
    </row>
    <row r="695" spans="58:66" x14ac:dyDescent="0.25">
      <c r="BF695" s="1">
        <v>0</v>
      </c>
      <c r="BG695" t="str">
        <f>"0"</f>
        <v>0</v>
      </c>
      <c r="BH695" t="str">
        <f xml:space="preserve"> IF($BF$695 &gt;= $G$204, "1","0")</f>
        <v>0</v>
      </c>
      <c r="BI695">
        <f xml:space="preserve"> IF( AND( $BG$695 = "1", $BH$695 = "1" ), 1, IF( AND( $BG$695 = "1", $BH$695 = "0" ), 2, IF( AND( $BG$695 = "0", $BH$695 = "1" ), 3, 4 ) ) )</f>
        <v>4</v>
      </c>
      <c r="BK695" s="1">
        <v>1.8947368421052633E-2</v>
      </c>
      <c r="BL695" t="str">
        <f>"0"</f>
        <v>0</v>
      </c>
      <c r="BM695" t="str">
        <f xml:space="preserve"> IF($BK$695 &gt;= $G$281, "1","0")</f>
        <v>0</v>
      </c>
      <c r="BN695">
        <f xml:space="preserve"> IF( AND( $BL$695 = "1", $BM$695 = "1" ), 1, IF( AND( $BL$695 = "1", $BM$695 = "0" ), 2, IF( AND( $BL$695 = "0", $BM$695 = "1" ), 3, 4 ) ) )</f>
        <v>4</v>
      </c>
    </row>
    <row r="696" spans="58:66" x14ac:dyDescent="0.25">
      <c r="BF696" s="1">
        <v>0</v>
      </c>
      <c r="BG696" t="str">
        <f>"0"</f>
        <v>0</v>
      </c>
      <c r="BH696" t="str">
        <f xml:space="preserve"> IF($BF$696 &gt;= $G$204, "1","0")</f>
        <v>0</v>
      </c>
      <c r="BI696">
        <f xml:space="preserve"> IF( AND( $BG$696 = "1", $BH$696 = "1" ), 1, IF( AND( $BG$696 = "1", $BH$696 = "0" ), 2, IF( AND( $BG$696 = "0", $BH$696 = "1" ), 3, 4 ) ) )</f>
        <v>4</v>
      </c>
      <c r="BK696" s="1">
        <v>2.5000000000000001E-3</v>
      </c>
      <c r="BL696" t="str">
        <f>"0"</f>
        <v>0</v>
      </c>
      <c r="BM696" t="str">
        <f xml:space="preserve"> IF($BK$696 &gt;= $G$281, "1","0")</f>
        <v>0</v>
      </c>
      <c r="BN696">
        <f xml:space="preserve"> IF( AND( $BL$696 = "1", $BM$696 = "1" ), 1, IF( AND( $BL$696 = "1", $BM$696 = "0" ), 2, IF( AND( $BL$696 = "0", $BM$696 = "1" ), 3, 4 ) ) )</f>
        <v>4</v>
      </c>
    </row>
    <row r="697" spans="58:66" x14ac:dyDescent="0.25">
      <c r="BF697" s="1">
        <v>0</v>
      </c>
      <c r="BG697" t="str">
        <f>"0"</f>
        <v>0</v>
      </c>
      <c r="BH697" t="str">
        <f xml:space="preserve"> IF($BF$697 &gt;= $G$204, "1","0")</f>
        <v>0</v>
      </c>
      <c r="BI697">
        <f xml:space="preserve"> IF( AND( $BG$697 = "1", $BH$697 = "1" ), 1, IF( AND( $BG$697 = "1", $BH$697 = "0" ), 2, IF( AND( $BG$697 = "0", $BH$697 = "1" ), 3, 4 ) ) )</f>
        <v>4</v>
      </c>
      <c r="BK697" s="1">
        <v>0.9</v>
      </c>
      <c r="BL697" t="str">
        <f>"1"</f>
        <v>1</v>
      </c>
      <c r="BM697" t="str">
        <f xml:space="preserve"> IF($BK$697 &gt;= $G$281, "1","0")</f>
        <v>1</v>
      </c>
      <c r="BN697">
        <f xml:space="preserve"> IF( AND( $BL$697 = "1", $BM$697 = "1" ), 1, IF( AND( $BL$697 = "1", $BM$697 = "0" ), 2, IF( AND( $BL$697 = "0", $BM$697 = "1" ), 3, 4 ) ) )</f>
        <v>1</v>
      </c>
    </row>
    <row r="698" spans="58:66" x14ac:dyDescent="0.25">
      <c r="BF698" s="1">
        <v>0</v>
      </c>
      <c r="BG698" t="str">
        <f>"0"</f>
        <v>0</v>
      </c>
      <c r="BH698" t="str">
        <f xml:space="preserve"> IF($BF$698 &gt;= $G$204, "1","0")</f>
        <v>0</v>
      </c>
      <c r="BI698">
        <f xml:space="preserve"> IF( AND( $BG$698 = "1", $BH$698 = "1" ), 1, IF( AND( $BG$698 = "1", $BH$698 = "0" ), 2, IF( AND( $BG$698 = "0", $BH$698 = "1" ), 3, 4 ) ) )</f>
        <v>4</v>
      </c>
      <c r="BK698" s="1">
        <v>2.5000000000000001E-3</v>
      </c>
      <c r="BL698" t="str">
        <f>"0"</f>
        <v>0</v>
      </c>
      <c r="BM698" t="str">
        <f xml:space="preserve"> IF($BK$698 &gt;= $G$281, "1","0")</f>
        <v>0</v>
      </c>
      <c r="BN698">
        <f xml:space="preserve"> IF( AND( $BL$698 = "1", $BM$698 = "1" ), 1, IF( AND( $BL$698 = "1", $BM$698 = "0" ), 2, IF( AND( $BL$698 = "0", $BM$698 = "1" ), 3, 4 ) ) )</f>
        <v>4</v>
      </c>
    </row>
    <row r="699" spans="58:66" x14ac:dyDescent="0.25">
      <c r="BF699" s="1">
        <v>0</v>
      </c>
      <c r="BG699" t="str">
        <f>"0"</f>
        <v>0</v>
      </c>
      <c r="BH699" t="str">
        <f xml:space="preserve"> IF($BF$699 &gt;= $G$204, "1","0")</f>
        <v>0</v>
      </c>
      <c r="BI699">
        <f xml:space="preserve"> IF( AND( $BG$699 = "1", $BH$699 = "1" ), 1, IF( AND( $BG$699 = "1", $BH$699 = "0" ), 2, IF( AND( $BG$699 = "0", $BH$699 = "1" ), 3, 4 ) ) )</f>
        <v>4</v>
      </c>
      <c r="BK699" s="1">
        <v>1</v>
      </c>
      <c r="BL699" t="str">
        <f>"1"</f>
        <v>1</v>
      </c>
      <c r="BM699" t="str">
        <f xml:space="preserve"> IF($BK$699 &gt;= $G$281, "1","0")</f>
        <v>1</v>
      </c>
      <c r="BN699">
        <f xml:space="preserve"> IF( AND( $BL$699 = "1", $BM$699 = "1" ), 1, IF( AND( $BL$699 = "1", $BM$699 = "0" ), 2, IF( AND( $BL$699 = "0", $BM$699 = "1" ), 3, 4 ) ) )</f>
        <v>1</v>
      </c>
    </row>
    <row r="700" spans="58:66" x14ac:dyDescent="0.25">
      <c r="BF700" s="1">
        <v>0</v>
      </c>
      <c r="BG700" t="str">
        <f>"0"</f>
        <v>0</v>
      </c>
      <c r="BH700" t="str">
        <f xml:space="preserve"> IF($BF$700 &gt;= $G$204, "1","0")</f>
        <v>0</v>
      </c>
      <c r="BI700">
        <f xml:space="preserve"> IF( AND( $BG$700 = "1", $BH$700 = "1" ), 1, IF( AND( $BG$700 = "1", $BH$700 = "0" ), 2, IF( AND( $BG$700 = "0", $BH$700 = "1" ), 3, 4 ) ) )</f>
        <v>4</v>
      </c>
      <c r="BK700" s="1">
        <v>1.8947368421052633E-2</v>
      </c>
      <c r="BL700" t="str">
        <f>"0"</f>
        <v>0</v>
      </c>
      <c r="BM700" t="str">
        <f xml:space="preserve"> IF($BK$700 &gt;= $G$281, "1","0")</f>
        <v>0</v>
      </c>
      <c r="BN700">
        <f xml:space="preserve"> IF( AND( $BL$700 = "1", $BM$700 = "1" ), 1, IF( AND( $BL$700 = "1", $BM$700 = "0" ), 2, IF( AND( $BL$700 = "0", $BM$700 = "1" ), 3, 4 ) ) )</f>
        <v>4</v>
      </c>
    </row>
    <row r="701" spans="58:66" x14ac:dyDescent="0.25">
      <c r="BF701" s="1">
        <v>0</v>
      </c>
      <c r="BG701" t="str">
        <f>"0"</f>
        <v>0</v>
      </c>
      <c r="BH701" t="str">
        <f xml:space="preserve"> IF($BF$701 &gt;= $G$204, "1","0")</f>
        <v>0</v>
      </c>
      <c r="BI701">
        <f xml:space="preserve"> IF( AND( $BG$701 = "1", $BH$701 = "1" ), 1, IF( AND( $BG$701 = "1", $BH$701 = "0" ), 2, IF( AND( $BG$701 = "0", $BH$701 = "1" ), 3, 4 ) ) )</f>
        <v>4</v>
      </c>
      <c r="BK701" s="1">
        <v>0.9</v>
      </c>
      <c r="BL701" t="str">
        <f>"1"</f>
        <v>1</v>
      </c>
      <c r="BM701" t="str">
        <f xml:space="preserve"> IF($BK$701 &gt;= $G$281, "1","0")</f>
        <v>1</v>
      </c>
      <c r="BN701">
        <f xml:space="preserve"> IF( AND( $BL$701 = "1", $BM$701 = "1" ), 1, IF( AND( $BL$701 = "1", $BM$701 = "0" ), 2, IF( AND( $BL$701 = "0", $BM$701 = "1" ), 3, 4 ) ) )</f>
        <v>1</v>
      </c>
    </row>
    <row r="702" spans="58:66" x14ac:dyDescent="0.25">
      <c r="BF702" s="1">
        <v>0</v>
      </c>
      <c r="BG702" t="str">
        <f>"0"</f>
        <v>0</v>
      </c>
      <c r="BH702" t="str">
        <f xml:space="preserve"> IF($BF$702 &gt;= $G$204, "1","0")</f>
        <v>0</v>
      </c>
      <c r="BI702">
        <f xml:space="preserve"> IF( AND( $BG$702 = "1", $BH$702 = "1" ), 1, IF( AND( $BG$702 = "1", $BH$702 = "0" ), 2, IF( AND( $BG$702 = "0", $BH$702 = "1" ), 3, 4 ) ) )</f>
        <v>4</v>
      </c>
      <c r="BK702" s="1">
        <v>2.5000000000000001E-3</v>
      </c>
      <c r="BL702" t="str">
        <f>"0"</f>
        <v>0</v>
      </c>
      <c r="BM702" t="str">
        <f xml:space="preserve"> IF($BK$702 &gt;= $G$281, "1","0")</f>
        <v>0</v>
      </c>
      <c r="BN702">
        <f xml:space="preserve"> IF( AND( $BL$702 = "1", $BM$702 = "1" ), 1, IF( AND( $BL$702 = "1", $BM$702 = "0" ), 2, IF( AND( $BL$702 = "0", $BM$702 = "1" ), 3, 4 ) ) )</f>
        <v>4</v>
      </c>
    </row>
    <row r="703" spans="58:66" x14ac:dyDescent="0.25">
      <c r="BF703" s="1">
        <v>0</v>
      </c>
      <c r="BG703" t="str">
        <f>"0"</f>
        <v>0</v>
      </c>
      <c r="BH703" t="str">
        <f xml:space="preserve"> IF($BF$703 &gt;= $G$204, "1","0")</f>
        <v>0</v>
      </c>
      <c r="BI703">
        <f xml:space="preserve"> IF( AND( $BG$703 = "1", $BH$703 = "1" ), 1, IF( AND( $BG$703 = "1", $BH$703 = "0" ), 2, IF( AND( $BG$703 = "0", $BH$703 = "1" ), 3, 4 ) ) )</f>
        <v>4</v>
      </c>
      <c r="BK703" s="1">
        <v>1.8947368421052633E-2</v>
      </c>
      <c r="BL703" t="str">
        <f>"0"</f>
        <v>0</v>
      </c>
      <c r="BM703" t="str">
        <f xml:space="preserve"> IF($BK$703 &gt;= $G$281, "1","0")</f>
        <v>0</v>
      </c>
      <c r="BN703">
        <f xml:space="preserve"> IF( AND( $BL$703 = "1", $BM$703 = "1" ), 1, IF( AND( $BL$703 = "1", $BM$703 = "0" ), 2, IF( AND( $BL$703 = "0", $BM$703 = "1" ), 3, 4 ) ) )</f>
        <v>4</v>
      </c>
    </row>
    <row r="704" spans="58:66" x14ac:dyDescent="0.25">
      <c r="BF704" s="1">
        <v>0</v>
      </c>
      <c r="BG704" t="str">
        <f>"0"</f>
        <v>0</v>
      </c>
      <c r="BH704" t="str">
        <f xml:space="preserve"> IF($BF$704 &gt;= $G$204, "1","0")</f>
        <v>0</v>
      </c>
      <c r="BI704">
        <f xml:space="preserve"> IF( AND( $BG$704 = "1", $BH$704 = "1" ), 1, IF( AND( $BG$704 = "1", $BH$704 = "0" ), 2, IF( AND( $BG$704 = "0", $BH$704 = "1" ), 3, 4 ) ) )</f>
        <v>4</v>
      </c>
      <c r="BK704" s="1">
        <v>2.5000000000000001E-3</v>
      </c>
      <c r="BL704" t="str">
        <f>"0"</f>
        <v>0</v>
      </c>
      <c r="BM704" t="str">
        <f xml:space="preserve"> IF($BK$704 &gt;= $G$281, "1","0")</f>
        <v>0</v>
      </c>
      <c r="BN704">
        <f xml:space="preserve"> IF( AND( $BL$704 = "1", $BM$704 = "1" ), 1, IF( AND( $BL$704 = "1", $BM$704 = "0" ), 2, IF( AND( $BL$704 = "0", $BM$704 = "1" ), 3, 4 ) ) )</f>
        <v>4</v>
      </c>
    </row>
    <row r="705" spans="58:66" x14ac:dyDescent="0.25">
      <c r="BF705" s="1">
        <v>0</v>
      </c>
      <c r="BG705" t="str">
        <f>"0"</f>
        <v>0</v>
      </c>
      <c r="BH705" t="str">
        <f xml:space="preserve"> IF($BF$705 &gt;= $G$204, "1","0")</f>
        <v>0</v>
      </c>
      <c r="BI705">
        <f xml:space="preserve"> IF( AND( $BG$705 = "1", $BH$705 = "1" ), 1, IF( AND( $BG$705 = "1", $BH$705 = "0" ), 2, IF( AND( $BG$705 = "0", $BH$705 = "1" ), 3, 4 ) ) )</f>
        <v>4</v>
      </c>
      <c r="BK705" s="1">
        <v>0</v>
      </c>
      <c r="BL705" t="str">
        <f>"0"</f>
        <v>0</v>
      </c>
      <c r="BM705" t="str">
        <f xml:space="preserve"> IF($BK$705 &gt;= $G$281, "1","0")</f>
        <v>0</v>
      </c>
      <c r="BN705">
        <f xml:space="preserve"> IF( AND( $BL$705 = "1", $BM$705 = "1" ), 1, IF( AND( $BL$705 = "1", $BM$705 = "0" ), 2, IF( AND( $BL$705 = "0", $BM$705 = "1" ), 3, 4 ) ) )</f>
        <v>4</v>
      </c>
    </row>
    <row r="706" spans="58:66" x14ac:dyDescent="0.25">
      <c r="BF706" s="1">
        <v>0</v>
      </c>
      <c r="BG706" t="str">
        <f>"0"</f>
        <v>0</v>
      </c>
      <c r="BH706" t="str">
        <f xml:space="preserve"> IF($BF$706 &gt;= $G$204, "1","0")</f>
        <v>0</v>
      </c>
      <c r="BI706">
        <f xml:space="preserve"> IF( AND( $BG$706 = "1", $BH$706 = "1" ), 1, IF( AND( $BG$706 = "1", $BH$706 = "0" ), 2, IF( AND( $BG$706 = "0", $BH$706 = "1" ), 3, 4 ) ) )</f>
        <v>4</v>
      </c>
      <c r="BK706" s="1">
        <v>0.14285714285714288</v>
      </c>
      <c r="BL706" t="str">
        <f>"0"</f>
        <v>0</v>
      </c>
      <c r="BM706" t="str">
        <f xml:space="preserve"> IF($BK$706 &gt;= $G$281, "1","0")</f>
        <v>0</v>
      </c>
      <c r="BN706">
        <f xml:space="preserve"> IF( AND( $BL$706 = "1", $BM$706 = "1" ), 1, IF( AND( $BL$706 = "1", $BM$706 = "0" ), 2, IF( AND( $BL$706 = "0", $BM$706 = "1" ), 3, 4 ) ) )</f>
        <v>4</v>
      </c>
    </row>
    <row r="707" spans="58:66" x14ac:dyDescent="0.25">
      <c r="BF707" s="1">
        <v>0</v>
      </c>
      <c r="BG707" t="str">
        <f>"0"</f>
        <v>0</v>
      </c>
      <c r="BH707" t="str">
        <f xml:space="preserve"> IF($BF$707 &gt;= $G$204, "1","0")</f>
        <v>0</v>
      </c>
      <c r="BI707">
        <f xml:space="preserve"> IF( AND( $BG$707 = "1", $BH$707 = "1" ), 1, IF( AND( $BG$707 = "1", $BH$707 = "0" ), 2, IF( AND( $BG$707 = "0", $BH$707 = "1" ), 3, 4 ) ) )</f>
        <v>4</v>
      </c>
      <c r="BK707" s="1">
        <v>2.5000000000000001E-3</v>
      </c>
      <c r="BL707" t="str">
        <f>"0"</f>
        <v>0</v>
      </c>
      <c r="BM707" t="str">
        <f xml:space="preserve"> IF($BK$707 &gt;= $G$281, "1","0")</f>
        <v>0</v>
      </c>
      <c r="BN707">
        <f xml:space="preserve"> IF( AND( $BL$707 = "1", $BM$707 = "1" ), 1, IF( AND( $BL$707 = "1", $BM$707 = "0" ), 2, IF( AND( $BL$707 = "0", $BM$707 = "1" ), 3, 4 ) ) )</f>
        <v>4</v>
      </c>
    </row>
    <row r="708" spans="58:66" x14ac:dyDescent="0.25">
      <c r="BF708" s="1">
        <v>0</v>
      </c>
      <c r="BG708" t="str">
        <f>"0"</f>
        <v>0</v>
      </c>
      <c r="BH708" t="str">
        <f xml:space="preserve"> IF($BF$708 &gt;= $G$204, "1","0")</f>
        <v>0</v>
      </c>
      <c r="BI708">
        <f xml:space="preserve"> IF( AND( $BG$708 = "1", $BH$708 = "1" ), 1, IF( AND( $BG$708 = "1", $BH$708 = "0" ), 2, IF( AND( $BG$708 = "0", $BH$708 = "1" ), 3, 4 ) ) )</f>
        <v>4</v>
      </c>
      <c r="BK708" s="1">
        <v>0.14285714285714288</v>
      </c>
      <c r="BL708" t="str">
        <f>"0"</f>
        <v>0</v>
      </c>
      <c r="BM708" t="str">
        <f xml:space="preserve"> IF($BK$708 &gt;= $G$281, "1","0")</f>
        <v>0</v>
      </c>
      <c r="BN708">
        <f xml:space="preserve"> IF( AND( $BL$708 = "1", $BM$708 = "1" ), 1, IF( AND( $BL$708 = "1", $BM$708 = "0" ), 2, IF( AND( $BL$708 = "0", $BM$708 = "1" ), 3, 4 ) ) )</f>
        <v>4</v>
      </c>
    </row>
    <row r="709" spans="58:66" x14ac:dyDescent="0.25">
      <c r="BF709" s="1">
        <v>0</v>
      </c>
      <c r="BG709" t="str">
        <f>"0"</f>
        <v>0</v>
      </c>
      <c r="BH709" t="str">
        <f xml:space="preserve"> IF($BF$709 &gt;= $G$204, "1","0")</f>
        <v>0</v>
      </c>
      <c r="BI709">
        <f xml:space="preserve"> IF( AND( $BG$709 = "1", $BH$709 = "1" ), 1, IF( AND( $BG$709 = "1", $BH$709 = "0" ), 2, IF( AND( $BG$709 = "0", $BH$709 = "1" ), 3, 4 ) ) )</f>
        <v>4</v>
      </c>
      <c r="BK709" s="1">
        <v>1</v>
      </c>
      <c r="BL709" t="str">
        <f>"1"</f>
        <v>1</v>
      </c>
      <c r="BM709" t="str">
        <f xml:space="preserve"> IF($BK$709 &gt;= $G$281, "1","0")</f>
        <v>1</v>
      </c>
      <c r="BN709">
        <f xml:space="preserve"> IF( AND( $BL$709 = "1", $BM$709 = "1" ), 1, IF( AND( $BL$709 = "1", $BM$709 = "0" ), 2, IF( AND( $BL$709 = "0", $BM$709 = "1" ), 3, 4 ) ) )</f>
        <v>1</v>
      </c>
    </row>
    <row r="710" spans="58:66" x14ac:dyDescent="0.25">
      <c r="BF710" s="1">
        <v>0</v>
      </c>
      <c r="BG710" t="str">
        <f>"0"</f>
        <v>0</v>
      </c>
      <c r="BH710" t="str">
        <f xml:space="preserve"> IF($BF$710 &gt;= $G$204, "1","0")</f>
        <v>0</v>
      </c>
      <c r="BI710">
        <f xml:space="preserve"> IF( AND( $BG$710 = "1", $BH$710 = "1" ), 1, IF( AND( $BG$710 = "1", $BH$710 = "0" ), 2, IF( AND( $BG$710 = "0", $BH$710 = "1" ), 3, 4 ) ) )</f>
        <v>4</v>
      </c>
      <c r="BK710" s="1">
        <v>0</v>
      </c>
      <c r="BL710" t="str">
        <f>"0"</f>
        <v>0</v>
      </c>
      <c r="BM710" t="str">
        <f xml:space="preserve"> IF($BK$710 &gt;= $G$281, "1","0")</f>
        <v>0</v>
      </c>
      <c r="BN710">
        <f xml:space="preserve"> IF( AND( $BL$710 = "1", $BM$710 = "1" ), 1, IF( AND( $BL$710 = "1", $BM$710 = "0" ), 2, IF( AND( $BL$710 = "0", $BM$710 = "1" ), 3, 4 ) ) )</f>
        <v>4</v>
      </c>
    </row>
    <row r="711" spans="58:66" x14ac:dyDescent="0.25">
      <c r="BF711" s="1">
        <v>0</v>
      </c>
      <c r="BG711" t="str">
        <f>"0"</f>
        <v>0</v>
      </c>
      <c r="BH711" t="str">
        <f xml:space="preserve"> IF($BF$711 &gt;= $G$204, "1","0")</f>
        <v>0</v>
      </c>
      <c r="BI711">
        <f xml:space="preserve"> IF( AND( $BG$711 = "1", $BH$711 = "1" ), 1, IF( AND( $BG$711 = "1", $BH$711 = "0" ), 2, IF( AND( $BG$711 = "0", $BH$711 = "1" ), 3, 4 ) ) )</f>
        <v>4</v>
      </c>
      <c r="BK711" s="1">
        <v>2.5000000000000001E-3</v>
      </c>
      <c r="BL711" t="str">
        <f>"0"</f>
        <v>0</v>
      </c>
      <c r="BM711" t="str">
        <f xml:space="preserve"> IF($BK$711 &gt;= $G$281, "1","0")</f>
        <v>0</v>
      </c>
      <c r="BN711">
        <f xml:space="preserve"> IF( AND( $BL$711 = "1", $BM$711 = "1" ), 1, IF( AND( $BL$711 = "1", $BM$711 = "0" ), 2, IF( AND( $BL$711 = "0", $BM$711 = "1" ), 3, 4 ) ) )</f>
        <v>4</v>
      </c>
    </row>
    <row r="712" spans="58:66" x14ac:dyDescent="0.25">
      <c r="BF712" s="1">
        <v>0</v>
      </c>
      <c r="BG712" t="str">
        <f>"0"</f>
        <v>0</v>
      </c>
      <c r="BH712" t="str">
        <f xml:space="preserve"> IF($BF$712 &gt;= $G$204, "1","0")</f>
        <v>0</v>
      </c>
      <c r="BI712">
        <f xml:space="preserve"> IF( AND( $BG$712 = "1", $BH$712 = "1" ), 1, IF( AND( $BG$712 = "1", $BH$712 = "0" ), 2, IF( AND( $BG$712 = "0", $BH$712 = "1" ), 3, 4 ) ) )</f>
        <v>4</v>
      </c>
      <c r="BK712" s="1">
        <v>1.8947368421052633E-2</v>
      </c>
      <c r="BL712" t="str">
        <f>"0"</f>
        <v>0</v>
      </c>
      <c r="BM712" t="str">
        <f xml:space="preserve"> IF($BK$712 &gt;= $G$281, "1","0")</f>
        <v>0</v>
      </c>
      <c r="BN712">
        <f xml:space="preserve"> IF( AND( $BL$712 = "1", $BM$712 = "1" ), 1, IF( AND( $BL$712 = "1", $BM$712 = "0" ), 2, IF( AND( $BL$712 = "0", $BM$712 = "1" ), 3, 4 ) ) )</f>
        <v>4</v>
      </c>
    </row>
    <row r="713" spans="58:66" x14ac:dyDescent="0.25">
      <c r="BF713" s="1">
        <v>0</v>
      </c>
      <c r="BG713" t="str">
        <f>"0"</f>
        <v>0</v>
      </c>
      <c r="BH713" t="str">
        <f xml:space="preserve"> IF($BF$713 &gt;= $G$204, "1","0")</f>
        <v>0</v>
      </c>
      <c r="BI713">
        <f xml:space="preserve"> IF( AND( $BG$713 = "1", $BH$713 = "1" ), 1, IF( AND( $BG$713 = "1", $BH$713 = "0" ), 2, IF( AND( $BG$713 = "0", $BH$713 = "1" ), 3, 4 ) ) )</f>
        <v>4</v>
      </c>
      <c r="BK713" s="1">
        <v>1</v>
      </c>
      <c r="BL713" t="str">
        <f>"1"</f>
        <v>1</v>
      </c>
      <c r="BM713" t="str">
        <f xml:space="preserve"> IF($BK$713 &gt;= $G$281, "1","0")</f>
        <v>1</v>
      </c>
      <c r="BN713">
        <f xml:space="preserve"> IF( AND( $BL$713 = "1", $BM$713 = "1" ), 1, IF( AND( $BL$713 = "1", $BM$713 = "0" ), 2, IF( AND( $BL$713 = "0", $BM$713 = "1" ), 3, 4 ) ) )</f>
        <v>1</v>
      </c>
    </row>
    <row r="714" spans="58:66" x14ac:dyDescent="0.25">
      <c r="BF714" s="1">
        <v>0</v>
      </c>
      <c r="BG714" t="str">
        <f>"0"</f>
        <v>0</v>
      </c>
      <c r="BH714" t="str">
        <f xml:space="preserve"> IF($BF$714 &gt;= $G$204, "1","0")</f>
        <v>0</v>
      </c>
      <c r="BI714">
        <f xml:space="preserve"> IF( AND( $BG$714 = "1", $BH$714 = "1" ), 1, IF( AND( $BG$714 = "1", $BH$714 = "0" ), 2, IF( AND( $BG$714 = "0", $BH$714 = "1" ), 3, 4 ) ) )</f>
        <v>4</v>
      </c>
      <c r="BK714" s="1">
        <v>0</v>
      </c>
      <c r="BL714" t="str">
        <f>"0"</f>
        <v>0</v>
      </c>
      <c r="BM714" t="str">
        <f xml:space="preserve"> IF($BK$714 &gt;= $G$281, "1","0")</f>
        <v>0</v>
      </c>
      <c r="BN714">
        <f xml:space="preserve"> IF( AND( $BL$714 = "1", $BM$714 = "1" ), 1, IF( AND( $BL$714 = "1", $BM$714 = "0" ), 2, IF( AND( $BL$714 = "0", $BM$714 = "1" ), 3, 4 ) ) )</f>
        <v>4</v>
      </c>
    </row>
    <row r="715" spans="58:66" x14ac:dyDescent="0.25">
      <c r="BF715" s="1">
        <v>0</v>
      </c>
      <c r="BG715" t="str">
        <f>"0"</f>
        <v>0</v>
      </c>
      <c r="BH715" t="str">
        <f xml:space="preserve"> IF($BF$715 &gt;= $G$204, "1","0")</f>
        <v>0</v>
      </c>
      <c r="BI715">
        <f xml:space="preserve"> IF( AND( $BG$715 = "1", $BH$715 = "1" ), 1, IF( AND( $BG$715 = "1", $BH$715 = "0" ), 2, IF( AND( $BG$715 = "0", $BH$715 = "1" ), 3, 4 ) ) )</f>
        <v>4</v>
      </c>
      <c r="BK715" s="1">
        <v>0.68181818181818188</v>
      </c>
      <c r="BL715" t="str">
        <f>"0"</f>
        <v>0</v>
      </c>
      <c r="BM715" t="str">
        <f xml:space="preserve"> IF($BK$715 &gt;= $G$281, "1","0")</f>
        <v>1</v>
      </c>
      <c r="BN715">
        <f xml:space="preserve"> IF( AND( $BL$715 = "1", $BM$715 = "1" ), 1, IF( AND( $BL$715 = "1", $BM$715 = "0" ), 2, IF( AND( $BL$715 = "0", $BM$715 = "1" ), 3, 4 ) ) )</f>
        <v>3</v>
      </c>
    </row>
    <row r="716" spans="58:66" x14ac:dyDescent="0.25">
      <c r="BF716" s="1">
        <v>0</v>
      </c>
      <c r="BG716" t="str">
        <f>"0"</f>
        <v>0</v>
      </c>
      <c r="BH716" t="str">
        <f xml:space="preserve"> IF($BF$716 &gt;= $G$204, "1","0")</f>
        <v>0</v>
      </c>
      <c r="BI716">
        <f xml:space="preserve"> IF( AND( $BG$716 = "1", $BH$716 = "1" ), 1, IF( AND( $BG$716 = "1", $BH$716 = "0" ), 2, IF( AND( $BG$716 = "0", $BH$716 = "1" ), 3, 4 ) ) )</f>
        <v>4</v>
      </c>
      <c r="BK716" s="1">
        <v>0.68181818181818188</v>
      </c>
      <c r="BL716" t="str">
        <f>"0"</f>
        <v>0</v>
      </c>
      <c r="BM716" t="str">
        <f xml:space="preserve"> IF($BK$716 &gt;= $G$281, "1","0")</f>
        <v>1</v>
      </c>
      <c r="BN716">
        <f xml:space="preserve"> IF( AND( $BL$716 = "1", $BM$716 = "1" ), 1, IF( AND( $BL$716 = "1", $BM$716 = "0" ), 2, IF( AND( $BL$716 = "0", $BM$716 = "1" ), 3, 4 ) ) )</f>
        <v>3</v>
      </c>
    </row>
    <row r="717" spans="58:66" x14ac:dyDescent="0.25">
      <c r="BF717" s="1">
        <v>0</v>
      </c>
      <c r="BG717" t="str">
        <f>"0"</f>
        <v>0</v>
      </c>
      <c r="BH717" t="str">
        <f xml:space="preserve"> IF($BF$717 &gt;= $G$204, "1","0")</f>
        <v>0</v>
      </c>
      <c r="BI717">
        <f xml:space="preserve"> IF( AND( $BG$717 = "1", $BH$717 = "1" ), 1, IF( AND( $BG$717 = "1", $BH$717 = "0" ), 2, IF( AND( $BG$717 = "0", $BH$717 = "1" ), 3, 4 ) ) )</f>
        <v>4</v>
      </c>
      <c r="BK717" s="1">
        <v>1.8947368421052633E-2</v>
      </c>
      <c r="BL717" t="str">
        <f>"0"</f>
        <v>0</v>
      </c>
      <c r="BM717" t="str">
        <f xml:space="preserve"> IF($BK$717 &gt;= $G$281, "1","0")</f>
        <v>0</v>
      </c>
      <c r="BN717">
        <f xml:space="preserve"> IF( AND( $BL$717 = "1", $BM$717 = "1" ), 1, IF( AND( $BL$717 = "1", $BM$717 = "0" ), 2, IF( AND( $BL$717 = "0", $BM$717 = "1" ), 3, 4 ) ) )</f>
        <v>4</v>
      </c>
    </row>
    <row r="718" spans="58:66" x14ac:dyDescent="0.25">
      <c r="BF718" s="1">
        <v>0</v>
      </c>
      <c r="BG718" t="str">
        <f>"0"</f>
        <v>0</v>
      </c>
      <c r="BH718" t="str">
        <f xml:space="preserve"> IF($BF$718 &gt;= $G$204, "1","0")</f>
        <v>0</v>
      </c>
      <c r="BI718">
        <f xml:space="preserve"> IF( AND( $BG$718 = "1", $BH$718 = "1" ), 1, IF( AND( $BG$718 = "1", $BH$718 = "0" ), 2, IF( AND( $BG$718 = "0", $BH$718 = "1" ), 3, 4 ) ) )</f>
        <v>4</v>
      </c>
      <c r="BK718" s="1">
        <v>1.8947368421052633E-2</v>
      </c>
      <c r="BL718" t="str">
        <f>"0"</f>
        <v>0</v>
      </c>
      <c r="BM718" t="str">
        <f xml:space="preserve"> IF($BK$718 &gt;= $G$281, "1","0")</f>
        <v>0</v>
      </c>
      <c r="BN718">
        <f xml:space="preserve"> IF( AND( $BL$718 = "1", $BM$718 = "1" ), 1, IF( AND( $BL$718 = "1", $BM$718 = "0" ), 2, IF( AND( $BL$718 = "0", $BM$718 = "1" ), 3, 4 ) ) )</f>
        <v>4</v>
      </c>
    </row>
    <row r="719" spans="58:66" x14ac:dyDescent="0.25">
      <c r="BF719" s="1">
        <v>0</v>
      </c>
      <c r="BG719" t="str">
        <f>"0"</f>
        <v>0</v>
      </c>
      <c r="BH719" t="str">
        <f xml:space="preserve"> IF($BF$719 &gt;= $G$204, "1","0")</f>
        <v>0</v>
      </c>
      <c r="BI719">
        <f xml:space="preserve"> IF( AND( $BG$719 = "1", $BH$719 = "1" ), 1, IF( AND( $BG$719 = "1", $BH$719 = "0" ), 2, IF( AND( $BG$719 = "0", $BH$719 = "1" ), 3, 4 ) ) )</f>
        <v>4</v>
      </c>
      <c r="BK719" s="1">
        <v>1</v>
      </c>
      <c r="BL719" t="str">
        <f>"1"</f>
        <v>1</v>
      </c>
      <c r="BM719" t="str">
        <f xml:space="preserve"> IF($BK$719 &gt;= $G$281, "1","0")</f>
        <v>1</v>
      </c>
      <c r="BN719">
        <f xml:space="preserve"> IF( AND( $BL$719 = "1", $BM$719 = "1" ), 1, IF( AND( $BL$719 = "1", $BM$719 = "0" ), 2, IF( AND( $BL$719 = "0", $BM$719 = "1" ), 3, 4 ) ) )</f>
        <v>1</v>
      </c>
    </row>
    <row r="720" spans="58:66" x14ac:dyDescent="0.25">
      <c r="BF720" s="1">
        <v>0</v>
      </c>
      <c r="BG720" t="str">
        <f>"0"</f>
        <v>0</v>
      </c>
      <c r="BH720" t="str">
        <f xml:space="preserve"> IF($BF$720 &gt;= $G$204, "1","0")</f>
        <v>0</v>
      </c>
      <c r="BI720">
        <f xml:space="preserve"> IF( AND( $BG$720 = "1", $BH$720 = "1" ), 1, IF( AND( $BG$720 = "1", $BH$720 = "0" ), 2, IF( AND( $BG$720 = "0", $BH$720 = "1" ), 3, 4 ) ) )</f>
        <v>4</v>
      </c>
      <c r="BK720" s="1">
        <v>0.9</v>
      </c>
      <c r="BL720" t="str">
        <f>"1"</f>
        <v>1</v>
      </c>
      <c r="BM720" t="str">
        <f xml:space="preserve"> IF($BK$720 &gt;= $G$281, "1","0")</f>
        <v>1</v>
      </c>
      <c r="BN720">
        <f xml:space="preserve"> IF( AND( $BL$720 = "1", $BM$720 = "1" ), 1, IF( AND( $BL$720 = "1", $BM$720 = "0" ), 2, IF( AND( $BL$720 = "0", $BM$720 = "1" ), 3, 4 ) ) )</f>
        <v>1</v>
      </c>
    </row>
    <row r="721" spans="58:66" x14ac:dyDescent="0.25">
      <c r="BF721" s="1">
        <v>0</v>
      </c>
      <c r="BG721" t="str">
        <f>"0"</f>
        <v>0</v>
      </c>
      <c r="BH721" t="str">
        <f xml:space="preserve"> IF($BF$721 &gt;= $G$204, "1","0")</f>
        <v>0</v>
      </c>
      <c r="BI721">
        <f xml:space="preserve"> IF( AND( $BG$721 = "1", $BH$721 = "1" ), 1, IF( AND( $BG$721 = "1", $BH$721 = "0" ), 2, IF( AND( $BG$721 = "0", $BH$721 = "1" ), 3, 4 ) ) )</f>
        <v>4</v>
      </c>
      <c r="BK721" s="1">
        <v>1</v>
      </c>
      <c r="BL721" t="str">
        <f>"1"</f>
        <v>1</v>
      </c>
      <c r="BM721" t="str">
        <f xml:space="preserve"> IF($BK$721 &gt;= $G$281, "1","0")</f>
        <v>1</v>
      </c>
      <c r="BN721">
        <f xml:space="preserve"> IF( AND( $BL$721 = "1", $BM$721 = "1" ), 1, IF( AND( $BL$721 = "1", $BM$721 = "0" ), 2, IF( AND( $BL$721 = "0", $BM$721 = "1" ), 3, 4 ) ) )</f>
        <v>1</v>
      </c>
    </row>
    <row r="722" spans="58:66" x14ac:dyDescent="0.25">
      <c r="BF722" s="1">
        <v>0</v>
      </c>
      <c r="BG722" t="str">
        <f>"0"</f>
        <v>0</v>
      </c>
      <c r="BH722" t="str">
        <f xml:space="preserve"> IF($BF$722 &gt;= $G$204, "1","0")</f>
        <v>0</v>
      </c>
      <c r="BI722">
        <f xml:space="preserve"> IF( AND( $BG$722 = "1", $BH$722 = "1" ), 1, IF( AND( $BG$722 = "1", $BH$722 = "0" ), 2, IF( AND( $BG$722 = "0", $BH$722 = "1" ), 3, 4 ) ) )</f>
        <v>4</v>
      </c>
      <c r="BK722" s="1">
        <v>1</v>
      </c>
      <c r="BL722" t="str">
        <f>"1"</f>
        <v>1</v>
      </c>
      <c r="BM722" t="str">
        <f xml:space="preserve"> IF($BK$722 &gt;= $G$281, "1","0")</f>
        <v>1</v>
      </c>
      <c r="BN722">
        <f xml:space="preserve"> IF( AND( $BL$722 = "1", $BM$722 = "1" ), 1, IF( AND( $BL$722 = "1", $BM$722 = "0" ), 2, IF( AND( $BL$722 = "0", $BM$722 = "1" ), 3, 4 ) ) )</f>
        <v>1</v>
      </c>
    </row>
    <row r="723" spans="58:66" x14ac:dyDescent="0.25">
      <c r="BF723" s="1">
        <v>0</v>
      </c>
      <c r="BG723" t="str">
        <f>"0"</f>
        <v>0</v>
      </c>
      <c r="BH723" t="str">
        <f xml:space="preserve"> IF($BF$723 &gt;= $G$204, "1","0")</f>
        <v>0</v>
      </c>
      <c r="BI723">
        <f xml:space="preserve"> IF( AND( $BG$723 = "1", $BH$723 = "1" ), 1, IF( AND( $BG$723 = "1", $BH$723 = "0" ), 2, IF( AND( $BG$723 = "0", $BH$723 = "1" ), 3, 4 ) ) )</f>
        <v>4</v>
      </c>
      <c r="BK723" s="1">
        <v>0</v>
      </c>
      <c r="BL723" t="str">
        <f>"0"</f>
        <v>0</v>
      </c>
      <c r="BM723" t="str">
        <f xml:space="preserve"> IF($BK$723 &gt;= $G$281, "1","0")</f>
        <v>0</v>
      </c>
      <c r="BN723">
        <f xml:space="preserve"> IF( AND( $BL$723 = "1", $BM$723 = "1" ), 1, IF( AND( $BL$723 = "1", $BM$723 = "0" ), 2, IF( AND( $BL$723 = "0", $BM$723 = "1" ), 3, 4 ) ) )</f>
        <v>4</v>
      </c>
    </row>
    <row r="724" spans="58:66" x14ac:dyDescent="0.25">
      <c r="BF724" s="1">
        <v>0.04</v>
      </c>
      <c r="BG724" t="str">
        <f>"0"</f>
        <v>0</v>
      </c>
      <c r="BH724" t="str">
        <f xml:space="preserve"> IF($BF$724 &gt;= $G$204, "1","0")</f>
        <v>0</v>
      </c>
      <c r="BI724">
        <f xml:space="preserve"> IF( AND( $BG$724 = "1", $BH$724 = "1" ), 1, IF( AND( $BG$724 = "1", $BH$724 = "0" ), 2, IF( AND( $BG$724 = "0", $BH$724 = "1" ), 3, 4 ) ) )</f>
        <v>4</v>
      </c>
      <c r="BK724" s="1">
        <v>3.333333333333334E-2</v>
      </c>
      <c r="BL724" t="str">
        <f>"0"</f>
        <v>0</v>
      </c>
      <c r="BM724" t="str">
        <f xml:space="preserve"> IF($BK$724 &gt;= $G$281, "1","0")</f>
        <v>0</v>
      </c>
      <c r="BN724">
        <f xml:space="preserve"> IF( AND( $BL$724 = "1", $BM$724 = "1" ), 1, IF( AND( $BL$724 = "1", $BM$724 = "0" ), 2, IF( AND( $BL$724 = "0", $BM$724 = "1" ), 3, 4 ) ) )</f>
        <v>4</v>
      </c>
    </row>
    <row r="725" spans="58:66" x14ac:dyDescent="0.25">
      <c r="BF725" s="1">
        <v>0.04</v>
      </c>
      <c r="BG725" t="str">
        <f>"0"</f>
        <v>0</v>
      </c>
      <c r="BH725" t="str">
        <f xml:space="preserve"> IF($BF$725 &gt;= $G$204, "1","0")</f>
        <v>0</v>
      </c>
      <c r="BI725">
        <f xml:space="preserve"> IF( AND( $BG$725 = "1", $BH$725 = "1" ), 1, IF( AND( $BG$725 = "1", $BH$725 = "0" ), 2, IF( AND( $BG$725 = "0", $BH$725 = "1" ), 3, 4 ) ) )</f>
        <v>4</v>
      </c>
      <c r="BK725" s="1">
        <v>1.8947368421052633E-2</v>
      </c>
      <c r="BL725" t="str">
        <f>"0"</f>
        <v>0</v>
      </c>
      <c r="BM725" t="str">
        <f xml:space="preserve"> IF($BK$725 &gt;= $G$281, "1","0")</f>
        <v>0</v>
      </c>
      <c r="BN725">
        <f xml:space="preserve"> IF( AND( $BL$725 = "1", $BM$725 = "1" ), 1, IF( AND( $BL$725 = "1", $BM$725 = "0" ), 2, IF( AND( $BL$725 = "0", $BM$725 = "1" ), 3, 4 ) ) )</f>
        <v>4</v>
      </c>
    </row>
    <row r="726" spans="58:66" x14ac:dyDescent="0.25">
      <c r="BF726" s="1">
        <v>0.04</v>
      </c>
      <c r="BG726" t="str">
        <f>"0"</f>
        <v>0</v>
      </c>
      <c r="BH726" t="str">
        <f xml:space="preserve"> IF($BF$726 &gt;= $G$204, "1","0")</f>
        <v>0</v>
      </c>
      <c r="BI726">
        <f xml:space="preserve"> IF( AND( $BG$726 = "1", $BH$726 = "1" ), 1, IF( AND( $BG$726 = "1", $BH$726 = "0" ), 2, IF( AND( $BG$726 = "0", $BH$726 = "1" ), 3, 4 ) ) )</f>
        <v>4</v>
      </c>
      <c r="BK726" s="1">
        <v>2.5000000000000001E-3</v>
      </c>
      <c r="BL726" t="str">
        <f>"0"</f>
        <v>0</v>
      </c>
      <c r="BM726" t="str">
        <f xml:space="preserve"> IF($BK$726 &gt;= $G$281, "1","0")</f>
        <v>0</v>
      </c>
      <c r="BN726">
        <f xml:space="preserve"> IF( AND( $BL$726 = "1", $BM$726 = "1" ), 1, IF( AND( $BL$726 = "1", $BM$726 = "0" ), 2, IF( AND( $BL$726 = "0", $BM$726 = "1" ), 3, 4 ) ) )</f>
        <v>4</v>
      </c>
    </row>
    <row r="727" spans="58:66" x14ac:dyDescent="0.25">
      <c r="BF727" s="1">
        <v>0.04</v>
      </c>
      <c r="BG727" t="str">
        <f>"0"</f>
        <v>0</v>
      </c>
      <c r="BH727" t="str">
        <f xml:space="preserve"> IF($BF$727 &gt;= $G$204, "1","0")</f>
        <v>0</v>
      </c>
      <c r="BI727">
        <f xml:space="preserve"> IF( AND( $BG$727 = "1", $BH$727 = "1" ), 1, IF( AND( $BG$727 = "1", $BH$727 = "0" ), 2, IF( AND( $BG$727 = "0", $BH$727 = "1" ), 3, 4 ) ) )</f>
        <v>4</v>
      </c>
      <c r="BK727" s="1">
        <v>2.5000000000000001E-3</v>
      </c>
      <c r="BL727" t="str">
        <f>"0"</f>
        <v>0</v>
      </c>
      <c r="BM727" t="str">
        <f xml:space="preserve"> IF($BK$727 &gt;= $G$281, "1","0")</f>
        <v>0</v>
      </c>
      <c r="BN727">
        <f xml:space="preserve"> IF( AND( $BL$727 = "1", $BM$727 = "1" ), 1, IF( AND( $BL$727 = "1", $BM$727 = "0" ), 2, IF( AND( $BL$727 = "0", $BM$727 = "1" ), 3, 4 ) ) )</f>
        <v>4</v>
      </c>
    </row>
    <row r="728" spans="58:66" x14ac:dyDescent="0.25">
      <c r="BF728" s="1">
        <v>0.04</v>
      </c>
      <c r="BG728" t="str">
        <f>"0"</f>
        <v>0</v>
      </c>
      <c r="BH728" t="str">
        <f xml:space="preserve"> IF($BF$728 &gt;= $G$204, "1","0")</f>
        <v>0</v>
      </c>
      <c r="BI728">
        <f xml:space="preserve"> IF( AND( $BG$728 = "1", $BH$728 = "1" ), 1, IF( AND( $BG$728 = "1", $BH$728 = "0" ), 2, IF( AND( $BG$728 = "0", $BH$728 = "1" ), 3, 4 ) ) )</f>
        <v>4</v>
      </c>
      <c r="BK728" s="1">
        <v>1.8947368421052633E-2</v>
      </c>
      <c r="BL728" t="str">
        <f>"0"</f>
        <v>0</v>
      </c>
      <c r="BM728" t="str">
        <f xml:space="preserve"> IF($BK$728 &gt;= $G$281, "1","0")</f>
        <v>0</v>
      </c>
      <c r="BN728">
        <f xml:space="preserve"> IF( AND( $BL$728 = "1", $BM$728 = "1" ), 1, IF( AND( $BL$728 = "1", $BM$728 = "0" ), 2, IF( AND( $BL$728 = "0", $BM$728 = "1" ), 3, 4 ) ) )</f>
        <v>4</v>
      </c>
    </row>
    <row r="729" spans="58:66" x14ac:dyDescent="0.25">
      <c r="BF729" s="1">
        <v>0.04</v>
      </c>
      <c r="BG729" t="str">
        <f>"0"</f>
        <v>0</v>
      </c>
      <c r="BH729" t="str">
        <f xml:space="preserve"> IF($BF$729 &gt;= $G$204, "1","0")</f>
        <v>0</v>
      </c>
      <c r="BI729">
        <f xml:space="preserve"> IF( AND( $BG$729 = "1", $BH$729 = "1" ), 1, IF( AND( $BG$729 = "1", $BH$729 = "0" ), 2, IF( AND( $BG$729 = "0", $BH$729 = "1" ), 3, 4 ) ) )</f>
        <v>4</v>
      </c>
      <c r="BK729" s="1">
        <v>2.5000000000000001E-3</v>
      </c>
      <c r="BL729" t="str">
        <f>"0"</f>
        <v>0</v>
      </c>
      <c r="BM729" t="str">
        <f xml:space="preserve"> IF($BK$729 &gt;= $G$281, "1","0")</f>
        <v>0</v>
      </c>
      <c r="BN729">
        <f xml:space="preserve"> IF( AND( $BL$729 = "1", $BM$729 = "1" ), 1, IF( AND( $BL$729 = "1", $BM$729 = "0" ), 2, IF( AND( $BL$729 = "0", $BM$729 = "1" ), 3, 4 ) ) )</f>
        <v>4</v>
      </c>
    </row>
    <row r="730" spans="58:66" x14ac:dyDescent="0.25">
      <c r="BF730" s="1">
        <v>0.04</v>
      </c>
      <c r="BG730" t="str">
        <f>"0"</f>
        <v>0</v>
      </c>
      <c r="BH730" t="str">
        <f xml:space="preserve"> IF($BF$730 &gt;= $G$204, "1","0")</f>
        <v>0</v>
      </c>
      <c r="BI730">
        <f xml:space="preserve"> IF( AND( $BG$730 = "1", $BH$730 = "1" ), 1, IF( AND( $BG$730 = "1", $BH$730 = "0" ), 2, IF( AND( $BG$730 = "0", $BH$730 = "1" ), 3, 4 ) ) )</f>
        <v>4</v>
      </c>
      <c r="BK730" s="1">
        <v>1.8947368421052633E-2</v>
      </c>
      <c r="BL730" t="str">
        <f>"0"</f>
        <v>0</v>
      </c>
      <c r="BM730" t="str">
        <f xml:space="preserve"> IF($BK$730 &gt;= $G$281, "1","0")</f>
        <v>0</v>
      </c>
      <c r="BN730">
        <f xml:space="preserve"> IF( AND( $BL$730 = "1", $BM$730 = "1" ), 1, IF( AND( $BL$730 = "1", $BM$730 = "0" ), 2, IF( AND( $BL$730 = "0", $BM$730 = "1" ), 3, 4 ) ) )</f>
        <v>4</v>
      </c>
    </row>
    <row r="731" spans="58:66" x14ac:dyDescent="0.25">
      <c r="BF731" s="1">
        <v>0.04</v>
      </c>
      <c r="BG731" t="str">
        <f>"0"</f>
        <v>0</v>
      </c>
      <c r="BH731" t="str">
        <f xml:space="preserve"> IF($BF$731 &gt;= $G$204, "1","0")</f>
        <v>0</v>
      </c>
      <c r="BI731">
        <f xml:space="preserve"> IF( AND( $BG$731 = "1", $BH$731 = "1" ), 1, IF( AND( $BG$731 = "1", $BH$731 = "0" ), 2, IF( AND( $BG$731 = "0", $BH$731 = "1" ), 3, 4 ) ) )</f>
        <v>4</v>
      </c>
      <c r="BK731" s="1">
        <v>1</v>
      </c>
      <c r="BL731" t="str">
        <f>"1"</f>
        <v>1</v>
      </c>
      <c r="BM731" t="str">
        <f xml:space="preserve"> IF($BK$731 &gt;= $G$281, "1","0")</f>
        <v>1</v>
      </c>
      <c r="BN731">
        <f xml:space="preserve"> IF( AND( $BL$731 = "1", $BM$731 = "1" ), 1, IF( AND( $BL$731 = "1", $BM$731 = "0" ), 2, IF( AND( $BL$731 = "0", $BM$731 = "1" ), 3, 4 ) ) )</f>
        <v>1</v>
      </c>
    </row>
    <row r="732" spans="58:66" x14ac:dyDescent="0.25">
      <c r="BF732" s="1">
        <v>0.04</v>
      </c>
      <c r="BG732" t="str">
        <f>"0"</f>
        <v>0</v>
      </c>
      <c r="BH732" t="str">
        <f xml:space="preserve"> IF($BF$732 &gt;= $G$204, "1","0")</f>
        <v>0</v>
      </c>
      <c r="BI732">
        <f xml:space="preserve"> IF( AND( $BG$732 = "1", $BH$732 = "1" ), 1, IF( AND( $BG$732 = "1", $BH$732 = "0" ), 2, IF( AND( $BG$732 = "0", $BH$732 = "1" ), 3, 4 ) ) )</f>
        <v>4</v>
      </c>
      <c r="BK732" s="1">
        <v>1.8947368421052633E-2</v>
      </c>
      <c r="BL732" t="str">
        <f>"0"</f>
        <v>0</v>
      </c>
      <c r="BM732" t="str">
        <f xml:space="preserve"> IF($BK$732 &gt;= $G$281, "1","0")</f>
        <v>0</v>
      </c>
      <c r="BN732">
        <f xml:space="preserve"> IF( AND( $BL$732 = "1", $BM$732 = "1" ), 1, IF( AND( $BL$732 = "1", $BM$732 = "0" ), 2, IF( AND( $BL$732 = "0", $BM$732 = "1" ), 3, 4 ) ) )</f>
        <v>4</v>
      </c>
    </row>
    <row r="733" spans="58:66" x14ac:dyDescent="0.25">
      <c r="BF733" s="1">
        <v>0.04</v>
      </c>
      <c r="BG733" t="str">
        <f>"0"</f>
        <v>0</v>
      </c>
      <c r="BH733" t="str">
        <f xml:space="preserve"> IF($BF$733 &gt;= $G$204, "1","0")</f>
        <v>0</v>
      </c>
      <c r="BI733">
        <f xml:space="preserve"> IF( AND( $BG$733 = "1", $BH$733 = "1" ), 1, IF( AND( $BG$733 = "1", $BH$733 = "0" ), 2, IF( AND( $BG$733 = "0", $BH$733 = "1" ), 3, 4 ) ) )</f>
        <v>4</v>
      </c>
      <c r="BK733" s="1">
        <v>2.5000000000000001E-3</v>
      </c>
      <c r="BL733" t="str">
        <f>"0"</f>
        <v>0</v>
      </c>
      <c r="BM733" t="str">
        <f xml:space="preserve"> IF($BK$733 &gt;= $G$281, "1","0")</f>
        <v>0</v>
      </c>
      <c r="BN733">
        <f xml:space="preserve"> IF( AND( $BL$733 = "1", $BM$733 = "1" ), 1, IF( AND( $BL$733 = "1", $BM$733 = "0" ), 2, IF( AND( $BL$733 = "0", $BM$733 = "1" ), 3, 4 ) ) )</f>
        <v>4</v>
      </c>
    </row>
    <row r="734" spans="58:66" x14ac:dyDescent="0.25">
      <c r="BF734" s="1">
        <v>0.04</v>
      </c>
      <c r="BG734" t="str">
        <f>"0"</f>
        <v>0</v>
      </c>
      <c r="BH734" t="str">
        <f xml:space="preserve"> IF($BF$734 &gt;= $G$204, "1","0")</f>
        <v>0</v>
      </c>
      <c r="BI734">
        <f xml:space="preserve"> IF( AND( $BG$734 = "1", $BH$734 = "1" ), 1, IF( AND( $BG$734 = "1", $BH$734 = "0" ), 2, IF( AND( $BG$734 = "0", $BH$734 = "1" ), 3, 4 ) ) )</f>
        <v>4</v>
      </c>
      <c r="BK734" s="1">
        <v>0.90476190476190477</v>
      </c>
      <c r="BL734" t="str">
        <f>"1"</f>
        <v>1</v>
      </c>
      <c r="BM734" t="str">
        <f xml:space="preserve"> IF($BK$734 &gt;= $G$281, "1","0")</f>
        <v>1</v>
      </c>
      <c r="BN734">
        <f xml:space="preserve"> IF( AND( $BL$734 = "1", $BM$734 = "1" ), 1, IF( AND( $BL$734 = "1", $BM$734 = "0" ), 2, IF( AND( $BL$734 = "0", $BM$734 = "1" ), 3, 4 ) ) )</f>
        <v>1</v>
      </c>
    </row>
    <row r="735" spans="58:66" x14ac:dyDescent="0.25">
      <c r="BF735" s="1">
        <v>0.04</v>
      </c>
      <c r="BG735" t="str">
        <f>"0"</f>
        <v>0</v>
      </c>
      <c r="BH735" t="str">
        <f xml:space="preserve"> IF($BF$735 &gt;= $G$204, "1","0")</f>
        <v>0</v>
      </c>
      <c r="BI735">
        <f xml:space="preserve"> IF( AND( $BG$735 = "1", $BH$735 = "1" ), 1, IF( AND( $BG$735 = "1", $BH$735 = "0" ), 2, IF( AND( $BG$735 = "0", $BH$735 = "1" ), 3, 4 ) ) )</f>
        <v>4</v>
      </c>
      <c r="BK735" s="1">
        <v>3.333333333333334E-2</v>
      </c>
      <c r="BL735" t="str">
        <f>"0"</f>
        <v>0</v>
      </c>
      <c r="BM735" t="str">
        <f xml:space="preserve"> IF($BK$735 &gt;= $G$281, "1","0")</f>
        <v>0</v>
      </c>
      <c r="BN735">
        <f xml:space="preserve"> IF( AND( $BL$735 = "1", $BM$735 = "1" ), 1, IF( AND( $BL$735 = "1", $BM$735 = "0" ), 2, IF( AND( $BL$735 = "0", $BM$735 = "1" ), 3, 4 ) ) )</f>
        <v>4</v>
      </c>
    </row>
    <row r="736" spans="58:66" x14ac:dyDescent="0.25">
      <c r="BF736" s="1">
        <v>0.04</v>
      </c>
      <c r="BG736" t="str">
        <f>"0"</f>
        <v>0</v>
      </c>
      <c r="BH736" t="str">
        <f xml:space="preserve"> IF($BF$736 &gt;= $G$204, "1","0")</f>
        <v>0</v>
      </c>
      <c r="BI736">
        <f xml:space="preserve"> IF( AND( $BG$736 = "1", $BH$736 = "1" ), 1, IF( AND( $BG$736 = "1", $BH$736 = "0" ), 2, IF( AND( $BG$736 = "0", $BH$736 = "1" ), 3, 4 ) ) )</f>
        <v>4</v>
      </c>
      <c r="BK736" s="1">
        <v>2.5000000000000001E-3</v>
      </c>
      <c r="BL736" t="str">
        <f>"0"</f>
        <v>0</v>
      </c>
      <c r="BM736" t="str">
        <f xml:space="preserve"> IF($BK$736 &gt;= $G$281, "1","0")</f>
        <v>0</v>
      </c>
      <c r="BN736">
        <f xml:space="preserve"> IF( AND( $BL$736 = "1", $BM$736 = "1" ), 1, IF( AND( $BL$736 = "1", $BM$736 = "0" ), 2, IF( AND( $BL$736 = "0", $BM$736 = "1" ), 3, 4 ) ) )</f>
        <v>4</v>
      </c>
    </row>
    <row r="737" spans="58:66" x14ac:dyDescent="0.25">
      <c r="BF737" s="1">
        <v>0.04</v>
      </c>
      <c r="BG737" t="str">
        <f>"0"</f>
        <v>0</v>
      </c>
      <c r="BH737" t="str">
        <f xml:space="preserve"> IF($BF$737 &gt;= $G$204, "1","0")</f>
        <v>0</v>
      </c>
      <c r="BI737">
        <f xml:space="preserve"> IF( AND( $BG$737 = "1", $BH$737 = "1" ), 1, IF( AND( $BG$737 = "1", $BH$737 = "0" ), 2, IF( AND( $BG$737 = "0", $BH$737 = "1" ), 3, 4 ) ) )</f>
        <v>4</v>
      </c>
      <c r="BK737" s="1">
        <v>2.5000000000000001E-3</v>
      </c>
      <c r="BL737" t="str">
        <f>"0"</f>
        <v>0</v>
      </c>
      <c r="BM737" t="str">
        <f xml:space="preserve"> IF($BK$737 &gt;= $G$281, "1","0")</f>
        <v>0</v>
      </c>
      <c r="BN737">
        <f xml:space="preserve"> IF( AND( $BL$737 = "1", $BM$737 = "1" ), 1, IF( AND( $BL$737 = "1", $BM$737 = "0" ), 2, IF( AND( $BL$737 = "0", $BM$737 = "1" ), 3, 4 ) ) )</f>
        <v>4</v>
      </c>
    </row>
    <row r="738" spans="58:66" x14ac:dyDescent="0.25">
      <c r="BF738" s="1">
        <v>0.04</v>
      </c>
      <c r="BG738" t="str">
        <f>"0"</f>
        <v>0</v>
      </c>
      <c r="BH738" t="str">
        <f xml:space="preserve"> IF($BF$738 &gt;= $G$204, "1","0")</f>
        <v>0</v>
      </c>
      <c r="BI738">
        <f xml:space="preserve"> IF( AND( $BG$738 = "1", $BH$738 = "1" ), 1, IF( AND( $BG$738 = "1", $BH$738 = "0" ), 2, IF( AND( $BG$738 = "0", $BH$738 = "1" ), 3, 4 ) ) )</f>
        <v>4</v>
      </c>
      <c r="BK738" s="1">
        <v>1.8947368421052633E-2</v>
      </c>
      <c r="BL738" t="str">
        <f>"0"</f>
        <v>0</v>
      </c>
      <c r="BM738" t="str">
        <f xml:space="preserve"> IF($BK$738 &gt;= $G$281, "1","0")</f>
        <v>0</v>
      </c>
      <c r="BN738">
        <f xml:space="preserve"> IF( AND( $BL$738 = "1", $BM$738 = "1" ), 1, IF( AND( $BL$738 = "1", $BM$738 = "0" ), 2, IF( AND( $BL$738 = "0", $BM$738 = "1" ), 3, 4 ) ) )</f>
        <v>4</v>
      </c>
    </row>
    <row r="739" spans="58:66" x14ac:dyDescent="0.25">
      <c r="BF739" s="1">
        <v>0.04</v>
      </c>
      <c r="BG739" t="str">
        <f>"0"</f>
        <v>0</v>
      </c>
      <c r="BH739" t="str">
        <f xml:space="preserve"> IF($BF$739 &gt;= $G$204, "1","0")</f>
        <v>0</v>
      </c>
      <c r="BI739">
        <f xml:space="preserve"> IF( AND( $BG$739 = "1", $BH$739 = "1" ), 1, IF( AND( $BG$739 = "1", $BH$739 = "0" ), 2, IF( AND( $BG$739 = "0", $BH$739 = "1" ), 3, 4 ) ) )</f>
        <v>4</v>
      </c>
      <c r="BK739" s="1">
        <v>0</v>
      </c>
      <c r="BL739" t="str">
        <f>"0"</f>
        <v>0</v>
      </c>
      <c r="BM739" t="str">
        <f xml:space="preserve"> IF($BK$739 &gt;= $G$281, "1","0")</f>
        <v>0</v>
      </c>
      <c r="BN739">
        <f xml:space="preserve"> IF( AND( $BL$739 = "1", $BM$739 = "1" ), 1, IF( AND( $BL$739 = "1", $BM$739 = "0" ), 2, IF( AND( $BL$739 = "0", $BM$739 = "1" ), 3, 4 ) ) )</f>
        <v>4</v>
      </c>
    </row>
    <row r="740" spans="58:66" x14ac:dyDescent="0.25">
      <c r="BF740" s="1">
        <v>0.04</v>
      </c>
      <c r="BG740" t="str">
        <f>"0"</f>
        <v>0</v>
      </c>
      <c r="BH740" t="str">
        <f xml:space="preserve"> IF($BF$740 &gt;= $G$204, "1","0")</f>
        <v>0</v>
      </c>
      <c r="BI740">
        <f xml:space="preserve"> IF( AND( $BG$740 = "1", $BH$740 = "1" ), 1, IF( AND( $BG$740 = "1", $BH$740 = "0" ), 2, IF( AND( $BG$740 = "0", $BH$740 = "1" ), 3, 4 ) ) )</f>
        <v>4</v>
      </c>
      <c r="BK740" s="1">
        <v>3.333333333333334E-2</v>
      </c>
      <c r="BL740" t="str">
        <f>"0"</f>
        <v>0</v>
      </c>
      <c r="BM740" t="str">
        <f xml:space="preserve"> IF($BK$740 &gt;= $G$281, "1","0")</f>
        <v>0</v>
      </c>
      <c r="BN740">
        <f xml:space="preserve"> IF( AND( $BL$740 = "1", $BM$740 = "1" ), 1, IF( AND( $BL$740 = "1", $BM$740 = "0" ), 2, IF( AND( $BL$740 = "0", $BM$740 = "1" ), 3, 4 ) ) )</f>
        <v>4</v>
      </c>
    </row>
    <row r="741" spans="58:66" x14ac:dyDescent="0.25">
      <c r="BF741" s="1">
        <v>0.04</v>
      </c>
      <c r="BG741" t="str">
        <f>"0"</f>
        <v>0</v>
      </c>
      <c r="BH741" t="str">
        <f xml:space="preserve"> IF($BF$741 &gt;= $G$204, "1","0")</f>
        <v>0</v>
      </c>
      <c r="BI741">
        <f xml:space="preserve"> IF( AND( $BG$741 = "1", $BH$741 = "1" ), 1, IF( AND( $BG$741 = "1", $BH$741 = "0" ), 2, IF( AND( $BG$741 = "0", $BH$741 = "1" ), 3, 4 ) ) )</f>
        <v>4</v>
      </c>
      <c r="BK741" s="1">
        <v>1</v>
      </c>
      <c r="BL741" t="str">
        <f>"1"</f>
        <v>1</v>
      </c>
      <c r="BM741" t="str">
        <f xml:space="preserve"> IF($BK$741 &gt;= $G$281, "1","0")</f>
        <v>1</v>
      </c>
      <c r="BN741">
        <f xml:space="preserve"> IF( AND( $BL$741 = "1", $BM$741 = "1" ), 1, IF( AND( $BL$741 = "1", $BM$741 = "0" ), 2, IF( AND( $BL$741 = "0", $BM$741 = "1" ), 3, 4 ) ) )</f>
        <v>1</v>
      </c>
    </row>
    <row r="742" spans="58:66" x14ac:dyDescent="0.25">
      <c r="BF742" s="1">
        <v>0.04</v>
      </c>
      <c r="BG742" t="str">
        <f>"0"</f>
        <v>0</v>
      </c>
      <c r="BH742" t="str">
        <f xml:space="preserve"> IF($BF$742 &gt;= $G$204, "1","0")</f>
        <v>0</v>
      </c>
      <c r="BI742">
        <f xml:space="preserve"> IF( AND( $BG$742 = "1", $BH$742 = "1" ), 1, IF( AND( $BG$742 = "1", $BH$742 = "0" ), 2, IF( AND( $BG$742 = "0", $BH$742 = "1" ), 3, 4 ) ) )</f>
        <v>4</v>
      </c>
      <c r="BK742" s="1">
        <v>0.37500000000000006</v>
      </c>
      <c r="BL742" t="str">
        <f>"1"</f>
        <v>1</v>
      </c>
      <c r="BM742" t="str">
        <f xml:space="preserve"> IF($BK$742 &gt;= $G$281, "1","0")</f>
        <v>1</v>
      </c>
      <c r="BN742">
        <f xml:space="preserve"> IF( AND( $BL$742 = "1", $BM$742 = "1" ), 1, IF( AND( $BL$742 = "1", $BM$742 = "0" ), 2, IF( AND( $BL$742 = "0", $BM$742 = "1" ), 3, 4 ) ) )</f>
        <v>1</v>
      </c>
    </row>
    <row r="743" spans="58:66" x14ac:dyDescent="0.25">
      <c r="BF743" s="1">
        <v>0.04</v>
      </c>
      <c r="BG743" t="str">
        <f>"0"</f>
        <v>0</v>
      </c>
      <c r="BH743" t="str">
        <f xml:space="preserve"> IF($BF$743 &gt;= $G$204, "1","0")</f>
        <v>0</v>
      </c>
      <c r="BI743">
        <f xml:space="preserve"> IF( AND( $BG$743 = "1", $BH$743 = "1" ), 1, IF( AND( $BG$743 = "1", $BH$743 = "0" ), 2, IF( AND( $BG$743 = "0", $BH$743 = "1" ), 3, 4 ) ) )</f>
        <v>4</v>
      </c>
      <c r="BK743" s="1">
        <v>2.5000000000000001E-3</v>
      </c>
      <c r="BL743" t="str">
        <f>"0"</f>
        <v>0</v>
      </c>
      <c r="BM743" t="str">
        <f xml:space="preserve"> IF($BK$743 &gt;= $G$281, "1","0")</f>
        <v>0</v>
      </c>
      <c r="BN743">
        <f xml:space="preserve"> IF( AND( $BL$743 = "1", $BM$743 = "1" ), 1, IF( AND( $BL$743 = "1", $BM$743 = "0" ), 2, IF( AND( $BL$743 = "0", $BM$743 = "1" ), 3, 4 ) ) )</f>
        <v>4</v>
      </c>
    </row>
    <row r="744" spans="58:66" x14ac:dyDescent="0.25">
      <c r="BF744" s="1">
        <v>0.90476190476190477</v>
      </c>
      <c r="BG744" t="str">
        <f>"0"</f>
        <v>0</v>
      </c>
      <c r="BH744" t="str">
        <f xml:space="preserve"> IF($BF$744 &gt;= $G$204, "1","0")</f>
        <v>1</v>
      </c>
      <c r="BI744">
        <f xml:space="preserve"> IF( AND( $BG$744 = "1", $BH$744 = "1" ), 1, IF( AND( $BG$744 = "1", $BH$744 = "0" ), 2, IF( AND( $BG$744 = "0", $BH$744 = "1" ), 3, 4 ) ) )</f>
        <v>3</v>
      </c>
      <c r="BK744" s="1">
        <v>1.8947368421052633E-2</v>
      </c>
      <c r="BL744" t="str">
        <f>"0"</f>
        <v>0</v>
      </c>
      <c r="BM744" t="str">
        <f xml:space="preserve"> IF($BK$744 &gt;= $G$281, "1","0")</f>
        <v>0</v>
      </c>
      <c r="BN744">
        <f xml:space="preserve"> IF( AND( $BL$744 = "1", $BM$744 = "1" ), 1, IF( AND( $BL$744 = "1", $BM$744 = "0" ), 2, IF( AND( $BL$744 = "0", $BM$744 = "1" ), 3, 4 ) ) )</f>
        <v>4</v>
      </c>
    </row>
    <row r="745" spans="58:66" x14ac:dyDescent="0.25">
      <c r="BF745" s="1">
        <v>3.4482758620689655E-2</v>
      </c>
      <c r="BG745" t="str">
        <f>"0"</f>
        <v>0</v>
      </c>
      <c r="BH745" t="str">
        <f xml:space="preserve"> IF($BF$745 &gt;= $G$204, "1","0")</f>
        <v>0</v>
      </c>
      <c r="BI745">
        <f xml:space="preserve"> IF( AND( $BG$745 = "1", $BH$745 = "1" ), 1, IF( AND( $BG$745 = "1", $BH$745 = "0" ), 2, IF( AND( $BG$745 = "0", $BH$745 = "1" ), 3, 4 ) ) )</f>
        <v>4</v>
      </c>
      <c r="BK745" s="1">
        <v>2.5000000000000001E-3</v>
      </c>
      <c r="BL745" t="str">
        <f>"0"</f>
        <v>0</v>
      </c>
      <c r="BM745" t="str">
        <f xml:space="preserve"> IF($BK$745 &gt;= $G$281, "1","0")</f>
        <v>0</v>
      </c>
      <c r="BN745">
        <f xml:space="preserve"> IF( AND( $BL$745 = "1", $BM$745 = "1" ), 1, IF( AND( $BL$745 = "1", $BM$745 = "0" ), 2, IF( AND( $BL$745 = "0", $BM$745 = "1" ), 3, 4 ) ) )</f>
        <v>4</v>
      </c>
    </row>
    <row r="746" spans="58:66" x14ac:dyDescent="0.25">
      <c r="BF746" s="1">
        <v>3.4482758620689655E-2</v>
      </c>
      <c r="BG746" t="str">
        <f>"0"</f>
        <v>0</v>
      </c>
      <c r="BH746" t="str">
        <f xml:space="preserve"> IF($BF$746 &gt;= $G$204, "1","0")</f>
        <v>0</v>
      </c>
      <c r="BI746">
        <f xml:space="preserve"> IF( AND( $BG$746 = "1", $BH$746 = "1" ), 1, IF( AND( $BG$746 = "1", $BH$746 = "0" ), 2, IF( AND( $BG$746 = "0", $BH$746 = "1" ), 3, 4 ) ) )</f>
        <v>4</v>
      </c>
      <c r="BK746" s="1">
        <v>0.32</v>
      </c>
      <c r="BL746" t="str">
        <f>"1"</f>
        <v>1</v>
      </c>
      <c r="BM746" t="str">
        <f xml:space="preserve"> IF($BK$746 &gt;= $G$281, "1","0")</f>
        <v>1</v>
      </c>
      <c r="BN746">
        <f xml:space="preserve"> IF( AND( $BL$746 = "1", $BM$746 = "1" ), 1, IF( AND( $BL$746 = "1", $BM$746 = "0" ), 2, IF( AND( $BL$746 = "0", $BM$746 = "1" ), 3, 4 ) ) )</f>
        <v>1</v>
      </c>
    </row>
    <row r="747" spans="58:66" x14ac:dyDescent="0.25">
      <c r="BF747" s="1">
        <v>3.4482758620689655E-2</v>
      </c>
      <c r="BG747" t="str">
        <f>"0"</f>
        <v>0</v>
      </c>
      <c r="BH747" t="str">
        <f xml:space="preserve"> IF($BF$747 &gt;= $G$204, "1","0")</f>
        <v>0</v>
      </c>
      <c r="BI747">
        <f xml:space="preserve"> IF( AND( $BG$747 = "1", $BH$747 = "1" ), 1, IF( AND( $BG$747 = "1", $BH$747 = "0" ), 2, IF( AND( $BG$747 = "0", $BH$747 = "1" ), 3, 4 ) ) )</f>
        <v>4</v>
      </c>
      <c r="BK747" s="1">
        <v>1.8947368421052633E-2</v>
      </c>
      <c r="BL747" t="str">
        <f>"0"</f>
        <v>0</v>
      </c>
      <c r="BM747" t="str">
        <f xml:space="preserve"> IF($BK$747 &gt;= $G$281, "1","0")</f>
        <v>0</v>
      </c>
      <c r="BN747">
        <f xml:space="preserve"> IF( AND( $BL$747 = "1", $BM$747 = "1" ), 1, IF( AND( $BL$747 = "1", $BM$747 = "0" ), 2, IF( AND( $BL$747 = "0", $BM$747 = "1" ), 3, 4 ) ) )</f>
        <v>4</v>
      </c>
    </row>
    <row r="748" spans="58:66" x14ac:dyDescent="0.25">
      <c r="BF748" s="1">
        <v>3.4482758620689655E-2</v>
      </c>
      <c r="BG748" t="str">
        <f>"0"</f>
        <v>0</v>
      </c>
      <c r="BH748" t="str">
        <f xml:space="preserve"> IF($BF$748 &gt;= $G$204, "1","0")</f>
        <v>0</v>
      </c>
      <c r="BI748">
        <f xml:space="preserve"> IF( AND( $BG$748 = "1", $BH$748 = "1" ), 1, IF( AND( $BG$748 = "1", $BH$748 = "0" ), 2, IF( AND( $BG$748 = "0", $BH$748 = "1" ), 3, 4 ) ) )</f>
        <v>4</v>
      </c>
      <c r="BK748" s="1">
        <v>0</v>
      </c>
      <c r="BL748" t="str">
        <f>"0"</f>
        <v>0</v>
      </c>
      <c r="BM748" t="str">
        <f xml:space="preserve"> IF($BK$748 &gt;= $G$281, "1","0")</f>
        <v>0</v>
      </c>
      <c r="BN748">
        <f xml:space="preserve"> IF( AND( $BL$748 = "1", $BM$748 = "1" ), 1, IF( AND( $BL$748 = "1", $BM$748 = "0" ), 2, IF( AND( $BL$748 = "0", $BM$748 = "1" ), 3, 4 ) ) )</f>
        <v>4</v>
      </c>
    </row>
    <row r="749" spans="58:66" x14ac:dyDescent="0.25">
      <c r="BF749" s="1">
        <v>3.4482758620689655E-2</v>
      </c>
      <c r="BG749" t="str">
        <f>"0"</f>
        <v>0</v>
      </c>
      <c r="BH749" t="str">
        <f xml:space="preserve"> IF($BF$749 &gt;= $G$204, "1","0")</f>
        <v>0</v>
      </c>
      <c r="BI749">
        <f xml:space="preserve"> IF( AND( $BG$749 = "1", $BH$749 = "1" ), 1, IF( AND( $BG$749 = "1", $BH$749 = "0" ), 2, IF( AND( $BG$749 = "0", $BH$749 = "1" ), 3, 4 ) ) )</f>
        <v>4</v>
      </c>
      <c r="BK749" s="1">
        <v>0.68181818181818188</v>
      </c>
      <c r="BL749" t="str">
        <f>"1"</f>
        <v>1</v>
      </c>
      <c r="BM749" t="str">
        <f xml:space="preserve"> IF($BK$749 &gt;= $G$281, "1","0")</f>
        <v>1</v>
      </c>
      <c r="BN749">
        <f xml:space="preserve"> IF( AND( $BL$749 = "1", $BM$749 = "1" ), 1, IF( AND( $BL$749 = "1", $BM$749 = "0" ), 2, IF( AND( $BL$749 = "0", $BM$749 = "1" ), 3, 4 ) ) )</f>
        <v>1</v>
      </c>
    </row>
    <row r="750" spans="58:66" x14ac:dyDescent="0.25">
      <c r="BF750" s="1">
        <v>0.38461538461538464</v>
      </c>
      <c r="BG750" t="str">
        <f>"0"</f>
        <v>0</v>
      </c>
      <c r="BH750" t="str">
        <f xml:space="preserve"> IF($BF$750 &gt;= $G$204, "1","0")</f>
        <v>1</v>
      </c>
      <c r="BI750">
        <f xml:space="preserve"> IF( AND( $BG$750 = "1", $BH$750 = "1" ), 1, IF( AND( $BG$750 = "1", $BH$750 = "0" ), 2, IF( AND( $BG$750 = "0", $BH$750 = "1" ), 3, 4 ) ) )</f>
        <v>3</v>
      </c>
      <c r="BK750" s="1">
        <v>0.83333333333333326</v>
      </c>
      <c r="BL750" t="str">
        <f>"0"</f>
        <v>0</v>
      </c>
      <c r="BM750" t="str">
        <f xml:space="preserve"> IF($BK$750 &gt;= $G$281, "1","0")</f>
        <v>1</v>
      </c>
      <c r="BN750">
        <f xml:space="preserve"> IF( AND( $BL$750 = "1", $BM$750 = "1" ), 1, IF( AND( $BL$750 = "1", $BM$750 = "0" ), 2, IF( AND( $BL$750 = "0", $BM$750 = "1" ), 3, 4 ) ) )</f>
        <v>3</v>
      </c>
    </row>
    <row r="751" spans="58:66" x14ac:dyDescent="0.25">
      <c r="BF751" s="1">
        <v>3.4482758620689655E-2</v>
      </c>
      <c r="BG751" t="str">
        <f>"0"</f>
        <v>0</v>
      </c>
      <c r="BH751" t="str">
        <f xml:space="preserve"> IF($BF$751 &gt;= $G$204, "1","0")</f>
        <v>0</v>
      </c>
      <c r="BI751">
        <f xml:space="preserve"> IF( AND( $BG$751 = "1", $BH$751 = "1" ), 1, IF( AND( $BG$751 = "1", $BH$751 = "0" ), 2, IF( AND( $BG$751 = "0", $BH$751 = "1" ), 3, 4 ) ) )</f>
        <v>4</v>
      </c>
      <c r="BK751" s="1">
        <v>0.14285714285714288</v>
      </c>
      <c r="BL751" t="str">
        <f>"0"</f>
        <v>0</v>
      </c>
      <c r="BM751" t="str">
        <f xml:space="preserve"> IF($BK$751 &gt;= $G$281, "1","0")</f>
        <v>0</v>
      </c>
      <c r="BN751">
        <f xml:space="preserve"> IF( AND( $BL$751 = "1", $BM$751 = "1" ), 1, IF( AND( $BL$751 = "1", $BM$751 = "0" ), 2, IF( AND( $BL$751 = "0", $BM$751 = "1" ), 3, 4 ) ) )</f>
        <v>4</v>
      </c>
    </row>
    <row r="752" spans="58:66" x14ac:dyDescent="0.25">
      <c r="BF752" s="1">
        <v>3.4482758620689655E-2</v>
      </c>
      <c r="BG752" t="str">
        <f>"0"</f>
        <v>0</v>
      </c>
      <c r="BH752" t="str">
        <f xml:space="preserve"> IF($BF$752 &gt;= $G$204, "1","0")</f>
        <v>0</v>
      </c>
      <c r="BI752">
        <f xml:space="preserve"> IF( AND( $BG$752 = "1", $BH$752 = "1" ), 1, IF( AND( $BG$752 = "1", $BH$752 = "0" ), 2, IF( AND( $BG$752 = "0", $BH$752 = "1" ), 3, 4 ) ) )</f>
        <v>4</v>
      </c>
      <c r="BK752" s="1">
        <v>1.8947368421052633E-2</v>
      </c>
      <c r="BL752" t="str">
        <f>"0"</f>
        <v>0</v>
      </c>
      <c r="BM752" t="str">
        <f xml:space="preserve"> IF($BK$752 &gt;= $G$281, "1","0")</f>
        <v>0</v>
      </c>
      <c r="BN752">
        <f xml:space="preserve"> IF( AND( $BL$752 = "1", $BM$752 = "1" ), 1, IF( AND( $BL$752 = "1", $BM$752 = "0" ), 2, IF( AND( $BL$752 = "0", $BM$752 = "1" ), 3, 4 ) ) )</f>
        <v>4</v>
      </c>
    </row>
    <row r="753" spans="58:66" x14ac:dyDescent="0.25">
      <c r="BF753" s="1">
        <v>3.4482758620689655E-2</v>
      </c>
      <c r="BG753" t="str">
        <f>"0"</f>
        <v>0</v>
      </c>
      <c r="BH753" t="str">
        <f xml:space="preserve"> IF($BF$753 &gt;= $G$204, "1","0")</f>
        <v>0</v>
      </c>
      <c r="BI753">
        <f xml:space="preserve"> IF( AND( $BG$753 = "1", $BH$753 = "1" ), 1, IF( AND( $BG$753 = "1", $BH$753 = "0" ), 2, IF( AND( $BG$753 = "0", $BH$753 = "1" ), 3, 4 ) ) )</f>
        <v>4</v>
      </c>
      <c r="BK753" s="1">
        <v>0</v>
      </c>
      <c r="BL753" t="str">
        <f>"0"</f>
        <v>0</v>
      </c>
      <c r="BM753" t="str">
        <f xml:space="preserve"> IF($BK$753 &gt;= $G$281, "1","0")</f>
        <v>0</v>
      </c>
      <c r="BN753">
        <f xml:space="preserve"> IF( AND( $BL$753 = "1", $BM$753 = "1" ), 1, IF( AND( $BL$753 = "1", $BM$753 = "0" ), 2, IF( AND( $BL$753 = "0", $BM$753 = "1" ), 3, 4 ) ) )</f>
        <v>4</v>
      </c>
    </row>
    <row r="754" spans="58:66" x14ac:dyDescent="0.25">
      <c r="BF754" s="1">
        <v>3.4482758620689655E-2</v>
      </c>
      <c r="BG754" t="str">
        <f>"0"</f>
        <v>0</v>
      </c>
      <c r="BH754" t="str">
        <f xml:space="preserve"> IF($BF$754 &gt;= $G$204, "1","0")</f>
        <v>0</v>
      </c>
      <c r="BI754">
        <f xml:space="preserve"> IF( AND( $BG$754 = "1", $BH$754 = "1" ), 1, IF( AND( $BG$754 = "1", $BH$754 = "0" ), 2, IF( AND( $BG$754 = "0", $BH$754 = "1" ), 3, 4 ) ) )</f>
        <v>4</v>
      </c>
      <c r="BK754" s="1">
        <v>2.5000000000000001E-3</v>
      </c>
      <c r="BL754" t="str">
        <f>"0"</f>
        <v>0</v>
      </c>
      <c r="BM754" t="str">
        <f xml:space="preserve"> IF($BK$754 &gt;= $G$281, "1","0")</f>
        <v>0</v>
      </c>
      <c r="BN754">
        <f xml:space="preserve"> IF( AND( $BL$754 = "1", $BM$754 = "1" ), 1, IF( AND( $BL$754 = "1", $BM$754 = "0" ), 2, IF( AND( $BL$754 = "0", $BM$754 = "1" ), 3, 4 ) ) )</f>
        <v>4</v>
      </c>
    </row>
    <row r="755" spans="58:66" x14ac:dyDescent="0.25">
      <c r="BF755" s="1">
        <v>3.4482758620689655E-2</v>
      </c>
      <c r="BG755" t="str">
        <f>"0"</f>
        <v>0</v>
      </c>
      <c r="BH755" t="str">
        <f xml:space="preserve"> IF($BF$755 &gt;= $G$204, "1","0")</f>
        <v>0</v>
      </c>
      <c r="BI755">
        <f xml:space="preserve"> IF( AND( $BG$755 = "1", $BH$755 = "1" ), 1, IF( AND( $BG$755 = "1", $BH$755 = "0" ), 2, IF( AND( $BG$755 = "0", $BH$755 = "1" ), 3, 4 ) ) )</f>
        <v>4</v>
      </c>
      <c r="BK755" s="1">
        <v>1.8947368421052633E-2</v>
      </c>
      <c r="BL755" t="str">
        <f>"0"</f>
        <v>0</v>
      </c>
      <c r="BM755" t="str">
        <f xml:space="preserve"> IF($BK$755 &gt;= $G$281, "1","0")</f>
        <v>0</v>
      </c>
      <c r="BN755">
        <f xml:space="preserve"> IF( AND( $BL$755 = "1", $BM$755 = "1" ), 1, IF( AND( $BL$755 = "1", $BM$755 = "0" ), 2, IF( AND( $BL$755 = "0", $BM$755 = "1" ), 3, 4 ) ) )</f>
        <v>4</v>
      </c>
    </row>
    <row r="756" spans="58:66" x14ac:dyDescent="0.25">
      <c r="BF756" s="1">
        <v>3.4482758620689655E-2</v>
      </c>
      <c r="BG756" t="str">
        <f>"0"</f>
        <v>0</v>
      </c>
      <c r="BH756" t="str">
        <f xml:space="preserve"> IF($BF$756 &gt;= $G$204, "1","0")</f>
        <v>0</v>
      </c>
      <c r="BI756">
        <f xml:space="preserve"> IF( AND( $BG$756 = "1", $BH$756 = "1" ), 1, IF( AND( $BG$756 = "1", $BH$756 = "0" ), 2, IF( AND( $BG$756 = "0", $BH$756 = "1" ), 3, 4 ) ) )</f>
        <v>4</v>
      </c>
      <c r="BK756" s="1">
        <v>0.37500000000000006</v>
      </c>
      <c r="BL756" t="str">
        <f>"0"</f>
        <v>0</v>
      </c>
      <c r="BM756" t="str">
        <f xml:space="preserve"> IF($BK$756 &gt;= $G$281, "1","0")</f>
        <v>1</v>
      </c>
      <c r="BN756">
        <f xml:space="preserve"> IF( AND( $BL$756 = "1", $BM$756 = "1" ), 1, IF( AND( $BL$756 = "1", $BM$756 = "0" ), 2, IF( AND( $BL$756 = "0", $BM$756 = "1" ), 3, 4 ) ) )</f>
        <v>3</v>
      </c>
    </row>
    <row r="757" spans="58:66" x14ac:dyDescent="0.25">
      <c r="BF757" s="1">
        <v>0.38461538461538464</v>
      </c>
      <c r="BG757" t="str">
        <f>"0"</f>
        <v>0</v>
      </c>
      <c r="BH757" t="str">
        <f xml:space="preserve"> IF($BF$757 &gt;= $G$204, "1","0")</f>
        <v>1</v>
      </c>
      <c r="BI757">
        <f xml:space="preserve"> IF( AND( $BG$757 = "1", $BH$757 = "1" ), 1, IF( AND( $BG$757 = "1", $BH$757 = "0" ), 2, IF( AND( $BG$757 = "0", $BH$757 = "1" ), 3, 4 ) ) )</f>
        <v>3</v>
      </c>
      <c r="BK757" s="1">
        <v>1.8947368421052633E-2</v>
      </c>
      <c r="BL757" t="str">
        <f>"0"</f>
        <v>0</v>
      </c>
      <c r="BM757" t="str">
        <f xml:space="preserve"> IF($BK$757 &gt;= $G$281, "1","0")</f>
        <v>0</v>
      </c>
      <c r="BN757">
        <f xml:space="preserve"> IF( AND( $BL$757 = "1", $BM$757 = "1" ), 1, IF( AND( $BL$757 = "1", $BM$757 = "0" ), 2, IF( AND( $BL$757 = "0", $BM$757 = "1" ), 3, 4 ) ) )</f>
        <v>4</v>
      </c>
    </row>
    <row r="758" spans="58:66" x14ac:dyDescent="0.25">
      <c r="BF758" s="1">
        <v>3.4482758620689655E-2</v>
      </c>
      <c r="BG758" t="str">
        <f>"0"</f>
        <v>0</v>
      </c>
      <c r="BH758" t="str">
        <f xml:space="preserve"> IF($BF$758 &gt;= $G$204, "1","0")</f>
        <v>0</v>
      </c>
      <c r="BI758">
        <f xml:space="preserve"> IF( AND( $BG$758 = "1", $BH$758 = "1" ), 1, IF( AND( $BG$758 = "1", $BH$758 = "0" ), 2, IF( AND( $BG$758 = "0", $BH$758 = "1" ), 3, 4 ) ) )</f>
        <v>4</v>
      </c>
      <c r="BK758" s="1">
        <v>1.8947368421052633E-2</v>
      </c>
      <c r="BL758" t="str">
        <f>"0"</f>
        <v>0</v>
      </c>
      <c r="BM758" t="str">
        <f xml:space="preserve"> IF($BK$758 &gt;= $G$281, "1","0")</f>
        <v>0</v>
      </c>
      <c r="BN758">
        <f xml:space="preserve"> IF( AND( $BL$758 = "1", $BM$758 = "1" ), 1, IF( AND( $BL$758 = "1", $BM$758 = "0" ), 2, IF( AND( $BL$758 = "0", $BM$758 = "1" ), 3, 4 ) ) )</f>
        <v>4</v>
      </c>
    </row>
    <row r="759" spans="58:66" x14ac:dyDescent="0.25">
      <c r="BF759" s="1">
        <v>3.4482758620689655E-2</v>
      </c>
      <c r="BG759" t="str">
        <f>"0"</f>
        <v>0</v>
      </c>
      <c r="BH759" t="str">
        <f xml:space="preserve"> IF($BF$759 &gt;= $G$204, "1","0")</f>
        <v>0</v>
      </c>
      <c r="BI759">
        <f xml:space="preserve"> IF( AND( $BG$759 = "1", $BH$759 = "1" ), 1, IF( AND( $BG$759 = "1", $BH$759 = "0" ), 2, IF( AND( $BG$759 = "0", $BH$759 = "1" ), 3, 4 ) ) )</f>
        <v>4</v>
      </c>
      <c r="BK759" s="1">
        <v>1.8947368421052633E-2</v>
      </c>
      <c r="BL759" t="str">
        <f>"0"</f>
        <v>0</v>
      </c>
      <c r="BM759" t="str">
        <f xml:space="preserve"> IF($BK$759 &gt;= $G$281, "1","0")</f>
        <v>0</v>
      </c>
      <c r="BN759">
        <f xml:space="preserve"> IF( AND( $BL$759 = "1", $BM$759 = "1" ), 1, IF( AND( $BL$759 = "1", $BM$759 = "0" ), 2, IF( AND( $BL$759 = "0", $BM$759 = "1" ), 3, 4 ) ) )</f>
        <v>4</v>
      </c>
    </row>
    <row r="760" spans="58:66" x14ac:dyDescent="0.25">
      <c r="BF760" s="1">
        <v>3.4482758620689655E-2</v>
      </c>
      <c r="BG760" t="str">
        <f>"0"</f>
        <v>0</v>
      </c>
      <c r="BH760" t="str">
        <f xml:space="preserve"> IF($BF$760 &gt;= $G$204, "1","0")</f>
        <v>0</v>
      </c>
      <c r="BI760">
        <f xml:space="preserve"> IF( AND( $BG$760 = "1", $BH$760 = "1" ), 1, IF( AND( $BG$760 = "1", $BH$760 = "0" ), 2, IF( AND( $BG$760 = "0", $BH$760 = "1" ), 3, 4 ) ) )</f>
        <v>4</v>
      </c>
      <c r="BK760" s="1">
        <v>2.5000000000000001E-3</v>
      </c>
      <c r="BL760" t="str">
        <f>"0"</f>
        <v>0</v>
      </c>
      <c r="BM760" t="str">
        <f xml:space="preserve"> IF($BK$760 &gt;= $G$281, "1","0")</f>
        <v>0</v>
      </c>
      <c r="BN760">
        <f xml:space="preserve"> IF( AND( $BL$760 = "1", $BM$760 = "1" ), 1, IF( AND( $BL$760 = "1", $BM$760 = "0" ), 2, IF( AND( $BL$760 = "0", $BM$760 = "1" ), 3, 4 ) ) )</f>
        <v>4</v>
      </c>
    </row>
    <row r="761" spans="58:66" x14ac:dyDescent="0.25">
      <c r="BF761" s="1">
        <v>0.38461538461538464</v>
      </c>
      <c r="BG761" t="str">
        <f>"0"</f>
        <v>0</v>
      </c>
      <c r="BH761" t="str">
        <f xml:space="preserve"> IF($BF$761 &gt;= $G$204, "1","0")</f>
        <v>1</v>
      </c>
      <c r="BI761">
        <f xml:space="preserve"> IF( AND( $BG$761 = "1", $BH$761 = "1" ), 1, IF( AND( $BG$761 = "1", $BH$761 = "0" ), 2, IF( AND( $BG$761 = "0", $BH$761 = "1" ), 3, 4 ) ) )</f>
        <v>3</v>
      </c>
      <c r="BK761" s="1">
        <v>2.5000000000000001E-3</v>
      </c>
      <c r="BL761" t="str">
        <f>"0"</f>
        <v>0</v>
      </c>
      <c r="BM761" t="str">
        <f xml:space="preserve"> IF($BK$761 &gt;= $G$281, "1","0")</f>
        <v>0</v>
      </c>
      <c r="BN761">
        <f xml:space="preserve"> IF( AND( $BL$761 = "1", $BM$761 = "1" ), 1, IF( AND( $BL$761 = "1", $BM$761 = "0" ), 2, IF( AND( $BL$761 = "0", $BM$761 = "1" ), 3, 4 ) ) )</f>
        <v>4</v>
      </c>
    </row>
    <row r="762" spans="58:66" x14ac:dyDescent="0.25">
      <c r="BF762" s="1">
        <v>0.38461538461538464</v>
      </c>
      <c r="BG762" t="str">
        <f>"0"</f>
        <v>0</v>
      </c>
      <c r="BH762" t="str">
        <f xml:space="preserve"> IF($BF$762 &gt;= $G$204, "1","0")</f>
        <v>1</v>
      </c>
      <c r="BI762">
        <f xml:space="preserve"> IF( AND( $BG$762 = "1", $BH$762 = "1" ), 1, IF( AND( $BG$762 = "1", $BH$762 = "0" ), 2, IF( AND( $BG$762 = "0", $BH$762 = "1" ), 3, 4 ) ) )</f>
        <v>3</v>
      </c>
      <c r="BK762" s="1">
        <v>0.37500000000000006</v>
      </c>
      <c r="BL762" t="str">
        <f>"1"</f>
        <v>1</v>
      </c>
      <c r="BM762" t="str">
        <f xml:space="preserve"> IF($BK$762 &gt;= $G$281, "1","0")</f>
        <v>1</v>
      </c>
      <c r="BN762">
        <f xml:space="preserve"> IF( AND( $BL$762 = "1", $BM$762 = "1" ), 1, IF( AND( $BL$762 = "1", $BM$762 = "0" ), 2, IF( AND( $BL$762 = "0", $BM$762 = "1" ), 3, 4 ) ) )</f>
        <v>1</v>
      </c>
    </row>
    <row r="763" spans="58:66" x14ac:dyDescent="0.25">
      <c r="BF763" s="1">
        <v>3.4482758620689655E-2</v>
      </c>
      <c r="BG763" t="str">
        <f>"0"</f>
        <v>0</v>
      </c>
      <c r="BH763" t="str">
        <f xml:space="preserve"> IF($BF$763 &gt;= $G$204, "1","0")</f>
        <v>0</v>
      </c>
      <c r="BI763">
        <f xml:space="preserve"> IF( AND( $BG$763 = "1", $BH$763 = "1" ), 1, IF( AND( $BG$763 = "1", $BH$763 = "0" ), 2, IF( AND( $BG$763 = "0", $BH$763 = "1" ), 3, 4 ) ) )</f>
        <v>4</v>
      </c>
      <c r="BK763" s="1">
        <v>1</v>
      </c>
      <c r="BL763" t="str">
        <f>"1"</f>
        <v>1</v>
      </c>
      <c r="BM763" t="str">
        <f xml:space="preserve"> IF($BK$763 &gt;= $G$281, "1","0")</f>
        <v>1</v>
      </c>
      <c r="BN763">
        <f xml:space="preserve"> IF( AND( $BL$763 = "1", $BM$763 = "1" ), 1, IF( AND( $BL$763 = "1", $BM$763 = "0" ), 2, IF( AND( $BL$763 = "0", $BM$763 = "1" ), 3, 4 ) ) )</f>
        <v>1</v>
      </c>
    </row>
    <row r="764" spans="58:66" x14ac:dyDescent="0.25">
      <c r="BF764" s="1">
        <v>3.4482758620689655E-2</v>
      </c>
      <c r="BG764" t="str">
        <f>"0"</f>
        <v>0</v>
      </c>
      <c r="BH764" t="str">
        <f xml:space="preserve"> IF($BF$764 &gt;= $G$204, "1","0")</f>
        <v>0</v>
      </c>
      <c r="BI764">
        <f xml:space="preserve"> IF( AND( $BG$764 = "1", $BH$764 = "1" ), 1, IF( AND( $BG$764 = "1", $BH$764 = "0" ), 2, IF( AND( $BG$764 = "0", $BH$764 = "1" ), 3, 4 ) ) )</f>
        <v>4</v>
      </c>
      <c r="BK764" s="1">
        <v>1.8947368421052633E-2</v>
      </c>
      <c r="BL764" t="str">
        <f>"0"</f>
        <v>0</v>
      </c>
      <c r="BM764" t="str">
        <f xml:space="preserve"> IF($BK$764 &gt;= $G$281, "1","0")</f>
        <v>0</v>
      </c>
      <c r="BN764">
        <f xml:space="preserve"> IF( AND( $BL$764 = "1", $BM$764 = "1" ), 1, IF( AND( $BL$764 = "1", $BM$764 = "0" ), 2, IF( AND( $BL$764 = "0", $BM$764 = "1" ), 3, 4 ) ) )</f>
        <v>4</v>
      </c>
    </row>
    <row r="765" spans="58:66" x14ac:dyDescent="0.25">
      <c r="BF765" s="1">
        <v>3.4482758620689655E-2</v>
      </c>
      <c r="BG765" t="str">
        <f>"0"</f>
        <v>0</v>
      </c>
      <c r="BH765" t="str">
        <f xml:space="preserve"> IF($BF$765 &gt;= $G$204, "1","0")</f>
        <v>0</v>
      </c>
      <c r="BI765">
        <f xml:space="preserve"> IF( AND( $BG$765 = "1", $BH$765 = "1" ), 1, IF( AND( $BG$765 = "1", $BH$765 = "0" ), 2, IF( AND( $BG$765 = "0", $BH$765 = "1" ), 3, 4 ) ) )</f>
        <v>4</v>
      </c>
      <c r="BK765" s="1">
        <v>0.14285714285714288</v>
      </c>
      <c r="BL765" t="str">
        <f>"0"</f>
        <v>0</v>
      </c>
      <c r="BM765" t="str">
        <f xml:space="preserve"> IF($BK$765 &gt;= $G$281, "1","0")</f>
        <v>0</v>
      </c>
      <c r="BN765">
        <f xml:space="preserve"> IF( AND( $BL$765 = "1", $BM$765 = "1" ), 1, IF( AND( $BL$765 = "1", $BM$765 = "0" ), 2, IF( AND( $BL$765 = "0", $BM$765 = "1" ), 3, 4 ) ) )</f>
        <v>4</v>
      </c>
    </row>
    <row r="766" spans="58:66" x14ac:dyDescent="0.25">
      <c r="BF766" s="1">
        <v>3.4482758620689655E-2</v>
      </c>
      <c r="BG766" t="str">
        <f>"0"</f>
        <v>0</v>
      </c>
      <c r="BH766" t="str">
        <f xml:space="preserve"> IF($BF$766 &gt;= $G$204, "1","0")</f>
        <v>0</v>
      </c>
      <c r="BI766">
        <f xml:space="preserve"> IF( AND( $BG$766 = "1", $BH$766 = "1" ), 1, IF( AND( $BG$766 = "1", $BH$766 = "0" ), 2, IF( AND( $BG$766 = "0", $BH$766 = "1" ), 3, 4 ) ) )</f>
        <v>4</v>
      </c>
      <c r="BK766" s="1">
        <v>1.8947368421052633E-2</v>
      </c>
      <c r="BL766" t="str">
        <f>"0"</f>
        <v>0</v>
      </c>
      <c r="BM766" t="str">
        <f xml:space="preserve"> IF($BK$766 &gt;= $G$281, "1","0")</f>
        <v>0</v>
      </c>
      <c r="BN766">
        <f xml:space="preserve"> IF( AND( $BL$766 = "1", $BM$766 = "1" ), 1, IF( AND( $BL$766 = "1", $BM$766 = "0" ), 2, IF( AND( $BL$766 = "0", $BM$766 = "1" ), 3, 4 ) ) )</f>
        <v>4</v>
      </c>
    </row>
    <row r="767" spans="58:66" x14ac:dyDescent="0.25">
      <c r="BF767" s="1">
        <v>3.4482758620689655E-2</v>
      </c>
      <c r="BG767" t="str">
        <f>"0"</f>
        <v>0</v>
      </c>
      <c r="BH767" t="str">
        <f xml:space="preserve"> IF($BF$767 &gt;= $G$204, "1","0")</f>
        <v>0</v>
      </c>
      <c r="BI767">
        <f xml:space="preserve"> IF( AND( $BG$767 = "1", $BH$767 = "1" ), 1, IF( AND( $BG$767 = "1", $BH$767 = "0" ), 2, IF( AND( $BG$767 = "0", $BH$767 = "1" ), 3, 4 ) ) )</f>
        <v>4</v>
      </c>
      <c r="BK767" s="1">
        <v>1</v>
      </c>
      <c r="BL767" t="str">
        <f>"1"</f>
        <v>1</v>
      </c>
      <c r="BM767" t="str">
        <f xml:space="preserve"> IF($BK$767 &gt;= $G$281, "1","0")</f>
        <v>1</v>
      </c>
      <c r="BN767">
        <f xml:space="preserve"> IF( AND( $BL$767 = "1", $BM$767 = "1" ), 1, IF( AND( $BL$767 = "1", $BM$767 = "0" ), 2, IF( AND( $BL$767 = "0", $BM$767 = "1" ), 3, 4 ) ) )</f>
        <v>1</v>
      </c>
    </row>
    <row r="768" spans="58:66" x14ac:dyDescent="0.25">
      <c r="BF768" s="1">
        <v>3.4482758620689655E-2</v>
      </c>
      <c r="BG768" t="str">
        <f>"0"</f>
        <v>0</v>
      </c>
      <c r="BH768" t="str">
        <f xml:space="preserve"> IF($BF$768 &gt;= $G$204, "1","0")</f>
        <v>0</v>
      </c>
      <c r="BI768">
        <f xml:space="preserve"> IF( AND( $BG$768 = "1", $BH$768 = "1" ), 1, IF( AND( $BG$768 = "1", $BH$768 = "0" ), 2, IF( AND( $BG$768 = "0", $BH$768 = "1" ), 3, 4 ) ) )</f>
        <v>4</v>
      </c>
      <c r="BK768" s="1">
        <v>2.5000000000000001E-3</v>
      </c>
      <c r="BL768" t="str">
        <f>"0"</f>
        <v>0</v>
      </c>
      <c r="BM768" t="str">
        <f xml:space="preserve"> IF($BK$768 &gt;= $G$281, "1","0")</f>
        <v>0</v>
      </c>
      <c r="BN768">
        <f xml:space="preserve"> IF( AND( $BL$768 = "1", $BM$768 = "1" ), 1, IF( AND( $BL$768 = "1", $BM$768 = "0" ), 2, IF( AND( $BL$768 = "0", $BM$768 = "1" ), 3, 4 ) ) )</f>
        <v>4</v>
      </c>
    </row>
    <row r="769" spans="58:66" x14ac:dyDescent="0.25">
      <c r="BF769" s="1">
        <v>0.38461538461538464</v>
      </c>
      <c r="BG769" t="str">
        <f>"0"</f>
        <v>0</v>
      </c>
      <c r="BH769" t="str">
        <f xml:space="preserve"> IF($BF$769 &gt;= $G$204, "1","0")</f>
        <v>1</v>
      </c>
      <c r="BI769">
        <f xml:space="preserve"> IF( AND( $BG$769 = "1", $BH$769 = "1" ), 1, IF( AND( $BG$769 = "1", $BH$769 = "0" ), 2, IF( AND( $BG$769 = "0", $BH$769 = "1" ), 3, 4 ) ) )</f>
        <v>3</v>
      </c>
      <c r="BK769" s="1">
        <v>1</v>
      </c>
      <c r="BL769" t="str">
        <f>"1"</f>
        <v>1</v>
      </c>
      <c r="BM769" t="str">
        <f xml:space="preserve"> IF($BK$769 &gt;= $G$281, "1","0")</f>
        <v>1</v>
      </c>
      <c r="BN769">
        <f xml:space="preserve"> IF( AND( $BL$769 = "1", $BM$769 = "1" ), 1, IF( AND( $BL$769 = "1", $BM$769 = "0" ), 2, IF( AND( $BL$769 = "0", $BM$769 = "1" ), 3, 4 ) ) )</f>
        <v>1</v>
      </c>
    </row>
    <row r="770" spans="58:66" x14ac:dyDescent="0.25">
      <c r="BF770" s="1">
        <v>3.4482758620689655E-2</v>
      </c>
      <c r="BG770" t="str">
        <f>"0"</f>
        <v>0</v>
      </c>
      <c r="BH770" t="str">
        <f xml:space="preserve"> IF($BF$770 &gt;= $G$204, "1","0")</f>
        <v>0</v>
      </c>
      <c r="BI770">
        <f xml:space="preserve"> IF( AND( $BG$770 = "1", $BH$770 = "1" ), 1, IF( AND( $BG$770 = "1", $BH$770 = "0" ), 2, IF( AND( $BG$770 = "0", $BH$770 = "1" ), 3, 4 ) ) )</f>
        <v>4</v>
      </c>
      <c r="BK770" s="1">
        <v>1</v>
      </c>
      <c r="BL770" t="str">
        <f>"1"</f>
        <v>1</v>
      </c>
      <c r="BM770" t="str">
        <f xml:space="preserve"> IF($BK$770 &gt;= $G$281, "1","0")</f>
        <v>1</v>
      </c>
      <c r="BN770">
        <f xml:space="preserve"> IF( AND( $BL$770 = "1", $BM$770 = "1" ), 1, IF( AND( $BL$770 = "1", $BM$770 = "0" ), 2, IF( AND( $BL$770 = "0", $BM$770 = "1" ), 3, 4 ) ) )</f>
        <v>1</v>
      </c>
    </row>
    <row r="771" spans="58:66" x14ac:dyDescent="0.25">
      <c r="BF771" s="1">
        <v>3.4482758620689655E-2</v>
      </c>
      <c r="BG771" t="str">
        <f>"0"</f>
        <v>0</v>
      </c>
      <c r="BH771" t="str">
        <f xml:space="preserve"> IF($BF$771 &gt;= $G$204, "1","0")</f>
        <v>0</v>
      </c>
      <c r="BI771">
        <f xml:space="preserve"> IF( AND( $BG$771 = "1", $BH$771 = "1" ), 1, IF( AND( $BG$771 = "1", $BH$771 = "0" ), 2, IF( AND( $BG$771 = "0", $BH$771 = "1" ), 3, 4 ) ) )</f>
        <v>4</v>
      </c>
      <c r="BK771" s="1">
        <v>0.64</v>
      </c>
      <c r="BL771" t="str">
        <f>"0"</f>
        <v>0</v>
      </c>
      <c r="BM771" t="str">
        <f xml:space="preserve"> IF($BK$771 &gt;= $G$281, "1","0")</f>
        <v>1</v>
      </c>
      <c r="BN771">
        <f xml:space="preserve"> IF( AND( $BL$771 = "1", $BM$771 = "1" ), 1, IF( AND( $BL$771 = "1", $BM$771 = "0" ), 2, IF( AND( $BL$771 = "0", $BM$771 = "1" ), 3, 4 ) ) )</f>
        <v>3</v>
      </c>
    </row>
    <row r="772" spans="58:66" x14ac:dyDescent="0.25">
      <c r="BF772" s="1">
        <v>3.4482758620689655E-2</v>
      </c>
      <c r="BG772" t="str">
        <f>"0"</f>
        <v>0</v>
      </c>
      <c r="BH772" t="str">
        <f xml:space="preserve"> IF($BF$772 &gt;= $G$204, "1","0")</f>
        <v>0</v>
      </c>
      <c r="BI772">
        <f xml:space="preserve"> IF( AND( $BG$772 = "1", $BH$772 = "1" ), 1, IF( AND( $BG$772 = "1", $BH$772 = "0" ), 2, IF( AND( $BG$772 = "0", $BH$772 = "1" ), 3, 4 ) ) )</f>
        <v>4</v>
      </c>
      <c r="BK772" s="1">
        <v>1.8947368421052633E-2</v>
      </c>
      <c r="BL772" t="str">
        <f>"0"</f>
        <v>0</v>
      </c>
      <c r="BM772" t="str">
        <f xml:space="preserve"> IF($BK$772 &gt;= $G$281, "1","0")</f>
        <v>0</v>
      </c>
      <c r="BN772">
        <f xml:space="preserve"> IF( AND( $BL$772 = "1", $BM$772 = "1" ), 1, IF( AND( $BL$772 = "1", $BM$772 = "0" ), 2, IF( AND( $BL$772 = "0", $BM$772 = "1" ), 3, 4 ) ) )</f>
        <v>4</v>
      </c>
    </row>
    <row r="773" spans="58:66" x14ac:dyDescent="0.25">
      <c r="BF773" s="1">
        <v>3.4482758620689655E-2</v>
      </c>
      <c r="BG773" t="str">
        <f>"0"</f>
        <v>0</v>
      </c>
      <c r="BH773" t="str">
        <f xml:space="preserve"> IF($BF$773 &gt;= $G$204, "1","0")</f>
        <v>0</v>
      </c>
      <c r="BI773">
        <f xml:space="preserve"> IF( AND( $BG$773 = "1", $BH$773 = "1" ), 1, IF( AND( $BG$773 = "1", $BH$773 = "0" ), 2, IF( AND( $BG$773 = "0", $BH$773 = "1" ), 3, 4 ) ) )</f>
        <v>4</v>
      </c>
      <c r="BK773" s="1">
        <v>2.5000000000000001E-3</v>
      </c>
      <c r="BL773" t="str">
        <f>"0"</f>
        <v>0</v>
      </c>
      <c r="BM773" t="str">
        <f xml:space="preserve"> IF($BK$773 &gt;= $G$281, "1","0")</f>
        <v>0</v>
      </c>
      <c r="BN773">
        <f xml:space="preserve"> IF( AND( $BL$773 = "1", $BM$773 = "1" ), 1, IF( AND( $BL$773 = "1", $BM$773 = "0" ), 2, IF( AND( $BL$773 = "0", $BM$773 = "1" ), 3, 4 ) ) )</f>
        <v>4</v>
      </c>
    </row>
    <row r="774" spans="58:66" x14ac:dyDescent="0.25">
      <c r="BF774" s="1">
        <v>3.4482758620689655E-2</v>
      </c>
      <c r="BG774" t="str">
        <f>"0"</f>
        <v>0</v>
      </c>
      <c r="BH774" t="str">
        <f xml:space="preserve"> IF($BF$774 &gt;= $G$204, "1","0")</f>
        <v>0</v>
      </c>
      <c r="BI774">
        <f xml:space="preserve"> IF( AND( $BG$774 = "1", $BH$774 = "1" ), 1, IF( AND( $BG$774 = "1", $BH$774 = "0" ), 2, IF( AND( $BG$774 = "0", $BH$774 = "1" ), 3, 4 ) ) )</f>
        <v>4</v>
      </c>
      <c r="BK774" s="1">
        <v>0.64</v>
      </c>
      <c r="BL774" t="str">
        <f>"1"</f>
        <v>1</v>
      </c>
      <c r="BM774" t="str">
        <f xml:space="preserve"> IF($BK$774 &gt;= $G$281, "1","0")</f>
        <v>1</v>
      </c>
      <c r="BN774">
        <f xml:space="preserve"> IF( AND( $BL$774 = "1", $BM$774 = "1" ), 1, IF( AND( $BL$774 = "1", $BM$774 = "0" ), 2, IF( AND( $BL$774 = "0", $BM$774 = "1" ), 3, 4 ) ) )</f>
        <v>1</v>
      </c>
    </row>
    <row r="775" spans="58:66" x14ac:dyDescent="0.25">
      <c r="BF775" s="1">
        <v>3.4482758620689655E-2</v>
      </c>
      <c r="BG775" t="str">
        <f>"0"</f>
        <v>0</v>
      </c>
      <c r="BH775" t="str">
        <f xml:space="preserve"> IF($BF$775 &gt;= $G$204, "1","0")</f>
        <v>0</v>
      </c>
      <c r="BI775">
        <f xml:space="preserve"> IF( AND( $BG$775 = "1", $BH$775 = "1" ), 1, IF( AND( $BG$775 = "1", $BH$775 = "0" ), 2, IF( AND( $BG$775 = "0", $BH$775 = "1" ), 3, 4 ) ) )</f>
        <v>4</v>
      </c>
      <c r="BK775" s="1">
        <v>0</v>
      </c>
      <c r="BL775" t="str">
        <f>"0"</f>
        <v>0</v>
      </c>
      <c r="BM775" t="str">
        <f xml:space="preserve"> IF($BK$775 &gt;= $G$281, "1","0")</f>
        <v>0</v>
      </c>
      <c r="BN775">
        <f xml:space="preserve"> IF( AND( $BL$775 = "1", $BM$775 = "1" ), 1, IF( AND( $BL$775 = "1", $BM$775 = "0" ), 2, IF( AND( $BL$775 = "0", $BM$775 = "1" ), 3, 4 ) ) )</f>
        <v>4</v>
      </c>
    </row>
    <row r="776" spans="58:66" x14ac:dyDescent="0.25">
      <c r="BF776" s="1">
        <v>0.38461538461538464</v>
      </c>
      <c r="BG776" t="str">
        <f>"0"</f>
        <v>0</v>
      </c>
      <c r="BH776" t="str">
        <f xml:space="preserve"> IF($BF$776 &gt;= $G$204, "1","0")</f>
        <v>1</v>
      </c>
      <c r="BI776">
        <f xml:space="preserve"> IF( AND( $BG$776 = "1", $BH$776 = "1" ), 1, IF( AND( $BG$776 = "1", $BH$776 = "0" ), 2, IF( AND( $BG$776 = "0", $BH$776 = "1" ), 3, 4 ) ) )</f>
        <v>3</v>
      </c>
      <c r="BK776" s="1">
        <v>0</v>
      </c>
      <c r="BL776" t="str">
        <f>"0"</f>
        <v>0</v>
      </c>
      <c r="BM776" t="str">
        <f xml:space="preserve"> IF($BK$776 &gt;= $G$281, "1","0")</f>
        <v>0</v>
      </c>
      <c r="BN776">
        <f xml:space="preserve"> IF( AND( $BL$776 = "1", $BM$776 = "1" ), 1, IF( AND( $BL$776 = "1", $BM$776 = "0" ), 2, IF( AND( $BL$776 = "0", $BM$776 = "1" ), 3, 4 ) ) )</f>
        <v>4</v>
      </c>
    </row>
    <row r="777" spans="58:66" x14ac:dyDescent="0.25">
      <c r="BF777" s="1">
        <v>0.69230769230769229</v>
      </c>
      <c r="BG777" t="str">
        <f>"0"</f>
        <v>0</v>
      </c>
      <c r="BH777" t="str">
        <f xml:space="preserve"> IF($BF$777 &gt;= $G$204, "1","0")</f>
        <v>1</v>
      </c>
      <c r="BI777">
        <f xml:space="preserve"> IF( AND( $BG$777 = "1", $BH$777 = "1" ), 1, IF( AND( $BG$777 = "1", $BH$777 = "0" ), 2, IF( AND( $BG$777 = "0", $BH$777 = "1" ), 3, 4 ) ) )</f>
        <v>3</v>
      </c>
      <c r="BK777" s="1">
        <v>0.79999999999999993</v>
      </c>
      <c r="BL777" t="str">
        <f>"1"</f>
        <v>1</v>
      </c>
      <c r="BM777" t="str">
        <f xml:space="preserve"> IF($BK$777 &gt;= $G$281, "1","0")</f>
        <v>1</v>
      </c>
      <c r="BN777">
        <f xml:space="preserve"> IF( AND( $BL$777 = "1", $BM$777 = "1" ), 1, IF( AND( $BL$777 = "1", $BM$777 = "0" ), 2, IF( AND( $BL$777 = "0", $BM$777 = "1" ), 3, 4 ) ) )</f>
        <v>1</v>
      </c>
    </row>
    <row r="778" spans="58:66" x14ac:dyDescent="0.25">
      <c r="BF778" s="1">
        <v>0.69230769230769229</v>
      </c>
      <c r="BG778" t="str">
        <f>"0"</f>
        <v>0</v>
      </c>
      <c r="BH778" t="str">
        <f xml:space="preserve"> IF($BF$778 &gt;= $G$204, "1","0")</f>
        <v>1</v>
      </c>
      <c r="BI778">
        <f xml:space="preserve"> IF( AND( $BG$778 = "1", $BH$778 = "1" ), 1, IF( AND( $BG$778 = "1", $BH$778 = "0" ), 2, IF( AND( $BG$778 = "0", $BH$778 = "1" ), 3, 4 ) ) )</f>
        <v>3</v>
      </c>
      <c r="BK778" s="1">
        <v>2.5000000000000001E-3</v>
      </c>
      <c r="BL778" t="str">
        <f>"0"</f>
        <v>0</v>
      </c>
      <c r="BM778" t="str">
        <f xml:space="preserve"> IF($BK$778 &gt;= $G$281, "1","0")</f>
        <v>0</v>
      </c>
      <c r="BN778">
        <f xml:space="preserve"> IF( AND( $BL$778 = "1", $BM$778 = "1" ), 1, IF( AND( $BL$778 = "1", $BM$778 = "0" ), 2, IF( AND( $BL$778 = "0", $BM$778 = "1" ), 3, 4 ) ) )</f>
        <v>4</v>
      </c>
    </row>
    <row r="779" spans="58:66" x14ac:dyDescent="0.25">
      <c r="BF779" s="1">
        <v>0.69230769230769229</v>
      </c>
      <c r="BG779" t="str">
        <f>"0"</f>
        <v>0</v>
      </c>
      <c r="BH779" t="str">
        <f xml:space="preserve"> IF($BF$779 &gt;= $G$204, "1","0")</f>
        <v>1</v>
      </c>
      <c r="BI779">
        <f xml:space="preserve"> IF( AND( $BG$779 = "1", $BH$779 = "1" ), 1, IF( AND( $BG$779 = "1", $BH$779 = "0" ), 2, IF( AND( $BG$779 = "0", $BH$779 = "1" ), 3, 4 ) ) )</f>
        <v>3</v>
      </c>
      <c r="BK779" s="1">
        <v>2.5000000000000001E-3</v>
      </c>
      <c r="BL779" t="str">
        <f>"0"</f>
        <v>0</v>
      </c>
      <c r="BM779" t="str">
        <f xml:space="preserve"> IF($BK$779 &gt;= $G$281, "1","0")</f>
        <v>0</v>
      </c>
      <c r="BN779">
        <f xml:space="preserve"> IF( AND( $BL$779 = "1", $BM$779 = "1" ), 1, IF( AND( $BL$779 = "1", $BM$779 = "0" ), 2, IF( AND( $BL$779 = "0", $BM$779 = "1" ), 3, 4 ) ) )</f>
        <v>4</v>
      </c>
    </row>
    <row r="780" spans="58:66" x14ac:dyDescent="0.25">
      <c r="BF780" s="1">
        <v>0.69230769230769229</v>
      </c>
      <c r="BG780" t="str">
        <f>"0"</f>
        <v>0</v>
      </c>
      <c r="BH780" t="str">
        <f xml:space="preserve"> IF($BF$780 &gt;= $G$204, "1","0")</f>
        <v>1</v>
      </c>
      <c r="BI780">
        <f xml:space="preserve"> IF( AND( $BG$780 = "1", $BH$780 = "1" ), 1, IF( AND( $BG$780 = "1", $BH$780 = "0" ), 2, IF( AND( $BG$780 = "0", $BH$780 = "1" ), 3, 4 ) ) )</f>
        <v>3</v>
      </c>
      <c r="BK780" s="1">
        <v>2.5000000000000001E-3</v>
      </c>
      <c r="BL780" t="str">
        <f>"0"</f>
        <v>0</v>
      </c>
      <c r="BM780" t="str">
        <f xml:space="preserve"> IF($BK$780 &gt;= $G$281, "1","0")</f>
        <v>0</v>
      </c>
      <c r="BN780">
        <f xml:space="preserve"> IF( AND( $BL$780 = "1", $BM$780 = "1" ), 1, IF( AND( $BL$780 = "1", $BM$780 = "0" ), 2, IF( AND( $BL$780 = "0", $BM$780 = "1" ), 3, 4 ) ) )</f>
        <v>4</v>
      </c>
    </row>
    <row r="781" spans="58:66" x14ac:dyDescent="0.25">
      <c r="BF781" s="1">
        <v>0</v>
      </c>
      <c r="BG781" t="str">
        <f>"0"</f>
        <v>0</v>
      </c>
      <c r="BH781" t="str">
        <f xml:space="preserve"> IF($BF$781 &gt;= $G$204, "1","0")</f>
        <v>0</v>
      </c>
      <c r="BI781">
        <f xml:space="preserve"> IF( AND( $BG$781 = "1", $BH$781 = "1" ), 1, IF( AND( $BG$781 = "1", $BH$781 = "0" ), 2, IF( AND( $BG$781 = "0", $BH$781 = "1" ), 3, 4 ) ) )</f>
        <v>4</v>
      </c>
      <c r="BK781" s="1">
        <v>2.5000000000000001E-3</v>
      </c>
      <c r="BL781" t="str">
        <f>"0"</f>
        <v>0</v>
      </c>
      <c r="BM781" t="str">
        <f xml:space="preserve"> IF($BK$781 &gt;= $G$281, "1","0")</f>
        <v>0</v>
      </c>
      <c r="BN781">
        <f xml:space="preserve"> IF( AND( $BL$781 = "1", $BM$781 = "1" ), 1, IF( AND( $BL$781 = "1", $BM$781 = "0" ), 2, IF( AND( $BL$781 = "0", $BM$781 = "1" ), 3, 4 ) ) )</f>
        <v>4</v>
      </c>
    </row>
    <row r="782" spans="58:66" x14ac:dyDescent="0.25">
      <c r="BF782" s="1">
        <v>0</v>
      </c>
      <c r="BG782" t="str">
        <f>"0"</f>
        <v>0</v>
      </c>
      <c r="BH782" t="str">
        <f xml:space="preserve"> IF($BF$782 &gt;= $G$204, "1","0")</f>
        <v>0</v>
      </c>
      <c r="BI782">
        <f xml:space="preserve"> IF( AND( $BG$782 = "1", $BH$782 = "1" ), 1, IF( AND( $BG$782 = "1", $BH$782 = "0" ), 2, IF( AND( $BG$782 = "0", $BH$782 = "1" ), 3, 4 ) ) )</f>
        <v>4</v>
      </c>
      <c r="BK782" s="1">
        <v>0.79999999999999993</v>
      </c>
      <c r="BL782" t="str">
        <f>"1"</f>
        <v>1</v>
      </c>
      <c r="BM782" t="str">
        <f xml:space="preserve"> IF($BK$782 &gt;= $G$281, "1","0")</f>
        <v>1</v>
      </c>
      <c r="BN782">
        <f xml:space="preserve"> IF( AND( $BL$782 = "1", $BM$782 = "1" ), 1, IF( AND( $BL$782 = "1", $BM$782 = "0" ), 2, IF( AND( $BL$782 = "0", $BM$782 = "1" ), 3, 4 ) ) )</f>
        <v>1</v>
      </c>
    </row>
    <row r="783" spans="58:66" x14ac:dyDescent="0.25">
      <c r="BF783" s="1">
        <v>0</v>
      </c>
      <c r="BG783" t="str">
        <f>"0"</f>
        <v>0</v>
      </c>
      <c r="BH783" t="str">
        <f xml:space="preserve"> IF($BF$783 &gt;= $G$204, "1","0")</f>
        <v>0</v>
      </c>
      <c r="BI783">
        <f xml:space="preserve"> IF( AND( $BG$783 = "1", $BH$783 = "1" ), 1, IF( AND( $BG$783 = "1", $BH$783 = "0" ), 2, IF( AND( $BG$783 = "0", $BH$783 = "1" ), 3, 4 ) ) )</f>
        <v>4</v>
      </c>
      <c r="BK783" s="1">
        <v>2.5000000000000001E-3</v>
      </c>
      <c r="BL783" t="str">
        <f>"0"</f>
        <v>0</v>
      </c>
      <c r="BM783" t="str">
        <f xml:space="preserve"> IF($BK$783 &gt;= $G$281, "1","0")</f>
        <v>0</v>
      </c>
      <c r="BN783">
        <f xml:space="preserve"> IF( AND( $BL$783 = "1", $BM$783 = "1" ), 1, IF( AND( $BL$783 = "1", $BM$783 = "0" ), 2, IF( AND( $BL$783 = "0", $BM$783 = "1" ), 3, 4 ) ) )</f>
        <v>4</v>
      </c>
    </row>
    <row r="784" spans="58:66" x14ac:dyDescent="0.25">
      <c r="BF784" s="1">
        <v>0</v>
      </c>
      <c r="BG784" t="str">
        <f>"0"</f>
        <v>0</v>
      </c>
      <c r="BH784" t="str">
        <f xml:space="preserve"> IF($BF$784 &gt;= $G$204, "1","0")</f>
        <v>0</v>
      </c>
      <c r="BI784">
        <f xml:space="preserve"> IF( AND( $BG$784 = "1", $BH$784 = "1" ), 1, IF( AND( $BG$784 = "1", $BH$784 = "0" ), 2, IF( AND( $BG$784 = "0", $BH$784 = "1" ), 3, 4 ) ) )</f>
        <v>4</v>
      </c>
      <c r="BK784" s="1">
        <v>0.72727272727272729</v>
      </c>
      <c r="BL784" t="str">
        <f>"0"</f>
        <v>0</v>
      </c>
      <c r="BM784" t="str">
        <f xml:space="preserve"> IF($BK$784 &gt;= $G$281, "1","0")</f>
        <v>1</v>
      </c>
      <c r="BN784">
        <f xml:space="preserve"> IF( AND( $BL$784 = "1", $BM$784 = "1" ), 1, IF( AND( $BL$784 = "1", $BM$784 = "0" ), 2, IF( AND( $BL$784 = "0", $BM$784 = "1" ), 3, 4 ) ) )</f>
        <v>3</v>
      </c>
    </row>
    <row r="785" spans="58:66" x14ac:dyDescent="0.25">
      <c r="BF785" s="1">
        <v>0</v>
      </c>
      <c r="BG785" t="str">
        <f>"0"</f>
        <v>0</v>
      </c>
      <c r="BH785" t="str">
        <f xml:space="preserve"> IF($BF$785 &gt;= $G$204, "1","0")</f>
        <v>0</v>
      </c>
      <c r="BI785">
        <f xml:space="preserve"> IF( AND( $BG$785 = "1", $BH$785 = "1" ), 1, IF( AND( $BG$785 = "1", $BH$785 = "0" ), 2, IF( AND( $BG$785 = "0", $BH$785 = "1" ), 3, 4 ) ) )</f>
        <v>4</v>
      </c>
      <c r="BK785" s="1">
        <v>1</v>
      </c>
      <c r="BL785" t="str">
        <f>"1"</f>
        <v>1</v>
      </c>
      <c r="BM785" t="str">
        <f xml:space="preserve"> IF($BK$785 &gt;= $G$281, "1","0")</f>
        <v>1</v>
      </c>
      <c r="BN785">
        <f xml:space="preserve"> IF( AND( $BL$785 = "1", $BM$785 = "1" ), 1, IF( AND( $BL$785 = "1", $BM$785 = "0" ), 2, IF( AND( $BL$785 = "0", $BM$785 = "1" ), 3, 4 ) ) )</f>
        <v>1</v>
      </c>
    </row>
    <row r="786" spans="58:66" x14ac:dyDescent="0.25">
      <c r="BF786" s="1">
        <v>0</v>
      </c>
      <c r="BG786" t="str">
        <f>"0"</f>
        <v>0</v>
      </c>
      <c r="BH786" t="str">
        <f xml:space="preserve"> IF($BF$786 &gt;= $G$204, "1","0")</f>
        <v>0</v>
      </c>
      <c r="BI786">
        <f xml:space="preserve"> IF( AND( $BG$786 = "1", $BH$786 = "1" ), 1, IF( AND( $BG$786 = "1", $BH$786 = "0" ), 2, IF( AND( $BG$786 = "0", $BH$786 = "1" ), 3, 4 ) ) )</f>
        <v>4</v>
      </c>
      <c r="BK786" s="1">
        <v>0.14285714285714288</v>
      </c>
      <c r="BL786" t="str">
        <f>"0"</f>
        <v>0</v>
      </c>
      <c r="BM786" t="str">
        <f xml:space="preserve"> IF($BK$786 &gt;= $G$281, "1","0")</f>
        <v>0</v>
      </c>
      <c r="BN786">
        <f xml:space="preserve"> IF( AND( $BL$786 = "1", $BM$786 = "1" ), 1, IF( AND( $BL$786 = "1", $BM$786 = "0" ), 2, IF( AND( $BL$786 = "0", $BM$786 = "1" ), 3, 4 ) ) )</f>
        <v>4</v>
      </c>
    </row>
    <row r="787" spans="58:66" x14ac:dyDescent="0.25">
      <c r="BF787" s="1">
        <v>0</v>
      </c>
      <c r="BG787" t="str">
        <f>"0"</f>
        <v>0</v>
      </c>
      <c r="BH787" t="str">
        <f xml:space="preserve"> IF($BF$787 &gt;= $G$204, "1","0")</f>
        <v>0</v>
      </c>
      <c r="BI787">
        <f xml:space="preserve"> IF( AND( $BG$787 = "1", $BH$787 = "1" ), 1, IF( AND( $BG$787 = "1", $BH$787 = "0" ), 2, IF( AND( $BG$787 = "0", $BH$787 = "1" ), 3, 4 ) ) )</f>
        <v>4</v>
      </c>
      <c r="BK787" s="1">
        <v>1.8947368421052633E-2</v>
      </c>
      <c r="BL787" t="str">
        <f>"0"</f>
        <v>0</v>
      </c>
      <c r="BM787" t="str">
        <f xml:space="preserve"> IF($BK$787 &gt;= $G$281, "1","0")</f>
        <v>0</v>
      </c>
      <c r="BN787">
        <f xml:space="preserve"> IF( AND( $BL$787 = "1", $BM$787 = "1" ), 1, IF( AND( $BL$787 = "1", $BM$787 = "0" ), 2, IF( AND( $BL$787 = "0", $BM$787 = "1" ), 3, 4 ) ) )</f>
        <v>4</v>
      </c>
    </row>
    <row r="788" spans="58:66" x14ac:dyDescent="0.25">
      <c r="BF788" s="1">
        <v>0</v>
      </c>
      <c r="BG788" t="str">
        <f>"0"</f>
        <v>0</v>
      </c>
      <c r="BH788" t="str">
        <f xml:space="preserve"> IF($BF$788 &gt;= $G$204, "1","0")</f>
        <v>0</v>
      </c>
      <c r="BI788">
        <f xml:space="preserve"> IF( AND( $BG$788 = "1", $BH$788 = "1" ), 1, IF( AND( $BG$788 = "1", $BH$788 = "0" ), 2, IF( AND( $BG$788 = "0", $BH$788 = "1" ), 3, 4 ) ) )</f>
        <v>4</v>
      </c>
      <c r="BK788" s="1">
        <v>1.8947368421052633E-2</v>
      </c>
      <c r="BL788" t="str">
        <f>"0"</f>
        <v>0</v>
      </c>
      <c r="BM788" t="str">
        <f xml:space="preserve"> IF($BK$788 &gt;= $G$281, "1","0")</f>
        <v>0</v>
      </c>
      <c r="BN788">
        <f xml:space="preserve"> IF( AND( $BL$788 = "1", $BM$788 = "1" ), 1, IF( AND( $BL$788 = "1", $BM$788 = "0" ), 2, IF( AND( $BL$788 = "0", $BM$788 = "1" ), 3, 4 ) ) )</f>
        <v>4</v>
      </c>
    </row>
    <row r="789" spans="58:66" x14ac:dyDescent="0.25">
      <c r="BF789" s="1">
        <v>0</v>
      </c>
      <c r="BG789" t="str">
        <f>"0"</f>
        <v>0</v>
      </c>
      <c r="BH789" t="str">
        <f xml:space="preserve"> IF($BF$789 &gt;= $G$204, "1","0")</f>
        <v>0</v>
      </c>
      <c r="BI789">
        <f xml:space="preserve"> IF( AND( $BG$789 = "1", $BH$789 = "1" ), 1, IF( AND( $BG$789 = "1", $BH$789 = "0" ), 2, IF( AND( $BG$789 = "0", $BH$789 = "1" ), 3, 4 ) ) )</f>
        <v>4</v>
      </c>
      <c r="BK789" s="1">
        <v>1</v>
      </c>
      <c r="BL789" t="str">
        <f>"1"</f>
        <v>1</v>
      </c>
      <c r="BM789" t="str">
        <f xml:space="preserve"> IF($BK$789 &gt;= $G$281, "1","0")</f>
        <v>1</v>
      </c>
      <c r="BN789">
        <f xml:space="preserve"> IF( AND( $BL$789 = "1", $BM$789 = "1" ), 1, IF( AND( $BL$789 = "1", $BM$789 = "0" ), 2, IF( AND( $BL$789 = "0", $BM$789 = "1" ), 3, 4 ) ) )</f>
        <v>1</v>
      </c>
    </row>
    <row r="790" spans="58:66" x14ac:dyDescent="0.25">
      <c r="BF790" s="1">
        <v>0</v>
      </c>
      <c r="BG790" t="str">
        <f>"0"</f>
        <v>0</v>
      </c>
      <c r="BH790" t="str">
        <f xml:space="preserve"> IF($BF$790 &gt;= $G$204, "1","0")</f>
        <v>0</v>
      </c>
      <c r="BI790">
        <f xml:space="preserve"> IF( AND( $BG$790 = "1", $BH$790 = "1" ), 1, IF( AND( $BG$790 = "1", $BH$790 = "0" ), 2, IF( AND( $BG$790 = "0", $BH$790 = "1" ), 3, 4 ) ) )</f>
        <v>4</v>
      </c>
      <c r="BK790" s="1">
        <v>1</v>
      </c>
      <c r="BL790" t="str">
        <f>"1"</f>
        <v>1</v>
      </c>
      <c r="BM790" t="str">
        <f xml:space="preserve"> IF($BK$790 &gt;= $G$281, "1","0")</f>
        <v>1</v>
      </c>
      <c r="BN790">
        <f xml:space="preserve"> IF( AND( $BL$790 = "1", $BM$790 = "1" ), 1, IF( AND( $BL$790 = "1", $BM$790 = "0" ), 2, IF( AND( $BL$790 = "0", $BM$790 = "1" ), 3, 4 ) ) )</f>
        <v>1</v>
      </c>
    </row>
    <row r="791" spans="58:66" x14ac:dyDescent="0.25">
      <c r="BF791" s="1">
        <v>0</v>
      </c>
      <c r="BG791" t="str">
        <f>"0"</f>
        <v>0</v>
      </c>
      <c r="BH791" t="str">
        <f xml:space="preserve"> IF($BF$791 &gt;= $G$204, "1","0")</f>
        <v>0</v>
      </c>
      <c r="BI791">
        <f xml:space="preserve"> IF( AND( $BG$791 = "1", $BH$791 = "1" ), 1, IF( AND( $BG$791 = "1", $BH$791 = "0" ), 2, IF( AND( $BG$791 = "0", $BH$791 = "1" ), 3, 4 ) ) )</f>
        <v>4</v>
      </c>
      <c r="BK791" s="1">
        <v>1</v>
      </c>
      <c r="BL791" t="str">
        <f>"1"</f>
        <v>1</v>
      </c>
      <c r="BM791" t="str">
        <f xml:space="preserve"> IF($BK$791 &gt;= $G$281, "1","0")</f>
        <v>1</v>
      </c>
      <c r="BN791">
        <f xml:space="preserve"> IF( AND( $BL$791 = "1", $BM$791 = "1" ), 1, IF( AND( $BL$791 = "1", $BM$791 = "0" ), 2, IF( AND( $BL$791 = "0", $BM$791 = "1" ), 3, 4 ) ) )</f>
        <v>1</v>
      </c>
    </row>
    <row r="792" spans="58:66" x14ac:dyDescent="0.25">
      <c r="BF792" s="1">
        <v>0</v>
      </c>
      <c r="BG792" t="str">
        <f>"0"</f>
        <v>0</v>
      </c>
      <c r="BH792" t="str">
        <f xml:space="preserve"> IF($BF$792 &gt;= $G$204, "1","0")</f>
        <v>0</v>
      </c>
      <c r="BI792">
        <f xml:space="preserve"> IF( AND( $BG$792 = "1", $BH$792 = "1" ), 1, IF( AND( $BG$792 = "1", $BH$792 = "0" ), 2, IF( AND( $BG$792 = "0", $BH$792 = "1" ), 3, 4 ) ) )</f>
        <v>4</v>
      </c>
      <c r="BK792" s="1">
        <v>1</v>
      </c>
      <c r="BL792" t="str">
        <f>"1"</f>
        <v>1</v>
      </c>
      <c r="BM792" t="str">
        <f xml:space="preserve"> IF($BK$792 &gt;= $G$281, "1","0")</f>
        <v>1</v>
      </c>
      <c r="BN792">
        <f xml:space="preserve"> IF( AND( $BL$792 = "1", $BM$792 = "1" ), 1, IF( AND( $BL$792 = "1", $BM$792 = "0" ), 2, IF( AND( $BL$792 = "0", $BM$792 = "1" ), 3, 4 ) ) )</f>
        <v>1</v>
      </c>
    </row>
    <row r="793" spans="58:66" x14ac:dyDescent="0.25">
      <c r="BF793" s="1">
        <v>0</v>
      </c>
      <c r="BG793" t="str">
        <f>"0"</f>
        <v>0</v>
      </c>
      <c r="BH793" t="str">
        <f xml:space="preserve"> IF($BF$793 &gt;= $G$204, "1","0")</f>
        <v>0</v>
      </c>
      <c r="BI793">
        <f xml:space="preserve"> IF( AND( $BG$793 = "1", $BH$793 = "1" ), 1, IF( AND( $BG$793 = "1", $BH$793 = "0" ), 2, IF( AND( $BG$793 = "0", $BH$793 = "1" ), 3, 4 ) ) )</f>
        <v>4</v>
      </c>
      <c r="BK793" s="1">
        <v>1.8947368421052633E-2</v>
      </c>
      <c r="BL793" t="str">
        <f>"0"</f>
        <v>0</v>
      </c>
      <c r="BM793" t="str">
        <f xml:space="preserve"> IF($BK$793 &gt;= $G$281, "1","0")</f>
        <v>0</v>
      </c>
      <c r="BN793">
        <f xml:space="preserve"> IF( AND( $BL$793 = "1", $BM$793 = "1" ), 1, IF( AND( $BL$793 = "1", $BM$793 = "0" ), 2, IF( AND( $BL$793 = "0", $BM$793 = "1" ), 3, 4 ) ) )</f>
        <v>4</v>
      </c>
    </row>
    <row r="794" spans="58:66" x14ac:dyDescent="0.25">
      <c r="BF794" s="1">
        <v>0</v>
      </c>
      <c r="BG794" t="str">
        <f>"0"</f>
        <v>0</v>
      </c>
      <c r="BH794" t="str">
        <f xml:space="preserve"> IF($BF$794 &gt;= $G$204, "1","0")</f>
        <v>0</v>
      </c>
      <c r="BI794">
        <f xml:space="preserve"> IF( AND( $BG$794 = "1", $BH$794 = "1" ), 1, IF( AND( $BG$794 = "1", $BH$794 = "0" ), 2, IF( AND( $BG$794 = "0", $BH$794 = "1" ), 3, 4 ) ) )</f>
        <v>4</v>
      </c>
      <c r="BK794" s="1">
        <v>1</v>
      </c>
      <c r="BL794" t="str">
        <f>"1"</f>
        <v>1</v>
      </c>
      <c r="BM794" t="str">
        <f xml:space="preserve"> IF($BK$794 &gt;= $G$281, "1","0")</f>
        <v>1</v>
      </c>
      <c r="BN794">
        <f xml:space="preserve"> IF( AND( $BL$794 = "1", $BM$794 = "1" ), 1, IF( AND( $BL$794 = "1", $BM$794 = "0" ), 2, IF( AND( $BL$794 = "0", $BM$794 = "1" ), 3, 4 ) ) )</f>
        <v>1</v>
      </c>
    </row>
    <row r="795" spans="58:66" x14ac:dyDescent="0.25">
      <c r="BF795" s="1">
        <v>0</v>
      </c>
      <c r="BG795" t="str">
        <f>"0"</f>
        <v>0</v>
      </c>
      <c r="BH795" t="str">
        <f xml:space="preserve"> IF($BF$795 &gt;= $G$204, "1","0")</f>
        <v>0</v>
      </c>
      <c r="BI795">
        <f xml:space="preserve"> IF( AND( $BG$795 = "1", $BH$795 = "1" ), 1, IF( AND( $BG$795 = "1", $BH$795 = "0" ), 2, IF( AND( $BG$795 = "0", $BH$795 = "1" ), 3, 4 ) ) )</f>
        <v>4</v>
      </c>
      <c r="BK795" s="1">
        <v>0.79999999999999993</v>
      </c>
      <c r="BL795" t="str">
        <f>"1"</f>
        <v>1</v>
      </c>
      <c r="BM795" t="str">
        <f xml:space="preserve"> IF($BK$795 &gt;= $G$281, "1","0")</f>
        <v>1</v>
      </c>
      <c r="BN795">
        <f xml:space="preserve"> IF( AND( $BL$795 = "1", $BM$795 = "1" ), 1, IF( AND( $BL$795 = "1", $BM$795 = "0" ), 2, IF( AND( $BL$795 = "0", $BM$795 = "1" ), 3, 4 ) ) )</f>
        <v>1</v>
      </c>
    </row>
    <row r="796" spans="58:66" x14ac:dyDescent="0.25">
      <c r="BF796" s="1">
        <v>0</v>
      </c>
      <c r="BG796" t="str">
        <f>"0"</f>
        <v>0</v>
      </c>
      <c r="BH796" t="str">
        <f xml:space="preserve"> IF($BF$796 &gt;= $G$204, "1","0")</f>
        <v>0</v>
      </c>
      <c r="BI796">
        <f xml:space="preserve"> IF( AND( $BG$796 = "1", $BH$796 = "1" ), 1, IF( AND( $BG$796 = "1", $BH$796 = "0" ), 2, IF( AND( $BG$796 = "0", $BH$796 = "1" ), 3, 4 ) ) )</f>
        <v>4</v>
      </c>
      <c r="BK796" s="1">
        <v>1.8947368421052633E-2</v>
      </c>
      <c r="BL796" t="str">
        <f>"0"</f>
        <v>0</v>
      </c>
      <c r="BM796" t="str">
        <f xml:space="preserve"> IF($BK$796 &gt;= $G$281, "1","0")</f>
        <v>0</v>
      </c>
      <c r="BN796">
        <f xml:space="preserve"> IF( AND( $BL$796 = "1", $BM$796 = "1" ), 1, IF( AND( $BL$796 = "1", $BM$796 = "0" ), 2, IF( AND( $BL$796 = "0", $BM$796 = "1" ), 3, 4 ) ) )</f>
        <v>4</v>
      </c>
    </row>
    <row r="797" spans="58:66" x14ac:dyDescent="0.25">
      <c r="BF797" s="1">
        <v>0</v>
      </c>
      <c r="BG797" t="str">
        <f>"0"</f>
        <v>0</v>
      </c>
      <c r="BH797" t="str">
        <f xml:space="preserve"> IF($BF$797 &gt;= $G$204, "1","0")</f>
        <v>0</v>
      </c>
      <c r="BI797">
        <f xml:space="preserve"> IF( AND( $BG$797 = "1", $BH$797 = "1" ), 1, IF( AND( $BG$797 = "1", $BH$797 = "0" ), 2, IF( AND( $BG$797 = "0", $BH$797 = "1" ), 3, 4 ) ) )</f>
        <v>4</v>
      </c>
      <c r="BK797" s="1">
        <v>0.72727272727272729</v>
      </c>
      <c r="BL797" t="str">
        <f>"0"</f>
        <v>0</v>
      </c>
      <c r="BM797" t="str">
        <f xml:space="preserve"> IF($BK$797 &gt;= $G$281, "1","0")</f>
        <v>1</v>
      </c>
      <c r="BN797">
        <f xml:space="preserve"> IF( AND( $BL$797 = "1", $BM$797 = "1" ), 1, IF( AND( $BL$797 = "1", $BM$797 = "0" ), 2, IF( AND( $BL$797 = "0", $BM$797 = "1" ), 3, 4 ) ) )</f>
        <v>3</v>
      </c>
    </row>
    <row r="798" spans="58:66" x14ac:dyDescent="0.25">
      <c r="BF798" s="1">
        <v>0</v>
      </c>
      <c r="BG798" t="str">
        <f>"0"</f>
        <v>0</v>
      </c>
      <c r="BH798" t="str">
        <f xml:space="preserve"> IF($BF$798 &gt;= $G$204, "1","0")</f>
        <v>0</v>
      </c>
      <c r="BI798">
        <f xml:space="preserve"> IF( AND( $BG$798 = "1", $BH$798 = "1" ), 1, IF( AND( $BG$798 = "1", $BH$798 = "0" ), 2, IF( AND( $BG$798 = "0", $BH$798 = "1" ), 3, 4 ) ) )</f>
        <v>4</v>
      </c>
      <c r="BK798" s="1">
        <v>1</v>
      </c>
      <c r="BL798" t="str">
        <f>"1"</f>
        <v>1</v>
      </c>
      <c r="BM798" t="str">
        <f xml:space="preserve"> IF($BK$798 &gt;= $G$281, "1","0")</f>
        <v>1</v>
      </c>
      <c r="BN798">
        <f xml:space="preserve"> IF( AND( $BL$798 = "1", $BM$798 = "1" ), 1, IF( AND( $BL$798 = "1", $BM$798 = "0" ), 2, IF( AND( $BL$798 = "0", $BM$798 = "1" ), 3, 4 ) ) )</f>
        <v>1</v>
      </c>
    </row>
    <row r="799" spans="58:66" x14ac:dyDescent="0.25">
      <c r="BF799" s="1">
        <v>0</v>
      </c>
      <c r="BG799" t="str">
        <f>"0"</f>
        <v>0</v>
      </c>
      <c r="BH799" t="str">
        <f xml:space="preserve"> IF($BF$799 &gt;= $G$204, "1","0")</f>
        <v>0</v>
      </c>
      <c r="BI799">
        <f xml:space="preserve"> IF( AND( $BG$799 = "1", $BH$799 = "1" ), 1, IF( AND( $BG$799 = "1", $BH$799 = "0" ), 2, IF( AND( $BG$799 = "0", $BH$799 = "1" ), 3, 4 ) ) )</f>
        <v>4</v>
      </c>
      <c r="BK799" s="1">
        <v>1</v>
      </c>
      <c r="BL799" t="str">
        <f>"1"</f>
        <v>1</v>
      </c>
      <c r="BM799" t="str">
        <f xml:space="preserve"> IF($BK$799 &gt;= $G$281, "1","0")</f>
        <v>1</v>
      </c>
      <c r="BN799">
        <f xml:space="preserve"> IF( AND( $BL$799 = "1", $BM$799 = "1" ), 1, IF( AND( $BL$799 = "1", $BM$799 = "0" ), 2, IF( AND( $BL$799 = "0", $BM$799 = "1" ), 3, 4 ) ) )</f>
        <v>1</v>
      </c>
    </row>
    <row r="800" spans="58:66" x14ac:dyDescent="0.25">
      <c r="BF800" s="1">
        <v>0</v>
      </c>
      <c r="BG800" t="str">
        <f>"0"</f>
        <v>0</v>
      </c>
      <c r="BH800" t="str">
        <f xml:space="preserve"> IF($BF$800 &gt;= $G$204, "1","0")</f>
        <v>0</v>
      </c>
      <c r="BI800">
        <f xml:space="preserve"> IF( AND( $BG$800 = "1", $BH$800 = "1" ), 1, IF( AND( $BG$800 = "1", $BH$800 = "0" ), 2, IF( AND( $BG$800 = "0", $BH$800 = "1" ), 3, 4 ) ) )</f>
        <v>4</v>
      </c>
      <c r="BK800" s="1">
        <v>1</v>
      </c>
      <c r="BL800" t="str">
        <f>"1"</f>
        <v>1</v>
      </c>
      <c r="BM800" t="str">
        <f xml:space="preserve"> IF($BK$800 &gt;= $G$281, "1","0")</f>
        <v>1</v>
      </c>
      <c r="BN800">
        <f xml:space="preserve"> IF( AND( $BL$800 = "1", $BM$800 = "1" ), 1, IF( AND( $BL$800 = "1", $BM$800 = "0" ), 2, IF( AND( $BL$800 = "0", $BM$800 = "1" ), 3, 4 ) ) )</f>
        <v>1</v>
      </c>
    </row>
    <row r="801" spans="58:66" x14ac:dyDescent="0.25">
      <c r="BF801" s="1">
        <v>0</v>
      </c>
      <c r="BG801" t="str">
        <f>"0"</f>
        <v>0</v>
      </c>
      <c r="BH801" t="str">
        <f xml:space="preserve"> IF($BF$801 &gt;= $G$204, "1","0")</f>
        <v>0</v>
      </c>
      <c r="BI801">
        <f xml:space="preserve"> IF( AND( $BG$801 = "1", $BH$801 = "1" ), 1, IF( AND( $BG$801 = "1", $BH$801 = "0" ), 2, IF( AND( $BG$801 = "0", $BH$801 = "1" ), 3, 4 ) ) )</f>
        <v>4</v>
      </c>
      <c r="BK801" s="1">
        <v>0.79999999999999993</v>
      </c>
      <c r="BL801" t="str">
        <f>"1"</f>
        <v>1</v>
      </c>
      <c r="BM801" t="str">
        <f xml:space="preserve"> IF($BK$801 &gt;= $G$281, "1","0")</f>
        <v>1</v>
      </c>
      <c r="BN801">
        <f xml:space="preserve"> IF( AND( $BL$801 = "1", $BM$801 = "1" ), 1, IF( AND( $BL$801 = "1", $BM$801 = "0" ), 2, IF( AND( $BL$801 = "0", $BM$801 = "1" ), 3, 4 ) ) )</f>
        <v>1</v>
      </c>
    </row>
    <row r="802" spans="58:66" x14ac:dyDescent="0.25">
      <c r="BF802" s="1">
        <v>0</v>
      </c>
      <c r="BG802" t="str">
        <f>"0"</f>
        <v>0</v>
      </c>
      <c r="BH802" t="str">
        <f xml:space="preserve"> IF($BF$802 &gt;= $G$204, "1","0")</f>
        <v>0</v>
      </c>
      <c r="BI802">
        <f xml:space="preserve"> IF( AND( $BG$802 = "1", $BH$802 = "1" ), 1, IF( AND( $BG$802 = "1", $BH$802 = "0" ), 2, IF( AND( $BG$802 = "0", $BH$802 = "1" ), 3, 4 ) ) )</f>
        <v>4</v>
      </c>
      <c r="BK802" s="1">
        <v>1</v>
      </c>
      <c r="BL802" t="str">
        <f>"1"</f>
        <v>1</v>
      </c>
      <c r="BM802" t="str">
        <f xml:space="preserve"> IF($BK$802 &gt;= $G$281, "1","0")</f>
        <v>1</v>
      </c>
      <c r="BN802">
        <f xml:space="preserve"> IF( AND( $BL$802 = "1", $BM$802 = "1" ), 1, IF( AND( $BL$802 = "1", $BM$802 = "0" ), 2, IF( AND( $BL$802 = "0", $BM$802 = "1" ), 3, 4 ) ) )</f>
        <v>1</v>
      </c>
    </row>
    <row r="803" spans="58:66" x14ac:dyDescent="0.25">
      <c r="BF803" s="1">
        <v>0</v>
      </c>
      <c r="BG803" t="str">
        <f>"0"</f>
        <v>0</v>
      </c>
      <c r="BH803" t="str">
        <f xml:space="preserve"> IF($BF$803 &gt;= $G$204, "1","0")</f>
        <v>0</v>
      </c>
      <c r="BI803">
        <f xml:space="preserve"> IF( AND( $BG$803 = "1", $BH$803 = "1" ), 1, IF( AND( $BG$803 = "1", $BH$803 = "0" ), 2, IF( AND( $BG$803 = "0", $BH$803 = "1" ), 3, 4 ) ) )</f>
        <v>4</v>
      </c>
      <c r="BK803" s="1">
        <v>1</v>
      </c>
      <c r="BL803" t="str">
        <f>"1"</f>
        <v>1</v>
      </c>
      <c r="BM803" t="str">
        <f xml:space="preserve"> IF($BK$803 &gt;= $G$281, "1","0")</f>
        <v>1</v>
      </c>
      <c r="BN803">
        <f xml:space="preserve"> IF( AND( $BL$803 = "1", $BM$803 = "1" ), 1, IF( AND( $BL$803 = "1", $BM$803 = "0" ), 2, IF( AND( $BL$803 = "0", $BM$803 = "1" ), 3, 4 ) ) )</f>
        <v>1</v>
      </c>
    </row>
    <row r="804" spans="58:66" x14ac:dyDescent="0.25">
      <c r="BF804" s="1">
        <v>0</v>
      </c>
      <c r="BG804" t="str">
        <f>"0"</f>
        <v>0</v>
      </c>
      <c r="BH804" t="str">
        <f xml:space="preserve"> IF($BF$804 &gt;= $G$204, "1","0")</f>
        <v>0</v>
      </c>
      <c r="BI804">
        <f xml:space="preserve"> IF( AND( $BG$804 = "1", $BH$804 = "1" ), 1, IF( AND( $BG$804 = "1", $BH$804 = "0" ), 2, IF( AND( $BG$804 = "0", $BH$804 = "1" ), 3, 4 ) ) )</f>
        <v>4</v>
      </c>
      <c r="BK804" s="1">
        <v>1</v>
      </c>
      <c r="BL804" t="str">
        <f>"1"</f>
        <v>1</v>
      </c>
      <c r="BM804" t="str">
        <f xml:space="preserve"> IF($BK$804 &gt;= $G$281, "1","0")</f>
        <v>1</v>
      </c>
      <c r="BN804">
        <f xml:space="preserve"> IF( AND( $BL$804 = "1", $BM$804 = "1" ), 1, IF( AND( $BL$804 = "1", $BM$804 = "0" ), 2, IF( AND( $BL$804 = "0", $BM$804 = "1" ), 3, 4 ) ) )</f>
        <v>1</v>
      </c>
    </row>
    <row r="805" spans="58:66" x14ac:dyDescent="0.25">
      <c r="BF805" s="1">
        <v>0</v>
      </c>
      <c r="BG805" t="str">
        <f>"0"</f>
        <v>0</v>
      </c>
      <c r="BH805" t="str">
        <f xml:space="preserve"> IF($BF$805 &gt;= $G$204, "1","0")</f>
        <v>0</v>
      </c>
      <c r="BI805">
        <f xml:space="preserve"> IF( AND( $BG$805 = "1", $BH$805 = "1" ), 1, IF( AND( $BG$805 = "1", $BH$805 = "0" ), 2, IF( AND( $BG$805 = "0", $BH$805 = "1" ), 3, 4 ) ) )</f>
        <v>4</v>
      </c>
      <c r="BK805" s="1">
        <v>2.5000000000000001E-3</v>
      </c>
      <c r="BL805" t="str">
        <f>"0"</f>
        <v>0</v>
      </c>
      <c r="BM805" t="str">
        <f xml:space="preserve"> IF($BK$805 &gt;= $G$281, "1","0")</f>
        <v>0</v>
      </c>
      <c r="BN805">
        <f xml:space="preserve"> IF( AND( $BL$805 = "1", $BM$805 = "1" ), 1, IF( AND( $BL$805 = "1", $BM$805 = "0" ), 2, IF( AND( $BL$805 = "0", $BM$805 = "1" ), 3, 4 ) ) )</f>
        <v>4</v>
      </c>
    </row>
    <row r="806" spans="58:66" x14ac:dyDescent="0.25">
      <c r="BF806" s="1">
        <v>0</v>
      </c>
      <c r="BG806" t="str">
        <f>"0"</f>
        <v>0</v>
      </c>
      <c r="BH806" t="str">
        <f xml:space="preserve"> IF($BF$806 &gt;= $G$204, "1","0")</f>
        <v>0</v>
      </c>
      <c r="BI806">
        <f xml:space="preserve"> IF( AND( $BG$806 = "1", $BH$806 = "1" ), 1, IF( AND( $BG$806 = "1", $BH$806 = "0" ), 2, IF( AND( $BG$806 = "0", $BH$806 = "1" ), 3, 4 ) ) )</f>
        <v>4</v>
      </c>
      <c r="BK806" s="1">
        <v>0</v>
      </c>
      <c r="BL806" t="str">
        <f>"0"</f>
        <v>0</v>
      </c>
      <c r="BM806" t="str">
        <f xml:space="preserve"> IF($BK$806 &gt;= $G$281, "1","0")</f>
        <v>0</v>
      </c>
      <c r="BN806">
        <f xml:space="preserve"> IF( AND( $BL$806 = "1", $BM$806 = "1" ), 1, IF( AND( $BL$806 = "1", $BM$806 = "0" ), 2, IF( AND( $BL$806 = "0", $BM$806 = "1" ), 3, 4 ) ) )</f>
        <v>4</v>
      </c>
    </row>
    <row r="807" spans="58:66" x14ac:dyDescent="0.25">
      <c r="BF807" s="1">
        <v>0</v>
      </c>
      <c r="BG807" t="str">
        <f>"0"</f>
        <v>0</v>
      </c>
      <c r="BH807" t="str">
        <f xml:space="preserve"> IF($BF$807 &gt;= $G$204, "1","0")</f>
        <v>0</v>
      </c>
      <c r="BI807">
        <f xml:space="preserve"> IF( AND( $BG$807 = "1", $BH$807 = "1" ), 1, IF( AND( $BG$807 = "1", $BH$807 = "0" ), 2, IF( AND( $BG$807 = "0", $BH$807 = "1" ), 3, 4 ) ) )</f>
        <v>4</v>
      </c>
      <c r="BK807" s="1">
        <v>0.32</v>
      </c>
      <c r="BL807" t="str">
        <f>"1"</f>
        <v>1</v>
      </c>
      <c r="BM807" t="str">
        <f xml:space="preserve"> IF($BK$807 &gt;= $G$281, "1","0")</f>
        <v>1</v>
      </c>
      <c r="BN807">
        <f xml:space="preserve"> IF( AND( $BL$807 = "1", $BM$807 = "1" ), 1, IF( AND( $BL$807 = "1", $BM$807 = "0" ), 2, IF( AND( $BL$807 = "0", $BM$807 = "1" ), 3, 4 ) ) )</f>
        <v>1</v>
      </c>
    </row>
    <row r="808" spans="58:66" x14ac:dyDescent="0.25">
      <c r="BF808" s="1">
        <v>0</v>
      </c>
      <c r="BG808" t="str">
        <f>"0"</f>
        <v>0</v>
      </c>
      <c r="BH808" t="str">
        <f xml:space="preserve"> IF($BF$808 &gt;= $G$204, "1","0")</f>
        <v>0</v>
      </c>
      <c r="BI808">
        <f xml:space="preserve"> IF( AND( $BG$808 = "1", $BH$808 = "1" ), 1, IF( AND( $BG$808 = "1", $BH$808 = "0" ), 2, IF( AND( $BG$808 = "0", $BH$808 = "1" ), 3, 4 ) ) )</f>
        <v>4</v>
      </c>
      <c r="BK808" s="1">
        <v>3.333333333333334E-2</v>
      </c>
      <c r="BL808" t="str">
        <f>"0"</f>
        <v>0</v>
      </c>
      <c r="BM808" t="str">
        <f xml:space="preserve"> IF($BK$808 &gt;= $G$281, "1","0")</f>
        <v>0</v>
      </c>
      <c r="BN808">
        <f xml:space="preserve"> IF( AND( $BL$808 = "1", $BM$808 = "1" ), 1, IF( AND( $BL$808 = "1", $BM$808 = "0" ), 2, IF( AND( $BL$808 = "0", $BM$808 = "1" ), 3, 4 ) ) )</f>
        <v>4</v>
      </c>
    </row>
    <row r="809" spans="58:66" x14ac:dyDescent="0.25">
      <c r="BF809" s="1">
        <v>0</v>
      </c>
      <c r="BG809" t="str">
        <f>"0"</f>
        <v>0</v>
      </c>
      <c r="BH809" t="str">
        <f xml:space="preserve"> IF($BF$809 &gt;= $G$204, "1","0")</f>
        <v>0</v>
      </c>
      <c r="BI809">
        <f xml:space="preserve"> IF( AND( $BG$809 = "1", $BH$809 = "1" ), 1, IF( AND( $BG$809 = "1", $BH$809 = "0" ), 2, IF( AND( $BG$809 = "0", $BH$809 = "1" ), 3, 4 ) ) )</f>
        <v>4</v>
      </c>
      <c r="BK809" s="1">
        <v>2.5000000000000001E-3</v>
      </c>
      <c r="BL809" t="str">
        <f>"0"</f>
        <v>0</v>
      </c>
      <c r="BM809" t="str">
        <f xml:space="preserve"> IF($BK$809 &gt;= $G$281, "1","0")</f>
        <v>0</v>
      </c>
      <c r="BN809">
        <f xml:space="preserve"> IF( AND( $BL$809 = "1", $BM$809 = "1" ), 1, IF( AND( $BL$809 = "1", $BM$809 = "0" ), 2, IF( AND( $BL$809 = "0", $BM$809 = "1" ), 3, 4 ) ) )</f>
        <v>4</v>
      </c>
    </row>
    <row r="810" spans="58:66" x14ac:dyDescent="0.25">
      <c r="BF810" s="1">
        <v>0</v>
      </c>
      <c r="BG810" t="str">
        <f>"0"</f>
        <v>0</v>
      </c>
      <c r="BH810" t="str">
        <f xml:space="preserve"> IF($BF$810 &gt;= $G$204, "1","0")</f>
        <v>0</v>
      </c>
      <c r="BI810">
        <f xml:space="preserve"> IF( AND( $BG$810 = "1", $BH$810 = "1" ), 1, IF( AND( $BG$810 = "1", $BH$810 = "0" ), 2, IF( AND( $BG$810 = "0", $BH$810 = "1" ), 3, 4 ) ) )</f>
        <v>4</v>
      </c>
      <c r="BK810" s="1">
        <v>1.8947368421052633E-2</v>
      </c>
      <c r="BL810" t="str">
        <f>"0"</f>
        <v>0</v>
      </c>
      <c r="BM810" t="str">
        <f xml:space="preserve"> IF($BK$810 &gt;= $G$281, "1","0")</f>
        <v>0</v>
      </c>
      <c r="BN810">
        <f xml:space="preserve"> IF( AND( $BL$810 = "1", $BM$810 = "1" ), 1, IF( AND( $BL$810 = "1", $BM$810 = "0" ), 2, IF( AND( $BL$810 = "0", $BM$810 = "1" ), 3, 4 ) ) )</f>
        <v>4</v>
      </c>
    </row>
    <row r="811" spans="58:66" x14ac:dyDescent="0.25">
      <c r="BF811" s="1">
        <v>0</v>
      </c>
      <c r="BG811" t="str">
        <f>"0"</f>
        <v>0</v>
      </c>
      <c r="BH811" t="str">
        <f xml:space="preserve"> IF($BF$811 &gt;= $G$204, "1","0")</f>
        <v>0</v>
      </c>
      <c r="BI811">
        <f xml:space="preserve"> IF( AND( $BG$811 = "1", $BH$811 = "1" ), 1, IF( AND( $BG$811 = "1", $BH$811 = "0" ), 2, IF( AND( $BG$811 = "0", $BH$811 = "1" ), 3, 4 ) ) )</f>
        <v>4</v>
      </c>
      <c r="BK811" s="1">
        <v>0.90476190476190477</v>
      </c>
      <c r="BL811" t="str">
        <f>"0"</f>
        <v>0</v>
      </c>
      <c r="BM811" t="str">
        <f xml:space="preserve"> IF($BK$811 &gt;= $G$281, "1","0")</f>
        <v>1</v>
      </c>
      <c r="BN811">
        <f xml:space="preserve"> IF( AND( $BL$811 = "1", $BM$811 = "1" ), 1, IF( AND( $BL$811 = "1", $BM$811 = "0" ), 2, IF( AND( $BL$811 = "0", $BM$811 = "1" ), 3, 4 ) ) )</f>
        <v>3</v>
      </c>
    </row>
    <row r="812" spans="58:66" x14ac:dyDescent="0.25">
      <c r="BF812" s="1">
        <v>0</v>
      </c>
      <c r="BG812" t="str">
        <f>"0"</f>
        <v>0</v>
      </c>
      <c r="BH812" t="str">
        <f xml:space="preserve"> IF($BF$812 &gt;= $G$204, "1","0")</f>
        <v>0</v>
      </c>
      <c r="BI812">
        <f xml:space="preserve"> IF( AND( $BG$812 = "1", $BH$812 = "1" ), 1, IF( AND( $BG$812 = "1", $BH$812 = "0" ), 2, IF( AND( $BG$812 = "0", $BH$812 = "1" ), 3, 4 ) ) )</f>
        <v>4</v>
      </c>
      <c r="BK812" s="1">
        <v>0.14285714285714285</v>
      </c>
      <c r="BL812" t="str">
        <f>"0"</f>
        <v>0</v>
      </c>
      <c r="BM812" t="str">
        <f xml:space="preserve"> IF($BK$812 &gt;= $G$281, "1","0")</f>
        <v>0</v>
      </c>
      <c r="BN812">
        <f xml:space="preserve"> IF( AND( $BL$812 = "1", $BM$812 = "1" ), 1, IF( AND( $BL$812 = "1", $BM$812 = "0" ), 2, IF( AND( $BL$812 = "0", $BM$812 = "1" ), 3, 4 ) ) )</f>
        <v>4</v>
      </c>
    </row>
    <row r="813" spans="58:66" x14ac:dyDescent="0.25">
      <c r="BF813" s="1">
        <v>0</v>
      </c>
      <c r="BG813" t="str">
        <f>"0"</f>
        <v>0</v>
      </c>
      <c r="BH813" t="str">
        <f xml:space="preserve"> IF($BF$813 &gt;= $G$204, "1","0")</f>
        <v>0</v>
      </c>
      <c r="BI813">
        <f xml:space="preserve"> IF( AND( $BG$813 = "1", $BH$813 = "1" ), 1, IF( AND( $BG$813 = "1", $BH$813 = "0" ), 2, IF( AND( $BG$813 = "0", $BH$813 = "1" ), 3, 4 ) ) )</f>
        <v>4</v>
      </c>
      <c r="BK813" s="1">
        <v>3.333333333333334E-2</v>
      </c>
      <c r="BL813" t="str">
        <f>"0"</f>
        <v>0</v>
      </c>
      <c r="BM813" t="str">
        <f xml:space="preserve"> IF($BK$813 &gt;= $G$281, "1","0")</f>
        <v>0</v>
      </c>
      <c r="BN813">
        <f xml:space="preserve"> IF( AND( $BL$813 = "1", $BM$813 = "1" ), 1, IF( AND( $BL$813 = "1", $BM$813 = "0" ), 2, IF( AND( $BL$813 = "0", $BM$813 = "1" ), 3, 4 ) ) )</f>
        <v>4</v>
      </c>
    </row>
    <row r="814" spans="58:66" x14ac:dyDescent="0.25">
      <c r="BF814" s="1">
        <v>0</v>
      </c>
      <c r="BG814" t="str">
        <f>"0"</f>
        <v>0</v>
      </c>
      <c r="BH814" t="str">
        <f xml:space="preserve"> IF($BF$814 &gt;= $G$204, "1","0")</f>
        <v>0</v>
      </c>
      <c r="BI814">
        <f xml:space="preserve"> IF( AND( $BG$814 = "1", $BH$814 = "1" ), 1, IF( AND( $BG$814 = "1", $BH$814 = "0" ), 2, IF( AND( $BG$814 = "0", $BH$814 = "1" ), 3, 4 ) ) )</f>
        <v>4</v>
      </c>
      <c r="BK814" s="1">
        <v>0.2857142857142857</v>
      </c>
      <c r="BL814" t="str">
        <f>"1"</f>
        <v>1</v>
      </c>
      <c r="BM814" t="str">
        <f xml:space="preserve"> IF($BK$814 &gt;= $G$281, "1","0")</f>
        <v>1</v>
      </c>
      <c r="BN814">
        <f xml:space="preserve"> IF( AND( $BL$814 = "1", $BM$814 = "1" ), 1, IF( AND( $BL$814 = "1", $BM$814 = "0" ), 2, IF( AND( $BL$814 = "0", $BM$814 = "1" ), 3, 4 ) ) )</f>
        <v>1</v>
      </c>
    </row>
    <row r="815" spans="58:66" x14ac:dyDescent="0.25">
      <c r="BF815" s="1">
        <v>0</v>
      </c>
      <c r="BG815" t="str">
        <f>"0"</f>
        <v>0</v>
      </c>
      <c r="BH815" t="str">
        <f xml:space="preserve"> IF($BF$815 &gt;= $G$204, "1","0")</f>
        <v>0</v>
      </c>
      <c r="BI815">
        <f xml:space="preserve"> IF( AND( $BG$815 = "1", $BH$815 = "1" ), 1, IF( AND( $BG$815 = "1", $BH$815 = "0" ), 2, IF( AND( $BG$815 = "0", $BH$815 = "1" ), 3, 4 ) ) )</f>
        <v>4</v>
      </c>
      <c r="BK815" s="1">
        <v>1.8947368421052633E-2</v>
      </c>
      <c r="BL815" t="str">
        <f>"0"</f>
        <v>0</v>
      </c>
      <c r="BM815" t="str">
        <f xml:space="preserve"> IF($BK$815 &gt;= $G$281, "1","0")</f>
        <v>0</v>
      </c>
      <c r="BN815">
        <f xml:space="preserve"> IF( AND( $BL$815 = "1", $BM$815 = "1" ), 1, IF( AND( $BL$815 = "1", $BM$815 = "0" ), 2, IF( AND( $BL$815 = "0", $BM$815 = "1" ), 3, 4 ) ) )</f>
        <v>4</v>
      </c>
    </row>
    <row r="816" spans="58:66" x14ac:dyDescent="0.25">
      <c r="BF816" s="1">
        <v>0</v>
      </c>
      <c r="BG816" t="str">
        <f>"0"</f>
        <v>0</v>
      </c>
      <c r="BH816" t="str">
        <f xml:space="preserve"> IF($BF$816 &gt;= $G$204, "1","0")</f>
        <v>0</v>
      </c>
      <c r="BI816">
        <f xml:space="preserve"> IF( AND( $BG$816 = "1", $BH$816 = "1" ), 1, IF( AND( $BG$816 = "1", $BH$816 = "0" ), 2, IF( AND( $BG$816 = "0", $BH$816 = "1" ), 3, 4 ) ) )</f>
        <v>4</v>
      </c>
      <c r="BK816" s="1">
        <v>1</v>
      </c>
      <c r="BL816" t="str">
        <f>"1"</f>
        <v>1</v>
      </c>
      <c r="BM816" t="str">
        <f xml:space="preserve"> IF($BK$816 &gt;= $G$281, "1","0")</f>
        <v>1</v>
      </c>
      <c r="BN816">
        <f xml:space="preserve"> IF( AND( $BL$816 = "1", $BM$816 = "1" ), 1, IF( AND( $BL$816 = "1", $BM$816 = "0" ), 2, IF( AND( $BL$816 = "0", $BM$816 = "1" ), 3, 4 ) ) )</f>
        <v>1</v>
      </c>
    </row>
    <row r="817" spans="58:66" x14ac:dyDescent="0.25">
      <c r="BF817" s="1">
        <v>0</v>
      </c>
      <c r="BG817" t="str">
        <f>"0"</f>
        <v>0</v>
      </c>
      <c r="BH817" t="str">
        <f xml:space="preserve"> IF($BF$817 &gt;= $G$204, "1","0")</f>
        <v>0</v>
      </c>
      <c r="BI817">
        <f xml:space="preserve"> IF( AND( $BG$817 = "1", $BH$817 = "1" ), 1, IF( AND( $BG$817 = "1", $BH$817 = "0" ), 2, IF( AND( $BG$817 = "0", $BH$817 = "1" ), 3, 4 ) ) )</f>
        <v>4</v>
      </c>
      <c r="BK817" s="1">
        <v>0</v>
      </c>
      <c r="BL817" t="str">
        <f>"0"</f>
        <v>0</v>
      </c>
      <c r="BM817" t="str">
        <f xml:space="preserve"> IF($BK$817 &gt;= $G$281, "1","0")</f>
        <v>0</v>
      </c>
      <c r="BN817">
        <f xml:space="preserve"> IF( AND( $BL$817 = "1", $BM$817 = "1" ), 1, IF( AND( $BL$817 = "1", $BM$817 = "0" ), 2, IF( AND( $BL$817 = "0", $BM$817 = "1" ), 3, 4 ) ) )</f>
        <v>4</v>
      </c>
    </row>
    <row r="818" spans="58:66" x14ac:dyDescent="0.25">
      <c r="BF818" s="1">
        <v>0</v>
      </c>
      <c r="BG818" t="str">
        <f>"0"</f>
        <v>0</v>
      </c>
      <c r="BH818" t="str">
        <f xml:space="preserve"> IF($BF$818 &gt;= $G$204, "1","0")</f>
        <v>0</v>
      </c>
      <c r="BI818">
        <f xml:space="preserve"> IF( AND( $BG$818 = "1", $BH$818 = "1" ), 1, IF( AND( $BG$818 = "1", $BH$818 = "0" ), 2, IF( AND( $BG$818 = "0", $BH$818 = "1" ), 3, 4 ) ) )</f>
        <v>4</v>
      </c>
      <c r="BK818" s="1">
        <v>2.5000000000000001E-3</v>
      </c>
      <c r="BL818" t="str">
        <f>"0"</f>
        <v>0</v>
      </c>
      <c r="BM818" t="str">
        <f xml:space="preserve"> IF($BK$818 &gt;= $G$281, "1","0")</f>
        <v>0</v>
      </c>
      <c r="BN818">
        <f xml:space="preserve"> IF( AND( $BL$818 = "1", $BM$818 = "1" ), 1, IF( AND( $BL$818 = "1", $BM$818 = "0" ), 2, IF( AND( $BL$818 = "0", $BM$818 = "1" ), 3, 4 ) ) )</f>
        <v>4</v>
      </c>
    </row>
    <row r="819" spans="58:66" x14ac:dyDescent="0.25">
      <c r="BF819" s="1">
        <v>0</v>
      </c>
      <c r="BG819" t="str">
        <f>"0"</f>
        <v>0</v>
      </c>
      <c r="BH819" t="str">
        <f xml:space="preserve"> IF($BF$819 &gt;= $G$204, "1","0")</f>
        <v>0</v>
      </c>
      <c r="BI819">
        <f xml:space="preserve"> IF( AND( $BG$819 = "1", $BH$819 = "1" ), 1, IF( AND( $BG$819 = "1", $BH$819 = "0" ), 2, IF( AND( $BG$819 = "0", $BH$819 = "1" ), 3, 4 ) ) )</f>
        <v>4</v>
      </c>
      <c r="BK819" s="1">
        <v>2.5000000000000001E-3</v>
      </c>
      <c r="BL819" t="str">
        <f>"0"</f>
        <v>0</v>
      </c>
      <c r="BM819" t="str">
        <f xml:space="preserve"> IF($BK$819 &gt;= $G$281, "1","0")</f>
        <v>0</v>
      </c>
      <c r="BN819">
        <f xml:space="preserve"> IF( AND( $BL$819 = "1", $BM$819 = "1" ), 1, IF( AND( $BL$819 = "1", $BM$819 = "0" ), 2, IF( AND( $BL$819 = "0", $BM$819 = "1" ), 3, 4 ) ) )</f>
        <v>4</v>
      </c>
    </row>
    <row r="820" spans="58:66" x14ac:dyDescent="0.25">
      <c r="BF820" s="1">
        <v>0</v>
      </c>
      <c r="BG820" t="str">
        <f>"0"</f>
        <v>0</v>
      </c>
      <c r="BH820" t="str">
        <f xml:space="preserve"> IF($BF$820 &gt;= $G$204, "1","0")</f>
        <v>0</v>
      </c>
      <c r="BI820">
        <f xml:space="preserve"> IF( AND( $BG$820 = "1", $BH$820 = "1" ), 1, IF( AND( $BG$820 = "1", $BH$820 = "0" ), 2, IF( AND( $BG$820 = "0", $BH$820 = "1" ), 3, 4 ) ) )</f>
        <v>4</v>
      </c>
      <c r="BK820" s="1">
        <v>1</v>
      </c>
      <c r="BL820" t="str">
        <f>"1"</f>
        <v>1</v>
      </c>
      <c r="BM820" t="str">
        <f xml:space="preserve"> IF($BK$820 &gt;= $G$281, "1","0")</f>
        <v>1</v>
      </c>
      <c r="BN820">
        <f xml:space="preserve"> IF( AND( $BL$820 = "1", $BM$820 = "1" ), 1, IF( AND( $BL$820 = "1", $BM$820 = "0" ), 2, IF( AND( $BL$820 = "0", $BM$820 = "1" ), 3, 4 ) ) )</f>
        <v>1</v>
      </c>
    </row>
    <row r="821" spans="58:66" x14ac:dyDescent="0.25">
      <c r="BF821" s="1">
        <v>0</v>
      </c>
      <c r="BG821" t="str">
        <f>"0"</f>
        <v>0</v>
      </c>
      <c r="BH821" t="str">
        <f xml:space="preserve"> IF($BF$821 &gt;= $G$204, "1","0")</f>
        <v>0</v>
      </c>
      <c r="BI821">
        <f xml:space="preserve"> IF( AND( $BG$821 = "1", $BH$821 = "1" ), 1, IF( AND( $BG$821 = "1", $BH$821 = "0" ), 2, IF( AND( $BG$821 = "0", $BH$821 = "1" ), 3, 4 ) ) )</f>
        <v>4</v>
      </c>
      <c r="BK821" s="1">
        <v>0</v>
      </c>
      <c r="BL821" t="str">
        <f>"0"</f>
        <v>0</v>
      </c>
      <c r="BM821" t="str">
        <f xml:space="preserve"> IF($BK$821 &gt;= $G$281, "1","0")</f>
        <v>0</v>
      </c>
      <c r="BN821">
        <f xml:space="preserve"> IF( AND( $BL$821 = "1", $BM$821 = "1" ), 1, IF( AND( $BL$821 = "1", $BM$821 = "0" ), 2, IF( AND( $BL$821 = "0", $BM$821 = "1" ), 3, 4 ) ) )</f>
        <v>4</v>
      </c>
    </row>
    <row r="822" spans="58:66" x14ac:dyDescent="0.25">
      <c r="BF822" s="1">
        <v>0</v>
      </c>
      <c r="BG822" t="str">
        <f>"0"</f>
        <v>0</v>
      </c>
      <c r="BH822" t="str">
        <f xml:space="preserve"> IF($BF$822 &gt;= $G$204, "1","0")</f>
        <v>0</v>
      </c>
      <c r="BI822">
        <f xml:space="preserve"> IF( AND( $BG$822 = "1", $BH$822 = "1" ), 1, IF( AND( $BG$822 = "1", $BH$822 = "0" ), 2, IF( AND( $BG$822 = "0", $BH$822 = "1" ), 3, 4 ) ) )</f>
        <v>4</v>
      </c>
      <c r="BK822" s="1">
        <v>0.32</v>
      </c>
      <c r="BL822" t="str">
        <f>"1"</f>
        <v>1</v>
      </c>
      <c r="BM822" t="str">
        <f xml:space="preserve"> IF($BK$822 &gt;= $G$281, "1","0")</f>
        <v>1</v>
      </c>
      <c r="BN822">
        <f xml:space="preserve"> IF( AND( $BL$822 = "1", $BM$822 = "1" ), 1, IF( AND( $BL$822 = "1", $BM$822 = "0" ), 2, IF( AND( $BL$822 = "0", $BM$822 = "1" ), 3, 4 ) ) )</f>
        <v>1</v>
      </c>
    </row>
    <row r="823" spans="58:66" x14ac:dyDescent="0.25">
      <c r="BF823" s="1">
        <v>0</v>
      </c>
      <c r="BG823" t="str">
        <f>"0"</f>
        <v>0</v>
      </c>
      <c r="BH823" t="str">
        <f xml:space="preserve"> IF($BF$823 &gt;= $G$204, "1","0")</f>
        <v>0</v>
      </c>
      <c r="BI823">
        <f xml:space="preserve"> IF( AND( $BG$823 = "1", $BH$823 = "1" ), 1, IF( AND( $BG$823 = "1", $BH$823 = "0" ), 2, IF( AND( $BG$823 = "0", $BH$823 = "1" ), 3, 4 ) ) )</f>
        <v>4</v>
      </c>
      <c r="BK823" s="1">
        <v>2.5000000000000001E-3</v>
      </c>
      <c r="BL823" t="str">
        <f>"0"</f>
        <v>0</v>
      </c>
      <c r="BM823" t="str">
        <f xml:space="preserve"> IF($BK$823 &gt;= $G$281, "1","0")</f>
        <v>0</v>
      </c>
      <c r="BN823">
        <f xml:space="preserve"> IF( AND( $BL$823 = "1", $BM$823 = "1" ), 1, IF( AND( $BL$823 = "1", $BM$823 = "0" ), 2, IF( AND( $BL$823 = "0", $BM$823 = "1" ), 3, 4 ) ) )</f>
        <v>4</v>
      </c>
    </row>
    <row r="824" spans="58:66" x14ac:dyDescent="0.25">
      <c r="BF824" s="1">
        <v>0</v>
      </c>
      <c r="BG824" t="str">
        <f>"0"</f>
        <v>0</v>
      </c>
      <c r="BH824" t="str">
        <f xml:space="preserve"> IF($BF$824 &gt;= $G$204, "1","0")</f>
        <v>0</v>
      </c>
      <c r="BI824">
        <f xml:space="preserve"> IF( AND( $BG$824 = "1", $BH$824 = "1" ), 1, IF( AND( $BG$824 = "1", $BH$824 = "0" ), 2, IF( AND( $BG$824 = "0", $BH$824 = "1" ), 3, 4 ) ) )</f>
        <v>4</v>
      </c>
      <c r="BK824" s="1">
        <v>0</v>
      </c>
      <c r="BL824" t="str">
        <f>"0"</f>
        <v>0</v>
      </c>
      <c r="BM824" t="str">
        <f xml:space="preserve"> IF($BK$824 &gt;= $G$281, "1","0")</f>
        <v>0</v>
      </c>
      <c r="BN824">
        <f xml:space="preserve"> IF( AND( $BL$824 = "1", $BM$824 = "1" ), 1, IF( AND( $BL$824 = "1", $BM$824 = "0" ), 2, IF( AND( $BL$824 = "0", $BM$824 = "1" ), 3, 4 ) ) )</f>
        <v>4</v>
      </c>
    </row>
    <row r="825" spans="58:66" x14ac:dyDescent="0.25">
      <c r="BF825" s="1">
        <v>0</v>
      </c>
      <c r="BG825" t="str">
        <f>"0"</f>
        <v>0</v>
      </c>
      <c r="BH825" t="str">
        <f xml:space="preserve"> IF($BF$825 &gt;= $G$204, "1","0")</f>
        <v>0</v>
      </c>
      <c r="BI825">
        <f xml:space="preserve"> IF( AND( $BG$825 = "1", $BH$825 = "1" ), 1, IF( AND( $BG$825 = "1", $BH$825 = "0" ), 2, IF( AND( $BG$825 = "0", $BH$825 = "1" ), 3, 4 ) ) )</f>
        <v>4</v>
      </c>
      <c r="BK825" s="1">
        <v>1.8947368421052633E-2</v>
      </c>
      <c r="BL825" t="str">
        <f>"0"</f>
        <v>0</v>
      </c>
      <c r="BM825" t="str">
        <f xml:space="preserve"> IF($BK$825 &gt;= $G$281, "1","0")</f>
        <v>0</v>
      </c>
      <c r="BN825">
        <f xml:space="preserve"> IF( AND( $BL$825 = "1", $BM$825 = "1" ), 1, IF( AND( $BL$825 = "1", $BM$825 = "0" ), 2, IF( AND( $BL$825 = "0", $BM$825 = "1" ), 3, 4 ) ) )</f>
        <v>4</v>
      </c>
    </row>
    <row r="826" spans="58:66" x14ac:dyDescent="0.25">
      <c r="BF826" s="1">
        <v>0</v>
      </c>
      <c r="BG826" t="str">
        <f>"0"</f>
        <v>0</v>
      </c>
      <c r="BH826" t="str">
        <f xml:space="preserve"> IF($BF$826 &gt;= $G$204, "1","0")</f>
        <v>0</v>
      </c>
      <c r="BI826">
        <f xml:space="preserve"> IF( AND( $BG$826 = "1", $BH$826 = "1" ), 1, IF( AND( $BG$826 = "1", $BH$826 = "0" ), 2, IF( AND( $BG$826 = "0", $BH$826 = "1" ), 3, 4 ) ) )</f>
        <v>4</v>
      </c>
      <c r="BK826" s="1">
        <v>0.68181818181818188</v>
      </c>
      <c r="BL826" t="str">
        <f>"1"</f>
        <v>1</v>
      </c>
      <c r="BM826" t="str">
        <f xml:space="preserve"> IF($BK$826 &gt;= $G$281, "1","0")</f>
        <v>1</v>
      </c>
      <c r="BN826">
        <f xml:space="preserve"> IF( AND( $BL$826 = "1", $BM$826 = "1" ), 1, IF( AND( $BL$826 = "1", $BM$826 = "0" ), 2, IF( AND( $BL$826 = "0", $BM$826 = "1" ), 3, 4 ) ) )</f>
        <v>1</v>
      </c>
    </row>
    <row r="827" spans="58:66" x14ac:dyDescent="0.25">
      <c r="BF827" s="1">
        <v>0</v>
      </c>
      <c r="BG827" t="str">
        <f>"0"</f>
        <v>0</v>
      </c>
      <c r="BH827" t="str">
        <f xml:space="preserve"> IF($BF$827 &gt;= $G$204, "1","0")</f>
        <v>0</v>
      </c>
      <c r="BI827">
        <f xml:space="preserve"> IF( AND( $BG$827 = "1", $BH$827 = "1" ), 1, IF( AND( $BG$827 = "1", $BH$827 = "0" ), 2, IF( AND( $BG$827 = "0", $BH$827 = "1" ), 3, 4 ) ) )</f>
        <v>4</v>
      </c>
      <c r="BK827" s="1">
        <v>1.8947368421052633E-2</v>
      </c>
      <c r="BL827" t="str">
        <f>"0"</f>
        <v>0</v>
      </c>
      <c r="BM827" t="str">
        <f xml:space="preserve"> IF($BK$827 &gt;= $G$281, "1","0")</f>
        <v>0</v>
      </c>
      <c r="BN827">
        <f xml:space="preserve"> IF( AND( $BL$827 = "1", $BM$827 = "1" ), 1, IF( AND( $BL$827 = "1", $BM$827 = "0" ), 2, IF( AND( $BL$827 = "0", $BM$827 = "1" ), 3, 4 ) ) )</f>
        <v>4</v>
      </c>
    </row>
    <row r="828" spans="58:66" x14ac:dyDescent="0.25">
      <c r="BF828" s="1">
        <v>0</v>
      </c>
      <c r="BG828" t="str">
        <f>"0"</f>
        <v>0</v>
      </c>
      <c r="BH828" t="str">
        <f xml:space="preserve"> IF($BF$828 &gt;= $G$204, "1","0")</f>
        <v>0</v>
      </c>
      <c r="BI828">
        <f xml:space="preserve"> IF( AND( $BG$828 = "1", $BH$828 = "1" ), 1, IF( AND( $BG$828 = "1", $BH$828 = "0" ), 2, IF( AND( $BG$828 = "0", $BH$828 = "1" ), 3, 4 ) ) )</f>
        <v>4</v>
      </c>
      <c r="BK828" s="1">
        <v>2.5000000000000001E-3</v>
      </c>
      <c r="BL828" t="str">
        <f>"0"</f>
        <v>0</v>
      </c>
      <c r="BM828" t="str">
        <f xml:space="preserve"> IF($BK$828 &gt;= $G$281, "1","0")</f>
        <v>0</v>
      </c>
      <c r="BN828">
        <f xml:space="preserve"> IF( AND( $BL$828 = "1", $BM$828 = "1" ), 1, IF( AND( $BL$828 = "1", $BM$828 = "0" ), 2, IF( AND( $BL$828 = "0", $BM$828 = "1" ), 3, 4 ) ) )</f>
        <v>4</v>
      </c>
    </row>
    <row r="829" spans="58:66" x14ac:dyDescent="0.25">
      <c r="BF829" s="1">
        <v>0</v>
      </c>
      <c r="BG829" t="str">
        <f>"0"</f>
        <v>0</v>
      </c>
      <c r="BH829" t="str">
        <f xml:space="preserve"> IF($BF$829 &gt;= $G$204, "1","0")</f>
        <v>0</v>
      </c>
      <c r="BI829">
        <f xml:space="preserve"> IF( AND( $BG$829 = "1", $BH$829 = "1" ), 1, IF( AND( $BG$829 = "1", $BH$829 = "0" ), 2, IF( AND( $BG$829 = "0", $BH$829 = "1" ), 3, 4 ) ) )</f>
        <v>4</v>
      </c>
      <c r="BK829" s="1">
        <v>0.14285714285714288</v>
      </c>
      <c r="BL829" t="str">
        <f>"0"</f>
        <v>0</v>
      </c>
      <c r="BM829" t="str">
        <f xml:space="preserve"> IF($BK$829 &gt;= $G$281, "1","0")</f>
        <v>0</v>
      </c>
      <c r="BN829">
        <f xml:space="preserve"> IF( AND( $BL$829 = "1", $BM$829 = "1" ), 1, IF( AND( $BL$829 = "1", $BM$829 = "0" ), 2, IF( AND( $BL$829 = "0", $BM$829 = "1" ), 3, 4 ) ) )</f>
        <v>4</v>
      </c>
    </row>
    <row r="830" spans="58:66" x14ac:dyDescent="0.25">
      <c r="BF830" s="1">
        <v>0</v>
      </c>
      <c r="BG830" t="str">
        <f>"0"</f>
        <v>0</v>
      </c>
      <c r="BH830" t="str">
        <f xml:space="preserve"> IF($BF$830 &gt;= $G$204, "1","0")</f>
        <v>0</v>
      </c>
      <c r="BI830">
        <f xml:space="preserve"> IF( AND( $BG$830 = "1", $BH$830 = "1" ), 1, IF( AND( $BG$830 = "1", $BH$830 = "0" ), 2, IF( AND( $BG$830 = "0", $BH$830 = "1" ), 3, 4 ) ) )</f>
        <v>4</v>
      </c>
      <c r="BK830" s="1">
        <v>2.5000000000000001E-3</v>
      </c>
      <c r="BL830" t="str">
        <f>"0"</f>
        <v>0</v>
      </c>
      <c r="BM830" t="str">
        <f xml:space="preserve"> IF($BK$830 &gt;= $G$281, "1","0")</f>
        <v>0</v>
      </c>
      <c r="BN830">
        <f xml:space="preserve"> IF( AND( $BL$830 = "1", $BM$830 = "1" ), 1, IF( AND( $BL$830 = "1", $BM$830 = "0" ), 2, IF( AND( $BL$830 = "0", $BM$830 = "1" ), 3, 4 ) ) )</f>
        <v>4</v>
      </c>
    </row>
    <row r="831" spans="58:66" x14ac:dyDescent="0.25">
      <c r="BF831" s="1">
        <v>0</v>
      </c>
      <c r="BG831" t="str">
        <f>"0"</f>
        <v>0</v>
      </c>
      <c r="BH831" t="str">
        <f xml:space="preserve"> IF($BF$831 &gt;= $G$204, "1","0")</f>
        <v>0</v>
      </c>
      <c r="BI831">
        <f xml:space="preserve"> IF( AND( $BG$831 = "1", $BH$831 = "1" ), 1, IF( AND( $BG$831 = "1", $BH$831 = "0" ), 2, IF( AND( $BG$831 = "0", $BH$831 = "1" ), 3, 4 ) ) )</f>
        <v>4</v>
      </c>
      <c r="BK831" s="1">
        <v>0</v>
      </c>
      <c r="BL831" t="str">
        <f>"0"</f>
        <v>0</v>
      </c>
      <c r="BM831" t="str">
        <f xml:space="preserve"> IF($BK$831 &gt;= $G$281, "1","0")</f>
        <v>0</v>
      </c>
      <c r="BN831">
        <f xml:space="preserve"> IF( AND( $BL$831 = "1", $BM$831 = "1" ), 1, IF( AND( $BL$831 = "1", $BM$831 = "0" ), 2, IF( AND( $BL$831 = "0", $BM$831 = "1" ), 3, 4 ) ) )</f>
        <v>4</v>
      </c>
    </row>
    <row r="832" spans="58:66" x14ac:dyDescent="0.25">
      <c r="BF832" s="1">
        <v>0</v>
      </c>
      <c r="BG832" t="str">
        <f>"0"</f>
        <v>0</v>
      </c>
      <c r="BH832" t="str">
        <f xml:space="preserve"> IF($BF$832 &gt;= $G$204, "1","0")</f>
        <v>0</v>
      </c>
      <c r="BI832">
        <f xml:space="preserve"> IF( AND( $BG$832 = "1", $BH$832 = "1" ), 1, IF( AND( $BG$832 = "1", $BH$832 = "0" ), 2, IF( AND( $BG$832 = "0", $BH$832 = "1" ), 3, 4 ) ) )</f>
        <v>4</v>
      </c>
      <c r="BK832" s="1">
        <v>0.64</v>
      </c>
      <c r="BL832" t="str">
        <f>"0"</f>
        <v>0</v>
      </c>
      <c r="BM832" t="str">
        <f xml:space="preserve"> IF($BK$832 &gt;= $G$281, "1","0")</f>
        <v>1</v>
      </c>
      <c r="BN832">
        <f xml:space="preserve"> IF( AND( $BL$832 = "1", $BM$832 = "1" ), 1, IF( AND( $BL$832 = "1", $BM$832 = "0" ), 2, IF( AND( $BL$832 = "0", $BM$832 = "1" ), 3, 4 ) ) )</f>
        <v>3</v>
      </c>
    </row>
    <row r="833" spans="58:66" x14ac:dyDescent="0.25">
      <c r="BF833" s="1">
        <v>0</v>
      </c>
      <c r="BG833" t="str">
        <f>"0"</f>
        <v>0</v>
      </c>
      <c r="BH833" t="str">
        <f xml:space="preserve"> IF($BF$833 &gt;= $G$204, "1","0")</f>
        <v>0</v>
      </c>
      <c r="BI833">
        <f xml:space="preserve"> IF( AND( $BG$833 = "1", $BH$833 = "1" ), 1, IF( AND( $BG$833 = "1", $BH$833 = "0" ), 2, IF( AND( $BG$833 = "0", $BH$833 = "1" ), 3, 4 ) ) )</f>
        <v>4</v>
      </c>
      <c r="BK833" s="1">
        <v>0.14285714285714285</v>
      </c>
      <c r="BL833" t="str">
        <f>"1"</f>
        <v>1</v>
      </c>
      <c r="BM833" t="str">
        <f xml:space="preserve"> IF($BK$833 &gt;= $G$281, "1","0")</f>
        <v>0</v>
      </c>
      <c r="BN833">
        <f xml:space="preserve"> IF( AND( $BL$833 = "1", $BM$833 = "1" ), 1, IF( AND( $BL$833 = "1", $BM$833 = "0" ), 2, IF( AND( $BL$833 = "0", $BM$833 = "1" ), 3, 4 ) ) )</f>
        <v>2</v>
      </c>
    </row>
    <row r="834" spans="58:66" x14ac:dyDescent="0.25">
      <c r="BF834" s="1">
        <v>0</v>
      </c>
      <c r="BG834" t="str">
        <f>"0"</f>
        <v>0</v>
      </c>
      <c r="BH834" t="str">
        <f xml:space="preserve"> IF($BF$834 &gt;= $G$204, "1","0")</f>
        <v>0</v>
      </c>
      <c r="BI834">
        <f xml:space="preserve"> IF( AND( $BG$834 = "1", $BH$834 = "1" ), 1, IF( AND( $BG$834 = "1", $BH$834 = "0" ), 2, IF( AND( $BG$834 = "0", $BH$834 = "1" ), 3, 4 ) ) )</f>
        <v>4</v>
      </c>
      <c r="BK834" s="1">
        <v>0</v>
      </c>
      <c r="BL834" t="str">
        <f>"0"</f>
        <v>0</v>
      </c>
      <c r="BM834" t="str">
        <f xml:space="preserve"> IF($BK$834 &gt;= $G$281, "1","0")</f>
        <v>0</v>
      </c>
      <c r="BN834">
        <f xml:space="preserve"> IF( AND( $BL$834 = "1", $BM$834 = "1" ), 1, IF( AND( $BL$834 = "1", $BM$834 = "0" ), 2, IF( AND( $BL$834 = "0", $BM$834 = "1" ), 3, 4 ) ) )</f>
        <v>4</v>
      </c>
    </row>
    <row r="835" spans="58:66" x14ac:dyDescent="0.25">
      <c r="BF835" s="1">
        <v>0</v>
      </c>
      <c r="BG835" t="str">
        <f>"0"</f>
        <v>0</v>
      </c>
      <c r="BH835" t="str">
        <f xml:space="preserve"> IF($BF$835 &gt;= $G$204, "1","0")</f>
        <v>0</v>
      </c>
      <c r="BI835">
        <f xml:space="preserve"> IF( AND( $BG$835 = "1", $BH$835 = "1" ), 1, IF( AND( $BG$835 = "1", $BH$835 = "0" ), 2, IF( AND( $BG$835 = "0", $BH$835 = "1" ), 3, 4 ) ) )</f>
        <v>4</v>
      </c>
      <c r="BK835" s="1">
        <v>2.5000000000000001E-3</v>
      </c>
      <c r="BL835" t="str">
        <f>"0"</f>
        <v>0</v>
      </c>
      <c r="BM835" t="str">
        <f xml:space="preserve"> IF($BK$835 &gt;= $G$281, "1","0")</f>
        <v>0</v>
      </c>
      <c r="BN835">
        <f xml:space="preserve"> IF( AND( $BL$835 = "1", $BM$835 = "1" ), 1, IF( AND( $BL$835 = "1", $BM$835 = "0" ), 2, IF( AND( $BL$835 = "0", $BM$835 = "1" ), 3, 4 ) ) )</f>
        <v>4</v>
      </c>
    </row>
    <row r="836" spans="58:66" x14ac:dyDescent="0.25">
      <c r="BF836" s="1">
        <v>0</v>
      </c>
      <c r="BG836" t="str">
        <f>"0"</f>
        <v>0</v>
      </c>
      <c r="BH836" t="str">
        <f xml:space="preserve"> IF($BF$836 &gt;= $G$204, "1","0")</f>
        <v>0</v>
      </c>
      <c r="BI836">
        <f xml:space="preserve"> IF( AND( $BG$836 = "1", $BH$836 = "1" ), 1, IF( AND( $BG$836 = "1", $BH$836 = "0" ), 2, IF( AND( $BG$836 = "0", $BH$836 = "1" ), 3, 4 ) ) )</f>
        <v>4</v>
      </c>
      <c r="BK836" s="1">
        <v>1</v>
      </c>
      <c r="BL836" t="str">
        <f>"1"</f>
        <v>1</v>
      </c>
      <c r="BM836" t="str">
        <f xml:space="preserve"> IF($BK$836 &gt;= $G$281, "1","0")</f>
        <v>1</v>
      </c>
      <c r="BN836">
        <f xml:space="preserve"> IF( AND( $BL$836 = "1", $BM$836 = "1" ), 1, IF( AND( $BL$836 = "1", $BM$836 = "0" ), 2, IF( AND( $BL$836 = "0", $BM$836 = "1" ), 3, 4 ) ) )</f>
        <v>1</v>
      </c>
    </row>
    <row r="837" spans="58:66" x14ac:dyDescent="0.25">
      <c r="BF837" s="1">
        <v>0</v>
      </c>
      <c r="BG837" t="str">
        <f>"0"</f>
        <v>0</v>
      </c>
      <c r="BH837" t="str">
        <f xml:space="preserve"> IF($BF$837 &gt;= $G$204, "1","0")</f>
        <v>0</v>
      </c>
      <c r="BI837">
        <f xml:space="preserve"> IF( AND( $BG$837 = "1", $BH$837 = "1" ), 1, IF( AND( $BG$837 = "1", $BH$837 = "0" ), 2, IF( AND( $BG$837 = "0", $BH$837 = "1" ), 3, 4 ) ) )</f>
        <v>4</v>
      </c>
      <c r="BK837" s="1">
        <v>2.5000000000000001E-3</v>
      </c>
      <c r="BL837" t="str">
        <f>"0"</f>
        <v>0</v>
      </c>
      <c r="BM837" t="str">
        <f xml:space="preserve"> IF($BK$837 &gt;= $G$281, "1","0")</f>
        <v>0</v>
      </c>
      <c r="BN837">
        <f xml:space="preserve"> IF( AND( $BL$837 = "1", $BM$837 = "1" ), 1, IF( AND( $BL$837 = "1", $BM$837 = "0" ), 2, IF( AND( $BL$837 = "0", $BM$837 = "1" ), 3, 4 ) ) )</f>
        <v>4</v>
      </c>
    </row>
    <row r="838" spans="58:66" x14ac:dyDescent="0.25">
      <c r="BF838" s="1">
        <v>0</v>
      </c>
      <c r="BG838" t="str">
        <f>"0"</f>
        <v>0</v>
      </c>
      <c r="BH838" t="str">
        <f xml:space="preserve"> IF($BF$838 &gt;= $G$204, "1","0")</f>
        <v>0</v>
      </c>
      <c r="BI838">
        <f xml:space="preserve"> IF( AND( $BG$838 = "1", $BH$838 = "1" ), 1, IF( AND( $BG$838 = "1", $BH$838 = "0" ), 2, IF( AND( $BG$838 = "0", $BH$838 = "1" ), 3, 4 ) ) )</f>
        <v>4</v>
      </c>
      <c r="BK838" s="1">
        <v>2.5000000000000001E-3</v>
      </c>
      <c r="BL838" t="str">
        <f>"0"</f>
        <v>0</v>
      </c>
      <c r="BM838" t="str">
        <f xml:space="preserve"> IF($BK$838 &gt;= $G$281, "1","0")</f>
        <v>0</v>
      </c>
      <c r="BN838">
        <f xml:space="preserve"> IF( AND( $BL$838 = "1", $BM$838 = "1" ), 1, IF( AND( $BL$838 = "1", $BM$838 = "0" ), 2, IF( AND( $BL$838 = "0", $BM$838 = "1" ), 3, 4 ) ) )</f>
        <v>4</v>
      </c>
    </row>
    <row r="839" spans="58:66" x14ac:dyDescent="0.25">
      <c r="BF839" s="1">
        <v>0</v>
      </c>
      <c r="BG839" t="str">
        <f>"0"</f>
        <v>0</v>
      </c>
      <c r="BH839" t="str">
        <f xml:space="preserve"> IF($BF$839 &gt;= $G$204, "1","0")</f>
        <v>0</v>
      </c>
      <c r="BI839">
        <f xml:space="preserve"> IF( AND( $BG$839 = "1", $BH$839 = "1" ), 1, IF( AND( $BG$839 = "1", $BH$839 = "0" ), 2, IF( AND( $BG$839 = "0", $BH$839 = "1" ), 3, 4 ) ) )</f>
        <v>4</v>
      </c>
      <c r="BK839" s="1">
        <v>2.5000000000000001E-3</v>
      </c>
      <c r="BL839" t="str">
        <f>"0"</f>
        <v>0</v>
      </c>
      <c r="BM839" t="str">
        <f xml:space="preserve"> IF($BK$839 &gt;= $G$281, "1","0")</f>
        <v>0</v>
      </c>
      <c r="BN839">
        <f xml:space="preserve"> IF( AND( $BL$839 = "1", $BM$839 = "1" ), 1, IF( AND( $BL$839 = "1", $BM$839 = "0" ), 2, IF( AND( $BL$839 = "0", $BM$839 = "1" ), 3, 4 ) ) )</f>
        <v>4</v>
      </c>
    </row>
    <row r="840" spans="58:66" x14ac:dyDescent="0.25">
      <c r="BF840" s="1">
        <v>0</v>
      </c>
      <c r="BG840" t="str">
        <f>"0"</f>
        <v>0</v>
      </c>
      <c r="BH840" t="str">
        <f xml:space="preserve"> IF($BF$840 &gt;= $G$204, "1","0")</f>
        <v>0</v>
      </c>
      <c r="BI840">
        <f xml:space="preserve"> IF( AND( $BG$840 = "1", $BH$840 = "1" ), 1, IF( AND( $BG$840 = "1", $BH$840 = "0" ), 2, IF( AND( $BG$840 = "0", $BH$840 = "1" ), 3, 4 ) ) )</f>
        <v>4</v>
      </c>
      <c r="BK840" s="1">
        <v>0.64</v>
      </c>
      <c r="BL840" t="str">
        <f>"1"</f>
        <v>1</v>
      </c>
      <c r="BM840" t="str">
        <f xml:space="preserve"> IF($BK$840 &gt;= $G$281, "1","0")</f>
        <v>1</v>
      </c>
      <c r="BN840">
        <f xml:space="preserve"> IF( AND( $BL$840 = "1", $BM$840 = "1" ), 1, IF( AND( $BL$840 = "1", $BM$840 = "0" ), 2, IF( AND( $BL$840 = "0", $BM$840 = "1" ), 3, 4 ) ) )</f>
        <v>1</v>
      </c>
    </row>
    <row r="841" spans="58:66" x14ac:dyDescent="0.25">
      <c r="BF841" s="1">
        <v>0</v>
      </c>
      <c r="BG841" t="str">
        <f>"0"</f>
        <v>0</v>
      </c>
      <c r="BH841" t="str">
        <f xml:space="preserve"> IF($BF$841 &gt;= $G$204, "1","0")</f>
        <v>0</v>
      </c>
      <c r="BI841">
        <f xml:space="preserve"> IF( AND( $BG$841 = "1", $BH$841 = "1" ), 1, IF( AND( $BG$841 = "1", $BH$841 = "0" ), 2, IF( AND( $BG$841 = "0", $BH$841 = "1" ), 3, 4 ) ) )</f>
        <v>4</v>
      </c>
      <c r="BK841" s="1">
        <v>2.5000000000000001E-3</v>
      </c>
      <c r="BL841" t="str">
        <f>"0"</f>
        <v>0</v>
      </c>
      <c r="BM841" t="str">
        <f xml:space="preserve"> IF($BK$841 &gt;= $G$281, "1","0")</f>
        <v>0</v>
      </c>
      <c r="BN841">
        <f xml:space="preserve"> IF( AND( $BL$841 = "1", $BM$841 = "1" ), 1, IF( AND( $BL$841 = "1", $BM$841 = "0" ), 2, IF( AND( $BL$841 = "0", $BM$841 = "1" ), 3, 4 ) ) )</f>
        <v>4</v>
      </c>
    </row>
    <row r="842" spans="58:66" x14ac:dyDescent="0.25">
      <c r="BF842" s="1">
        <v>0</v>
      </c>
      <c r="BG842" t="str">
        <f>"0"</f>
        <v>0</v>
      </c>
      <c r="BH842" t="str">
        <f xml:space="preserve"> IF($BF$842 &gt;= $G$204, "1","0")</f>
        <v>0</v>
      </c>
      <c r="BI842">
        <f xml:space="preserve"> IF( AND( $BG$842 = "1", $BH$842 = "1" ), 1, IF( AND( $BG$842 = "1", $BH$842 = "0" ), 2, IF( AND( $BG$842 = "0", $BH$842 = "1" ), 3, 4 ) ) )</f>
        <v>4</v>
      </c>
      <c r="BK842" s="1">
        <v>0.14285714285714285</v>
      </c>
      <c r="BL842" t="str">
        <f>"0"</f>
        <v>0</v>
      </c>
      <c r="BM842" t="str">
        <f xml:space="preserve"> IF($BK$842 &gt;= $G$281, "1","0")</f>
        <v>0</v>
      </c>
      <c r="BN842">
        <f xml:space="preserve"> IF( AND( $BL$842 = "1", $BM$842 = "1" ), 1, IF( AND( $BL$842 = "1", $BM$842 = "0" ), 2, IF( AND( $BL$842 = "0", $BM$842 = "1" ), 3, 4 ) ) )</f>
        <v>4</v>
      </c>
    </row>
    <row r="843" spans="58:66" x14ac:dyDescent="0.25">
      <c r="BF843" s="1">
        <v>0</v>
      </c>
      <c r="BG843" t="str">
        <f>"0"</f>
        <v>0</v>
      </c>
      <c r="BH843" t="str">
        <f xml:space="preserve"> IF($BF$843 &gt;= $G$204, "1","0")</f>
        <v>0</v>
      </c>
      <c r="BI843">
        <f xml:space="preserve"> IF( AND( $BG$843 = "1", $BH$843 = "1" ), 1, IF( AND( $BG$843 = "1", $BH$843 = "0" ), 2, IF( AND( $BG$843 = "0", $BH$843 = "1" ), 3, 4 ) ) )</f>
        <v>4</v>
      </c>
      <c r="BK843" s="1">
        <v>0.90476190476190477</v>
      </c>
      <c r="BL843" t="str">
        <f>"1"</f>
        <v>1</v>
      </c>
      <c r="BM843" t="str">
        <f xml:space="preserve"> IF($BK$843 &gt;= $G$281, "1","0")</f>
        <v>1</v>
      </c>
      <c r="BN843">
        <f xml:space="preserve"> IF( AND( $BL$843 = "1", $BM$843 = "1" ), 1, IF( AND( $BL$843 = "1", $BM$843 = "0" ), 2, IF( AND( $BL$843 = "0", $BM$843 = "1" ), 3, 4 ) ) )</f>
        <v>1</v>
      </c>
    </row>
    <row r="844" spans="58:66" x14ac:dyDescent="0.25">
      <c r="BF844" s="1">
        <v>0</v>
      </c>
      <c r="BG844" t="str">
        <f>"0"</f>
        <v>0</v>
      </c>
      <c r="BH844" t="str">
        <f xml:space="preserve"> IF($BF$844 &gt;= $G$204, "1","0")</f>
        <v>0</v>
      </c>
      <c r="BI844">
        <f xml:space="preserve"> IF( AND( $BG$844 = "1", $BH$844 = "1" ), 1, IF( AND( $BG$844 = "1", $BH$844 = "0" ), 2, IF( AND( $BG$844 = "0", $BH$844 = "1" ), 3, 4 ) ) )</f>
        <v>4</v>
      </c>
      <c r="BK844" s="1">
        <v>1.8947368421052633E-2</v>
      </c>
      <c r="BL844" t="str">
        <f>"0"</f>
        <v>0</v>
      </c>
      <c r="BM844" t="str">
        <f xml:space="preserve"> IF($BK$844 &gt;= $G$281, "1","0")</f>
        <v>0</v>
      </c>
      <c r="BN844">
        <f xml:space="preserve"> IF( AND( $BL$844 = "1", $BM$844 = "1" ), 1, IF( AND( $BL$844 = "1", $BM$844 = "0" ), 2, IF( AND( $BL$844 = "0", $BM$844 = "1" ), 3, 4 ) ) )</f>
        <v>4</v>
      </c>
    </row>
    <row r="845" spans="58:66" x14ac:dyDescent="0.25">
      <c r="BF845" s="1">
        <v>0</v>
      </c>
      <c r="BG845" t="str">
        <f>"0"</f>
        <v>0</v>
      </c>
      <c r="BH845" t="str">
        <f xml:space="preserve"> IF($BF$845 &gt;= $G$204, "1","0")</f>
        <v>0</v>
      </c>
      <c r="BI845">
        <f xml:space="preserve"> IF( AND( $BG$845 = "1", $BH$845 = "1" ), 1, IF( AND( $BG$845 = "1", $BH$845 = "0" ), 2, IF( AND( $BG$845 = "0", $BH$845 = "1" ), 3, 4 ) ) )</f>
        <v>4</v>
      </c>
      <c r="BK845" s="1">
        <v>3.333333333333334E-2</v>
      </c>
      <c r="BL845" t="str">
        <f>"0"</f>
        <v>0</v>
      </c>
      <c r="BM845" t="str">
        <f xml:space="preserve"> IF($BK$845 &gt;= $G$281, "1","0")</f>
        <v>0</v>
      </c>
      <c r="BN845">
        <f xml:space="preserve"> IF( AND( $BL$845 = "1", $BM$845 = "1" ), 1, IF( AND( $BL$845 = "1", $BM$845 = "0" ), 2, IF( AND( $BL$845 = "0", $BM$845 = "1" ), 3, 4 ) ) )</f>
        <v>4</v>
      </c>
    </row>
    <row r="846" spans="58:66" x14ac:dyDescent="0.25">
      <c r="BF846" s="1">
        <v>0</v>
      </c>
      <c r="BG846" t="str">
        <f>"0"</f>
        <v>0</v>
      </c>
      <c r="BH846" t="str">
        <f xml:space="preserve"> IF($BF$846 &gt;= $G$204, "1","0")</f>
        <v>0</v>
      </c>
      <c r="BI846">
        <f xml:space="preserve"> IF( AND( $BG$846 = "1", $BH$846 = "1" ), 1, IF( AND( $BG$846 = "1", $BH$846 = "0" ), 2, IF( AND( $BG$846 = "0", $BH$846 = "1" ), 3, 4 ) ) )</f>
        <v>4</v>
      </c>
      <c r="BK846" s="1">
        <v>1.8947368421052633E-2</v>
      </c>
      <c r="BL846" t="str">
        <f>"0"</f>
        <v>0</v>
      </c>
      <c r="BM846" t="str">
        <f xml:space="preserve"> IF($BK$846 &gt;= $G$281, "1","0")</f>
        <v>0</v>
      </c>
      <c r="BN846">
        <f xml:space="preserve"> IF( AND( $BL$846 = "1", $BM$846 = "1" ), 1, IF( AND( $BL$846 = "1", $BM$846 = "0" ), 2, IF( AND( $BL$846 = "0", $BM$846 = "1" ), 3, 4 ) ) )</f>
        <v>4</v>
      </c>
    </row>
    <row r="847" spans="58:66" x14ac:dyDescent="0.25">
      <c r="BF847" s="1">
        <v>0</v>
      </c>
      <c r="BG847" t="str">
        <f>"0"</f>
        <v>0</v>
      </c>
      <c r="BH847" t="str">
        <f xml:space="preserve"> IF($BF$847 &gt;= $G$204, "1","0")</f>
        <v>0</v>
      </c>
      <c r="BI847">
        <f xml:space="preserve"> IF( AND( $BG$847 = "1", $BH$847 = "1" ), 1, IF( AND( $BG$847 = "1", $BH$847 = "0" ), 2, IF( AND( $BG$847 = "0", $BH$847 = "1" ), 3, 4 ) ) )</f>
        <v>4</v>
      </c>
      <c r="BK847" s="1">
        <v>1.8947368421052633E-2</v>
      </c>
      <c r="BL847" t="str">
        <f>"0"</f>
        <v>0</v>
      </c>
      <c r="BM847" t="str">
        <f xml:space="preserve"> IF($BK$847 &gt;= $G$281, "1","0")</f>
        <v>0</v>
      </c>
      <c r="BN847">
        <f xml:space="preserve"> IF( AND( $BL$847 = "1", $BM$847 = "1" ), 1, IF( AND( $BL$847 = "1", $BM$847 = "0" ), 2, IF( AND( $BL$847 = "0", $BM$847 = "1" ), 3, 4 ) ) )</f>
        <v>4</v>
      </c>
    </row>
    <row r="848" spans="58:66" x14ac:dyDescent="0.25">
      <c r="BF848" s="1">
        <v>0</v>
      </c>
      <c r="BG848" t="str">
        <f>"0"</f>
        <v>0</v>
      </c>
      <c r="BH848" t="str">
        <f xml:space="preserve"> IF($BF$848 &gt;= $G$204, "1","0")</f>
        <v>0</v>
      </c>
      <c r="BI848">
        <f xml:space="preserve"> IF( AND( $BG$848 = "1", $BH$848 = "1" ), 1, IF( AND( $BG$848 = "1", $BH$848 = "0" ), 2, IF( AND( $BG$848 = "0", $BH$848 = "1" ), 3, 4 ) ) )</f>
        <v>4</v>
      </c>
      <c r="BK848" s="1">
        <v>2.5000000000000001E-3</v>
      </c>
      <c r="BL848" t="str">
        <f>"0"</f>
        <v>0</v>
      </c>
      <c r="BM848" t="str">
        <f xml:space="preserve"> IF($BK$848 &gt;= $G$281, "1","0")</f>
        <v>0</v>
      </c>
      <c r="BN848">
        <f xml:space="preserve"> IF( AND( $BL$848 = "1", $BM$848 = "1" ), 1, IF( AND( $BL$848 = "1", $BM$848 = "0" ), 2, IF( AND( $BL$848 = "0", $BM$848 = "1" ), 3, 4 ) ) )</f>
        <v>4</v>
      </c>
    </row>
    <row r="849" spans="58:66" x14ac:dyDescent="0.25">
      <c r="BF849" s="1">
        <v>0</v>
      </c>
      <c r="BG849" t="str">
        <f>"0"</f>
        <v>0</v>
      </c>
      <c r="BH849" t="str">
        <f xml:space="preserve"> IF($BF$849 &gt;= $G$204, "1","0")</f>
        <v>0</v>
      </c>
      <c r="BI849">
        <f xml:space="preserve"> IF( AND( $BG$849 = "1", $BH$849 = "1" ), 1, IF( AND( $BG$849 = "1", $BH$849 = "0" ), 2, IF( AND( $BG$849 = "0", $BH$849 = "1" ), 3, 4 ) ) )</f>
        <v>4</v>
      </c>
      <c r="BK849" s="1">
        <v>1.8947368421052633E-2</v>
      </c>
      <c r="BL849" t="str">
        <f>"0"</f>
        <v>0</v>
      </c>
      <c r="BM849" t="str">
        <f xml:space="preserve"> IF($BK$849 &gt;= $G$281, "1","0")</f>
        <v>0</v>
      </c>
      <c r="BN849">
        <f xml:space="preserve"> IF( AND( $BL$849 = "1", $BM$849 = "1" ), 1, IF( AND( $BL$849 = "1", $BM$849 = "0" ), 2, IF( AND( $BL$849 = "0", $BM$849 = "1" ), 3, 4 ) ) )</f>
        <v>4</v>
      </c>
    </row>
    <row r="850" spans="58:66" x14ac:dyDescent="0.25">
      <c r="BF850" s="1">
        <v>0</v>
      </c>
      <c r="BG850" t="str">
        <f>"0"</f>
        <v>0</v>
      </c>
      <c r="BH850" t="str">
        <f xml:space="preserve"> IF($BF$850 &gt;= $G$204, "1","0")</f>
        <v>0</v>
      </c>
      <c r="BI850">
        <f xml:space="preserve"> IF( AND( $BG$850 = "1", $BH$850 = "1" ), 1, IF( AND( $BG$850 = "1", $BH$850 = "0" ), 2, IF( AND( $BG$850 = "0", $BH$850 = "1" ), 3, 4 ) ) )</f>
        <v>4</v>
      </c>
      <c r="BK850" s="1">
        <v>0</v>
      </c>
      <c r="BL850" t="str">
        <f>"0"</f>
        <v>0</v>
      </c>
      <c r="BM850" t="str">
        <f xml:space="preserve"> IF($BK$850 &gt;= $G$281, "1","0")</f>
        <v>0</v>
      </c>
      <c r="BN850">
        <f xml:space="preserve"> IF( AND( $BL$850 = "1", $BM$850 = "1" ), 1, IF( AND( $BL$850 = "1", $BM$850 = "0" ), 2, IF( AND( $BL$850 = "0", $BM$850 = "1" ), 3, 4 ) ) )</f>
        <v>4</v>
      </c>
    </row>
    <row r="851" spans="58:66" x14ac:dyDescent="0.25">
      <c r="BF851" s="1">
        <v>0</v>
      </c>
      <c r="BG851" t="str">
        <f>"0"</f>
        <v>0</v>
      </c>
      <c r="BH851" t="str">
        <f xml:space="preserve"> IF($BF$851 &gt;= $G$204, "1","0")</f>
        <v>0</v>
      </c>
      <c r="BI851">
        <f xml:space="preserve"> IF( AND( $BG$851 = "1", $BH$851 = "1" ), 1, IF( AND( $BG$851 = "1", $BH$851 = "0" ), 2, IF( AND( $BG$851 = "0", $BH$851 = "1" ), 3, 4 ) ) )</f>
        <v>4</v>
      </c>
      <c r="BK851" s="1">
        <v>3.333333333333334E-2</v>
      </c>
      <c r="BL851" t="str">
        <f>"0"</f>
        <v>0</v>
      </c>
      <c r="BM851" t="str">
        <f xml:space="preserve"> IF($BK$851 &gt;= $G$281, "1","0")</f>
        <v>0</v>
      </c>
      <c r="BN851">
        <f xml:space="preserve"> IF( AND( $BL$851 = "1", $BM$851 = "1" ), 1, IF( AND( $BL$851 = "1", $BM$851 = "0" ), 2, IF( AND( $BL$851 = "0", $BM$851 = "1" ), 3, 4 ) ) )</f>
        <v>4</v>
      </c>
    </row>
    <row r="852" spans="58:66" x14ac:dyDescent="0.25">
      <c r="BF852" s="1">
        <v>0</v>
      </c>
      <c r="BG852" t="str">
        <f>"0"</f>
        <v>0</v>
      </c>
      <c r="BH852" t="str">
        <f xml:space="preserve"> IF($BF$852 &gt;= $G$204, "1","0")</f>
        <v>0</v>
      </c>
      <c r="BI852">
        <f xml:space="preserve"> IF( AND( $BG$852 = "1", $BH$852 = "1" ), 1, IF( AND( $BG$852 = "1", $BH$852 = "0" ), 2, IF( AND( $BG$852 = "0", $BH$852 = "1" ), 3, 4 ) ) )</f>
        <v>4</v>
      </c>
      <c r="BK852" s="1">
        <v>1.8947368421052633E-2</v>
      </c>
      <c r="BL852" t="str">
        <f>"0"</f>
        <v>0</v>
      </c>
      <c r="BM852" t="str">
        <f xml:space="preserve"> IF($BK$852 &gt;= $G$281, "1","0")</f>
        <v>0</v>
      </c>
      <c r="BN852">
        <f xml:space="preserve"> IF( AND( $BL$852 = "1", $BM$852 = "1" ), 1, IF( AND( $BL$852 = "1", $BM$852 = "0" ), 2, IF( AND( $BL$852 = "0", $BM$852 = "1" ), 3, 4 ) ) )</f>
        <v>4</v>
      </c>
    </row>
    <row r="853" spans="58:66" x14ac:dyDescent="0.25">
      <c r="BF853" s="1">
        <v>0</v>
      </c>
      <c r="BG853" t="str">
        <f>"0"</f>
        <v>0</v>
      </c>
      <c r="BH853" t="str">
        <f xml:space="preserve"> IF($BF$853 &gt;= $G$204, "1","0")</f>
        <v>0</v>
      </c>
      <c r="BI853">
        <f xml:space="preserve"> IF( AND( $BG$853 = "1", $BH$853 = "1" ), 1, IF( AND( $BG$853 = "1", $BH$853 = "0" ), 2, IF( AND( $BG$853 = "0", $BH$853 = "1" ), 3, 4 ) ) )</f>
        <v>4</v>
      </c>
      <c r="BK853" s="1">
        <v>1.8947368421052633E-2</v>
      </c>
      <c r="BL853" t="str">
        <f>"0"</f>
        <v>0</v>
      </c>
      <c r="BM853" t="str">
        <f xml:space="preserve"> IF($BK$853 &gt;= $G$281, "1","0")</f>
        <v>0</v>
      </c>
      <c r="BN853">
        <f xml:space="preserve"> IF( AND( $BL$853 = "1", $BM$853 = "1" ), 1, IF( AND( $BL$853 = "1", $BM$853 = "0" ), 2, IF( AND( $BL$853 = "0", $BM$853 = "1" ), 3, 4 ) ) )</f>
        <v>4</v>
      </c>
    </row>
    <row r="854" spans="58:66" x14ac:dyDescent="0.25">
      <c r="BF854" s="1">
        <v>0</v>
      </c>
      <c r="BG854" t="str">
        <f>"0"</f>
        <v>0</v>
      </c>
      <c r="BH854" t="str">
        <f xml:space="preserve"> IF($BF$854 &gt;= $G$204, "1","0")</f>
        <v>0</v>
      </c>
      <c r="BI854">
        <f xml:space="preserve"> IF( AND( $BG$854 = "1", $BH$854 = "1" ), 1, IF( AND( $BG$854 = "1", $BH$854 = "0" ), 2, IF( AND( $BG$854 = "0", $BH$854 = "1" ), 3, 4 ) ) )</f>
        <v>4</v>
      </c>
      <c r="BK854" s="1">
        <v>1</v>
      </c>
      <c r="BL854" t="str">
        <f>"1"</f>
        <v>1</v>
      </c>
      <c r="BM854" t="str">
        <f xml:space="preserve"> IF($BK$854 &gt;= $G$281, "1","0")</f>
        <v>1</v>
      </c>
      <c r="BN854">
        <f xml:space="preserve"> IF( AND( $BL$854 = "1", $BM$854 = "1" ), 1, IF( AND( $BL$854 = "1", $BM$854 = "0" ), 2, IF( AND( $BL$854 = "0", $BM$854 = "1" ), 3, 4 ) ) )</f>
        <v>1</v>
      </c>
    </row>
    <row r="855" spans="58:66" x14ac:dyDescent="0.25">
      <c r="BF855" s="1">
        <v>0</v>
      </c>
      <c r="BG855" t="str">
        <f>"0"</f>
        <v>0</v>
      </c>
      <c r="BH855" t="str">
        <f xml:space="preserve"> IF($BF$855 &gt;= $G$204, "1","0")</f>
        <v>0</v>
      </c>
      <c r="BI855">
        <f xml:space="preserve"> IF( AND( $BG$855 = "1", $BH$855 = "1" ), 1, IF( AND( $BG$855 = "1", $BH$855 = "0" ), 2, IF( AND( $BG$855 = "0", $BH$855 = "1" ), 3, 4 ) ) )</f>
        <v>4</v>
      </c>
      <c r="BK855" s="1">
        <v>2.5000000000000001E-3</v>
      </c>
      <c r="BL855" t="str">
        <f>"0"</f>
        <v>0</v>
      </c>
      <c r="BM855" t="str">
        <f xml:space="preserve"> IF($BK$855 &gt;= $G$281, "1","0")</f>
        <v>0</v>
      </c>
      <c r="BN855">
        <f xml:space="preserve"> IF( AND( $BL$855 = "1", $BM$855 = "1" ), 1, IF( AND( $BL$855 = "1", $BM$855 = "0" ), 2, IF( AND( $BL$855 = "0", $BM$855 = "1" ), 3, 4 ) ) )</f>
        <v>4</v>
      </c>
    </row>
    <row r="856" spans="58:66" x14ac:dyDescent="0.25">
      <c r="BF856" s="1">
        <v>0</v>
      </c>
      <c r="BG856" t="str">
        <f>"0"</f>
        <v>0</v>
      </c>
      <c r="BH856" t="str">
        <f xml:space="preserve"> IF($BF$856 &gt;= $G$204, "1","0")</f>
        <v>0</v>
      </c>
      <c r="BI856">
        <f xml:space="preserve"> IF( AND( $BG$856 = "1", $BH$856 = "1" ), 1, IF( AND( $BG$856 = "1", $BH$856 = "0" ), 2, IF( AND( $BG$856 = "0", $BH$856 = "1" ), 3, 4 ) ) )</f>
        <v>4</v>
      </c>
      <c r="BK856" s="1">
        <v>0.64</v>
      </c>
      <c r="BL856" t="str">
        <f>"1"</f>
        <v>1</v>
      </c>
      <c r="BM856" t="str">
        <f xml:space="preserve"> IF($BK$856 &gt;= $G$281, "1","0")</f>
        <v>1</v>
      </c>
      <c r="BN856">
        <f xml:space="preserve"> IF( AND( $BL$856 = "1", $BM$856 = "1" ), 1, IF( AND( $BL$856 = "1", $BM$856 = "0" ), 2, IF( AND( $BL$856 = "0", $BM$856 = "1" ), 3, 4 ) ) )</f>
        <v>1</v>
      </c>
    </row>
    <row r="857" spans="58:66" x14ac:dyDescent="0.25">
      <c r="BF857" s="1">
        <v>0</v>
      </c>
      <c r="BG857" t="str">
        <f>"0"</f>
        <v>0</v>
      </c>
      <c r="BH857" t="str">
        <f xml:space="preserve"> IF($BF$857 &gt;= $G$204, "1","0")</f>
        <v>0</v>
      </c>
      <c r="BI857">
        <f xml:space="preserve"> IF( AND( $BG$857 = "1", $BH$857 = "1" ), 1, IF( AND( $BG$857 = "1", $BH$857 = "0" ), 2, IF( AND( $BG$857 = "0", $BH$857 = "1" ), 3, 4 ) ) )</f>
        <v>4</v>
      </c>
      <c r="BK857" s="1">
        <v>1.8947368421052633E-2</v>
      </c>
      <c r="BL857" t="str">
        <f>"0"</f>
        <v>0</v>
      </c>
      <c r="BM857" t="str">
        <f xml:space="preserve"> IF($BK$857 &gt;= $G$281, "1","0")</f>
        <v>0</v>
      </c>
      <c r="BN857">
        <f xml:space="preserve"> IF( AND( $BL$857 = "1", $BM$857 = "1" ), 1, IF( AND( $BL$857 = "1", $BM$857 = "0" ), 2, IF( AND( $BL$857 = "0", $BM$857 = "1" ), 3, 4 ) ) )</f>
        <v>4</v>
      </c>
    </row>
    <row r="858" spans="58:66" x14ac:dyDescent="0.25">
      <c r="BF858" s="1">
        <v>0</v>
      </c>
      <c r="BG858" t="str">
        <f>"0"</f>
        <v>0</v>
      </c>
      <c r="BH858" t="str">
        <f xml:space="preserve"> IF($BF$858 &gt;= $G$204, "1","0")</f>
        <v>0</v>
      </c>
      <c r="BI858">
        <f xml:space="preserve"> IF( AND( $BG$858 = "1", $BH$858 = "1" ), 1, IF( AND( $BG$858 = "1", $BH$858 = "0" ), 2, IF( AND( $BG$858 = "0", $BH$858 = "1" ), 3, 4 ) ) )</f>
        <v>4</v>
      </c>
      <c r="BK858" s="1">
        <v>1.8947368421052633E-2</v>
      </c>
      <c r="BL858" t="str">
        <f>"1"</f>
        <v>1</v>
      </c>
      <c r="BM858" t="str">
        <f xml:space="preserve"> IF($BK$858 &gt;= $G$281, "1","0")</f>
        <v>0</v>
      </c>
      <c r="BN858">
        <f xml:space="preserve"> IF( AND( $BL$858 = "1", $BM$858 = "1" ), 1, IF( AND( $BL$858 = "1", $BM$858 = "0" ), 2, IF( AND( $BL$858 = "0", $BM$858 = "1" ), 3, 4 ) ) )</f>
        <v>2</v>
      </c>
    </row>
    <row r="859" spans="58:66" x14ac:dyDescent="0.25">
      <c r="BF859" s="1">
        <v>0</v>
      </c>
      <c r="BG859" t="str">
        <f>"0"</f>
        <v>0</v>
      </c>
      <c r="BH859" t="str">
        <f xml:space="preserve"> IF($BF$859 &gt;= $G$204, "1","0")</f>
        <v>0</v>
      </c>
      <c r="BI859">
        <f xml:space="preserve"> IF( AND( $BG$859 = "1", $BH$859 = "1" ), 1, IF( AND( $BG$859 = "1", $BH$859 = "0" ), 2, IF( AND( $BG$859 = "0", $BH$859 = "1" ), 3, 4 ) ) )</f>
        <v>4</v>
      </c>
      <c r="BK859" s="1">
        <v>0.37500000000000006</v>
      </c>
      <c r="BL859" t="str">
        <f>"1"</f>
        <v>1</v>
      </c>
      <c r="BM859" t="str">
        <f xml:space="preserve"> IF($BK$859 &gt;= $G$281, "1","0")</f>
        <v>1</v>
      </c>
      <c r="BN859">
        <f xml:space="preserve"> IF( AND( $BL$859 = "1", $BM$859 = "1" ), 1, IF( AND( $BL$859 = "1", $BM$859 = "0" ), 2, IF( AND( $BL$859 = "0", $BM$859 = "1" ), 3, 4 ) ) )</f>
        <v>1</v>
      </c>
    </row>
    <row r="860" spans="58:66" x14ac:dyDescent="0.25">
      <c r="BF860" s="1">
        <v>0</v>
      </c>
      <c r="BG860" t="str">
        <f>"0"</f>
        <v>0</v>
      </c>
      <c r="BH860" t="str">
        <f xml:space="preserve"> IF($BF$860 &gt;= $G$204, "1","0")</f>
        <v>0</v>
      </c>
      <c r="BI860">
        <f xml:space="preserve"> IF( AND( $BG$860 = "1", $BH$860 = "1" ), 1, IF( AND( $BG$860 = "1", $BH$860 = "0" ), 2, IF( AND( $BG$860 = "0", $BH$860 = "1" ), 3, 4 ) ) )</f>
        <v>4</v>
      </c>
      <c r="BK860" s="1">
        <v>1.8947368421052633E-2</v>
      </c>
      <c r="BL860" t="str">
        <f>"0"</f>
        <v>0</v>
      </c>
      <c r="BM860" t="str">
        <f xml:space="preserve"> IF($BK$860 &gt;= $G$281, "1","0")</f>
        <v>0</v>
      </c>
      <c r="BN860">
        <f xml:space="preserve"> IF( AND( $BL$860 = "1", $BM$860 = "1" ), 1, IF( AND( $BL$860 = "1", $BM$860 = "0" ), 2, IF( AND( $BL$860 = "0", $BM$860 = "1" ), 3, 4 ) ) )</f>
        <v>4</v>
      </c>
    </row>
    <row r="861" spans="58:66" x14ac:dyDescent="0.25">
      <c r="BF861" s="1">
        <v>0</v>
      </c>
      <c r="BG861" t="str">
        <f>"0"</f>
        <v>0</v>
      </c>
      <c r="BH861" t="str">
        <f xml:space="preserve"> IF($BF$861 &gt;= $G$204, "1","0")</f>
        <v>0</v>
      </c>
      <c r="BI861">
        <f xml:space="preserve"> IF( AND( $BG$861 = "1", $BH$861 = "1" ), 1, IF( AND( $BG$861 = "1", $BH$861 = "0" ), 2, IF( AND( $BG$861 = "0", $BH$861 = "1" ), 3, 4 ) ) )</f>
        <v>4</v>
      </c>
      <c r="BK861" s="1">
        <v>2.5000000000000001E-3</v>
      </c>
      <c r="BL861" t="str">
        <f>"0"</f>
        <v>0</v>
      </c>
      <c r="BM861" t="str">
        <f xml:space="preserve"> IF($BK$861 &gt;= $G$281, "1","0")</f>
        <v>0</v>
      </c>
      <c r="BN861">
        <f xml:space="preserve"> IF( AND( $BL$861 = "1", $BM$861 = "1" ), 1, IF( AND( $BL$861 = "1", $BM$861 = "0" ), 2, IF( AND( $BL$861 = "0", $BM$861 = "1" ), 3, 4 ) ) )</f>
        <v>4</v>
      </c>
    </row>
    <row r="862" spans="58:66" x14ac:dyDescent="0.25">
      <c r="BF862" s="1">
        <v>0</v>
      </c>
      <c r="BG862" t="str">
        <f>"0"</f>
        <v>0</v>
      </c>
      <c r="BH862" t="str">
        <f xml:space="preserve"> IF($BF$862 &gt;= $G$204, "1","0")</f>
        <v>0</v>
      </c>
      <c r="BI862">
        <f xml:space="preserve"> IF( AND( $BG$862 = "1", $BH$862 = "1" ), 1, IF( AND( $BG$862 = "1", $BH$862 = "0" ), 2, IF( AND( $BG$862 = "0", $BH$862 = "1" ), 3, 4 ) ) )</f>
        <v>4</v>
      </c>
      <c r="BK862" s="1">
        <v>0</v>
      </c>
      <c r="BL862" t="str">
        <f>"0"</f>
        <v>0</v>
      </c>
      <c r="BM862" t="str">
        <f xml:space="preserve"> IF($BK$862 &gt;= $G$281, "1","0")</f>
        <v>0</v>
      </c>
      <c r="BN862">
        <f xml:space="preserve"> IF( AND( $BL$862 = "1", $BM$862 = "1" ), 1, IF( AND( $BL$862 = "1", $BM$862 = "0" ), 2, IF( AND( $BL$862 = "0", $BM$862 = "1" ), 3, 4 ) ) )</f>
        <v>4</v>
      </c>
    </row>
    <row r="863" spans="58:66" x14ac:dyDescent="0.25">
      <c r="BF863" s="1">
        <v>0</v>
      </c>
      <c r="BG863" t="str">
        <f>"0"</f>
        <v>0</v>
      </c>
      <c r="BH863" t="str">
        <f xml:space="preserve"> IF($BF$863 &gt;= $G$204, "1","0")</f>
        <v>0</v>
      </c>
      <c r="BI863">
        <f xml:space="preserve"> IF( AND( $BG$863 = "1", $BH$863 = "1" ), 1, IF( AND( $BG$863 = "1", $BH$863 = "0" ), 2, IF( AND( $BG$863 = "0", $BH$863 = "1" ), 3, 4 ) ) )</f>
        <v>4</v>
      </c>
      <c r="BK863" s="1">
        <v>2.5000000000000001E-3</v>
      </c>
      <c r="BL863" t="str">
        <f>"0"</f>
        <v>0</v>
      </c>
      <c r="BM863" t="str">
        <f xml:space="preserve"> IF($BK$863 &gt;= $G$281, "1","0")</f>
        <v>0</v>
      </c>
      <c r="BN863">
        <f xml:space="preserve"> IF( AND( $BL$863 = "1", $BM$863 = "1" ), 1, IF( AND( $BL$863 = "1", $BM$863 = "0" ), 2, IF( AND( $BL$863 = "0", $BM$863 = "1" ), 3, 4 ) ) )</f>
        <v>4</v>
      </c>
    </row>
    <row r="864" spans="58:66" x14ac:dyDescent="0.25">
      <c r="BF864" s="1">
        <v>0</v>
      </c>
      <c r="BG864" t="str">
        <f>"0"</f>
        <v>0</v>
      </c>
      <c r="BH864" t="str">
        <f xml:space="preserve"> IF($BF$864 &gt;= $G$204, "1","0")</f>
        <v>0</v>
      </c>
      <c r="BI864">
        <f xml:space="preserve"> IF( AND( $BG$864 = "1", $BH$864 = "1" ), 1, IF( AND( $BG$864 = "1", $BH$864 = "0" ), 2, IF( AND( $BG$864 = "0", $BH$864 = "1" ), 3, 4 ) ) )</f>
        <v>4</v>
      </c>
      <c r="BK864" s="1">
        <v>0.68181818181818188</v>
      </c>
      <c r="BL864" t="str">
        <f>"1"</f>
        <v>1</v>
      </c>
      <c r="BM864" t="str">
        <f xml:space="preserve"> IF($BK$864 &gt;= $G$281, "1","0")</f>
        <v>1</v>
      </c>
      <c r="BN864">
        <f xml:space="preserve"> IF( AND( $BL$864 = "1", $BM$864 = "1" ), 1, IF( AND( $BL$864 = "1", $BM$864 = "0" ), 2, IF( AND( $BL$864 = "0", $BM$864 = "1" ), 3, 4 ) ) )</f>
        <v>1</v>
      </c>
    </row>
    <row r="865" spans="58:66" x14ac:dyDescent="0.25">
      <c r="BF865" s="1">
        <v>0</v>
      </c>
      <c r="BG865" t="str">
        <f>"0"</f>
        <v>0</v>
      </c>
      <c r="BH865" t="str">
        <f xml:space="preserve"> IF($BF$865 &gt;= $G$204, "1","0")</f>
        <v>0</v>
      </c>
      <c r="BI865">
        <f xml:space="preserve"> IF( AND( $BG$865 = "1", $BH$865 = "1" ), 1, IF( AND( $BG$865 = "1", $BH$865 = "0" ), 2, IF( AND( $BG$865 = "0", $BH$865 = "1" ), 3, 4 ) ) )</f>
        <v>4</v>
      </c>
      <c r="BK865" s="1">
        <v>1.8947368421052633E-2</v>
      </c>
      <c r="BL865" t="str">
        <f>"1"</f>
        <v>1</v>
      </c>
      <c r="BM865" t="str">
        <f xml:space="preserve"> IF($BK$865 &gt;= $G$281, "1","0")</f>
        <v>0</v>
      </c>
      <c r="BN865">
        <f xml:space="preserve"> IF( AND( $BL$865 = "1", $BM$865 = "1" ), 1, IF( AND( $BL$865 = "1", $BM$865 = "0" ), 2, IF( AND( $BL$865 = "0", $BM$865 = "1" ), 3, 4 ) ) )</f>
        <v>2</v>
      </c>
    </row>
    <row r="866" spans="58:66" x14ac:dyDescent="0.25">
      <c r="BF866" s="1">
        <v>0</v>
      </c>
      <c r="BG866" t="str">
        <f>"0"</f>
        <v>0</v>
      </c>
      <c r="BH866" t="str">
        <f xml:space="preserve"> IF($BF$866 &gt;= $G$204, "1","0")</f>
        <v>0</v>
      </c>
      <c r="BI866">
        <f xml:space="preserve"> IF( AND( $BG$866 = "1", $BH$866 = "1" ), 1, IF( AND( $BG$866 = "1", $BH$866 = "0" ), 2, IF( AND( $BG$866 = "0", $BH$866 = "1" ), 3, 4 ) ) )</f>
        <v>4</v>
      </c>
      <c r="BK866" s="1">
        <v>0</v>
      </c>
      <c r="BL866" t="str">
        <f>"0"</f>
        <v>0</v>
      </c>
      <c r="BM866" t="str">
        <f xml:space="preserve"> IF($BK$866 &gt;= $G$281, "1","0")</f>
        <v>0</v>
      </c>
      <c r="BN866">
        <f xml:space="preserve"> IF( AND( $BL$866 = "1", $BM$866 = "1" ), 1, IF( AND( $BL$866 = "1", $BM$866 = "0" ), 2, IF( AND( $BL$866 = "0", $BM$866 = "1" ), 3, 4 ) ) )</f>
        <v>4</v>
      </c>
    </row>
    <row r="867" spans="58:66" x14ac:dyDescent="0.25">
      <c r="BF867" s="1">
        <v>0</v>
      </c>
      <c r="BG867" t="str">
        <f>"0"</f>
        <v>0</v>
      </c>
      <c r="BH867" t="str">
        <f xml:space="preserve"> IF($BF$867 &gt;= $G$204, "1","0")</f>
        <v>0</v>
      </c>
      <c r="BI867">
        <f xml:space="preserve"> IF( AND( $BG$867 = "1", $BH$867 = "1" ), 1, IF( AND( $BG$867 = "1", $BH$867 = "0" ), 2, IF( AND( $BG$867 = "0", $BH$867 = "1" ), 3, 4 ) ) )</f>
        <v>4</v>
      </c>
      <c r="BK867" s="1">
        <v>2.5000000000000001E-3</v>
      </c>
      <c r="BL867" t="str">
        <f>"0"</f>
        <v>0</v>
      </c>
      <c r="BM867" t="str">
        <f xml:space="preserve"> IF($BK$867 &gt;= $G$281, "1","0")</f>
        <v>0</v>
      </c>
      <c r="BN867">
        <f xml:space="preserve"> IF( AND( $BL$867 = "1", $BM$867 = "1" ), 1, IF( AND( $BL$867 = "1", $BM$867 = "0" ), 2, IF( AND( $BL$867 = "0", $BM$867 = "1" ), 3, 4 ) ) )</f>
        <v>4</v>
      </c>
    </row>
    <row r="868" spans="58:66" x14ac:dyDescent="0.25">
      <c r="BF868" s="1">
        <v>0</v>
      </c>
      <c r="BG868" t="str">
        <f>"0"</f>
        <v>0</v>
      </c>
      <c r="BH868" t="str">
        <f xml:space="preserve"> IF($BF$868 &gt;= $G$204, "1","0")</f>
        <v>0</v>
      </c>
      <c r="BI868">
        <f xml:space="preserve"> IF( AND( $BG$868 = "1", $BH$868 = "1" ), 1, IF( AND( $BG$868 = "1", $BH$868 = "0" ), 2, IF( AND( $BG$868 = "0", $BH$868 = "1" ), 3, 4 ) ) )</f>
        <v>4</v>
      </c>
      <c r="BK868" s="1">
        <v>0.14285714285714285</v>
      </c>
      <c r="BL868" t="str">
        <f>"1"</f>
        <v>1</v>
      </c>
      <c r="BM868" t="str">
        <f xml:space="preserve"> IF($BK$868 &gt;= $G$281, "1","0")</f>
        <v>0</v>
      </c>
      <c r="BN868">
        <f xml:space="preserve"> IF( AND( $BL$868 = "1", $BM$868 = "1" ), 1, IF( AND( $BL$868 = "1", $BM$868 = "0" ), 2, IF( AND( $BL$868 = "0", $BM$868 = "1" ), 3, 4 ) ) )</f>
        <v>2</v>
      </c>
    </row>
    <row r="869" spans="58:66" x14ac:dyDescent="0.25">
      <c r="BF869" s="1">
        <v>0</v>
      </c>
      <c r="BG869" t="str">
        <f>"0"</f>
        <v>0</v>
      </c>
      <c r="BH869" t="str">
        <f xml:space="preserve"> IF($BF$869 &gt;= $G$204, "1","0")</f>
        <v>0</v>
      </c>
      <c r="BI869">
        <f xml:space="preserve"> IF( AND( $BG$869 = "1", $BH$869 = "1" ), 1, IF( AND( $BG$869 = "1", $BH$869 = "0" ), 2, IF( AND( $BG$869 = "0", $BH$869 = "1" ), 3, 4 ) ) )</f>
        <v>4</v>
      </c>
      <c r="BK869" s="1">
        <v>1</v>
      </c>
      <c r="BL869" t="str">
        <f>"1"</f>
        <v>1</v>
      </c>
      <c r="BM869" t="str">
        <f xml:space="preserve"> IF($BK$869 &gt;= $G$281, "1","0")</f>
        <v>1</v>
      </c>
      <c r="BN869">
        <f xml:space="preserve"> IF( AND( $BL$869 = "1", $BM$869 = "1" ), 1, IF( AND( $BL$869 = "1", $BM$869 = "0" ), 2, IF( AND( $BL$869 = "0", $BM$869 = "1" ), 3, 4 ) ) )</f>
        <v>1</v>
      </c>
    </row>
    <row r="870" spans="58:66" x14ac:dyDescent="0.25">
      <c r="BF870" s="1">
        <v>0</v>
      </c>
      <c r="BG870" t="str">
        <f>"0"</f>
        <v>0</v>
      </c>
      <c r="BH870" t="str">
        <f xml:space="preserve"> IF($BF$870 &gt;= $G$204, "1","0")</f>
        <v>0</v>
      </c>
      <c r="BI870">
        <f xml:space="preserve"> IF( AND( $BG$870 = "1", $BH$870 = "1" ), 1, IF( AND( $BG$870 = "1", $BH$870 = "0" ), 2, IF( AND( $BG$870 = "0", $BH$870 = "1" ), 3, 4 ) ) )</f>
        <v>4</v>
      </c>
      <c r="BK870" s="1">
        <v>3.333333333333334E-2</v>
      </c>
      <c r="BL870" t="str">
        <f>"0"</f>
        <v>0</v>
      </c>
      <c r="BM870" t="str">
        <f xml:space="preserve"> IF($BK$870 &gt;= $G$281, "1","0")</f>
        <v>0</v>
      </c>
      <c r="BN870">
        <f xml:space="preserve"> IF( AND( $BL$870 = "1", $BM$870 = "1" ), 1, IF( AND( $BL$870 = "1", $BM$870 = "0" ), 2, IF( AND( $BL$870 = "0", $BM$870 = "1" ), 3, 4 ) ) )</f>
        <v>4</v>
      </c>
    </row>
    <row r="871" spans="58:66" x14ac:dyDescent="0.25">
      <c r="BF871" s="1">
        <v>0</v>
      </c>
      <c r="BG871" t="str">
        <f>"0"</f>
        <v>0</v>
      </c>
      <c r="BH871" t="str">
        <f xml:space="preserve"> IF($BF$871 &gt;= $G$204, "1","0")</f>
        <v>0</v>
      </c>
      <c r="BI871">
        <f xml:space="preserve"> IF( AND( $BG$871 = "1", $BH$871 = "1" ), 1, IF( AND( $BG$871 = "1", $BH$871 = "0" ), 2, IF( AND( $BG$871 = "0", $BH$871 = "1" ), 3, 4 ) ) )</f>
        <v>4</v>
      </c>
      <c r="BK871" s="1">
        <v>2.5000000000000001E-3</v>
      </c>
      <c r="BL871" t="str">
        <f>"0"</f>
        <v>0</v>
      </c>
      <c r="BM871" t="str">
        <f xml:space="preserve"> IF($BK$871 &gt;= $G$281, "1","0")</f>
        <v>0</v>
      </c>
      <c r="BN871">
        <f xml:space="preserve"> IF( AND( $BL$871 = "1", $BM$871 = "1" ), 1, IF( AND( $BL$871 = "1", $BM$871 = "0" ), 2, IF( AND( $BL$871 = "0", $BM$871 = "1" ), 3, 4 ) ) )</f>
        <v>4</v>
      </c>
    </row>
    <row r="872" spans="58:66" x14ac:dyDescent="0.25">
      <c r="BF872" s="1">
        <v>0</v>
      </c>
      <c r="BG872" t="str">
        <f>"0"</f>
        <v>0</v>
      </c>
      <c r="BH872" t="str">
        <f xml:space="preserve"> IF($BF$872 &gt;= $G$204, "1","0")</f>
        <v>0</v>
      </c>
      <c r="BI872">
        <f xml:space="preserve"> IF( AND( $BG$872 = "1", $BH$872 = "1" ), 1, IF( AND( $BG$872 = "1", $BH$872 = "0" ), 2, IF( AND( $BG$872 = "0", $BH$872 = "1" ), 3, 4 ) ) )</f>
        <v>4</v>
      </c>
      <c r="BK872" s="1">
        <v>0.90476190476190477</v>
      </c>
      <c r="BL872" t="str">
        <f>"1"</f>
        <v>1</v>
      </c>
      <c r="BM872" t="str">
        <f xml:space="preserve"> IF($BK$872 &gt;= $G$281, "1","0")</f>
        <v>1</v>
      </c>
      <c r="BN872">
        <f xml:space="preserve"> IF( AND( $BL$872 = "1", $BM$872 = "1" ), 1, IF( AND( $BL$872 = "1", $BM$872 = "0" ), 2, IF( AND( $BL$872 = "0", $BM$872 = "1" ), 3, 4 ) ) )</f>
        <v>1</v>
      </c>
    </row>
    <row r="873" spans="58:66" x14ac:dyDescent="0.25">
      <c r="BF873" s="1">
        <v>0</v>
      </c>
      <c r="BG873" t="str">
        <f>"0"</f>
        <v>0</v>
      </c>
      <c r="BH873" t="str">
        <f xml:space="preserve"> IF($BF$873 &gt;= $G$204, "1","0")</f>
        <v>0</v>
      </c>
      <c r="BI873">
        <f xml:space="preserve"> IF( AND( $BG$873 = "1", $BH$873 = "1" ), 1, IF( AND( $BG$873 = "1", $BH$873 = "0" ), 2, IF( AND( $BG$873 = "0", $BH$873 = "1" ), 3, 4 ) ) )</f>
        <v>4</v>
      </c>
      <c r="BK873" s="1">
        <v>0.37500000000000006</v>
      </c>
      <c r="BL873" t="str">
        <f>"0"</f>
        <v>0</v>
      </c>
      <c r="BM873" t="str">
        <f xml:space="preserve"> IF($BK$873 &gt;= $G$281, "1","0")</f>
        <v>1</v>
      </c>
      <c r="BN873">
        <f xml:space="preserve"> IF( AND( $BL$873 = "1", $BM$873 = "1" ), 1, IF( AND( $BL$873 = "1", $BM$873 = "0" ), 2, IF( AND( $BL$873 = "0", $BM$873 = "1" ), 3, 4 ) ) )</f>
        <v>3</v>
      </c>
    </row>
    <row r="874" spans="58:66" x14ac:dyDescent="0.25">
      <c r="BF874" s="1">
        <v>0</v>
      </c>
      <c r="BG874" t="str">
        <f>"0"</f>
        <v>0</v>
      </c>
      <c r="BH874" t="str">
        <f xml:space="preserve"> IF($BF$874 &gt;= $G$204, "1","0")</f>
        <v>0</v>
      </c>
      <c r="BI874">
        <f xml:space="preserve"> IF( AND( $BG$874 = "1", $BH$874 = "1" ), 1, IF( AND( $BG$874 = "1", $BH$874 = "0" ), 2, IF( AND( $BG$874 = "0", $BH$874 = "1" ), 3, 4 ) ) )</f>
        <v>4</v>
      </c>
      <c r="BK874" s="1">
        <v>2.5000000000000001E-3</v>
      </c>
      <c r="BL874" t="str">
        <f>"0"</f>
        <v>0</v>
      </c>
      <c r="BM874" t="str">
        <f xml:space="preserve"> IF($BK$874 &gt;= $G$281, "1","0")</f>
        <v>0</v>
      </c>
      <c r="BN874">
        <f xml:space="preserve"> IF( AND( $BL$874 = "1", $BM$874 = "1" ), 1, IF( AND( $BL$874 = "1", $BM$874 = "0" ), 2, IF( AND( $BL$874 = "0", $BM$874 = "1" ), 3, 4 ) ) )</f>
        <v>4</v>
      </c>
    </row>
    <row r="875" spans="58:66" x14ac:dyDescent="0.25">
      <c r="BF875" s="1">
        <v>0</v>
      </c>
      <c r="BG875" t="str">
        <f>"0"</f>
        <v>0</v>
      </c>
      <c r="BH875" t="str">
        <f xml:space="preserve"> IF($BF$875 &gt;= $G$204, "1","0")</f>
        <v>0</v>
      </c>
      <c r="BI875">
        <f xml:space="preserve"> IF( AND( $BG$875 = "1", $BH$875 = "1" ), 1, IF( AND( $BG$875 = "1", $BH$875 = "0" ), 2, IF( AND( $BG$875 = "0", $BH$875 = "1" ), 3, 4 ) ) )</f>
        <v>4</v>
      </c>
      <c r="BK875" s="1">
        <v>0</v>
      </c>
      <c r="BL875" t="str">
        <f>"0"</f>
        <v>0</v>
      </c>
      <c r="BM875" t="str">
        <f xml:space="preserve"> IF($BK$875 &gt;= $G$281, "1","0")</f>
        <v>0</v>
      </c>
      <c r="BN875">
        <f xml:space="preserve"> IF( AND( $BL$875 = "1", $BM$875 = "1" ), 1, IF( AND( $BL$875 = "1", $BM$875 = "0" ), 2, IF( AND( $BL$875 = "0", $BM$875 = "1" ), 3, 4 ) ) )</f>
        <v>4</v>
      </c>
    </row>
    <row r="876" spans="58:66" x14ac:dyDescent="0.25">
      <c r="BF876" s="1">
        <v>0</v>
      </c>
      <c r="BG876" t="str">
        <f>"0"</f>
        <v>0</v>
      </c>
      <c r="BH876" t="str">
        <f xml:space="preserve"> IF($BF$876 &gt;= $G$204, "1","0")</f>
        <v>0</v>
      </c>
      <c r="BI876">
        <f xml:space="preserve"> IF( AND( $BG$876 = "1", $BH$876 = "1" ), 1, IF( AND( $BG$876 = "1", $BH$876 = "0" ), 2, IF( AND( $BG$876 = "0", $BH$876 = "1" ), 3, 4 ) ) )</f>
        <v>4</v>
      </c>
      <c r="BK876" s="1">
        <v>1.8947368421052633E-2</v>
      </c>
      <c r="BL876" t="str">
        <f>"0"</f>
        <v>0</v>
      </c>
      <c r="BM876" t="str">
        <f xml:space="preserve"> IF($BK$876 &gt;= $G$281, "1","0")</f>
        <v>0</v>
      </c>
      <c r="BN876">
        <f xml:space="preserve"> IF( AND( $BL$876 = "1", $BM$876 = "1" ), 1, IF( AND( $BL$876 = "1", $BM$876 = "0" ), 2, IF( AND( $BL$876 = "0", $BM$876 = "1" ), 3, 4 ) ) )</f>
        <v>4</v>
      </c>
    </row>
    <row r="877" spans="58:66" x14ac:dyDescent="0.25">
      <c r="BF877" s="1">
        <v>0</v>
      </c>
      <c r="BG877" t="str">
        <f>"0"</f>
        <v>0</v>
      </c>
      <c r="BH877" t="str">
        <f xml:space="preserve"> IF($BF$877 &gt;= $G$204, "1","0")</f>
        <v>0</v>
      </c>
      <c r="BI877">
        <f xml:space="preserve"> IF( AND( $BG$877 = "1", $BH$877 = "1" ), 1, IF( AND( $BG$877 = "1", $BH$877 = "0" ), 2, IF( AND( $BG$877 = "0", $BH$877 = "1" ), 3, 4 ) ) )</f>
        <v>4</v>
      </c>
      <c r="BK877" s="1">
        <v>2.5000000000000001E-3</v>
      </c>
      <c r="BL877" t="str">
        <f>"0"</f>
        <v>0</v>
      </c>
      <c r="BM877" t="str">
        <f xml:space="preserve"> IF($BK$877 &gt;= $G$281, "1","0")</f>
        <v>0</v>
      </c>
      <c r="BN877">
        <f xml:space="preserve"> IF( AND( $BL$877 = "1", $BM$877 = "1" ), 1, IF( AND( $BL$877 = "1", $BM$877 = "0" ), 2, IF( AND( $BL$877 = "0", $BM$877 = "1" ), 3, 4 ) ) )</f>
        <v>4</v>
      </c>
    </row>
    <row r="878" spans="58:66" x14ac:dyDescent="0.25">
      <c r="BF878" s="1">
        <v>0</v>
      </c>
      <c r="BG878" t="str">
        <f>"0"</f>
        <v>0</v>
      </c>
      <c r="BH878" t="str">
        <f xml:space="preserve"> IF($BF$878 &gt;= $G$204, "1","0")</f>
        <v>0</v>
      </c>
      <c r="BI878">
        <f xml:space="preserve"> IF( AND( $BG$878 = "1", $BH$878 = "1" ), 1, IF( AND( $BG$878 = "1", $BH$878 = "0" ), 2, IF( AND( $BG$878 = "0", $BH$878 = "1" ), 3, 4 ) ) )</f>
        <v>4</v>
      </c>
      <c r="BK878" s="1">
        <v>1.8947368421052633E-2</v>
      </c>
      <c r="BL878" t="str">
        <f>"0"</f>
        <v>0</v>
      </c>
      <c r="BM878" t="str">
        <f xml:space="preserve"> IF($BK$878 &gt;= $G$281, "1","0")</f>
        <v>0</v>
      </c>
      <c r="BN878">
        <f xml:space="preserve"> IF( AND( $BL$878 = "1", $BM$878 = "1" ), 1, IF( AND( $BL$878 = "1", $BM$878 = "0" ), 2, IF( AND( $BL$878 = "0", $BM$878 = "1" ), 3, 4 ) ) )</f>
        <v>4</v>
      </c>
    </row>
    <row r="879" spans="58:66" x14ac:dyDescent="0.25">
      <c r="BF879" s="1">
        <v>0</v>
      </c>
      <c r="BG879" t="str">
        <f>"0"</f>
        <v>0</v>
      </c>
      <c r="BH879" t="str">
        <f xml:space="preserve"> IF($BF$879 &gt;= $G$204, "1","0")</f>
        <v>0</v>
      </c>
      <c r="BI879">
        <f xml:space="preserve"> IF( AND( $BG$879 = "1", $BH$879 = "1" ), 1, IF( AND( $BG$879 = "1", $BH$879 = "0" ), 2, IF( AND( $BG$879 = "0", $BH$879 = "1" ), 3, 4 ) ) )</f>
        <v>4</v>
      </c>
      <c r="BK879" s="1">
        <v>0.14285714285714288</v>
      </c>
      <c r="BL879" t="str">
        <f>"1"</f>
        <v>1</v>
      </c>
      <c r="BM879" t="str">
        <f xml:space="preserve"> IF($BK$879 &gt;= $G$281, "1","0")</f>
        <v>0</v>
      </c>
      <c r="BN879">
        <f xml:space="preserve"> IF( AND( $BL$879 = "1", $BM$879 = "1" ), 1, IF( AND( $BL$879 = "1", $BM$879 = "0" ), 2, IF( AND( $BL$879 = "0", $BM$879 = "1" ), 3, 4 ) ) )</f>
        <v>2</v>
      </c>
    </row>
    <row r="880" spans="58:66" x14ac:dyDescent="0.25">
      <c r="BF880" s="1">
        <v>0</v>
      </c>
      <c r="BG880" t="str">
        <f>"0"</f>
        <v>0</v>
      </c>
      <c r="BH880" t="str">
        <f xml:space="preserve"> IF($BF$880 &gt;= $G$204, "1","0")</f>
        <v>0</v>
      </c>
      <c r="BI880">
        <f xml:space="preserve"> IF( AND( $BG$880 = "1", $BH$880 = "1" ), 1, IF( AND( $BG$880 = "1", $BH$880 = "0" ), 2, IF( AND( $BG$880 = "0", $BH$880 = "1" ), 3, 4 ) ) )</f>
        <v>4</v>
      </c>
      <c r="BK880" s="1">
        <v>2.5000000000000001E-3</v>
      </c>
      <c r="BL880" t="str">
        <f>"0"</f>
        <v>0</v>
      </c>
      <c r="BM880" t="str">
        <f xml:space="preserve"> IF($BK$880 &gt;= $G$281, "1","0")</f>
        <v>0</v>
      </c>
      <c r="BN880">
        <f xml:space="preserve"> IF( AND( $BL$880 = "1", $BM$880 = "1" ), 1, IF( AND( $BL$880 = "1", $BM$880 = "0" ), 2, IF( AND( $BL$880 = "0", $BM$880 = "1" ), 3, 4 ) ) )</f>
        <v>4</v>
      </c>
    </row>
    <row r="881" spans="58:66" x14ac:dyDescent="0.25">
      <c r="BF881" s="1">
        <v>0</v>
      </c>
      <c r="BG881" t="str">
        <f>"0"</f>
        <v>0</v>
      </c>
      <c r="BH881" t="str">
        <f xml:space="preserve"> IF($BF$881 &gt;= $G$204, "1","0")</f>
        <v>0</v>
      </c>
      <c r="BI881">
        <f xml:space="preserve"> IF( AND( $BG$881 = "1", $BH$881 = "1" ), 1, IF( AND( $BG$881 = "1", $BH$881 = "0" ), 2, IF( AND( $BG$881 = "0", $BH$881 = "1" ), 3, 4 ) ) )</f>
        <v>4</v>
      </c>
      <c r="BK881" s="1">
        <v>1</v>
      </c>
      <c r="BL881" t="str">
        <f>"1"</f>
        <v>1</v>
      </c>
      <c r="BM881" t="str">
        <f xml:space="preserve"> IF($BK$881 &gt;= $G$281, "1","0")</f>
        <v>1</v>
      </c>
      <c r="BN881">
        <f xml:space="preserve"> IF( AND( $BL$881 = "1", $BM$881 = "1" ), 1, IF( AND( $BL$881 = "1", $BM$881 = "0" ), 2, IF( AND( $BL$881 = "0", $BM$881 = "1" ), 3, 4 ) ) )</f>
        <v>1</v>
      </c>
    </row>
    <row r="882" spans="58:66" x14ac:dyDescent="0.25">
      <c r="BF882" s="1">
        <v>0</v>
      </c>
      <c r="BG882" t="str">
        <f>"0"</f>
        <v>0</v>
      </c>
      <c r="BH882" t="str">
        <f xml:space="preserve"> IF($BF$882 &gt;= $G$204, "1","0")</f>
        <v>0</v>
      </c>
      <c r="BI882">
        <f xml:space="preserve"> IF( AND( $BG$882 = "1", $BH$882 = "1" ), 1, IF( AND( $BG$882 = "1", $BH$882 = "0" ), 2, IF( AND( $BG$882 = "0", $BH$882 = "1" ), 3, 4 ) ) )</f>
        <v>4</v>
      </c>
      <c r="BK882" s="1">
        <v>2.5000000000000001E-3</v>
      </c>
      <c r="BL882" t="str">
        <f>"0"</f>
        <v>0</v>
      </c>
      <c r="BM882" t="str">
        <f xml:space="preserve"> IF($BK$882 &gt;= $G$281, "1","0")</f>
        <v>0</v>
      </c>
      <c r="BN882">
        <f xml:space="preserve"> IF( AND( $BL$882 = "1", $BM$882 = "1" ), 1, IF( AND( $BL$882 = "1", $BM$882 = "0" ), 2, IF( AND( $BL$882 = "0", $BM$882 = "1" ), 3, 4 ) ) )</f>
        <v>4</v>
      </c>
    </row>
    <row r="883" spans="58:66" x14ac:dyDescent="0.25">
      <c r="BF883" s="1">
        <v>0</v>
      </c>
      <c r="BG883" t="str">
        <f>"0"</f>
        <v>0</v>
      </c>
      <c r="BH883" t="str">
        <f xml:space="preserve"> IF($BF$883 &gt;= $G$204, "1","0")</f>
        <v>0</v>
      </c>
      <c r="BI883">
        <f xml:space="preserve"> IF( AND( $BG$883 = "1", $BH$883 = "1" ), 1, IF( AND( $BG$883 = "1", $BH$883 = "0" ), 2, IF( AND( $BG$883 = "0", $BH$883 = "1" ), 3, 4 ) ) )</f>
        <v>4</v>
      </c>
      <c r="BK883" s="1">
        <v>1.8947368421052633E-2</v>
      </c>
      <c r="BL883" t="str">
        <f>"0"</f>
        <v>0</v>
      </c>
      <c r="BM883" t="str">
        <f xml:space="preserve"> IF($BK$883 &gt;= $G$281, "1","0")</f>
        <v>0</v>
      </c>
      <c r="BN883">
        <f xml:space="preserve"> IF( AND( $BL$883 = "1", $BM$883 = "1" ), 1, IF( AND( $BL$883 = "1", $BM$883 = "0" ), 2, IF( AND( $BL$883 = "0", $BM$883 = "1" ), 3, 4 ) ) )</f>
        <v>4</v>
      </c>
    </row>
    <row r="884" spans="58:66" x14ac:dyDescent="0.25">
      <c r="BF884" s="1">
        <v>0</v>
      </c>
      <c r="BG884" t="str">
        <f>"0"</f>
        <v>0</v>
      </c>
      <c r="BH884" t="str">
        <f xml:space="preserve"> IF($BF$884 &gt;= $G$204, "1","0")</f>
        <v>0</v>
      </c>
      <c r="BI884">
        <f xml:space="preserve"> IF( AND( $BG$884 = "1", $BH$884 = "1" ), 1, IF( AND( $BG$884 = "1", $BH$884 = "0" ), 2, IF( AND( $BG$884 = "0", $BH$884 = "1" ), 3, 4 ) ) )</f>
        <v>4</v>
      </c>
      <c r="BK884" s="1">
        <v>0.90476190476190477</v>
      </c>
      <c r="BL884" t="str">
        <f>"1"</f>
        <v>1</v>
      </c>
      <c r="BM884" t="str">
        <f xml:space="preserve"> IF($BK$884 &gt;= $G$281, "1","0")</f>
        <v>1</v>
      </c>
      <c r="BN884">
        <f xml:space="preserve"> IF( AND( $BL$884 = "1", $BM$884 = "1" ), 1, IF( AND( $BL$884 = "1", $BM$884 = "0" ), 2, IF( AND( $BL$884 = "0", $BM$884 = "1" ), 3, 4 ) ) )</f>
        <v>1</v>
      </c>
    </row>
    <row r="885" spans="58:66" x14ac:dyDescent="0.25">
      <c r="BF885" s="1">
        <v>0</v>
      </c>
      <c r="BG885" t="str">
        <f>"0"</f>
        <v>0</v>
      </c>
      <c r="BH885" t="str">
        <f xml:space="preserve"> IF($BF$885 &gt;= $G$204, "1","0")</f>
        <v>0</v>
      </c>
      <c r="BI885">
        <f xml:space="preserve"> IF( AND( $BG$885 = "1", $BH$885 = "1" ), 1, IF( AND( $BG$885 = "1", $BH$885 = "0" ), 2, IF( AND( $BG$885 = "0", $BH$885 = "1" ), 3, 4 ) ) )</f>
        <v>4</v>
      </c>
      <c r="BK885" s="1">
        <v>1.8947368421052633E-2</v>
      </c>
      <c r="BL885" t="str">
        <f>"0"</f>
        <v>0</v>
      </c>
      <c r="BM885" t="str">
        <f xml:space="preserve"> IF($BK$885 &gt;= $G$281, "1","0")</f>
        <v>0</v>
      </c>
      <c r="BN885">
        <f xml:space="preserve"> IF( AND( $BL$885 = "1", $BM$885 = "1" ), 1, IF( AND( $BL$885 = "1", $BM$885 = "0" ), 2, IF( AND( $BL$885 = "0", $BM$885 = "1" ), 3, 4 ) ) )</f>
        <v>4</v>
      </c>
    </row>
    <row r="886" spans="58:66" x14ac:dyDescent="0.25">
      <c r="BF886" s="1">
        <v>0</v>
      </c>
      <c r="BG886" t="str">
        <f>"0"</f>
        <v>0</v>
      </c>
      <c r="BH886" t="str">
        <f xml:space="preserve"> IF($BF$886 &gt;= $G$204, "1","0")</f>
        <v>0</v>
      </c>
      <c r="BI886">
        <f xml:space="preserve"> IF( AND( $BG$886 = "1", $BH$886 = "1" ), 1, IF( AND( $BG$886 = "1", $BH$886 = "0" ), 2, IF( AND( $BG$886 = "0", $BH$886 = "1" ), 3, 4 ) ) )</f>
        <v>4</v>
      </c>
      <c r="BK886" s="1">
        <v>2.5000000000000001E-3</v>
      </c>
      <c r="BL886" t="str">
        <f>"0"</f>
        <v>0</v>
      </c>
      <c r="BM886" t="str">
        <f xml:space="preserve"> IF($BK$886 &gt;= $G$281, "1","0")</f>
        <v>0</v>
      </c>
      <c r="BN886">
        <f xml:space="preserve"> IF( AND( $BL$886 = "1", $BM$886 = "1" ), 1, IF( AND( $BL$886 = "1", $BM$886 = "0" ), 2, IF( AND( $BL$886 = "0", $BM$886 = "1" ), 3, 4 ) ) )</f>
        <v>4</v>
      </c>
    </row>
    <row r="887" spans="58:66" x14ac:dyDescent="0.25">
      <c r="BF887" s="1">
        <v>0</v>
      </c>
      <c r="BG887" t="str">
        <f>"0"</f>
        <v>0</v>
      </c>
      <c r="BH887" t="str">
        <f xml:space="preserve"> IF($BF$887 &gt;= $G$204, "1","0")</f>
        <v>0</v>
      </c>
      <c r="BI887">
        <f xml:space="preserve"> IF( AND( $BG$887 = "1", $BH$887 = "1" ), 1, IF( AND( $BG$887 = "1", $BH$887 = "0" ), 2, IF( AND( $BG$887 = "0", $BH$887 = "1" ), 3, 4 ) ) )</f>
        <v>4</v>
      </c>
      <c r="BK887" s="1">
        <v>0.32</v>
      </c>
      <c r="BL887" t="str">
        <f>"0"</f>
        <v>0</v>
      </c>
      <c r="BM887" t="str">
        <f xml:space="preserve"> IF($BK$887 &gt;= $G$281, "1","0")</f>
        <v>1</v>
      </c>
      <c r="BN887">
        <f xml:space="preserve"> IF( AND( $BL$887 = "1", $BM$887 = "1" ), 1, IF( AND( $BL$887 = "1", $BM$887 = "0" ), 2, IF( AND( $BL$887 = "0", $BM$887 = "1" ), 3, 4 ) ) )</f>
        <v>3</v>
      </c>
    </row>
    <row r="888" spans="58:66" x14ac:dyDescent="0.25">
      <c r="BF888" s="1">
        <v>0</v>
      </c>
      <c r="BG888" t="str">
        <f>"0"</f>
        <v>0</v>
      </c>
      <c r="BH888" t="str">
        <f xml:space="preserve"> IF($BF$888 &gt;= $G$204, "1","0")</f>
        <v>0</v>
      </c>
      <c r="BI888">
        <f xml:space="preserve"> IF( AND( $BG$888 = "1", $BH$888 = "1" ), 1, IF( AND( $BG$888 = "1", $BH$888 = "0" ), 2, IF( AND( $BG$888 = "0", $BH$888 = "1" ), 3, 4 ) ) )</f>
        <v>4</v>
      </c>
      <c r="BK888" s="1">
        <v>1</v>
      </c>
      <c r="BL888" t="str">
        <f>"1"</f>
        <v>1</v>
      </c>
      <c r="BM888" t="str">
        <f xml:space="preserve"> IF($BK$888 &gt;= $G$281, "1","0")</f>
        <v>1</v>
      </c>
      <c r="BN888">
        <f xml:space="preserve"> IF( AND( $BL$888 = "1", $BM$888 = "1" ), 1, IF( AND( $BL$888 = "1", $BM$888 = "0" ), 2, IF( AND( $BL$888 = "0", $BM$888 = "1" ), 3, 4 ) ) )</f>
        <v>1</v>
      </c>
    </row>
    <row r="889" spans="58:66" x14ac:dyDescent="0.25">
      <c r="BF889" s="1">
        <v>0</v>
      </c>
      <c r="BG889" t="str">
        <f>"0"</f>
        <v>0</v>
      </c>
      <c r="BH889" t="str">
        <f xml:space="preserve"> IF($BF$889 &gt;= $G$204, "1","0")</f>
        <v>0</v>
      </c>
      <c r="BI889">
        <f xml:space="preserve"> IF( AND( $BG$889 = "1", $BH$889 = "1" ), 1, IF( AND( $BG$889 = "1", $BH$889 = "0" ), 2, IF( AND( $BG$889 = "0", $BH$889 = "1" ), 3, 4 ) ) )</f>
        <v>4</v>
      </c>
      <c r="BK889" s="1">
        <v>1</v>
      </c>
      <c r="BL889" t="str">
        <f>"1"</f>
        <v>1</v>
      </c>
      <c r="BM889" t="str">
        <f xml:space="preserve"> IF($BK$889 &gt;= $G$281, "1","0")</f>
        <v>1</v>
      </c>
      <c r="BN889">
        <f xml:space="preserve"> IF( AND( $BL$889 = "1", $BM$889 = "1" ), 1, IF( AND( $BL$889 = "1", $BM$889 = "0" ), 2, IF( AND( $BL$889 = "0", $BM$889 = "1" ), 3, 4 ) ) )</f>
        <v>1</v>
      </c>
    </row>
    <row r="890" spans="58:66" x14ac:dyDescent="0.25">
      <c r="BF890" s="1">
        <v>0</v>
      </c>
      <c r="BG890" t="str">
        <f>"0"</f>
        <v>0</v>
      </c>
      <c r="BH890" t="str">
        <f xml:space="preserve"> IF($BF$890 &gt;= $G$204, "1","0")</f>
        <v>0</v>
      </c>
      <c r="BI890">
        <f xml:space="preserve"> IF( AND( $BG$890 = "1", $BH$890 = "1" ), 1, IF( AND( $BG$890 = "1", $BH$890 = "0" ), 2, IF( AND( $BG$890 = "0", $BH$890 = "1" ), 3, 4 ) ) )</f>
        <v>4</v>
      </c>
      <c r="BK890" s="1">
        <v>0.32</v>
      </c>
      <c r="BL890" t="str">
        <f>"1"</f>
        <v>1</v>
      </c>
      <c r="BM890" t="str">
        <f xml:space="preserve"> IF($BK$890 &gt;= $G$281, "1","0")</f>
        <v>1</v>
      </c>
      <c r="BN890">
        <f xml:space="preserve"> IF( AND( $BL$890 = "1", $BM$890 = "1" ), 1, IF( AND( $BL$890 = "1", $BM$890 = "0" ), 2, IF( AND( $BL$890 = "0", $BM$890 = "1" ), 3, 4 ) ) )</f>
        <v>1</v>
      </c>
    </row>
    <row r="891" spans="58:66" x14ac:dyDescent="0.25">
      <c r="BF891" s="1">
        <v>0</v>
      </c>
      <c r="BG891" t="str">
        <f>"0"</f>
        <v>0</v>
      </c>
      <c r="BH891" t="str">
        <f xml:space="preserve"> IF($BF$891 &gt;= $G$204, "1","0")</f>
        <v>0</v>
      </c>
      <c r="BI891">
        <f xml:space="preserve"> IF( AND( $BG$891 = "1", $BH$891 = "1" ), 1, IF( AND( $BG$891 = "1", $BH$891 = "0" ), 2, IF( AND( $BG$891 = "0", $BH$891 = "1" ), 3, 4 ) ) )</f>
        <v>4</v>
      </c>
      <c r="BK891" s="1">
        <v>2.5000000000000001E-3</v>
      </c>
      <c r="BL891" t="str">
        <f>"0"</f>
        <v>0</v>
      </c>
      <c r="BM891" t="str">
        <f xml:space="preserve"> IF($BK$891 &gt;= $G$281, "1","0")</f>
        <v>0</v>
      </c>
      <c r="BN891">
        <f xml:space="preserve"> IF( AND( $BL$891 = "1", $BM$891 = "1" ), 1, IF( AND( $BL$891 = "1", $BM$891 = "0" ), 2, IF( AND( $BL$891 = "0", $BM$891 = "1" ), 3, 4 ) ) )</f>
        <v>4</v>
      </c>
    </row>
    <row r="892" spans="58:66" x14ac:dyDescent="0.25">
      <c r="BF892" s="1">
        <v>0</v>
      </c>
      <c r="BG892" t="str">
        <f>"0"</f>
        <v>0</v>
      </c>
      <c r="BH892" t="str">
        <f xml:space="preserve"> IF($BF$892 &gt;= $G$204, "1","0")</f>
        <v>0</v>
      </c>
      <c r="BI892">
        <f xml:space="preserve"> IF( AND( $BG$892 = "1", $BH$892 = "1" ), 1, IF( AND( $BG$892 = "1", $BH$892 = "0" ), 2, IF( AND( $BG$892 = "0", $BH$892 = "1" ), 3, 4 ) ) )</f>
        <v>4</v>
      </c>
      <c r="BK892" s="1">
        <v>0.37500000000000006</v>
      </c>
      <c r="BL892" t="str">
        <f>"0"</f>
        <v>0</v>
      </c>
      <c r="BM892" t="str">
        <f xml:space="preserve"> IF($BK$892 &gt;= $G$281, "1","0")</f>
        <v>1</v>
      </c>
      <c r="BN892">
        <f xml:space="preserve"> IF( AND( $BL$892 = "1", $BM$892 = "1" ), 1, IF( AND( $BL$892 = "1", $BM$892 = "0" ), 2, IF( AND( $BL$892 = "0", $BM$892 = "1" ), 3, 4 ) ) )</f>
        <v>3</v>
      </c>
    </row>
    <row r="893" spans="58:66" x14ac:dyDescent="0.25">
      <c r="BF893" s="1">
        <v>0</v>
      </c>
      <c r="BG893" t="str">
        <f>"0"</f>
        <v>0</v>
      </c>
      <c r="BH893" t="str">
        <f xml:space="preserve"> IF($BF$893 &gt;= $G$204, "1","0")</f>
        <v>0</v>
      </c>
      <c r="BI893">
        <f xml:space="preserve"> IF( AND( $BG$893 = "1", $BH$893 = "1" ), 1, IF( AND( $BG$893 = "1", $BH$893 = "0" ), 2, IF( AND( $BG$893 = "0", $BH$893 = "1" ), 3, 4 ) ) )</f>
        <v>4</v>
      </c>
      <c r="BK893" s="1">
        <v>1</v>
      </c>
      <c r="BL893" t="str">
        <f>"1"</f>
        <v>1</v>
      </c>
      <c r="BM893" t="str">
        <f xml:space="preserve"> IF($BK$893 &gt;= $G$281, "1","0")</f>
        <v>1</v>
      </c>
      <c r="BN893">
        <f xml:space="preserve"> IF( AND( $BL$893 = "1", $BM$893 = "1" ), 1, IF( AND( $BL$893 = "1", $BM$893 = "0" ), 2, IF( AND( $BL$893 = "0", $BM$893 = "1" ), 3, 4 ) ) )</f>
        <v>1</v>
      </c>
    </row>
    <row r="894" spans="58:66" x14ac:dyDescent="0.25">
      <c r="BF894" s="1">
        <v>0</v>
      </c>
      <c r="BG894" t="str">
        <f>"0"</f>
        <v>0</v>
      </c>
      <c r="BH894" t="str">
        <f xml:space="preserve"> IF($BF$894 &gt;= $G$204, "1","0")</f>
        <v>0</v>
      </c>
      <c r="BI894">
        <f xml:space="preserve"> IF( AND( $BG$894 = "1", $BH$894 = "1" ), 1, IF( AND( $BG$894 = "1", $BH$894 = "0" ), 2, IF( AND( $BG$894 = "0", $BH$894 = "1" ), 3, 4 ) ) )</f>
        <v>4</v>
      </c>
      <c r="BK894" s="1">
        <v>2.5000000000000001E-3</v>
      </c>
      <c r="BL894" t="str">
        <f>"0"</f>
        <v>0</v>
      </c>
      <c r="BM894" t="str">
        <f xml:space="preserve"> IF($BK$894 &gt;= $G$281, "1","0")</f>
        <v>0</v>
      </c>
      <c r="BN894">
        <f xml:space="preserve"> IF( AND( $BL$894 = "1", $BM$894 = "1" ), 1, IF( AND( $BL$894 = "1", $BM$894 = "0" ), 2, IF( AND( $BL$894 = "0", $BM$894 = "1" ), 3, 4 ) ) )</f>
        <v>4</v>
      </c>
    </row>
    <row r="895" spans="58:66" x14ac:dyDescent="0.25">
      <c r="BF895" s="1">
        <v>0</v>
      </c>
      <c r="BG895" t="str">
        <f>"0"</f>
        <v>0</v>
      </c>
      <c r="BH895" t="str">
        <f xml:space="preserve"> IF($BF$895 &gt;= $G$204, "1","0")</f>
        <v>0</v>
      </c>
      <c r="BI895">
        <f xml:space="preserve"> IF( AND( $BG$895 = "1", $BH$895 = "1" ), 1, IF( AND( $BG$895 = "1", $BH$895 = "0" ), 2, IF( AND( $BG$895 = "0", $BH$895 = "1" ), 3, 4 ) ) )</f>
        <v>4</v>
      </c>
      <c r="BK895" s="1">
        <v>0.32</v>
      </c>
      <c r="BL895" t="str">
        <f>"1"</f>
        <v>1</v>
      </c>
      <c r="BM895" t="str">
        <f xml:space="preserve"> IF($BK$895 &gt;= $G$281, "1","0")</f>
        <v>1</v>
      </c>
      <c r="BN895">
        <f xml:space="preserve"> IF( AND( $BL$895 = "1", $BM$895 = "1" ), 1, IF( AND( $BL$895 = "1", $BM$895 = "0" ), 2, IF( AND( $BL$895 = "0", $BM$895 = "1" ), 3, 4 ) ) )</f>
        <v>1</v>
      </c>
    </row>
    <row r="896" spans="58:66" x14ac:dyDescent="0.25">
      <c r="BF896" s="1">
        <v>0</v>
      </c>
      <c r="BG896" t="str">
        <f>"0"</f>
        <v>0</v>
      </c>
      <c r="BH896" t="str">
        <f xml:space="preserve"> IF($BF$896 &gt;= $G$204, "1","0")</f>
        <v>0</v>
      </c>
      <c r="BI896">
        <f xml:space="preserve"> IF( AND( $BG$896 = "1", $BH$896 = "1" ), 1, IF( AND( $BG$896 = "1", $BH$896 = "0" ), 2, IF( AND( $BG$896 = "0", $BH$896 = "1" ), 3, 4 ) ) )</f>
        <v>4</v>
      </c>
      <c r="BK896" s="1">
        <v>2.5000000000000001E-3</v>
      </c>
      <c r="BL896" t="str">
        <f>"0"</f>
        <v>0</v>
      </c>
      <c r="BM896" t="str">
        <f xml:space="preserve"> IF($BK$896 &gt;= $G$281, "1","0")</f>
        <v>0</v>
      </c>
      <c r="BN896">
        <f xml:space="preserve"> IF( AND( $BL$896 = "1", $BM$896 = "1" ), 1, IF( AND( $BL$896 = "1", $BM$896 = "0" ), 2, IF( AND( $BL$896 = "0", $BM$896 = "1" ), 3, 4 ) ) )</f>
        <v>4</v>
      </c>
    </row>
    <row r="897" spans="58:66" x14ac:dyDescent="0.25">
      <c r="BF897" s="1">
        <v>0</v>
      </c>
      <c r="BG897" t="str">
        <f>"0"</f>
        <v>0</v>
      </c>
      <c r="BH897" t="str">
        <f xml:space="preserve"> IF($BF$897 &gt;= $G$204, "1","0")</f>
        <v>0</v>
      </c>
      <c r="BI897">
        <f xml:space="preserve"> IF( AND( $BG$897 = "1", $BH$897 = "1" ), 1, IF( AND( $BG$897 = "1", $BH$897 = "0" ), 2, IF( AND( $BG$897 = "0", $BH$897 = "1" ), 3, 4 ) ) )</f>
        <v>4</v>
      </c>
      <c r="BK897" s="1">
        <v>2.5000000000000001E-3</v>
      </c>
      <c r="BL897" t="str">
        <f>"0"</f>
        <v>0</v>
      </c>
      <c r="BM897" t="str">
        <f xml:space="preserve"> IF($BK$897 &gt;= $G$281, "1","0")</f>
        <v>0</v>
      </c>
      <c r="BN897">
        <f xml:space="preserve"> IF( AND( $BL$897 = "1", $BM$897 = "1" ), 1, IF( AND( $BL$897 = "1", $BM$897 = "0" ), 2, IF( AND( $BL$897 = "0", $BM$897 = "1" ), 3, 4 ) ) )</f>
        <v>4</v>
      </c>
    </row>
    <row r="898" spans="58:66" x14ac:dyDescent="0.25">
      <c r="BF898" s="1">
        <v>0</v>
      </c>
      <c r="BG898" t="str">
        <f>"0"</f>
        <v>0</v>
      </c>
      <c r="BH898" t="str">
        <f xml:space="preserve"> IF($BF$898 &gt;= $G$204, "1","0")</f>
        <v>0</v>
      </c>
      <c r="BI898">
        <f xml:space="preserve"> IF( AND( $BG$898 = "1", $BH$898 = "1" ), 1, IF( AND( $BG$898 = "1", $BH$898 = "0" ), 2, IF( AND( $BG$898 = "0", $BH$898 = "1" ), 3, 4 ) ) )</f>
        <v>4</v>
      </c>
      <c r="BK898" s="1">
        <v>3.333333333333334E-2</v>
      </c>
      <c r="BL898" t="str">
        <f>"0"</f>
        <v>0</v>
      </c>
      <c r="BM898" t="str">
        <f xml:space="preserve"> IF($BK$898 &gt;= $G$281, "1","0")</f>
        <v>0</v>
      </c>
      <c r="BN898">
        <f xml:space="preserve"> IF( AND( $BL$898 = "1", $BM$898 = "1" ), 1, IF( AND( $BL$898 = "1", $BM$898 = "0" ), 2, IF( AND( $BL$898 = "0", $BM$898 = "1" ), 3, 4 ) ) )</f>
        <v>4</v>
      </c>
    </row>
    <row r="899" spans="58:66" x14ac:dyDescent="0.25">
      <c r="BF899" s="1">
        <v>0</v>
      </c>
      <c r="BG899" t="str">
        <f>"0"</f>
        <v>0</v>
      </c>
      <c r="BH899" t="str">
        <f xml:space="preserve"> IF($BF$899 &gt;= $G$204, "1","0")</f>
        <v>0</v>
      </c>
      <c r="BI899">
        <f xml:space="preserve"> IF( AND( $BG$899 = "1", $BH$899 = "1" ), 1, IF( AND( $BG$899 = "1", $BH$899 = "0" ), 2, IF( AND( $BG$899 = "0", $BH$899 = "1" ), 3, 4 ) ) )</f>
        <v>4</v>
      </c>
      <c r="BK899" s="1">
        <v>2.5000000000000001E-3</v>
      </c>
      <c r="BL899" t="str">
        <f>"0"</f>
        <v>0</v>
      </c>
      <c r="BM899" t="str">
        <f xml:space="preserve"> IF($BK$899 &gt;= $G$281, "1","0")</f>
        <v>0</v>
      </c>
      <c r="BN899">
        <f xml:space="preserve"> IF( AND( $BL$899 = "1", $BM$899 = "1" ), 1, IF( AND( $BL$899 = "1", $BM$899 = "0" ), 2, IF( AND( $BL$899 = "0", $BM$899 = "1" ), 3, 4 ) ) )</f>
        <v>4</v>
      </c>
    </row>
    <row r="900" spans="58:66" x14ac:dyDescent="0.25">
      <c r="BF900" s="1">
        <v>0</v>
      </c>
      <c r="BG900" t="str">
        <f>"0"</f>
        <v>0</v>
      </c>
      <c r="BH900" t="str">
        <f xml:space="preserve"> IF($BF$900 &gt;= $G$204, "1","0")</f>
        <v>0</v>
      </c>
      <c r="BI900">
        <f xml:space="preserve"> IF( AND( $BG$900 = "1", $BH$900 = "1" ), 1, IF( AND( $BG$900 = "1", $BH$900 = "0" ), 2, IF( AND( $BG$900 = "0", $BH$900 = "1" ), 3, 4 ) ) )</f>
        <v>4</v>
      </c>
      <c r="BK900" s="1">
        <v>0.5625</v>
      </c>
      <c r="BL900" t="str">
        <f>"0"</f>
        <v>0</v>
      </c>
      <c r="BM900" t="str">
        <f xml:space="preserve"> IF($BK$900 &gt;= $G$281, "1","0")</f>
        <v>1</v>
      </c>
      <c r="BN900">
        <f xml:space="preserve"> IF( AND( $BL$900 = "1", $BM$900 = "1" ), 1, IF( AND( $BL$900 = "1", $BM$900 = "0" ), 2, IF( AND( $BL$900 = "0", $BM$900 = "1" ), 3, 4 ) ) )</f>
        <v>3</v>
      </c>
    </row>
    <row r="901" spans="58:66" x14ac:dyDescent="0.25">
      <c r="BF901" s="1">
        <v>0</v>
      </c>
      <c r="BG901" t="str">
        <f>"0"</f>
        <v>0</v>
      </c>
      <c r="BH901" t="str">
        <f xml:space="preserve"> IF($BF$901 &gt;= $G$204, "1","0")</f>
        <v>0</v>
      </c>
      <c r="BI901">
        <f xml:space="preserve"> IF( AND( $BG$901 = "1", $BH$901 = "1" ), 1, IF( AND( $BG$901 = "1", $BH$901 = "0" ), 2, IF( AND( $BG$901 = "0", $BH$901 = "1" ), 3, 4 ) ) )</f>
        <v>4</v>
      </c>
      <c r="BK901" s="1">
        <v>3.333333333333334E-2</v>
      </c>
      <c r="BL901" t="str">
        <f>"0"</f>
        <v>0</v>
      </c>
      <c r="BM901" t="str">
        <f xml:space="preserve"> IF($BK$901 &gt;= $G$281, "1","0")</f>
        <v>0</v>
      </c>
      <c r="BN901">
        <f xml:space="preserve"> IF( AND( $BL$901 = "1", $BM$901 = "1" ), 1, IF( AND( $BL$901 = "1", $BM$901 = "0" ), 2, IF( AND( $BL$901 = "0", $BM$901 = "1" ), 3, 4 ) ) )</f>
        <v>4</v>
      </c>
    </row>
    <row r="902" spans="58:66" x14ac:dyDescent="0.25">
      <c r="BF902" s="1">
        <v>0</v>
      </c>
      <c r="BG902" t="str">
        <f>"0"</f>
        <v>0</v>
      </c>
      <c r="BH902" t="str">
        <f xml:space="preserve"> IF($BF$902 &gt;= $G$204, "1","0")</f>
        <v>0</v>
      </c>
      <c r="BI902">
        <f xml:space="preserve"> IF( AND( $BG$902 = "1", $BH$902 = "1" ), 1, IF( AND( $BG$902 = "1", $BH$902 = "0" ), 2, IF( AND( $BG$902 = "0", $BH$902 = "1" ), 3, 4 ) ) )</f>
        <v>4</v>
      </c>
      <c r="BK902" s="1">
        <v>0.14285714285714288</v>
      </c>
      <c r="BL902" t="str">
        <f>"0"</f>
        <v>0</v>
      </c>
      <c r="BM902" t="str">
        <f xml:space="preserve"> IF($BK$902 &gt;= $G$281, "1","0")</f>
        <v>0</v>
      </c>
      <c r="BN902">
        <f xml:space="preserve"> IF( AND( $BL$902 = "1", $BM$902 = "1" ), 1, IF( AND( $BL$902 = "1", $BM$902 = "0" ), 2, IF( AND( $BL$902 = "0", $BM$902 = "1" ), 3, 4 ) ) )</f>
        <v>4</v>
      </c>
    </row>
    <row r="903" spans="58:66" x14ac:dyDescent="0.25">
      <c r="BF903" s="1">
        <v>0</v>
      </c>
      <c r="BG903" t="str">
        <f>"0"</f>
        <v>0</v>
      </c>
      <c r="BH903" t="str">
        <f xml:space="preserve"> IF($BF$903 &gt;= $G$204, "1","0")</f>
        <v>0</v>
      </c>
      <c r="BI903">
        <f xml:space="preserve"> IF( AND( $BG$903 = "1", $BH$903 = "1" ), 1, IF( AND( $BG$903 = "1", $BH$903 = "0" ), 2, IF( AND( $BG$903 = "0", $BH$903 = "1" ), 3, 4 ) ) )</f>
        <v>4</v>
      </c>
      <c r="BK903" s="1">
        <v>2.5000000000000001E-3</v>
      </c>
      <c r="BL903" t="str">
        <f>"0"</f>
        <v>0</v>
      </c>
      <c r="BM903" t="str">
        <f xml:space="preserve"> IF($BK$903 &gt;= $G$281, "1","0")</f>
        <v>0</v>
      </c>
      <c r="BN903">
        <f xml:space="preserve"> IF( AND( $BL$903 = "1", $BM$903 = "1" ), 1, IF( AND( $BL$903 = "1", $BM$903 = "0" ), 2, IF( AND( $BL$903 = "0", $BM$903 = "1" ), 3, 4 ) ) )</f>
        <v>4</v>
      </c>
    </row>
    <row r="904" spans="58:66" x14ac:dyDescent="0.25">
      <c r="BF904" s="1">
        <v>0</v>
      </c>
      <c r="BG904" t="str">
        <f>"0"</f>
        <v>0</v>
      </c>
      <c r="BH904" t="str">
        <f xml:space="preserve"> IF($BF$904 &gt;= $G$204, "1","0")</f>
        <v>0</v>
      </c>
      <c r="BI904">
        <f xml:space="preserve"> IF( AND( $BG$904 = "1", $BH$904 = "1" ), 1, IF( AND( $BG$904 = "1", $BH$904 = "0" ), 2, IF( AND( $BG$904 = "0", $BH$904 = "1" ), 3, 4 ) ) )</f>
        <v>4</v>
      </c>
      <c r="BK904" s="1">
        <v>2.5000000000000001E-3</v>
      </c>
      <c r="BL904" t="str">
        <f>"0"</f>
        <v>0</v>
      </c>
      <c r="BM904" t="str">
        <f xml:space="preserve"> IF($BK$904 &gt;= $G$281, "1","0")</f>
        <v>0</v>
      </c>
      <c r="BN904">
        <f xml:space="preserve"> IF( AND( $BL$904 = "1", $BM$904 = "1" ), 1, IF( AND( $BL$904 = "1", $BM$904 = "0" ), 2, IF( AND( $BL$904 = "0", $BM$904 = "1" ), 3, 4 ) ) )</f>
        <v>4</v>
      </c>
    </row>
    <row r="905" spans="58:66" x14ac:dyDescent="0.25">
      <c r="BF905" s="1">
        <v>0</v>
      </c>
      <c r="BG905" t="str">
        <f>"0"</f>
        <v>0</v>
      </c>
      <c r="BH905" t="str">
        <f xml:space="preserve"> IF($BF$905 &gt;= $G$204, "1","0")</f>
        <v>0</v>
      </c>
      <c r="BI905">
        <f xml:space="preserve"> IF( AND( $BG$905 = "1", $BH$905 = "1" ), 1, IF( AND( $BG$905 = "1", $BH$905 = "0" ), 2, IF( AND( $BG$905 = "0", $BH$905 = "1" ), 3, 4 ) ) )</f>
        <v>4</v>
      </c>
      <c r="BK905" s="1">
        <v>1.8947368421052633E-2</v>
      </c>
      <c r="BL905" t="str">
        <f>"0"</f>
        <v>0</v>
      </c>
      <c r="BM905" t="str">
        <f xml:space="preserve"> IF($BK$905 &gt;= $G$281, "1","0")</f>
        <v>0</v>
      </c>
      <c r="BN905">
        <f xml:space="preserve"> IF( AND( $BL$905 = "1", $BM$905 = "1" ), 1, IF( AND( $BL$905 = "1", $BM$905 = "0" ), 2, IF( AND( $BL$905 = "0", $BM$905 = "1" ), 3, 4 ) ) )</f>
        <v>4</v>
      </c>
    </row>
    <row r="906" spans="58:66" x14ac:dyDescent="0.25">
      <c r="BF906" s="1">
        <v>0</v>
      </c>
      <c r="BG906" t="str">
        <f>"0"</f>
        <v>0</v>
      </c>
      <c r="BH906" t="str">
        <f xml:space="preserve"> IF($BF$906 &gt;= $G$204, "1","0")</f>
        <v>0</v>
      </c>
      <c r="BI906">
        <f xml:space="preserve"> IF( AND( $BG$906 = "1", $BH$906 = "1" ), 1, IF( AND( $BG$906 = "1", $BH$906 = "0" ), 2, IF( AND( $BG$906 = "0", $BH$906 = "1" ), 3, 4 ) ) )</f>
        <v>4</v>
      </c>
      <c r="BK906" s="1">
        <v>1.8947368421052633E-2</v>
      </c>
      <c r="BL906" t="str">
        <f>"0"</f>
        <v>0</v>
      </c>
      <c r="BM906" t="str">
        <f xml:space="preserve"> IF($BK$906 &gt;= $G$281, "1","0")</f>
        <v>0</v>
      </c>
      <c r="BN906">
        <f xml:space="preserve"> IF( AND( $BL$906 = "1", $BM$906 = "1" ), 1, IF( AND( $BL$906 = "1", $BM$906 = "0" ), 2, IF( AND( $BL$906 = "0", $BM$906 = "1" ), 3, 4 ) ) )</f>
        <v>4</v>
      </c>
    </row>
    <row r="907" spans="58:66" x14ac:dyDescent="0.25">
      <c r="BF907" s="1">
        <v>0</v>
      </c>
      <c r="BG907" t="str">
        <f>"0"</f>
        <v>0</v>
      </c>
      <c r="BH907" t="str">
        <f xml:space="preserve"> IF($BF$907 &gt;= $G$204, "1","0")</f>
        <v>0</v>
      </c>
      <c r="BI907">
        <f xml:space="preserve"> IF( AND( $BG$907 = "1", $BH$907 = "1" ), 1, IF( AND( $BG$907 = "1", $BH$907 = "0" ), 2, IF( AND( $BG$907 = "0", $BH$907 = "1" ), 3, 4 ) ) )</f>
        <v>4</v>
      </c>
      <c r="BK907" s="1">
        <v>1.8947368421052633E-2</v>
      </c>
      <c r="BL907" t="str">
        <f>"0"</f>
        <v>0</v>
      </c>
      <c r="BM907" t="str">
        <f xml:space="preserve"> IF($BK$907 &gt;= $G$281, "1","0")</f>
        <v>0</v>
      </c>
      <c r="BN907">
        <f xml:space="preserve"> IF( AND( $BL$907 = "1", $BM$907 = "1" ), 1, IF( AND( $BL$907 = "1", $BM$907 = "0" ), 2, IF( AND( $BL$907 = "0", $BM$907 = "1" ), 3, 4 ) ) )</f>
        <v>4</v>
      </c>
    </row>
    <row r="908" spans="58:66" x14ac:dyDescent="0.25">
      <c r="BF908" s="1">
        <v>0</v>
      </c>
      <c r="BG908" t="str">
        <f>"0"</f>
        <v>0</v>
      </c>
      <c r="BH908" t="str">
        <f xml:space="preserve"> IF($BF$908 &gt;= $G$204, "1","0")</f>
        <v>0</v>
      </c>
      <c r="BI908">
        <f xml:space="preserve"> IF( AND( $BG$908 = "1", $BH$908 = "1" ), 1, IF( AND( $BG$908 = "1", $BH$908 = "0" ), 2, IF( AND( $BG$908 = "0", $BH$908 = "1" ), 3, 4 ) ) )</f>
        <v>4</v>
      </c>
      <c r="BK908" s="1">
        <v>1.8947368421052633E-2</v>
      </c>
      <c r="BL908" t="str">
        <f>"0"</f>
        <v>0</v>
      </c>
      <c r="BM908" t="str">
        <f xml:space="preserve"> IF($BK$908 &gt;= $G$281, "1","0")</f>
        <v>0</v>
      </c>
      <c r="BN908">
        <f xml:space="preserve"> IF( AND( $BL$908 = "1", $BM$908 = "1" ), 1, IF( AND( $BL$908 = "1", $BM$908 = "0" ), 2, IF( AND( $BL$908 = "0", $BM$908 = "1" ), 3, 4 ) ) )</f>
        <v>4</v>
      </c>
    </row>
    <row r="909" spans="58:66" x14ac:dyDescent="0.25">
      <c r="BF909" s="1">
        <v>0</v>
      </c>
      <c r="BG909" t="str">
        <f>"0"</f>
        <v>0</v>
      </c>
      <c r="BH909" t="str">
        <f xml:space="preserve"> IF($BF$909 &gt;= $G$204, "1","0")</f>
        <v>0</v>
      </c>
      <c r="BI909">
        <f xml:space="preserve"> IF( AND( $BG$909 = "1", $BH$909 = "1" ), 1, IF( AND( $BG$909 = "1", $BH$909 = "0" ), 2, IF( AND( $BG$909 = "0", $BH$909 = "1" ), 3, 4 ) ) )</f>
        <v>4</v>
      </c>
      <c r="BK909" s="1">
        <v>0.69230769230769229</v>
      </c>
      <c r="BL909" t="str">
        <f>"1"</f>
        <v>1</v>
      </c>
      <c r="BM909" t="str">
        <f xml:space="preserve"> IF($BK$909 &gt;= $G$281, "1","0")</f>
        <v>1</v>
      </c>
      <c r="BN909">
        <f xml:space="preserve"> IF( AND( $BL$909 = "1", $BM$909 = "1" ), 1, IF( AND( $BL$909 = "1", $BM$909 = "0" ), 2, IF( AND( $BL$909 = "0", $BM$909 = "1" ), 3, 4 ) ) )</f>
        <v>1</v>
      </c>
    </row>
    <row r="910" spans="58:66" x14ac:dyDescent="0.25">
      <c r="BF910" s="1">
        <v>0</v>
      </c>
      <c r="BG910" t="str">
        <f>"0"</f>
        <v>0</v>
      </c>
      <c r="BH910" t="str">
        <f xml:space="preserve"> IF($BF$910 &gt;= $G$204, "1","0")</f>
        <v>0</v>
      </c>
      <c r="BI910">
        <f xml:space="preserve"> IF( AND( $BG$910 = "1", $BH$910 = "1" ), 1, IF( AND( $BG$910 = "1", $BH$910 = "0" ), 2, IF( AND( $BG$910 = "0", $BH$910 = "1" ), 3, 4 ) ) )</f>
        <v>4</v>
      </c>
      <c r="BK910" s="1">
        <v>2.5000000000000001E-3</v>
      </c>
      <c r="BL910" t="str">
        <f>"0"</f>
        <v>0</v>
      </c>
      <c r="BM910" t="str">
        <f xml:space="preserve"> IF($BK$910 &gt;= $G$281, "1","0")</f>
        <v>0</v>
      </c>
      <c r="BN910">
        <f xml:space="preserve"> IF( AND( $BL$910 = "1", $BM$910 = "1" ), 1, IF( AND( $BL$910 = "1", $BM$910 = "0" ), 2, IF( AND( $BL$910 = "0", $BM$910 = "1" ), 3, 4 ) ) )</f>
        <v>4</v>
      </c>
    </row>
    <row r="911" spans="58:66" x14ac:dyDescent="0.25">
      <c r="BF911" s="1">
        <v>0</v>
      </c>
      <c r="BG911" t="str">
        <f>"0"</f>
        <v>0</v>
      </c>
      <c r="BH911" t="str">
        <f xml:space="preserve"> IF($BF$911 &gt;= $G$204, "1","0")</f>
        <v>0</v>
      </c>
      <c r="BI911">
        <f xml:space="preserve"> IF( AND( $BG$911 = "1", $BH$911 = "1" ), 1, IF( AND( $BG$911 = "1", $BH$911 = "0" ), 2, IF( AND( $BG$911 = "0", $BH$911 = "1" ), 3, 4 ) ) )</f>
        <v>4</v>
      </c>
      <c r="BK911" s="1">
        <v>2.5000000000000001E-3</v>
      </c>
      <c r="BL911" t="str">
        <f>"0"</f>
        <v>0</v>
      </c>
      <c r="BM911" t="str">
        <f xml:space="preserve"> IF($BK$911 &gt;= $G$281, "1","0")</f>
        <v>0</v>
      </c>
      <c r="BN911">
        <f xml:space="preserve"> IF( AND( $BL$911 = "1", $BM$911 = "1" ), 1, IF( AND( $BL$911 = "1", $BM$911 = "0" ), 2, IF( AND( $BL$911 = "0", $BM$911 = "1" ), 3, 4 ) ) )</f>
        <v>4</v>
      </c>
    </row>
    <row r="912" spans="58:66" x14ac:dyDescent="0.25">
      <c r="BF912" s="1">
        <v>0</v>
      </c>
      <c r="BG912" t="str">
        <f>"0"</f>
        <v>0</v>
      </c>
      <c r="BH912" t="str">
        <f xml:space="preserve"> IF($BF$912 &gt;= $G$204, "1","0")</f>
        <v>0</v>
      </c>
      <c r="BI912">
        <f xml:space="preserve"> IF( AND( $BG$912 = "1", $BH$912 = "1" ), 1, IF( AND( $BG$912 = "1", $BH$912 = "0" ), 2, IF( AND( $BG$912 = "0", $BH$912 = "1" ), 3, 4 ) ) )</f>
        <v>4</v>
      </c>
      <c r="BK912" s="1">
        <v>2.5000000000000001E-3</v>
      </c>
      <c r="BL912" t="str">
        <f>"0"</f>
        <v>0</v>
      </c>
      <c r="BM912" t="str">
        <f xml:space="preserve"> IF($BK$912 &gt;= $G$281, "1","0")</f>
        <v>0</v>
      </c>
      <c r="BN912">
        <f xml:space="preserve"> IF( AND( $BL$912 = "1", $BM$912 = "1" ), 1, IF( AND( $BL$912 = "1", $BM$912 = "0" ), 2, IF( AND( $BL$912 = "0", $BM$912 = "1" ), 3, 4 ) ) )</f>
        <v>4</v>
      </c>
    </row>
    <row r="913" spans="58:66" x14ac:dyDescent="0.25">
      <c r="BF913" s="1">
        <v>0</v>
      </c>
      <c r="BG913" t="str">
        <f>"0"</f>
        <v>0</v>
      </c>
      <c r="BH913" t="str">
        <f xml:space="preserve"> IF($BF$913 &gt;= $G$204, "1","0")</f>
        <v>0</v>
      </c>
      <c r="BI913">
        <f xml:space="preserve"> IF( AND( $BG$913 = "1", $BH$913 = "1" ), 1, IF( AND( $BG$913 = "1", $BH$913 = "0" ), 2, IF( AND( $BG$913 = "0", $BH$913 = "1" ), 3, 4 ) ) )</f>
        <v>4</v>
      </c>
      <c r="BK913" s="1">
        <v>1</v>
      </c>
      <c r="BL913" t="str">
        <f>"1"</f>
        <v>1</v>
      </c>
      <c r="BM913" t="str">
        <f xml:space="preserve"> IF($BK$913 &gt;= $G$281, "1","0")</f>
        <v>1</v>
      </c>
      <c r="BN913">
        <f xml:space="preserve"> IF( AND( $BL$913 = "1", $BM$913 = "1" ), 1, IF( AND( $BL$913 = "1", $BM$913 = "0" ), 2, IF( AND( $BL$913 = "0", $BM$913 = "1" ), 3, 4 ) ) )</f>
        <v>1</v>
      </c>
    </row>
    <row r="914" spans="58:66" x14ac:dyDescent="0.25">
      <c r="BF914" s="1">
        <v>0</v>
      </c>
      <c r="BG914" t="str">
        <f>"0"</f>
        <v>0</v>
      </c>
      <c r="BH914" t="str">
        <f xml:space="preserve"> IF($BF$914 &gt;= $G$204, "1","0")</f>
        <v>0</v>
      </c>
      <c r="BI914">
        <f xml:space="preserve"> IF( AND( $BG$914 = "1", $BH$914 = "1" ), 1, IF( AND( $BG$914 = "1", $BH$914 = "0" ), 2, IF( AND( $BG$914 = "0", $BH$914 = "1" ), 3, 4 ) ) )</f>
        <v>4</v>
      </c>
      <c r="BK914" s="1">
        <v>1</v>
      </c>
      <c r="BL914" t="str">
        <f>"1"</f>
        <v>1</v>
      </c>
      <c r="BM914" t="str">
        <f xml:space="preserve"> IF($BK$914 &gt;= $G$281, "1","0")</f>
        <v>1</v>
      </c>
      <c r="BN914">
        <f xml:space="preserve"> IF( AND( $BL$914 = "1", $BM$914 = "1" ), 1, IF( AND( $BL$914 = "1", $BM$914 = "0" ), 2, IF( AND( $BL$914 = "0", $BM$914 = "1" ), 3, 4 ) ) )</f>
        <v>1</v>
      </c>
    </row>
    <row r="915" spans="58:66" x14ac:dyDescent="0.25">
      <c r="BF915" s="1">
        <v>0</v>
      </c>
      <c r="BG915" t="str">
        <f>"0"</f>
        <v>0</v>
      </c>
      <c r="BH915" t="str">
        <f xml:space="preserve"> IF($BF$915 &gt;= $G$204, "1","0")</f>
        <v>0</v>
      </c>
      <c r="BI915">
        <f xml:space="preserve"> IF( AND( $BG$915 = "1", $BH$915 = "1" ), 1, IF( AND( $BG$915 = "1", $BH$915 = "0" ), 2, IF( AND( $BG$915 = "0", $BH$915 = "1" ), 3, 4 ) ) )</f>
        <v>4</v>
      </c>
      <c r="BK915" s="1">
        <v>1</v>
      </c>
      <c r="BL915" t="str">
        <f>"1"</f>
        <v>1</v>
      </c>
      <c r="BM915" t="str">
        <f xml:space="preserve"> IF($BK$915 &gt;= $G$281, "1","0")</f>
        <v>1</v>
      </c>
      <c r="BN915">
        <f xml:space="preserve"> IF( AND( $BL$915 = "1", $BM$915 = "1" ), 1, IF( AND( $BL$915 = "1", $BM$915 = "0" ), 2, IF( AND( $BL$915 = "0", $BM$915 = "1" ), 3, 4 ) ) )</f>
        <v>1</v>
      </c>
    </row>
    <row r="916" spans="58:66" x14ac:dyDescent="0.25">
      <c r="BF916" s="1">
        <v>0</v>
      </c>
      <c r="BG916" t="str">
        <f>"0"</f>
        <v>0</v>
      </c>
      <c r="BH916" t="str">
        <f xml:space="preserve"> IF($BF$916 &gt;= $G$204, "1","0")</f>
        <v>0</v>
      </c>
      <c r="BI916">
        <f xml:space="preserve"> IF( AND( $BG$916 = "1", $BH$916 = "1" ), 1, IF( AND( $BG$916 = "1", $BH$916 = "0" ), 2, IF( AND( $BG$916 = "0", $BH$916 = "1" ), 3, 4 ) ) )</f>
        <v>4</v>
      </c>
      <c r="BK916" s="1">
        <v>1.8947368421052633E-2</v>
      </c>
      <c r="BL916" t="str">
        <f>"0"</f>
        <v>0</v>
      </c>
      <c r="BM916" t="str">
        <f xml:space="preserve"> IF($BK$916 &gt;= $G$281, "1","0")</f>
        <v>0</v>
      </c>
      <c r="BN916">
        <f xml:space="preserve"> IF( AND( $BL$916 = "1", $BM$916 = "1" ), 1, IF( AND( $BL$916 = "1", $BM$916 = "0" ), 2, IF( AND( $BL$916 = "0", $BM$916 = "1" ), 3, 4 ) ) )</f>
        <v>4</v>
      </c>
    </row>
    <row r="917" spans="58:66" x14ac:dyDescent="0.25">
      <c r="BF917" s="1">
        <v>0</v>
      </c>
      <c r="BG917" t="str">
        <f>"0"</f>
        <v>0</v>
      </c>
      <c r="BH917" t="str">
        <f xml:space="preserve"> IF($BF$917 &gt;= $G$204, "1","0")</f>
        <v>0</v>
      </c>
      <c r="BI917">
        <f xml:space="preserve"> IF( AND( $BG$917 = "1", $BH$917 = "1" ), 1, IF( AND( $BG$917 = "1", $BH$917 = "0" ), 2, IF( AND( $BG$917 = "0", $BH$917 = "1" ), 3, 4 ) ) )</f>
        <v>4</v>
      </c>
      <c r="BK917" s="1">
        <v>1.8947368421052633E-2</v>
      </c>
      <c r="BL917" t="str">
        <f>"0"</f>
        <v>0</v>
      </c>
      <c r="BM917" t="str">
        <f xml:space="preserve"> IF($BK$917 &gt;= $G$281, "1","0")</f>
        <v>0</v>
      </c>
      <c r="BN917">
        <f xml:space="preserve"> IF( AND( $BL$917 = "1", $BM$917 = "1" ), 1, IF( AND( $BL$917 = "1", $BM$917 = "0" ), 2, IF( AND( $BL$917 = "0", $BM$917 = "1" ), 3, 4 ) ) )</f>
        <v>4</v>
      </c>
    </row>
    <row r="918" spans="58:66" x14ac:dyDescent="0.25">
      <c r="BF918" s="1">
        <v>0</v>
      </c>
      <c r="BG918" t="str">
        <f>"0"</f>
        <v>0</v>
      </c>
      <c r="BH918" t="str">
        <f xml:space="preserve"> IF($BF$918 &gt;= $G$204, "1","0")</f>
        <v>0</v>
      </c>
      <c r="BI918">
        <f xml:space="preserve"> IF( AND( $BG$918 = "1", $BH$918 = "1" ), 1, IF( AND( $BG$918 = "1", $BH$918 = "0" ), 2, IF( AND( $BG$918 = "0", $BH$918 = "1" ), 3, 4 ) ) )</f>
        <v>4</v>
      </c>
      <c r="BK918" s="1">
        <v>2.5000000000000001E-3</v>
      </c>
      <c r="BL918" t="str">
        <f>"0"</f>
        <v>0</v>
      </c>
      <c r="BM918" t="str">
        <f xml:space="preserve"> IF($BK$918 &gt;= $G$281, "1","0")</f>
        <v>0</v>
      </c>
      <c r="BN918">
        <f xml:space="preserve"> IF( AND( $BL$918 = "1", $BM$918 = "1" ), 1, IF( AND( $BL$918 = "1", $BM$918 = "0" ), 2, IF( AND( $BL$918 = "0", $BM$918 = "1" ), 3, 4 ) ) )</f>
        <v>4</v>
      </c>
    </row>
    <row r="919" spans="58:66" x14ac:dyDescent="0.25">
      <c r="BF919" s="1">
        <v>0</v>
      </c>
      <c r="BG919" t="str">
        <f>"0"</f>
        <v>0</v>
      </c>
      <c r="BH919" t="str">
        <f xml:space="preserve"> IF($BF$919 &gt;= $G$204, "1","0")</f>
        <v>0</v>
      </c>
      <c r="BI919">
        <f xml:space="preserve"> IF( AND( $BG$919 = "1", $BH$919 = "1" ), 1, IF( AND( $BG$919 = "1", $BH$919 = "0" ), 2, IF( AND( $BG$919 = "0", $BH$919 = "1" ), 3, 4 ) ) )</f>
        <v>4</v>
      </c>
      <c r="BK919" s="1">
        <v>0.90476190476190477</v>
      </c>
      <c r="BL919" t="str">
        <f>"0"</f>
        <v>0</v>
      </c>
      <c r="BM919" t="str">
        <f xml:space="preserve"> IF($BK$919 &gt;= $G$281, "1","0")</f>
        <v>1</v>
      </c>
      <c r="BN919">
        <f xml:space="preserve"> IF( AND( $BL$919 = "1", $BM$919 = "1" ), 1, IF( AND( $BL$919 = "1", $BM$919 = "0" ), 2, IF( AND( $BL$919 = "0", $BM$919 = "1" ), 3, 4 ) ) )</f>
        <v>3</v>
      </c>
    </row>
    <row r="920" spans="58:66" x14ac:dyDescent="0.25">
      <c r="BF920" s="1">
        <v>0</v>
      </c>
      <c r="BG920" t="str">
        <f>"0"</f>
        <v>0</v>
      </c>
      <c r="BH920" t="str">
        <f xml:space="preserve"> IF($BF$920 &gt;= $G$204, "1","0")</f>
        <v>0</v>
      </c>
      <c r="BI920">
        <f xml:space="preserve"> IF( AND( $BG$920 = "1", $BH$920 = "1" ), 1, IF( AND( $BG$920 = "1", $BH$920 = "0" ), 2, IF( AND( $BG$920 = "0", $BH$920 = "1" ), 3, 4 ) ) )</f>
        <v>4</v>
      </c>
      <c r="BK920" s="1">
        <v>3.333333333333334E-2</v>
      </c>
      <c r="BL920" t="str">
        <f>"0"</f>
        <v>0</v>
      </c>
      <c r="BM920" t="str">
        <f xml:space="preserve"> IF($BK$920 &gt;= $G$281, "1","0")</f>
        <v>0</v>
      </c>
      <c r="BN920">
        <f xml:space="preserve"> IF( AND( $BL$920 = "1", $BM$920 = "1" ), 1, IF( AND( $BL$920 = "1", $BM$920 = "0" ), 2, IF( AND( $BL$920 = "0", $BM$920 = "1" ), 3, 4 ) ) )</f>
        <v>4</v>
      </c>
    </row>
    <row r="921" spans="58:66" x14ac:dyDescent="0.25">
      <c r="BF921" s="1">
        <v>0</v>
      </c>
      <c r="BG921" t="str">
        <f>"0"</f>
        <v>0</v>
      </c>
      <c r="BH921" t="str">
        <f xml:space="preserve"> IF($BF$921 &gt;= $G$204, "1","0")</f>
        <v>0</v>
      </c>
      <c r="BI921">
        <f xml:space="preserve"> IF( AND( $BG$921 = "1", $BH$921 = "1" ), 1, IF( AND( $BG$921 = "1", $BH$921 = "0" ), 2, IF( AND( $BG$921 = "0", $BH$921 = "1" ), 3, 4 ) ) )</f>
        <v>4</v>
      </c>
      <c r="BK921" s="1">
        <v>1</v>
      </c>
      <c r="BL921" t="str">
        <f>"1"</f>
        <v>1</v>
      </c>
      <c r="BM921" t="str">
        <f xml:space="preserve"> IF($BK$921 &gt;= $G$281, "1","0")</f>
        <v>1</v>
      </c>
      <c r="BN921">
        <f xml:space="preserve"> IF( AND( $BL$921 = "1", $BM$921 = "1" ), 1, IF( AND( $BL$921 = "1", $BM$921 = "0" ), 2, IF( AND( $BL$921 = "0", $BM$921 = "1" ), 3, 4 ) ) )</f>
        <v>1</v>
      </c>
    </row>
    <row r="922" spans="58:66" x14ac:dyDescent="0.25">
      <c r="BF922" s="1">
        <v>0</v>
      </c>
      <c r="BG922" t="str">
        <f>"0"</f>
        <v>0</v>
      </c>
      <c r="BH922" t="str">
        <f xml:space="preserve"> IF($BF$922 &gt;= $G$204, "1","0")</f>
        <v>0</v>
      </c>
      <c r="BI922">
        <f xml:space="preserve"> IF( AND( $BG$922 = "1", $BH$922 = "1" ), 1, IF( AND( $BG$922 = "1", $BH$922 = "0" ), 2, IF( AND( $BG$922 = "0", $BH$922 = "1" ), 3, 4 ) ) )</f>
        <v>4</v>
      </c>
      <c r="BK922" s="1">
        <v>2.5000000000000001E-3</v>
      </c>
      <c r="BL922" t="str">
        <f>"0"</f>
        <v>0</v>
      </c>
      <c r="BM922" t="str">
        <f xml:space="preserve"> IF($BK$922 &gt;= $G$281, "1","0")</f>
        <v>0</v>
      </c>
      <c r="BN922">
        <f xml:space="preserve"> IF( AND( $BL$922 = "1", $BM$922 = "1" ), 1, IF( AND( $BL$922 = "1", $BM$922 = "0" ), 2, IF( AND( $BL$922 = "0", $BM$922 = "1" ), 3, 4 ) ) )</f>
        <v>4</v>
      </c>
    </row>
    <row r="923" spans="58:66" x14ac:dyDescent="0.25">
      <c r="BF923" s="1">
        <v>0</v>
      </c>
      <c r="BG923" t="str">
        <f>"0"</f>
        <v>0</v>
      </c>
      <c r="BH923" t="str">
        <f xml:space="preserve"> IF($BF$923 &gt;= $G$204, "1","0")</f>
        <v>0</v>
      </c>
      <c r="BI923">
        <f xml:space="preserve"> IF( AND( $BG$923 = "1", $BH$923 = "1" ), 1, IF( AND( $BG$923 = "1", $BH$923 = "0" ), 2, IF( AND( $BG$923 = "0", $BH$923 = "1" ), 3, 4 ) ) )</f>
        <v>4</v>
      </c>
      <c r="BK923" s="1">
        <v>1</v>
      </c>
      <c r="BL923" t="str">
        <f>"1"</f>
        <v>1</v>
      </c>
      <c r="BM923" t="str">
        <f xml:space="preserve"> IF($BK$923 &gt;= $G$281, "1","0")</f>
        <v>1</v>
      </c>
      <c r="BN923">
        <f xml:space="preserve"> IF( AND( $BL$923 = "1", $BM$923 = "1" ), 1, IF( AND( $BL$923 = "1", $BM$923 = "0" ), 2, IF( AND( $BL$923 = "0", $BM$923 = "1" ), 3, 4 ) ) )</f>
        <v>1</v>
      </c>
    </row>
    <row r="924" spans="58:66" x14ac:dyDescent="0.25">
      <c r="BF924" s="1">
        <v>0.79999999999999993</v>
      </c>
      <c r="BG924" t="str">
        <f>"0"</f>
        <v>0</v>
      </c>
      <c r="BH924" t="str">
        <f xml:space="preserve"> IF($BF$924 &gt;= $G$204, "1","0")</f>
        <v>1</v>
      </c>
      <c r="BI924">
        <f xml:space="preserve"> IF( AND( $BG$924 = "1", $BH$924 = "1" ), 1, IF( AND( $BG$924 = "1", $BH$924 = "0" ), 2, IF( AND( $BG$924 = "0", $BH$924 = "1" ), 3, 4 ) ) )</f>
        <v>3</v>
      </c>
      <c r="BK924" s="1">
        <v>1</v>
      </c>
      <c r="BL924" t="str">
        <f>"1"</f>
        <v>1</v>
      </c>
      <c r="BM924" t="str">
        <f xml:space="preserve"> IF($BK$924 &gt;= $G$281, "1","0")</f>
        <v>1</v>
      </c>
      <c r="BN924">
        <f xml:space="preserve"> IF( AND( $BL$924 = "1", $BM$924 = "1" ), 1, IF( AND( $BL$924 = "1", $BM$924 = "0" ), 2, IF( AND( $BL$924 = "0", $BM$924 = "1" ), 3, 4 ) ) )</f>
        <v>1</v>
      </c>
    </row>
    <row r="925" spans="58:66" x14ac:dyDescent="0.25">
      <c r="BF925" s="1">
        <v>0.79999999999999993</v>
      </c>
      <c r="BG925" t="str">
        <f>"0"</f>
        <v>0</v>
      </c>
      <c r="BH925" t="str">
        <f xml:space="preserve"> IF($BF$925 &gt;= $G$204, "1","0")</f>
        <v>1</v>
      </c>
      <c r="BI925">
        <f xml:space="preserve"> IF( AND( $BG$925 = "1", $BH$925 = "1" ), 1, IF( AND( $BG$925 = "1", $BH$925 = "0" ), 2, IF( AND( $BG$925 = "0", $BH$925 = "1" ), 3, 4 ) ) )</f>
        <v>3</v>
      </c>
      <c r="BK925" s="1">
        <v>0.83333333333333326</v>
      </c>
      <c r="BL925" t="str">
        <f>"1"</f>
        <v>1</v>
      </c>
      <c r="BM925" t="str">
        <f xml:space="preserve"> IF($BK$925 &gt;= $G$281, "1","0")</f>
        <v>1</v>
      </c>
      <c r="BN925">
        <f xml:space="preserve"> IF( AND( $BL$925 = "1", $BM$925 = "1" ), 1, IF( AND( $BL$925 = "1", $BM$925 = "0" ), 2, IF( AND( $BL$925 = "0", $BM$925 = "1" ), 3, 4 ) ) )</f>
        <v>1</v>
      </c>
    </row>
    <row r="926" spans="58:66" x14ac:dyDescent="0.25">
      <c r="BF926" s="1">
        <v>0.79999999999999993</v>
      </c>
      <c r="BG926" t="str">
        <f>"0"</f>
        <v>0</v>
      </c>
      <c r="BH926" t="str">
        <f xml:space="preserve"> IF($BF$926 &gt;= $G$204, "1","0")</f>
        <v>1</v>
      </c>
      <c r="BI926">
        <f xml:space="preserve"> IF( AND( $BG$926 = "1", $BH$926 = "1" ), 1, IF( AND( $BG$926 = "1", $BH$926 = "0" ), 2, IF( AND( $BG$926 = "0", $BH$926 = "1" ), 3, 4 ) ) )</f>
        <v>3</v>
      </c>
      <c r="BK926" s="1">
        <v>3.333333333333334E-2</v>
      </c>
      <c r="BL926" t="str">
        <f>"0"</f>
        <v>0</v>
      </c>
      <c r="BM926" t="str">
        <f xml:space="preserve"> IF($BK$926 &gt;= $G$281, "1","0")</f>
        <v>0</v>
      </c>
      <c r="BN926">
        <f xml:space="preserve"> IF( AND( $BL$926 = "1", $BM$926 = "1" ), 1, IF( AND( $BL$926 = "1", $BM$926 = "0" ), 2, IF( AND( $BL$926 = "0", $BM$926 = "1" ), 3, 4 ) ) )</f>
        <v>4</v>
      </c>
    </row>
    <row r="927" spans="58:66" x14ac:dyDescent="0.25">
      <c r="BF927" s="1">
        <v>0.79999999999999993</v>
      </c>
      <c r="BG927" t="str">
        <f>"0"</f>
        <v>0</v>
      </c>
      <c r="BH927" t="str">
        <f xml:space="preserve"> IF($BF$927 &gt;= $G$204, "1","0")</f>
        <v>1</v>
      </c>
      <c r="BI927">
        <f xml:space="preserve"> IF( AND( $BG$927 = "1", $BH$927 = "1" ), 1, IF( AND( $BG$927 = "1", $BH$927 = "0" ), 2, IF( AND( $BG$927 = "0", $BH$927 = "1" ), 3, 4 ) ) )</f>
        <v>3</v>
      </c>
      <c r="BK927" s="1">
        <v>1</v>
      </c>
      <c r="BL927" t="str">
        <f>"1"</f>
        <v>1</v>
      </c>
      <c r="BM927" t="str">
        <f xml:space="preserve"> IF($BK$927 &gt;= $G$281, "1","0")</f>
        <v>1</v>
      </c>
      <c r="BN927">
        <f xml:space="preserve"> IF( AND( $BL$927 = "1", $BM$927 = "1" ), 1, IF( AND( $BL$927 = "1", $BM$927 = "0" ), 2, IF( AND( $BL$927 = "0", $BM$927 = "1" ), 3, 4 ) ) )</f>
        <v>1</v>
      </c>
    </row>
    <row r="928" spans="58:66" x14ac:dyDescent="0.25">
      <c r="BF928" s="1">
        <v>0.79999999999999993</v>
      </c>
      <c r="BG928" t="str">
        <f>"0"</f>
        <v>0</v>
      </c>
      <c r="BH928" t="str">
        <f xml:space="preserve"> IF($BF$928 &gt;= $G$204, "1","0")</f>
        <v>1</v>
      </c>
      <c r="BI928">
        <f xml:space="preserve"> IF( AND( $BG$928 = "1", $BH$928 = "1" ), 1, IF( AND( $BG$928 = "1", $BH$928 = "0" ), 2, IF( AND( $BG$928 = "0", $BH$928 = "1" ), 3, 4 ) ) )</f>
        <v>3</v>
      </c>
      <c r="BK928" s="1">
        <v>2.5000000000000001E-3</v>
      </c>
      <c r="BL928" t="str">
        <f>"0"</f>
        <v>0</v>
      </c>
      <c r="BM928" t="str">
        <f xml:space="preserve"> IF($BK$928 &gt;= $G$281, "1","0")</f>
        <v>0</v>
      </c>
      <c r="BN928">
        <f xml:space="preserve"> IF( AND( $BL$928 = "1", $BM$928 = "1" ), 1, IF( AND( $BL$928 = "1", $BM$928 = "0" ), 2, IF( AND( $BL$928 = "0", $BM$928 = "1" ), 3, 4 ) ) )</f>
        <v>4</v>
      </c>
    </row>
    <row r="929" spans="58:66" x14ac:dyDescent="0.25">
      <c r="BF929" s="1">
        <v>0</v>
      </c>
      <c r="BG929" t="str">
        <f>"0"</f>
        <v>0</v>
      </c>
      <c r="BH929" t="str">
        <f xml:space="preserve"> IF($BF$929 &gt;= $G$204, "1","0")</f>
        <v>0</v>
      </c>
      <c r="BI929">
        <f xml:space="preserve"> IF( AND( $BG$929 = "1", $BH$929 = "1" ), 1, IF( AND( $BG$929 = "1", $BH$929 = "0" ), 2, IF( AND( $BG$929 = "0", $BH$929 = "1" ), 3, 4 ) ) )</f>
        <v>4</v>
      </c>
      <c r="BK929" s="1">
        <v>1.8947368421052633E-2</v>
      </c>
      <c r="BL929" t="str">
        <f>"0"</f>
        <v>0</v>
      </c>
      <c r="BM929" t="str">
        <f xml:space="preserve"> IF($BK$929 &gt;= $G$281, "1","0")</f>
        <v>0</v>
      </c>
      <c r="BN929">
        <f xml:space="preserve"> IF( AND( $BL$929 = "1", $BM$929 = "1" ), 1, IF( AND( $BL$929 = "1", $BM$929 = "0" ), 2, IF( AND( $BL$929 = "0", $BM$929 = "1" ), 3, 4 ) ) )</f>
        <v>4</v>
      </c>
    </row>
    <row r="930" spans="58:66" x14ac:dyDescent="0.25">
      <c r="BF930" s="1">
        <v>0</v>
      </c>
      <c r="BG930" t="str">
        <f>"0"</f>
        <v>0</v>
      </c>
      <c r="BH930" t="str">
        <f xml:space="preserve"> IF($BF$930 &gt;= $G$204, "1","0")</f>
        <v>0</v>
      </c>
      <c r="BI930">
        <f xml:space="preserve"> IF( AND( $BG$930 = "1", $BH$930 = "1" ), 1, IF( AND( $BG$930 = "1", $BH$930 = "0" ), 2, IF( AND( $BG$930 = "0", $BH$930 = "1" ), 3, 4 ) ) )</f>
        <v>4</v>
      </c>
      <c r="BK930" s="1">
        <v>1</v>
      </c>
      <c r="BL930" t="str">
        <f>"1"</f>
        <v>1</v>
      </c>
      <c r="BM930" t="str">
        <f xml:space="preserve"> IF($BK$930 &gt;= $G$281, "1","0")</f>
        <v>1</v>
      </c>
      <c r="BN930">
        <f xml:space="preserve"> IF( AND( $BL$930 = "1", $BM$930 = "1" ), 1, IF( AND( $BL$930 = "1", $BM$930 = "0" ), 2, IF( AND( $BL$930 = "0", $BM$930 = "1" ), 3, 4 ) ) )</f>
        <v>1</v>
      </c>
    </row>
    <row r="931" spans="58:66" x14ac:dyDescent="0.25">
      <c r="BF931" s="1">
        <v>0</v>
      </c>
      <c r="BG931" t="str">
        <f>"0"</f>
        <v>0</v>
      </c>
      <c r="BH931" t="str">
        <f xml:space="preserve"> IF($BF$931 &gt;= $G$204, "1","0")</f>
        <v>0</v>
      </c>
      <c r="BI931">
        <f xml:space="preserve"> IF( AND( $BG$931 = "1", $BH$931 = "1" ), 1, IF( AND( $BG$931 = "1", $BH$931 = "0" ), 2, IF( AND( $BG$931 = "0", $BH$931 = "1" ), 3, 4 ) ) )</f>
        <v>4</v>
      </c>
      <c r="BK931" s="1">
        <v>0.79999999999999993</v>
      </c>
      <c r="BL931" t="str">
        <f>"1"</f>
        <v>1</v>
      </c>
      <c r="BM931" t="str">
        <f xml:space="preserve"> IF($BK$931 &gt;= $G$281, "1","0")</f>
        <v>1</v>
      </c>
      <c r="BN931">
        <f xml:space="preserve"> IF( AND( $BL$931 = "1", $BM$931 = "1" ), 1, IF( AND( $BL$931 = "1", $BM$931 = "0" ), 2, IF( AND( $BL$931 = "0", $BM$931 = "1" ), 3, 4 ) ) )</f>
        <v>1</v>
      </c>
    </row>
    <row r="932" spans="58:66" x14ac:dyDescent="0.25">
      <c r="BF932" s="1">
        <v>0</v>
      </c>
      <c r="BG932" t="str">
        <f>"0"</f>
        <v>0</v>
      </c>
      <c r="BH932" t="str">
        <f xml:space="preserve"> IF($BF$932 &gt;= $G$204, "1","0")</f>
        <v>0</v>
      </c>
      <c r="BI932">
        <f xml:space="preserve"> IF( AND( $BG$932 = "1", $BH$932 = "1" ), 1, IF( AND( $BG$932 = "1", $BH$932 = "0" ), 2, IF( AND( $BG$932 = "0", $BH$932 = "1" ), 3, 4 ) ) )</f>
        <v>4</v>
      </c>
      <c r="BK932" s="1">
        <v>2.5000000000000001E-3</v>
      </c>
      <c r="BL932" t="str">
        <f>"0"</f>
        <v>0</v>
      </c>
      <c r="BM932" t="str">
        <f xml:space="preserve"> IF($BK$932 &gt;= $G$281, "1","0")</f>
        <v>0</v>
      </c>
      <c r="BN932">
        <f xml:space="preserve"> IF( AND( $BL$932 = "1", $BM$932 = "1" ), 1, IF( AND( $BL$932 = "1", $BM$932 = "0" ), 2, IF( AND( $BL$932 = "0", $BM$932 = "1" ), 3, 4 ) ) )</f>
        <v>4</v>
      </c>
    </row>
    <row r="933" spans="58:66" x14ac:dyDescent="0.25">
      <c r="BF933" s="1">
        <v>0</v>
      </c>
      <c r="BG933" t="str">
        <f>"0"</f>
        <v>0</v>
      </c>
      <c r="BH933" t="str">
        <f xml:space="preserve"> IF($BF$933 &gt;= $G$204, "1","0")</f>
        <v>0</v>
      </c>
      <c r="BI933">
        <f xml:space="preserve"> IF( AND( $BG$933 = "1", $BH$933 = "1" ), 1, IF( AND( $BG$933 = "1", $BH$933 = "0" ), 2, IF( AND( $BG$933 = "0", $BH$933 = "1" ), 3, 4 ) ) )</f>
        <v>4</v>
      </c>
      <c r="BK933" s="1">
        <v>0</v>
      </c>
      <c r="BL933" t="str">
        <f>"0"</f>
        <v>0</v>
      </c>
      <c r="BM933" t="str">
        <f xml:space="preserve"> IF($BK$933 &gt;= $G$281, "1","0")</f>
        <v>0</v>
      </c>
      <c r="BN933">
        <f xml:space="preserve"> IF( AND( $BL$933 = "1", $BM$933 = "1" ), 1, IF( AND( $BL$933 = "1", $BM$933 = "0" ), 2, IF( AND( $BL$933 = "0", $BM$933 = "1" ), 3, 4 ) ) )</f>
        <v>4</v>
      </c>
    </row>
    <row r="934" spans="58:66" x14ac:dyDescent="0.25">
      <c r="BF934" s="1">
        <v>0</v>
      </c>
      <c r="BG934" t="str">
        <f>"0"</f>
        <v>0</v>
      </c>
      <c r="BH934" t="str">
        <f xml:space="preserve"> IF($BF$934 &gt;= $G$204, "1","0")</f>
        <v>0</v>
      </c>
      <c r="BI934">
        <f xml:space="preserve"> IF( AND( $BG$934 = "1", $BH$934 = "1" ), 1, IF( AND( $BG$934 = "1", $BH$934 = "0" ), 2, IF( AND( $BG$934 = "0", $BH$934 = "1" ), 3, 4 ) ) )</f>
        <v>4</v>
      </c>
      <c r="BK934" s="1">
        <v>0.14285714285714288</v>
      </c>
      <c r="BL934" t="str">
        <f>"0"</f>
        <v>0</v>
      </c>
      <c r="BM934" t="str">
        <f xml:space="preserve"> IF($BK$934 &gt;= $G$281, "1","0")</f>
        <v>0</v>
      </c>
      <c r="BN934">
        <f xml:space="preserve"> IF( AND( $BL$934 = "1", $BM$934 = "1" ), 1, IF( AND( $BL$934 = "1", $BM$934 = "0" ), 2, IF( AND( $BL$934 = "0", $BM$934 = "1" ), 3, 4 ) ) )</f>
        <v>4</v>
      </c>
    </row>
    <row r="935" spans="58:66" x14ac:dyDescent="0.25">
      <c r="BF935" s="1">
        <v>0</v>
      </c>
      <c r="BG935" t="str">
        <f>"0"</f>
        <v>0</v>
      </c>
      <c r="BH935" t="str">
        <f xml:space="preserve"> IF($BF$935 &gt;= $G$204, "1","0")</f>
        <v>0</v>
      </c>
      <c r="BI935">
        <f xml:space="preserve"> IF( AND( $BG$935 = "1", $BH$935 = "1" ), 1, IF( AND( $BG$935 = "1", $BH$935 = "0" ), 2, IF( AND( $BG$935 = "0", $BH$935 = "1" ), 3, 4 ) ) )</f>
        <v>4</v>
      </c>
      <c r="BK935" s="1">
        <v>1.8947368421052633E-2</v>
      </c>
      <c r="BL935" t="str">
        <f>"0"</f>
        <v>0</v>
      </c>
      <c r="BM935" t="str">
        <f xml:space="preserve"> IF($BK$935 &gt;= $G$281, "1","0")</f>
        <v>0</v>
      </c>
      <c r="BN935">
        <f xml:space="preserve"> IF( AND( $BL$935 = "1", $BM$935 = "1" ), 1, IF( AND( $BL$935 = "1", $BM$935 = "0" ), 2, IF( AND( $BL$935 = "0", $BM$935 = "1" ), 3, 4 ) ) )</f>
        <v>4</v>
      </c>
    </row>
    <row r="936" spans="58:66" x14ac:dyDescent="0.25">
      <c r="BF936" s="1">
        <v>0</v>
      </c>
      <c r="BG936" t="str">
        <f>"0"</f>
        <v>0</v>
      </c>
      <c r="BH936" t="str">
        <f xml:space="preserve"> IF($BF$936 &gt;= $G$204, "1","0")</f>
        <v>0</v>
      </c>
      <c r="BI936">
        <f xml:space="preserve"> IF( AND( $BG$936 = "1", $BH$936 = "1" ), 1, IF( AND( $BG$936 = "1", $BH$936 = "0" ), 2, IF( AND( $BG$936 = "0", $BH$936 = "1" ), 3, 4 ) ) )</f>
        <v>4</v>
      </c>
      <c r="BK936" s="1">
        <v>1.8947368421052633E-2</v>
      </c>
      <c r="BL936" t="str">
        <f>"0"</f>
        <v>0</v>
      </c>
      <c r="BM936" t="str">
        <f xml:space="preserve"> IF($BK$936 &gt;= $G$281, "1","0")</f>
        <v>0</v>
      </c>
      <c r="BN936">
        <f xml:space="preserve"> IF( AND( $BL$936 = "1", $BM$936 = "1" ), 1, IF( AND( $BL$936 = "1", $BM$936 = "0" ), 2, IF( AND( $BL$936 = "0", $BM$936 = "1" ), 3, 4 ) ) )</f>
        <v>4</v>
      </c>
    </row>
    <row r="937" spans="58:66" x14ac:dyDescent="0.25">
      <c r="BF937" s="1">
        <v>0</v>
      </c>
      <c r="BG937" t="str">
        <f>"0"</f>
        <v>0</v>
      </c>
      <c r="BH937" t="str">
        <f xml:space="preserve"> IF($BF$937 &gt;= $G$204, "1","0")</f>
        <v>0</v>
      </c>
      <c r="BI937">
        <f xml:space="preserve"> IF( AND( $BG$937 = "1", $BH$937 = "1" ), 1, IF( AND( $BG$937 = "1", $BH$937 = "0" ), 2, IF( AND( $BG$937 = "0", $BH$937 = "1" ), 3, 4 ) ) )</f>
        <v>4</v>
      </c>
      <c r="BK937" s="1">
        <v>0</v>
      </c>
      <c r="BL937" t="str">
        <f>"0"</f>
        <v>0</v>
      </c>
      <c r="BM937" t="str">
        <f xml:space="preserve"> IF($BK$937 &gt;= $G$281, "1","0")</f>
        <v>0</v>
      </c>
      <c r="BN937">
        <f xml:space="preserve"> IF( AND( $BL$937 = "1", $BM$937 = "1" ), 1, IF( AND( $BL$937 = "1", $BM$937 = "0" ), 2, IF( AND( $BL$937 = "0", $BM$937 = "1" ), 3, 4 ) ) )</f>
        <v>4</v>
      </c>
    </row>
    <row r="938" spans="58:66" x14ac:dyDescent="0.25">
      <c r="BF938" s="1">
        <v>0</v>
      </c>
      <c r="BG938" t="str">
        <f>"0"</f>
        <v>0</v>
      </c>
      <c r="BH938" t="str">
        <f xml:space="preserve"> IF($BF$938 &gt;= $G$204, "1","0")</f>
        <v>0</v>
      </c>
      <c r="BI938">
        <f xml:space="preserve"> IF( AND( $BG$938 = "1", $BH$938 = "1" ), 1, IF( AND( $BG$938 = "1", $BH$938 = "0" ), 2, IF( AND( $BG$938 = "0", $BH$938 = "1" ), 3, 4 ) ) )</f>
        <v>4</v>
      </c>
      <c r="BK938" s="1">
        <v>3.333333333333334E-2</v>
      </c>
      <c r="BL938" t="str">
        <f>"0"</f>
        <v>0</v>
      </c>
      <c r="BM938" t="str">
        <f xml:space="preserve"> IF($BK$938 &gt;= $G$281, "1","0")</f>
        <v>0</v>
      </c>
      <c r="BN938">
        <f xml:space="preserve"> IF( AND( $BL$938 = "1", $BM$938 = "1" ), 1, IF( AND( $BL$938 = "1", $BM$938 = "0" ), 2, IF( AND( $BL$938 = "0", $BM$938 = "1" ), 3, 4 ) ) )</f>
        <v>4</v>
      </c>
    </row>
    <row r="939" spans="58:66" x14ac:dyDescent="0.25">
      <c r="BF939" s="1">
        <v>0</v>
      </c>
      <c r="BG939" t="str">
        <f>"0"</f>
        <v>0</v>
      </c>
      <c r="BH939" t="str">
        <f xml:space="preserve"> IF($BF$939 &gt;= $G$204, "1","0")</f>
        <v>0</v>
      </c>
      <c r="BI939">
        <f xml:space="preserve"> IF( AND( $BG$939 = "1", $BH$939 = "1" ), 1, IF( AND( $BG$939 = "1", $BH$939 = "0" ), 2, IF( AND( $BG$939 = "0", $BH$939 = "1" ), 3, 4 ) ) )</f>
        <v>4</v>
      </c>
      <c r="BK939" s="1">
        <v>2.5000000000000001E-3</v>
      </c>
      <c r="BL939" t="str">
        <f>"0"</f>
        <v>0</v>
      </c>
      <c r="BM939" t="str">
        <f xml:space="preserve"> IF($BK$939 &gt;= $G$281, "1","0")</f>
        <v>0</v>
      </c>
      <c r="BN939">
        <f xml:space="preserve"> IF( AND( $BL$939 = "1", $BM$939 = "1" ), 1, IF( AND( $BL$939 = "1", $BM$939 = "0" ), 2, IF( AND( $BL$939 = "0", $BM$939 = "1" ), 3, 4 ) ) )</f>
        <v>4</v>
      </c>
    </row>
    <row r="940" spans="58:66" x14ac:dyDescent="0.25">
      <c r="BF940" s="1">
        <v>0</v>
      </c>
      <c r="BG940" t="str">
        <f>"0"</f>
        <v>0</v>
      </c>
      <c r="BH940" t="str">
        <f xml:space="preserve"> IF($BF$940 &gt;= $G$204, "1","0")</f>
        <v>0</v>
      </c>
      <c r="BI940">
        <f xml:space="preserve"> IF( AND( $BG$940 = "1", $BH$940 = "1" ), 1, IF( AND( $BG$940 = "1", $BH$940 = "0" ), 2, IF( AND( $BG$940 = "0", $BH$940 = "1" ), 3, 4 ) ) )</f>
        <v>4</v>
      </c>
      <c r="BK940" s="1">
        <v>1.8947368421052633E-2</v>
      </c>
      <c r="BL940" t="str">
        <f>"0"</f>
        <v>0</v>
      </c>
      <c r="BM940" t="str">
        <f xml:space="preserve"> IF($BK$940 &gt;= $G$281, "1","0")</f>
        <v>0</v>
      </c>
      <c r="BN940">
        <f xml:space="preserve"> IF( AND( $BL$940 = "1", $BM$940 = "1" ), 1, IF( AND( $BL$940 = "1", $BM$940 = "0" ), 2, IF( AND( $BL$940 = "0", $BM$940 = "1" ), 3, 4 ) ) )</f>
        <v>4</v>
      </c>
    </row>
    <row r="941" spans="58:66" x14ac:dyDescent="0.25">
      <c r="BF941" s="1">
        <v>0</v>
      </c>
      <c r="BG941" t="str">
        <f>"0"</f>
        <v>0</v>
      </c>
      <c r="BH941" t="str">
        <f xml:space="preserve"> IF($BF$941 &gt;= $G$204, "1","0")</f>
        <v>0</v>
      </c>
      <c r="BI941">
        <f xml:space="preserve"> IF( AND( $BG$941 = "1", $BH$941 = "1" ), 1, IF( AND( $BG$941 = "1", $BH$941 = "0" ), 2, IF( AND( $BG$941 = "0", $BH$941 = "1" ), 3, 4 ) ) )</f>
        <v>4</v>
      </c>
      <c r="BK941" s="1">
        <v>3.333333333333334E-2</v>
      </c>
      <c r="BL941" t="str">
        <f>"0"</f>
        <v>0</v>
      </c>
      <c r="BM941" t="str">
        <f xml:space="preserve"> IF($BK$941 &gt;= $G$281, "1","0")</f>
        <v>0</v>
      </c>
      <c r="BN941">
        <f xml:space="preserve"> IF( AND( $BL$941 = "1", $BM$941 = "1" ), 1, IF( AND( $BL$941 = "1", $BM$941 = "0" ), 2, IF( AND( $BL$941 = "0", $BM$941 = "1" ), 3, 4 ) ) )</f>
        <v>4</v>
      </c>
    </row>
    <row r="942" spans="58:66" x14ac:dyDescent="0.25">
      <c r="BF942" s="1">
        <v>0</v>
      </c>
      <c r="BG942" t="str">
        <f>"0"</f>
        <v>0</v>
      </c>
      <c r="BH942" t="str">
        <f xml:space="preserve"> IF($BF$942 &gt;= $G$204, "1","0")</f>
        <v>0</v>
      </c>
      <c r="BI942">
        <f xml:space="preserve"> IF( AND( $BG$942 = "1", $BH$942 = "1" ), 1, IF( AND( $BG$942 = "1", $BH$942 = "0" ), 2, IF( AND( $BG$942 = "0", $BH$942 = "1" ), 3, 4 ) ) )</f>
        <v>4</v>
      </c>
      <c r="BK942" s="1">
        <v>0.37500000000000006</v>
      </c>
      <c r="BL942" t="str">
        <f>"1"</f>
        <v>1</v>
      </c>
      <c r="BM942" t="str">
        <f xml:space="preserve"> IF($BK$942 &gt;= $G$281, "1","0")</f>
        <v>1</v>
      </c>
      <c r="BN942">
        <f xml:space="preserve"> IF( AND( $BL$942 = "1", $BM$942 = "1" ), 1, IF( AND( $BL$942 = "1", $BM$942 = "0" ), 2, IF( AND( $BL$942 = "0", $BM$942 = "1" ), 3, 4 ) ) )</f>
        <v>1</v>
      </c>
    </row>
    <row r="943" spans="58:66" x14ac:dyDescent="0.25">
      <c r="BF943" s="1">
        <v>0</v>
      </c>
      <c r="BG943" t="str">
        <f>"0"</f>
        <v>0</v>
      </c>
      <c r="BH943" t="str">
        <f xml:space="preserve"> IF($BF$943 &gt;= $G$204, "1","0")</f>
        <v>0</v>
      </c>
      <c r="BI943">
        <f xml:space="preserve"> IF( AND( $BG$943 = "1", $BH$943 = "1" ), 1, IF( AND( $BG$943 = "1", $BH$943 = "0" ), 2, IF( AND( $BG$943 = "0", $BH$943 = "1" ), 3, 4 ) ) )</f>
        <v>4</v>
      </c>
      <c r="BK943" s="1">
        <v>0</v>
      </c>
      <c r="BL943" t="str">
        <f>"0"</f>
        <v>0</v>
      </c>
      <c r="BM943" t="str">
        <f xml:space="preserve"> IF($BK$943 &gt;= $G$281, "1","0")</f>
        <v>0</v>
      </c>
      <c r="BN943">
        <f xml:space="preserve"> IF( AND( $BL$943 = "1", $BM$943 = "1" ), 1, IF( AND( $BL$943 = "1", $BM$943 = "0" ), 2, IF( AND( $BL$943 = "0", $BM$943 = "1" ), 3, 4 ) ) )</f>
        <v>4</v>
      </c>
    </row>
    <row r="944" spans="58:66" x14ac:dyDescent="0.25">
      <c r="BF944" s="1">
        <v>0</v>
      </c>
      <c r="BG944" t="str">
        <f>"0"</f>
        <v>0</v>
      </c>
      <c r="BH944" t="str">
        <f xml:space="preserve"> IF($BF$944 &gt;= $G$204, "1","0")</f>
        <v>0</v>
      </c>
      <c r="BI944">
        <f xml:space="preserve"> IF( AND( $BG$944 = "1", $BH$944 = "1" ), 1, IF( AND( $BG$944 = "1", $BH$944 = "0" ), 2, IF( AND( $BG$944 = "0", $BH$944 = "1" ), 3, 4 ) ) )</f>
        <v>4</v>
      </c>
      <c r="BK944" s="1">
        <v>1</v>
      </c>
      <c r="BL944" t="str">
        <f>"1"</f>
        <v>1</v>
      </c>
      <c r="BM944" t="str">
        <f xml:space="preserve"> IF($BK$944 &gt;= $G$281, "1","0")</f>
        <v>1</v>
      </c>
      <c r="BN944">
        <f xml:space="preserve"> IF( AND( $BL$944 = "1", $BM$944 = "1" ), 1, IF( AND( $BL$944 = "1", $BM$944 = "0" ), 2, IF( AND( $BL$944 = "0", $BM$944 = "1" ), 3, 4 ) ) )</f>
        <v>1</v>
      </c>
    </row>
    <row r="945" spans="58:66" x14ac:dyDescent="0.25">
      <c r="BF945" s="1">
        <v>0</v>
      </c>
      <c r="BG945" t="str">
        <f>"0"</f>
        <v>0</v>
      </c>
      <c r="BH945" t="str">
        <f xml:space="preserve"> IF($BF$945 &gt;= $G$204, "1","0")</f>
        <v>0</v>
      </c>
      <c r="BI945">
        <f xml:space="preserve"> IF( AND( $BG$945 = "1", $BH$945 = "1" ), 1, IF( AND( $BG$945 = "1", $BH$945 = "0" ), 2, IF( AND( $BG$945 = "0", $BH$945 = "1" ), 3, 4 ) ) )</f>
        <v>4</v>
      </c>
      <c r="BK945" s="1">
        <v>0.37500000000000006</v>
      </c>
      <c r="BL945" t="str">
        <f>"1"</f>
        <v>1</v>
      </c>
      <c r="BM945" t="str">
        <f xml:space="preserve"> IF($BK$945 &gt;= $G$281, "1","0")</f>
        <v>1</v>
      </c>
      <c r="BN945">
        <f xml:space="preserve"> IF( AND( $BL$945 = "1", $BM$945 = "1" ), 1, IF( AND( $BL$945 = "1", $BM$945 = "0" ), 2, IF( AND( $BL$945 = "0", $BM$945 = "1" ), 3, 4 ) ) )</f>
        <v>1</v>
      </c>
    </row>
    <row r="946" spans="58:66" x14ac:dyDescent="0.25">
      <c r="BF946" s="1">
        <v>0</v>
      </c>
      <c r="BG946" t="str">
        <f>"0"</f>
        <v>0</v>
      </c>
      <c r="BH946" t="str">
        <f xml:space="preserve"> IF($BF$946 &gt;= $G$204, "1","0")</f>
        <v>0</v>
      </c>
      <c r="BI946">
        <f xml:space="preserve"> IF( AND( $BG$946 = "1", $BH$946 = "1" ), 1, IF( AND( $BG$946 = "1", $BH$946 = "0" ), 2, IF( AND( $BG$946 = "0", $BH$946 = "1" ), 3, 4 ) ) )</f>
        <v>4</v>
      </c>
      <c r="BK946" s="1">
        <v>2.5000000000000001E-3</v>
      </c>
      <c r="BL946" t="str">
        <f>"0"</f>
        <v>0</v>
      </c>
      <c r="BM946" t="str">
        <f xml:space="preserve"> IF($BK$946 &gt;= $G$281, "1","0")</f>
        <v>0</v>
      </c>
      <c r="BN946">
        <f xml:space="preserve"> IF( AND( $BL$946 = "1", $BM$946 = "1" ), 1, IF( AND( $BL$946 = "1", $BM$946 = "0" ), 2, IF( AND( $BL$946 = "0", $BM$946 = "1" ), 3, 4 ) ) )</f>
        <v>4</v>
      </c>
    </row>
    <row r="947" spans="58:66" x14ac:dyDescent="0.25">
      <c r="BF947" s="1">
        <v>0</v>
      </c>
      <c r="BG947" t="str">
        <f>"0"</f>
        <v>0</v>
      </c>
      <c r="BH947" t="str">
        <f xml:space="preserve"> IF($BF$947 &gt;= $G$204, "1","0")</f>
        <v>0</v>
      </c>
      <c r="BI947">
        <f xml:space="preserve"> IF( AND( $BG$947 = "1", $BH$947 = "1" ), 1, IF( AND( $BG$947 = "1", $BH$947 = "0" ), 2, IF( AND( $BG$947 = "0", $BH$947 = "1" ), 3, 4 ) ) )</f>
        <v>4</v>
      </c>
      <c r="BK947" s="1">
        <v>1.8947368421052633E-2</v>
      </c>
      <c r="BL947" t="str">
        <f>"0"</f>
        <v>0</v>
      </c>
      <c r="BM947" t="str">
        <f xml:space="preserve"> IF($BK$947 &gt;= $G$281, "1","0")</f>
        <v>0</v>
      </c>
      <c r="BN947">
        <f xml:space="preserve"> IF( AND( $BL$947 = "1", $BM$947 = "1" ), 1, IF( AND( $BL$947 = "1", $BM$947 = "0" ), 2, IF( AND( $BL$947 = "0", $BM$947 = "1" ), 3, 4 ) ) )</f>
        <v>4</v>
      </c>
    </row>
    <row r="948" spans="58:66" x14ac:dyDescent="0.25">
      <c r="BF948" s="1">
        <v>0</v>
      </c>
      <c r="BG948" t="str">
        <f>"0"</f>
        <v>0</v>
      </c>
      <c r="BH948" t="str">
        <f xml:space="preserve"> IF($BF$948 &gt;= $G$204, "1","0")</f>
        <v>0</v>
      </c>
      <c r="BI948">
        <f xml:space="preserve"> IF( AND( $BG$948 = "1", $BH$948 = "1" ), 1, IF( AND( $BG$948 = "1", $BH$948 = "0" ), 2, IF( AND( $BG$948 = "0", $BH$948 = "1" ), 3, 4 ) ) )</f>
        <v>4</v>
      </c>
      <c r="BK948" s="1">
        <v>0.72727272727272729</v>
      </c>
      <c r="BL948" t="str">
        <f>"0"</f>
        <v>0</v>
      </c>
      <c r="BM948" t="str">
        <f xml:space="preserve"> IF($BK$948 &gt;= $G$281, "1","0")</f>
        <v>1</v>
      </c>
      <c r="BN948">
        <f xml:space="preserve"> IF( AND( $BL$948 = "1", $BM$948 = "1" ), 1, IF( AND( $BL$948 = "1", $BM$948 = "0" ), 2, IF( AND( $BL$948 = "0", $BM$948 = "1" ), 3, 4 ) ) )</f>
        <v>3</v>
      </c>
    </row>
    <row r="949" spans="58:66" x14ac:dyDescent="0.25">
      <c r="BF949" s="1">
        <v>0</v>
      </c>
      <c r="BG949" t="str">
        <f>"0"</f>
        <v>0</v>
      </c>
      <c r="BH949" t="str">
        <f xml:space="preserve"> IF($BF$949 &gt;= $G$204, "1","0")</f>
        <v>0</v>
      </c>
      <c r="BI949">
        <f xml:space="preserve"> IF( AND( $BG$949 = "1", $BH$949 = "1" ), 1, IF( AND( $BG$949 = "1", $BH$949 = "0" ), 2, IF( AND( $BG$949 = "0", $BH$949 = "1" ), 3, 4 ) ) )</f>
        <v>4</v>
      </c>
      <c r="BK949" s="1">
        <v>1.8947368421052633E-2</v>
      </c>
      <c r="BL949" t="str">
        <f>"0"</f>
        <v>0</v>
      </c>
      <c r="BM949" t="str">
        <f xml:space="preserve"> IF($BK$949 &gt;= $G$281, "1","0")</f>
        <v>0</v>
      </c>
      <c r="BN949">
        <f xml:space="preserve"> IF( AND( $BL$949 = "1", $BM$949 = "1" ), 1, IF( AND( $BL$949 = "1", $BM$949 = "0" ), 2, IF( AND( $BL$949 = "0", $BM$949 = "1" ), 3, 4 ) ) )</f>
        <v>4</v>
      </c>
    </row>
    <row r="950" spans="58:66" x14ac:dyDescent="0.25">
      <c r="BF950" s="1">
        <v>0</v>
      </c>
      <c r="BG950" t="str">
        <f>"0"</f>
        <v>0</v>
      </c>
      <c r="BH950" t="str">
        <f xml:space="preserve"> IF($BF$950 &gt;= $G$204, "1","0")</f>
        <v>0</v>
      </c>
      <c r="BI950">
        <f xml:space="preserve"> IF( AND( $BG$950 = "1", $BH$950 = "1" ), 1, IF( AND( $BG$950 = "1", $BH$950 = "0" ), 2, IF( AND( $BG$950 = "0", $BH$950 = "1" ), 3, 4 ) ) )</f>
        <v>4</v>
      </c>
      <c r="BK950" s="1">
        <v>0.14285714285714288</v>
      </c>
      <c r="BL950" t="str">
        <f>"0"</f>
        <v>0</v>
      </c>
      <c r="BM950" t="str">
        <f xml:space="preserve"> IF($BK$950 &gt;= $G$281, "1","0")</f>
        <v>0</v>
      </c>
      <c r="BN950">
        <f xml:space="preserve"> IF( AND( $BL$950 = "1", $BM$950 = "1" ), 1, IF( AND( $BL$950 = "1", $BM$950 = "0" ), 2, IF( AND( $BL$950 = "0", $BM$950 = "1" ), 3, 4 ) ) )</f>
        <v>4</v>
      </c>
    </row>
    <row r="951" spans="58:66" x14ac:dyDescent="0.25">
      <c r="BF951" s="1">
        <v>0</v>
      </c>
      <c r="BG951" t="str">
        <f>"0"</f>
        <v>0</v>
      </c>
      <c r="BH951" t="str">
        <f xml:space="preserve"> IF($BF$951 &gt;= $G$204, "1","0")</f>
        <v>0</v>
      </c>
      <c r="BI951">
        <f xml:space="preserve"> IF( AND( $BG$951 = "1", $BH$951 = "1" ), 1, IF( AND( $BG$951 = "1", $BH$951 = "0" ), 2, IF( AND( $BG$951 = "0", $BH$951 = "1" ), 3, 4 ) ) )</f>
        <v>4</v>
      </c>
      <c r="BK951" s="1">
        <v>1</v>
      </c>
      <c r="BL951" t="str">
        <f>"1"</f>
        <v>1</v>
      </c>
      <c r="BM951" t="str">
        <f xml:space="preserve"> IF($BK$951 &gt;= $G$281, "1","0")</f>
        <v>1</v>
      </c>
      <c r="BN951">
        <f xml:space="preserve"> IF( AND( $BL$951 = "1", $BM$951 = "1" ), 1, IF( AND( $BL$951 = "1", $BM$951 = "0" ), 2, IF( AND( $BL$951 = "0", $BM$951 = "1" ), 3, 4 ) ) )</f>
        <v>1</v>
      </c>
    </row>
    <row r="952" spans="58:66" x14ac:dyDescent="0.25">
      <c r="BF952" s="1">
        <v>0</v>
      </c>
      <c r="BG952" t="str">
        <f>"0"</f>
        <v>0</v>
      </c>
      <c r="BH952" t="str">
        <f xml:space="preserve"> IF($BF$952 &gt;= $G$204, "1","0")</f>
        <v>0</v>
      </c>
      <c r="BI952">
        <f xml:space="preserve"> IF( AND( $BG$952 = "1", $BH$952 = "1" ), 1, IF( AND( $BG$952 = "1", $BH$952 = "0" ), 2, IF( AND( $BG$952 = "0", $BH$952 = "1" ), 3, 4 ) ) )</f>
        <v>4</v>
      </c>
      <c r="BK952" s="1">
        <v>0</v>
      </c>
      <c r="BL952" t="str">
        <f>"0"</f>
        <v>0</v>
      </c>
      <c r="BM952" t="str">
        <f xml:space="preserve"> IF($BK$952 &gt;= $G$281, "1","0")</f>
        <v>0</v>
      </c>
      <c r="BN952">
        <f xml:space="preserve"> IF( AND( $BL$952 = "1", $BM$952 = "1" ), 1, IF( AND( $BL$952 = "1", $BM$952 = "0" ), 2, IF( AND( $BL$952 = "0", $BM$952 = "1" ), 3, 4 ) ) )</f>
        <v>4</v>
      </c>
    </row>
    <row r="953" spans="58:66" x14ac:dyDescent="0.25">
      <c r="BF953" s="1">
        <v>0</v>
      </c>
      <c r="BG953" t="str">
        <f>"0"</f>
        <v>0</v>
      </c>
      <c r="BH953" t="str">
        <f xml:space="preserve"> IF($BF$953 &gt;= $G$204, "1","0")</f>
        <v>0</v>
      </c>
      <c r="BI953">
        <f xml:space="preserve"> IF( AND( $BG$953 = "1", $BH$953 = "1" ), 1, IF( AND( $BG$953 = "1", $BH$953 = "0" ), 2, IF( AND( $BG$953 = "0", $BH$953 = "1" ), 3, 4 ) ) )</f>
        <v>4</v>
      </c>
      <c r="BK953" s="1">
        <v>2.5000000000000001E-3</v>
      </c>
      <c r="BL953" t="str">
        <f>"0"</f>
        <v>0</v>
      </c>
      <c r="BM953" t="str">
        <f xml:space="preserve"> IF($BK$953 &gt;= $G$281, "1","0")</f>
        <v>0</v>
      </c>
      <c r="BN953">
        <f xml:space="preserve"> IF( AND( $BL$953 = "1", $BM$953 = "1" ), 1, IF( AND( $BL$953 = "1", $BM$953 = "0" ), 2, IF( AND( $BL$953 = "0", $BM$953 = "1" ), 3, 4 ) ) )</f>
        <v>4</v>
      </c>
    </row>
    <row r="954" spans="58:66" x14ac:dyDescent="0.25">
      <c r="BF954" s="1">
        <v>0</v>
      </c>
      <c r="BG954" t="str">
        <f>"0"</f>
        <v>0</v>
      </c>
      <c r="BH954" t="str">
        <f xml:space="preserve"> IF($BF$954 &gt;= $G$204, "1","0")</f>
        <v>0</v>
      </c>
      <c r="BI954">
        <f xml:space="preserve"> IF( AND( $BG$954 = "1", $BH$954 = "1" ), 1, IF( AND( $BG$954 = "1", $BH$954 = "0" ), 2, IF( AND( $BG$954 = "0", $BH$954 = "1" ), 3, 4 ) ) )</f>
        <v>4</v>
      </c>
      <c r="BK954" s="1">
        <v>1</v>
      </c>
      <c r="BL954" t="str">
        <f>"1"</f>
        <v>1</v>
      </c>
      <c r="BM954" t="str">
        <f xml:space="preserve"> IF($BK$954 &gt;= $G$281, "1","0")</f>
        <v>1</v>
      </c>
      <c r="BN954">
        <f xml:space="preserve"> IF( AND( $BL$954 = "1", $BM$954 = "1" ), 1, IF( AND( $BL$954 = "1", $BM$954 = "0" ), 2, IF( AND( $BL$954 = "0", $BM$954 = "1" ), 3, 4 ) ) )</f>
        <v>1</v>
      </c>
    </row>
    <row r="955" spans="58:66" x14ac:dyDescent="0.25">
      <c r="BF955" s="1">
        <v>0</v>
      </c>
      <c r="BG955" t="str">
        <f>"0"</f>
        <v>0</v>
      </c>
      <c r="BH955" t="str">
        <f xml:space="preserve"> IF($BF$955 &gt;= $G$204, "1","0")</f>
        <v>0</v>
      </c>
      <c r="BI955">
        <f xml:space="preserve"> IF( AND( $BG$955 = "1", $BH$955 = "1" ), 1, IF( AND( $BG$955 = "1", $BH$955 = "0" ), 2, IF( AND( $BG$955 = "0", $BH$955 = "1" ), 3, 4 ) ) )</f>
        <v>4</v>
      </c>
      <c r="BK955" s="1">
        <v>0.14285714285714285</v>
      </c>
      <c r="BL955" t="str">
        <f>"0"</f>
        <v>0</v>
      </c>
      <c r="BM955" t="str">
        <f xml:space="preserve"> IF($BK$955 &gt;= $G$281, "1","0")</f>
        <v>0</v>
      </c>
      <c r="BN955">
        <f xml:space="preserve"> IF( AND( $BL$955 = "1", $BM$955 = "1" ), 1, IF( AND( $BL$955 = "1", $BM$955 = "0" ), 2, IF( AND( $BL$955 = "0", $BM$955 = "1" ), 3, 4 ) ) )</f>
        <v>4</v>
      </c>
    </row>
    <row r="956" spans="58:66" x14ac:dyDescent="0.25">
      <c r="BF956" s="1">
        <v>0</v>
      </c>
      <c r="BG956" t="str">
        <f>"0"</f>
        <v>0</v>
      </c>
      <c r="BH956" t="str">
        <f xml:space="preserve"> IF($BF$956 &gt;= $G$204, "1","0")</f>
        <v>0</v>
      </c>
      <c r="BI956">
        <f xml:space="preserve"> IF( AND( $BG$956 = "1", $BH$956 = "1" ), 1, IF( AND( $BG$956 = "1", $BH$956 = "0" ), 2, IF( AND( $BG$956 = "0", $BH$956 = "1" ), 3, 4 ) ) )</f>
        <v>4</v>
      </c>
      <c r="BK956" s="1">
        <v>0.64</v>
      </c>
      <c r="BL956" t="str">
        <f>"0"</f>
        <v>0</v>
      </c>
      <c r="BM956" t="str">
        <f xml:space="preserve"> IF($BK$956 &gt;= $G$281, "1","0")</f>
        <v>1</v>
      </c>
      <c r="BN956">
        <f xml:space="preserve"> IF( AND( $BL$956 = "1", $BM$956 = "1" ), 1, IF( AND( $BL$956 = "1", $BM$956 = "0" ), 2, IF( AND( $BL$956 = "0", $BM$956 = "1" ), 3, 4 ) ) )</f>
        <v>3</v>
      </c>
    </row>
    <row r="957" spans="58:66" x14ac:dyDescent="0.25">
      <c r="BF957" s="1">
        <v>0</v>
      </c>
      <c r="BG957" t="str">
        <f>"0"</f>
        <v>0</v>
      </c>
      <c r="BH957" t="str">
        <f xml:space="preserve"> IF($BF$957 &gt;= $G$204, "1","0")</f>
        <v>0</v>
      </c>
      <c r="BI957">
        <f xml:space="preserve"> IF( AND( $BG$957 = "1", $BH$957 = "1" ), 1, IF( AND( $BG$957 = "1", $BH$957 = "0" ), 2, IF( AND( $BG$957 = "0", $BH$957 = "1" ), 3, 4 ) ) )</f>
        <v>4</v>
      </c>
      <c r="BK957" s="1">
        <v>2.5000000000000001E-3</v>
      </c>
      <c r="BL957" t="str">
        <f>"0"</f>
        <v>0</v>
      </c>
      <c r="BM957" t="str">
        <f xml:space="preserve"> IF($BK$957 &gt;= $G$281, "1","0")</f>
        <v>0</v>
      </c>
      <c r="BN957">
        <f xml:space="preserve"> IF( AND( $BL$957 = "1", $BM$957 = "1" ), 1, IF( AND( $BL$957 = "1", $BM$957 = "0" ), 2, IF( AND( $BL$957 = "0", $BM$957 = "1" ), 3, 4 ) ) )</f>
        <v>4</v>
      </c>
    </row>
    <row r="958" spans="58:66" x14ac:dyDescent="0.25">
      <c r="BF958" s="1">
        <v>0</v>
      </c>
      <c r="BG958" t="str">
        <f>"0"</f>
        <v>0</v>
      </c>
      <c r="BH958" t="str">
        <f xml:space="preserve"> IF($BF$958 &gt;= $G$204, "1","0")</f>
        <v>0</v>
      </c>
      <c r="BI958">
        <f xml:space="preserve"> IF( AND( $BG$958 = "1", $BH$958 = "1" ), 1, IF( AND( $BG$958 = "1", $BH$958 = "0" ), 2, IF( AND( $BG$958 = "0", $BH$958 = "1" ), 3, 4 ) ) )</f>
        <v>4</v>
      </c>
      <c r="BK958" s="1">
        <v>2.5000000000000001E-3</v>
      </c>
      <c r="BL958" t="str">
        <f>"0"</f>
        <v>0</v>
      </c>
      <c r="BM958" t="str">
        <f xml:space="preserve"> IF($BK$958 &gt;= $G$281, "1","0")</f>
        <v>0</v>
      </c>
      <c r="BN958">
        <f xml:space="preserve"> IF( AND( $BL$958 = "1", $BM$958 = "1" ), 1, IF( AND( $BL$958 = "1", $BM$958 = "0" ), 2, IF( AND( $BL$958 = "0", $BM$958 = "1" ), 3, 4 ) ) )</f>
        <v>4</v>
      </c>
    </row>
    <row r="959" spans="58:66" x14ac:dyDescent="0.25">
      <c r="BF959" s="1">
        <v>0</v>
      </c>
      <c r="BG959" t="str">
        <f>"0"</f>
        <v>0</v>
      </c>
      <c r="BH959" t="str">
        <f xml:space="preserve"> IF($BF$959 &gt;= $G$204, "1","0")</f>
        <v>0</v>
      </c>
      <c r="BI959">
        <f xml:space="preserve"> IF( AND( $BG$959 = "1", $BH$959 = "1" ), 1, IF( AND( $BG$959 = "1", $BH$959 = "0" ), 2, IF( AND( $BG$959 = "0", $BH$959 = "1" ), 3, 4 ) ) )</f>
        <v>4</v>
      </c>
      <c r="BK959" s="1">
        <v>2.5000000000000001E-3</v>
      </c>
      <c r="BL959" t="str">
        <f>"0"</f>
        <v>0</v>
      </c>
      <c r="BM959" t="str">
        <f xml:space="preserve"> IF($BK$959 &gt;= $G$281, "1","0")</f>
        <v>0</v>
      </c>
      <c r="BN959">
        <f xml:space="preserve"> IF( AND( $BL$959 = "1", $BM$959 = "1" ), 1, IF( AND( $BL$959 = "1", $BM$959 = "0" ), 2, IF( AND( $BL$959 = "0", $BM$959 = "1" ), 3, 4 ) ) )</f>
        <v>4</v>
      </c>
    </row>
    <row r="960" spans="58:66" x14ac:dyDescent="0.25">
      <c r="BF960" s="1">
        <v>0</v>
      </c>
      <c r="BG960" t="str">
        <f>"0"</f>
        <v>0</v>
      </c>
      <c r="BH960" t="str">
        <f xml:space="preserve"> IF($BF$960 &gt;= $G$204, "1","0")</f>
        <v>0</v>
      </c>
      <c r="BI960">
        <f xml:space="preserve"> IF( AND( $BG$960 = "1", $BH$960 = "1" ), 1, IF( AND( $BG$960 = "1", $BH$960 = "0" ), 2, IF( AND( $BG$960 = "0", $BH$960 = "1" ), 3, 4 ) ) )</f>
        <v>4</v>
      </c>
      <c r="BK960" s="1">
        <v>0.32</v>
      </c>
      <c r="BL960" t="str">
        <f>"0"</f>
        <v>0</v>
      </c>
      <c r="BM960" t="str">
        <f xml:space="preserve"> IF($BK$960 &gt;= $G$281, "1","0")</f>
        <v>1</v>
      </c>
      <c r="BN960">
        <f xml:space="preserve"> IF( AND( $BL$960 = "1", $BM$960 = "1" ), 1, IF( AND( $BL$960 = "1", $BM$960 = "0" ), 2, IF( AND( $BL$960 = "0", $BM$960 = "1" ), 3, 4 ) ) )</f>
        <v>3</v>
      </c>
    </row>
    <row r="961" spans="58:66" x14ac:dyDescent="0.25">
      <c r="BF961" s="1">
        <v>0</v>
      </c>
      <c r="BG961" t="str">
        <f>"0"</f>
        <v>0</v>
      </c>
      <c r="BH961" t="str">
        <f xml:space="preserve"> IF($BF$961 &gt;= $G$204, "1","0")</f>
        <v>0</v>
      </c>
      <c r="BI961">
        <f xml:space="preserve"> IF( AND( $BG$961 = "1", $BH$961 = "1" ), 1, IF( AND( $BG$961 = "1", $BH$961 = "0" ), 2, IF( AND( $BG$961 = "0", $BH$961 = "1" ), 3, 4 ) ) )</f>
        <v>4</v>
      </c>
      <c r="BK961" s="1">
        <v>1.8947368421052633E-2</v>
      </c>
      <c r="BL961" t="str">
        <f>"0"</f>
        <v>0</v>
      </c>
      <c r="BM961" t="str">
        <f xml:space="preserve"> IF($BK$961 &gt;= $G$281, "1","0")</f>
        <v>0</v>
      </c>
      <c r="BN961">
        <f xml:space="preserve"> IF( AND( $BL$961 = "1", $BM$961 = "1" ), 1, IF( AND( $BL$961 = "1", $BM$961 = "0" ), 2, IF( AND( $BL$961 = "0", $BM$961 = "1" ), 3, 4 ) ) )</f>
        <v>4</v>
      </c>
    </row>
    <row r="962" spans="58:66" x14ac:dyDescent="0.25">
      <c r="BF962" s="1">
        <v>0</v>
      </c>
      <c r="BG962" t="str">
        <f>"0"</f>
        <v>0</v>
      </c>
      <c r="BH962" t="str">
        <f xml:space="preserve"> IF($BF$962 &gt;= $G$204, "1","0")</f>
        <v>0</v>
      </c>
      <c r="BI962">
        <f xml:space="preserve"> IF( AND( $BG$962 = "1", $BH$962 = "1" ), 1, IF( AND( $BG$962 = "1", $BH$962 = "0" ), 2, IF( AND( $BG$962 = "0", $BH$962 = "1" ), 3, 4 ) ) )</f>
        <v>4</v>
      </c>
      <c r="BK962" s="1">
        <v>1.8947368421052633E-2</v>
      </c>
      <c r="BL962" t="str">
        <f>"0"</f>
        <v>0</v>
      </c>
      <c r="BM962" t="str">
        <f xml:space="preserve"> IF($BK$962 &gt;= $G$281, "1","0")</f>
        <v>0</v>
      </c>
      <c r="BN962">
        <f xml:space="preserve"> IF( AND( $BL$962 = "1", $BM$962 = "1" ), 1, IF( AND( $BL$962 = "1", $BM$962 = "0" ), 2, IF( AND( $BL$962 = "0", $BM$962 = "1" ), 3, 4 ) ) )</f>
        <v>4</v>
      </c>
    </row>
    <row r="963" spans="58:66" x14ac:dyDescent="0.25">
      <c r="BF963" s="1">
        <v>0</v>
      </c>
      <c r="BG963" t="str">
        <f>"0"</f>
        <v>0</v>
      </c>
      <c r="BH963" t="str">
        <f xml:space="preserve"> IF($BF$963 &gt;= $G$204, "1","0")</f>
        <v>0</v>
      </c>
      <c r="BI963">
        <f xml:space="preserve"> IF( AND( $BG$963 = "1", $BH$963 = "1" ), 1, IF( AND( $BG$963 = "1", $BH$963 = "0" ), 2, IF( AND( $BG$963 = "0", $BH$963 = "1" ), 3, 4 ) ) )</f>
        <v>4</v>
      </c>
      <c r="BK963" s="1">
        <v>1.8947368421052633E-2</v>
      </c>
      <c r="BL963" t="str">
        <f>"0"</f>
        <v>0</v>
      </c>
      <c r="BM963" t="str">
        <f xml:space="preserve"> IF($BK$963 &gt;= $G$281, "1","0")</f>
        <v>0</v>
      </c>
      <c r="BN963">
        <f xml:space="preserve"> IF( AND( $BL$963 = "1", $BM$963 = "1" ), 1, IF( AND( $BL$963 = "1", $BM$963 = "0" ), 2, IF( AND( $BL$963 = "0", $BM$963 = "1" ), 3, 4 ) ) )</f>
        <v>4</v>
      </c>
    </row>
    <row r="964" spans="58:66" x14ac:dyDescent="0.25">
      <c r="BF964" s="1">
        <v>0</v>
      </c>
      <c r="BG964" t="str">
        <f>"0"</f>
        <v>0</v>
      </c>
      <c r="BH964" t="str">
        <f xml:space="preserve"> IF($BF$964 &gt;= $G$204, "1","0")</f>
        <v>0</v>
      </c>
      <c r="BI964">
        <f xml:space="preserve"> IF( AND( $BG$964 = "1", $BH$964 = "1" ), 1, IF( AND( $BG$964 = "1", $BH$964 = "0" ), 2, IF( AND( $BG$964 = "0", $BH$964 = "1" ), 3, 4 ) ) )</f>
        <v>4</v>
      </c>
      <c r="BK964" s="1">
        <v>1.8947368421052633E-2</v>
      </c>
      <c r="BL964" t="str">
        <f>"0"</f>
        <v>0</v>
      </c>
      <c r="BM964" t="str">
        <f xml:space="preserve"> IF($BK$964 &gt;= $G$281, "1","0")</f>
        <v>0</v>
      </c>
      <c r="BN964">
        <f xml:space="preserve"> IF( AND( $BL$964 = "1", $BM$964 = "1" ), 1, IF( AND( $BL$964 = "1", $BM$964 = "0" ), 2, IF( AND( $BL$964 = "0", $BM$964 = "1" ), 3, 4 ) ) )</f>
        <v>4</v>
      </c>
    </row>
    <row r="965" spans="58:66" x14ac:dyDescent="0.25">
      <c r="BF965" s="1">
        <v>0</v>
      </c>
      <c r="BG965" t="str">
        <f>"0"</f>
        <v>0</v>
      </c>
      <c r="BH965" t="str">
        <f xml:space="preserve"> IF($BF$965 &gt;= $G$204, "1","0")</f>
        <v>0</v>
      </c>
      <c r="BI965">
        <f xml:space="preserve"> IF( AND( $BG$965 = "1", $BH$965 = "1" ), 1, IF( AND( $BG$965 = "1", $BH$965 = "0" ), 2, IF( AND( $BG$965 = "0", $BH$965 = "1" ), 3, 4 ) ) )</f>
        <v>4</v>
      </c>
      <c r="BK965" s="1">
        <v>1</v>
      </c>
      <c r="BL965" t="str">
        <f>"1"</f>
        <v>1</v>
      </c>
      <c r="BM965" t="str">
        <f xml:space="preserve"> IF($BK$965 &gt;= $G$281, "1","0")</f>
        <v>1</v>
      </c>
      <c r="BN965">
        <f xml:space="preserve"> IF( AND( $BL$965 = "1", $BM$965 = "1" ), 1, IF( AND( $BL$965 = "1", $BM$965 = "0" ), 2, IF( AND( $BL$965 = "0", $BM$965 = "1" ), 3, 4 ) ) )</f>
        <v>1</v>
      </c>
    </row>
    <row r="966" spans="58:66" x14ac:dyDescent="0.25">
      <c r="BF966" s="1">
        <v>0</v>
      </c>
      <c r="BG966" t="str">
        <f>"0"</f>
        <v>0</v>
      </c>
      <c r="BH966" t="str">
        <f xml:space="preserve"> IF($BF$966 &gt;= $G$204, "1","0")</f>
        <v>0</v>
      </c>
      <c r="BI966">
        <f xml:space="preserve"> IF( AND( $BG$966 = "1", $BH$966 = "1" ), 1, IF( AND( $BG$966 = "1", $BH$966 = "0" ), 2, IF( AND( $BG$966 = "0", $BH$966 = "1" ), 3, 4 ) ) )</f>
        <v>4</v>
      </c>
      <c r="BK966" s="1">
        <v>0</v>
      </c>
      <c r="BL966" t="str">
        <f>"0"</f>
        <v>0</v>
      </c>
      <c r="BM966" t="str">
        <f xml:space="preserve"> IF($BK$966 &gt;= $G$281, "1","0")</f>
        <v>0</v>
      </c>
      <c r="BN966">
        <f xml:space="preserve"> IF( AND( $BL$966 = "1", $BM$966 = "1" ), 1, IF( AND( $BL$966 = "1", $BM$966 = "0" ), 2, IF( AND( $BL$966 = "0", $BM$966 = "1" ), 3, 4 ) ) )</f>
        <v>4</v>
      </c>
    </row>
    <row r="967" spans="58:66" x14ac:dyDescent="0.25">
      <c r="BF967" s="1">
        <v>0</v>
      </c>
      <c r="BG967" t="str">
        <f>"0"</f>
        <v>0</v>
      </c>
      <c r="BH967" t="str">
        <f xml:space="preserve"> IF($BF$967 &gt;= $G$204, "1","0")</f>
        <v>0</v>
      </c>
      <c r="BI967">
        <f xml:space="preserve"> IF( AND( $BG$967 = "1", $BH$967 = "1" ), 1, IF( AND( $BG$967 = "1", $BH$967 = "0" ), 2, IF( AND( $BG$967 = "0", $BH$967 = "1" ), 3, 4 ) ) )</f>
        <v>4</v>
      </c>
      <c r="BK967" s="1">
        <v>3.333333333333334E-2</v>
      </c>
      <c r="BL967" t="str">
        <f>"0"</f>
        <v>0</v>
      </c>
      <c r="BM967" t="str">
        <f xml:space="preserve"> IF($BK$967 &gt;= $G$281, "1","0")</f>
        <v>0</v>
      </c>
      <c r="BN967">
        <f xml:space="preserve"> IF( AND( $BL$967 = "1", $BM$967 = "1" ), 1, IF( AND( $BL$967 = "1", $BM$967 = "0" ), 2, IF( AND( $BL$967 = "0", $BM$967 = "1" ), 3, 4 ) ) )</f>
        <v>4</v>
      </c>
    </row>
    <row r="968" spans="58:66" x14ac:dyDescent="0.25">
      <c r="BF968" s="1">
        <v>0</v>
      </c>
      <c r="BG968" t="str">
        <f>"0"</f>
        <v>0</v>
      </c>
      <c r="BH968" t="str">
        <f xml:space="preserve"> IF($BF$968 &gt;= $G$204, "1","0")</f>
        <v>0</v>
      </c>
      <c r="BI968">
        <f xml:space="preserve"> IF( AND( $BG$968 = "1", $BH$968 = "1" ), 1, IF( AND( $BG$968 = "1", $BH$968 = "0" ), 2, IF( AND( $BG$968 = "0", $BH$968 = "1" ), 3, 4 ) ) )</f>
        <v>4</v>
      </c>
      <c r="BK968" s="1">
        <v>1</v>
      </c>
      <c r="BL968" t="str">
        <f>"0"</f>
        <v>0</v>
      </c>
      <c r="BM968" t="str">
        <f xml:space="preserve"> IF($BK$968 &gt;= $G$281, "1","0")</f>
        <v>1</v>
      </c>
      <c r="BN968">
        <f xml:space="preserve"> IF( AND( $BL$968 = "1", $BM$968 = "1" ), 1, IF( AND( $BL$968 = "1", $BM$968 = "0" ), 2, IF( AND( $BL$968 = "0", $BM$968 = "1" ), 3, 4 ) ) )</f>
        <v>3</v>
      </c>
    </row>
    <row r="969" spans="58:66" x14ac:dyDescent="0.25">
      <c r="BF969" s="1">
        <v>0</v>
      </c>
      <c r="BG969" t="str">
        <f>"0"</f>
        <v>0</v>
      </c>
      <c r="BH969" t="str">
        <f xml:space="preserve"> IF($BF$969 &gt;= $G$204, "1","0")</f>
        <v>0</v>
      </c>
      <c r="BI969">
        <f xml:space="preserve"> IF( AND( $BG$969 = "1", $BH$969 = "1" ), 1, IF( AND( $BG$969 = "1", $BH$969 = "0" ), 2, IF( AND( $BG$969 = "0", $BH$969 = "1" ), 3, 4 ) ) )</f>
        <v>4</v>
      </c>
      <c r="BK969" s="1">
        <v>3.333333333333334E-2</v>
      </c>
      <c r="BL969" t="str">
        <f>"0"</f>
        <v>0</v>
      </c>
      <c r="BM969" t="str">
        <f xml:space="preserve"> IF($BK$969 &gt;= $G$281, "1","0")</f>
        <v>0</v>
      </c>
      <c r="BN969">
        <f xml:space="preserve"> IF( AND( $BL$969 = "1", $BM$969 = "1" ), 1, IF( AND( $BL$969 = "1", $BM$969 = "0" ), 2, IF( AND( $BL$969 = "0", $BM$969 = "1" ), 3, 4 ) ) )</f>
        <v>4</v>
      </c>
    </row>
    <row r="970" spans="58:66" x14ac:dyDescent="0.25">
      <c r="BF970" s="1">
        <v>0</v>
      </c>
      <c r="BG970" t="str">
        <f>"0"</f>
        <v>0</v>
      </c>
      <c r="BH970" t="str">
        <f xml:space="preserve"> IF($BF$970 &gt;= $G$204, "1","0")</f>
        <v>0</v>
      </c>
      <c r="BI970">
        <f xml:space="preserve"> IF( AND( $BG$970 = "1", $BH$970 = "1" ), 1, IF( AND( $BG$970 = "1", $BH$970 = "0" ), 2, IF( AND( $BG$970 = "0", $BH$970 = "1" ), 3, 4 ) ) )</f>
        <v>4</v>
      </c>
      <c r="BK970" s="1">
        <v>2.5000000000000001E-3</v>
      </c>
      <c r="BL970" t="str">
        <f>"0"</f>
        <v>0</v>
      </c>
      <c r="BM970" t="str">
        <f xml:space="preserve"> IF($BK$970 &gt;= $G$281, "1","0")</f>
        <v>0</v>
      </c>
      <c r="BN970">
        <f xml:space="preserve"> IF( AND( $BL$970 = "1", $BM$970 = "1" ), 1, IF( AND( $BL$970 = "1", $BM$970 = "0" ), 2, IF( AND( $BL$970 = "0", $BM$970 = "1" ), 3, 4 ) ) )</f>
        <v>4</v>
      </c>
    </row>
    <row r="971" spans="58:66" x14ac:dyDescent="0.25">
      <c r="BF971" s="1">
        <v>0</v>
      </c>
      <c r="BG971" t="str">
        <f>"0"</f>
        <v>0</v>
      </c>
      <c r="BH971" t="str">
        <f xml:space="preserve"> IF($BF$971 &gt;= $G$204, "1","0")</f>
        <v>0</v>
      </c>
      <c r="BI971">
        <f xml:space="preserve"> IF( AND( $BG$971 = "1", $BH$971 = "1" ), 1, IF( AND( $BG$971 = "1", $BH$971 = "0" ), 2, IF( AND( $BG$971 = "0", $BH$971 = "1" ), 3, 4 ) ) )</f>
        <v>4</v>
      </c>
      <c r="BK971" s="1">
        <v>0.68181818181818188</v>
      </c>
      <c r="BL971" t="str">
        <f>"1"</f>
        <v>1</v>
      </c>
      <c r="BM971" t="str">
        <f xml:space="preserve"> IF($BK$971 &gt;= $G$281, "1","0")</f>
        <v>1</v>
      </c>
      <c r="BN971">
        <f xml:space="preserve"> IF( AND( $BL$971 = "1", $BM$971 = "1" ), 1, IF( AND( $BL$971 = "1", $BM$971 = "0" ), 2, IF( AND( $BL$971 = "0", $BM$971 = "1" ), 3, 4 ) ) )</f>
        <v>1</v>
      </c>
    </row>
    <row r="972" spans="58:66" x14ac:dyDescent="0.25">
      <c r="BF972" s="1">
        <v>0</v>
      </c>
      <c r="BG972" t="str">
        <f>"0"</f>
        <v>0</v>
      </c>
      <c r="BH972" t="str">
        <f xml:space="preserve"> IF($BF$972 &gt;= $G$204, "1","0")</f>
        <v>0</v>
      </c>
      <c r="BI972">
        <f xml:space="preserve"> IF( AND( $BG$972 = "1", $BH$972 = "1" ), 1, IF( AND( $BG$972 = "1", $BH$972 = "0" ), 2, IF( AND( $BG$972 = "0", $BH$972 = "1" ), 3, 4 ) ) )</f>
        <v>4</v>
      </c>
      <c r="BK972" s="1">
        <v>3.333333333333334E-2</v>
      </c>
      <c r="BL972" t="str">
        <f>"0"</f>
        <v>0</v>
      </c>
      <c r="BM972" t="str">
        <f xml:space="preserve"> IF($BK$972 &gt;= $G$281, "1","0")</f>
        <v>0</v>
      </c>
      <c r="BN972">
        <f xml:space="preserve"> IF( AND( $BL$972 = "1", $BM$972 = "1" ), 1, IF( AND( $BL$972 = "1", $BM$972 = "0" ), 2, IF( AND( $BL$972 = "0", $BM$972 = "1" ), 3, 4 ) ) )</f>
        <v>4</v>
      </c>
    </row>
    <row r="973" spans="58:66" x14ac:dyDescent="0.25">
      <c r="BF973" s="1">
        <v>0</v>
      </c>
      <c r="BG973" t="str">
        <f>"0"</f>
        <v>0</v>
      </c>
      <c r="BH973" t="str">
        <f xml:space="preserve"> IF($BF$973 &gt;= $G$204, "1","0")</f>
        <v>0</v>
      </c>
      <c r="BI973">
        <f xml:space="preserve"> IF( AND( $BG$973 = "1", $BH$973 = "1" ), 1, IF( AND( $BG$973 = "1", $BH$973 = "0" ), 2, IF( AND( $BG$973 = "0", $BH$973 = "1" ), 3, 4 ) ) )</f>
        <v>4</v>
      </c>
      <c r="BK973" s="1">
        <v>0</v>
      </c>
      <c r="BL973" t="str">
        <f>"0"</f>
        <v>0</v>
      </c>
      <c r="BM973" t="str">
        <f xml:space="preserve"> IF($BK$973 &gt;= $G$281, "1","0")</f>
        <v>0</v>
      </c>
      <c r="BN973">
        <f xml:space="preserve"> IF( AND( $BL$973 = "1", $BM$973 = "1" ), 1, IF( AND( $BL$973 = "1", $BM$973 = "0" ), 2, IF( AND( $BL$973 = "0", $BM$973 = "1" ), 3, 4 ) ) )</f>
        <v>4</v>
      </c>
    </row>
    <row r="974" spans="58:66" x14ac:dyDescent="0.25">
      <c r="BF974" s="1">
        <v>0</v>
      </c>
      <c r="BG974" t="str">
        <f>"0"</f>
        <v>0</v>
      </c>
      <c r="BH974" t="str">
        <f xml:space="preserve"> IF($BF$974 &gt;= $G$204, "1","0")</f>
        <v>0</v>
      </c>
      <c r="BI974">
        <f xml:space="preserve"> IF( AND( $BG$974 = "1", $BH$974 = "1" ), 1, IF( AND( $BG$974 = "1", $BH$974 = "0" ), 2, IF( AND( $BG$974 = "0", $BH$974 = "1" ), 3, 4 ) ) )</f>
        <v>4</v>
      </c>
      <c r="BK974" s="1">
        <v>0.72727272727272729</v>
      </c>
      <c r="BL974" t="str">
        <f>"0"</f>
        <v>0</v>
      </c>
      <c r="BM974" t="str">
        <f xml:space="preserve"> IF($BK$974 &gt;= $G$281, "1","0")</f>
        <v>1</v>
      </c>
      <c r="BN974">
        <f xml:space="preserve"> IF( AND( $BL$974 = "1", $BM$974 = "1" ), 1, IF( AND( $BL$974 = "1", $BM$974 = "0" ), 2, IF( AND( $BL$974 = "0", $BM$974 = "1" ), 3, 4 ) ) )</f>
        <v>3</v>
      </c>
    </row>
    <row r="975" spans="58:66" x14ac:dyDescent="0.25">
      <c r="BF975" s="1">
        <v>0</v>
      </c>
      <c r="BG975" t="str">
        <f>"0"</f>
        <v>0</v>
      </c>
      <c r="BH975" t="str">
        <f xml:space="preserve"> IF($BF$975 &gt;= $G$204, "1","0")</f>
        <v>0</v>
      </c>
      <c r="BI975">
        <f xml:space="preserve"> IF( AND( $BG$975 = "1", $BH$975 = "1" ), 1, IF( AND( $BG$975 = "1", $BH$975 = "0" ), 2, IF( AND( $BG$975 = "0", $BH$975 = "1" ), 3, 4 ) ) )</f>
        <v>4</v>
      </c>
      <c r="BK975" s="1">
        <v>1.8947368421052633E-2</v>
      </c>
      <c r="BL975" t="str">
        <f>"0"</f>
        <v>0</v>
      </c>
      <c r="BM975" t="str">
        <f xml:space="preserve"> IF($BK$975 &gt;= $G$281, "1","0")</f>
        <v>0</v>
      </c>
      <c r="BN975">
        <f xml:space="preserve"> IF( AND( $BL$975 = "1", $BM$975 = "1" ), 1, IF( AND( $BL$975 = "1", $BM$975 = "0" ), 2, IF( AND( $BL$975 = "0", $BM$975 = "1" ), 3, 4 ) ) )</f>
        <v>4</v>
      </c>
    </row>
    <row r="976" spans="58:66" x14ac:dyDescent="0.25">
      <c r="BF976" s="1">
        <v>0</v>
      </c>
      <c r="BG976" t="str">
        <f>"0"</f>
        <v>0</v>
      </c>
      <c r="BH976" t="str">
        <f xml:space="preserve"> IF($BF$976 &gt;= $G$204, "1","0")</f>
        <v>0</v>
      </c>
      <c r="BI976">
        <f xml:space="preserve"> IF( AND( $BG$976 = "1", $BH$976 = "1" ), 1, IF( AND( $BG$976 = "1", $BH$976 = "0" ), 2, IF( AND( $BG$976 = "0", $BH$976 = "1" ), 3, 4 ) ) )</f>
        <v>4</v>
      </c>
      <c r="BK976" s="1">
        <v>2.5000000000000001E-3</v>
      </c>
      <c r="BL976" t="str">
        <f>"0"</f>
        <v>0</v>
      </c>
      <c r="BM976" t="str">
        <f xml:space="preserve"> IF($BK$976 &gt;= $G$281, "1","0")</f>
        <v>0</v>
      </c>
      <c r="BN976">
        <f xml:space="preserve"> IF( AND( $BL$976 = "1", $BM$976 = "1" ), 1, IF( AND( $BL$976 = "1", $BM$976 = "0" ), 2, IF( AND( $BL$976 = "0", $BM$976 = "1" ), 3, 4 ) ) )</f>
        <v>4</v>
      </c>
    </row>
    <row r="977" spans="58:66" x14ac:dyDescent="0.25">
      <c r="BF977" s="1">
        <v>0</v>
      </c>
      <c r="BG977" t="str">
        <f>"0"</f>
        <v>0</v>
      </c>
      <c r="BH977" t="str">
        <f xml:space="preserve"> IF($BF$977 &gt;= $G$204, "1","0")</f>
        <v>0</v>
      </c>
      <c r="BI977">
        <f xml:space="preserve"> IF( AND( $BG$977 = "1", $BH$977 = "1" ), 1, IF( AND( $BG$977 = "1", $BH$977 = "0" ), 2, IF( AND( $BG$977 = "0", $BH$977 = "1" ), 3, 4 ) ) )</f>
        <v>4</v>
      </c>
      <c r="BK977" s="1">
        <v>1</v>
      </c>
      <c r="BL977" t="str">
        <f>"1"</f>
        <v>1</v>
      </c>
      <c r="BM977" t="str">
        <f xml:space="preserve"> IF($BK$977 &gt;= $G$281, "1","0")</f>
        <v>1</v>
      </c>
      <c r="BN977">
        <f xml:space="preserve"> IF( AND( $BL$977 = "1", $BM$977 = "1" ), 1, IF( AND( $BL$977 = "1", $BM$977 = "0" ), 2, IF( AND( $BL$977 = "0", $BM$977 = "1" ), 3, 4 ) ) )</f>
        <v>1</v>
      </c>
    </row>
    <row r="978" spans="58:66" x14ac:dyDescent="0.25">
      <c r="BF978" s="1">
        <v>0</v>
      </c>
      <c r="BG978" t="str">
        <f>"0"</f>
        <v>0</v>
      </c>
      <c r="BH978" t="str">
        <f xml:space="preserve"> IF($BF$978 &gt;= $G$204, "1","0")</f>
        <v>0</v>
      </c>
      <c r="BI978">
        <f xml:space="preserve"> IF( AND( $BG$978 = "1", $BH$978 = "1" ), 1, IF( AND( $BG$978 = "1", $BH$978 = "0" ), 2, IF( AND( $BG$978 = "0", $BH$978 = "1" ), 3, 4 ) ) )</f>
        <v>4</v>
      </c>
      <c r="BK978" s="1">
        <v>2.5000000000000001E-3</v>
      </c>
      <c r="BL978" t="str">
        <f>"0"</f>
        <v>0</v>
      </c>
      <c r="BM978" t="str">
        <f xml:space="preserve"> IF($BK$978 &gt;= $G$281, "1","0")</f>
        <v>0</v>
      </c>
      <c r="BN978">
        <f xml:space="preserve"> IF( AND( $BL$978 = "1", $BM$978 = "1" ), 1, IF( AND( $BL$978 = "1", $BM$978 = "0" ), 2, IF( AND( $BL$978 = "0", $BM$978 = "1" ), 3, 4 ) ) )</f>
        <v>4</v>
      </c>
    </row>
    <row r="979" spans="58:66" x14ac:dyDescent="0.25">
      <c r="BF979" s="1">
        <v>0</v>
      </c>
      <c r="BG979" t="str">
        <f>"0"</f>
        <v>0</v>
      </c>
      <c r="BH979" t="str">
        <f xml:space="preserve"> IF($BF$979 &gt;= $G$204, "1","0")</f>
        <v>0</v>
      </c>
      <c r="BI979">
        <f xml:space="preserve"> IF( AND( $BG$979 = "1", $BH$979 = "1" ), 1, IF( AND( $BG$979 = "1", $BH$979 = "0" ), 2, IF( AND( $BG$979 = "0", $BH$979 = "1" ), 3, 4 ) ) )</f>
        <v>4</v>
      </c>
      <c r="BK979" s="1">
        <v>1.8947368421052633E-2</v>
      </c>
      <c r="BL979" t="str">
        <f>"0"</f>
        <v>0</v>
      </c>
      <c r="BM979" t="str">
        <f xml:space="preserve"> IF($BK$979 &gt;= $G$281, "1","0")</f>
        <v>0</v>
      </c>
      <c r="BN979">
        <f xml:space="preserve"> IF( AND( $BL$979 = "1", $BM$979 = "1" ), 1, IF( AND( $BL$979 = "1", $BM$979 = "0" ), 2, IF( AND( $BL$979 = "0", $BM$979 = "1" ), 3, 4 ) ) )</f>
        <v>4</v>
      </c>
    </row>
    <row r="980" spans="58:66" x14ac:dyDescent="0.25">
      <c r="BF980" s="1">
        <v>0</v>
      </c>
      <c r="BG980" t="str">
        <f>"0"</f>
        <v>0</v>
      </c>
      <c r="BH980" t="str">
        <f xml:space="preserve"> IF($BF$980 &gt;= $G$204, "1","0")</f>
        <v>0</v>
      </c>
      <c r="BI980">
        <f xml:space="preserve"> IF( AND( $BG$980 = "1", $BH$980 = "1" ), 1, IF( AND( $BG$980 = "1", $BH$980 = "0" ), 2, IF( AND( $BG$980 = "0", $BH$980 = "1" ), 3, 4 ) ) )</f>
        <v>4</v>
      </c>
      <c r="BK980" s="1">
        <v>0</v>
      </c>
      <c r="BL980" t="str">
        <f>"0"</f>
        <v>0</v>
      </c>
      <c r="BM980" t="str">
        <f xml:space="preserve"> IF($BK$980 &gt;= $G$281, "1","0")</f>
        <v>0</v>
      </c>
      <c r="BN980">
        <f xml:space="preserve"> IF( AND( $BL$980 = "1", $BM$980 = "1" ), 1, IF( AND( $BL$980 = "1", $BM$980 = "0" ), 2, IF( AND( $BL$980 = "0", $BM$980 = "1" ), 3, 4 ) ) )</f>
        <v>4</v>
      </c>
    </row>
    <row r="981" spans="58:66" x14ac:dyDescent="0.25">
      <c r="BF981" s="1">
        <v>0</v>
      </c>
      <c r="BG981" t="str">
        <f>"0"</f>
        <v>0</v>
      </c>
      <c r="BH981" t="str">
        <f xml:space="preserve"> IF($BF$981 &gt;= $G$204, "1","0")</f>
        <v>0</v>
      </c>
      <c r="BI981">
        <f xml:space="preserve"> IF( AND( $BG$981 = "1", $BH$981 = "1" ), 1, IF( AND( $BG$981 = "1", $BH$981 = "0" ), 2, IF( AND( $BG$981 = "0", $BH$981 = "1" ), 3, 4 ) ) )</f>
        <v>4</v>
      </c>
      <c r="BK981" s="1">
        <v>1</v>
      </c>
      <c r="BL981" t="str">
        <f>"1"</f>
        <v>1</v>
      </c>
      <c r="BM981" t="str">
        <f xml:space="preserve"> IF($BK$981 &gt;= $G$281, "1","0")</f>
        <v>1</v>
      </c>
      <c r="BN981">
        <f xml:space="preserve"> IF( AND( $BL$981 = "1", $BM$981 = "1" ), 1, IF( AND( $BL$981 = "1", $BM$981 = "0" ), 2, IF( AND( $BL$981 = "0", $BM$981 = "1" ), 3, 4 ) ) )</f>
        <v>1</v>
      </c>
    </row>
    <row r="982" spans="58:66" x14ac:dyDescent="0.25">
      <c r="BF982" s="1">
        <v>0</v>
      </c>
      <c r="BG982" t="str">
        <f>"0"</f>
        <v>0</v>
      </c>
      <c r="BH982" t="str">
        <f xml:space="preserve"> IF($BF$982 &gt;= $G$204, "1","0")</f>
        <v>0</v>
      </c>
      <c r="BI982">
        <f xml:space="preserve"> IF( AND( $BG$982 = "1", $BH$982 = "1" ), 1, IF( AND( $BG$982 = "1", $BH$982 = "0" ), 2, IF( AND( $BG$982 = "0", $BH$982 = "1" ), 3, 4 ) ) )</f>
        <v>4</v>
      </c>
      <c r="BK982" s="1">
        <v>1</v>
      </c>
      <c r="BL982" t="str">
        <f>"1"</f>
        <v>1</v>
      </c>
      <c r="BM982" t="str">
        <f xml:space="preserve"> IF($BK$982 &gt;= $G$281, "1","0")</f>
        <v>1</v>
      </c>
      <c r="BN982">
        <f xml:space="preserve"> IF( AND( $BL$982 = "1", $BM$982 = "1" ), 1, IF( AND( $BL$982 = "1", $BM$982 = "0" ), 2, IF( AND( $BL$982 = "0", $BM$982 = "1" ), 3, 4 ) ) )</f>
        <v>1</v>
      </c>
    </row>
    <row r="983" spans="58:66" x14ac:dyDescent="0.25">
      <c r="BF983" s="1">
        <v>0</v>
      </c>
      <c r="BG983" t="str">
        <f>"0"</f>
        <v>0</v>
      </c>
      <c r="BH983" t="str">
        <f xml:space="preserve"> IF($BF$983 &gt;= $G$204, "1","0")</f>
        <v>0</v>
      </c>
      <c r="BI983">
        <f xml:space="preserve"> IF( AND( $BG$983 = "1", $BH$983 = "1" ), 1, IF( AND( $BG$983 = "1", $BH$983 = "0" ), 2, IF( AND( $BG$983 = "0", $BH$983 = "1" ), 3, 4 ) ) )</f>
        <v>4</v>
      </c>
      <c r="BK983" s="1">
        <v>1.8947368421052633E-2</v>
      </c>
      <c r="BL983" t="str">
        <f>"0"</f>
        <v>0</v>
      </c>
      <c r="BM983" t="str">
        <f xml:space="preserve"> IF($BK$983 &gt;= $G$281, "1","0")</f>
        <v>0</v>
      </c>
      <c r="BN983">
        <f xml:space="preserve"> IF( AND( $BL$983 = "1", $BM$983 = "1" ), 1, IF( AND( $BL$983 = "1", $BM$983 = "0" ), 2, IF( AND( $BL$983 = "0", $BM$983 = "1" ), 3, 4 ) ) )</f>
        <v>4</v>
      </c>
    </row>
    <row r="984" spans="58:66" x14ac:dyDescent="0.25">
      <c r="BF984" s="1">
        <v>0</v>
      </c>
      <c r="BG984" t="str">
        <f>"0"</f>
        <v>0</v>
      </c>
      <c r="BH984" t="str">
        <f xml:space="preserve"> IF($BF$984 &gt;= $G$204, "1","0")</f>
        <v>0</v>
      </c>
      <c r="BI984">
        <f xml:space="preserve"> IF( AND( $BG$984 = "1", $BH$984 = "1" ), 1, IF( AND( $BG$984 = "1", $BH$984 = "0" ), 2, IF( AND( $BG$984 = "0", $BH$984 = "1" ), 3, 4 ) ) )</f>
        <v>4</v>
      </c>
      <c r="BK984" s="1">
        <v>0.37500000000000006</v>
      </c>
      <c r="BL984" t="str">
        <f>"0"</f>
        <v>0</v>
      </c>
      <c r="BM984" t="str">
        <f xml:space="preserve"> IF($BK$984 &gt;= $G$281, "1","0")</f>
        <v>1</v>
      </c>
      <c r="BN984">
        <f xml:space="preserve"> IF( AND( $BL$984 = "1", $BM$984 = "1" ), 1, IF( AND( $BL$984 = "1", $BM$984 = "0" ), 2, IF( AND( $BL$984 = "0", $BM$984 = "1" ), 3, 4 ) ) )</f>
        <v>3</v>
      </c>
    </row>
    <row r="985" spans="58:66" x14ac:dyDescent="0.25">
      <c r="BF985" s="1">
        <v>0</v>
      </c>
      <c r="BG985" t="str">
        <f>"0"</f>
        <v>0</v>
      </c>
      <c r="BH985" t="str">
        <f xml:space="preserve"> IF($BF$985 &gt;= $G$204, "1","0")</f>
        <v>0</v>
      </c>
      <c r="BI985">
        <f xml:space="preserve"> IF( AND( $BG$985 = "1", $BH$985 = "1" ), 1, IF( AND( $BG$985 = "1", $BH$985 = "0" ), 2, IF( AND( $BG$985 = "0", $BH$985 = "1" ), 3, 4 ) ) )</f>
        <v>4</v>
      </c>
      <c r="BK985" s="1">
        <v>1.8947368421052633E-2</v>
      </c>
      <c r="BL985" t="str">
        <f>"0"</f>
        <v>0</v>
      </c>
      <c r="BM985" t="str">
        <f xml:space="preserve"> IF($BK$985 &gt;= $G$281, "1","0")</f>
        <v>0</v>
      </c>
      <c r="BN985">
        <f xml:space="preserve"> IF( AND( $BL$985 = "1", $BM$985 = "1" ), 1, IF( AND( $BL$985 = "1", $BM$985 = "0" ), 2, IF( AND( $BL$985 = "0", $BM$985 = "1" ), 3, 4 ) ) )</f>
        <v>4</v>
      </c>
    </row>
    <row r="986" spans="58:66" x14ac:dyDescent="0.25">
      <c r="BF986" s="1">
        <v>0</v>
      </c>
      <c r="BG986" t="str">
        <f>"0"</f>
        <v>0</v>
      </c>
      <c r="BH986" t="str">
        <f xml:space="preserve"> IF($BF$986 &gt;= $G$204, "1","0")</f>
        <v>0</v>
      </c>
      <c r="BI986">
        <f xml:space="preserve"> IF( AND( $BG$986 = "1", $BH$986 = "1" ), 1, IF( AND( $BG$986 = "1", $BH$986 = "0" ), 2, IF( AND( $BG$986 = "0", $BH$986 = "1" ), 3, 4 ) ) )</f>
        <v>4</v>
      </c>
      <c r="BK986" s="1">
        <v>2.5000000000000001E-3</v>
      </c>
      <c r="BL986" t="str">
        <f>"0"</f>
        <v>0</v>
      </c>
      <c r="BM986" t="str">
        <f xml:space="preserve"> IF($BK$986 &gt;= $G$281, "1","0")</f>
        <v>0</v>
      </c>
      <c r="BN986">
        <f xml:space="preserve"> IF( AND( $BL$986 = "1", $BM$986 = "1" ), 1, IF( AND( $BL$986 = "1", $BM$986 = "0" ), 2, IF( AND( $BL$986 = "0", $BM$986 = "1" ), 3, 4 ) ) )</f>
        <v>4</v>
      </c>
    </row>
    <row r="987" spans="58:66" x14ac:dyDescent="0.25">
      <c r="BF987" s="1">
        <v>0</v>
      </c>
      <c r="BG987" t="str">
        <f>"0"</f>
        <v>0</v>
      </c>
      <c r="BH987" t="str">
        <f xml:space="preserve"> IF($BF$987 &gt;= $G$204, "1","0")</f>
        <v>0</v>
      </c>
      <c r="BI987">
        <f xml:space="preserve"> IF( AND( $BG$987 = "1", $BH$987 = "1" ), 1, IF( AND( $BG$987 = "1", $BH$987 = "0" ), 2, IF( AND( $BG$987 = "0", $BH$987 = "1" ), 3, 4 ) ) )</f>
        <v>4</v>
      </c>
      <c r="BK987" s="1">
        <v>2.5000000000000001E-3</v>
      </c>
      <c r="BL987" t="str">
        <f>"0"</f>
        <v>0</v>
      </c>
      <c r="BM987" t="str">
        <f xml:space="preserve"> IF($BK$987 &gt;= $G$281, "1","0")</f>
        <v>0</v>
      </c>
      <c r="BN987">
        <f xml:space="preserve"> IF( AND( $BL$987 = "1", $BM$987 = "1" ), 1, IF( AND( $BL$987 = "1", $BM$987 = "0" ), 2, IF( AND( $BL$987 = "0", $BM$987 = "1" ), 3, 4 ) ) )</f>
        <v>4</v>
      </c>
    </row>
    <row r="988" spans="58:66" x14ac:dyDescent="0.25">
      <c r="BF988" s="1">
        <v>0</v>
      </c>
      <c r="BG988" t="str">
        <f>"0"</f>
        <v>0</v>
      </c>
      <c r="BH988" t="str">
        <f xml:space="preserve"> IF($BF$988 &gt;= $G$204, "1","0")</f>
        <v>0</v>
      </c>
      <c r="BI988">
        <f xml:space="preserve"> IF( AND( $BG$988 = "1", $BH$988 = "1" ), 1, IF( AND( $BG$988 = "1", $BH$988 = "0" ), 2, IF( AND( $BG$988 = "0", $BH$988 = "1" ), 3, 4 ) ) )</f>
        <v>4</v>
      </c>
      <c r="BK988" s="1">
        <v>1</v>
      </c>
      <c r="BL988" t="str">
        <f>"1"</f>
        <v>1</v>
      </c>
      <c r="BM988" t="str">
        <f xml:space="preserve"> IF($BK$988 &gt;= $G$281, "1","0")</f>
        <v>1</v>
      </c>
      <c r="BN988">
        <f xml:space="preserve"> IF( AND( $BL$988 = "1", $BM$988 = "1" ), 1, IF( AND( $BL$988 = "1", $BM$988 = "0" ), 2, IF( AND( $BL$988 = "0", $BM$988 = "1" ), 3, 4 ) ) )</f>
        <v>1</v>
      </c>
    </row>
    <row r="989" spans="58:66" x14ac:dyDescent="0.25">
      <c r="BF989" s="1">
        <v>0</v>
      </c>
      <c r="BG989" t="str">
        <f>"0"</f>
        <v>0</v>
      </c>
      <c r="BH989" t="str">
        <f xml:space="preserve"> IF($BF$989 &gt;= $G$204, "1","0")</f>
        <v>0</v>
      </c>
      <c r="BI989">
        <f xml:space="preserve"> IF( AND( $BG$989 = "1", $BH$989 = "1" ), 1, IF( AND( $BG$989 = "1", $BH$989 = "0" ), 2, IF( AND( $BG$989 = "0", $BH$989 = "1" ), 3, 4 ) ) )</f>
        <v>4</v>
      </c>
      <c r="BK989" s="1">
        <v>0</v>
      </c>
      <c r="BL989" t="str">
        <f>"0"</f>
        <v>0</v>
      </c>
      <c r="BM989" t="str">
        <f xml:space="preserve"> IF($BK$989 &gt;= $G$281, "1","0")</f>
        <v>0</v>
      </c>
      <c r="BN989">
        <f xml:space="preserve"> IF( AND( $BL$989 = "1", $BM$989 = "1" ), 1, IF( AND( $BL$989 = "1", $BM$989 = "0" ), 2, IF( AND( $BL$989 = "0", $BM$989 = "1" ), 3, 4 ) ) )</f>
        <v>4</v>
      </c>
    </row>
    <row r="990" spans="58:66" x14ac:dyDescent="0.25">
      <c r="BF990" s="1">
        <v>0</v>
      </c>
      <c r="BG990" t="str">
        <f>"0"</f>
        <v>0</v>
      </c>
      <c r="BH990" t="str">
        <f xml:space="preserve"> IF($BF$990 &gt;= $G$204, "1","0")</f>
        <v>0</v>
      </c>
      <c r="BI990">
        <f xml:space="preserve"> IF( AND( $BG$990 = "1", $BH$990 = "1" ), 1, IF( AND( $BG$990 = "1", $BH$990 = "0" ), 2, IF( AND( $BG$990 = "0", $BH$990 = "1" ), 3, 4 ) ) )</f>
        <v>4</v>
      </c>
      <c r="BK990" s="1">
        <v>0.14285714285714285</v>
      </c>
      <c r="BL990" t="str">
        <f>"0"</f>
        <v>0</v>
      </c>
      <c r="BM990" t="str">
        <f xml:space="preserve"> IF($BK$990 &gt;= $G$281, "1","0")</f>
        <v>0</v>
      </c>
      <c r="BN990">
        <f xml:space="preserve"> IF( AND( $BL$990 = "1", $BM$990 = "1" ), 1, IF( AND( $BL$990 = "1", $BM$990 = "0" ), 2, IF( AND( $BL$990 = "0", $BM$990 = "1" ), 3, 4 ) ) )</f>
        <v>4</v>
      </c>
    </row>
    <row r="991" spans="58:66" x14ac:dyDescent="0.25">
      <c r="BF991" s="1">
        <v>0</v>
      </c>
      <c r="BG991" t="str">
        <f>"0"</f>
        <v>0</v>
      </c>
      <c r="BH991" t="str">
        <f xml:space="preserve"> IF($BF$991 &gt;= $G$204, "1","0")</f>
        <v>0</v>
      </c>
      <c r="BI991">
        <f xml:space="preserve"> IF( AND( $BG$991 = "1", $BH$991 = "1" ), 1, IF( AND( $BG$991 = "1", $BH$991 = "0" ), 2, IF( AND( $BG$991 = "0", $BH$991 = "1" ), 3, 4 ) ) )</f>
        <v>4</v>
      </c>
      <c r="BK991" s="1">
        <v>1.8947368421052633E-2</v>
      </c>
      <c r="BL991" t="str">
        <f>"0"</f>
        <v>0</v>
      </c>
      <c r="BM991" t="str">
        <f xml:space="preserve"> IF($BK$991 &gt;= $G$281, "1","0")</f>
        <v>0</v>
      </c>
      <c r="BN991">
        <f xml:space="preserve"> IF( AND( $BL$991 = "1", $BM$991 = "1" ), 1, IF( AND( $BL$991 = "1", $BM$991 = "0" ), 2, IF( AND( $BL$991 = "0", $BM$991 = "1" ), 3, 4 ) ) )</f>
        <v>4</v>
      </c>
    </row>
    <row r="992" spans="58:66" x14ac:dyDescent="0.25">
      <c r="BF992" s="1">
        <v>0</v>
      </c>
      <c r="BG992" t="str">
        <f>"0"</f>
        <v>0</v>
      </c>
      <c r="BH992" t="str">
        <f xml:space="preserve"> IF($BF$992 &gt;= $G$204, "1","0")</f>
        <v>0</v>
      </c>
      <c r="BI992">
        <f xml:space="preserve"> IF( AND( $BG$992 = "1", $BH$992 = "1" ), 1, IF( AND( $BG$992 = "1", $BH$992 = "0" ), 2, IF( AND( $BG$992 = "0", $BH$992 = "1" ), 3, 4 ) ) )</f>
        <v>4</v>
      </c>
      <c r="BK992" s="1">
        <v>0</v>
      </c>
      <c r="BL992" t="str">
        <f>"0"</f>
        <v>0</v>
      </c>
      <c r="BM992" t="str">
        <f xml:space="preserve"> IF($BK$992 &gt;= $G$281, "1","0")</f>
        <v>0</v>
      </c>
      <c r="BN992">
        <f xml:space="preserve"> IF( AND( $BL$992 = "1", $BM$992 = "1" ), 1, IF( AND( $BL$992 = "1", $BM$992 = "0" ), 2, IF( AND( $BL$992 = "0", $BM$992 = "1" ), 3, 4 ) ) )</f>
        <v>4</v>
      </c>
    </row>
    <row r="993" spans="58:66" x14ac:dyDescent="0.25">
      <c r="BF993" s="1">
        <v>0</v>
      </c>
      <c r="BG993" t="str">
        <f>"0"</f>
        <v>0</v>
      </c>
      <c r="BH993" t="str">
        <f xml:space="preserve"> IF($BF$993 &gt;= $G$204, "1","0")</f>
        <v>0</v>
      </c>
      <c r="BI993">
        <f xml:space="preserve"> IF( AND( $BG$993 = "1", $BH$993 = "1" ), 1, IF( AND( $BG$993 = "1", $BH$993 = "0" ), 2, IF( AND( $BG$993 = "0", $BH$993 = "1" ), 3, 4 ) ) )</f>
        <v>4</v>
      </c>
      <c r="BK993" s="1">
        <v>2.5000000000000001E-3</v>
      </c>
      <c r="BL993" t="str">
        <f>"0"</f>
        <v>0</v>
      </c>
      <c r="BM993" t="str">
        <f xml:space="preserve"> IF($BK$993 &gt;= $G$281, "1","0")</f>
        <v>0</v>
      </c>
      <c r="BN993">
        <f xml:space="preserve"> IF( AND( $BL$993 = "1", $BM$993 = "1" ), 1, IF( AND( $BL$993 = "1", $BM$993 = "0" ), 2, IF( AND( $BL$993 = "0", $BM$993 = "1" ), 3, 4 ) ) )</f>
        <v>4</v>
      </c>
    </row>
    <row r="994" spans="58:66" x14ac:dyDescent="0.25">
      <c r="BF994" s="1">
        <v>0</v>
      </c>
      <c r="BG994" t="str">
        <f>"0"</f>
        <v>0</v>
      </c>
      <c r="BH994" t="str">
        <f xml:space="preserve"> IF($BF$994 &gt;= $G$204, "1","0")</f>
        <v>0</v>
      </c>
      <c r="BI994">
        <f xml:space="preserve"> IF( AND( $BG$994 = "1", $BH$994 = "1" ), 1, IF( AND( $BG$994 = "1", $BH$994 = "0" ), 2, IF( AND( $BG$994 = "0", $BH$994 = "1" ), 3, 4 ) ) )</f>
        <v>4</v>
      </c>
      <c r="BK994" s="1">
        <v>0.32</v>
      </c>
      <c r="BL994" t="str">
        <f>"0"</f>
        <v>0</v>
      </c>
      <c r="BM994" t="str">
        <f xml:space="preserve"> IF($BK$994 &gt;= $G$281, "1","0")</f>
        <v>1</v>
      </c>
      <c r="BN994">
        <f xml:space="preserve"> IF( AND( $BL$994 = "1", $BM$994 = "1" ), 1, IF( AND( $BL$994 = "1", $BM$994 = "0" ), 2, IF( AND( $BL$994 = "0", $BM$994 = "1" ), 3, 4 ) ) )</f>
        <v>3</v>
      </c>
    </row>
    <row r="995" spans="58:66" x14ac:dyDescent="0.25">
      <c r="BF995" s="1">
        <v>0</v>
      </c>
      <c r="BG995" t="str">
        <f>"0"</f>
        <v>0</v>
      </c>
      <c r="BH995" t="str">
        <f xml:space="preserve"> IF($BF$995 &gt;= $G$204, "1","0")</f>
        <v>0</v>
      </c>
      <c r="BI995">
        <f xml:space="preserve"> IF( AND( $BG$995 = "1", $BH$995 = "1" ), 1, IF( AND( $BG$995 = "1", $BH$995 = "0" ), 2, IF( AND( $BG$995 = "0", $BH$995 = "1" ), 3, 4 ) ) )</f>
        <v>4</v>
      </c>
      <c r="BK995" s="1">
        <v>1</v>
      </c>
      <c r="BL995" t="str">
        <f>"1"</f>
        <v>1</v>
      </c>
      <c r="BM995" t="str">
        <f xml:space="preserve"> IF($BK$995 &gt;= $G$281, "1","0")</f>
        <v>1</v>
      </c>
      <c r="BN995">
        <f xml:space="preserve"> IF( AND( $BL$995 = "1", $BM$995 = "1" ), 1, IF( AND( $BL$995 = "1", $BM$995 = "0" ), 2, IF( AND( $BL$995 = "0", $BM$995 = "1" ), 3, 4 ) ) )</f>
        <v>1</v>
      </c>
    </row>
    <row r="996" spans="58:66" x14ac:dyDescent="0.25">
      <c r="BF996" s="1">
        <v>0</v>
      </c>
      <c r="BG996" t="str">
        <f>"0"</f>
        <v>0</v>
      </c>
      <c r="BH996" t="str">
        <f xml:space="preserve"> IF($BF$996 &gt;= $G$204, "1","0")</f>
        <v>0</v>
      </c>
      <c r="BI996">
        <f xml:space="preserve"> IF( AND( $BG$996 = "1", $BH$996 = "1" ), 1, IF( AND( $BG$996 = "1", $BH$996 = "0" ), 2, IF( AND( $BG$996 = "0", $BH$996 = "1" ), 3, 4 ) ) )</f>
        <v>4</v>
      </c>
      <c r="BK996" s="1">
        <v>1.8947368421052633E-2</v>
      </c>
      <c r="BL996" t="str">
        <f>"0"</f>
        <v>0</v>
      </c>
      <c r="BM996" t="str">
        <f xml:space="preserve"> IF($BK$996 &gt;= $G$281, "1","0")</f>
        <v>0</v>
      </c>
      <c r="BN996">
        <f xml:space="preserve"> IF( AND( $BL$996 = "1", $BM$996 = "1" ), 1, IF( AND( $BL$996 = "1", $BM$996 = "0" ), 2, IF( AND( $BL$996 = "0", $BM$996 = "1" ), 3, 4 ) ) )</f>
        <v>4</v>
      </c>
    </row>
    <row r="997" spans="58:66" x14ac:dyDescent="0.25">
      <c r="BF997" s="1">
        <v>0</v>
      </c>
      <c r="BG997" t="str">
        <f>"0"</f>
        <v>0</v>
      </c>
      <c r="BH997" t="str">
        <f xml:space="preserve"> IF($BF$997 &gt;= $G$204, "1","0")</f>
        <v>0</v>
      </c>
      <c r="BI997">
        <f xml:space="preserve"> IF( AND( $BG$997 = "1", $BH$997 = "1" ), 1, IF( AND( $BG$997 = "1", $BH$997 = "0" ), 2, IF( AND( $BG$997 = "0", $BH$997 = "1" ), 3, 4 ) ) )</f>
        <v>4</v>
      </c>
      <c r="BK997" s="1">
        <v>1.8947368421052633E-2</v>
      </c>
      <c r="BL997" t="str">
        <f>"0"</f>
        <v>0</v>
      </c>
      <c r="BM997" t="str">
        <f xml:space="preserve"> IF($BK$997 &gt;= $G$281, "1","0")</f>
        <v>0</v>
      </c>
      <c r="BN997">
        <f xml:space="preserve"> IF( AND( $BL$997 = "1", $BM$997 = "1" ), 1, IF( AND( $BL$997 = "1", $BM$997 = "0" ), 2, IF( AND( $BL$997 = "0", $BM$997 = "1" ), 3, 4 ) ) )</f>
        <v>4</v>
      </c>
    </row>
    <row r="998" spans="58:66" x14ac:dyDescent="0.25">
      <c r="BF998" s="1">
        <v>0.3</v>
      </c>
      <c r="BG998" t="str">
        <f>"0"</f>
        <v>0</v>
      </c>
      <c r="BH998" t="str">
        <f xml:space="preserve"> IF($BF$998 &gt;= $G$204, "1","0")</f>
        <v>1</v>
      </c>
      <c r="BI998">
        <f xml:space="preserve"> IF( AND( $BG$998 = "1", $BH$998 = "1" ), 1, IF( AND( $BG$998 = "1", $BH$998 = "0" ), 2, IF( AND( $BG$998 = "0", $BH$998 = "1" ), 3, 4 ) ) )</f>
        <v>3</v>
      </c>
      <c r="BK998" s="1">
        <v>1</v>
      </c>
      <c r="BL998" t="str">
        <f>"1"</f>
        <v>1</v>
      </c>
      <c r="BM998" t="str">
        <f xml:space="preserve"> IF($BK$998 &gt;= $G$281, "1","0")</f>
        <v>1</v>
      </c>
      <c r="BN998">
        <f xml:space="preserve"> IF( AND( $BL$998 = "1", $BM$998 = "1" ), 1, IF( AND( $BL$998 = "1", $BM$998 = "0" ), 2, IF( AND( $BL$998 = "0", $BM$998 = "1" ), 3, 4 ) ) )</f>
        <v>1</v>
      </c>
    </row>
    <row r="999" spans="58:66" x14ac:dyDescent="0.25">
      <c r="BF999" s="1">
        <v>0.3</v>
      </c>
      <c r="BG999" t="str">
        <f>"0"</f>
        <v>0</v>
      </c>
      <c r="BH999" t="str">
        <f xml:space="preserve"> IF($BF$999 &gt;= $G$204, "1","0")</f>
        <v>1</v>
      </c>
      <c r="BI999">
        <f xml:space="preserve"> IF( AND( $BG$999 = "1", $BH$999 = "1" ), 1, IF( AND( $BG$999 = "1", $BH$999 = "0" ), 2, IF( AND( $BG$999 = "0", $BH$999 = "1" ), 3, 4 ) ) )</f>
        <v>3</v>
      </c>
      <c r="BK999" s="1">
        <v>1</v>
      </c>
      <c r="BL999" t="str">
        <f>"1"</f>
        <v>1</v>
      </c>
      <c r="BM999" t="str">
        <f xml:space="preserve"> IF($BK$999 &gt;= $G$281, "1","0")</f>
        <v>1</v>
      </c>
      <c r="BN999">
        <f xml:space="preserve"> IF( AND( $BL$999 = "1", $BM$999 = "1" ), 1, IF( AND( $BL$999 = "1", $BM$999 = "0" ), 2, IF( AND( $BL$999 = "0", $BM$999 = "1" ), 3, 4 ) ) )</f>
        <v>1</v>
      </c>
    </row>
    <row r="1000" spans="58:66" x14ac:dyDescent="0.25">
      <c r="BF1000" s="1">
        <v>0.3</v>
      </c>
      <c r="BG1000" t="str">
        <f>"0"</f>
        <v>0</v>
      </c>
      <c r="BH1000" t="str">
        <f xml:space="preserve"> IF($BF$1000 &gt;= $G$204, "1","0")</f>
        <v>1</v>
      </c>
      <c r="BI1000">
        <f xml:space="preserve"> IF( AND( $BG$1000 = "1", $BH$1000 = "1" ), 1, IF( AND( $BG$1000 = "1", $BH$1000 = "0" ), 2, IF( AND( $BG$1000 = "0", $BH$1000 = "1" ), 3, 4 ) ) )</f>
        <v>3</v>
      </c>
      <c r="BK1000" s="1">
        <v>1.8947368421052633E-2</v>
      </c>
      <c r="BL1000" t="str">
        <f>"0"</f>
        <v>0</v>
      </c>
      <c r="BM1000" t="str">
        <f xml:space="preserve"> IF($BK$1000 &gt;= $G$281, "1","0")</f>
        <v>0</v>
      </c>
      <c r="BN1000">
        <f xml:space="preserve"> IF( AND( $BL$1000 = "1", $BM$1000 = "1" ), 1, IF( AND( $BL$1000 = "1", $BM$1000 = "0" ), 2, IF( AND( $BL$1000 = "0", $BM$1000 = "1" ), 3, 4 ) ) )</f>
        <v>4</v>
      </c>
    </row>
    <row r="1001" spans="58:66" x14ac:dyDescent="0.25">
      <c r="BF1001" s="1">
        <v>0.3</v>
      </c>
      <c r="BG1001" t="str">
        <f>"0"</f>
        <v>0</v>
      </c>
      <c r="BH1001" t="str">
        <f xml:space="preserve"> IF($BF$1001 &gt;= $G$204, "1","0")</f>
        <v>1</v>
      </c>
      <c r="BI1001">
        <f xml:space="preserve"> IF( AND( $BG$1001 = "1", $BH$1001 = "1" ), 1, IF( AND( $BG$1001 = "1", $BH$1001 = "0" ), 2, IF( AND( $BG$1001 = "0", $BH$1001 = "1" ), 3, 4 ) ) )</f>
        <v>3</v>
      </c>
      <c r="BK1001" s="1">
        <v>1.8947368421052633E-2</v>
      </c>
      <c r="BL1001" t="str">
        <f>"0"</f>
        <v>0</v>
      </c>
      <c r="BM1001" t="str">
        <f xml:space="preserve"> IF($BK$1001 &gt;= $G$281, "1","0")</f>
        <v>0</v>
      </c>
      <c r="BN1001">
        <f xml:space="preserve"> IF( AND( $BL$1001 = "1", $BM$1001 = "1" ), 1, IF( AND( $BL$1001 = "1", $BM$1001 = "0" ), 2, IF( AND( $BL$1001 = "0", $BM$1001 = "1" ), 3, 4 ) ) )</f>
        <v>4</v>
      </c>
    </row>
    <row r="1002" spans="58:66" x14ac:dyDescent="0.25">
      <c r="BF1002" s="1">
        <v>0.68181818181818188</v>
      </c>
      <c r="BG1002" t="str">
        <f>"0"</f>
        <v>0</v>
      </c>
      <c r="BH1002" t="str">
        <f xml:space="preserve"> IF($BF$1002 &gt;= $G$204, "1","0")</f>
        <v>1</v>
      </c>
      <c r="BI1002">
        <f xml:space="preserve"> IF( AND( $BG$1002 = "1", $BH$1002 = "1" ), 1, IF( AND( $BG$1002 = "1", $BH$1002 = "0" ), 2, IF( AND( $BG$1002 = "0", $BH$1002 = "1" ), 3, 4 ) ) )</f>
        <v>3</v>
      </c>
      <c r="BK1002" s="1">
        <v>1.8947368421052633E-2</v>
      </c>
      <c r="BL1002" t="str">
        <f>"0"</f>
        <v>0</v>
      </c>
      <c r="BM1002" t="str">
        <f xml:space="preserve"> IF($BK$1002 &gt;= $G$281, "1","0")</f>
        <v>0</v>
      </c>
      <c r="BN1002">
        <f xml:space="preserve"> IF( AND( $BL$1002 = "1", $BM$1002 = "1" ), 1, IF( AND( $BL$1002 = "1", $BM$1002 = "0" ), 2, IF( AND( $BL$1002 = "0", $BM$1002 = "1" ), 3, 4 ) ) )</f>
        <v>4</v>
      </c>
    </row>
    <row r="1003" spans="58:66" x14ac:dyDescent="0.25">
      <c r="BF1003" s="1">
        <v>0.68181818181818188</v>
      </c>
      <c r="BG1003" t="str">
        <f>"0"</f>
        <v>0</v>
      </c>
      <c r="BH1003" t="str">
        <f xml:space="preserve"> IF($BF$1003 &gt;= $G$204, "1","0")</f>
        <v>1</v>
      </c>
      <c r="BI1003">
        <f xml:space="preserve"> IF( AND( $BG$1003 = "1", $BH$1003 = "1" ), 1, IF( AND( $BG$1003 = "1", $BH$1003 = "0" ), 2, IF( AND( $BG$1003 = "0", $BH$1003 = "1" ), 3, 4 ) ) )</f>
        <v>3</v>
      </c>
      <c r="BK1003" s="1">
        <v>1.8947368421052633E-2</v>
      </c>
      <c r="BL1003" t="str">
        <f>"0"</f>
        <v>0</v>
      </c>
      <c r="BM1003" t="str">
        <f xml:space="preserve"> IF($BK$1003 &gt;= $G$281, "1","0")</f>
        <v>0</v>
      </c>
      <c r="BN1003">
        <f xml:space="preserve"> IF( AND( $BL$1003 = "1", $BM$1003 = "1" ), 1, IF( AND( $BL$1003 = "1", $BM$1003 = "0" ), 2, IF( AND( $BL$1003 = "0", $BM$1003 = "1" ), 3, 4 ) ) )</f>
        <v>4</v>
      </c>
    </row>
    <row r="1004" spans="58:66" x14ac:dyDescent="0.25">
      <c r="BF1004" s="1">
        <v>0.68181818181818188</v>
      </c>
      <c r="BG1004" t="str">
        <f>"0"</f>
        <v>0</v>
      </c>
      <c r="BH1004" t="str">
        <f xml:space="preserve"> IF($BF$1004 &gt;= $G$204, "1","0")</f>
        <v>1</v>
      </c>
      <c r="BI1004">
        <f xml:space="preserve"> IF( AND( $BG$1004 = "1", $BH$1004 = "1" ), 1, IF( AND( $BG$1004 = "1", $BH$1004 = "0" ), 2, IF( AND( $BG$1004 = "0", $BH$1004 = "1" ), 3, 4 ) ) )</f>
        <v>3</v>
      </c>
      <c r="BK1004" s="1">
        <v>0.64</v>
      </c>
      <c r="BL1004" t="str">
        <f>"0"</f>
        <v>0</v>
      </c>
      <c r="BM1004" t="str">
        <f xml:space="preserve"> IF($BK$1004 &gt;= $G$281, "1","0")</f>
        <v>1</v>
      </c>
      <c r="BN1004">
        <f xml:space="preserve"> IF( AND( $BL$1004 = "1", $BM$1004 = "1" ), 1, IF( AND( $BL$1004 = "1", $BM$1004 = "0" ), 2, IF( AND( $BL$1004 = "0", $BM$1004 = "1" ), 3, 4 ) ) )</f>
        <v>3</v>
      </c>
    </row>
    <row r="1005" spans="58:66" x14ac:dyDescent="0.25">
      <c r="BF1005" s="1">
        <v>0.68181818181818188</v>
      </c>
      <c r="BG1005" t="str">
        <f>"0"</f>
        <v>0</v>
      </c>
      <c r="BH1005" t="str">
        <f xml:space="preserve"> IF($BF$1005 &gt;= $G$204, "1","0")</f>
        <v>1</v>
      </c>
      <c r="BI1005">
        <f xml:space="preserve"> IF( AND( $BG$1005 = "1", $BH$1005 = "1" ), 1, IF( AND( $BG$1005 = "1", $BH$1005 = "0" ), 2, IF( AND( $BG$1005 = "0", $BH$1005 = "1" ), 3, 4 ) ) )</f>
        <v>3</v>
      </c>
      <c r="BK1005" s="1">
        <v>1</v>
      </c>
      <c r="BL1005" t="str">
        <f>"1"</f>
        <v>1</v>
      </c>
      <c r="BM1005" t="str">
        <f xml:space="preserve"> IF($BK$1005 &gt;= $G$281, "1","0")</f>
        <v>1</v>
      </c>
      <c r="BN1005">
        <f xml:space="preserve"> IF( AND( $BL$1005 = "1", $BM$1005 = "1" ), 1, IF( AND( $BL$1005 = "1", $BM$1005 = "0" ), 2, IF( AND( $BL$1005 = "0", $BM$1005 = "1" ), 3, 4 ) ) )</f>
        <v>1</v>
      </c>
    </row>
    <row r="1006" spans="58:66" x14ac:dyDescent="0.25">
      <c r="BF1006" s="1">
        <v>0.68181818181818188</v>
      </c>
      <c r="BG1006" t="str">
        <f>"0"</f>
        <v>0</v>
      </c>
      <c r="BH1006" t="str">
        <f xml:space="preserve"> IF($BF$1006 &gt;= $G$204, "1","0")</f>
        <v>1</v>
      </c>
      <c r="BI1006">
        <f xml:space="preserve"> IF( AND( $BG$1006 = "1", $BH$1006 = "1" ), 1, IF( AND( $BG$1006 = "1", $BH$1006 = "0" ), 2, IF( AND( $BG$1006 = "0", $BH$1006 = "1" ), 3, 4 ) ) )</f>
        <v>3</v>
      </c>
      <c r="BK1006" s="1">
        <v>1</v>
      </c>
      <c r="BL1006" t="str">
        <f>"1"</f>
        <v>1</v>
      </c>
      <c r="BM1006" t="str">
        <f xml:space="preserve"> IF($BK$1006 &gt;= $G$281, "1","0")</f>
        <v>1</v>
      </c>
      <c r="BN1006">
        <f xml:space="preserve"> IF( AND( $BL$1006 = "1", $BM$1006 = "1" ), 1, IF( AND( $BL$1006 = "1", $BM$1006 = "0" ), 2, IF( AND( $BL$1006 = "0", $BM$1006 = "1" ), 3, 4 ) ) )</f>
        <v>1</v>
      </c>
    </row>
    <row r="1007" spans="58:66" x14ac:dyDescent="0.25">
      <c r="BF1007" s="1">
        <v>0.68181818181818188</v>
      </c>
      <c r="BG1007" t="str">
        <f>"0"</f>
        <v>0</v>
      </c>
      <c r="BH1007" t="str">
        <f xml:space="preserve"> IF($BF$1007 &gt;= $G$204, "1","0")</f>
        <v>1</v>
      </c>
      <c r="BI1007">
        <f xml:space="preserve"> IF( AND( $BG$1007 = "1", $BH$1007 = "1" ), 1, IF( AND( $BG$1007 = "1", $BH$1007 = "0" ), 2, IF( AND( $BG$1007 = "0", $BH$1007 = "1" ), 3, 4 ) ) )</f>
        <v>3</v>
      </c>
      <c r="BK1007" s="1">
        <v>0.5625</v>
      </c>
      <c r="BL1007" t="str">
        <f>"1"</f>
        <v>1</v>
      </c>
      <c r="BM1007" t="str">
        <f xml:space="preserve"> IF($BK$1007 &gt;= $G$281, "1","0")</f>
        <v>1</v>
      </c>
      <c r="BN1007">
        <f xml:space="preserve"> IF( AND( $BL$1007 = "1", $BM$1007 = "1" ), 1, IF( AND( $BL$1007 = "1", $BM$1007 = "0" ), 2, IF( AND( $BL$1007 = "0", $BM$1007 = "1" ), 3, 4 ) ) )</f>
        <v>1</v>
      </c>
    </row>
    <row r="1008" spans="58:66" x14ac:dyDescent="0.25">
      <c r="BF1008" s="1">
        <v>0.68181818181818188</v>
      </c>
      <c r="BG1008" t="str">
        <f>"0"</f>
        <v>0</v>
      </c>
      <c r="BH1008" t="str">
        <f xml:space="preserve"> IF($BF$1008 &gt;= $G$204, "1","0")</f>
        <v>1</v>
      </c>
      <c r="BI1008">
        <f xml:space="preserve"> IF( AND( $BG$1008 = "1", $BH$1008 = "1" ), 1, IF( AND( $BG$1008 = "1", $BH$1008 = "0" ), 2, IF( AND( $BG$1008 = "0", $BH$1008 = "1" ), 3, 4 ) ) )</f>
        <v>3</v>
      </c>
      <c r="BK1008" s="1">
        <v>1.8947368421052633E-2</v>
      </c>
      <c r="BL1008" t="str">
        <f>"0"</f>
        <v>0</v>
      </c>
      <c r="BM1008" t="str">
        <f xml:space="preserve"> IF($BK$1008 &gt;= $G$281, "1","0")</f>
        <v>0</v>
      </c>
      <c r="BN1008">
        <f xml:space="preserve"> IF( AND( $BL$1008 = "1", $BM$1008 = "1" ), 1, IF( AND( $BL$1008 = "1", $BM$1008 = "0" ), 2, IF( AND( $BL$1008 = "0", $BM$1008 = "1" ), 3, 4 ) ) )</f>
        <v>4</v>
      </c>
    </row>
    <row r="1009" spans="58:66" x14ac:dyDescent="0.25">
      <c r="BF1009" s="1">
        <v>0</v>
      </c>
      <c r="BG1009" t="str">
        <f>"0"</f>
        <v>0</v>
      </c>
      <c r="BH1009" t="str">
        <f xml:space="preserve"> IF($BF$1009 &gt;= $G$204, "1","0")</f>
        <v>0</v>
      </c>
      <c r="BI1009">
        <f xml:space="preserve"> IF( AND( $BG$1009 = "1", $BH$1009 = "1" ), 1, IF( AND( $BG$1009 = "1", $BH$1009 = "0" ), 2, IF( AND( $BG$1009 = "0", $BH$1009 = "1" ), 3, 4 ) ) )</f>
        <v>4</v>
      </c>
      <c r="BK1009" s="1">
        <v>2.5000000000000001E-3</v>
      </c>
      <c r="BL1009" t="str">
        <f>"0"</f>
        <v>0</v>
      </c>
      <c r="BM1009" t="str">
        <f xml:space="preserve"> IF($BK$1009 &gt;= $G$281, "1","0")</f>
        <v>0</v>
      </c>
      <c r="BN1009">
        <f xml:space="preserve"> IF( AND( $BL$1009 = "1", $BM$1009 = "1" ), 1, IF( AND( $BL$1009 = "1", $BM$1009 = "0" ), 2, IF( AND( $BL$1009 = "0", $BM$1009 = "1" ), 3, 4 ) ) )</f>
        <v>4</v>
      </c>
    </row>
    <row r="1010" spans="58:66" x14ac:dyDescent="0.25">
      <c r="BF1010" s="1">
        <v>0</v>
      </c>
      <c r="BG1010" t="str">
        <f>"0"</f>
        <v>0</v>
      </c>
      <c r="BH1010" t="str">
        <f xml:space="preserve"> IF($BF$1010 &gt;= $G$204, "1","0")</f>
        <v>0</v>
      </c>
      <c r="BI1010">
        <f xml:space="preserve"> IF( AND( $BG$1010 = "1", $BH$1010 = "1" ), 1, IF( AND( $BG$1010 = "1", $BH$1010 = "0" ), 2, IF( AND( $BG$1010 = "0", $BH$1010 = "1" ), 3, 4 ) ) )</f>
        <v>4</v>
      </c>
      <c r="BK1010" s="1">
        <v>1</v>
      </c>
      <c r="BL1010" t="str">
        <f>"1"</f>
        <v>1</v>
      </c>
      <c r="BM1010" t="str">
        <f xml:space="preserve"> IF($BK$1010 &gt;= $G$281, "1","0")</f>
        <v>1</v>
      </c>
      <c r="BN1010">
        <f xml:space="preserve"> IF( AND( $BL$1010 = "1", $BM$1010 = "1" ), 1, IF( AND( $BL$1010 = "1", $BM$1010 = "0" ), 2, IF( AND( $BL$1010 = "0", $BM$1010 = "1" ), 3, 4 ) ) )</f>
        <v>1</v>
      </c>
    </row>
    <row r="1011" spans="58:66" x14ac:dyDescent="0.25">
      <c r="BF1011" s="1">
        <v>0</v>
      </c>
      <c r="BG1011" t="str">
        <f>"0"</f>
        <v>0</v>
      </c>
      <c r="BH1011" t="str">
        <f xml:space="preserve"> IF($BF$1011 &gt;= $G$204, "1","0")</f>
        <v>0</v>
      </c>
      <c r="BI1011">
        <f xml:space="preserve"> IF( AND( $BG$1011 = "1", $BH$1011 = "1" ), 1, IF( AND( $BG$1011 = "1", $BH$1011 = "0" ), 2, IF( AND( $BG$1011 = "0", $BH$1011 = "1" ), 3, 4 ) ) )</f>
        <v>4</v>
      </c>
      <c r="BK1011" s="1">
        <v>0</v>
      </c>
      <c r="BL1011" t="str">
        <f>"0"</f>
        <v>0</v>
      </c>
      <c r="BM1011" t="str">
        <f xml:space="preserve"> IF($BK$1011 &gt;= $G$281, "1","0")</f>
        <v>0</v>
      </c>
      <c r="BN1011">
        <f xml:space="preserve"> IF( AND( $BL$1011 = "1", $BM$1011 = "1" ), 1, IF( AND( $BL$1011 = "1", $BM$1011 = "0" ), 2, IF( AND( $BL$1011 = "0", $BM$1011 = "1" ), 3, 4 ) ) )</f>
        <v>4</v>
      </c>
    </row>
    <row r="1012" spans="58:66" x14ac:dyDescent="0.25">
      <c r="BF1012" s="1">
        <v>0</v>
      </c>
      <c r="BG1012" t="str">
        <f>"0"</f>
        <v>0</v>
      </c>
      <c r="BH1012" t="str">
        <f xml:space="preserve"> IF($BF$1012 &gt;= $G$204, "1","0")</f>
        <v>0</v>
      </c>
      <c r="BI1012">
        <f xml:space="preserve"> IF( AND( $BG$1012 = "1", $BH$1012 = "1" ), 1, IF( AND( $BG$1012 = "1", $BH$1012 = "0" ), 2, IF( AND( $BG$1012 = "0", $BH$1012 = "1" ), 3, 4 ) ) )</f>
        <v>4</v>
      </c>
      <c r="BK1012" s="1">
        <v>2.5000000000000001E-3</v>
      </c>
      <c r="BL1012" t="str">
        <f>"0"</f>
        <v>0</v>
      </c>
      <c r="BM1012" t="str">
        <f xml:space="preserve"> IF($BK$1012 &gt;= $G$281, "1","0")</f>
        <v>0</v>
      </c>
      <c r="BN1012">
        <f xml:space="preserve"> IF( AND( $BL$1012 = "1", $BM$1012 = "1" ), 1, IF( AND( $BL$1012 = "1", $BM$1012 = "0" ), 2, IF( AND( $BL$1012 = "0", $BM$1012 = "1" ), 3, 4 ) ) )</f>
        <v>4</v>
      </c>
    </row>
    <row r="1013" spans="58:66" x14ac:dyDescent="0.25">
      <c r="BF1013" s="1">
        <v>0</v>
      </c>
      <c r="BG1013" t="str">
        <f>"0"</f>
        <v>0</v>
      </c>
      <c r="BH1013" t="str">
        <f xml:space="preserve"> IF($BF$1013 &gt;= $G$204, "1","0")</f>
        <v>0</v>
      </c>
      <c r="BI1013">
        <f xml:space="preserve"> IF( AND( $BG$1013 = "1", $BH$1013 = "1" ), 1, IF( AND( $BG$1013 = "1", $BH$1013 = "0" ), 2, IF( AND( $BG$1013 = "0", $BH$1013 = "1" ), 3, 4 ) ) )</f>
        <v>4</v>
      </c>
      <c r="BK1013" s="1">
        <v>1</v>
      </c>
      <c r="BL1013" t="str">
        <f>"1"</f>
        <v>1</v>
      </c>
      <c r="BM1013" t="str">
        <f xml:space="preserve"> IF($BK$1013 &gt;= $G$281, "1","0")</f>
        <v>1</v>
      </c>
      <c r="BN1013">
        <f xml:space="preserve"> IF( AND( $BL$1013 = "1", $BM$1013 = "1" ), 1, IF( AND( $BL$1013 = "1", $BM$1013 = "0" ), 2, IF( AND( $BL$1013 = "0", $BM$1013 = "1" ), 3, 4 ) ) )</f>
        <v>1</v>
      </c>
    </row>
    <row r="1014" spans="58:66" x14ac:dyDescent="0.25">
      <c r="BF1014" s="1">
        <v>0</v>
      </c>
      <c r="BG1014" t="str">
        <f>"0"</f>
        <v>0</v>
      </c>
      <c r="BH1014" t="str">
        <f xml:space="preserve"> IF($BF$1014 &gt;= $G$204, "1","0")</f>
        <v>0</v>
      </c>
      <c r="BI1014">
        <f xml:space="preserve"> IF( AND( $BG$1014 = "1", $BH$1014 = "1" ), 1, IF( AND( $BG$1014 = "1", $BH$1014 = "0" ), 2, IF( AND( $BG$1014 = "0", $BH$1014 = "1" ), 3, 4 ) ) )</f>
        <v>4</v>
      </c>
      <c r="BK1014" s="1">
        <v>0.79999999999999993</v>
      </c>
      <c r="BL1014" t="str">
        <f>"0"</f>
        <v>0</v>
      </c>
      <c r="BM1014" t="str">
        <f xml:space="preserve"> IF($BK$1014 &gt;= $G$281, "1","0")</f>
        <v>1</v>
      </c>
      <c r="BN1014">
        <f xml:space="preserve"> IF( AND( $BL$1014 = "1", $BM$1014 = "1" ), 1, IF( AND( $BL$1014 = "1", $BM$1014 = "0" ), 2, IF( AND( $BL$1014 = "0", $BM$1014 = "1" ), 3, 4 ) ) )</f>
        <v>3</v>
      </c>
    </row>
    <row r="1015" spans="58:66" x14ac:dyDescent="0.25">
      <c r="BF1015" s="1">
        <v>0</v>
      </c>
      <c r="BG1015" t="str">
        <f>"0"</f>
        <v>0</v>
      </c>
      <c r="BH1015" t="str">
        <f xml:space="preserve"> IF($BF$1015 &gt;= $G$204, "1","0")</f>
        <v>0</v>
      </c>
      <c r="BI1015">
        <f xml:space="preserve"> IF( AND( $BG$1015 = "1", $BH$1015 = "1" ), 1, IF( AND( $BG$1015 = "1", $BH$1015 = "0" ), 2, IF( AND( $BG$1015 = "0", $BH$1015 = "1" ), 3, 4 ) ) )</f>
        <v>4</v>
      </c>
      <c r="BK1015" s="1">
        <v>0</v>
      </c>
      <c r="BL1015" t="str">
        <f>"0"</f>
        <v>0</v>
      </c>
      <c r="BM1015" t="str">
        <f xml:space="preserve"> IF($BK$1015 &gt;= $G$281, "1","0")</f>
        <v>0</v>
      </c>
      <c r="BN1015">
        <f xml:space="preserve"> IF( AND( $BL$1015 = "1", $BM$1015 = "1" ), 1, IF( AND( $BL$1015 = "1", $BM$1015 = "0" ), 2, IF( AND( $BL$1015 = "0", $BM$1015 = "1" ), 3, 4 ) ) )</f>
        <v>4</v>
      </c>
    </row>
    <row r="1016" spans="58:66" x14ac:dyDescent="0.25">
      <c r="BF1016" s="1">
        <v>0</v>
      </c>
      <c r="BG1016" t="str">
        <f>"0"</f>
        <v>0</v>
      </c>
      <c r="BH1016" t="str">
        <f xml:space="preserve"> IF($BF$1016 &gt;= $G$204, "1","0")</f>
        <v>0</v>
      </c>
      <c r="BI1016">
        <f xml:space="preserve"> IF( AND( $BG$1016 = "1", $BH$1016 = "1" ), 1, IF( AND( $BG$1016 = "1", $BH$1016 = "0" ), 2, IF( AND( $BG$1016 = "0", $BH$1016 = "1" ), 3, 4 ) ) )</f>
        <v>4</v>
      </c>
      <c r="BK1016" s="1">
        <v>1.8947368421052633E-2</v>
      </c>
      <c r="BL1016" t="str">
        <f>"0"</f>
        <v>0</v>
      </c>
      <c r="BM1016" t="str">
        <f xml:space="preserve"> IF($BK$1016 &gt;= $G$281, "1","0")</f>
        <v>0</v>
      </c>
      <c r="BN1016">
        <f xml:space="preserve"> IF( AND( $BL$1016 = "1", $BM$1016 = "1" ), 1, IF( AND( $BL$1016 = "1", $BM$1016 = "0" ), 2, IF( AND( $BL$1016 = "0", $BM$1016 = "1" ), 3, 4 ) ) )</f>
        <v>4</v>
      </c>
    </row>
    <row r="1017" spans="58:66" x14ac:dyDescent="0.25">
      <c r="BF1017" s="1">
        <v>0</v>
      </c>
      <c r="BG1017" t="str">
        <f>"0"</f>
        <v>0</v>
      </c>
      <c r="BH1017" t="str">
        <f xml:space="preserve"> IF($BF$1017 &gt;= $G$204, "1","0")</f>
        <v>0</v>
      </c>
      <c r="BI1017">
        <f xml:space="preserve"> IF( AND( $BG$1017 = "1", $BH$1017 = "1" ), 1, IF( AND( $BG$1017 = "1", $BH$1017 = "0" ), 2, IF( AND( $BG$1017 = "0", $BH$1017 = "1" ), 3, 4 ) ) )</f>
        <v>4</v>
      </c>
      <c r="BK1017" s="1">
        <v>0</v>
      </c>
      <c r="BL1017" t="str">
        <f>"0"</f>
        <v>0</v>
      </c>
      <c r="BM1017" t="str">
        <f xml:space="preserve"> IF($BK$1017 &gt;= $G$281, "1","0")</f>
        <v>0</v>
      </c>
      <c r="BN1017">
        <f xml:space="preserve"> IF( AND( $BL$1017 = "1", $BM$1017 = "1" ), 1, IF( AND( $BL$1017 = "1", $BM$1017 = "0" ), 2, IF( AND( $BL$1017 = "0", $BM$1017 = "1" ), 3, 4 ) ) )</f>
        <v>4</v>
      </c>
    </row>
    <row r="1018" spans="58:66" x14ac:dyDescent="0.25">
      <c r="BF1018" s="1">
        <v>0</v>
      </c>
      <c r="BG1018" t="str">
        <f>"0"</f>
        <v>0</v>
      </c>
      <c r="BH1018" t="str">
        <f xml:space="preserve"> IF($BF$1018 &gt;= $G$204, "1","0")</f>
        <v>0</v>
      </c>
      <c r="BI1018">
        <f xml:space="preserve"> IF( AND( $BG$1018 = "1", $BH$1018 = "1" ), 1, IF( AND( $BG$1018 = "1", $BH$1018 = "0" ), 2, IF( AND( $BG$1018 = "0", $BH$1018 = "1" ), 3, 4 ) ) )</f>
        <v>4</v>
      </c>
      <c r="BK1018" s="1">
        <v>1.8947368421052633E-2</v>
      </c>
      <c r="BL1018" t="str">
        <f>"0"</f>
        <v>0</v>
      </c>
      <c r="BM1018" t="str">
        <f xml:space="preserve"> IF($BK$1018 &gt;= $G$281, "1","0")</f>
        <v>0</v>
      </c>
      <c r="BN1018">
        <f xml:space="preserve"> IF( AND( $BL$1018 = "1", $BM$1018 = "1" ), 1, IF( AND( $BL$1018 = "1", $BM$1018 = "0" ), 2, IF( AND( $BL$1018 = "0", $BM$1018 = "1" ), 3, 4 ) ) )</f>
        <v>4</v>
      </c>
    </row>
    <row r="1019" spans="58:66" x14ac:dyDescent="0.25">
      <c r="BF1019" s="1">
        <v>0</v>
      </c>
      <c r="BG1019" t="str">
        <f>"0"</f>
        <v>0</v>
      </c>
      <c r="BH1019" t="str">
        <f xml:space="preserve"> IF($BF$1019 &gt;= $G$204, "1","0")</f>
        <v>0</v>
      </c>
      <c r="BI1019">
        <f xml:space="preserve"> IF( AND( $BG$1019 = "1", $BH$1019 = "1" ), 1, IF( AND( $BG$1019 = "1", $BH$1019 = "0" ), 2, IF( AND( $BG$1019 = "0", $BH$1019 = "1" ), 3, 4 ) ) )</f>
        <v>4</v>
      </c>
      <c r="BK1019" s="1">
        <v>1.8947368421052633E-2</v>
      </c>
      <c r="BL1019" t="str">
        <f>"0"</f>
        <v>0</v>
      </c>
      <c r="BM1019" t="str">
        <f xml:space="preserve"> IF($BK$1019 &gt;= $G$281, "1","0")</f>
        <v>0</v>
      </c>
      <c r="BN1019">
        <f xml:space="preserve"> IF( AND( $BL$1019 = "1", $BM$1019 = "1" ), 1, IF( AND( $BL$1019 = "1", $BM$1019 = "0" ), 2, IF( AND( $BL$1019 = "0", $BM$1019 = "1" ), 3, 4 ) ) )</f>
        <v>4</v>
      </c>
    </row>
    <row r="1020" spans="58:66" x14ac:dyDescent="0.25">
      <c r="BF1020" s="1">
        <v>0</v>
      </c>
      <c r="BG1020" t="str">
        <f>"0"</f>
        <v>0</v>
      </c>
      <c r="BH1020" t="str">
        <f xml:space="preserve"> IF($BF$1020 &gt;= $G$204, "1","0")</f>
        <v>0</v>
      </c>
      <c r="BI1020">
        <f xml:space="preserve"> IF( AND( $BG$1020 = "1", $BH$1020 = "1" ), 1, IF( AND( $BG$1020 = "1", $BH$1020 = "0" ), 2, IF( AND( $BG$1020 = "0", $BH$1020 = "1" ), 3, 4 ) ) )</f>
        <v>4</v>
      </c>
      <c r="BK1020" s="1">
        <v>1</v>
      </c>
      <c r="BL1020" t="str">
        <f>"1"</f>
        <v>1</v>
      </c>
      <c r="BM1020" t="str">
        <f xml:space="preserve"> IF($BK$1020 &gt;= $G$281, "1","0")</f>
        <v>1</v>
      </c>
      <c r="BN1020">
        <f xml:space="preserve"> IF( AND( $BL$1020 = "1", $BM$1020 = "1" ), 1, IF( AND( $BL$1020 = "1", $BM$1020 = "0" ), 2, IF( AND( $BL$1020 = "0", $BM$1020 = "1" ), 3, 4 ) ) )</f>
        <v>1</v>
      </c>
    </row>
    <row r="1021" spans="58:66" x14ac:dyDescent="0.25">
      <c r="BF1021" s="1">
        <v>0</v>
      </c>
      <c r="BG1021" t="str">
        <f>"0"</f>
        <v>0</v>
      </c>
      <c r="BH1021" t="str">
        <f xml:space="preserve"> IF($BF$1021 &gt;= $G$204, "1","0")</f>
        <v>0</v>
      </c>
      <c r="BI1021">
        <f xml:space="preserve"> IF( AND( $BG$1021 = "1", $BH$1021 = "1" ), 1, IF( AND( $BG$1021 = "1", $BH$1021 = "0" ), 2, IF( AND( $BG$1021 = "0", $BH$1021 = "1" ), 3, 4 ) ) )</f>
        <v>4</v>
      </c>
      <c r="BK1021" s="1">
        <v>0.79999999999999993</v>
      </c>
      <c r="BL1021" t="str">
        <f>"1"</f>
        <v>1</v>
      </c>
      <c r="BM1021" t="str">
        <f xml:space="preserve"> IF($BK$1021 &gt;= $G$281, "1","0")</f>
        <v>1</v>
      </c>
      <c r="BN1021">
        <f xml:space="preserve"> IF( AND( $BL$1021 = "1", $BM$1021 = "1" ), 1, IF( AND( $BL$1021 = "1", $BM$1021 = "0" ), 2, IF( AND( $BL$1021 = "0", $BM$1021 = "1" ), 3, 4 ) ) )</f>
        <v>1</v>
      </c>
    </row>
    <row r="1022" spans="58:66" x14ac:dyDescent="0.25">
      <c r="BF1022" s="1">
        <v>0</v>
      </c>
      <c r="BG1022" t="str">
        <f>"0"</f>
        <v>0</v>
      </c>
      <c r="BH1022" t="str">
        <f xml:space="preserve"> IF($BF$1022 &gt;= $G$204, "1","0")</f>
        <v>0</v>
      </c>
      <c r="BI1022">
        <f xml:space="preserve"> IF( AND( $BG$1022 = "1", $BH$1022 = "1" ), 1, IF( AND( $BG$1022 = "1", $BH$1022 = "0" ), 2, IF( AND( $BG$1022 = "0", $BH$1022 = "1" ), 3, 4 ) ) )</f>
        <v>4</v>
      </c>
      <c r="BK1022" s="1">
        <v>0.72727272727272729</v>
      </c>
      <c r="BL1022" t="str">
        <f>"0"</f>
        <v>0</v>
      </c>
      <c r="BM1022" t="str">
        <f xml:space="preserve"> IF($BK$1022 &gt;= $G$281, "1","0")</f>
        <v>1</v>
      </c>
      <c r="BN1022">
        <f xml:space="preserve"> IF( AND( $BL$1022 = "1", $BM$1022 = "1" ), 1, IF( AND( $BL$1022 = "1", $BM$1022 = "0" ), 2, IF( AND( $BL$1022 = "0", $BM$1022 = "1" ), 3, 4 ) ) )</f>
        <v>3</v>
      </c>
    </row>
    <row r="1023" spans="58:66" x14ac:dyDescent="0.25">
      <c r="BF1023" s="1">
        <v>0</v>
      </c>
      <c r="BG1023" t="str">
        <f>"0"</f>
        <v>0</v>
      </c>
      <c r="BH1023" t="str">
        <f xml:space="preserve"> IF($BF$1023 &gt;= $G$204, "1","0")</f>
        <v>0</v>
      </c>
      <c r="BI1023">
        <f xml:space="preserve"> IF( AND( $BG$1023 = "1", $BH$1023 = "1" ), 1, IF( AND( $BG$1023 = "1", $BH$1023 = "0" ), 2, IF( AND( $BG$1023 = "0", $BH$1023 = "1" ), 3, 4 ) ) )</f>
        <v>4</v>
      </c>
      <c r="BK1023" s="1">
        <v>0.64</v>
      </c>
      <c r="BL1023" t="str">
        <f>"0"</f>
        <v>0</v>
      </c>
      <c r="BM1023" t="str">
        <f xml:space="preserve"> IF($BK$1023 &gt;= $G$281, "1","0")</f>
        <v>1</v>
      </c>
      <c r="BN1023">
        <f xml:space="preserve"> IF( AND( $BL$1023 = "1", $BM$1023 = "1" ), 1, IF( AND( $BL$1023 = "1", $BM$1023 = "0" ), 2, IF( AND( $BL$1023 = "0", $BM$1023 = "1" ), 3, 4 ) ) )</f>
        <v>3</v>
      </c>
    </row>
    <row r="1024" spans="58:66" x14ac:dyDescent="0.25">
      <c r="BF1024" s="1">
        <v>0</v>
      </c>
      <c r="BG1024" t="str">
        <f>"0"</f>
        <v>0</v>
      </c>
      <c r="BH1024" t="str">
        <f xml:space="preserve"> IF($BF$1024 &gt;= $G$204, "1","0")</f>
        <v>0</v>
      </c>
      <c r="BI1024">
        <f xml:space="preserve"> IF( AND( $BG$1024 = "1", $BH$1024 = "1" ), 1, IF( AND( $BG$1024 = "1", $BH$1024 = "0" ), 2, IF( AND( $BG$1024 = "0", $BH$1024 = "1" ), 3, 4 ) ) )</f>
        <v>4</v>
      </c>
      <c r="BK1024" s="1">
        <v>2.5000000000000001E-3</v>
      </c>
      <c r="BL1024" t="str">
        <f>"0"</f>
        <v>0</v>
      </c>
      <c r="BM1024" t="str">
        <f xml:space="preserve"> IF($BK$1024 &gt;= $G$281, "1","0")</f>
        <v>0</v>
      </c>
      <c r="BN1024">
        <f xml:space="preserve"> IF( AND( $BL$1024 = "1", $BM$1024 = "1" ), 1, IF( AND( $BL$1024 = "1", $BM$1024 = "0" ), 2, IF( AND( $BL$1024 = "0", $BM$1024 = "1" ), 3, 4 ) ) )</f>
        <v>4</v>
      </c>
    </row>
    <row r="1025" spans="58:66" x14ac:dyDescent="0.25">
      <c r="BF1025" s="1">
        <v>0</v>
      </c>
      <c r="BG1025" t="str">
        <f>"0"</f>
        <v>0</v>
      </c>
      <c r="BH1025" t="str">
        <f xml:space="preserve"> IF($BF$1025 &gt;= $G$204, "1","0")</f>
        <v>0</v>
      </c>
      <c r="BI1025">
        <f xml:space="preserve"> IF( AND( $BG$1025 = "1", $BH$1025 = "1" ), 1, IF( AND( $BG$1025 = "1", $BH$1025 = "0" ), 2, IF( AND( $BG$1025 = "0", $BH$1025 = "1" ), 3, 4 ) ) )</f>
        <v>4</v>
      </c>
      <c r="BK1025" s="1">
        <v>1.8947368421052633E-2</v>
      </c>
      <c r="BL1025" t="str">
        <f>"0"</f>
        <v>0</v>
      </c>
      <c r="BM1025" t="str">
        <f xml:space="preserve"> IF($BK$1025 &gt;= $G$281, "1","0")</f>
        <v>0</v>
      </c>
      <c r="BN1025">
        <f xml:space="preserve"> IF( AND( $BL$1025 = "1", $BM$1025 = "1" ), 1, IF( AND( $BL$1025 = "1", $BM$1025 = "0" ), 2, IF( AND( $BL$1025 = "0", $BM$1025 = "1" ), 3, 4 ) ) )</f>
        <v>4</v>
      </c>
    </row>
    <row r="1026" spans="58:66" x14ac:dyDescent="0.25">
      <c r="BF1026" s="1">
        <v>0</v>
      </c>
      <c r="BG1026" t="str">
        <f>"0"</f>
        <v>0</v>
      </c>
      <c r="BH1026" t="str">
        <f xml:space="preserve"> IF($BF$1026 &gt;= $G$204, "1","0")</f>
        <v>0</v>
      </c>
      <c r="BI1026">
        <f xml:space="preserve"> IF( AND( $BG$1026 = "1", $BH$1026 = "1" ), 1, IF( AND( $BG$1026 = "1", $BH$1026 = "0" ), 2, IF( AND( $BG$1026 = "0", $BH$1026 = "1" ), 3, 4 ) ) )</f>
        <v>4</v>
      </c>
      <c r="BK1026" s="1">
        <v>3.333333333333334E-2</v>
      </c>
      <c r="BL1026" t="str">
        <f>"0"</f>
        <v>0</v>
      </c>
      <c r="BM1026" t="str">
        <f xml:space="preserve"> IF($BK$1026 &gt;= $G$281, "1","0")</f>
        <v>0</v>
      </c>
      <c r="BN1026">
        <f xml:space="preserve"> IF( AND( $BL$1026 = "1", $BM$1026 = "1" ), 1, IF( AND( $BL$1026 = "1", $BM$1026 = "0" ), 2, IF( AND( $BL$1026 = "0", $BM$1026 = "1" ), 3, 4 ) ) )</f>
        <v>4</v>
      </c>
    </row>
    <row r="1027" spans="58:66" x14ac:dyDescent="0.25">
      <c r="BF1027" s="1">
        <v>0</v>
      </c>
      <c r="BG1027" t="str">
        <f>"0"</f>
        <v>0</v>
      </c>
      <c r="BH1027" t="str">
        <f xml:space="preserve"> IF($BF$1027 &gt;= $G$204, "1","0")</f>
        <v>0</v>
      </c>
      <c r="BI1027">
        <f xml:space="preserve"> IF( AND( $BG$1027 = "1", $BH$1027 = "1" ), 1, IF( AND( $BG$1027 = "1", $BH$1027 = "0" ), 2, IF( AND( $BG$1027 = "0", $BH$1027 = "1" ), 3, 4 ) ) )</f>
        <v>4</v>
      </c>
      <c r="BK1027" s="1">
        <v>1.8947368421052633E-2</v>
      </c>
      <c r="BL1027" t="str">
        <f>"0"</f>
        <v>0</v>
      </c>
      <c r="BM1027" t="str">
        <f xml:space="preserve"> IF($BK$1027 &gt;= $G$281, "1","0")</f>
        <v>0</v>
      </c>
      <c r="BN1027">
        <f xml:space="preserve"> IF( AND( $BL$1027 = "1", $BM$1027 = "1" ), 1, IF( AND( $BL$1027 = "1", $BM$1027 = "0" ), 2, IF( AND( $BL$1027 = "0", $BM$1027 = "1" ), 3, 4 ) ) )</f>
        <v>4</v>
      </c>
    </row>
    <row r="1028" spans="58:66" x14ac:dyDescent="0.25">
      <c r="BF1028" s="1">
        <v>0</v>
      </c>
      <c r="BG1028" t="str">
        <f>"0"</f>
        <v>0</v>
      </c>
      <c r="BH1028" t="str">
        <f xml:space="preserve"> IF($BF$1028 &gt;= $G$204, "1","0")</f>
        <v>0</v>
      </c>
      <c r="BI1028">
        <f xml:space="preserve"> IF( AND( $BG$1028 = "1", $BH$1028 = "1" ), 1, IF( AND( $BG$1028 = "1", $BH$1028 = "0" ), 2, IF( AND( $BG$1028 = "0", $BH$1028 = "1" ), 3, 4 ) ) )</f>
        <v>4</v>
      </c>
      <c r="BK1028" s="1">
        <v>0</v>
      </c>
      <c r="BL1028" t="str">
        <f>"0"</f>
        <v>0</v>
      </c>
      <c r="BM1028" t="str">
        <f xml:space="preserve"> IF($BK$1028 &gt;= $G$281, "1","0")</f>
        <v>0</v>
      </c>
      <c r="BN1028">
        <f xml:space="preserve"> IF( AND( $BL$1028 = "1", $BM$1028 = "1" ), 1, IF( AND( $BL$1028 = "1", $BM$1028 = "0" ), 2, IF( AND( $BL$1028 = "0", $BM$1028 = "1" ), 3, 4 ) ) )</f>
        <v>4</v>
      </c>
    </row>
    <row r="1029" spans="58:66" x14ac:dyDescent="0.25">
      <c r="BF1029" s="1">
        <v>0</v>
      </c>
      <c r="BG1029" t="str">
        <f>"0"</f>
        <v>0</v>
      </c>
      <c r="BH1029" t="str">
        <f xml:space="preserve"> IF($BF$1029 &gt;= $G$204, "1","0")</f>
        <v>0</v>
      </c>
      <c r="BI1029">
        <f xml:space="preserve"> IF( AND( $BG$1029 = "1", $BH$1029 = "1" ), 1, IF( AND( $BG$1029 = "1", $BH$1029 = "0" ), 2, IF( AND( $BG$1029 = "0", $BH$1029 = "1" ), 3, 4 ) ) )</f>
        <v>4</v>
      </c>
      <c r="BK1029" s="1">
        <v>1</v>
      </c>
      <c r="BL1029" t="str">
        <f>"1"</f>
        <v>1</v>
      </c>
      <c r="BM1029" t="str">
        <f xml:space="preserve"> IF($BK$1029 &gt;= $G$281, "1","0")</f>
        <v>1</v>
      </c>
      <c r="BN1029">
        <f xml:space="preserve"> IF( AND( $BL$1029 = "1", $BM$1029 = "1" ), 1, IF( AND( $BL$1029 = "1", $BM$1029 = "0" ), 2, IF( AND( $BL$1029 = "0", $BM$1029 = "1" ), 3, 4 ) ) )</f>
        <v>1</v>
      </c>
    </row>
    <row r="1030" spans="58:66" x14ac:dyDescent="0.25">
      <c r="BF1030" s="1">
        <v>0</v>
      </c>
      <c r="BG1030" t="str">
        <f>"0"</f>
        <v>0</v>
      </c>
      <c r="BH1030" t="str">
        <f xml:space="preserve"> IF($BF$1030 &gt;= $G$204, "1","0")</f>
        <v>0</v>
      </c>
      <c r="BI1030">
        <f xml:space="preserve"> IF( AND( $BG$1030 = "1", $BH$1030 = "1" ), 1, IF( AND( $BG$1030 = "1", $BH$1030 = "0" ), 2, IF( AND( $BG$1030 = "0", $BH$1030 = "1" ), 3, 4 ) ) )</f>
        <v>4</v>
      </c>
      <c r="BK1030" s="1">
        <v>1.8947368421052633E-2</v>
      </c>
      <c r="BL1030" t="str">
        <f>"0"</f>
        <v>0</v>
      </c>
      <c r="BM1030" t="str">
        <f xml:space="preserve"> IF($BK$1030 &gt;= $G$281, "1","0")</f>
        <v>0</v>
      </c>
      <c r="BN1030">
        <f xml:space="preserve"> IF( AND( $BL$1030 = "1", $BM$1030 = "1" ), 1, IF( AND( $BL$1030 = "1", $BM$1030 = "0" ), 2, IF( AND( $BL$1030 = "0", $BM$1030 = "1" ), 3, 4 ) ) )</f>
        <v>4</v>
      </c>
    </row>
    <row r="1031" spans="58:66" x14ac:dyDescent="0.25">
      <c r="BF1031" s="1">
        <v>0</v>
      </c>
      <c r="BG1031" t="str">
        <f>"0"</f>
        <v>0</v>
      </c>
      <c r="BH1031" t="str">
        <f xml:space="preserve"> IF($BF$1031 &gt;= $G$204, "1","0")</f>
        <v>0</v>
      </c>
      <c r="BI1031">
        <f xml:space="preserve"> IF( AND( $BG$1031 = "1", $BH$1031 = "1" ), 1, IF( AND( $BG$1031 = "1", $BH$1031 = "0" ), 2, IF( AND( $BG$1031 = "0", $BH$1031 = "1" ), 3, 4 ) ) )</f>
        <v>4</v>
      </c>
      <c r="BK1031" s="1">
        <v>0</v>
      </c>
      <c r="BL1031" t="str">
        <f>"0"</f>
        <v>0</v>
      </c>
      <c r="BM1031" t="str">
        <f xml:space="preserve"> IF($BK$1031 &gt;= $G$281, "1","0")</f>
        <v>0</v>
      </c>
      <c r="BN1031">
        <f xml:space="preserve"> IF( AND( $BL$1031 = "1", $BM$1031 = "1" ), 1, IF( AND( $BL$1031 = "1", $BM$1031 = "0" ), 2, IF( AND( $BL$1031 = "0", $BM$1031 = "1" ), 3, 4 ) ) )</f>
        <v>4</v>
      </c>
    </row>
    <row r="1032" spans="58:66" x14ac:dyDescent="0.25">
      <c r="BF1032" s="1">
        <v>0</v>
      </c>
      <c r="BG1032" t="str">
        <f>"0"</f>
        <v>0</v>
      </c>
      <c r="BH1032" t="str">
        <f xml:space="preserve"> IF($BF$1032 &gt;= $G$204, "1","0")</f>
        <v>0</v>
      </c>
      <c r="BI1032">
        <f xml:space="preserve"> IF( AND( $BG$1032 = "1", $BH$1032 = "1" ), 1, IF( AND( $BG$1032 = "1", $BH$1032 = "0" ), 2, IF( AND( $BG$1032 = "0", $BH$1032 = "1" ), 3, 4 ) ) )</f>
        <v>4</v>
      </c>
      <c r="BK1032" s="1">
        <v>1.8947368421052633E-2</v>
      </c>
      <c r="BL1032" t="str">
        <f>"0"</f>
        <v>0</v>
      </c>
      <c r="BM1032" t="str">
        <f xml:space="preserve"> IF($BK$1032 &gt;= $G$281, "1","0")</f>
        <v>0</v>
      </c>
      <c r="BN1032">
        <f xml:space="preserve"> IF( AND( $BL$1032 = "1", $BM$1032 = "1" ), 1, IF( AND( $BL$1032 = "1", $BM$1032 = "0" ), 2, IF( AND( $BL$1032 = "0", $BM$1032 = "1" ), 3, 4 ) ) )</f>
        <v>4</v>
      </c>
    </row>
    <row r="1033" spans="58:66" x14ac:dyDescent="0.25">
      <c r="BF1033" s="1">
        <v>0</v>
      </c>
      <c r="BG1033" t="str">
        <f>"0"</f>
        <v>0</v>
      </c>
      <c r="BH1033" t="str">
        <f xml:space="preserve"> IF($BF$1033 &gt;= $G$204, "1","0")</f>
        <v>0</v>
      </c>
      <c r="BI1033">
        <f xml:space="preserve"> IF( AND( $BG$1033 = "1", $BH$1033 = "1" ), 1, IF( AND( $BG$1033 = "1", $BH$1033 = "0" ), 2, IF( AND( $BG$1033 = "0", $BH$1033 = "1" ), 3, 4 ) ) )</f>
        <v>4</v>
      </c>
      <c r="BK1033" s="1">
        <v>1.8947368421052633E-2</v>
      </c>
      <c r="BL1033" t="str">
        <f>"0"</f>
        <v>0</v>
      </c>
      <c r="BM1033" t="str">
        <f xml:space="preserve"> IF($BK$1033 &gt;= $G$281, "1","0")</f>
        <v>0</v>
      </c>
      <c r="BN1033">
        <f xml:space="preserve"> IF( AND( $BL$1033 = "1", $BM$1033 = "1" ), 1, IF( AND( $BL$1033 = "1", $BM$1033 = "0" ), 2, IF( AND( $BL$1033 = "0", $BM$1033 = "1" ), 3, 4 ) ) )</f>
        <v>4</v>
      </c>
    </row>
    <row r="1034" spans="58:66" x14ac:dyDescent="0.25">
      <c r="BF1034" s="1">
        <v>0</v>
      </c>
      <c r="BG1034" t="str">
        <f>"0"</f>
        <v>0</v>
      </c>
      <c r="BH1034" t="str">
        <f xml:space="preserve"> IF($BF$1034 &gt;= $G$204, "1","0")</f>
        <v>0</v>
      </c>
      <c r="BI1034">
        <f xml:space="preserve"> IF( AND( $BG$1034 = "1", $BH$1034 = "1" ), 1, IF( AND( $BG$1034 = "1", $BH$1034 = "0" ), 2, IF( AND( $BG$1034 = "0", $BH$1034 = "1" ), 3, 4 ) ) )</f>
        <v>4</v>
      </c>
      <c r="BK1034" s="1">
        <v>1</v>
      </c>
      <c r="BL1034" t="str">
        <f>"1"</f>
        <v>1</v>
      </c>
      <c r="BM1034" t="str">
        <f xml:space="preserve"> IF($BK$1034 &gt;= $G$281, "1","0")</f>
        <v>1</v>
      </c>
      <c r="BN1034">
        <f xml:space="preserve"> IF( AND( $BL$1034 = "1", $BM$1034 = "1" ), 1, IF( AND( $BL$1034 = "1", $BM$1034 = "0" ), 2, IF( AND( $BL$1034 = "0", $BM$1034 = "1" ), 3, 4 ) ) )</f>
        <v>1</v>
      </c>
    </row>
    <row r="1035" spans="58:66" x14ac:dyDescent="0.25">
      <c r="BF1035" s="1">
        <v>0</v>
      </c>
      <c r="BG1035" t="str">
        <f>"0"</f>
        <v>0</v>
      </c>
      <c r="BH1035" t="str">
        <f xml:space="preserve"> IF($BF$1035 &gt;= $G$204, "1","0")</f>
        <v>0</v>
      </c>
      <c r="BI1035">
        <f xml:space="preserve"> IF( AND( $BG$1035 = "1", $BH$1035 = "1" ), 1, IF( AND( $BG$1035 = "1", $BH$1035 = "0" ), 2, IF( AND( $BG$1035 = "0", $BH$1035 = "1" ), 3, 4 ) ) )</f>
        <v>4</v>
      </c>
      <c r="BK1035" s="1">
        <v>2.5000000000000001E-3</v>
      </c>
      <c r="BL1035" t="str">
        <f>"0"</f>
        <v>0</v>
      </c>
      <c r="BM1035" t="str">
        <f xml:space="preserve"> IF($BK$1035 &gt;= $G$281, "1","0")</f>
        <v>0</v>
      </c>
      <c r="BN1035">
        <f xml:space="preserve"> IF( AND( $BL$1035 = "1", $BM$1035 = "1" ), 1, IF( AND( $BL$1035 = "1", $BM$1035 = "0" ), 2, IF( AND( $BL$1035 = "0", $BM$1035 = "1" ), 3, 4 ) ) )</f>
        <v>4</v>
      </c>
    </row>
    <row r="1036" spans="58:66" x14ac:dyDescent="0.25">
      <c r="BF1036" s="1">
        <v>0</v>
      </c>
      <c r="BG1036" t="str">
        <f>"0"</f>
        <v>0</v>
      </c>
      <c r="BH1036" t="str">
        <f xml:space="preserve"> IF($BF$1036 &gt;= $G$204, "1","0")</f>
        <v>0</v>
      </c>
      <c r="BI1036">
        <f xml:space="preserve"> IF( AND( $BG$1036 = "1", $BH$1036 = "1" ), 1, IF( AND( $BG$1036 = "1", $BH$1036 = "0" ), 2, IF( AND( $BG$1036 = "0", $BH$1036 = "1" ), 3, 4 ) ) )</f>
        <v>4</v>
      </c>
      <c r="BK1036" s="1">
        <v>0</v>
      </c>
      <c r="BL1036" t="str">
        <f>"0"</f>
        <v>0</v>
      </c>
      <c r="BM1036" t="str">
        <f xml:space="preserve"> IF($BK$1036 &gt;= $G$281, "1","0")</f>
        <v>0</v>
      </c>
      <c r="BN1036">
        <f xml:space="preserve"> IF( AND( $BL$1036 = "1", $BM$1036 = "1" ), 1, IF( AND( $BL$1036 = "1", $BM$1036 = "0" ), 2, IF( AND( $BL$1036 = "0", $BM$1036 = "1" ), 3, 4 ) ) )</f>
        <v>4</v>
      </c>
    </row>
    <row r="1037" spans="58:66" x14ac:dyDescent="0.25">
      <c r="BF1037" s="1">
        <v>0</v>
      </c>
      <c r="BG1037" t="str">
        <f>"0"</f>
        <v>0</v>
      </c>
      <c r="BH1037" t="str">
        <f xml:space="preserve"> IF($BF$1037 &gt;= $G$204, "1","0")</f>
        <v>0</v>
      </c>
      <c r="BI1037">
        <f xml:space="preserve"> IF( AND( $BG$1037 = "1", $BH$1037 = "1" ), 1, IF( AND( $BG$1037 = "1", $BH$1037 = "0" ), 2, IF( AND( $BG$1037 = "0", $BH$1037 = "1" ), 3, 4 ) ) )</f>
        <v>4</v>
      </c>
      <c r="BK1037" s="1">
        <v>2.5000000000000001E-3</v>
      </c>
      <c r="BL1037" t="str">
        <f>"0"</f>
        <v>0</v>
      </c>
      <c r="BM1037" t="str">
        <f xml:space="preserve"> IF($BK$1037 &gt;= $G$281, "1","0")</f>
        <v>0</v>
      </c>
      <c r="BN1037">
        <f xml:space="preserve"> IF( AND( $BL$1037 = "1", $BM$1037 = "1" ), 1, IF( AND( $BL$1037 = "1", $BM$1037 = "0" ), 2, IF( AND( $BL$1037 = "0", $BM$1037 = "1" ), 3, 4 ) ) )</f>
        <v>4</v>
      </c>
    </row>
    <row r="1038" spans="58:66" x14ac:dyDescent="0.25">
      <c r="BF1038" s="1">
        <v>0</v>
      </c>
      <c r="BG1038" t="str">
        <f>"0"</f>
        <v>0</v>
      </c>
      <c r="BH1038" t="str">
        <f xml:space="preserve"> IF($BF$1038 &gt;= $G$204, "1","0")</f>
        <v>0</v>
      </c>
      <c r="BI1038">
        <f xml:space="preserve"> IF( AND( $BG$1038 = "1", $BH$1038 = "1" ), 1, IF( AND( $BG$1038 = "1", $BH$1038 = "0" ), 2, IF( AND( $BG$1038 = "0", $BH$1038 = "1" ), 3, 4 ) ) )</f>
        <v>4</v>
      </c>
      <c r="BK1038" s="1">
        <v>2.5000000000000001E-3</v>
      </c>
      <c r="BL1038" t="str">
        <f>"0"</f>
        <v>0</v>
      </c>
      <c r="BM1038" t="str">
        <f xml:space="preserve"> IF($BK$1038 &gt;= $G$281, "1","0")</f>
        <v>0</v>
      </c>
      <c r="BN1038">
        <f xml:space="preserve"> IF( AND( $BL$1038 = "1", $BM$1038 = "1" ), 1, IF( AND( $BL$1038 = "1", $BM$1038 = "0" ), 2, IF( AND( $BL$1038 = "0", $BM$1038 = "1" ), 3, 4 ) ) )</f>
        <v>4</v>
      </c>
    </row>
    <row r="1039" spans="58:66" x14ac:dyDescent="0.25">
      <c r="BF1039" s="1">
        <v>0</v>
      </c>
      <c r="BG1039" t="str">
        <f>"0"</f>
        <v>0</v>
      </c>
      <c r="BH1039" t="str">
        <f xml:space="preserve"> IF($BF$1039 &gt;= $G$204, "1","0")</f>
        <v>0</v>
      </c>
      <c r="BI1039">
        <f xml:space="preserve"> IF( AND( $BG$1039 = "1", $BH$1039 = "1" ), 1, IF( AND( $BG$1039 = "1", $BH$1039 = "0" ), 2, IF( AND( $BG$1039 = "0", $BH$1039 = "1" ), 3, 4 ) ) )</f>
        <v>4</v>
      </c>
      <c r="BK1039" s="1">
        <v>2.5000000000000001E-3</v>
      </c>
      <c r="BL1039" t="str">
        <f>"0"</f>
        <v>0</v>
      </c>
      <c r="BM1039" t="str">
        <f xml:space="preserve"> IF($BK$1039 &gt;= $G$281, "1","0")</f>
        <v>0</v>
      </c>
      <c r="BN1039">
        <f xml:space="preserve"> IF( AND( $BL$1039 = "1", $BM$1039 = "1" ), 1, IF( AND( $BL$1039 = "1", $BM$1039 = "0" ), 2, IF( AND( $BL$1039 = "0", $BM$1039 = "1" ), 3, 4 ) ) )</f>
        <v>4</v>
      </c>
    </row>
    <row r="1040" spans="58:66" x14ac:dyDescent="0.25">
      <c r="BF1040" s="1">
        <v>0</v>
      </c>
      <c r="BG1040" t="str">
        <f>"0"</f>
        <v>0</v>
      </c>
      <c r="BH1040" t="str">
        <f xml:space="preserve"> IF($BF$1040 &gt;= $G$204, "1","0")</f>
        <v>0</v>
      </c>
      <c r="BI1040">
        <f xml:space="preserve"> IF( AND( $BG$1040 = "1", $BH$1040 = "1" ), 1, IF( AND( $BG$1040 = "1", $BH$1040 = "0" ), 2, IF( AND( $BG$1040 = "0", $BH$1040 = "1" ), 3, 4 ) ) )</f>
        <v>4</v>
      </c>
      <c r="BK1040" s="1">
        <v>2.5000000000000001E-3</v>
      </c>
      <c r="BL1040" t="str">
        <f>"0"</f>
        <v>0</v>
      </c>
      <c r="BM1040" t="str">
        <f xml:space="preserve"> IF($BK$1040 &gt;= $G$281, "1","0")</f>
        <v>0</v>
      </c>
      <c r="BN1040">
        <f xml:space="preserve"> IF( AND( $BL$1040 = "1", $BM$1040 = "1" ), 1, IF( AND( $BL$1040 = "1", $BM$1040 = "0" ), 2, IF( AND( $BL$1040 = "0", $BM$1040 = "1" ), 3, 4 ) ) )</f>
        <v>4</v>
      </c>
    </row>
    <row r="1041" spans="58:66" x14ac:dyDescent="0.25">
      <c r="BF1041" s="1">
        <v>0</v>
      </c>
      <c r="BG1041" t="str">
        <f>"0"</f>
        <v>0</v>
      </c>
      <c r="BH1041" t="str">
        <f xml:space="preserve"> IF($BF$1041 &gt;= $G$204, "1","0")</f>
        <v>0</v>
      </c>
      <c r="BI1041">
        <f xml:space="preserve"> IF( AND( $BG$1041 = "1", $BH$1041 = "1" ), 1, IF( AND( $BG$1041 = "1", $BH$1041 = "0" ), 2, IF( AND( $BG$1041 = "0", $BH$1041 = "1" ), 3, 4 ) ) )</f>
        <v>4</v>
      </c>
      <c r="BK1041" s="1">
        <v>3.333333333333334E-2</v>
      </c>
      <c r="BL1041" t="str">
        <f>"0"</f>
        <v>0</v>
      </c>
      <c r="BM1041" t="str">
        <f xml:space="preserve"> IF($BK$1041 &gt;= $G$281, "1","0")</f>
        <v>0</v>
      </c>
      <c r="BN1041">
        <f xml:space="preserve"> IF( AND( $BL$1041 = "1", $BM$1041 = "1" ), 1, IF( AND( $BL$1041 = "1", $BM$1041 = "0" ), 2, IF( AND( $BL$1041 = "0", $BM$1041 = "1" ), 3, 4 ) ) )</f>
        <v>4</v>
      </c>
    </row>
    <row r="1042" spans="58:66" x14ac:dyDescent="0.25">
      <c r="BF1042" s="1">
        <v>0</v>
      </c>
      <c r="BG1042" t="str">
        <f>"0"</f>
        <v>0</v>
      </c>
      <c r="BH1042" t="str">
        <f xml:space="preserve"> IF($BF$1042 &gt;= $G$204, "1","0")</f>
        <v>0</v>
      </c>
      <c r="BI1042">
        <f xml:space="preserve"> IF( AND( $BG$1042 = "1", $BH$1042 = "1" ), 1, IF( AND( $BG$1042 = "1", $BH$1042 = "0" ), 2, IF( AND( $BG$1042 = "0", $BH$1042 = "1" ), 3, 4 ) ) )</f>
        <v>4</v>
      </c>
      <c r="BK1042" s="1">
        <v>0.14285714285714288</v>
      </c>
      <c r="BL1042" t="str">
        <f>"0"</f>
        <v>0</v>
      </c>
      <c r="BM1042" t="str">
        <f xml:space="preserve"> IF($BK$1042 &gt;= $G$281, "1","0")</f>
        <v>0</v>
      </c>
      <c r="BN1042">
        <f xml:space="preserve"> IF( AND( $BL$1042 = "1", $BM$1042 = "1" ), 1, IF( AND( $BL$1042 = "1", $BM$1042 = "0" ), 2, IF( AND( $BL$1042 = "0", $BM$1042 = "1" ), 3, 4 ) ) )</f>
        <v>4</v>
      </c>
    </row>
    <row r="1043" spans="58:66" x14ac:dyDescent="0.25">
      <c r="BF1043" s="1">
        <v>0</v>
      </c>
      <c r="BG1043" t="str">
        <f>"0"</f>
        <v>0</v>
      </c>
      <c r="BH1043" t="str">
        <f xml:space="preserve"> IF($BF$1043 &gt;= $G$204, "1","0")</f>
        <v>0</v>
      </c>
      <c r="BI1043">
        <f xml:space="preserve"> IF( AND( $BG$1043 = "1", $BH$1043 = "1" ), 1, IF( AND( $BG$1043 = "1", $BH$1043 = "0" ), 2, IF( AND( $BG$1043 = "0", $BH$1043 = "1" ), 3, 4 ) ) )</f>
        <v>4</v>
      </c>
      <c r="BK1043" s="1">
        <v>1</v>
      </c>
      <c r="BL1043" t="str">
        <f>"1"</f>
        <v>1</v>
      </c>
      <c r="BM1043" t="str">
        <f xml:space="preserve"> IF($BK$1043 &gt;= $G$281, "1","0")</f>
        <v>1</v>
      </c>
      <c r="BN1043">
        <f xml:space="preserve"> IF( AND( $BL$1043 = "1", $BM$1043 = "1" ), 1, IF( AND( $BL$1043 = "1", $BM$1043 = "0" ), 2, IF( AND( $BL$1043 = "0", $BM$1043 = "1" ), 3, 4 ) ) )</f>
        <v>1</v>
      </c>
    </row>
    <row r="1044" spans="58:66" x14ac:dyDescent="0.25">
      <c r="BF1044" s="1">
        <v>0</v>
      </c>
      <c r="BG1044" t="str">
        <f>"0"</f>
        <v>0</v>
      </c>
      <c r="BH1044" t="str">
        <f xml:space="preserve"> IF($BF$1044 &gt;= $G$204, "1","0")</f>
        <v>0</v>
      </c>
      <c r="BI1044">
        <f xml:space="preserve"> IF( AND( $BG$1044 = "1", $BH$1044 = "1" ), 1, IF( AND( $BG$1044 = "1", $BH$1044 = "0" ), 2, IF( AND( $BG$1044 = "0", $BH$1044 = "1" ), 3, 4 ) ) )</f>
        <v>4</v>
      </c>
      <c r="BK1044" s="1">
        <v>0.72727272727272729</v>
      </c>
      <c r="BL1044" t="str">
        <f>"0"</f>
        <v>0</v>
      </c>
      <c r="BM1044" t="str">
        <f xml:space="preserve"> IF($BK$1044 &gt;= $G$281, "1","0")</f>
        <v>1</v>
      </c>
      <c r="BN1044">
        <f xml:space="preserve"> IF( AND( $BL$1044 = "1", $BM$1044 = "1" ), 1, IF( AND( $BL$1044 = "1", $BM$1044 = "0" ), 2, IF( AND( $BL$1044 = "0", $BM$1044 = "1" ), 3, 4 ) ) )</f>
        <v>3</v>
      </c>
    </row>
    <row r="1045" spans="58:66" x14ac:dyDescent="0.25">
      <c r="BF1045" s="1">
        <v>0</v>
      </c>
      <c r="BG1045" t="str">
        <f>"0"</f>
        <v>0</v>
      </c>
      <c r="BH1045" t="str">
        <f xml:space="preserve"> IF($BF$1045 &gt;= $G$204, "1","0")</f>
        <v>0</v>
      </c>
      <c r="BI1045">
        <f xml:space="preserve"> IF( AND( $BG$1045 = "1", $BH$1045 = "1" ), 1, IF( AND( $BG$1045 = "1", $BH$1045 = "0" ), 2, IF( AND( $BG$1045 = "0", $BH$1045 = "1" ), 3, 4 ) ) )</f>
        <v>4</v>
      </c>
      <c r="BK1045" s="1">
        <v>0</v>
      </c>
      <c r="BL1045" t="str">
        <f>"0"</f>
        <v>0</v>
      </c>
      <c r="BM1045" t="str">
        <f xml:space="preserve"> IF($BK$1045 &gt;= $G$281, "1","0")</f>
        <v>0</v>
      </c>
      <c r="BN1045">
        <f xml:space="preserve"> IF( AND( $BL$1045 = "1", $BM$1045 = "1" ), 1, IF( AND( $BL$1045 = "1", $BM$1045 = "0" ), 2, IF( AND( $BL$1045 = "0", $BM$1045 = "1" ), 3, 4 ) ) )</f>
        <v>4</v>
      </c>
    </row>
    <row r="1046" spans="58:66" x14ac:dyDescent="0.25">
      <c r="BF1046" s="1">
        <v>0</v>
      </c>
      <c r="BG1046" t="str">
        <f>"0"</f>
        <v>0</v>
      </c>
      <c r="BH1046" t="str">
        <f xml:space="preserve"> IF($BF$1046 &gt;= $G$204, "1","0")</f>
        <v>0</v>
      </c>
      <c r="BI1046">
        <f xml:space="preserve"> IF( AND( $BG$1046 = "1", $BH$1046 = "1" ), 1, IF( AND( $BG$1046 = "1", $BH$1046 = "0" ), 2, IF( AND( $BG$1046 = "0", $BH$1046 = "1" ), 3, 4 ) ) )</f>
        <v>4</v>
      </c>
      <c r="BK1046" s="1">
        <v>1</v>
      </c>
      <c r="BL1046" t="str">
        <f>"1"</f>
        <v>1</v>
      </c>
      <c r="BM1046" t="str">
        <f xml:space="preserve"> IF($BK$1046 &gt;= $G$281, "1","0")</f>
        <v>1</v>
      </c>
      <c r="BN1046">
        <f xml:space="preserve"> IF( AND( $BL$1046 = "1", $BM$1046 = "1" ), 1, IF( AND( $BL$1046 = "1", $BM$1046 = "0" ), 2, IF( AND( $BL$1046 = "0", $BM$1046 = "1" ), 3, 4 ) ) )</f>
        <v>1</v>
      </c>
    </row>
    <row r="1047" spans="58:66" x14ac:dyDescent="0.25">
      <c r="BF1047" s="1">
        <v>0</v>
      </c>
      <c r="BG1047" t="str">
        <f>"0"</f>
        <v>0</v>
      </c>
      <c r="BH1047" t="str">
        <f xml:space="preserve"> IF($BF$1047 &gt;= $G$204, "1","0")</f>
        <v>0</v>
      </c>
      <c r="BI1047">
        <f xml:space="preserve"> IF( AND( $BG$1047 = "1", $BH$1047 = "1" ), 1, IF( AND( $BG$1047 = "1", $BH$1047 = "0" ), 2, IF( AND( $BG$1047 = "0", $BH$1047 = "1" ), 3, 4 ) ) )</f>
        <v>4</v>
      </c>
      <c r="BK1047" s="1">
        <v>1</v>
      </c>
      <c r="BL1047" t="str">
        <f>"1"</f>
        <v>1</v>
      </c>
      <c r="BM1047" t="str">
        <f xml:space="preserve"> IF($BK$1047 &gt;= $G$281, "1","0")</f>
        <v>1</v>
      </c>
      <c r="BN1047">
        <f xml:space="preserve"> IF( AND( $BL$1047 = "1", $BM$1047 = "1" ), 1, IF( AND( $BL$1047 = "1", $BM$1047 = "0" ), 2, IF( AND( $BL$1047 = "0", $BM$1047 = "1" ), 3, 4 ) ) )</f>
        <v>1</v>
      </c>
    </row>
    <row r="1048" spans="58:66" x14ac:dyDescent="0.25">
      <c r="BF1048" s="1">
        <v>0</v>
      </c>
      <c r="BG1048" t="str">
        <f>"0"</f>
        <v>0</v>
      </c>
      <c r="BH1048" t="str">
        <f xml:space="preserve"> IF($BF$1048 &gt;= $G$204, "1","0")</f>
        <v>0</v>
      </c>
      <c r="BI1048">
        <f xml:space="preserve"> IF( AND( $BG$1048 = "1", $BH$1048 = "1" ), 1, IF( AND( $BG$1048 = "1", $BH$1048 = "0" ), 2, IF( AND( $BG$1048 = "0", $BH$1048 = "1" ), 3, 4 ) ) )</f>
        <v>4</v>
      </c>
      <c r="BK1048" s="1">
        <v>2.5000000000000001E-3</v>
      </c>
      <c r="BL1048" t="str">
        <f>"0"</f>
        <v>0</v>
      </c>
      <c r="BM1048" t="str">
        <f xml:space="preserve"> IF($BK$1048 &gt;= $G$281, "1","0")</f>
        <v>0</v>
      </c>
      <c r="BN1048">
        <f xml:space="preserve"> IF( AND( $BL$1048 = "1", $BM$1048 = "1" ), 1, IF( AND( $BL$1048 = "1", $BM$1048 = "0" ), 2, IF( AND( $BL$1048 = "0", $BM$1048 = "1" ), 3, 4 ) ) )</f>
        <v>4</v>
      </c>
    </row>
    <row r="1049" spans="58:66" x14ac:dyDescent="0.25">
      <c r="BF1049" s="1">
        <v>0</v>
      </c>
      <c r="BG1049" t="str">
        <f>"0"</f>
        <v>0</v>
      </c>
      <c r="BH1049" t="str">
        <f xml:space="preserve"> IF($BF$1049 &gt;= $G$204, "1","0")</f>
        <v>0</v>
      </c>
      <c r="BI1049">
        <f xml:space="preserve"> IF( AND( $BG$1049 = "1", $BH$1049 = "1" ), 1, IF( AND( $BG$1049 = "1", $BH$1049 = "0" ), 2, IF( AND( $BG$1049 = "0", $BH$1049 = "1" ), 3, 4 ) ) )</f>
        <v>4</v>
      </c>
      <c r="BK1049" s="1">
        <v>1</v>
      </c>
      <c r="BL1049" t="str">
        <f>"1"</f>
        <v>1</v>
      </c>
      <c r="BM1049" t="str">
        <f xml:space="preserve"> IF($BK$1049 &gt;= $G$281, "1","0")</f>
        <v>1</v>
      </c>
      <c r="BN1049">
        <f xml:space="preserve"> IF( AND( $BL$1049 = "1", $BM$1049 = "1" ), 1, IF( AND( $BL$1049 = "1", $BM$1049 = "0" ), 2, IF( AND( $BL$1049 = "0", $BM$1049 = "1" ), 3, 4 ) ) )</f>
        <v>1</v>
      </c>
    </row>
    <row r="1050" spans="58:66" x14ac:dyDescent="0.25">
      <c r="BF1050" s="1">
        <v>0</v>
      </c>
      <c r="BG1050" t="str">
        <f>"0"</f>
        <v>0</v>
      </c>
      <c r="BH1050" t="str">
        <f xml:space="preserve"> IF($BF$1050 &gt;= $G$204, "1","0")</f>
        <v>0</v>
      </c>
      <c r="BI1050">
        <f xml:space="preserve"> IF( AND( $BG$1050 = "1", $BH$1050 = "1" ), 1, IF( AND( $BG$1050 = "1", $BH$1050 = "0" ), 2, IF( AND( $BG$1050 = "0", $BH$1050 = "1" ), 3, 4 ) ) )</f>
        <v>4</v>
      </c>
      <c r="BK1050" s="1">
        <v>0.14285714285714288</v>
      </c>
      <c r="BL1050" t="str">
        <f>"0"</f>
        <v>0</v>
      </c>
      <c r="BM1050" t="str">
        <f xml:space="preserve"> IF($BK$1050 &gt;= $G$281, "1","0")</f>
        <v>0</v>
      </c>
      <c r="BN1050">
        <f xml:space="preserve"> IF( AND( $BL$1050 = "1", $BM$1050 = "1" ), 1, IF( AND( $BL$1050 = "1", $BM$1050 = "0" ), 2, IF( AND( $BL$1050 = "0", $BM$1050 = "1" ), 3, 4 ) ) )</f>
        <v>4</v>
      </c>
    </row>
    <row r="1051" spans="58:66" x14ac:dyDescent="0.25">
      <c r="BF1051" s="1">
        <v>0</v>
      </c>
      <c r="BG1051" t="str">
        <f>"0"</f>
        <v>0</v>
      </c>
      <c r="BH1051" t="str">
        <f xml:space="preserve"> IF($BF$1051 &gt;= $G$204, "1","0")</f>
        <v>0</v>
      </c>
      <c r="BI1051">
        <f xml:space="preserve"> IF( AND( $BG$1051 = "1", $BH$1051 = "1" ), 1, IF( AND( $BG$1051 = "1", $BH$1051 = "0" ), 2, IF( AND( $BG$1051 = "0", $BH$1051 = "1" ), 3, 4 ) ) )</f>
        <v>4</v>
      </c>
      <c r="BK1051" s="1">
        <v>1.8947368421052633E-2</v>
      </c>
      <c r="BL1051" t="str">
        <f>"0"</f>
        <v>0</v>
      </c>
      <c r="BM1051" t="str">
        <f xml:space="preserve"> IF($BK$1051 &gt;= $G$281, "1","0")</f>
        <v>0</v>
      </c>
      <c r="BN1051">
        <f xml:space="preserve"> IF( AND( $BL$1051 = "1", $BM$1051 = "1" ), 1, IF( AND( $BL$1051 = "1", $BM$1051 = "0" ), 2, IF( AND( $BL$1051 = "0", $BM$1051 = "1" ), 3, 4 ) ) )</f>
        <v>4</v>
      </c>
    </row>
    <row r="1052" spans="58:66" x14ac:dyDescent="0.25">
      <c r="BF1052" s="1">
        <v>0</v>
      </c>
      <c r="BG1052" t="str">
        <f>"0"</f>
        <v>0</v>
      </c>
      <c r="BH1052" t="str">
        <f xml:space="preserve"> IF($BF$1052 &gt;= $G$204, "1","0")</f>
        <v>0</v>
      </c>
      <c r="BI1052">
        <f xml:space="preserve"> IF( AND( $BG$1052 = "1", $BH$1052 = "1" ), 1, IF( AND( $BG$1052 = "1", $BH$1052 = "0" ), 2, IF( AND( $BG$1052 = "0", $BH$1052 = "1" ), 3, 4 ) ) )</f>
        <v>4</v>
      </c>
      <c r="BK1052" s="1">
        <v>0.14285714285714288</v>
      </c>
      <c r="BL1052" t="str">
        <f>"0"</f>
        <v>0</v>
      </c>
      <c r="BM1052" t="str">
        <f xml:space="preserve"> IF($BK$1052 &gt;= $G$281, "1","0")</f>
        <v>0</v>
      </c>
      <c r="BN1052">
        <f xml:space="preserve"> IF( AND( $BL$1052 = "1", $BM$1052 = "1" ), 1, IF( AND( $BL$1052 = "1", $BM$1052 = "0" ), 2, IF( AND( $BL$1052 = "0", $BM$1052 = "1" ), 3, 4 ) ) )</f>
        <v>4</v>
      </c>
    </row>
    <row r="1053" spans="58:66" x14ac:dyDescent="0.25">
      <c r="BF1053" s="1">
        <v>0</v>
      </c>
      <c r="BG1053" t="str">
        <f>"0"</f>
        <v>0</v>
      </c>
      <c r="BH1053" t="str">
        <f xml:space="preserve"> IF($BF$1053 &gt;= $G$204, "1","0")</f>
        <v>0</v>
      </c>
      <c r="BI1053">
        <f xml:space="preserve"> IF( AND( $BG$1053 = "1", $BH$1053 = "1" ), 1, IF( AND( $BG$1053 = "1", $BH$1053 = "0" ), 2, IF( AND( $BG$1053 = "0", $BH$1053 = "1" ), 3, 4 ) ) )</f>
        <v>4</v>
      </c>
      <c r="BK1053" s="1">
        <v>1</v>
      </c>
      <c r="BL1053" t="str">
        <f>"1"</f>
        <v>1</v>
      </c>
      <c r="BM1053" t="str">
        <f xml:space="preserve"> IF($BK$1053 &gt;= $G$281, "1","0")</f>
        <v>1</v>
      </c>
      <c r="BN1053">
        <f xml:space="preserve"> IF( AND( $BL$1053 = "1", $BM$1053 = "1" ), 1, IF( AND( $BL$1053 = "1", $BM$1053 = "0" ), 2, IF( AND( $BL$1053 = "0", $BM$1053 = "1" ), 3, 4 ) ) )</f>
        <v>1</v>
      </c>
    </row>
    <row r="1054" spans="58:66" x14ac:dyDescent="0.25">
      <c r="BF1054" s="1">
        <v>0</v>
      </c>
      <c r="BG1054" t="str">
        <f>"0"</f>
        <v>0</v>
      </c>
      <c r="BH1054" t="str">
        <f xml:space="preserve"> IF($BF$1054 &gt;= $G$204, "1","0")</f>
        <v>0</v>
      </c>
      <c r="BI1054">
        <f xml:space="preserve"> IF( AND( $BG$1054 = "1", $BH$1054 = "1" ), 1, IF( AND( $BG$1054 = "1", $BH$1054 = "0" ), 2, IF( AND( $BG$1054 = "0", $BH$1054 = "1" ), 3, 4 ) ) )</f>
        <v>4</v>
      </c>
      <c r="BK1054" s="1">
        <v>0.90476190476190477</v>
      </c>
      <c r="BL1054" t="str">
        <f>"1"</f>
        <v>1</v>
      </c>
      <c r="BM1054" t="str">
        <f xml:space="preserve"> IF($BK$1054 &gt;= $G$281, "1","0")</f>
        <v>1</v>
      </c>
      <c r="BN1054">
        <f xml:space="preserve"> IF( AND( $BL$1054 = "1", $BM$1054 = "1" ), 1, IF( AND( $BL$1054 = "1", $BM$1054 = "0" ), 2, IF( AND( $BL$1054 = "0", $BM$1054 = "1" ), 3, 4 ) ) )</f>
        <v>1</v>
      </c>
    </row>
    <row r="1055" spans="58:66" x14ac:dyDescent="0.25">
      <c r="BF1055" s="1">
        <v>0</v>
      </c>
      <c r="BG1055" t="str">
        <f>"0"</f>
        <v>0</v>
      </c>
      <c r="BH1055" t="str">
        <f xml:space="preserve"> IF($BF$1055 &gt;= $G$204, "1","0")</f>
        <v>0</v>
      </c>
      <c r="BI1055">
        <f xml:space="preserve"> IF( AND( $BG$1055 = "1", $BH$1055 = "1" ), 1, IF( AND( $BG$1055 = "1", $BH$1055 = "0" ), 2, IF( AND( $BG$1055 = "0", $BH$1055 = "1" ), 3, 4 ) ) )</f>
        <v>4</v>
      </c>
      <c r="BK1055" s="1">
        <v>1.8947368421052633E-2</v>
      </c>
      <c r="BL1055" t="str">
        <f>"0"</f>
        <v>0</v>
      </c>
      <c r="BM1055" t="str">
        <f xml:space="preserve"> IF($BK$1055 &gt;= $G$281, "1","0")</f>
        <v>0</v>
      </c>
      <c r="BN1055">
        <f xml:space="preserve"> IF( AND( $BL$1055 = "1", $BM$1055 = "1" ), 1, IF( AND( $BL$1055 = "1", $BM$1055 = "0" ), 2, IF( AND( $BL$1055 = "0", $BM$1055 = "1" ), 3, 4 ) ) )</f>
        <v>4</v>
      </c>
    </row>
    <row r="1056" spans="58:66" x14ac:dyDescent="0.25">
      <c r="BF1056" s="1">
        <v>0</v>
      </c>
      <c r="BG1056" t="str">
        <f>"0"</f>
        <v>0</v>
      </c>
      <c r="BH1056" t="str">
        <f xml:space="preserve"> IF($BF$1056 &gt;= $G$204, "1","0")</f>
        <v>0</v>
      </c>
      <c r="BI1056">
        <f xml:space="preserve"> IF( AND( $BG$1056 = "1", $BH$1056 = "1" ), 1, IF( AND( $BG$1056 = "1", $BH$1056 = "0" ), 2, IF( AND( $BG$1056 = "0", $BH$1056 = "1" ), 3, 4 ) ) )</f>
        <v>4</v>
      </c>
      <c r="BK1056" s="1">
        <v>0.9</v>
      </c>
      <c r="BL1056" t="str">
        <f>"0"</f>
        <v>0</v>
      </c>
      <c r="BM1056" t="str">
        <f xml:space="preserve"> IF($BK$1056 &gt;= $G$281, "1","0")</f>
        <v>1</v>
      </c>
      <c r="BN1056">
        <f xml:space="preserve"> IF( AND( $BL$1056 = "1", $BM$1056 = "1" ), 1, IF( AND( $BL$1056 = "1", $BM$1056 = "0" ), 2, IF( AND( $BL$1056 = "0", $BM$1056 = "1" ), 3, 4 ) ) )</f>
        <v>3</v>
      </c>
    </row>
    <row r="1057" spans="58:66" x14ac:dyDescent="0.25">
      <c r="BF1057" s="1">
        <v>0</v>
      </c>
      <c r="BG1057" t="str">
        <f>"0"</f>
        <v>0</v>
      </c>
      <c r="BH1057" t="str">
        <f xml:space="preserve"> IF($BF$1057 &gt;= $G$204, "1","0")</f>
        <v>0</v>
      </c>
      <c r="BI1057">
        <f xml:space="preserve"> IF( AND( $BG$1057 = "1", $BH$1057 = "1" ), 1, IF( AND( $BG$1057 = "1", $BH$1057 = "0" ), 2, IF( AND( $BG$1057 = "0", $BH$1057 = "1" ), 3, 4 ) ) )</f>
        <v>4</v>
      </c>
      <c r="BK1057" s="1">
        <v>1</v>
      </c>
      <c r="BL1057" t="str">
        <f>"1"</f>
        <v>1</v>
      </c>
      <c r="BM1057" t="str">
        <f xml:space="preserve"> IF($BK$1057 &gt;= $G$281, "1","0")</f>
        <v>1</v>
      </c>
      <c r="BN1057">
        <f xml:space="preserve"> IF( AND( $BL$1057 = "1", $BM$1057 = "1" ), 1, IF( AND( $BL$1057 = "1", $BM$1057 = "0" ), 2, IF( AND( $BL$1057 = "0", $BM$1057 = "1" ), 3, 4 ) ) )</f>
        <v>1</v>
      </c>
    </row>
    <row r="1058" spans="58:66" x14ac:dyDescent="0.25">
      <c r="BF1058" s="1">
        <v>0</v>
      </c>
      <c r="BG1058" t="str">
        <f>"0"</f>
        <v>0</v>
      </c>
      <c r="BH1058" t="str">
        <f xml:space="preserve"> IF($BF$1058 &gt;= $G$204, "1","0")</f>
        <v>0</v>
      </c>
      <c r="BI1058">
        <f xml:space="preserve"> IF( AND( $BG$1058 = "1", $BH$1058 = "1" ), 1, IF( AND( $BG$1058 = "1", $BH$1058 = "0" ), 2, IF( AND( $BG$1058 = "0", $BH$1058 = "1" ), 3, 4 ) ) )</f>
        <v>4</v>
      </c>
      <c r="BK1058" s="1">
        <v>0.14285714285714285</v>
      </c>
      <c r="BL1058" t="str">
        <f>"0"</f>
        <v>0</v>
      </c>
      <c r="BM1058" t="str">
        <f xml:space="preserve"> IF($BK$1058 &gt;= $G$281, "1","0")</f>
        <v>0</v>
      </c>
      <c r="BN1058">
        <f xml:space="preserve"> IF( AND( $BL$1058 = "1", $BM$1058 = "1" ), 1, IF( AND( $BL$1058 = "1", $BM$1058 = "0" ), 2, IF( AND( $BL$1058 = "0", $BM$1058 = "1" ), 3, 4 ) ) )</f>
        <v>4</v>
      </c>
    </row>
    <row r="1059" spans="58:66" x14ac:dyDescent="0.25">
      <c r="BF1059" s="1">
        <v>0</v>
      </c>
      <c r="BG1059" t="str">
        <f>"0"</f>
        <v>0</v>
      </c>
      <c r="BH1059" t="str">
        <f xml:space="preserve"> IF($BF$1059 &gt;= $G$204, "1","0")</f>
        <v>0</v>
      </c>
      <c r="BI1059">
        <f xml:space="preserve"> IF( AND( $BG$1059 = "1", $BH$1059 = "1" ), 1, IF( AND( $BG$1059 = "1", $BH$1059 = "0" ), 2, IF( AND( $BG$1059 = "0", $BH$1059 = "1" ), 3, 4 ) ) )</f>
        <v>4</v>
      </c>
      <c r="BK1059" s="1">
        <v>1.8947368421052633E-2</v>
      </c>
      <c r="BL1059" t="str">
        <f>"0"</f>
        <v>0</v>
      </c>
      <c r="BM1059" t="str">
        <f xml:space="preserve"> IF($BK$1059 &gt;= $G$281, "1","0")</f>
        <v>0</v>
      </c>
      <c r="BN1059">
        <f xml:space="preserve"> IF( AND( $BL$1059 = "1", $BM$1059 = "1" ), 1, IF( AND( $BL$1059 = "1", $BM$1059 = "0" ), 2, IF( AND( $BL$1059 = "0", $BM$1059 = "1" ), 3, 4 ) ) )</f>
        <v>4</v>
      </c>
    </row>
    <row r="1060" spans="58:66" x14ac:dyDescent="0.25">
      <c r="BF1060" s="1">
        <v>0</v>
      </c>
      <c r="BG1060" t="str">
        <f>"0"</f>
        <v>0</v>
      </c>
      <c r="BH1060" t="str">
        <f xml:space="preserve"> IF($BF$1060 &gt;= $G$204, "1","0")</f>
        <v>0</v>
      </c>
      <c r="BI1060">
        <f xml:space="preserve"> IF( AND( $BG$1060 = "1", $BH$1060 = "1" ), 1, IF( AND( $BG$1060 = "1", $BH$1060 = "0" ), 2, IF( AND( $BG$1060 = "0", $BH$1060 = "1" ), 3, 4 ) ) )</f>
        <v>4</v>
      </c>
      <c r="BK1060" s="1">
        <v>1</v>
      </c>
      <c r="BL1060" t="str">
        <f>"1"</f>
        <v>1</v>
      </c>
      <c r="BM1060" t="str">
        <f xml:space="preserve"> IF($BK$1060 &gt;= $G$281, "1","0")</f>
        <v>1</v>
      </c>
      <c r="BN1060">
        <f xml:space="preserve"> IF( AND( $BL$1060 = "1", $BM$1060 = "1" ), 1, IF( AND( $BL$1060 = "1", $BM$1060 = "0" ), 2, IF( AND( $BL$1060 = "0", $BM$1060 = "1" ), 3, 4 ) ) )</f>
        <v>1</v>
      </c>
    </row>
    <row r="1061" spans="58:66" x14ac:dyDescent="0.25">
      <c r="BF1061" s="1">
        <v>0</v>
      </c>
      <c r="BG1061" t="str">
        <f>"0"</f>
        <v>0</v>
      </c>
      <c r="BH1061" t="str">
        <f xml:space="preserve"> IF($BF$1061 &gt;= $G$204, "1","0")</f>
        <v>0</v>
      </c>
      <c r="BI1061">
        <f xml:space="preserve"> IF( AND( $BG$1061 = "1", $BH$1061 = "1" ), 1, IF( AND( $BG$1061 = "1", $BH$1061 = "0" ), 2, IF( AND( $BG$1061 = "0", $BH$1061 = "1" ), 3, 4 ) ) )</f>
        <v>4</v>
      </c>
      <c r="BK1061" s="1">
        <v>1.8947368421052633E-2</v>
      </c>
      <c r="BL1061" t="str">
        <f>"0"</f>
        <v>0</v>
      </c>
      <c r="BM1061" t="str">
        <f xml:space="preserve"> IF($BK$1061 &gt;= $G$281, "1","0")</f>
        <v>0</v>
      </c>
      <c r="BN1061">
        <f xml:space="preserve"> IF( AND( $BL$1061 = "1", $BM$1061 = "1" ), 1, IF( AND( $BL$1061 = "1", $BM$1061 = "0" ), 2, IF( AND( $BL$1061 = "0", $BM$1061 = "1" ), 3, 4 ) ) )</f>
        <v>4</v>
      </c>
    </row>
    <row r="1062" spans="58:66" x14ac:dyDescent="0.25">
      <c r="BF1062" s="1">
        <v>0</v>
      </c>
      <c r="BG1062" t="str">
        <f>"0"</f>
        <v>0</v>
      </c>
      <c r="BH1062" t="str">
        <f xml:space="preserve"> IF($BF$1062 &gt;= $G$204, "1","0")</f>
        <v>0</v>
      </c>
      <c r="BI1062">
        <f xml:space="preserve"> IF( AND( $BG$1062 = "1", $BH$1062 = "1" ), 1, IF( AND( $BG$1062 = "1", $BH$1062 = "0" ), 2, IF( AND( $BG$1062 = "0", $BH$1062 = "1" ), 3, 4 ) ) )</f>
        <v>4</v>
      </c>
      <c r="BK1062" s="1">
        <v>2.5000000000000001E-3</v>
      </c>
      <c r="BL1062" t="str">
        <f>"0"</f>
        <v>0</v>
      </c>
      <c r="BM1062" t="str">
        <f xml:space="preserve"> IF($BK$1062 &gt;= $G$281, "1","0")</f>
        <v>0</v>
      </c>
      <c r="BN1062">
        <f xml:space="preserve"> IF( AND( $BL$1062 = "1", $BM$1062 = "1" ), 1, IF( AND( $BL$1062 = "1", $BM$1062 = "0" ), 2, IF( AND( $BL$1062 = "0", $BM$1062 = "1" ), 3, 4 ) ) )</f>
        <v>4</v>
      </c>
    </row>
    <row r="1063" spans="58:66" x14ac:dyDescent="0.25">
      <c r="BF1063" s="1">
        <v>0</v>
      </c>
      <c r="BG1063" t="str">
        <f>"0"</f>
        <v>0</v>
      </c>
      <c r="BH1063" t="str">
        <f xml:space="preserve"> IF($BF$1063 &gt;= $G$204, "1","0")</f>
        <v>0</v>
      </c>
      <c r="BI1063">
        <f xml:space="preserve"> IF( AND( $BG$1063 = "1", $BH$1063 = "1" ), 1, IF( AND( $BG$1063 = "1", $BH$1063 = "0" ), 2, IF( AND( $BG$1063 = "0", $BH$1063 = "1" ), 3, 4 ) ) )</f>
        <v>4</v>
      </c>
      <c r="BK1063" s="1">
        <v>0.14285714285714285</v>
      </c>
      <c r="BL1063" t="str">
        <f>"0"</f>
        <v>0</v>
      </c>
      <c r="BM1063" t="str">
        <f xml:space="preserve"> IF($BK$1063 &gt;= $G$281, "1","0")</f>
        <v>0</v>
      </c>
      <c r="BN1063">
        <f xml:space="preserve"> IF( AND( $BL$1063 = "1", $BM$1063 = "1" ), 1, IF( AND( $BL$1063 = "1", $BM$1063 = "0" ), 2, IF( AND( $BL$1063 = "0", $BM$1063 = "1" ), 3, 4 ) ) )</f>
        <v>4</v>
      </c>
    </row>
    <row r="1064" spans="58:66" x14ac:dyDescent="0.25">
      <c r="BF1064" s="1">
        <v>0</v>
      </c>
      <c r="BG1064" t="str">
        <f>"0"</f>
        <v>0</v>
      </c>
      <c r="BH1064" t="str">
        <f xml:space="preserve"> IF($BF$1064 &gt;= $G$204, "1","0")</f>
        <v>0</v>
      </c>
      <c r="BI1064">
        <f xml:space="preserve"> IF( AND( $BG$1064 = "1", $BH$1064 = "1" ), 1, IF( AND( $BG$1064 = "1", $BH$1064 = "0" ), 2, IF( AND( $BG$1064 = "0", $BH$1064 = "1" ), 3, 4 ) ) )</f>
        <v>4</v>
      </c>
      <c r="BK1064" s="1">
        <v>0.14285714285714288</v>
      </c>
      <c r="BL1064" t="str">
        <f>"1"</f>
        <v>1</v>
      </c>
      <c r="BM1064" t="str">
        <f xml:space="preserve"> IF($BK$1064 &gt;= $G$281, "1","0")</f>
        <v>0</v>
      </c>
      <c r="BN1064">
        <f xml:space="preserve"> IF( AND( $BL$1064 = "1", $BM$1064 = "1" ), 1, IF( AND( $BL$1064 = "1", $BM$1064 = "0" ), 2, IF( AND( $BL$1064 = "0", $BM$1064 = "1" ), 3, 4 ) ) )</f>
        <v>2</v>
      </c>
    </row>
    <row r="1065" spans="58:66" x14ac:dyDescent="0.25">
      <c r="BF1065" s="1">
        <v>0</v>
      </c>
      <c r="BG1065" t="str">
        <f>"0"</f>
        <v>0</v>
      </c>
      <c r="BH1065" t="str">
        <f xml:space="preserve"> IF($BF$1065 &gt;= $G$204, "1","0")</f>
        <v>0</v>
      </c>
      <c r="BI1065">
        <f xml:space="preserve"> IF( AND( $BG$1065 = "1", $BH$1065 = "1" ), 1, IF( AND( $BG$1065 = "1", $BH$1065 = "0" ), 2, IF( AND( $BG$1065 = "0", $BH$1065 = "1" ), 3, 4 ) ) )</f>
        <v>4</v>
      </c>
      <c r="BK1065" s="1">
        <v>1.8947368421052633E-2</v>
      </c>
      <c r="BL1065" t="str">
        <f>"0"</f>
        <v>0</v>
      </c>
      <c r="BM1065" t="str">
        <f xml:space="preserve"> IF($BK$1065 &gt;= $G$281, "1","0")</f>
        <v>0</v>
      </c>
      <c r="BN1065">
        <f xml:space="preserve"> IF( AND( $BL$1065 = "1", $BM$1065 = "1" ), 1, IF( AND( $BL$1065 = "1", $BM$1065 = "0" ), 2, IF( AND( $BL$1065 = "0", $BM$1065 = "1" ), 3, 4 ) ) )</f>
        <v>4</v>
      </c>
    </row>
    <row r="1066" spans="58:66" x14ac:dyDescent="0.25">
      <c r="BF1066" s="1">
        <v>0</v>
      </c>
      <c r="BG1066" t="str">
        <f>"0"</f>
        <v>0</v>
      </c>
      <c r="BH1066" t="str">
        <f xml:space="preserve"> IF($BF$1066 &gt;= $G$204, "1","0")</f>
        <v>0</v>
      </c>
      <c r="BI1066">
        <f xml:space="preserve"> IF( AND( $BG$1066 = "1", $BH$1066 = "1" ), 1, IF( AND( $BG$1066 = "1", $BH$1066 = "0" ), 2, IF( AND( $BG$1066 = "0", $BH$1066 = "1" ), 3, 4 ) ) )</f>
        <v>4</v>
      </c>
      <c r="BK1066" s="1">
        <v>1.8947368421052633E-2</v>
      </c>
      <c r="BL1066" t="str">
        <f>"0"</f>
        <v>0</v>
      </c>
      <c r="BM1066" t="str">
        <f xml:space="preserve"> IF($BK$1066 &gt;= $G$281, "1","0")</f>
        <v>0</v>
      </c>
      <c r="BN1066">
        <f xml:space="preserve"> IF( AND( $BL$1066 = "1", $BM$1066 = "1" ), 1, IF( AND( $BL$1066 = "1", $BM$1066 = "0" ), 2, IF( AND( $BL$1066 = "0", $BM$1066 = "1" ), 3, 4 ) ) )</f>
        <v>4</v>
      </c>
    </row>
    <row r="1067" spans="58:66" x14ac:dyDescent="0.25">
      <c r="BF1067" s="1">
        <v>0</v>
      </c>
      <c r="BG1067" t="str">
        <f>"0"</f>
        <v>0</v>
      </c>
      <c r="BH1067" t="str">
        <f xml:space="preserve"> IF($BF$1067 &gt;= $G$204, "1","0")</f>
        <v>0</v>
      </c>
      <c r="BI1067">
        <f xml:space="preserve"> IF( AND( $BG$1067 = "1", $BH$1067 = "1" ), 1, IF( AND( $BG$1067 = "1", $BH$1067 = "0" ), 2, IF( AND( $BG$1067 = "0", $BH$1067 = "1" ), 3, 4 ) ) )</f>
        <v>4</v>
      </c>
      <c r="BK1067" s="1">
        <v>0.14285714285714288</v>
      </c>
      <c r="BL1067" t="str">
        <f>"0"</f>
        <v>0</v>
      </c>
      <c r="BM1067" t="str">
        <f xml:space="preserve"> IF($BK$1067 &gt;= $G$281, "1","0")</f>
        <v>0</v>
      </c>
      <c r="BN1067">
        <f xml:space="preserve"> IF( AND( $BL$1067 = "1", $BM$1067 = "1" ), 1, IF( AND( $BL$1067 = "1", $BM$1067 = "0" ), 2, IF( AND( $BL$1067 = "0", $BM$1067 = "1" ), 3, 4 ) ) )</f>
        <v>4</v>
      </c>
    </row>
    <row r="1068" spans="58:66" x14ac:dyDescent="0.25">
      <c r="BF1068" s="1">
        <v>0</v>
      </c>
      <c r="BG1068" t="str">
        <f>"0"</f>
        <v>0</v>
      </c>
      <c r="BH1068" t="str">
        <f xml:space="preserve"> IF($BF$1068 &gt;= $G$204, "1","0")</f>
        <v>0</v>
      </c>
      <c r="BI1068">
        <f xml:space="preserve"> IF( AND( $BG$1068 = "1", $BH$1068 = "1" ), 1, IF( AND( $BG$1068 = "1", $BH$1068 = "0" ), 2, IF( AND( $BG$1068 = "0", $BH$1068 = "1" ), 3, 4 ) ) )</f>
        <v>4</v>
      </c>
      <c r="BK1068" s="1">
        <v>1.8947368421052633E-2</v>
      </c>
      <c r="BL1068" t="str">
        <f>"0"</f>
        <v>0</v>
      </c>
      <c r="BM1068" t="str">
        <f xml:space="preserve"> IF($BK$1068 &gt;= $G$281, "1","0")</f>
        <v>0</v>
      </c>
      <c r="BN1068">
        <f xml:space="preserve"> IF( AND( $BL$1068 = "1", $BM$1068 = "1" ), 1, IF( AND( $BL$1068 = "1", $BM$1068 = "0" ), 2, IF( AND( $BL$1068 = "0", $BM$1068 = "1" ), 3, 4 ) ) )</f>
        <v>4</v>
      </c>
    </row>
    <row r="1069" spans="58:66" x14ac:dyDescent="0.25">
      <c r="BF1069" s="1">
        <v>0</v>
      </c>
      <c r="BG1069" t="str">
        <f>"0"</f>
        <v>0</v>
      </c>
      <c r="BH1069" t="str">
        <f xml:space="preserve"> IF($BF$1069 &gt;= $G$204, "1","0")</f>
        <v>0</v>
      </c>
      <c r="BI1069">
        <f xml:space="preserve"> IF( AND( $BG$1069 = "1", $BH$1069 = "1" ), 1, IF( AND( $BG$1069 = "1", $BH$1069 = "0" ), 2, IF( AND( $BG$1069 = "0", $BH$1069 = "1" ), 3, 4 ) ) )</f>
        <v>4</v>
      </c>
      <c r="BK1069" s="1">
        <v>1.8947368421052633E-2</v>
      </c>
      <c r="BL1069" t="str">
        <f>"0"</f>
        <v>0</v>
      </c>
      <c r="BM1069" t="str">
        <f xml:space="preserve"> IF($BK$1069 &gt;= $G$281, "1","0")</f>
        <v>0</v>
      </c>
      <c r="BN1069">
        <f xml:space="preserve"> IF( AND( $BL$1069 = "1", $BM$1069 = "1" ), 1, IF( AND( $BL$1069 = "1", $BM$1069 = "0" ), 2, IF( AND( $BL$1069 = "0", $BM$1069 = "1" ), 3, 4 ) ) )</f>
        <v>4</v>
      </c>
    </row>
    <row r="1070" spans="58:66" x14ac:dyDescent="0.25">
      <c r="BF1070" s="1">
        <v>0</v>
      </c>
      <c r="BG1070" t="str">
        <f>"0"</f>
        <v>0</v>
      </c>
      <c r="BH1070" t="str">
        <f xml:space="preserve"> IF($BF$1070 &gt;= $G$204, "1","0")</f>
        <v>0</v>
      </c>
      <c r="BI1070">
        <f xml:space="preserve"> IF( AND( $BG$1070 = "1", $BH$1070 = "1" ), 1, IF( AND( $BG$1070 = "1", $BH$1070 = "0" ), 2, IF( AND( $BG$1070 = "0", $BH$1070 = "1" ), 3, 4 ) ) )</f>
        <v>4</v>
      </c>
      <c r="BK1070" s="1">
        <v>0</v>
      </c>
      <c r="BL1070" t="str">
        <f>"0"</f>
        <v>0</v>
      </c>
      <c r="BM1070" t="str">
        <f xml:space="preserve"> IF($BK$1070 &gt;= $G$281, "1","0")</f>
        <v>0</v>
      </c>
      <c r="BN1070">
        <f xml:space="preserve"> IF( AND( $BL$1070 = "1", $BM$1070 = "1" ), 1, IF( AND( $BL$1070 = "1", $BM$1070 = "0" ), 2, IF( AND( $BL$1070 = "0", $BM$1070 = "1" ), 3, 4 ) ) )</f>
        <v>4</v>
      </c>
    </row>
    <row r="1071" spans="58:66" x14ac:dyDescent="0.25">
      <c r="BF1071" s="1">
        <v>0</v>
      </c>
      <c r="BG1071" t="str">
        <f>"0"</f>
        <v>0</v>
      </c>
      <c r="BH1071" t="str">
        <f xml:space="preserve"> IF($BF$1071 &gt;= $G$204, "1","0")</f>
        <v>0</v>
      </c>
      <c r="BI1071">
        <f xml:space="preserve"> IF( AND( $BG$1071 = "1", $BH$1071 = "1" ), 1, IF( AND( $BG$1071 = "1", $BH$1071 = "0" ), 2, IF( AND( $BG$1071 = "0", $BH$1071 = "1" ), 3, 4 ) ) )</f>
        <v>4</v>
      </c>
      <c r="BK1071" s="1">
        <v>0</v>
      </c>
      <c r="BL1071" t="str">
        <f>"0"</f>
        <v>0</v>
      </c>
      <c r="BM1071" t="str">
        <f xml:space="preserve"> IF($BK$1071 &gt;= $G$281, "1","0")</f>
        <v>0</v>
      </c>
      <c r="BN1071">
        <f xml:space="preserve"> IF( AND( $BL$1071 = "1", $BM$1071 = "1" ), 1, IF( AND( $BL$1071 = "1", $BM$1071 = "0" ), 2, IF( AND( $BL$1071 = "0", $BM$1071 = "1" ), 3, 4 ) ) )</f>
        <v>4</v>
      </c>
    </row>
    <row r="1072" spans="58:66" x14ac:dyDescent="0.25">
      <c r="BF1072" s="1">
        <v>0</v>
      </c>
      <c r="BG1072" t="str">
        <f>"0"</f>
        <v>0</v>
      </c>
      <c r="BH1072" t="str">
        <f xml:space="preserve"> IF($BF$1072 &gt;= $G$204, "1","0")</f>
        <v>0</v>
      </c>
      <c r="BI1072">
        <f xml:space="preserve"> IF( AND( $BG$1072 = "1", $BH$1072 = "1" ), 1, IF( AND( $BG$1072 = "1", $BH$1072 = "0" ), 2, IF( AND( $BG$1072 = "0", $BH$1072 = "1" ), 3, 4 ) ) )</f>
        <v>4</v>
      </c>
      <c r="BK1072" s="1">
        <v>3.333333333333334E-2</v>
      </c>
      <c r="BL1072" t="str">
        <f>"0"</f>
        <v>0</v>
      </c>
      <c r="BM1072" t="str">
        <f xml:space="preserve"> IF($BK$1072 &gt;= $G$281, "1","0")</f>
        <v>0</v>
      </c>
      <c r="BN1072">
        <f xml:space="preserve"> IF( AND( $BL$1072 = "1", $BM$1072 = "1" ), 1, IF( AND( $BL$1072 = "1", $BM$1072 = "0" ), 2, IF( AND( $BL$1072 = "0", $BM$1072 = "1" ), 3, 4 ) ) )</f>
        <v>4</v>
      </c>
    </row>
    <row r="1073" spans="58:66" x14ac:dyDescent="0.25">
      <c r="BF1073" s="1">
        <v>0</v>
      </c>
      <c r="BG1073" t="str">
        <f>"0"</f>
        <v>0</v>
      </c>
      <c r="BH1073" t="str">
        <f xml:space="preserve"> IF($BF$1073 &gt;= $G$204, "1","0")</f>
        <v>0</v>
      </c>
      <c r="BI1073">
        <f xml:space="preserve"> IF( AND( $BG$1073 = "1", $BH$1073 = "1" ), 1, IF( AND( $BG$1073 = "1", $BH$1073 = "0" ), 2, IF( AND( $BG$1073 = "0", $BH$1073 = "1" ), 3, 4 ) ) )</f>
        <v>4</v>
      </c>
      <c r="BK1073" s="1">
        <v>0.37500000000000006</v>
      </c>
      <c r="BL1073" t="str">
        <f>"1"</f>
        <v>1</v>
      </c>
      <c r="BM1073" t="str">
        <f xml:space="preserve"> IF($BK$1073 &gt;= $G$281, "1","0")</f>
        <v>1</v>
      </c>
      <c r="BN1073">
        <f xml:space="preserve"> IF( AND( $BL$1073 = "1", $BM$1073 = "1" ), 1, IF( AND( $BL$1073 = "1", $BM$1073 = "0" ), 2, IF( AND( $BL$1073 = "0", $BM$1073 = "1" ), 3, 4 ) ) )</f>
        <v>1</v>
      </c>
    </row>
    <row r="1074" spans="58:66" x14ac:dyDescent="0.25">
      <c r="BF1074" s="1">
        <v>0</v>
      </c>
      <c r="BG1074" t="str">
        <f>"0"</f>
        <v>0</v>
      </c>
      <c r="BH1074" t="str">
        <f xml:space="preserve"> IF($BF$1074 &gt;= $G$204, "1","0")</f>
        <v>0</v>
      </c>
      <c r="BI1074">
        <f xml:space="preserve"> IF( AND( $BG$1074 = "1", $BH$1074 = "1" ), 1, IF( AND( $BG$1074 = "1", $BH$1074 = "0" ), 2, IF( AND( $BG$1074 = "0", $BH$1074 = "1" ), 3, 4 ) ) )</f>
        <v>4</v>
      </c>
      <c r="BK1074" s="1">
        <v>1</v>
      </c>
      <c r="BL1074" t="str">
        <f>"1"</f>
        <v>1</v>
      </c>
      <c r="BM1074" t="str">
        <f xml:space="preserve"> IF($BK$1074 &gt;= $G$281, "1","0")</f>
        <v>1</v>
      </c>
      <c r="BN1074">
        <f xml:space="preserve"> IF( AND( $BL$1074 = "1", $BM$1074 = "1" ), 1, IF( AND( $BL$1074 = "1", $BM$1074 = "0" ), 2, IF( AND( $BL$1074 = "0", $BM$1074 = "1" ), 3, 4 ) ) )</f>
        <v>1</v>
      </c>
    </row>
    <row r="1075" spans="58:66" x14ac:dyDescent="0.25">
      <c r="BF1075" s="1">
        <v>0</v>
      </c>
      <c r="BG1075" t="str">
        <f>"0"</f>
        <v>0</v>
      </c>
      <c r="BH1075" t="str">
        <f xml:space="preserve"> IF($BF$1075 &gt;= $G$204, "1","0")</f>
        <v>0</v>
      </c>
      <c r="BI1075">
        <f xml:space="preserve"> IF( AND( $BG$1075 = "1", $BH$1075 = "1" ), 1, IF( AND( $BG$1075 = "1", $BH$1075 = "0" ), 2, IF( AND( $BG$1075 = "0", $BH$1075 = "1" ), 3, 4 ) ) )</f>
        <v>4</v>
      </c>
      <c r="BK1075" s="1">
        <v>2.5000000000000001E-3</v>
      </c>
      <c r="BL1075" t="str">
        <f>"0"</f>
        <v>0</v>
      </c>
      <c r="BM1075" t="str">
        <f xml:space="preserve"> IF($BK$1075 &gt;= $G$281, "1","0")</f>
        <v>0</v>
      </c>
      <c r="BN1075">
        <f xml:space="preserve"> IF( AND( $BL$1075 = "1", $BM$1075 = "1" ), 1, IF( AND( $BL$1075 = "1", $BM$1075 = "0" ), 2, IF( AND( $BL$1075 = "0", $BM$1075 = "1" ), 3, 4 ) ) )</f>
        <v>4</v>
      </c>
    </row>
    <row r="1076" spans="58:66" x14ac:dyDescent="0.25">
      <c r="BF1076" s="1">
        <v>0</v>
      </c>
      <c r="BG1076" t="str">
        <f>"0"</f>
        <v>0</v>
      </c>
      <c r="BH1076" t="str">
        <f xml:space="preserve"> IF($BF$1076 &gt;= $G$204, "1","0")</f>
        <v>0</v>
      </c>
      <c r="BI1076">
        <f xml:space="preserve"> IF( AND( $BG$1076 = "1", $BH$1076 = "1" ), 1, IF( AND( $BG$1076 = "1", $BH$1076 = "0" ), 2, IF( AND( $BG$1076 = "0", $BH$1076 = "1" ), 3, 4 ) ) )</f>
        <v>4</v>
      </c>
      <c r="BK1076" s="1">
        <v>1</v>
      </c>
      <c r="BL1076" t="str">
        <f>"1"</f>
        <v>1</v>
      </c>
      <c r="BM1076" t="str">
        <f xml:space="preserve"> IF($BK$1076 &gt;= $G$281, "1","0")</f>
        <v>1</v>
      </c>
      <c r="BN1076">
        <f xml:space="preserve"> IF( AND( $BL$1076 = "1", $BM$1076 = "1" ), 1, IF( AND( $BL$1076 = "1", $BM$1076 = "0" ), 2, IF( AND( $BL$1076 = "0", $BM$1076 = "1" ), 3, 4 ) ) )</f>
        <v>1</v>
      </c>
    </row>
    <row r="1077" spans="58:66" x14ac:dyDescent="0.25">
      <c r="BF1077" s="1">
        <v>0</v>
      </c>
      <c r="BG1077" t="str">
        <f>"0"</f>
        <v>0</v>
      </c>
      <c r="BH1077" t="str">
        <f xml:space="preserve"> IF($BF$1077 &gt;= $G$204, "1","0")</f>
        <v>0</v>
      </c>
      <c r="BI1077">
        <f xml:space="preserve"> IF( AND( $BG$1077 = "1", $BH$1077 = "1" ), 1, IF( AND( $BG$1077 = "1", $BH$1077 = "0" ), 2, IF( AND( $BG$1077 = "0", $BH$1077 = "1" ), 3, 4 ) ) )</f>
        <v>4</v>
      </c>
      <c r="BK1077" s="1">
        <v>0</v>
      </c>
      <c r="BL1077" t="str">
        <f>"0"</f>
        <v>0</v>
      </c>
      <c r="BM1077" t="str">
        <f xml:space="preserve"> IF($BK$1077 &gt;= $G$281, "1","0")</f>
        <v>0</v>
      </c>
      <c r="BN1077">
        <f xml:space="preserve"> IF( AND( $BL$1077 = "1", $BM$1077 = "1" ), 1, IF( AND( $BL$1077 = "1", $BM$1077 = "0" ), 2, IF( AND( $BL$1077 = "0", $BM$1077 = "1" ), 3, 4 ) ) )</f>
        <v>4</v>
      </c>
    </row>
    <row r="1078" spans="58:66" x14ac:dyDescent="0.25">
      <c r="BF1078" s="1">
        <v>0</v>
      </c>
      <c r="BG1078" t="str">
        <f>"0"</f>
        <v>0</v>
      </c>
      <c r="BH1078" t="str">
        <f xml:space="preserve"> IF($BF$1078 &gt;= $G$204, "1","0")</f>
        <v>0</v>
      </c>
      <c r="BI1078">
        <f xml:space="preserve"> IF( AND( $BG$1078 = "1", $BH$1078 = "1" ), 1, IF( AND( $BG$1078 = "1", $BH$1078 = "0" ), 2, IF( AND( $BG$1078 = "0", $BH$1078 = "1" ), 3, 4 ) ) )</f>
        <v>4</v>
      </c>
      <c r="BK1078" s="1">
        <v>1</v>
      </c>
      <c r="BL1078" t="str">
        <f>"1"</f>
        <v>1</v>
      </c>
      <c r="BM1078" t="str">
        <f xml:space="preserve"> IF($BK$1078 &gt;= $G$281, "1","0")</f>
        <v>1</v>
      </c>
      <c r="BN1078">
        <f xml:space="preserve"> IF( AND( $BL$1078 = "1", $BM$1078 = "1" ), 1, IF( AND( $BL$1078 = "1", $BM$1078 = "0" ), 2, IF( AND( $BL$1078 = "0", $BM$1078 = "1" ), 3, 4 ) ) )</f>
        <v>1</v>
      </c>
    </row>
    <row r="1079" spans="58:66" x14ac:dyDescent="0.25">
      <c r="BF1079" s="1">
        <v>0</v>
      </c>
      <c r="BG1079" t="str">
        <f>"0"</f>
        <v>0</v>
      </c>
      <c r="BH1079" t="str">
        <f xml:space="preserve"> IF($BF$1079 &gt;= $G$204, "1","0")</f>
        <v>0</v>
      </c>
      <c r="BI1079">
        <f xml:space="preserve"> IF( AND( $BG$1079 = "1", $BH$1079 = "1" ), 1, IF( AND( $BG$1079 = "1", $BH$1079 = "0" ), 2, IF( AND( $BG$1079 = "0", $BH$1079 = "1" ), 3, 4 ) ) )</f>
        <v>4</v>
      </c>
      <c r="BK1079" s="1">
        <v>2.5000000000000001E-3</v>
      </c>
      <c r="BL1079" t="str">
        <f>"0"</f>
        <v>0</v>
      </c>
      <c r="BM1079" t="str">
        <f xml:space="preserve"> IF($BK$1079 &gt;= $G$281, "1","0")</f>
        <v>0</v>
      </c>
      <c r="BN1079">
        <f xml:space="preserve"> IF( AND( $BL$1079 = "1", $BM$1079 = "1" ), 1, IF( AND( $BL$1079 = "1", $BM$1079 = "0" ), 2, IF( AND( $BL$1079 = "0", $BM$1079 = "1" ), 3, 4 ) ) )</f>
        <v>4</v>
      </c>
    </row>
    <row r="1080" spans="58:66" x14ac:dyDescent="0.25">
      <c r="BF1080" s="1">
        <v>0</v>
      </c>
      <c r="BG1080" t="str">
        <f>"0"</f>
        <v>0</v>
      </c>
      <c r="BH1080" t="str">
        <f xml:space="preserve"> IF($BF$1080 &gt;= $G$204, "1","0")</f>
        <v>0</v>
      </c>
      <c r="BI1080">
        <f xml:space="preserve"> IF( AND( $BG$1080 = "1", $BH$1080 = "1" ), 1, IF( AND( $BG$1080 = "1", $BH$1080 = "0" ), 2, IF( AND( $BG$1080 = "0", $BH$1080 = "1" ), 3, 4 ) ) )</f>
        <v>4</v>
      </c>
      <c r="BK1080" s="1">
        <v>0.14285714285714285</v>
      </c>
      <c r="BL1080" t="str">
        <f>"0"</f>
        <v>0</v>
      </c>
      <c r="BM1080" t="str">
        <f xml:space="preserve"> IF($BK$1080 &gt;= $G$281, "1","0")</f>
        <v>0</v>
      </c>
      <c r="BN1080">
        <f xml:space="preserve"> IF( AND( $BL$1080 = "1", $BM$1080 = "1" ), 1, IF( AND( $BL$1080 = "1", $BM$1080 = "0" ), 2, IF( AND( $BL$1080 = "0", $BM$1080 = "1" ), 3, 4 ) ) )</f>
        <v>4</v>
      </c>
    </row>
    <row r="1081" spans="58:66" x14ac:dyDescent="0.25">
      <c r="BF1081" s="1">
        <v>0</v>
      </c>
      <c r="BG1081" t="str">
        <f>"0"</f>
        <v>0</v>
      </c>
      <c r="BH1081" t="str">
        <f xml:space="preserve"> IF($BF$1081 &gt;= $G$204, "1","0")</f>
        <v>0</v>
      </c>
      <c r="BI1081">
        <f xml:space="preserve"> IF( AND( $BG$1081 = "1", $BH$1081 = "1" ), 1, IF( AND( $BG$1081 = "1", $BH$1081 = "0" ), 2, IF( AND( $BG$1081 = "0", $BH$1081 = "1" ), 3, 4 ) ) )</f>
        <v>4</v>
      </c>
      <c r="BK1081" s="1">
        <v>1.8947368421052633E-2</v>
      </c>
      <c r="BL1081" t="str">
        <f>"0"</f>
        <v>0</v>
      </c>
      <c r="BM1081" t="str">
        <f xml:space="preserve"> IF($BK$1081 &gt;= $G$281, "1","0")</f>
        <v>0</v>
      </c>
      <c r="BN1081">
        <f xml:space="preserve"> IF( AND( $BL$1081 = "1", $BM$1081 = "1" ), 1, IF( AND( $BL$1081 = "1", $BM$1081 = "0" ), 2, IF( AND( $BL$1081 = "0", $BM$1081 = "1" ), 3, 4 ) ) )</f>
        <v>4</v>
      </c>
    </row>
    <row r="1082" spans="58:66" x14ac:dyDescent="0.25">
      <c r="BF1082" s="1">
        <v>0</v>
      </c>
      <c r="BG1082" t="str">
        <f>"0"</f>
        <v>0</v>
      </c>
      <c r="BH1082" t="str">
        <f xml:space="preserve"> IF($BF$1082 &gt;= $G$204, "1","0")</f>
        <v>0</v>
      </c>
      <c r="BI1082">
        <f xml:space="preserve"> IF( AND( $BG$1082 = "1", $BH$1082 = "1" ), 1, IF( AND( $BG$1082 = "1", $BH$1082 = "0" ), 2, IF( AND( $BG$1082 = "0", $BH$1082 = "1" ), 3, 4 ) ) )</f>
        <v>4</v>
      </c>
      <c r="BK1082" s="1">
        <v>1.8947368421052633E-2</v>
      </c>
      <c r="BL1082" t="str">
        <f>"0"</f>
        <v>0</v>
      </c>
      <c r="BM1082" t="str">
        <f xml:space="preserve"> IF($BK$1082 &gt;= $G$281, "1","0")</f>
        <v>0</v>
      </c>
      <c r="BN1082">
        <f xml:space="preserve"> IF( AND( $BL$1082 = "1", $BM$1082 = "1" ), 1, IF( AND( $BL$1082 = "1", $BM$1082 = "0" ), 2, IF( AND( $BL$1082 = "0", $BM$1082 = "1" ), 3, 4 ) ) )</f>
        <v>4</v>
      </c>
    </row>
    <row r="1083" spans="58:66" x14ac:dyDescent="0.25">
      <c r="BF1083" s="1">
        <v>0</v>
      </c>
      <c r="BG1083" t="str">
        <f>"0"</f>
        <v>0</v>
      </c>
      <c r="BH1083" t="str">
        <f xml:space="preserve"> IF($BF$1083 &gt;= $G$204, "1","0")</f>
        <v>0</v>
      </c>
      <c r="BI1083">
        <f xml:space="preserve"> IF( AND( $BG$1083 = "1", $BH$1083 = "1" ), 1, IF( AND( $BG$1083 = "1", $BH$1083 = "0" ), 2, IF( AND( $BG$1083 = "0", $BH$1083 = "1" ), 3, 4 ) ) )</f>
        <v>4</v>
      </c>
      <c r="BK1083" s="1">
        <v>1</v>
      </c>
      <c r="BL1083" t="str">
        <f>"1"</f>
        <v>1</v>
      </c>
      <c r="BM1083" t="str">
        <f xml:space="preserve"> IF($BK$1083 &gt;= $G$281, "1","0")</f>
        <v>1</v>
      </c>
      <c r="BN1083">
        <f xml:space="preserve"> IF( AND( $BL$1083 = "1", $BM$1083 = "1" ), 1, IF( AND( $BL$1083 = "1", $BM$1083 = "0" ), 2, IF( AND( $BL$1083 = "0", $BM$1083 = "1" ), 3, 4 ) ) )</f>
        <v>1</v>
      </c>
    </row>
    <row r="1084" spans="58:66" x14ac:dyDescent="0.25">
      <c r="BF1084" s="1">
        <v>0</v>
      </c>
      <c r="BG1084" t="str">
        <f>"0"</f>
        <v>0</v>
      </c>
      <c r="BH1084" t="str">
        <f xml:space="preserve"> IF($BF$1084 &gt;= $G$204, "1","0")</f>
        <v>0</v>
      </c>
      <c r="BI1084">
        <f xml:space="preserve"> IF( AND( $BG$1084 = "1", $BH$1084 = "1" ), 1, IF( AND( $BG$1084 = "1", $BH$1084 = "0" ), 2, IF( AND( $BG$1084 = "0", $BH$1084 = "1" ), 3, 4 ) ) )</f>
        <v>4</v>
      </c>
      <c r="BK1084" s="1">
        <v>2.5000000000000001E-3</v>
      </c>
      <c r="BL1084" t="str">
        <f>"0"</f>
        <v>0</v>
      </c>
      <c r="BM1084" t="str">
        <f xml:space="preserve"> IF($BK$1084 &gt;= $G$281, "1","0")</f>
        <v>0</v>
      </c>
      <c r="BN1084">
        <f xml:space="preserve"> IF( AND( $BL$1084 = "1", $BM$1084 = "1" ), 1, IF( AND( $BL$1084 = "1", $BM$1084 = "0" ), 2, IF( AND( $BL$1084 = "0", $BM$1084 = "1" ), 3, 4 ) ) )</f>
        <v>4</v>
      </c>
    </row>
    <row r="1085" spans="58:66" x14ac:dyDescent="0.25">
      <c r="BF1085" s="1">
        <v>0</v>
      </c>
      <c r="BG1085" t="str">
        <f>"0"</f>
        <v>0</v>
      </c>
      <c r="BH1085" t="str">
        <f xml:space="preserve"> IF($BF$1085 &gt;= $G$204, "1","0")</f>
        <v>0</v>
      </c>
      <c r="BI1085">
        <f xml:space="preserve"> IF( AND( $BG$1085 = "1", $BH$1085 = "1" ), 1, IF( AND( $BG$1085 = "1", $BH$1085 = "0" ), 2, IF( AND( $BG$1085 = "0", $BH$1085 = "1" ), 3, 4 ) ) )</f>
        <v>4</v>
      </c>
      <c r="BK1085" s="1">
        <v>0.72727272727272729</v>
      </c>
      <c r="BL1085" t="str">
        <f>"0"</f>
        <v>0</v>
      </c>
      <c r="BM1085" t="str">
        <f xml:space="preserve"> IF($BK$1085 &gt;= $G$281, "1","0")</f>
        <v>1</v>
      </c>
      <c r="BN1085">
        <f xml:space="preserve"> IF( AND( $BL$1085 = "1", $BM$1085 = "1" ), 1, IF( AND( $BL$1085 = "1", $BM$1085 = "0" ), 2, IF( AND( $BL$1085 = "0", $BM$1085 = "1" ), 3, 4 ) ) )</f>
        <v>3</v>
      </c>
    </row>
    <row r="1086" spans="58:66" x14ac:dyDescent="0.25">
      <c r="BF1086" s="1">
        <v>0</v>
      </c>
      <c r="BG1086" t="str">
        <f>"0"</f>
        <v>0</v>
      </c>
      <c r="BH1086" t="str">
        <f xml:space="preserve"> IF($BF$1086 &gt;= $G$204, "1","0")</f>
        <v>0</v>
      </c>
      <c r="BI1086">
        <f xml:space="preserve"> IF( AND( $BG$1086 = "1", $BH$1086 = "1" ), 1, IF( AND( $BG$1086 = "1", $BH$1086 = "0" ), 2, IF( AND( $BG$1086 = "0", $BH$1086 = "1" ), 3, 4 ) ) )</f>
        <v>4</v>
      </c>
      <c r="BK1086" s="1">
        <v>1.8947368421052633E-2</v>
      </c>
      <c r="BL1086" t="str">
        <f>"0"</f>
        <v>0</v>
      </c>
      <c r="BM1086" t="str">
        <f xml:space="preserve"> IF($BK$1086 &gt;= $G$281, "1","0")</f>
        <v>0</v>
      </c>
      <c r="BN1086">
        <f xml:space="preserve"> IF( AND( $BL$1086 = "1", $BM$1086 = "1" ), 1, IF( AND( $BL$1086 = "1", $BM$1086 = "0" ), 2, IF( AND( $BL$1086 = "0", $BM$1086 = "1" ), 3, 4 ) ) )</f>
        <v>4</v>
      </c>
    </row>
    <row r="1087" spans="58:66" x14ac:dyDescent="0.25">
      <c r="BF1087" s="1">
        <v>0</v>
      </c>
      <c r="BG1087" t="str">
        <f>"0"</f>
        <v>0</v>
      </c>
      <c r="BH1087" t="str">
        <f xml:space="preserve"> IF($BF$1087 &gt;= $G$204, "1","0")</f>
        <v>0</v>
      </c>
      <c r="BI1087">
        <f xml:space="preserve"> IF( AND( $BG$1087 = "1", $BH$1087 = "1" ), 1, IF( AND( $BG$1087 = "1", $BH$1087 = "0" ), 2, IF( AND( $BG$1087 = "0", $BH$1087 = "1" ), 3, 4 ) ) )</f>
        <v>4</v>
      </c>
      <c r="BK1087" s="1">
        <v>2.5000000000000001E-3</v>
      </c>
      <c r="BL1087" t="str">
        <f>"0"</f>
        <v>0</v>
      </c>
      <c r="BM1087" t="str">
        <f xml:space="preserve"> IF($BK$1087 &gt;= $G$281, "1","0")</f>
        <v>0</v>
      </c>
      <c r="BN1087">
        <f xml:space="preserve"> IF( AND( $BL$1087 = "1", $BM$1087 = "1" ), 1, IF( AND( $BL$1087 = "1", $BM$1087 = "0" ), 2, IF( AND( $BL$1087 = "0", $BM$1087 = "1" ), 3, 4 ) ) )</f>
        <v>4</v>
      </c>
    </row>
    <row r="1088" spans="58:66" x14ac:dyDescent="0.25">
      <c r="BF1088" s="1">
        <v>0</v>
      </c>
      <c r="BG1088" t="str">
        <f>"0"</f>
        <v>0</v>
      </c>
      <c r="BH1088" t="str">
        <f xml:space="preserve"> IF($BF$1088 &gt;= $G$204, "1","0")</f>
        <v>0</v>
      </c>
      <c r="BI1088">
        <f xml:space="preserve"> IF( AND( $BG$1088 = "1", $BH$1088 = "1" ), 1, IF( AND( $BG$1088 = "1", $BH$1088 = "0" ), 2, IF( AND( $BG$1088 = "0", $BH$1088 = "1" ), 3, 4 ) ) )</f>
        <v>4</v>
      </c>
      <c r="BK1088" s="1">
        <v>1</v>
      </c>
      <c r="BL1088" t="str">
        <f>"1"</f>
        <v>1</v>
      </c>
      <c r="BM1088" t="str">
        <f xml:space="preserve"> IF($BK$1088 &gt;= $G$281, "1","0")</f>
        <v>1</v>
      </c>
      <c r="BN1088">
        <f xml:space="preserve"> IF( AND( $BL$1088 = "1", $BM$1088 = "1" ), 1, IF( AND( $BL$1088 = "1", $BM$1088 = "0" ), 2, IF( AND( $BL$1088 = "0", $BM$1088 = "1" ), 3, 4 ) ) )</f>
        <v>1</v>
      </c>
    </row>
    <row r="1089" spans="58:66" x14ac:dyDescent="0.25">
      <c r="BF1089" s="1">
        <v>0</v>
      </c>
      <c r="BG1089" t="str">
        <f>"0"</f>
        <v>0</v>
      </c>
      <c r="BH1089" t="str">
        <f xml:space="preserve"> IF($BF$1089 &gt;= $G$204, "1","0")</f>
        <v>0</v>
      </c>
      <c r="BI1089">
        <f xml:space="preserve"> IF( AND( $BG$1089 = "1", $BH$1089 = "1" ), 1, IF( AND( $BG$1089 = "1", $BH$1089 = "0" ), 2, IF( AND( $BG$1089 = "0", $BH$1089 = "1" ), 3, 4 ) ) )</f>
        <v>4</v>
      </c>
      <c r="BK1089" s="1">
        <v>0</v>
      </c>
      <c r="BL1089" t="str">
        <f>"0"</f>
        <v>0</v>
      </c>
      <c r="BM1089" t="str">
        <f xml:space="preserve"> IF($BK$1089 &gt;= $G$281, "1","0")</f>
        <v>0</v>
      </c>
      <c r="BN1089">
        <f xml:space="preserve"> IF( AND( $BL$1089 = "1", $BM$1089 = "1" ), 1, IF( AND( $BL$1089 = "1", $BM$1089 = "0" ), 2, IF( AND( $BL$1089 = "0", $BM$1089 = "1" ), 3, 4 ) ) )</f>
        <v>4</v>
      </c>
    </row>
    <row r="1090" spans="58:66" x14ac:dyDescent="0.25">
      <c r="BF1090" s="1">
        <v>0</v>
      </c>
      <c r="BG1090" t="str">
        <f>"0"</f>
        <v>0</v>
      </c>
      <c r="BH1090" t="str">
        <f xml:space="preserve"> IF($BF$1090 &gt;= $G$204, "1","0")</f>
        <v>0</v>
      </c>
      <c r="BI1090">
        <f xml:space="preserve"> IF( AND( $BG$1090 = "1", $BH$1090 = "1" ), 1, IF( AND( $BG$1090 = "1", $BH$1090 = "0" ), 2, IF( AND( $BG$1090 = "0", $BH$1090 = "1" ), 3, 4 ) ) )</f>
        <v>4</v>
      </c>
      <c r="BK1090" s="1">
        <v>2.5000000000000001E-3</v>
      </c>
      <c r="BL1090" t="str">
        <f>"0"</f>
        <v>0</v>
      </c>
      <c r="BM1090" t="str">
        <f xml:space="preserve"> IF($BK$1090 &gt;= $G$281, "1","0")</f>
        <v>0</v>
      </c>
      <c r="BN1090">
        <f xml:space="preserve"> IF( AND( $BL$1090 = "1", $BM$1090 = "1" ), 1, IF( AND( $BL$1090 = "1", $BM$1090 = "0" ), 2, IF( AND( $BL$1090 = "0", $BM$1090 = "1" ), 3, 4 ) ) )</f>
        <v>4</v>
      </c>
    </row>
    <row r="1091" spans="58:66" x14ac:dyDescent="0.25">
      <c r="BF1091" s="1">
        <v>0</v>
      </c>
      <c r="BG1091" t="str">
        <f>"0"</f>
        <v>0</v>
      </c>
      <c r="BH1091" t="str">
        <f xml:space="preserve"> IF($BF$1091 &gt;= $G$204, "1","0")</f>
        <v>0</v>
      </c>
      <c r="BI1091">
        <f xml:space="preserve"> IF( AND( $BG$1091 = "1", $BH$1091 = "1" ), 1, IF( AND( $BG$1091 = "1", $BH$1091 = "0" ), 2, IF( AND( $BG$1091 = "0", $BH$1091 = "1" ), 3, 4 ) ) )</f>
        <v>4</v>
      </c>
      <c r="BK1091" s="1">
        <v>1</v>
      </c>
      <c r="BL1091" t="str">
        <f>"1"</f>
        <v>1</v>
      </c>
      <c r="BM1091" t="str">
        <f xml:space="preserve"> IF($BK$1091 &gt;= $G$281, "1","0")</f>
        <v>1</v>
      </c>
      <c r="BN1091">
        <f xml:space="preserve"> IF( AND( $BL$1091 = "1", $BM$1091 = "1" ), 1, IF( AND( $BL$1091 = "1", $BM$1091 = "0" ), 2, IF( AND( $BL$1091 = "0", $BM$1091 = "1" ), 3, 4 ) ) )</f>
        <v>1</v>
      </c>
    </row>
    <row r="1092" spans="58:66" x14ac:dyDescent="0.25">
      <c r="BF1092" s="1">
        <v>0</v>
      </c>
      <c r="BG1092" t="str">
        <f>"0"</f>
        <v>0</v>
      </c>
      <c r="BH1092" t="str">
        <f xml:space="preserve"> IF($BF$1092 &gt;= $G$204, "1","0")</f>
        <v>0</v>
      </c>
      <c r="BI1092">
        <f xml:space="preserve"> IF( AND( $BG$1092 = "1", $BH$1092 = "1" ), 1, IF( AND( $BG$1092 = "1", $BH$1092 = "0" ), 2, IF( AND( $BG$1092 = "0", $BH$1092 = "1" ), 3, 4 ) ) )</f>
        <v>4</v>
      </c>
      <c r="BK1092" s="1">
        <v>1.8947368421052633E-2</v>
      </c>
      <c r="BL1092" t="str">
        <f>"0"</f>
        <v>0</v>
      </c>
      <c r="BM1092" t="str">
        <f xml:space="preserve"> IF($BK$1092 &gt;= $G$281, "1","0")</f>
        <v>0</v>
      </c>
      <c r="BN1092">
        <f xml:space="preserve"> IF( AND( $BL$1092 = "1", $BM$1092 = "1" ), 1, IF( AND( $BL$1092 = "1", $BM$1092 = "0" ), 2, IF( AND( $BL$1092 = "0", $BM$1092 = "1" ), 3, 4 ) ) )</f>
        <v>4</v>
      </c>
    </row>
    <row r="1093" spans="58:66" x14ac:dyDescent="0.25">
      <c r="BF1093" s="1">
        <v>0</v>
      </c>
      <c r="BG1093" t="str">
        <f>"0"</f>
        <v>0</v>
      </c>
      <c r="BH1093" t="str">
        <f xml:space="preserve"> IF($BF$1093 &gt;= $G$204, "1","0")</f>
        <v>0</v>
      </c>
      <c r="BI1093">
        <f xml:space="preserve"> IF( AND( $BG$1093 = "1", $BH$1093 = "1" ), 1, IF( AND( $BG$1093 = "1", $BH$1093 = "0" ), 2, IF( AND( $BG$1093 = "0", $BH$1093 = "1" ), 3, 4 ) ) )</f>
        <v>4</v>
      </c>
      <c r="BK1093" s="1">
        <v>1</v>
      </c>
      <c r="BL1093" t="str">
        <f>"1"</f>
        <v>1</v>
      </c>
      <c r="BM1093" t="str">
        <f xml:space="preserve"> IF($BK$1093 &gt;= $G$281, "1","0")</f>
        <v>1</v>
      </c>
      <c r="BN1093">
        <f xml:space="preserve"> IF( AND( $BL$1093 = "1", $BM$1093 = "1" ), 1, IF( AND( $BL$1093 = "1", $BM$1093 = "0" ), 2, IF( AND( $BL$1093 = "0", $BM$1093 = "1" ), 3, 4 ) ) )</f>
        <v>1</v>
      </c>
    </row>
    <row r="1094" spans="58:66" x14ac:dyDescent="0.25">
      <c r="BF1094" s="1">
        <v>0</v>
      </c>
      <c r="BG1094" t="str">
        <f>"0"</f>
        <v>0</v>
      </c>
      <c r="BH1094" t="str">
        <f xml:space="preserve"> IF($BF$1094 &gt;= $G$204, "1","0")</f>
        <v>0</v>
      </c>
      <c r="BI1094">
        <f xml:space="preserve"> IF( AND( $BG$1094 = "1", $BH$1094 = "1" ), 1, IF( AND( $BG$1094 = "1", $BH$1094 = "0" ), 2, IF( AND( $BG$1094 = "0", $BH$1094 = "1" ), 3, 4 ) ) )</f>
        <v>4</v>
      </c>
      <c r="BK1094" s="1">
        <v>0.90476190476190477</v>
      </c>
      <c r="BL1094" t="str">
        <f>"1"</f>
        <v>1</v>
      </c>
      <c r="BM1094" t="str">
        <f xml:space="preserve"> IF($BK$1094 &gt;= $G$281, "1","0")</f>
        <v>1</v>
      </c>
      <c r="BN1094">
        <f xml:space="preserve"> IF( AND( $BL$1094 = "1", $BM$1094 = "1" ), 1, IF( AND( $BL$1094 = "1", $BM$1094 = "0" ), 2, IF( AND( $BL$1094 = "0", $BM$1094 = "1" ), 3, 4 ) ) )</f>
        <v>1</v>
      </c>
    </row>
    <row r="1095" spans="58:66" x14ac:dyDescent="0.25">
      <c r="BF1095" s="1">
        <v>0</v>
      </c>
      <c r="BG1095" t="str">
        <f>"0"</f>
        <v>0</v>
      </c>
      <c r="BH1095" t="str">
        <f xml:space="preserve"> IF($BF$1095 &gt;= $G$204, "1","0")</f>
        <v>0</v>
      </c>
      <c r="BI1095">
        <f xml:space="preserve"> IF( AND( $BG$1095 = "1", $BH$1095 = "1" ), 1, IF( AND( $BG$1095 = "1", $BH$1095 = "0" ), 2, IF( AND( $BG$1095 = "0", $BH$1095 = "1" ), 3, 4 ) ) )</f>
        <v>4</v>
      </c>
      <c r="BK1095" s="1">
        <v>0.64</v>
      </c>
      <c r="BL1095" t="str">
        <f>"1"</f>
        <v>1</v>
      </c>
      <c r="BM1095" t="str">
        <f xml:space="preserve"> IF($BK$1095 &gt;= $G$281, "1","0")</f>
        <v>1</v>
      </c>
      <c r="BN1095">
        <f xml:space="preserve"> IF( AND( $BL$1095 = "1", $BM$1095 = "1" ), 1, IF( AND( $BL$1095 = "1", $BM$1095 = "0" ), 2, IF( AND( $BL$1095 = "0", $BM$1095 = "1" ), 3, 4 ) ) )</f>
        <v>1</v>
      </c>
    </row>
    <row r="1096" spans="58:66" x14ac:dyDescent="0.25">
      <c r="BF1096" s="1">
        <v>0</v>
      </c>
      <c r="BG1096" t="str">
        <f>"0"</f>
        <v>0</v>
      </c>
      <c r="BH1096" t="str">
        <f xml:space="preserve"> IF($BF$1096 &gt;= $G$204, "1","0")</f>
        <v>0</v>
      </c>
      <c r="BI1096">
        <f xml:space="preserve"> IF( AND( $BG$1096 = "1", $BH$1096 = "1" ), 1, IF( AND( $BG$1096 = "1", $BH$1096 = "0" ), 2, IF( AND( $BG$1096 = "0", $BH$1096 = "1" ), 3, 4 ) ) )</f>
        <v>4</v>
      </c>
      <c r="BK1096" s="1">
        <v>0.83333333333333326</v>
      </c>
      <c r="BL1096" t="str">
        <f>"0"</f>
        <v>0</v>
      </c>
      <c r="BM1096" t="str">
        <f xml:space="preserve"> IF($BK$1096 &gt;= $G$281, "1","0")</f>
        <v>1</v>
      </c>
      <c r="BN1096">
        <f xml:space="preserve"> IF( AND( $BL$1096 = "1", $BM$1096 = "1" ), 1, IF( AND( $BL$1096 = "1", $BM$1096 = "0" ), 2, IF( AND( $BL$1096 = "0", $BM$1096 = "1" ), 3, 4 ) ) )</f>
        <v>3</v>
      </c>
    </row>
    <row r="1097" spans="58:66" x14ac:dyDescent="0.25">
      <c r="BF1097" s="1">
        <v>0</v>
      </c>
      <c r="BG1097" t="str">
        <f>"0"</f>
        <v>0</v>
      </c>
      <c r="BH1097" t="str">
        <f xml:space="preserve"> IF($BF$1097 &gt;= $G$204, "1","0")</f>
        <v>0</v>
      </c>
      <c r="BI1097">
        <f xml:space="preserve"> IF( AND( $BG$1097 = "1", $BH$1097 = "1" ), 1, IF( AND( $BG$1097 = "1", $BH$1097 = "0" ), 2, IF( AND( $BG$1097 = "0", $BH$1097 = "1" ), 3, 4 ) ) )</f>
        <v>4</v>
      </c>
      <c r="BK1097" s="1">
        <v>0</v>
      </c>
      <c r="BL1097" t="str">
        <f>"0"</f>
        <v>0</v>
      </c>
      <c r="BM1097" t="str">
        <f xml:space="preserve"> IF($BK$1097 &gt;= $G$281, "1","0")</f>
        <v>0</v>
      </c>
      <c r="BN1097">
        <f xml:space="preserve"> IF( AND( $BL$1097 = "1", $BM$1097 = "1" ), 1, IF( AND( $BL$1097 = "1", $BM$1097 = "0" ), 2, IF( AND( $BL$1097 = "0", $BM$1097 = "1" ), 3, 4 ) ) )</f>
        <v>4</v>
      </c>
    </row>
    <row r="1098" spans="58:66" x14ac:dyDescent="0.25">
      <c r="BF1098" s="1">
        <v>0</v>
      </c>
      <c r="BG1098" t="str">
        <f>"0"</f>
        <v>0</v>
      </c>
      <c r="BH1098" t="str">
        <f xml:space="preserve"> IF($BF$1098 &gt;= $G$204, "1","0")</f>
        <v>0</v>
      </c>
      <c r="BI1098">
        <f xml:space="preserve"> IF( AND( $BG$1098 = "1", $BH$1098 = "1" ), 1, IF( AND( $BG$1098 = "1", $BH$1098 = "0" ), 2, IF( AND( $BG$1098 = "0", $BH$1098 = "1" ), 3, 4 ) ) )</f>
        <v>4</v>
      </c>
      <c r="BK1098" s="1">
        <v>1</v>
      </c>
      <c r="BL1098" t="str">
        <f>"1"</f>
        <v>1</v>
      </c>
      <c r="BM1098" t="str">
        <f xml:space="preserve"> IF($BK$1098 &gt;= $G$281, "1","0")</f>
        <v>1</v>
      </c>
      <c r="BN1098">
        <f xml:space="preserve"> IF( AND( $BL$1098 = "1", $BM$1098 = "1" ), 1, IF( AND( $BL$1098 = "1", $BM$1098 = "0" ), 2, IF( AND( $BL$1098 = "0", $BM$1098 = "1" ), 3, 4 ) ) )</f>
        <v>1</v>
      </c>
    </row>
    <row r="1099" spans="58:66" x14ac:dyDescent="0.25">
      <c r="BF1099" s="1">
        <v>0</v>
      </c>
      <c r="BG1099" t="str">
        <f>"0"</f>
        <v>0</v>
      </c>
      <c r="BH1099" t="str">
        <f xml:space="preserve"> IF($BF$1099 &gt;= $G$204, "1","0")</f>
        <v>0</v>
      </c>
      <c r="BI1099">
        <f xml:space="preserve"> IF( AND( $BG$1099 = "1", $BH$1099 = "1" ), 1, IF( AND( $BG$1099 = "1", $BH$1099 = "0" ), 2, IF( AND( $BG$1099 = "0", $BH$1099 = "1" ), 3, 4 ) ) )</f>
        <v>4</v>
      </c>
      <c r="BK1099" s="1">
        <v>1.8947368421052633E-2</v>
      </c>
      <c r="BL1099" t="str">
        <f>"0"</f>
        <v>0</v>
      </c>
      <c r="BM1099" t="str">
        <f xml:space="preserve"> IF($BK$1099 &gt;= $G$281, "1","0")</f>
        <v>0</v>
      </c>
      <c r="BN1099">
        <f xml:space="preserve"> IF( AND( $BL$1099 = "1", $BM$1099 = "1" ), 1, IF( AND( $BL$1099 = "1", $BM$1099 = "0" ), 2, IF( AND( $BL$1099 = "0", $BM$1099 = "1" ), 3, 4 ) ) )</f>
        <v>4</v>
      </c>
    </row>
    <row r="1100" spans="58:66" x14ac:dyDescent="0.25">
      <c r="BF1100" s="1">
        <v>0</v>
      </c>
      <c r="BG1100" t="str">
        <f>"0"</f>
        <v>0</v>
      </c>
      <c r="BH1100" t="str">
        <f xml:space="preserve"> IF($BF$1100 &gt;= $G$204, "1","0")</f>
        <v>0</v>
      </c>
      <c r="BI1100">
        <f xml:space="preserve"> IF( AND( $BG$1100 = "1", $BH$1100 = "1" ), 1, IF( AND( $BG$1100 = "1", $BH$1100 = "0" ), 2, IF( AND( $BG$1100 = "0", $BH$1100 = "1" ), 3, 4 ) ) )</f>
        <v>4</v>
      </c>
      <c r="BK1100" s="1">
        <v>0.14285714285714288</v>
      </c>
      <c r="BL1100" t="str">
        <f>"0"</f>
        <v>0</v>
      </c>
      <c r="BM1100" t="str">
        <f xml:space="preserve"> IF($BK$1100 &gt;= $G$281, "1","0")</f>
        <v>0</v>
      </c>
      <c r="BN1100">
        <f xml:space="preserve"> IF( AND( $BL$1100 = "1", $BM$1100 = "1" ), 1, IF( AND( $BL$1100 = "1", $BM$1100 = "0" ), 2, IF( AND( $BL$1100 = "0", $BM$1100 = "1" ), 3, 4 ) ) )</f>
        <v>4</v>
      </c>
    </row>
    <row r="1101" spans="58:66" x14ac:dyDescent="0.25">
      <c r="BF1101" s="1">
        <v>0</v>
      </c>
      <c r="BG1101" t="str">
        <f>"0"</f>
        <v>0</v>
      </c>
      <c r="BH1101" t="str">
        <f xml:space="preserve"> IF($BF$1101 &gt;= $G$204, "1","0")</f>
        <v>0</v>
      </c>
      <c r="BI1101">
        <f xml:space="preserve"> IF( AND( $BG$1101 = "1", $BH$1101 = "1" ), 1, IF( AND( $BG$1101 = "1", $BH$1101 = "0" ), 2, IF( AND( $BG$1101 = "0", $BH$1101 = "1" ), 3, 4 ) ) )</f>
        <v>4</v>
      </c>
      <c r="BK1101" s="1">
        <v>2.5000000000000001E-3</v>
      </c>
      <c r="BL1101" t="str">
        <f>"0"</f>
        <v>0</v>
      </c>
      <c r="BM1101" t="str">
        <f xml:space="preserve"> IF($BK$1101 &gt;= $G$281, "1","0")</f>
        <v>0</v>
      </c>
      <c r="BN1101">
        <f xml:space="preserve"> IF( AND( $BL$1101 = "1", $BM$1101 = "1" ), 1, IF( AND( $BL$1101 = "1", $BM$1101 = "0" ), 2, IF( AND( $BL$1101 = "0", $BM$1101 = "1" ), 3, 4 ) ) )</f>
        <v>4</v>
      </c>
    </row>
    <row r="1102" spans="58:66" x14ac:dyDescent="0.25">
      <c r="BF1102" s="1">
        <v>0</v>
      </c>
      <c r="BG1102" t="str">
        <f>"0"</f>
        <v>0</v>
      </c>
      <c r="BH1102" t="str">
        <f xml:space="preserve"> IF($BF$1102 &gt;= $G$204, "1","0")</f>
        <v>0</v>
      </c>
      <c r="BI1102">
        <f xml:space="preserve"> IF( AND( $BG$1102 = "1", $BH$1102 = "1" ), 1, IF( AND( $BG$1102 = "1", $BH$1102 = "0" ), 2, IF( AND( $BG$1102 = "0", $BH$1102 = "1" ), 3, 4 ) ) )</f>
        <v>4</v>
      </c>
      <c r="BK1102" s="1">
        <v>1</v>
      </c>
      <c r="BL1102" t="str">
        <f>"1"</f>
        <v>1</v>
      </c>
      <c r="BM1102" t="str">
        <f xml:space="preserve"> IF($BK$1102 &gt;= $G$281, "1","0")</f>
        <v>1</v>
      </c>
      <c r="BN1102">
        <f xml:space="preserve"> IF( AND( $BL$1102 = "1", $BM$1102 = "1" ), 1, IF( AND( $BL$1102 = "1", $BM$1102 = "0" ), 2, IF( AND( $BL$1102 = "0", $BM$1102 = "1" ), 3, 4 ) ) )</f>
        <v>1</v>
      </c>
    </row>
    <row r="1103" spans="58:66" x14ac:dyDescent="0.25">
      <c r="BF1103" s="1">
        <v>0</v>
      </c>
      <c r="BG1103" t="str">
        <f>"0"</f>
        <v>0</v>
      </c>
      <c r="BH1103" t="str">
        <f xml:space="preserve"> IF($BF$1103 &gt;= $G$204, "1","0")</f>
        <v>0</v>
      </c>
      <c r="BI1103">
        <f xml:space="preserve"> IF( AND( $BG$1103 = "1", $BH$1103 = "1" ), 1, IF( AND( $BG$1103 = "1", $BH$1103 = "0" ), 2, IF( AND( $BG$1103 = "0", $BH$1103 = "1" ), 3, 4 ) ) )</f>
        <v>4</v>
      </c>
      <c r="BK1103" s="1">
        <v>1.8947368421052633E-2</v>
      </c>
      <c r="BL1103" t="str">
        <f>"1"</f>
        <v>1</v>
      </c>
      <c r="BM1103" t="str">
        <f xml:space="preserve"> IF($BK$1103 &gt;= $G$281, "1","0")</f>
        <v>0</v>
      </c>
      <c r="BN1103">
        <f xml:space="preserve"> IF( AND( $BL$1103 = "1", $BM$1103 = "1" ), 1, IF( AND( $BL$1103 = "1", $BM$1103 = "0" ), 2, IF( AND( $BL$1103 = "0", $BM$1103 = "1" ), 3, 4 ) ) )</f>
        <v>2</v>
      </c>
    </row>
    <row r="1104" spans="58:66" x14ac:dyDescent="0.25">
      <c r="BF1104" s="1">
        <v>0</v>
      </c>
      <c r="BG1104" t="str">
        <f>"0"</f>
        <v>0</v>
      </c>
      <c r="BH1104" t="str">
        <f xml:space="preserve"> IF($BF$1104 &gt;= $G$204, "1","0")</f>
        <v>0</v>
      </c>
      <c r="BI1104">
        <f xml:space="preserve"> IF( AND( $BG$1104 = "1", $BH$1104 = "1" ), 1, IF( AND( $BG$1104 = "1", $BH$1104 = "0" ), 2, IF( AND( $BG$1104 = "0", $BH$1104 = "1" ), 3, 4 ) ) )</f>
        <v>4</v>
      </c>
      <c r="BK1104" s="1">
        <v>2.5000000000000001E-3</v>
      </c>
      <c r="BL1104" t="str">
        <f>"0"</f>
        <v>0</v>
      </c>
      <c r="BM1104" t="str">
        <f xml:space="preserve"> IF($BK$1104 &gt;= $G$281, "1","0")</f>
        <v>0</v>
      </c>
      <c r="BN1104">
        <f xml:space="preserve"> IF( AND( $BL$1104 = "1", $BM$1104 = "1" ), 1, IF( AND( $BL$1104 = "1", $BM$1104 = "0" ), 2, IF( AND( $BL$1104 = "0", $BM$1104 = "1" ), 3, 4 ) ) )</f>
        <v>4</v>
      </c>
    </row>
    <row r="1105" spans="58:66" x14ac:dyDescent="0.25">
      <c r="BF1105" s="1">
        <v>0</v>
      </c>
      <c r="BG1105" t="str">
        <f>"0"</f>
        <v>0</v>
      </c>
      <c r="BH1105" t="str">
        <f xml:space="preserve"> IF($BF$1105 &gt;= $G$204, "1","0")</f>
        <v>0</v>
      </c>
      <c r="BI1105">
        <f xml:space="preserve"> IF( AND( $BG$1105 = "1", $BH$1105 = "1" ), 1, IF( AND( $BG$1105 = "1", $BH$1105 = "0" ), 2, IF( AND( $BG$1105 = "0", $BH$1105 = "1" ), 3, 4 ) ) )</f>
        <v>4</v>
      </c>
      <c r="BK1105" s="1">
        <v>1</v>
      </c>
      <c r="BL1105" t="str">
        <f>"1"</f>
        <v>1</v>
      </c>
      <c r="BM1105" t="str">
        <f xml:space="preserve"> IF($BK$1105 &gt;= $G$281, "1","0")</f>
        <v>1</v>
      </c>
      <c r="BN1105">
        <f xml:space="preserve"> IF( AND( $BL$1105 = "1", $BM$1105 = "1" ), 1, IF( AND( $BL$1105 = "1", $BM$1105 = "0" ), 2, IF( AND( $BL$1105 = "0", $BM$1105 = "1" ), 3, 4 ) ) )</f>
        <v>1</v>
      </c>
    </row>
    <row r="1106" spans="58:66" x14ac:dyDescent="0.25">
      <c r="BF1106" s="1">
        <v>0</v>
      </c>
      <c r="BG1106" t="str">
        <f>"0"</f>
        <v>0</v>
      </c>
      <c r="BH1106" t="str">
        <f xml:space="preserve"> IF($BF$1106 &gt;= $G$204, "1","0")</f>
        <v>0</v>
      </c>
      <c r="BI1106">
        <f xml:space="preserve"> IF( AND( $BG$1106 = "1", $BH$1106 = "1" ), 1, IF( AND( $BG$1106 = "1", $BH$1106 = "0" ), 2, IF( AND( $BG$1106 = "0", $BH$1106 = "1" ), 3, 4 ) ) )</f>
        <v>4</v>
      </c>
      <c r="BK1106" s="1">
        <v>0.9</v>
      </c>
      <c r="BL1106" t="str">
        <f>"1"</f>
        <v>1</v>
      </c>
      <c r="BM1106" t="str">
        <f xml:space="preserve"> IF($BK$1106 &gt;= $G$281, "1","0")</f>
        <v>1</v>
      </c>
      <c r="BN1106">
        <f xml:space="preserve"> IF( AND( $BL$1106 = "1", $BM$1106 = "1" ), 1, IF( AND( $BL$1106 = "1", $BM$1106 = "0" ), 2, IF( AND( $BL$1106 = "0", $BM$1106 = "1" ), 3, 4 ) ) )</f>
        <v>1</v>
      </c>
    </row>
    <row r="1107" spans="58:66" x14ac:dyDescent="0.25">
      <c r="BF1107" s="1">
        <v>0</v>
      </c>
      <c r="BG1107" t="str">
        <f>"0"</f>
        <v>0</v>
      </c>
      <c r="BH1107" t="str">
        <f xml:space="preserve"> IF($BF$1107 &gt;= $G$204, "1","0")</f>
        <v>0</v>
      </c>
      <c r="BI1107">
        <f xml:space="preserve"> IF( AND( $BG$1107 = "1", $BH$1107 = "1" ), 1, IF( AND( $BG$1107 = "1", $BH$1107 = "0" ), 2, IF( AND( $BG$1107 = "0", $BH$1107 = "1" ), 3, 4 ) ) )</f>
        <v>4</v>
      </c>
      <c r="BK1107" s="1">
        <v>1.8947368421052633E-2</v>
      </c>
      <c r="BL1107" t="str">
        <f>"0"</f>
        <v>0</v>
      </c>
      <c r="BM1107" t="str">
        <f xml:space="preserve"> IF($BK$1107 &gt;= $G$281, "1","0")</f>
        <v>0</v>
      </c>
      <c r="BN1107">
        <f xml:space="preserve"> IF( AND( $BL$1107 = "1", $BM$1107 = "1" ), 1, IF( AND( $BL$1107 = "1", $BM$1107 = "0" ), 2, IF( AND( $BL$1107 = "0", $BM$1107 = "1" ), 3, 4 ) ) )</f>
        <v>4</v>
      </c>
    </row>
    <row r="1108" spans="58:66" x14ac:dyDescent="0.25">
      <c r="BF1108" s="1">
        <v>0</v>
      </c>
      <c r="BG1108" t="str">
        <f>"0"</f>
        <v>0</v>
      </c>
      <c r="BH1108" t="str">
        <f xml:space="preserve"> IF($BF$1108 &gt;= $G$204, "1","0")</f>
        <v>0</v>
      </c>
      <c r="BI1108">
        <f xml:space="preserve"> IF( AND( $BG$1108 = "1", $BH$1108 = "1" ), 1, IF( AND( $BG$1108 = "1", $BH$1108 = "0" ), 2, IF( AND( $BG$1108 = "0", $BH$1108 = "1" ), 3, 4 ) ) )</f>
        <v>4</v>
      </c>
      <c r="BK1108" s="1">
        <v>2.5000000000000001E-3</v>
      </c>
      <c r="BL1108" t="str">
        <f>"0"</f>
        <v>0</v>
      </c>
      <c r="BM1108" t="str">
        <f xml:space="preserve"> IF($BK$1108 &gt;= $G$281, "1","0")</f>
        <v>0</v>
      </c>
      <c r="BN1108">
        <f xml:space="preserve"> IF( AND( $BL$1108 = "1", $BM$1108 = "1" ), 1, IF( AND( $BL$1108 = "1", $BM$1108 = "0" ), 2, IF( AND( $BL$1108 = "0", $BM$1108 = "1" ), 3, 4 ) ) )</f>
        <v>4</v>
      </c>
    </row>
    <row r="1109" spans="58:66" x14ac:dyDescent="0.25">
      <c r="BF1109" s="1">
        <v>0</v>
      </c>
      <c r="BG1109" t="str">
        <f>"0"</f>
        <v>0</v>
      </c>
      <c r="BH1109" t="str">
        <f xml:space="preserve"> IF($BF$1109 &gt;= $G$204, "1","0")</f>
        <v>0</v>
      </c>
      <c r="BI1109">
        <f xml:space="preserve"> IF( AND( $BG$1109 = "1", $BH$1109 = "1" ), 1, IF( AND( $BG$1109 = "1", $BH$1109 = "0" ), 2, IF( AND( $BG$1109 = "0", $BH$1109 = "1" ), 3, 4 ) ) )</f>
        <v>4</v>
      </c>
      <c r="BK1109" s="1">
        <v>1</v>
      </c>
      <c r="BL1109" t="str">
        <f>"1"</f>
        <v>1</v>
      </c>
      <c r="BM1109" t="str">
        <f xml:space="preserve"> IF($BK$1109 &gt;= $G$281, "1","0")</f>
        <v>1</v>
      </c>
      <c r="BN1109">
        <f xml:space="preserve"> IF( AND( $BL$1109 = "1", $BM$1109 = "1" ), 1, IF( AND( $BL$1109 = "1", $BM$1109 = "0" ), 2, IF( AND( $BL$1109 = "0", $BM$1109 = "1" ), 3, 4 ) ) )</f>
        <v>1</v>
      </c>
    </row>
    <row r="1110" spans="58:66" x14ac:dyDescent="0.25">
      <c r="BF1110" s="1">
        <v>0</v>
      </c>
      <c r="BG1110" t="str">
        <f>"0"</f>
        <v>0</v>
      </c>
      <c r="BH1110" t="str">
        <f xml:space="preserve"> IF($BF$1110 &gt;= $G$204, "1","0")</f>
        <v>0</v>
      </c>
      <c r="BI1110">
        <f xml:space="preserve"> IF( AND( $BG$1110 = "1", $BH$1110 = "1" ), 1, IF( AND( $BG$1110 = "1", $BH$1110 = "0" ), 2, IF( AND( $BG$1110 = "0", $BH$1110 = "1" ), 3, 4 ) ) )</f>
        <v>4</v>
      </c>
      <c r="BK1110" s="1">
        <v>1.8947368421052633E-2</v>
      </c>
      <c r="BL1110" t="str">
        <f>"0"</f>
        <v>0</v>
      </c>
      <c r="BM1110" t="str">
        <f xml:space="preserve"> IF($BK$1110 &gt;= $G$281, "1","0")</f>
        <v>0</v>
      </c>
      <c r="BN1110">
        <f xml:space="preserve"> IF( AND( $BL$1110 = "1", $BM$1110 = "1" ), 1, IF( AND( $BL$1110 = "1", $BM$1110 = "0" ), 2, IF( AND( $BL$1110 = "0", $BM$1110 = "1" ), 3, 4 ) ) )</f>
        <v>4</v>
      </c>
    </row>
    <row r="1111" spans="58:66" x14ac:dyDescent="0.25">
      <c r="BF1111" s="1">
        <v>0</v>
      </c>
      <c r="BG1111" t="str">
        <f>"0"</f>
        <v>0</v>
      </c>
      <c r="BH1111" t="str">
        <f xml:space="preserve"> IF($BF$1111 &gt;= $G$204, "1","0")</f>
        <v>0</v>
      </c>
      <c r="BI1111">
        <f xml:space="preserve"> IF( AND( $BG$1111 = "1", $BH$1111 = "1" ), 1, IF( AND( $BG$1111 = "1", $BH$1111 = "0" ), 2, IF( AND( $BG$1111 = "0", $BH$1111 = "1" ), 3, 4 ) ) )</f>
        <v>4</v>
      </c>
      <c r="BK1111" s="1">
        <v>2.5000000000000001E-3</v>
      </c>
      <c r="BL1111" t="str">
        <f>"0"</f>
        <v>0</v>
      </c>
      <c r="BM1111" t="str">
        <f xml:space="preserve"> IF($BK$1111 &gt;= $G$281, "1","0")</f>
        <v>0</v>
      </c>
      <c r="BN1111">
        <f xml:space="preserve"> IF( AND( $BL$1111 = "1", $BM$1111 = "1" ), 1, IF( AND( $BL$1111 = "1", $BM$1111 = "0" ), 2, IF( AND( $BL$1111 = "0", $BM$1111 = "1" ), 3, 4 ) ) )</f>
        <v>4</v>
      </c>
    </row>
    <row r="1112" spans="58:66" x14ac:dyDescent="0.25">
      <c r="BF1112" s="1">
        <v>0</v>
      </c>
      <c r="BG1112" t="str">
        <f>"0"</f>
        <v>0</v>
      </c>
      <c r="BH1112" t="str">
        <f xml:space="preserve"> IF($BF$1112 &gt;= $G$204, "1","0")</f>
        <v>0</v>
      </c>
      <c r="BI1112">
        <f xml:space="preserve"> IF( AND( $BG$1112 = "1", $BH$1112 = "1" ), 1, IF( AND( $BG$1112 = "1", $BH$1112 = "0" ), 2, IF( AND( $BG$1112 = "0", $BH$1112 = "1" ), 3, 4 ) ) )</f>
        <v>4</v>
      </c>
      <c r="BK1112" s="1">
        <v>0</v>
      </c>
      <c r="BL1112" t="str">
        <f>"0"</f>
        <v>0</v>
      </c>
      <c r="BM1112" t="str">
        <f xml:space="preserve"> IF($BK$1112 &gt;= $G$281, "1","0")</f>
        <v>0</v>
      </c>
      <c r="BN1112">
        <f xml:space="preserve"> IF( AND( $BL$1112 = "1", $BM$1112 = "1" ), 1, IF( AND( $BL$1112 = "1", $BM$1112 = "0" ), 2, IF( AND( $BL$1112 = "0", $BM$1112 = "1" ), 3, 4 ) ) )</f>
        <v>4</v>
      </c>
    </row>
    <row r="1113" spans="58:66" x14ac:dyDescent="0.25">
      <c r="BF1113" s="1">
        <v>0</v>
      </c>
      <c r="BG1113" t="str">
        <f>"0"</f>
        <v>0</v>
      </c>
      <c r="BH1113" t="str">
        <f xml:space="preserve"> IF($BF$1113 &gt;= $G$204, "1","0")</f>
        <v>0</v>
      </c>
      <c r="BI1113">
        <f xml:space="preserve"> IF( AND( $BG$1113 = "1", $BH$1113 = "1" ), 1, IF( AND( $BG$1113 = "1", $BH$1113 = "0" ), 2, IF( AND( $BG$1113 = "0", $BH$1113 = "1" ), 3, 4 ) ) )</f>
        <v>4</v>
      </c>
      <c r="BK1113" s="1">
        <v>0</v>
      </c>
      <c r="BL1113" t="str">
        <f>"0"</f>
        <v>0</v>
      </c>
      <c r="BM1113" t="str">
        <f xml:space="preserve"> IF($BK$1113 &gt;= $G$281, "1","0")</f>
        <v>0</v>
      </c>
      <c r="BN1113">
        <f xml:space="preserve"> IF( AND( $BL$1113 = "1", $BM$1113 = "1" ), 1, IF( AND( $BL$1113 = "1", $BM$1113 = "0" ), 2, IF( AND( $BL$1113 = "0", $BM$1113 = "1" ), 3, 4 ) ) )</f>
        <v>4</v>
      </c>
    </row>
    <row r="1114" spans="58:66" x14ac:dyDescent="0.25">
      <c r="BF1114" s="1">
        <v>0</v>
      </c>
      <c r="BG1114" t="str">
        <f>"0"</f>
        <v>0</v>
      </c>
      <c r="BH1114" t="str">
        <f xml:space="preserve"> IF($BF$1114 &gt;= $G$204, "1","0")</f>
        <v>0</v>
      </c>
      <c r="BI1114">
        <f xml:space="preserve"> IF( AND( $BG$1114 = "1", $BH$1114 = "1" ), 1, IF( AND( $BG$1114 = "1", $BH$1114 = "0" ), 2, IF( AND( $BG$1114 = "0", $BH$1114 = "1" ), 3, 4 ) ) )</f>
        <v>4</v>
      </c>
      <c r="BK1114" s="1">
        <v>0.64</v>
      </c>
      <c r="BL1114" t="str">
        <f>"0"</f>
        <v>0</v>
      </c>
      <c r="BM1114" t="str">
        <f xml:space="preserve"> IF($BK$1114 &gt;= $G$281, "1","0")</f>
        <v>1</v>
      </c>
      <c r="BN1114">
        <f xml:space="preserve"> IF( AND( $BL$1114 = "1", $BM$1114 = "1" ), 1, IF( AND( $BL$1114 = "1", $BM$1114 = "0" ), 2, IF( AND( $BL$1114 = "0", $BM$1114 = "1" ), 3, 4 ) ) )</f>
        <v>3</v>
      </c>
    </row>
    <row r="1115" spans="58:66" x14ac:dyDescent="0.25">
      <c r="BF1115" s="1">
        <v>0</v>
      </c>
      <c r="BG1115" t="str">
        <f>"0"</f>
        <v>0</v>
      </c>
      <c r="BH1115" t="str">
        <f xml:space="preserve"> IF($BF$1115 &gt;= $G$204, "1","0")</f>
        <v>0</v>
      </c>
      <c r="BI1115">
        <f xml:space="preserve"> IF( AND( $BG$1115 = "1", $BH$1115 = "1" ), 1, IF( AND( $BG$1115 = "1", $BH$1115 = "0" ), 2, IF( AND( $BG$1115 = "0", $BH$1115 = "1" ), 3, 4 ) ) )</f>
        <v>4</v>
      </c>
      <c r="BK1115" s="1">
        <v>1</v>
      </c>
      <c r="BL1115" t="str">
        <f>"1"</f>
        <v>1</v>
      </c>
      <c r="BM1115" t="str">
        <f xml:space="preserve"> IF($BK$1115 &gt;= $G$281, "1","0")</f>
        <v>1</v>
      </c>
      <c r="BN1115">
        <f xml:space="preserve"> IF( AND( $BL$1115 = "1", $BM$1115 = "1" ), 1, IF( AND( $BL$1115 = "1", $BM$1115 = "0" ), 2, IF( AND( $BL$1115 = "0", $BM$1115 = "1" ), 3, 4 ) ) )</f>
        <v>1</v>
      </c>
    </row>
    <row r="1116" spans="58:66" x14ac:dyDescent="0.25">
      <c r="BF1116" s="1">
        <v>0</v>
      </c>
      <c r="BG1116" t="str">
        <f>"0"</f>
        <v>0</v>
      </c>
      <c r="BH1116" t="str">
        <f xml:space="preserve"> IF($BF$1116 &gt;= $G$204, "1","0")</f>
        <v>0</v>
      </c>
      <c r="BI1116">
        <f xml:space="preserve"> IF( AND( $BG$1116 = "1", $BH$1116 = "1" ), 1, IF( AND( $BG$1116 = "1", $BH$1116 = "0" ), 2, IF( AND( $BG$1116 = "0", $BH$1116 = "1" ), 3, 4 ) ) )</f>
        <v>4</v>
      </c>
      <c r="BK1116" s="1">
        <v>3.333333333333334E-2</v>
      </c>
      <c r="BL1116" t="str">
        <f>"0"</f>
        <v>0</v>
      </c>
      <c r="BM1116" t="str">
        <f xml:space="preserve"> IF($BK$1116 &gt;= $G$281, "1","0")</f>
        <v>0</v>
      </c>
      <c r="BN1116">
        <f xml:space="preserve"> IF( AND( $BL$1116 = "1", $BM$1116 = "1" ), 1, IF( AND( $BL$1116 = "1", $BM$1116 = "0" ), 2, IF( AND( $BL$1116 = "0", $BM$1116 = "1" ), 3, 4 ) ) )</f>
        <v>4</v>
      </c>
    </row>
    <row r="1117" spans="58:66" x14ac:dyDescent="0.25">
      <c r="BF1117" s="1">
        <v>0</v>
      </c>
      <c r="BG1117" t="str">
        <f>"0"</f>
        <v>0</v>
      </c>
      <c r="BH1117" t="str">
        <f xml:space="preserve"> IF($BF$1117 &gt;= $G$204, "1","0")</f>
        <v>0</v>
      </c>
      <c r="BI1117">
        <f xml:space="preserve"> IF( AND( $BG$1117 = "1", $BH$1117 = "1" ), 1, IF( AND( $BG$1117 = "1", $BH$1117 = "0" ), 2, IF( AND( $BG$1117 = "0", $BH$1117 = "1" ), 3, 4 ) ) )</f>
        <v>4</v>
      </c>
      <c r="BK1117" s="1">
        <v>0</v>
      </c>
      <c r="BL1117" t="str">
        <f>"0"</f>
        <v>0</v>
      </c>
      <c r="BM1117" t="str">
        <f xml:space="preserve"> IF($BK$1117 &gt;= $G$281, "1","0")</f>
        <v>0</v>
      </c>
      <c r="BN1117">
        <f xml:space="preserve"> IF( AND( $BL$1117 = "1", $BM$1117 = "1" ), 1, IF( AND( $BL$1117 = "1", $BM$1117 = "0" ), 2, IF( AND( $BL$1117 = "0", $BM$1117 = "1" ), 3, 4 ) ) )</f>
        <v>4</v>
      </c>
    </row>
    <row r="1118" spans="58:66" x14ac:dyDescent="0.25">
      <c r="BF1118" s="1">
        <v>0</v>
      </c>
      <c r="BG1118" t="str">
        <f>"0"</f>
        <v>0</v>
      </c>
      <c r="BH1118" t="str">
        <f xml:space="preserve"> IF($BF$1118 &gt;= $G$204, "1","0")</f>
        <v>0</v>
      </c>
      <c r="BI1118">
        <f xml:space="preserve"> IF( AND( $BG$1118 = "1", $BH$1118 = "1" ), 1, IF( AND( $BG$1118 = "1", $BH$1118 = "0" ), 2, IF( AND( $BG$1118 = "0", $BH$1118 = "1" ), 3, 4 ) ) )</f>
        <v>4</v>
      </c>
      <c r="BK1118" s="1">
        <v>3.333333333333334E-2</v>
      </c>
      <c r="BL1118" t="str">
        <f>"0"</f>
        <v>0</v>
      </c>
      <c r="BM1118" t="str">
        <f xml:space="preserve"> IF($BK$1118 &gt;= $G$281, "1","0")</f>
        <v>0</v>
      </c>
      <c r="BN1118">
        <f xml:space="preserve"> IF( AND( $BL$1118 = "1", $BM$1118 = "1" ), 1, IF( AND( $BL$1118 = "1", $BM$1118 = "0" ), 2, IF( AND( $BL$1118 = "0", $BM$1118 = "1" ), 3, 4 ) ) )</f>
        <v>4</v>
      </c>
    </row>
    <row r="1119" spans="58:66" x14ac:dyDescent="0.25">
      <c r="BF1119" s="1">
        <v>0</v>
      </c>
      <c r="BG1119" t="str">
        <f>"0"</f>
        <v>0</v>
      </c>
      <c r="BH1119" t="str">
        <f xml:space="preserve"> IF($BF$1119 &gt;= $G$204, "1","0")</f>
        <v>0</v>
      </c>
      <c r="BI1119">
        <f xml:space="preserve"> IF( AND( $BG$1119 = "1", $BH$1119 = "1" ), 1, IF( AND( $BG$1119 = "1", $BH$1119 = "0" ), 2, IF( AND( $BG$1119 = "0", $BH$1119 = "1" ), 3, 4 ) ) )</f>
        <v>4</v>
      </c>
      <c r="BK1119" s="1">
        <v>0.14285714285714288</v>
      </c>
      <c r="BL1119" t="str">
        <f>"1"</f>
        <v>1</v>
      </c>
      <c r="BM1119" t="str">
        <f xml:space="preserve"> IF($BK$1119 &gt;= $G$281, "1","0")</f>
        <v>0</v>
      </c>
      <c r="BN1119">
        <f xml:space="preserve"> IF( AND( $BL$1119 = "1", $BM$1119 = "1" ), 1, IF( AND( $BL$1119 = "1", $BM$1119 = "0" ), 2, IF( AND( $BL$1119 = "0", $BM$1119 = "1" ), 3, 4 ) ) )</f>
        <v>2</v>
      </c>
    </row>
    <row r="1120" spans="58:66" x14ac:dyDescent="0.25">
      <c r="BF1120" s="1">
        <v>0</v>
      </c>
      <c r="BG1120" t="str">
        <f>"0"</f>
        <v>0</v>
      </c>
      <c r="BH1120" t="str">
        <f xml:space="preserve"> IF($BF$1120 &gt;= $G$204, "1","0")</f>
        <v>0</v>
      </c>
      <c r="BI1120">
        <f xml:space="preserve"> IF( AND( $BG$1120 = "1", $BH$1120 = "1" ), 1, IF( AND( $BG$1120 = "1", $BH$1120 = "0" ), 2, IF( AND( $BG$1120 = "0", $BH$1120 = "1" ), 3, 4 ) ) )</f>
        <v>4</v>
      </c>
      <c r="BK1120" s="1">
        <v>1</v>
      </c>
      <c r="BL1120" t="str">
        <f>"1"</f>
        <v>1</v>
      </c>
      <c r="BM1120" t="str">
        <f xml:space="preserve"> IF($BK$1120 &gt;= $G$281, "1","0")</f>
        <v>1</v>
      </c>
      <c r="BN1120">
        <f xml:space="preserve"> IF( AND( $BL$1120 = "1", $BM$1120 = "1" ), 1, IF( AND( $BL$1120 = "1", $BM$1120 = "0" ), 2, IF( AND( $BL$1120 = "0", $BM$1120 = "1" ), 3, 4 ) ) )</f>
        <v>1</v>
      </c>
    </row>
    <row r="1121" spans="58:66" x14ac:dyDescent="0.25">
      <c r="BF1121" s="1">
        <v>0</v>
      </c>
      <c r="BG1121" t="str">
        <f>"0"</f>
        <v>0</v>
      </c>
      <c r="BH1121" t="str">
        <f xml:space="preserve"> IF($BF$1121 &gt;= $G$204, "1","0")</f>
        <v>0</v>
      </c>
      <c r="BI1121">
        <f xml:space="preserve"> IF( AND( $BG$1121 = "1", $BH$1121 = "1" ), 1, IF( AND( $BG$1121 = "1", $BH$1121 = "0" ), 2, IF( AND( $BG$1121 = "0", $BH$1121 = "1" ), 3, 4 ) ) )</f>
        <v>4</v>
      </c>
      <c r="BK1121" s="1">
        <v>1.8947368421052633E-2</v>
      </c>
      <c r="BL1121" t="str">
        <f>"0"</f>
        <v>0</v>
      </c>
      <c r="BM1121" t="str">
        <f xml:space="preserve"> IF($BK$1121 &gt;= $G$281, "1","0")</f>
        <v>0</v>
      </c>
      <c r="BN1121">
        <f xml:space="preserve"> IF( AND( $BL$1121 = "1", $BM$1121 = "1" ), 1, IF( AND( $BL$1121 = "1", $BM$1121 = "0" ), 2, IF( AND( $BL$1121 = "0", $BM$1121 = "1" ), 3, 4 ) ) )</f>
        <v>4</v>
      </c>
    </row>
    <row r="1122" spans="58:66" x14ac:dyDescent="0.25">
      <c r="BF1122" s="1">
        <v>0</v>
      </c>
      <c r="BG1122" t="str">
        <f>"0"</f>
        <v>0</v>
      </c>
      <c r="BH1122" t="str">
        <f xml:space="preserve"> IF($BF$1122 &gt;= $G$204, "1","0")</f>
        <v>0</v>
      </c>
      <c r="BI1122">
        <f xml:space="preserve"> IF( AND( $BG$1122 = "1", $BH$1122 = "1" ), 1, IF( AND( $BG$1122 = "1", $BH$1122 = "0" ), 2, IF( AND( $BG$1122 = "0", $BH$1122 = "1" ), 3, 4 ) ) )</f>
        <v>4</v>
      </c>
      <c r="BK1122" s="1">
        <v>0.9</v>
      </c>
      <c r="BL1122" t="str">
        <f>"1"</f>
        <v>1</v>
      </c>
      <c r="BM1122" t="str">
        <f xml:space="preserve"> IF($BK$1122 &gt;= $G$281, "1","0")</f>
        <v>1</v>
      </c>
      <c r="BN1122">
        <f xml:space="preserve"> IF( AND( $BL$1122 = "1", $BM$1122 = "1" ), 1, IF( AND( $BL$1122 = "1", $BM$1122 = "0" ), 2, IF( AND( $BL$1122 = "0", $BM$1122 = "1" ), 3, 4 ) ) )</f>
        <v>1</v>
      </c>
    </row>
    <row r="1123" spans="58:66" x14ac:dyDescent="0.25">
      <c r="BF1123" s="1">
        <v>0</v>
      </c>
      <c r="BG1123" t="str">
        <f>"0"</f>
        <v>0</v>
      </c>
      <c r="BH1123" t="str">
        <f xml:space="preserve"> IF($BF$1123 &gt;= $G$204, "1","0")</f>
        <v>0</v>
      </c>
      <c r="BI1123">
        <f xml:space="preserve"> IF( AND( $BG$1123 = "1", $BH$1123 = "1" ), 1, IF( AND( $BG$1123 = "1", $BH$1123 = "0" ), 2, IF( AND( $BG$1123 = "0", $BH$1123 = "1" ), 3, 4 ) ) )</f>
        <v>4</v>
      </c>
      <c r="BK1123" s="1">
        <v>1.8947368421052633E-2</v>
      </c>
      <c r="BL1123" t="str">
        <f>"0"</f>
        <v>0</v>
      </c>
      <c r="BM1123" t="str">
        <f xml:space="preserve"> IF($BK$1123 &gt;= $G$281, "1","0")</f>
        <v>0</v>
      </c>
      <c r="BN1123">
        <f xml:space="preserve"> IF( AND( $BL$1123 = "1", $BM$1123 = "1" ), 1, IF( AND( $BL$1123 = "1", $BM$1123 = "0" ), 2, IF( AND( $BL$1123 = "0", $BM$1123 = "1" ), 3, 4 ) ) )</f>
        <v>4</v>
      </c>
    </row>
    <row r="1124" spans="58:66" x14ac:dyDescent="0.25">
      <c r="BF1124" s="1">
        <v>0</v>
      </c>
      <c r="BG1124" t="str">
        <f>"0"</f>
        <v>0</v>
      </c>
      <c r="BH1124" t="str">
        <f xml:space="preserve"> IF($BF$1124 &gt;= $G$204, "1","0")</f>
        <v>0</v>
      </c>
      <c r="BI1124">
        <f xml:space="preserve"> IF( AND( $BG$1124 = "1", $BH$1124 = "1" ), 1, IF( AND( $BG$1124 = "1", $BH$1124 = "0" ), 2, IF( AND( $BG$1124 = "0", $BH$1124 = "1" ), 3, 4 ) ) )</f>
        <v>4</v>
      </c>
      <c r="BK1124" s="1">
        <v>2.5000000000000001E-3</v>
      </c>
      <c r="BL1124" t="str">
        <f>"0"</f>
        <v>0</v>
      </c>
      <c r="BM1124" t="str">
        <f xml:space="preserve"> IF($BK$1124 &gt;= $G$281, "1","0")</f>
        <v>0</v>
      </c>
      <c r="BN1124">
        <f xml:space="preserve"> IF( AND( $BL$1124 = "1", $BM$1124 = "1" ), 1, IF( AND( $BL$1124 = "1", $BM$1124 = "0" ), 2, IF( AND( $BL$1124 = "0", $BM$1124 = "1" ), 3, 4 ) ) )</f>
        <v>4</v>
      </c>
    </row>
    <row r="1125" spans="58:66" x14ac:dyDescent="0.25">
      <c r="BF1125" s="1">
        <v>0</v>
      </c>
      <c r="BG1125" t="str">
        <f>"0"</f>
        <v>0</v>
      </c>
      <c r="BH1125" t="str">
        <f xml:space="preserve"> IF($BF$1125 &gt;= $G$204, "1","0")</f>
        <v>0</v>
      </c>
      <c r="BI1125">
        <f xml:space="preserve"> IF( AND( $BG$1125 = "1", $BH$1125 = "1" ), 1, IF( AND( $BG$1125 = "1", $BH$1125 = "0" ), 2, IF( AND( $BG$1125 = "0", $BH$1125 = "1" ), 3, 4 ) ) )</f>
        <v>4</v>
      </c>
      <c r="BK1125" s="1">
        <v>0.32</v>
      </c>
      <c r="BL1125" t="str">
        <f>"0"</f>
        <v>0</v>
      </c>
      <c r="BM1125" t="str">
        <f xml:space="preserve"> IF($BK$1125 &gt;= $G$281, "1","0")</f>
        <v>1</v>
      </c>
      <c r="BN1125">
        <f xml:space="preserve"> IF( AND( $BL$1125 = "1", $BM$1125 = "1" ), 1, IF( AND( $BL$1125 = "1", $BM$1125 = "0" ), 2, IF( AND( $BL$1125 = "0", $BM$1125 = "1" ), 3, 4 ) ) )</f>
        <v>3</v>
      </c>
    </row>
    <row r="1126" spans="58:66" x14ac:dyDescent="0.25">
      <c r="BF1126" s="1">
        <v>0</v>
      </c>
      <c r="BG1126" t="str">
        <f>"0"</f>
        <v>0</v>
      </c>
      <c r="BH1126" t="str">
        <f xml:space="preserve"> IF($BF$1126 &gt;= $G$204, "1","0")</f>
        <v>0</v>
      </c>
      <c r="BI1126">
        <f xml:space="preserve"> IF( AND( $BG$1126 = "1", $BH$1126 = "1" ), 1, IF( AND( $BG$1126 = "1", $BH$1126 = "0" ), 2, IF( AND( $BG$1126 = "0", $BH$1126 = "1" ), 3, 4 ) ) )</f>
        <v>4</v>
      </c>
      <c r="BK1126" s="1">
        <v>0.14285714285714285</v>
      </c>
      <c r="BL1126" t="str">
        <f>"0"</f>
        <v>0</v>
      </c>
      <c r="BM1126" t="str">
        <f xml:space="preserve"> IF($BK$1126 &gt;= $G$281, "1","0")</f>
        <v>0</v>
      </c>
      <c r="BN1126">
        <f xml:space="preserve"> IF( AND( $BL$1126 = "1", $BM$1126 = "1" ), 1, IF( AND( $BL$1126 = "1", $BM$1126 = "0" ), 2, IF( AND( $BL$1126 = "0", $BM$1126 = "1" ), 3, 4 ) ) )</f>
        <v>4</v>
      </c>
    </row>
    <row r="1127" spans="58:66" x14ac:dyDescent="0.25">
      <c r="BF1127" s="1">
        <v>0</v>
      </c>
      <c r="BG1127" t="str">
        <f>"0"</f>
        <v>0</v>
      </c>
      <c r="BH1127" t="str">
        <f xml:space="preserve"> IF($BF$1127 &gt;= $G$204, "1","0")</f>
        <v>0</v>
      </c>
      <c r="BI1127">
        <f xml:space="preserve"> IF( AND( $BG$1127 = "1", $BH$1127 = "1" ), 1, IF( AND( $BG$1127 = "1", $BH$1127 = "0" ), 2, IF( AND( $BG$1127 = "0", $BH$1127 = "1" ), 3, 4 ) ) )</f>
        <v>4</v>
      </c>
      <c r="BK1127" s="1">
        <v>2.5000000000000001E-3</v>
      </c>
      <c r="BL1127" t="str">
        <f>"0"</f>
        <v>0</v>
      </c>
      <c r="BM1127" t="str">
        <f xml:space="preserve"> IF($BK$1127 &gt;= $G$281, "1","0")</f>
        <v>0</v>
      </c>
      <c r="BN1127">
        <f xml:space="preserve"> IF( AND( $BL$1127 = "1", $BM$1127 = "1" ), 1, IF( AND( $BL$1127 = "1", $BM$1127 = "0" ), 2, IF( AND( $BL$1127 = "0", $BM$1127 = "1" ), 3, 4 ) ) )</f>
        <v>4</v>
      </c>
    </row>
    <row r="1128" spans="58:66" x14ac:dyDescent="0.25">
      <c r="BF1128" s="1">
        <v>0</v>
      </c>
      <c r="BG1128" t="str">
        <f>"0"</f>
        <v>0</v>
      </c>
      <c r="BH1128" t="str">
        <f xml:space="preserve"> IF($BF$1128 &gt;= $G$204, "1","0")</f>
        <v>0</v>
      </c>
      <c r="BI1128">
        <f xml:space="preserve"> IF( AND( $BG$1128 = "1", $BH$1128 = "1" ), 1, IF( AND( $BG$1128 = "1", $BH$1128 = "0" ), 2, IF( AND( $BG$1128 = "0", $BH$1128 = "1" ), 3, 4 ) ) )</f>
        <v>4</v>
      </c>
      <c r="BK1128" s="1">
        <v>2.5000000000000001E-3</v>
      </c>
      <c r="BL1128" t="str">
        <f>"0"</f>
        <v>0</v>
      </c>
      <c r="BM1128" t="str">
        <f xml:space="preserve"> IF($BK$1128 &gt;= $G$281, "1","0")</f>
        <v>0</v>
      </c>
      <c r="BN1128">
        <f xml:space="preserve"> IF( AND( $BL$1128 = "1", $BM$1128 = "1" ), 1, IF( AND( $BL$1128 = "1", $BM$1128 = "0" ), 2, IF( AND( $BL$1128 = "0", $BM$1128 = "1" ), 3, 4 ) ) )</f>
        <v>4</v>
      </c>
    </row>
    <row r="1129" spans="58:66" x14ac:dyDescent="0.25">
      <c r="BF1129" s="1">
        <v>0</v>
      </c>
      <c r="BG1129" t="str">
        <f>"0"</f>
        <v>0</v>
      </c>
      <c r="BH1129" t="str">
        <f xml:space="preserve"> IF($BF$1129 &gt;= $G$204, "1","0")</f>
        <v>0</v>
      </c>
      <c r="BI1129">
        <f xml:space="preserve"> IF( AND( $BG$1129 = "1", $BH$1129 = "1" ), 1, IF( AND( $BG$1129 = "1", $BH$1129 = "0" ), 2, IF( AND( $BG$1129 = "0", $BH$1129 = "1" ), 3, 4 ) ) )</f>
        <v>4</v>
      </c>
      <c r="BK1129" s="1">
        <v>0.79999999999999993</v>
      </c>
      <c r="BL1129" t="str">
        <f>"1"</f>
        <v>1</v>
      </c>
      <c r="BM1129" t="str">
        <f xml:space="preserve"> IF($BK$1129 &gt;= $G$281, "1","0")</f>
        <v>1</v>
      </c>
      <c r="BN1129">
        <f xml:space="preserve"> IF( AND( $BL$1129 = "1", $BM$1129 = "1" ), 1, IF( AND( $BL$1129 = "1", $BM$1129 = "0" ), 2, IF( AND( $BL$1129 = "0", $BM$1129 = "1" ), 3, 4 ) ) )</f>
        <v>1</v>
      </c>
    </row>
    <row r="1130" spans="58:66" x14ac:dyDescent="0.25">
      <c r="BF1130" s="1">
        <v>0</v>
      </c>
      <c r="BG1130" t="str">
        <f>"0"</f>
        <v>0</v>
      </c>
      <c r="BH1130" t="str">
        <f xml:space="preserve"> IF($BF$1130 &gt;= $G$204, "1","0")</f>
        <v>0</v>
      </c>
      <c r="BI1130">
        <f xml:space="preserve"> IF( AND( $BG$1130 = "1", $BH$1130 = "1" ), 1, IF( AND( $BG$1130 = "1", $BH$1130 = "0" ), 2, IF( AND( $BG$1130 = "0", $BH$1130 = "1" ), 3, 4 ) ) )</f>
        <v>4</v>
      </c>
      <c r="BK1130" s="1">
        <v>1.8947368421052633E-2</v>
      </c>
      <c r="BL1130" t="str">
        <f>"0"</f>
        <v>0</v>
      </c>
      <c r="BM1130" t="str">
        <f xml:space="preserve"> IF($BK$1130 &gt;= $G$281, "1","0")</f>
        <v>0</v>
      </c>
      <c r="BN1130">
        <f xml:space="preserve"> IF( AND( $BL$1130 = "1", $BM$1130 = "1" ), 1, IF( AND( $BL$1130 = "1", $BM$1130 = "0" ), 2, IF( AND( $BL$1130 = "0", $BM$1130 = "1" ), 3, 4 ) ) )</f>
        <v>4</v>
      </c>
    </row>
    <row r="1131" spans="58:66" x14ac:dyDescent="0.25">
      <c r="BF1131" s="1">
        <v>0</v>
      </c>
      <c r="BG1131" t="str">
        <f>"0"</f>
        <v>0</v>
      </c>
      <c r="BH1131" t="str">
        <f xml:space="preserve"> IF($BF$1131 &gt;= $G$204, "1","0")</f>
        <v>0</v>
      </c>
      <c r="BI1131">
        <f xml:space="preserve"> IF( AND( $BG$1131 = "1", $BH$1131 = "1" ), 1, IF( AND( $BG$1131 = "1", $BH$1131 = "0" ), 2, IF( AND( $BG$1131 = "0", $BH$1131 = "1" ), 3, 4 ) ) )</f>
        <v>4</v>
      </c>
      <c r="BK1131" s="1">
        <v>1.8947368421052633E-2</v>
      </c>
      <c r="BL1131" t="str">
        <f>"0"</f>
        <v>0</v>
      </c>
      <c r="BM1131" t="str">
        <f xml:space="preserve"> IF($BK$1131 &gt;= $G$281, "1","0")</f>
        <v>0</v>
      </c>
      <c r="BN1131">
        <f xml:space="preserve"> IF( AND( $BL$1131 = "1", $BM$1131 = "1" ), 1, IF( AND( $BL$1131 = "1", $BM$1131 = "0" ), 2, IF( AND( $BL$1131 = "0", $BM$1131 = "1" ), 3, 4 ) ) )</f>
        <v>4</v>
      </c>
    </row>
    <row r="1132" spans="58:66" x14ac:dyDescent="0.25">
      <c r="BF1132" s="1">
        <v>0</v>
      </c>
      <c r="BG1132" t="str">
        <f>"0"</f>
        <v>0</v>
      </c>
      <c r="BH1132" t="str">
        <f xml:space="preserve"> IF($BF$1132 &gt;= $G$204, "1","0")</f>
        <v>0</v>
      </c>
      <c r="BI1132">
        <f xml:space="preserve"> IF( AND( $BG$1132 = "1", $BH$1132 = "1" ), 1, IF( AND( $BG$1132 = "1", $BH$1132 = "0" ), 2, IF( AND( $BG$1132 = "0", $BH$1132 = "1" ), 3, 4 ) ) )</f>
        <v>4</v>
      </c>
      <c r="BK1132" s="1">
        <v>3.333333333333334E-2</v>
      </c>
      <c r="BL1132" t="str">
        <f>"0"</f>
        <v>0</v>
      </c>
      <c r="BM1132" t="str">
        <f xml:space="preserve"> IF($BK$1132 &gt;= $G$281, "1","0")</f>
        <v>0</v>
      </c>
      <c r="BN1132">
        <f xml:space="preserve"> IF( AND( $BL$1132 = "1", $BM$1132 = "1" ), 1, IF( AND( $BL$1132 = "1", $BM$1132 = "0" ), 2, IF( AND( $BL$1132 = "0", $BM$1132 = "1" ), 3, 4 ) ) )</f>
        <v>4</v>
      </c>
    </row>
    <row r="1133" spans="58:66" x14ac:dyDescent="0.25">
      <c r="BF1133" s="1">
        <v>0</v>
      </c>
      <c r="BG1133" t="str">
        <f>"0"</f>
        <v>0</v>
      </c>
      <c r="BH1133" t="str">
        <f xml:space="preserve"> IF($BF$1133 &gt;= $G$204, "1","0")</f>
        <v>0</v>
      </c>
      <c r="BI1133">
        <f xml:space="preserve"> IF( AND( $BG$1133 = "1", $BH$1133 = "1" ), 1, IF( AND( $BG$1133 = "1", $BH$1133 = "0" ), 2, IF( AND( $BG$1133 = "0", $BH$1133 = "1" ), 3, 4 ) ) )</f>
        <v>4</v>
      </c>
      <c r="BK1133" s="1">
        <v>1.8947368421052633E-2</v>
      </c>
      <c r="BL1133" t="str">
        <f>"0"</f>
        <v>0</v>
      </c>
      <c r="BM1133" t="str">
        <f xml:space="preserve"> IF($BK$1133 &gt;= $G$281, "1","0")</f>
        <v>0</v>
      </c>
      <c r="BN1133">
        <f xml:space="preserve"> IF( AND( $BL$1133 = "1", $BM$1133 = "1" ), 1, IF( AND( $BL$1133 = "1", $BM$1133 = "0" ), 2, IF( AND( $BL$1133 = "0", $BM$1133 = "1" ), 3, 4 ) ) )</f>
        <v>4</v>
      </c>
    </row>
    <row r="1134" spans="58:66" x14ac:dyDescent="0.25">
      <c r="BF1134" s="1">
        <v>0</v>
      </c>
      <c r="BG1134" t="str">
        <f>"0"</f>
        <v>0</v>
      </c>
      <c r="BH1134" t="str">
        <f xml:space="preserve"> IF($BF$1134 &gt;= $G$204, "1","0")</f>
        <v>0</v>
      </c>
      <c r="BI1134">
        <f xml:space="preserve"> IF( AND( $BG$1134 = "1", $BH$1134 = "1" ), 1, IF( AND( $BG$1134 = "1", $BH$1134 = "0" ), 2, IF( AND( $BG$1134 = "0", $BH$1134 = "1" ), 3, 4 ) ) )</f>
        <v>4</v>
      </c>
      <c r="BK1134" s="1">
        <v>1.8947368421052633E-2</v>
      </c>
      <c r="BL1134" t="str">
        <f>"0"</f>
        <v>0</v>
      </c>
      <c r="BM1134" t="str">
        <f xml:space="preserve"> IF($BK$1134 &gt;= $G$281, "1","0")</f>
        <v>0</v>
      </c>
      <c r="BN1134">
        <f xml:space="preserve"> IF( AND( $BL$1134 = "1", $BM$1134 = "1" ), 1, IF( AND( $BL$1134 = "1", $BM$1134 = "0" ), 2, IF( AND( $BL$1134 = "0", $BM$1134 = "1" ), 3, 4 ) ) )</f>
        <v>4</v>
      </c>
    </row>
    <row r="1135" spans="58:66" x14ac:dyDescent="0.25">
      <c r="BF1135" s="1">
        <v>0</v>
      </c>
      <c r="BG1135" t="str">
        <f>"0"</f>
        <v>0</v>
      </c>
      <c r="BH1135" t="str">
        <f xml:space="preserve"> IF($BF$1135 &gt;= $G$204, "1","0")</f>
        <v>0</v>
      </c>
      <c r="BI1135">
        <f xml:space="preserve"> IF( AND( $BG$1135 = "1", $BH$1135 = "1" ), 1, IF( AND( $BG$1135 = "1", $BH$1135 = "0" ), 2, IF( AND( $BG$1135 = "0", $BH$1135 = "1" ), 3, 4 ) ) )</f>
        <v>4</v>
      </c>
      <c r="BK1135" s="1">
        <v>2.5000000000000001E-3</v>
      </c>
      <c r="BL1135" t="str">
        <f>"0"</f>
        <v>0</v>
      </c>
      <c r="BM1135" t="str">
        <f xml:space="preserve"> IF($BK$1135 &gt;= $G$281, "1","0")</f>
        <v>0</v>
      </c>
      <c r="BN1135">
        <f xml:space="preserve"> IF( AND( $BL$1135 = "1", $BM$1135 = "1" ), 1, IF( AND( $BL$1135 = "1", $BM$1135 = "0" ), 2, IF( AND( $BL$1135 = "0", $BM$1135 = "1" ), 3, 4 ) ) )</f>
        <v>4</v>
      </c>
    </row>
    <row r="1136" spans="58:66" x14ac:dyDescent="0.25">
      <c r="BF1136" s="1">
        <v>0</v>
      </c>
      <c r="BG1136" t="str">
        <f>"0"</f>
        <v>0</v>
      </c>
      <c r="BH1136" t="str">
        <f xml:space="preserve"> IF($BF$1136 &gt;= $G$204, "1","0")</f>
        <v>0</v>
      </c>
      <c r="BI1136">
        <f xml:space="preserve"> IF( AND( $BG$1136 = "1", $BH$1136 = "1" ), 1, IF( AND( $BG$1136 = "1", $BH$1136 = "0" ), 2, IF( AND( $BG$1136 = "0", $BH$1136 = "1" ), 3, 4 ) ) )</f>
        <v>4</v>
      </c>
      <c r="BK1136" s="1">
        <v>1.8947368421052633E-2</v>
      </c>
      <c r="BL1136" t="str">
        <f>"0"</f>
        <v>0</v>
      </c>
      <c r="BM1136" t="str">
        <f xml:space="preserve"> IF($BK$1136 &gt;= $G$281, "1","0")</f>
        <v>0</v>
      </c>
      <c r="BN1136">
        <f xml:space="preserve"> IF( AND( $BL$1136 = "1", $BM$1136 = "1" ), 1, IF( AND( $BL$1136 = "1", $BM$1136 = "0" ), 2, IF( AND( $BL$1136 = "0", $BM$1136 = "1" ), 3, 4 ) ) )</f>
        <v>4</v>
      </c>
    </row>
    <row r="1137" spans="58:66" x14ac:dyDescent="0.25">
      <c r="BF1137" s="1">
        <v>0</v>
      </c>
      <c r="BG1137" t="str">
        <f>"0"</f>
        <v>0</v>
      </c>
      <c r="BH1137" t="str">
        <f xml:space="preserve"> IF($BF$1137 &gt;= $G$204, "1","0")</f>
        <v>0</v>
      </c>
      <c r="BI1137">
        <f xml:space="preserve"> IF( AND( $BG$1137 = "1", $BH$1137 = "1" ), 1, IF( AND( $BG$1137 = "1", $BH$1137 = "0" ), 2, IF( AND( $BG$1137 = "0", $BH$1137 = "1" ), 3, 4 ) ) )</f>
        <v>4</v>
      </c>
      <c r="BK1137" s="1">
        <v>0.79999999999999993</v>
      </c>
      <c r="BL1137" t="str">
        <f>"0"</f>
        <v>0</v>
      </c>
      <c r="BM1137" t="str">
        <f xml:space="preserve"> IF($BK$1137 &gt;= $G$281, "1","0")</f>
        <v>1</v>
      </c>
      <c r="BN1137">
        <f xml:space="preserve"> IF( AND( $BL$1137 = "1", $BM$1137 = "1" ), 1, IF( AND( $BL$1137 = "1", $BM$1137 = "0" ), 2, IF( AND( $BL$1137 = "0", $BM$1137 = "1" ), 3, 4 ) ) )</f>
        <v>3</v>
      </c>
    </row>
    <row r="1138" spans="58:66" x14ac:dyDescent="0.25">
      <c r="BF1138" s="1">
        <v>0</v>
      </c>
      <c r="BG1138" t="str">
        <f>"0"</f>
        <v>0</v>
      </c>
      <c r="BH1138" t="str">
        <f xml:space="preserve"> IF($BF$1138 &gt;= $G$204, "1","0")</f>
        <v>0</v>
      </c>
      <c r="BI1138">
        <f xml:space="preserve"> IF( AND( $BG$1138 = "1", $BH$1138 = "1" ), 1, IF( AND( $BG$1138 = "1", $BH$1138 = "0" ), 2, IF( AND( $BG$1138 = "0", $BH$1138 = "1" ), 3, 4 ) ) )</f>
        <v>4</v>
      </c>
      <c r="BK1138" s="1">
        <v>1.8947368421052633E-2</v>
      </c>
      <c r="BL1138" t="str">
        <f>"0"</f>
        <v>0</v>
      </c>
      <c r="BM1138" t="str">
        <f xml:space="preserve"> IF($BK$1138 &gt;= $G$281, "1","0")</f>
        <v>0</v>
      </c>
      <c r="BN1138">
        <f xml:space="preserve"> IF( AND( $BL$1138 = "1", $BM$1138 = "1" ), 1, IF( AND( $BL$1138 = "1", $BM$1138 = "0" ), 2, IF( AND( $BL$1138 = "0", $BM$1138 = "1" ), 3, 4 ) ) )</f>
        <v>4</v>
      </c>
    </row>
    <row r="1139" spans="58:66" x14ac:dyDescent="0.25">
      <c r="BF1139" s="1">
        <v>0</v>
      </c>
      <c r="BG1139" t="str">
        <f>"0"</f>
        <v>0</v>
      </c>
      <c r="BH1139" t="str">
        <f xml:space="preserve"> IF($BF$1139 &gt;= $G$204, "1","0")</f>
        <v>0</v>
      </c>
      <c r="BI1139">
        <f xml:space="preserve"> IF( AND( $BG$1139 = "1", $BH$1139 = "1" ), 1, IF( AND( $BG$1139 = "1", $BH$1139 = "0" ), 2, IF( AND( $BG$1139 = "0", $BH$1139 = "1" ), 3, 4 ) ) )</f>
        <v>4</v>
      </c>
      <c r="BK1139" s="1">
        <v>0.9</v>
      </c>
      <c r="BL1139" t="str">
        <f>"1"</f>
        <v>1</v>
      </c>
      <c r="BM1139" t="str">
        <f xml:space="preserve"> IF($BK$1139 &gt;= $G$281, "1","0")</f>
        <v>1</v>
      </c>
      <c r="BN1139">
        <f xml:space="preserve"> IF( AND( $BL$1139 = "1", $BM$1139 = "1" ), 1, IF( AND( $BL$1139 = "1", $BM$1139 = "0" ), 2, IF( AND( $BL$1139 = "0", $BM$1139 = "1" ), 3, 4 ) ) )</f>
        <v>1</v>
      </c>
    </row>
    <row r="1140" spans="58:66" x14ac:dyDescent="0.25">
      <c r="BF1140" s="1">
        <v>0</v>
      </c>
      <c r="BG1140" t="str">
        <f>"0"</f>
        <v>0</v>
      </c>
      <c r="BH1140" t="str">
        <f xml:space="preserve"> IF($BF$1140 &gt;= $G$204, "1","0")</f>
        <v>0</v>
      </c>
      <c r="BI1140">
        <f xml:space="preserve"> IF( AND( $BG$1140 = "1", $BH$1140 = "1" ), 1, IF( AND( $BG$1140 = "1", $BH$1140 = "0" ), 2, IF( AND( $BG$1140 = "0", $BH$1140 = "1" ), 3, 4 ) ) )</f>
        <v>4</v>
      </c>
      <c r="BK1140" s="1">
        <v>2.5000000000000001E-3</v>
      </c>
      <c r="BL1140" t="str">
        <f>"0"</f>
        <v>0</v>
      </c>
      <c r="BM1140" t="str">
        <f xml:space="preserve"> IF($BK$1140 &gt;= $G$281, "1","0")</f>
        <v>0</v>
      </c>
      <c r="BN1140">
        <f xml:space="preserve"> IF( AND( $BL$1140 = "1", $BM$1140 = "1" ), 1, IF( AND( $BL$1140 = "1", $BM$1140 = "0" ), 2, IF( AND( $BL$1140 = "0", $BM$1140 = "1" ), 3, 4 ) ) )</f>
        <v>4</v>
      </c>
    </row>
    <row r="1141" spans="58:66" x14ac:dyDescent="0.25">
      <c r="BF1141" s="1">
        <v>0</v>
      </c>
      <c r="BG1141" t="str">
        <f>"0"</f>
        <v>0</v>
      </c>
      <c r="BH1141" t="str">
        <f xml:space="preserve"> IF($BF$1141 &gt;= $G$204, "1","0")</f>
        <v>0</v>
      </c>
      <c r="BI1141">
        <f xml:space="preserve"> IF( AND( $BG$1141 = "1", $BH$1141 = "1" ), 1, IF( AND( $BG$1141 = "1", $BH$1141 = "0" ), 2, IF( AND( $BG$1141 = "0", $BH$1141 = "1" ), 3, 4 ) ) )</f>
        <v>4</v>
      </c>
      <c r="BK1141" s="1">
        <v>1</v>
      </c>
      <c r="BL1141" t="str">
        <f>"1"</f>
        <v>1</v>
      </c>
      <c r="BM1141" t="str">
        <f xml:space="preserve"> IF($BK$1141 &gt;= $G$281, "1","0")</f>
        <v>1</v>
      </c>
      <c r="BN1141">
        <f xml:space="preserve"> IF( AND( $BL$1141 = "1", $BM$1141 = "1" ), 1, IF( AND( $BL$1141 = "1", $BM$1141 = "0" ), 2, IF( AND( $BL$1141 = "0", $BM$1141 = "1" ), 3, 4 ) ) )</f>
        <v>1</v>
      </c>
    </row>
    <row r="1142" spans="58:66" x14ac:dyDescent="0.25">
      <c r="BF1142" s="1">
        <v>0</v>
      </c>
      <c r="BG1142" t="str">
        <f>"0"</f>
        <v>0</v>
      </c>
      <c r="BH1142" t="str">
        <f xml:space="preserve"> IF($BF$1142 &gt;= $G$204, "1","0")</f>
        <v>0</v>
      </c>
      <c r="BI1142">
        <f xml:space="preserve"> IF( AND( $BG$1142 = "1", $BH$1142 = "1" ), 1, IF( AND( $BG$1142 = "1", $BH$1142 = "0" ), 2, IF( AND( $BG$1142 = "0", $BH$1142 = "1" ), 3, 4 ) ) )</f>
        <v>4</v>
      </c>
      <c r="BK1142" s="1">
        <v>0</v>
      </c>
      <c r="BL1142" t="str">
        <f>"0"</f>
        <v>0</v>
      </c>
      <c r="BM1142" t="str">
        <f xml:space="preserve"> IF($BK$1142 &gt;= $G$281, "1","0")</f>
        <v>0</v>
      </c>
      <c r="BN1142">
        <f xml:space="preserve"> IF( AND( $BL$1142 = "1", $BM$1142 = "1" ), 1, IF( AND( $BL$1142 = "1", $BM$1142 = "0" ), 2, IF( AND( $BL$1142 = "0", $BM$1142 = "1" ), 3, 4 ) ) )</f>
        <v>4</v>
      </c>
    </row>
    <row r="1143" spans="58:66" x14ac:dyDescent="0.25">
      <c r="BF1143" s="1">
        <v>0</v>
      </c>
      <c r="BG1143" t="str">
        <f>"0"</f>
        <v>0</v>
      </c>
      <c r="BH1143" t="str">
        <f xml:space="preserve"> IF($BF$1143 &gt;= $G$204, "1","0")</f>
        <v>0</v>
      </c>
      <c r="BI1143">
        <f xml:space="preserve"> IF( AND( $BG$1143 = "1", $BH$1143 = "1" ), 1, IF( AND( $BG$1143 = "1", $BH$1143 = "0" ), 2, IF( AND( $BG$1143 = "0", $BH$1143 = "1" ), 3, 4 ) ) )</f>
        <v>4</v>
      </c>
      <c r="BK1143" s="1">
        <v>0.79999999999999993</v>
      </c>
      <c r="BL1143" t="str">
        <f>"1"</f>
        <v>1</v>
      </c>
      <c r="BM1143" t="str">
        <f xml:space="preserve"> IF($BK$1143 &gt;= $G$281, "1","0")</f>
        <v>1</v>
      </c>
      <c r="BN1143">
        <f xml:space="preserve"> IF( AND( $BL$1143 = "1", $BM$1143 = "1" ), 1, IF( AND( $BL$1143 = "1", $BM$1143 = "0" ), 2, IF( AND( $BL$1143 = "0", $BM$1143 = "1" ), 3, 4 ) ) )</f>
        <v>1</v>
      </c>
    </row>
    <row r="1144" spans="58:66" x14ac:dyDescent="0.25">
      <c r="BF1144" s="1">
        <v>0</v>
      </c>
      <c r="BG1144" t="str">
        <f>"0"</f>
        <v>0</v>
      </c>
      <c r="BH1144" t="str">
        <f xml:space="preserve"> IF($BF$1144 &gt;= $G$204, "1","0")</f>
        <v>0</v>
      </c>
      <c r="BI1144">
        <f xml:space="preserve"> IF( AND( $BG$1144 = "1", $BH$1144 = "1" ), 1, IF( AND( $BG$1144 = "1", $BH$1144 = "0" ), 2, IF( AND( $BG$1144 = "0", $BH$1144 = "1" ), 3, 4 ) ) )</f>
        <v>4</v>
      </c>
      <c r="BK1144" s="1">
        <v>1.8947368421052633E-2</v>
      </c>
      <c r="BL1144" t="str">
        <f>"0"</f>
        <v>0</v>
      </c>
      <c r="BM1144" t="str">
        <f xml:space="preserve"> IF($BK$1144 &gt;= $G$281, "1","0")</f>
        <v>0</v>
      </c>
      <c r="BN1144">
        <f xml:space="preserve"> IF( AND( $BL$1144 = "1", $BM$1144 = "1" ), 1, IF( AND( $BL$1144 = "1", $BM$1144 = "0" ), 2, IF( AND( $BL$1144 = "0", $BM$1144 = "1" ), 3, 4 ) ) )</f>
        <v>4</v>
      </c>
    </row>
    <row r="1145" spans="58:66" x14ac:dyDescent="0.25">
      <c r="BF1145" s="1">
        <v>0</v>
      </c>
      <c r="BG1145" t="str">
        <f>"0"</f>
        <v>0</v>
      </c>
      <c r="BH1145" t="str">
        <f xml:space="preserve"> IF($BF$1145 &gt;= $G$204, "1","0")</f>
        <v>0</v>
      </c>
      <c r="BI1145">
        <f xml:space="preserve"> IF( AND( $BG$1145 = "1", $BH$1145 = "1" ), 1, IF( AND( $BG$1145 = "1", $BH$1145 = "0" ), 2, IF( AND( $BG$1145 = "0", $BH$1145 = "1" ), 3, 4 ) ) )</f>
        <v>4</v>
      </c>
      <c r="BK1145" s="1">
        <v>0.32</v>
      </c>
      <c r="BL1145" t="str">
        <f>"1"</f>
        <v>1</v>
      </c>
      <c r="BM1145" t="str">
        <f xml:space="preserve"> IF($BK$1145 &gt;= $G$281, "1","0")</f>
        <v>1</v>
      </c>
      <c r="BN1145">
        <f xml:space="preserve"> IF( AND( $BL$1145 = "1", $BM$1145 = "1" ), 1, IF( AND( $BL$1145 = "1", $BM$1145 = "0" ), 2, IF( AND( $BL$1145 = "0", $BM$1145 = "1" ), 3, 4 ) ) )</f>
        <v>1</v>
      </c>
    </row>
    <row r="1146" spans="58:66" x14ac:dyDescent="0.25">
      <c r="BF1146" s="1">
        <v>0</v>
      </c>
      <c r="BG1146" t="str">
        <f>"0"</f>
        <v>0</v>
      </c>
      <c r="BH1146" t="str">
        <f xml:space="preserve"> IF($BF$1146 &gt;= $G$204, "1","0")</f>
        <v>0</v>
      </c>
      <c r="BI1146">
        <f xml:space="preserve"> IF( AND( $BG$1146 = "1", $BH$1146 = "1" ), 1, IF( AND( $BG$1146 = "1", $BH$1146 = "0" ), 2, IF( AND( $BG$1146 = "0", $BH$1146 = "1" ), 3, 4 ) ) )</f>
        <v>4</v>
      </c>
      <c r="BK1146" s="1">
        <v>0.32</v>
      </c>
      <c r="BL1146" t="str">
        <f>"0"</f>
        <v>0</v>
      </c>
      <c r="BM1146" t="str">
        <f xml:space="preserve"> IF($BK$1146 &gt;= $G$281, "1","0")</f>
        <v>1</v>
      </c>
      <c r="BN1146">
        <f xml:space="preserve"> IF( AND( $BL$1146 = "1", $BM$1146 = "1" ), 1, IF( AND( $BL$1146 = "1", $BM$1146 = "0" ), 2, IF( AND( $BL$1146 = "0", $BM$1146 = "1" ), 3, 4 ) ) )</f>
        <v>3</v>
      </c>
    </row>
    <row r="1147" spans="58:66" x14ac:dyDescent="0.25">
      <c r="BF1147" s="1">
        <v>0</v>
      </c>
      <c r="BG1147" t="str">
        <f>"0"</f>
        <v>0</v>
      </c>
      <c r="BH1147" t="str">
        <f xml:space="preserve"> IF($BF$1147 &gt;= $G$204, "1","0")</f>
        <v>0</v>
      </c>
      <c r="BI1147">
        <f xml:space="preserve"> IF( AND( $BG$1147 = "1", $BH$1147 = "1" ), 1, IF( AND( $BG$1147 = "1", $BH$1147 = "0" ), 2, IF( AND( $BG$1147 = "0", $BH$1147 = "1" ), 3, 4 ) ) )</f>
        <v>4</v>
      </c>
      <c r="BK1147" s="1">
        <v>1.8947368421052633E-2</v>
      </c>
      <c r="BL1147" t="str">
        <f>"0"</f>
        <v>0</v>
      </c>
      <c r="BM1147" t="str">
        <f xml:space="preserve"> IF($BK$1147 &gt;= $G$281, "1","0")</f>
        <v>0</v>
      </c>
      <c r="BN1147">
        <f xml:space="preserve"> IF( AND( $BL$1147 = "1", $BM$1147 = "1" ), 1, IF( AND( $BL$1147 = "1", $BM$1147 = "0" ), 2, IF( AND( $BL$1147 = "0", $BM$1147 = "1" ), 3, 4 ) ) )</f>
        <v>4</v>
      </c>
    </row>
    <row r="1148" spans="58:66" x14ac:dyDescent="0.25">
      <c r="BF1148" s="1">
        <v>0</v>
      </c>
      <c r="BG1148" t="str">
        <f>"0"</f>
        <v>0</v>
      </c>
      <c r="BH1148" t="str">
        <f xml:space="preserve"> IF($BF$1148 &gt;= $G$204, "1","0")</f>
        <v>0</v>
      </c>
      <c r="BI1148">
        <f xml:space="preserve"> IF( AND( $BG$1148 = "1", $BH$1148 = "1" ), 1, IF( AND( $BG$1148 = "1", $BH$1148 = "0" ), 2, IF( AND( $BG$1148 = "0", $BH$1148 = "1" ), 3, 4 ) ) )</f>
        <v>4</v>
      </c>
      <c r="BK1148" s="1">
        <v>1.8947368421052633E-2</v>
      </c>
      <c r="BL1148" t="str">
        <f>"0"</f>
        <v>0</v>
      </c>
      <c r="BM1148" t="str">
        <f xml:space="preserve"> IF($BK$1148 &gt;= $G$281, "1","0")</f>
        <v>0</v>
      </c>
      <c r="BN1148">
        <f xml:space="preserve"> IF( AND( $BL$1148 = "1", $BM$1148 = "1" ), 1, IF( AND( $BL$1148 = "1", $BM$1148 = "0" ), 2, IF( AND( $BL$1148 = "0", $BM$1148 = "1" ), 3, 4 ) ) )</f>
        <v>4</v>
      </c>
    </row>
    <row r="1149" spans="58:66" x14ac:dyDescent="0.25">
      <c r="BF1149" s="1">
        <v>0</v>
      </c>
      <c r="BG1149" t="str">
        <f>"0"</f>
        <v>0</v>
      </c>
      <c r="BH1149" t="str">
        <f xml:space="preserve"> IF($BF$1149 &gt;= $G$204, "1","0")</f>
        <v>0</v>
      </c>
      <c r="BI1149">
        <f xml:space="preserve"> IF( AND( $BG$1149 = "1", $BH$1149 = "1" ), 1, IF( AND( $BG$1149 = "1", $BH$1149 = "0" ), 2, IF( AND( $BG$1149 = "0", $BH$1149 = "1" ), 3, 4 ) ) )</f>
        <v>4</v>
      </c>
      <c r="BK1149" s="1">
        <v>1.8947368421052633E-2</v>
      </c>
      <c r="BL1149" t="str">
        <f>"0"</f>
        <v>0</v>
      </c>
      <c r="BM1149" t="str">
        <f xml:space="preserve"> IF($BK$1149 &gt;= $G$281, "1","0")</f>
        <v>0</v>
      </c>
      <c r="BN1149">
        <f xml:space="preserve"> IF( AND( $BL$1149 = "1", $BM$1149 = "1" ), 1, IF( AND( $BL$1149 = "1", $BM$1149 = "0" ), 2, IF( AND( $BL$1149 = "0", $BM$1149 = "1" ), 3, 4 ) ) )</f>
        <v>4</v>
      </c>
    </row>
    <row r="1150" spans="58:66" x14ac:dyDescent="0.25">
      <c r="BF1150" s="1">
        <v>0</v>
      </c>
      <c r="BG1150" t="str">
        <f>"0"</f>
        <v>0</v>
      </c>
      <c r="BH1150" t="str">
        <f xml:space="preserve"> IF($BF$1150 &gt;= $G$204, "1","0")</f>
        <v>0</v>
      </c>
      <c r="BI1150">
        <f xml:space="preserve"> IF( AND( $BG$1150 = "1", $BH$1150 = "1" ), 1, IF( AND( $BG$1150 = "1", $BH$1150 = "0" ), 2, IF( AND( $BG$1150 = "0", $BH$1150 = "1" ), 3, 4 ) ) )</f>
        <v>4</v>
      </c>
      <c r="BK1150" s="1">
        <v>1.8947368421052633E-2</v>
      </c>
      <c r="BL1150" t="str">
        <f>"0"</f>
        <v>0</v>
      </c>
      <c r="BM1150" t="str">
        <f xml:space="preserve"> IF($BK$1150 &gt;= $G$281, "1","0")</f>
        <v>0</v>
      </c>
      <c r="BN1150">
        <f xml:space="preserve"> IF( AND( $BL$1150 = "1", $BM$1150 = "1" ), 1, IF( AND( $BL$1150 = "1", $BM$1150 = "0" ), 2, IF( AND( $BL$1150 = "0", $BM$1150 = "1" ), 3, 4 ) ) )</f>
        <v>4</v>
      </c>
    </row>
    <row r="1151" spans="58:66" x14ac:dyDescent="0.25">
      <c r="BF1151" s="1">
        <v>0</v>
      </c>
      <c r="BG1151" t="str">
        <f>"0"</f>
        <v>0</v>
      </c>
      <c r="BH1151" t="str">
        <f xml:space="preserve"> IF($BF$1151 &gt;= $G$204, "1","0")</f>
        <v>0</v>
      </c>
      <c r="BI1151">
        <f xml:space="preserve"> IF( AND( $BG$1151 = "1", $BH$1151 = "1" ), 1, IF( AND( $BG$1151 = "1", $BH$1151 = "0" ), 2, IF( AND( $BG$1151 = "0", $BH$1151 = "1" ), 3, 4 ) ) )</f>
        <v>4</v>
      </c>
      <c r="BK1151" s="1">
        <v>1.8947368421052633E-2</v>
      </c>
      <c r="BL1151" t="str">
        <f>"0"</f>
        <v>0</v>
      </c>
      <c r="BM1151" t="str">
        <f xml:space="preserve"> IF($BK$1151 &gt;= $G$281, "1","0")</f>
        <v>0</v>
      </c>
      <c r="BN1151">
        <f xml:space="preserve"> IF( AND( $BL$1151 = "1", $BM$1151 = "1" ), 1, IF( AND( $BL$1151 = "1", $BM$1151 = "0" ), 2, IF( AND( $BL$1151 = "0", $BM$1151 = "1" ), 3, 4 ) ) )</f>
        <v>4</v>
      </c>
    </row>
    <row r="1152" spans="58:66" x14ac:dyDescent="0.25">
      <c r="BF1152" s="1">
        <v>0</v>
      </c>
      <c r="BG1152" t="str">
        <f>"0"</f>
        <v>0</v>
      </c>
      <c r="BH1152" t="str">
        <f xml:space="preserve"> IF($BF$1152 &gt;= $G$204, "1","0")</f>
        <v>0</v>
      </c>
      <c r="BI1152">
        <f xml:space="preserve"> IF( AND( $BG$1152 = "1", $BH$1152 = "1" ), 1, IF( AND( $BG$1152 = "1", $BH$1152 = "0" ), 2, IF( AND( $BG$1152 = "0", $BH$1152 = "1" ), 3, 4 ) ) )</f>
        <v>4</v>
      </c>
      <c r="BK1152" s="1">
        <v>2.5000000000000001E-3</v>
      </c>
      <c r="BL1152" t="str">
        <f>"0"</f>
        <v>0</v>
      </c>
      <c r="BM1152" t="str">
        <f xml:space="preserve"> IF($BK$1152 &gt;= $G$281, "1","0")</f>
        <v>0</v>
      </c>
      <c r="BN1152">
        <f xml:space="preserve"> IF( AND( $BL$1152 = "1", $BM$1152 = "1" ), 1, IF( AND( $BL$1152 = "1", $BM$1152 = "0" ), 2, IF( AND( $BL$1152 = "0", $BM$1152 = "1" ), 3, 4 ) ) )</f>
        <v>4</v>
      </c>
    </row>
    <row r="1153" spans="58:66" x14ac:dyDescent="0.25">
      <c r="BF1153" s="1">
        <v>0</v>
      </c>
      <c r="BG1153" t="str">
        <f>"0"</f>
        <v>0</v>
      </c>
      <c r="BH1153" t="str">
        <f xml:space="preserve"> IF($BF$1153 &gt;= $G$204, "1","0")</f>
        <v>0</v>
      </c>
      <c r="BI1153">
        <f xml:space="preserve"> IF( AND( $BG$1153 = "1", $BH$1153 = "1" ), 1, IF( AND( $BG$1153 = "1", $BH$1153 = "0" ), 2, IF( AND( $BG$1153 = "0", $BH$1153 = "1" ), 3, 4 ) ) )</f>
        <v>4</v>
      </c>
      <c r="BK1153" s="1">
        <v>1.8947368421052633E-2</v>
      </c>
      <c r="BL1153" t="str">
        <f>"0"</f>
        <v>0</v>
      </c>
      <c r="BM1153" t="str">
        <f xml:space="preserve"> IF($BK$1153 &gt;= $G$281, "1","0")</f>
        <v>0</v>
      </c>
      <c r="BN1153">
        <f xml:space="preserve"> IF( AND( $BL$1153 = "1", $BM$1153 = "1" ), 1, IF( AND( $BL$1153 = "1", $BM$1153 = "0" ), 2, IF( AND( $BL$1153 = "0", $BM$1153 = "1" ), 3, 4 ) ) )</f>
        <v>4</v>
      </c>
    </row>
    <row r="1154" spans="58:66" x14ac:dyDescent="0.25">
      <c r="BF1154" s="1">
        <v>0</v>
      </c>
      <c r="BG1154" t="str">
        <f>"0"</f>
        <v>0</v>
      </c>
      <c r="BH1154" t="str">
        <f xml:space="preserve"> IF($BF$1154 &gt;= $G$204, "1","0")</f>
        <v>0</v>
      </c>
      <c r="BI1154">
        <f xml:space="preserve"> IF( AND( $BG$1154 = "1", $BH$1154 = "1" ), 1, IF( AND( $BG$1154 = "1", $BH$1154 = "0" ), 2, IF( AND( $BG$1154 = "0", $BH$1154 = "1" ), 3, 4 ) ) )</f>
        <v>4</v>
      </c>
      <c r="BK1154" s="1">
        <v>0</v>
      </c>
      <c r="BL1154" t="str">
        <f>"0"</f>
        <v>0</v>
      </c>
      <c r="BM1154" t="str">
        <f xml:space="preserve"> IF($BK$1154 &gt;= $G$281, "1","0")</f>
        <v>0</v>
      </c>
      <c r="BN1154">
        <f xml:space="preserve"> IF( AND( $BL$1154 = "1", $BM$1154 = "1" ), 1, IF( AND( $BL$1154 = "1", $BM$1154 = "0" ), 2, IF( AND( $BL$1154 = "0", $BM$1154 = "1" ), 3, 4 ) ) )</f>
        <v>4</v>
      </c>
    </row>
    <row r="1155" spans="58:66" x14ac:dyDescent="0.25">
      <c r="BF1155" s="1">
        <v>0</v>
      </c>
      <c r="BG1155" t="str">
        <f>"0"</f>
        <v>0</v>
      </c>
      <c r="BH1155" t="str">
        <f xml:space="preserve"> IF($BF$1155 &gt;= $G$204, "1","0")</f>
        <v>0</v>
      </c>
      <c r="BI1155">
        <f xml:space="preserve"> IF( AND( $BG$1155 = "1", $BH$1155 = "1" ), 1, IF( AND( $BG$1155 = "1", $BH$1155 = "0" ), 2, IF( AND( $BG$1155 = "0", $BH$1155 = "1" ), 3, 4 ) ) )</f>
        <v>4</v>
      </c>
      <c r="BK1155" s="1">
        <v>0.9</v>
      </c>
      <c r="BL1155" t="str">
        <f>"0"</f>
        <v>0</v>
      </c>
      <c r="BM1155" t="str">
        <f xml:space="preserve"> IF($BK$1155 &gt;= $G$281, "1","0")</f>
        <v>1</v>
      </c>
      <c r="BN1155">
        <f xml:space="preserve"> IF( AND( $BL$1155 = "1", $BM$1155 = "1" ), 1, IF( AND( $BL$1155 = "1", $BM$1155 = "0" ), 2, IF( AND( $BL$1155 = "0", $BM$1155 = "1" ), 3, 4 ) ) )</f>
        <v>3</v>
      </c>
    </row>
    <row r="1156" spans="58:66" x14ac:dyDescent="0.25">
      <c r="BF1156" s="1">
        <v>0</v>
      </c>
      <c r="BG1156" t="str">
        <f>"0"</f>
        <v>0</v>
      </c>
      <c r="BH1156" t="str">
        <f xml:space="preserve"> IF($BF$1156 &gt;= $G$204, "1","0")</f>
        <v>0</v>
      </c>
      <c r="BI1156">
        <f xml:space="preserve"> IF( AND( $BG$1156 = "1", $BH$1156 = "1" ), 1, IF( AND( $BG$1156 = "1", $BH$1156 = "0" ), 2, IF( AND( $BG$1156 = "0", $BH$1156 = "1" ), 3, 4 ) ) )</f>
        <v>4</v>
      </c>
      <c r="BK1156" s="1">
        <v>2.5000000000000001E-3</v>
      </c>
      <c r="BL1156" t="str">
        <f>"0"</f>
        <v>0</v>
      </c>
      <c r="BM1156" t="str">
        <f xml:space="preserve"> IF($BK$1156 &gt;= $G$281, "1","0")</f>
        <v>0</v>
      </c>
      <c r="BN1156">
        <f xml:space="preserve"> IF( AND( $BL$1156 = "1", $BM$1156 = "1" ), 1, IF( AND( $BL$1156 = "1", $BM$1156 = "0" ), 2, IF( AND( $BL$1156 = "0", $BM$1156 = "1" ), 3, 4 ) ) )</f>
        <v>4</v>
      </c>
    </row>
    <row r="1157" spans="58:66" x14ac:dyDescent="0.25">
      <c r="BF1157" s="1">
        <v>0</v>
      </c>
      <c r="BG1157" t="str">
        <f>"0"</f>
        <v>0</v>
      </c>
      <c r="BH1157" t="str">
        <f xml:space="preserve"> IF($BF$1157 &gt;= $G$204, "1","0")</f>
        <v>0</v>
      </c>
      <c r="BI1157">
        <f xml:space="preserve"> IF( AND( $BG$1157 = "1", $BH$1157 = "1" ), 1, IF( AND( $BG$1157 = "1", $BH$1157 = "0" ), 2, IF( AND( $BG$1157 = "0", $BH$1157 = "1" ), 3, 4 ) ) )</f>
        <v>4</v>
      </c>
      <c r="BK1157" s="1">
        <v>1</v>
      </c>
      <c r="BL1157" t="str">
        <f>"1"</f>
        <v>1</v>
      </c>
      <c r="BM1157" t="str">
        <f xml:space="preserve"> IF($BK$1157 &gt;= $G$281, "1","0")</f>
        <v>1</v>
      </c>
      <c r="BN1157">
        <f xml:space="preserve"> IF( AND( $BL$1157 = "1", $BM$1157 = "1" ), 1, IF( AND( $BL$1157 = "1", $BM$1157 = "0" ), 2, IF( AND( $BL$1157 = "0", $BM$1157 = "1" ), 3, 4 ) ) )</f>
        <v>1</v>
      </c>
    </row>
    <row r="1158" spans="58:66" x14ac:dyDescent="0.25">
      <c r="BF1158" s="1">
        <v>0</v>
      </c>
      <c r="BG1158" t="str">
        <f>"0"</f>
        <v>0</v>
      </c>
      <c r="BH1158" t="str">
        <f xml:space="preserve"> IF($BF$1158 &gt;= $G$204, "1","0")</f>
        <v>0</v>
      </c>
      <c r="BI1158">
        <f xml:space="preserve"> IF( AND( $BG$1158 = "1", $BH$1158 = "1" ), 1, IF( AND( $BG$1158 = "1", $BH$1158 = "0" ), 2, IF( AND( $BG$1158 = "0", $BH$1158 = "1" ), 3, 4 ) ) )</f>
        <v>4</v>
      </c>
      <c r="BK1158" s="1">
        <v>1.8947368421052633E-2</v>
      </c>
      <c r="BL1158" t="str">
        <f>"0"</f>
        <v>0</v>
      </c>
      <c r="BM1158" t="str">
        <f xml:space="preserve"> IF($BK$1158 &gt;= $G$281, "1","0")</f>
        <v>0</v>
      </c>
      <c r="BN1158">
        <f xml:space="preserve"> IF( AND( $BL$1158 = "1", $BM$1158 = "1" ), 1, IF( AND( $BL$1158 = "1", $BM$1158 = "0" ), 2, IF( AND( $BL$1158 = "0", $BM$1158 = "1" ), 3, 4 ) ) )</f>
        <v>4</v>
      </c>
    </row>
    <row r="1159" spans="58:66" x14ac:dyDescent="0.25">
      <c r="BF1159" s="1">
        <v>0</v>
      </c>
      <c r="BG1159" t="str">
        <f>"0"</f>
        <v>0</v>
      </c>
      <c r="BH1159" t="str">
        <f xml:space="preserve"> IF($BF$1159 &gt;= $G$204, "1","0")</f>
        <v>0</v>
      </c>
      <c r="BI1159">
        <f xml:space="preserve"> IF( AND( $BG$1159 = "1", $BH$1159 = "1" ), 1, IF( AND( $BG$1159 = "1", $BH$1159 = "0" ), 2, IF( AND( $BG$1159 = "0", $BH$1159 = "1" ), 3, 4 ) ) )</f>
        <v>4</v>
      </c>
      <c r="BK1159" s="1">
        <v>0.64</v>
      </c>
      <c r="BL1159" t="str">
        <f>"1"</f>
        <v>1</v>
      </c>
      <c r="BM1159" t="str">
        <f xml:space="preserve"> IF($BK$1159 &gt;= $G$281, "1","0")</f>
        <v>1</v>
      </c>
      <c r="BN1159">
        <f xml:space="preserve"> IF( AND( $BL$1159 = "1", $BM$1159 = "1" ), 1, IF( AND( $BL$1159 = "1", $BM$1159 = "0" ), 2, IF( AND( $BL$1159 = "0", $BM$1159 = "1" ), 3, 4 ) ) )</f>
        <v>1</v>
      </c>
    </row>
    <row r="1160" spans="58:66" x14ac:dyDescent="0.25">
      <c r="BF1160" s="1">
        <v>0</v>
      </c>
      <c r="BG1160" t="str">
        <f>"0"</f>
        <v>0</v>
      </c>
      <c r="BH1160" t="str">
        <f xml:space="preserve"> IF($BF$1160 &gt;= $G$204, "1","0")</f>
        <v>0</v>
      </c>
      <c r="BI1160">
        <f xml:space="preserve"> IF( AND( $BG$1160 = "1", $BH$1160 = "1" ), 1, IF( AND( $BG$1160 = "1", $BH$1160 = "0" ), 2, IF( AND( $BG$1160 = "0", $BH$1160 = "1" ), 3, 4 ) ) )</f>
        <v>4</v>
      </c>
      <c r="BK1160" s="1">
        <v>1.8947368421052633E-2</v>
      </c>
      <c r="BL1160" t="str">
        <f>"0"</f>
        <v>0</v>
      </c>
      <c r="BM1160" t="str">
        <f xml:space="preserve"> IF($BK$1160 &gt;= $G$281, "1","0")</f>
        <v>0</v>
      </c>
      <c r="BN1160">
        <f xml:space="preserve"> IF( AND( $BL$1160 = "1", $BM$1160 = "1" ), 1, IF( AND( $BL$1160 = "1", $BM$1160 = "0" ), 2, IF( AND( $BL$1160 = "0", $BM$1160 = "1" ), 3, 4 ) ) )</f>
        <v>4</v>
      </c>
    </row>
    <row r="1161" spans="58:66" x14ac:dyDescent="0.25">
      <c r="BF1161" s="1">
        <v>0</v>
      </c>
      <c r="BG1161" t="str">
        <f>"0"</f>
        <v>0</v>
      </c>
      <c r="BH1161" t="str">
        <f xml:space="preserve"> IF($BF$1161 &gt;= $G$204, "1","0")</f>
        <v>0</v>
      </c>
      <c r="BI1161">
        <f xml:space="preserve"> IF( AND( $BG$1161 = "1", $BH$1161 = "1" ), 1, IF( AND( $BG$1161 = "1", $BH$1161 = "0" ), 2, IF( AND( $BG$1161 = "0", $BH$1161 = "1" ), 3, 4 ) ) )</f>
        <v>4</v>
      </c>
      <c r="BK1161" s="1">
        <v>1</v>
      </c>
      <c r="BL1161" t="str">
        <f>"0"</f>
        <v>0</v>
      </c>
      <c r="BM1161" t="str">
        <f xml:space="preserve"> IF($BK$1161 &gt;= $G$281, "1","0")</f>
        <v>1</v>
      </c>
      <c r="BN1161">
        <f xml:space="preserve"> IF( AND( $BL$1161 = "1", $BM$1161 = "1" ), 1, IF( AND( $BL$1161 = "1", $BM$1161 = "0" ), 2, IF( AND( $BL$1161 = "0", $BM$1161 = "1" ), 3, 4 ) ) )</f>
        <v>3</v>
      </c>
    </row>
    <row r="1162" spans="58:66" x14ac:dyDescent="0.25">
      <c r="BF1162" s="1">
        <v>0</v>
      </c>
      <c r="BG1162" t="str">
        <f>"0"</f>
        <v>0</v>
      </c>
      <c r="BH1162" t="str">
        <f xml:space="preserve"> IF($BF$1162 &gt;= $G$204, "1","0")</f>
        <v>0</v>
      </c>
      <c r="BI1162">
        <f xml:space="preserve"> IF( AND( $BG$1162 = "1", $BH$1162 = "1" ), 1, IF( AND( $BG$1162 = "1", $BH$1162 = "0" ), 2, IF( AND( $BG$1162 = "0", $BH$1162 = "1" ), 3, 4 ) ) )</f>
        <v>4</v>
      </c>
      <c r="BK1162" s="1">
        <v>1</v>
      </c>
      <c r="BL1162" t="str">
        <f>"1"</f>
        <v>1</v>
      </c>
      <c r="BM1162" t="str">
        <f xml:space="preserve"> IF($BK$1162 &gt;= $G$281, "1","0")</f>
        <v>1</v>
      </c>
      <c r="BN1162">
        <f xml:space="preserve"> IF( AND( $BL$1162 = "1", $BM$1162 = "1" ), 1, IF( AND( $BL$1162 = "1", $BM$1162 = "0" ), 2, IF( AND( $BL$1162 = "0", $BM$1162 = "1" ), 3, 4 ) ) )</f>
        <v>1</v>
      </c>
    </row>
    <row r="1163" spans="58:66" x14ac:dyDescent="0.25">
      <c r="BF1163" s="1">
        <v>0</v>
      </c>
      <c r="BG1163" t="str">
        <f>"0"</f>
        <v>0</v>
      </c>
      <c r="BH1163" t="str">
        <f xml:space="preserve"> IF($BF$1163 &gt;= $G$204, "1","0")</f>
        <v>0</v>
      </c>
      <c r="BI1163">
        <f xml:space="preserve"> IF( AND( $BG$1163 = "1", $BH$1163 = "1" ), 1, IF( AND( $BG$1163 = "1", $BH$1163 = "0" ), 2, IF( AND( $BG$1163 = "0", $BH$1163 = "1" ), 3, 4 ) ) )</f>
        <v>4</v>
      </c>
      <c r="BK1163" s="1">
        <v>1.8947368421052633E-2</v>
      </c>
      <c r="BL1163" t="str">
        <f>"0"</f>
        <v>0</v>
      </c>
      <c r="BM1163" t="str">
        <f xml:space="preserve"> IF($BK$1163 &gt;= $G$281, "1","0")</f>
        <v>0</v>
      </c>
      <c r="BN1163">
        <f xml:space="preserve"> IF( AND( $BL$1163 = "1", $BM$1163 = "1" ), 1, IF( AND( $BL$1163 = "1", $BM$1163 = "0" ), 2, IF( AND( $BL$1163 = "0", $BM$1163 = "1" ), 3, 4 ) ) )</f>
        <v>4</v>
      </c>
    </row>
    <row r="1164" spans="58:66" x14ac:dyDescent="0.25">
      <c r="BF1164" s="1">
        <v>0</v>
      </c>
      <c r="BG1164" t="str">
        <f>"0"</f>
        <v>0</v>
      </c>
      <c r="BH1164" t="str">
        <f xml:space="preserve"> IF($BF$1164 &gt;= $G$204, "1","0")</f>
        <v>0</v>
      </c>
      <c r="BI1164">
        <f xml:space="preserve"> IF( AND( $BG$1164 = "1", $BH$1164 = "1" ), 1, IF( AND( $BG$1164 = "1", $BH$1164 = "0" ), 2, IF( AND( $BG$1164 = "0", $BH$1164 = "1" ), 3, 4 ) ) )</f>
        <v>4</v>
      </c>
      <c r="BK1164" s="1">
        <v>2.5000000000000001E-3</v>
      </c>
      <c r="BL1164" t="str">
        <f>"0"</f>
        <v>0</v>
      </c>
      <c r="BM1164" t="str">
        <f xml:space="preserve"> IF($BK$1164 &gt;= $G$281, "1","0")</f>
        <v>0</v>
      </c>
      <c r="BN1164">
        <f xml:space="preserve"> IF( AND( $BL$1164 = "1", $BM$1164 = "1" ), 1, IF( AND( $BL$1164 = "1", $BM$1164 = "0" ), 2, IF( AND( $BL$1164 = "0", $BM$1164 = "1" ), 3, 4 ) ) )</f>
        <v>4</v>
      </c>
    </row>
    <row r="1165" spans="58:66" x14ac:dyDescent="0.25">
      <c r="BF1165" s="1">
        <v>0</v>
      </c>
      <c r="BG1165" t="str">
        <f>"0"</f>
        <v>0</v>
      </c>
      <c r="BH1165" t="str">
        <f xml:space="preserve"> IF($BF$1165 &gt;= $G$204, "1","0")</f>
        <v>0</v>
      </c>
      <c r="BI1165">
        <f xml:space="preserve"> IF( AND( $BG$1165 = "1", $BH$1165 = "1" ), 1, IF( AND( $BG$1165 = "1", $BH$1165 = "0" ), 2, IF( AND( $BG$1165 = "0", $BH$1165 = "1" ), 3, 4 ) ) )</f>
        <v>4</v>
      </c>
      <c r="BK1165" s="1">
        <v>0.79999999999999993</v>
      </c>
      <c r="BL1165" t="str">
        <f>"0"</f>
        <v>0</v>
      </c>
      <c r="BM1165" t="str">
        <f xml:space="preserve"> IF($BK$1165 &gt;= $G$281, "1","0")</f>
        <v>1</v>
      </c>
      <c r="BN1165">
        <f xml:space="preserve"> IF( AND( $BL$1165 = "1", $BM$1165 = "1" ), 1, IF( AND( $BL$1165 = "1", $BM$1165 = "0" ), 2, IF( AND( $BL$1165 = "0", $BM$1165 = "1" ), 3, 4 ) ) )</f>
        <v>3</v>
      </c>
    </row>
    <row r="1166" spans="58:66" x14ac:dyDescent="0.25">
      <c r="BF1166" s="1">
        <v>0</v>
      </c>
      <c r="BG1166" t="str">
        <f>"0"</f>
        <v>0</v>
      </c>
      <c r="BH1166" t="str">
        <f xml:space="preserve"> IF($BF$1166 &gt;= $G$204, "1","0")</f>
        <v>0</v>
      </c>
      <c r="BI1166">
        <f xml:space="preserve"> IF( AND( $BG$1166 = "1", $BH$1166 = "1" ), 1, IF( AND( $BG$1166 = "1", $BH$1166 = "0" ), 2, IF( AND( $BG$1166 = "0", $BH$1166 = "1" ), 3, 4 ) ) )</f>
        <v>4</v>
      </c>
      <c r="BK1166" s="1">
        <v>3.333333333333334E-2</v>
      </c>
      <c r="BL1166" t="str">
        <f>"0"</f>
        <v>0</v>
      </c>
      <c r="BM1166" t="str">
        <f xml:space="preserve"> IF($BK$1166 &gt;= $G$281, "1","0")</f>
        <v>0</v>
      </c>
      <c r="BN1166">
        <f xml:space="preserve"> IF( AND( $BL$1166 = "1", $BM$1166 = "1" ), 1, IF( AND( $BL$1166 = "1", $BM$1166 = "0" ), 2, IF( AND( $BL$1166 = "0", $BM$1166 = "1" ), 3, 4 ) ) )</f>
        <v>4</v>
      </c>
    </row>
    <row r="1167" spans="58:66" x14ac:dyDescent="0.25">
      <c r="BF1167" s="1">
        <v>0</v>
      </c>
      <c r="BG1167" t="str">
        <f>"0"</f>
        <v>0</v>
      </c>
      <c r="BH1167" t="str">
        <f xml:space="preserve"> IF($BF$1167 &gt;= $G$204, "1","0")</f>
        <v>0</v>
      </c>
      <c r="BI1167">
        <f xml:space="preserve"> IF( AND( $BG$1167 = "1", $BH$1167 = "1" ), 1, IF( AND( $BG$1167 = "1", $BH$1167 = "0" ), 2, IF( AND( $BG$1167 = "0", $BH$1167 = "1" ), 3, 4 ) ) )</f>
        <v>4</v>
      </c>
      <c r="BK1167" s="1">
        <v>0</v>
      </c>
      <c r="BL1167" t="str">
        <f>"0"</f>
        <v>0</v>
      </c>
      <c r="BM1167" t="str">
        <f xml:space="preserve"> IF($BK$1167 &gt;= $G$281, "1","0")</f>
        <v>0</v>
      </c>
      <c r="BN1167">
        <f xml:space="preserve"> IF( AND( $BL$1167 = "1", $BM$1167 = "1" ), 1, IF( AND( $BL$1167 = "1", $BM$1167 = "0" ), 2, IF( AND( $BL$1167 = "0", $BM$1167 = "1" ), 3, 4 ) ) )</f>
        <v>4</v>
      </c>
    </row>
    <row r="1168" spans="58:66" x14ac:dyDescent="0.25">
      <c r="BF1168" s="1">
        <v>0</v>
      </c>
      <c r="BG1168" t="str">
        <f>"0"</f>
        <v>0</v>
      </c>
      <c r="BH1168" t="str">
        <f xml:space="preserve"> IF($BF$1168 &gt;= $G$204, "1","0")</f>
        <v>0</v>
      </c>
      <c r="BI1168">
        <f xml:space="preserve"> IF( AND( $BG$1168 = "1", $BH$1168 = "1" ), 1, IF( AND( $BG$1168 = "1", $BH$1168 = "0" ), 2, IF( AND( $BG$1168 = "0", $BH$1168 = "1" ), 3, 4 ) ) )</f>
        <v>4</v>
      </c>
      <c r="BK1168" s="1">
        <v>0</v>
      </c>
      <c r="BL1168" t="str">
        <f>"0"</f>
        <v>0</v>
      </c>
      <c r="BM1168" t="str">
        <f xml:space="preserve"> IF($BK$1168 &gt;= $G$281, "1","0")</f>
        <v>0</v>
      </c>
      <c r="BN1168">
        <f xml:space="preserve"> IF( AND( $BL$1168 = "1", $BM$1168 = "1" ), 1, IF( AND( $BL$1168 = "1", $BM$1168 = "0" ), 2, IF( AND( $BL$1168 = "0", $BM$1168 = "1" ), 3, 4 ) ) )</f>
        <v>4</v>
      </c>
    </row>
    <row r="1169" spans="58:66" x14ac:dyDescent="0.25">
      <c r="BF1169" s="1">
        <v>0</v>
      </c>
      <c r="BG1169" t="str">
        <f>"0"</f>
        <v>0</v>
      </c>
      <c r="BH1169" t="str">
        <f xml:space="preserve"> IF($BF$1169 &gt;= $G$204, "1","0")</f>
        <v>0</v>
      </c>
      <c r="BI1169">
        <f xml:space="preserve"> IF( AND( $BG$1169 = "1", $BH$1169 = "1" ), 1, IF( AND( $BG$1169 = "1", $BH$1169 = "0" ), 2, IF( AND( $BG$1169 = "0", $BH$1169 = "1" ), 3, 4 ) ) )</f>
        <v>4</v>
      </c>
      <c r="BK1169" s="1">
        <v>3.333333333333334E-2</v>
      </c>
      <c r="BL1169" t="str">
        <f>"0"</f>
        <v>0</v>
      </c>
      <c r="BM1169" t="str">
        <f xml:space="preserve"> IF($BK$1169 &gt;= $G$281, "1","0")</f>
        <v>0</v>
      </c>
      <c r="BN1169">
        <f xml:space="preserve"> IF( AND( $BL$1169 = "1", $BM$1169 = "1" ), 1, IF( AND( $BL$1169 = "1", $BM$1169 = "0" ), 2, IF( AND( $BL$1169 = "0", $BM$1169 = "1" ), 3, 4 ) ) )</f>
        <v>4</v>
      </c>
    </row>
    <row r="1170" spans="58:66" x14ac:dyDescent="0.25">
      <c r="BF1170" s="1">
        <v>0</v>
      </c>
      <c r="BG1170" t="str">
        <f>"0"</f>
        <v>0</v>
      </c>
      <c r="BH1170" t="str">
        <f xml:space="preserve"> IF($BF$1170 &gt;= $G$204, "1","0")</f>
        <v>0</v>
      </c>
      <c r="BI1170">
        <f xml:space="preserve"> IF( AND( $BG$1170 = "1", $BH$1170 = "1" ), 1, IF( AND( $BG$1170 = "1", $BH$1170 = "0" ), 2, IF( AND( $BG$1170 = "0", $BH$1170 = "1" ), 3, 4 ) ) )</f>
        <v>4</v>
      </c>
      <c r="BK1170" s="1">
        <v>0.14285714285714288</v>
      </c>
      <c r="BL1170" t="str">
        <f>"0"</f>
        <v>0</v>
      </c>
      <c r="BM1170" t="str">
        <f xml:space="preserve"> IF($BK$1170 &gt;= $G$281, "1","0")</f>
        <v>0</v>
      </c>
      <c r="BN1170">
        <f xml:space="preserve"> IF( AND( $BL$1170 = "1", $BM$1170 = "1" ), 1, IF( AND( $BL$1170 = "1", $BM$1170 = "0" ), 2, IF( AND( $BL$1170 = "0", $BM$1170 = "1" ), 3, 4 ) ) )</f>
        <v>4</v>
      </c>
    </row>
    <row r="1171" spans="58:66" x14ac:dyDescent="0.25">
      <c r="BF1171" s="1">
        <v>0</v>
      </c>
      <c r="BG1171" t="str">
        <f>"0"</f>
        <v>0</v>
      </c>
      <c r="BH1171" t="str">
        <f xml:space="preserve"> IF($BF$1171 &gt;= $G$204, "1","0")</f>
        <v>0</v>
      </c>
      <c r="BI1171">
        <f xml:space="preserve"> IF( AND( $BG$1171 = "1", $BH$1171 = "1" ), 1, IF( AND( $BG$1171 = "1", $BH$1171 = "0" ), 2, IF( AND( $BG$1171 = "0", $BH$1171 = "1" ), 3, 4 ) ) )</f>
        <v>4</v>
      </c>
      <c r="BK1171" s="1">
        <v>2.5000000000000001E-3</v>
      </c>
      <c r="BL1171" t="str">
        <f>"0"</f>
        <v>0</v>
      </c>
      <c r="BM1171" t="str">
        <f xml:space="preserve"> IF($BK$1171 &gt;= $G$281, "1","0")</f>
        <v>0</v>
      </c>
      <c r="BN1171">
        <f xml:space="preserve"> IF( AND( $BL$1171 = "1", $BM$1171 = "1" ), 1, IF( AND( $BL$1171 = "1", $BM$1171 = "0" ), 2, IF( AND( $BL$1171 = "0", $BM$1171 = "1" ), 3, 4 ) ) )</f>
        <v>4</v>
      </c>
    </row>
    <row r="1172" spans="58:66" x14ac:dyDescent="0.25">
      <c r="BF1172" s="1">
        <v>0</v>
      </c>
      <c r="BG1172" t="str">
        <f>"0"</f>
        <v>0</v>
      </c>
      <c r="BH1172" t="str">
        <f xml:space="preserve"> IF($BF$1172 &gt;= $G$204, "1","0")</f>
        <v>0</v>
      </c>
      <c r="BI1172">
        <f xml:space="preserve"> IF( AND( $BG$1172 = "1", $BH$1172 = "1" ), 1, IF( AND( $BG$1172 = "1", $BH$1172 = "0" ), 2, IF( AND( $BG$1172 = "0", $BH$1172 = "1" ), 3, 4 ) ) )</f>
        <v>4</v>
      </c>
      <c r="BK1172" s="1">
        <v>1</v>
      </c>
      <c r="BL1172" t="str">
        <f>"1"</f>
        <v>1</v>
      </c>
      <c r="BM1172" t="str">
        <f xml:space="preserve"> IF($BK$1172 &gt;= $G$281, "1","0")</f>
        <v>1</v>
      </c>
      <c r="BN1172">
        <f xml:space="preserve"> IF( AND( $BL$1172 = "1", $BM$1172 = "1" ), 1, IF( AND( $BL$1172 = "1", $BM$1172 = "0" ), 2, IF( AND( $BL$1172 = "0", $BM$1172 = "1" ), 3, 4 ) ) )</f>
        <v>1</v>
      </c>
    </row>
    <row r="1173" spans="58:66" x14ac:dyDescent="0.25">
      <c r="BF1173" s="1">
        <v>0</v>
      </c>
      <c r="BG1173" t="str">
        <f>"0"</f>
        <v>0</v>
      </c>
      <c r="BH1173" t="str">
        <f xml:space="preserve"> IF($BF$1173 &gt;= $G$204, "1","0")</f>
        <v>0</v>
      </c>
      <c r="BI1173">
        <f xml:space="preserve"> IF( AND( $BG$1173 = "1", $BH$1173 = "1" ), 1, IF( AND( $BG$1173 = "1", $BH$1173 = "0" ), 2, IF( AND( $BG$1173 = "0", $BH$1173 = "1" ), 3, 4 ) ) )</f>
        <v>4</v>
      </c>
      <c r="BK1173" s="1">
        <v>0.14285714285714288</v>
      </c>
      <c r="BL1173" t="str">
        <f>"0"</f>
        <v>0</v>
      </c>
      <c r="BM1173" t="str">
        <f xml:space="preserve"> IF($BK$1173 &gt;= $G$281, "1","0")</f>
        <v>0</v>
      </c>
      <c r="BN1173">
        <f xml:space="preserve"> IF( AND( $BL$1173 = "1", $BM$1173 = "1" ), 1, IF( AND( $BL$1173 = "1", $BM$1173 = "0" ), 2, IF( AND( $BL$1173 = "0", $BM$1173 = "1" ), 3, 4 ) ) )</f>
        <v>4</v>
      </c>
    </row>
    <row r="1174" spans="58:66" x14ac:dyDescent="0.25">
      <c r="BF1174" s="1">
        <v>0</v>
      </c>
      <c r="BG1174" t="str">
        <f>"0"</f>
        <v>0</v>
      </c>
      <c r="BH1174" t="str">
        <f xml:space="preserve"> IF($BF$1174 &gt;= $G$204, "1","0")</f>
        <v>0</v>
      </c>
      <c r="BI1174">
        <f xml:space="preserve"> IF( AND( $BG$1174 = "1", $BH$1174 = "1" ), 1, IF( AND( $BG$1174 = "1", $BH$1174 = "0" ), 2, IF( AND( $BG$1174 = "0", $BH$1174 = "1" ), 3, 4 ) ) )</f>
        <v>4</v>
      </c>
      <c r="BK1174" s="1">
        <v>2.5000000000000001E-3</v>
      </c>
      <c r="BL1174" t="str">
        <f>"0"</f>
        <v>0</v>
      </c>
      <c r="BM1174" t="str">
        <f xml:space="preserve"> IF($BK$1174 &gt;= $G$281, "1","0")</f>
        <v>0</v>
      </c>
      <c r="BN1174">
        <f xml:space="preserve"> IF( AND( $BL$1174 = "1", $BM$1174 = "1" ), 1, IF( AND( $BL$1174 = "1", $BM$1174 = "0" ), 2, IF( AND( $BL$1174 = "0", $BM$1174 = "1" ), 3, 4 ) ) )</f>
        <v>4</v>
      </c>
    </row>
    <row r="1175" spans="58:66" x14ac:dyDescent="0.25">
      <c r="BF1175" s="1">
        <v>0</v>
      </c>
      <c r="BG1175" t="str">
        <f>"0"</f>
        <v>0</v>
      </c>
      <c r="BH1175" t="str">
        <f xml:space="preserve"> IF($BF$1175 &gt;= $G$204, "1","0")</f>
        <v>0</v>
      </c>
      <c r="BI1175">
        <f xml:space="preserve"> IF( AND( $BG$1175 = "1", $BH$1175 = "1" ), 1, IF( AND( $BG$1175 = "1", $BH$1175 = "0" ), 2, IF( AND( $BG$1175 = "0", $BH$1175 = "1" ), 3, 4 ) ) )</f>
        <v>4</v>
      </c>
      <c r="BK1175" s="1">
        <v>1</v>
      </c>
      <c r="BL1175" t="str">
        <f>"1"</f>
        <v>1</v>
      </c>
      <c r="BM1175" t="str">
        <f xml:space="preserve"> IF($BK$1175 &gt;= $G$281, "1","0")</f>
        <v>1</v>
      </c>
      <c r="BN1175">
        <f xml:space="preserve"> IF( AND( $BL$1175 = "1", $BM$1175 = "1" ), 1, IF( AND( $BL$1175 = "1", $BM$1175 = "0" ), 2, IF( AND( $BL$1175 = "0", $BM$1175 = "1" ), 3, 4 ) ) )</f>
        <v>1</v>
      </c>
    </row>
    <row r="1176" spans="58:66" x14ac:dyDescent="0.25">
      <c r="BF1176" s="1">
        <v>0</v>
      </c>
      <c r="BG1176" t="str">
        <f>"0"</f>
        <v>0</v>
      </c>
      <c r="BH1176" t="str">
        <f xml:space="preserve"> IF($BF$1176 &gt;= $G$204, "1","0")</f>
        <v>0</v>
      </c>
      <c r="BI1176">
        <f xml:space="preserve"> IF( AND( $BG$1176 = "1", $BH$1176 = "1" ), 1, IF( AND( $BG$1176 = "1", $BH$1176 = "0" ), 2, IF( AND( $BG$1176 = "0", $BH$1176 = "1" ), 3, 4 ) ) )</f>
        <v>4</v>
      </c>
      <c r="BK1176" s="1">
        <v>1.8947368421052633E-2</v>
      </c>
      <c r="BL1176" t="str">
        <f>"0"</f>
        <v>0</v>
      </c>
      <c r="BM1176" t="str">
        <f xml:space="preserve"> IF($BK$1176 &gt;= $G$281, "1","0")</f>
        <v>0</v>
      </c>
      <c r="BN1176">
        <f xml:space="preserve"> IF( AND( $BL$1176 = "1", $BM$1176 = "1" ), 1, IF( AND( $BL$1176 = "1", $BM$1176 = "0" ), 2, IF( AND( $BL$1176 = "0", $BM$1176 = "1" ), 3, 4 ) ) )</f>
        <v>4</v>
      </c>
    </row>
    <row r="1177" spans="58:66" x14ac:dyDescent="0.25">
      <c r="BF1177" s="1">
        <v>0</v>
      </c>
      <c r="BG1177" t="str">
        <f>"0"</f>
        <v>0</v>
      </c>
      <c r="BH1177" t="str">
        <f xml:space="preserve"> IF($BF$1177 &gt;= $G$204, "1","0")</f>
        <v>0</v>
      </c>
      <c r="BI1177">
        <f xml:space="preserve"> IF( AND( $BG$1177 = "1", $BH$1177 = "1" ), 1, IF( AND( $BG$1177 = "1", $BH$1177 = "0" ), 2, IF( AND( $BG$1177 = "0", $BH$1177 = "1" ), 3, 4 ) ) )</f>
        <v>4</v>
      </c>
      <c r="BK1177" s="1">
        <v>0.68181818181818188</v>
      </c>
      <c r="BL1177" t="str">
        <f>"1"</f>
        <v>1</v>
      </c>
      <c r="BM1177" t="str">
        <f xml:space="preserve"> IF($BK$1177 &gt;= $G$281, "1","0")</f>
        <v>1</v>
      </c>
      <c r="BN1177">
        <f xml:space="preserve"> IF( AND( $BL$1177 = "1", $BM$1177 = "1" ), 1, IF( AND( $BL$1177 = "1", $BM$1177 = "0" ), 2, IF( AND( $BL$1177 = "0", $BM$1177 = "1" ), 3, 4 ) ) )</f>
        <v>1</v>
      </c>
    </row>
    <row r="1178" spans="58:66" x14ac:dyDescent="0.25">
      <c r="BF1178" s="1">
        <v>0</v>
      </c>
      <c r="BG1178" t="str">
        <f>"0"</f>
        <v>0</v>
      </c>
      <c r="BH1178" t="str">
        <f xml:space="preserve"> IF($BF$1178 &gt;= $G$204, "1","0")</f>
        <v>0</v>
      </c>
      <c r="BI1178">
        <f xml:space="preserve"> IF( AND( $BG$1178 = "1", $BH$1178 = "1" ), 1, IF( AND( $BG$1178 = "1", $BH$1178 = "0" ), 2, IF( AND( $BG$1178 = "0", $BH$1178 = "1" ), 3, 4 ) ) )</f>
        <v>4</v>
      </c>
      <c r="BK1178" s="1">
        <v>1</v>
      </c>
      <c r="BL1178" t="str">
        <f>"1"</f>
        <v>1</v>
      </c>
      <c r="BM1178" t="str">
        <f xml:space="preserve"> IF($BK$1178 &gt;= $G$281, "1","0")</f>
        <v>1</v>
      </c>
      <c r="BN1178">
        <f xml:space="preserve"> IF( AND( $BL$1178 = "1", $BM$1178 = "1" ), 1, IF( AND( $BL$1178 = "1", $BM$1178 = "0" ), 2, IF( AND( $BL$1178 = "0", $BM$1178 = "1" ), 3, 4 ) ) )</f>
        <v>1</v>
      </c>
    </row>
    <row r="1179" spans="58:66" x14ac:dyDescent="0.25">
      <c r="BF1179" s="1">
        <v>0</v>
      </c>
      <c r="BG1179" t="str">
        <f>"0"</f>
        <v>0</v>
      </c>
      <c r="BH1179" t="str">
        <f xml:space="preserve"> IF($BF$1179 &gt;= $G$204, "1","0")</f>
        <v>0</v>
      </c>
      <c r="BI1179">
        <f xml:space="preserve"> IF( AND( $BG$1179 = "1", $BH$1179 = "1" ), 1, IF( AND( $BG$1179 = "1", $BH$1179 = "0" ), 2, IF( AND( $BG$1179 = "0", $BH$1179 = "1" ), 3, 4 ) ) )</f>
        <v>4</v>
      </c>
      <c r="BK1179" s="1">
        <v>0</v>
      </c>
      <c r="BL1179" t="str">
        <f>"0"</f>
        <v>0</v>
      </c>
      <c r="BM1179" t="str">
        <f xml:space="preserve"> IF($BK$1179 &gt;= $G$281, "1","0")</f>
        <v>0</v>
      </c>
      <c r="BN1179">
        <f xml:space="preserve"> IF( AND( $BL$1179 = "1", $BM$1179 = "1" ), 1, IF( AND( $BL$1179 = "1", $BM$1179 = "0" ), 2, IF( AND( $BL$1179 = "0", $BM$1179 = "1" ), 3, 4 ) ) )</f>
        <v>4</v>
      </c>
    </row>
    <row r="1180" spans="58:66" x14ac:dyDescent="0.25">
      <c r="BF1180" s="1">
        <v>0</v>
      </c>
      <c r="BG1180" t="str">
        <f>"0"</f>
        <v>0</v>
      </c>
      <c r="BH1180" t="str">
        <f xml:space="preserve"> IF($BF$1180 &gt;= $G$204, "1","0")</f>
        <v>0</v>
      </c>
      <c r="BI1180">
        <f xml:space="preserve"> IF( AND( $BG$1180 = "1", $BH$1180 = "1" ), 1, IF( AND( $BG$1180 = "1", $BH$1180 = "0" ), 2, IF( AND( $BG$1180 = "0", $BH$1180 = "1" ), 3, 4 ) ) )</f>
        <v>4</v>
      </c>
      <c r="BK1180" s="1">
        <v>1.8947368421052633E-2</v>
      </c>
      <c r="BL1180" t="str">
        <f>"0"</f>
        <v>0</v>
      </c>
      <c r="BM1180" t="str">
        <f xml:space="preserve"> IF($BK$1180 &gt;= $G$281, "1","0")</f>
        <v>0</v>
      </c>
      <c r="BN1180">
        <f xml:space="preserve"> IF( AND( $BL$1180 = "1", $BM$1180 = "1" ), 1, IF( AND( $BL$1180 = "1", $BM$1180 = "0" ), 2, IF( AND( $BL$1180 = "0", $BM$1180 = "1" ), 3, 4 ) ) )</f>
        <v>4</v>
      </c>
    </row>
    <row r="1181" spans="58:66" x14ac:dyDescent="0.25">
      <c r="BF1181" s="1">
        <v>0</v>
      </c>
      <c r="BG1181" t="str">
        <f>"0"</f>
        <v>0</v>
      </c>
      <c r="BH1181" t="str">
        <f xml:space="preserve"> IF($BF$1181 &gt;= $G$204, "1","0")</f>
        <v>0</v>
      </c>
      <c r="BI1181">
        <f xml:space="preserve"> IF( AND( $BG$1181 = "1", $BH$1181 = "1" ), 1, IF( AND( $BG$1181 = "1", $BH$1181 = "0" ), 2, IF( AND( $BG$1181 = "0", $BH$1181 = "1" ), 3, 4 ) ) )</f>
        <v>4</v>
      </c>
      <c r="BK1181" s="1">
        <v>1.8947368421052633E-2</v>
      </c>
      <c r="BL1181" t="str">
        <f>"0"</f>
        <v>0</v>
      </c>
      <c r="BM1181" t="str">
        <f xml:space="preserve"> IF($BK$1181 &gt;= $G$281, "1","0")</f>
        <v>0</v>
      </c>
      <c r="BN1181">
        <f xml:space="preserve"> IF( AND( $BL$1181 = "1", $BM$1181 = "1" ), 1, IF( AND( $BL$1181 = "1", $BM$1181 = "0" ), 2, IF( AND( $BL$1181 = "0", $BM$1181 = "1" ), 3, 4 ) ) )</f>
        <v>4</v>
      </c>
    </row>
    <row r="1182" spans="58:66" x14ac:dyDescent="0.25">
      <c r="BF1182" s="1">
        <v>0</v>
      </c>
      <c r="BG1182" t="str">
        <f>"0"</f>
        <v>0</v>
      </c>
      <c r="BH1182" t="str">
        <f xml:space="preserve"> IF($BF$1182 &gt;= $G$204, "1","0")</f>
        <v>0</v>
      </c>
      <c r="BI1182">
        <f xml:space="preserve"> IF( AND( $BG$1182 = "1", $BH$1182 = "1" ), 1, IF( AND( $BG$1182 = "1", $BH$1182 = "0" ), 2, IF( AND( $BG$1182 = "0", $BH$1182 = "1" ), 3, 4 ) ) )</f>
        <v>4</v>
      </c>
      <c r="BK1182" s="1">
        <v>0.14285714285714288</v>
      </c>
      <c r="BL1182" t="str">
        <f>"0"</f>
        <v>0</v>
      </c>
      <c r="BM1182" t="str">
        <f xml:space="preserve"> IF($BK$1182 &gt;= $G$281, "1","0")</f>
        <v>0</v>
      </c>
      <c r="BN1182">
        <f xml:space="preserve"> IF( AND( $BL$1182 = "1", $BM$1182 = "1" ), 1, IF( AND( $BL$1182 = "1", $BM$1182 = "0" ), 2, IF( AND( $BL$1182 = "0", $BM$1182 = "1" ), 3, 4 ) ) )</f>
        <v>4</v>
      </c>
    </row>
    <row r="1183" spans="58:66" x14ac:dyDescent="0.25">
      <c r="BF1183" s="1">
        <v>0</v>
      </c>
      <c r="BG1183" t="str">
        <f>"0"</f>
        <v>0</v>
      </c>
      <c r="BH1183" t="str">
        <f xml:space="preserve"> IF($BF$1183 &gt;= $G$204, "1","0")</f>
        <v>0</v>
      </c>
      <c r="BI1183">
        <f xml:space="preserve"> IF( AND( $BG$1183 = "1", $BH$1183 = "1" ), 1, IF( AND( $BG$1183 = "1", $BH$1183 = "0" ), 2, IF( AND( $BG$1183 = "0", $BH$1183 = "1" ), 3, 4 ) ) )</f>
        <v>4</v>
      </c>
      <c r="BK1183" s="1">
        <v>0</v>
      </c>
      <c r="BL1183" t="str">
        <f>"0"</f>
        <v>0</v>
      </c>
      <c r="BM1183" t="str">
        <f xml:space="preserve"> IF($BK$1183 &gt;= $G$281, "1","0")</f>
        <v>0</v>
      </c>
      <c r="BN1183">
        <f xml:space="preserve"> IF( AND( $BL$1183 = "1", $BM$1183 = "1" ), 1, IF( AND( $BL$1183 = "1", $BM$1183 = "0" ), 2, IF( AND( $BL$1183 = "0", $BM$1183 = "1" ), 3, 4 ) ) )</f>
        <v>4</v>
      </c>
    </row>
    <row r="1184" spans="58:66" x14ac:dyDescent="0.25">
      <c r="BF1184" s="1">
        <v>0</v>
      </c>
      <c r="BG1184" t="str">
        <f>"0"</f>
        <v>0</v>
      </c>
      <c r="BH1184" t="str">
        <f xml:space="preserve"> IF($BF$1184 &gt;= $G$204, "1","0")</f>
        <v>0</v>
      </c>
      <c r="BI1184">
        <f xml:space="preserve"> IF( AND( $BG$1184 = "1", $BH$1184 = "1" ), 1, IF( AND( $BG$1184 = "1", $BH$1184 = "0" ), 2, IF( AND( $BG$1184 = "0", $BH$1184 = "1" ), 3, 4 ) ) )</f>
        <v>4</v>
      </c>
      <c r="BK1184" s="1">
        <v>1.8947368421052633E-2</v>
      </c>
      <c r="BL1184" t="str">
        <f>"0"</f>
        <v>0</v>
      </c>
      <c r="BM1184" t="str">
        <f xml:space="preserve"> IF($BK$1184 &gt;= $G$281, "1","0")</f>
        <v>0</v>
      </c>
      <c r="BN1184">
        <f xml:space="preserve"> IF( AND( $BL$1184 = "1", $BM$1184 = "1" ), 1, IF( AND( $BL$1184 = "1", $BM$1184 = "0" ), 2, IF( AND( $BL$1184 = "0", $BM$1184 = "1" ), 3, 4 ) ) )</f>
        <v>4</v>
      </c>
    </row>
    <row r="1185" spans="58:66" x14ac:dyDescent="0.25">
      <c r="BF1185" s="1">
        <v>0</v>
      </c>
      <c r="BG1185" t="str">
        <f>"0"</f>
        <v>0</v>
      </c>
      <c r="BH1185" t="str">
        <f xml:space="preserve"> IF($BF$1185 &gt;= $G$204, "1","0")</f>
        <v>0</v>
      </c>
      <c r="BI1185">
        <f xml:space="preserve"> IF( AND( $BG$1185 = "1", $BH$1185 = "1" ), 1, IF( AND( $BG$1185 = "1", $BH$1185 = "0" ), 2, IF( AND( $BG$1185 = "0", $BH$1185 = "1" ), 3, 4 ) ) )</f>
        <v>4</v>
      </c>
      <c r="BK1185" s="1">
        <v>1.8947368421052633E-2</v>
      </c>
      <c r="BL1185" t="str">
        <f>"0"</f>
        <v>0</v>
      </c>
      <c r="BM1185" t="str">
        <f xml:space="preserve"> IF($BK$1185 &gt;= $G$281, "1","0")</f>
        <v>0</v>
      </c>
      <c r="BN1185">
        <f xml:space="preserve"> IF( AND( $BL$1185 = "1", $BM$1185 = "1" ), 1, IF( AND( $BL$1185 = "1", $BM$1185 = "0" ), 2, IF( AND( $BL$1185 = "0", $BM$1185 = "1" ), 3, 4 ) ) )</f>
        <v>4</v>
      </c>
    </row>
    <row r="1186" spans="58:66" x14ac:dyDescent="0.25">
      <c r="BF1186" s="1">
        <v>0</v>
      </c>
      <c r="BG1186" t="str">
        <f>"0"</f>
        <v>0</v>
      </c>
      <c r="BH1186" t="str">
        <f xml:space="preserve"> IF($BF$1186 &gt;= $G$204, "1","0")</f>
        <v>0</v>
      </c>
      <c r="BI1186">
        <f xml:space="preserve"> IF( AND( $BG$1186 = "1", $BH$1186 = "1" ), 1, IF( AND( $BG$1186 = "1", $BH$1186 = "0" ), 2, IF( AND( $BG$1186 = "0", $BH$1186 = "1" ), 3, 4 ) ) )</f>
        <v>4</v>
      </c>
      <c r="BK1186" s="1">
        <v>2.5000000000000001E-3</v>
      </c>
      <c r="BL1186" t="str">
        <f>"0"</f>
        <v>0</v>
      </c>
      <c r="BM1186" t="str">
        <f xml:space="preserve"> IF($BK$1186 &gt;= $G$281, "1","0")</f>
        <v>0</v>
      </c>
      <c r="BN1186">
        <f xml:space="preserve"> IF( AND( $BL$1186 = "1", $BM$1186 = "1" ), 1, IF( AND( $BL$1186 = "1", $BM$1186 = "0" ), 2, IF( AND( $BL$1186 = "0", $BM$1186 = "1" ), 3, 4 ) ) )</f>
        <v>4</v>
      </c>
    </row>
    <row r="1187" spans="58:66" x14ac:dyDescent="0.25">
      <c r="BF1187" s="1">
        <v>0</v>
      </c>
      <c r="BG1187" t="str">
        <f>"0"</f>
        <v>0</v>
      </c>
      <c r="BH1187" t="str">
        <f xml:space="preserve"> IF($BF$1187 &gt;= $G$204, "1","0")</f>
        <v>0</v>
      </c>
      <c r="BI1187">
        <f xml:space="preserve"> IF( AND( $BG$1187 = "1", $BH$1187 = "1" ), 1, IF( AND( $BG$1187 = "1", $BH$1187 = "0" ), 2, IF( AND( $BG$1187 = "0", $BH$1187 = "1" ), 3, 4 ) ) )</f>
        <v>4</v>
      </c>
      <c r="BK1187" s="1">
        <v>2.5000000000000001E-3</v>
      </c>
      <c r="BL1187" t="str">
        <f>"0"</f>
        <v>0</v>
      </c>
      <c r="BM1187" t="str">
        <f xml:space="preserve"> IF($BK$1187 &gt;= $G$281, "1","0")</f>
        <v>0</v>
      </c>
      <c r="BN1187">
        <f xml:space="preserve"> IF( AND( $BL$1187 = "1", $BM$1187 = "1" ), 1, IF( AND( $BL$1187 = "1", $BM$1187 = "0" ), 2, IF( AND( $BL$1187 = "0", $BM$1187 = "1" ), 3, 4 ) ) )</f>
        <v>4</v>
      </c>
    </row>
    <row r="1188" spans="58:66" x14ac:dyDescent="0.25">
      <c r="BF1188" s="1">
        <v>0</v>
      </c>
      <c r="BG1188" t="str">
        <f>"0"</f>
        <v>0</v>
      </c>
      <c r="BH1188" t="str">
        <f xml:space="preserve"> IF($BF$1188 &gt;= $G$204, "1","0")</f>
        <v>0</v>
      </c>
      <c r="BI1188">
        <f xml:space="preserve"> IF( AND( $BG$1188 = "1", $BH$1188 = "1" ), 1, IF( AND( $BG$1188 = "1", $BH$1188 = "0" ), 2, IF( AND( $BG$1188 = "0", $BH$1188 = "1" ), 3, 4 ) ) )</f>
        <v>4</v>
      </c>
      <c r="BK1188" s="1">
        <v>1</v>
      </c>
      <c r="BL1188" t="str">
        <f>"1"</f>
        <v>1</v>
      </c>
      <c r="BM1188" t="str">
        <f xml:space="preserve"> IF($BK$1188 &gt;= $G$281, "1","0")</f>
        <v>1</v>
      </c>
      <c r="BN1188">
        <f xml:space="preserve"> IF( AND( $BL$1188 = "1", $BM$1188 = "1" ), 1, IF( AND( $BL$1188 = "1", $BM$1188 = "0" ), 2, IF( AND( $BL$1188 = "0", $BM$1188 = "1" ), 3, 4 ) ) )</f>
        <v>1</v>
      </c>
    </row>
    <row r="1189" spans="58:66" x14ac:dyDescent="0.25">
      <c r="BF1189" s="1">
        <v>0</v>
      </c>
      <c r="BG1189" t="str">
        <f>"0"</f>
        <v>0</v>
      </c>
      <c r="BH1189" t="str">
        <f xml:space="preserve"> IF($BF$1189 &gt;= $G$204, "1","0")</f>
        <v>0</v>
      </c>
      <c r="BI1189">
        <f xml:space="preserve"> IF( AND( $BG$1189 = "1", $BH$1189 = "1" ), 1, IF( AND( $BG$1189 = "1", $BH$1189 = "0" ), 2, IF( AND( $BG$1189 = "0", $BH$1189 = "1" ), 3, 4 ) ) )</f>
        <v>4</v>
      </c>
      <c r="BK1189" s="1">
        <v>1</v>
      </c>
      <c r="BL1189" t="str">
        <f>"1"</f>
        <v>1</v>
      </c>
      <c r="BM1189" t="str">
        <f xml:space="preserve"> IF($BK$1189 &gt;= $G$281, "1","0")</f>
        <v>1</v>
      </c>
      <c r="BN1189">
        <f xml:space="preserve"> IF( AND( $BL$1189 = "1", $BM$1189 = "1" ), 1, IF( AND( $BL$1189 = "1", $BM$1189 = "0" ), 2, IF( AND( $BL$1189 = "0", $BM$1189 = "1" ), 3, 4 ) ) )</f>
        <v>1</v>
      </c>
    </row>
    <row r="1190" spans="58:66" x14ac:dyDescent="0.25">
      <c r="BF1190" s="1">
        <v>0</v>
      </c>
      <c r="BG1190" t="str">
        <f>"0"</f>
        <v>0</v>
      </c>
      <c r="BH1190" t="str">
        <f xml:space="preserve"> IF($BF$1190 &gt;= $G$204, "1","0")</f>
        <v>0</v>
      </c>
      <c r="BI1190">
        <f xml:space="preserve"> IF( AND( $BG$1190 = "1", $BH$1190 = "1" ), 1, IF( AND( $BG$1190 = "1", $BH$1190 = "0" ), 2, IF( AND( $BG$1190 = "0", $BH$1190 = "1" ), 3, 4 ) ) )</f>
        <v>4</v>
      </c>
      <c r="BK1190" s="1">
        <v>3.333333333333334E-2</v>
      </c>
      <c r="BL1190" t="str">
        <f>"0"</f>
        <v>0</v>
      </c>
      <c r="BM1190" t="str">
        <f xml:space="preserve"> IF($BK$1190 &gt;= $G$281, "1","0")</f>
        <v>0</v>
      </c>
      <c r="BN1190">
        <f xml:space="preserve"> IF( AND( $BL$1190 = "1", $BM$1190 = "1" ), 1, IF( AND( $BL$1190 = "1", $BM$1190 = "0" ), 2, IF( AND( $BL$1190 = "0", $BM$1190 = "1" ), 3, 4 ) ) )</f>
        <v>4</v>
      </c>
    </row>
    <row r="1191" spans="58:66" x14ac:dyDescent="0.25">
      <c r="BF1191" s="1">
        <v>0</v>
      </c>
      <c r="BG1191" t="str">
        <f>"0"</f>
        <v>0</v>
      </c>
      <c r="BH1191" t="str">
        <f xml:space="preserve"> IF($BF$1191 &gt;= $G$204, "1","0")</f>
        <v>0</v>
      </c>
      <c r="BI1191">
        <f xml:space="preserve"> IF( AND( $BG$1191 = "1", $BH$1191 = "1" ), 1, IF( AND( $BG$1191 = "1", $BH$1191 = "0" ), 2, IF( AND( $BG$1191 = "0", $BH$1191 = "1" ), 3, 4 ) ) )</f>
        <v>4</v>
      </c>
      <c r="BK1191" s="1">
        <v>0.79999999999999993</v>
      </c>
      <c r="BL1191" t="str">
        <f>"1"</f>
        <v>1</v>
      </c>
      <c r="BM1191" t="str">
        <f xml:space="preserve"> IF($BK$1191 &gt;= $G$281, "1","0")</f>
        <v>1</v>
      </c>
      <c r="BN1191">
        <f xml:space="preserve"> IF( AND( $BL$1191 = "1", $BM$1191 = "1" ), 1, IF( AND( $BL$1191 = "1", $BM$1191 = "0" ), 2, IF( AND( $BL$1191 = "0", $BM$1191 = "1" ), 3, 4 ) ) )</f>
        <v>1</v>
      </c>
    </row>
    <row r="1192" spans="58:66" x14ac:dyDescent="0.25">
      <c r="BF1192" s="1">
        <v>0</v>
      </c>
      <c r="BG1192" t="str">
        <f>"0"</f>
        <v>0</v>
      </c>
      <c r="BH1192" t="str">
        <f xml:space="preserve"> IF($BF$1192 &gt;= $G$204, "1","0")</f>
        <v>0</v>
      </c>
      <c r="BI1192">
        <f xml:space="preserve"> IF( AND( $BG$1192 = "1", $BH$1192 = "1" ), 1, IF( AND( $BG$1192 = "1", $BH$1192 = "0" ), 2, IF( AND( $BG$1192 = "0", $BH$1192 = "1" ), 3, 4 ) ) )</f>
        <v>4</v>
      </c>
      <c r="BK1192" s="1">
        <v>0</v>
      </c>
      <c r="BL1192" t="str">
        <f>"0"</f>
        <v>0</v>
      </c>
      <c r="BM1192" t="str">
        <f xml:space="preserve"> IF($BK$1192 &gt;= $G$281, "1","0")</f>
        <v>0</v>
      </c>
      <c r="BN1192">
        <f xml:space="preserve"> IF( AND( $BL$1192 = "1", $BM$1192 = "1" ), 1, IF( AND( $BL$1192 = "1", $BM$1192 = "0" ), 2, IF( AND( $BL$1192 = "0", $BM$1192 = "1" ), 3, 4 ) ) )</f>
        <v>4</v>
      </c>
    </row>
    <row r="1193" spans="58:66" x14ac:dyDescent="0.25">
      <c r="BF1193" s="1">
        <v>0</v>
      </c>
      <c r="BG1193" t="str">
        <f>"0"</f>
        <v>0</v>
      </c>
      <c r="BH1193" t="str">
        <f xml:space="preserve"> IF($BF$1193 &gt;= $G$204, "1","0")</f>
        <v>0</v>
      </c>
      <c r="BI1193">
        <f xml:space="preserve"> IF( AND( $BG$1193 = "1", $BH$1193 = "1" ), 1, IF( AND( $BG$1193 = "1", $BH$1193 = "0" ), 2, IF( AND( $BG$1193 = "0", $BH$1193 = "1" ), 3, 4 ) ) )</f>
        <v>4</v>
      </c>
      <c r="BK1193" s="1">
        <v>2.5000000000000001E-3</v>
      </c>
      <c r="BL1193" t="str">
        <f>"0"</f>
        <v>0</v>
      </c>
      <c r="BM1193" t="str">
        <f xml:space="preserve"> IF($BK$1193 &gt;= $G$281, "1","0")</f>
        <v>0</v>
      </c>
      <c r="BN1193">
        <f xml:space="preserve"> IF( AND( $BL$1193 = "1", $BM$1193 = "1" ), 1, IF( AND( $BL$1193 = "1", $BM$1193 = "0" ), 2, IF( AND( $BL$1193 = "0", $BM$1193 = "1" ), 3, 4 ) ) )</f>
        <v>4</v>
      </c>
    </row>
    <row r="1194" spans="58:66" x14ac:dyDescent="0.25">
      <c r="BF1194" s="1">
        <v>0</v>
      </c>
      <c r="BG1194" t="str">
        <f>"0"</f>
        <v>0</v>
      </c>
      <c r="BH1194" t="str">
        <f xml:space="preserve"> IF($BF$1194 &gt;= $G$204, "1","0")</f>
        <v>0</v>
      </c>
      <c r="BI1194">
        <f xml:space="preserve"> IF( AND( $BG$1194 = "1", $BH$1194 = "1" ), 1, IF( AND( $BG$1194 = "1", $BH$1194 = "0" ), 2, IF( AND( $BG$1194 = "0", $BH$1194 = "1" ), 3, 4 ) ) )</f>
        <v>4</v>
      </c>
      <c r="BK1194" s="1">
        <v>0.37500000000000006</v>
      </c>
      <c r="BL1194" t="str">
        <f>"0"</f>
        <v>0</v>
      </c>
      <c r="BM1194" t="str">
        <f xml:space="preserve"> IF($BK$1194 &gt;= $G$281, "1","0")</f>
        <v>1</v>
      </c>
      <c r="BN1194">
        <f xml:space="preserve"> IF( AND( $BL$1194 = "1", $BM$1194 = "1" ), 1, IF( AND( $BL$1194 = "1", $BM$1194 = "0" ), 2, IF( AND( $BL$1194 = "0", $BM$1194 = "1" ), 3, 4 ) ) )</f>
        <v>3</v>
      </c>
    </row>
    <row r="1195" spans="58:66" x14ac:dyDescent="0.25">
      <c r="BF1195" s="1">
        <v>0</v>
      </c>
      <c r="BG1195" t="str">
        <f>"0"</f>
        <v>0</v>
      </c>
      <c r="BH1195" t="str">
        <f xml:space="preserve"> IF($BF$1195 &gt;= $G$204, "1","0")</f>
        <v>0</v>
      </c>
      <c r="BI1195">
        <f xml:space="preserve"> IF( AND( $BG$1195 = "1", $BH$1195 = "1" ), 1, IF( AND( $BG$1195 = "1", $BH$1195 = "0" ), 2, IF( AND( $BG$1195 = "0", $BH$1195 = "1" ), 3, 4 ) ) )</f>
        <v>4</v>
      </c>
      <c r="BK1195" s="1">
        <v>0.14285714285714288</v>
      </c>
      <c r="BL1195" t="str">
        <f>"0"</f>
        <v>0</v>
      </c>
      <c r="BM1195" t="str">
        <f xml:space="preserve"> IF($BK$1195 &gt;= $G$281, "1","0")</f>
        <v>0</v>
      </c>
      <c r="BN1195">
        <f xml:space="preserve"> IF( AND( $BL$1195 = "1", $BM$1195 = "1" ), 1, IF( AND( $BL$1195 = "1", $BM$1195 = "0" ), 2, IF( AND( $BL$1195 = "0", $BM$1195 = "1" ), 3, 4 ) ) )</f>
        <v>4</v>
      </c>
    </row>
    <row r="1196" spans="58:66" x14ac:dyDescent="0.25">
      <c r="BF1196" s="1">
        <v>0</v>
      </c>
      <c r="BG1196" t="str">
        <f>"0"</f>
        <v>0</v>
      </c>
      <c r="BH1196" t="str">
        <f xml:space="preserve"> IF($BF$1196 &gt;= $G$204, "1","0")</f>
        <v>0</v>
      </c>
      <c r="BI1196">
        <f xml:space="preserve"> IF( AND( $BG$1196 = "1", $BH$1196 = "1" ), 1, IF( AND( $BG$1196 = "1", $BH$1196 = "0" ), 2, IF( AND( $BG$1196 = "0", $BH$1196 = "1" ), 3, 4 ) ) )</f>
        <v>4</v>
      </c>
      <c r="BK1196" s="1">
        <v>0.69230769230769229</v>
      </c>
      <c r="BL1196" t="str">
        <f>"0"</f>
        <v>0</v>
      </c>
      <c r="BM1196" t="str">
        <f xml:space="preserve"> IF($BK$1196 &gt;= $G$281, "1","0")</f>
        <v>1</v>
      </c>
      <c r="BN1196">
        <f xml:space="preserve"> IF( AND( $BL$1196 = "1", $BM$1196 = "1" ), 1, IF( AND( $BL$1196 = "1", $BM$1196 = "0" ), 2, IF( AND( $BL$1196 = "0", $BM$1196 = "1" ), 3, 4 ) ) )</f>
        <v>3</v>
      </c>
    </row>
    <row r="1197" spans="58:66" x14ac:dyDescent="0.25">
      <c r="BF1197" s="1">
        <v>0</v>
      </c>
      <c r="BG1197" t="str">
        <f>"0"</f>
        <v>0</v>
      </c>
      <c r="BH1197" t="str">
        <f xml:space="preserve"> IF($BF$1197 &gt;= $G$204, "1","0")</f>
        <v>0</v>
      </c>
      <c r="BI1197">
        <f xml:space="preserve"> IF( AND( $BG$1197 = "1", $BH$1197 = "1" ), 1, IF( AND( $BG$1197 = "1", $BH$1197 = "0" ), 2, IF( AND( $BG$1197 = "0", $BH$1197 = "1" ), 3, 4 ) ) )</f>
        <v>4</v>
      </c>
      <c r="BK1197" s="1">
        <v>1.8947368421052633E-2</v>
      </c>
      <c r="BL1197" t="str">
        <f>"0"</f>
        <v>0</v>
      </c>
      <c r="BM1197" t="str">
        <f xml:space="preserve"> IF($BK$1197 &gt;= $G$281, "1","0")</f>
        <v>0</v>
      </c>
      <c r="BN1197">
        <f xml:space="preserve"> IF( AND( $BL$1197 = "1", $BM$1197 = "1" ), 1, IF( AND( $BL$1197 = "1", $BM$1197 = "0" ), 2, IF( AND( $BL$1197 = "0", $BM$1197 = "1" ), 3, 4 ) ) )</f>
        <v>4</v>
      </c>
    </row>
    <row r="1198" spans="58:66" x14ac:dyDescent="0.25">
      <c r="BF1198" s="1">
        <v>0</v>
      </c>
      <c r="BG1198" t="str">
        <f>"0"</f>
        <v>0</v>
      </c>
      <c r="BH1198" t="str">
        <f xml:space="preserve"> IF($BF$1198 &gt;= $G$204, "1","0")</f>
        <v>0</v>
      </c>
      <c r="BI1198">
        <f xml:space="preserve"> IF( AND( $BG$1198 = "1", $BH$1198 = "1" ), 1, IF( AND( $BG$1198 = "1", $BH$1198 = "0" ), 2, IF( AND( $BG$1198 = "0", $BH$1198 = "1" ), 3, 4 ) ) )</f>
        <v>4</v>
      </c>
      <c r="BK1198" s="1">
        <v>0</v>
      </c>
      <c r="BL1198" t="str">
        <f>"0"</f>
        <v>0</v>
      </c>
      <c r="BM1198" t="str">
        <f xml:space="preserve"> IF($BK$1198 &gt;= $G$281, "1","0")</f>
        <v>0</v>
      </c>
      <c r="BN1198">
        <f xml:space="preserve"> IF( AND( $BL$1198 = "1", $BM$1198 = "1" ), 1, IF( AND( $BL$1198 = "1", $BM$1198 = "0" ), 2, IF( AND( $BL$1198 = "0", $BM$1198 = "1" ), 3, 4 ) ) )</f>
        <v>4</v>
      </c>
    </row>
    <row r="1199" spans="58:66" x14ac:dyDescent="0.25">
      <c r="BF1199" s="1">
        <v>0</v>
      </c>
      <c r="BG1199" t="str">
        <f>"0"</f>
        <v>0</v>
      </c>
      <c r="BH1199" t="str">
        <f xml:space="preserve"> IF($BF$1199 &gt;= $G$204, "1","0")</f>
        <v>0</v>
      </c>
      <c r="BI1199">
        <f xml:space="preserve"> IF( AND( $BG$1199 = "1", $BH$1199 = "1" ), 1, IF( AND( $BG$1199 = "1", $BH$1199 = "0" ), 2, IF( AND( $BG$1199 = "0", $BH$1199 = "1" ), 3, 4 ) ) )</f>
        <v>4</v>
      </c>
      <c r="BK1199" s="1">
        <v>1.8947368421052633E-2</v>
      </c>
      <c r="BL1199" t="str">
        <f>"0"</f>
        <v>0</v>
      </c>
      <c r="BM1199" t="str">
        <f xml:space="preserve"> IF($BK$1199 &gt;= $G$281, "1","0")</f>
        <v>0</v>
      </c>
      <c r="BN1199">
        <f xml:space="preserve"> IF( AND( $BL$1199 = "1", $BM$1199 = "1" ), 1, IF( AND( $BL$1199 = "1", $BM$1199 = "0" ), 2, IF( AND( $BL$1199 = "0", $BM$1199 = "1" ), 3, 4 ) ) )</f>
        <v>4</v>
      </c>
    </row>
    <row r="1200" spans="58:66" x14ac:dyDescent="0.25">
      <c r="BF1200" s="1">
        <v>0</v>
      </c>
      <c r="BG1200" t="str">
        <f>"0"</f>
        <v>0</v>
      </c>
      <c r="BH1200" t="str">
        <f xml:space="preserve"> IF($BF$1200 &gt;= $G$204, "1","0")</f>
        <v>0</v>
      </c>
      <c r="BI1200">
        <f xml:space="preserve"> IF( AND( $BG$1200 = "1", $BH$1200 = "1" ), 1, IF( AND( $BG$1200 = "1", $BH$1200 = "0" ), 2, IF( AND( $BG$1200 = "0", $BH$1200 = "1" ), 3, 4 ) ) )</f>
        <v>4</v>
      </c>
      <c r="BK1200" s="1">
        <v>1</v>
      </c>
      <c r="BL1200" t="str">
        <f>"1"</f>
        <v>1</v>
      </c>
      <c r="BM1200" t="str">
        <f xml:space="preserve"> IF($BK$1200 &gt;= $G$281, "1","0")</f>
        <v>1</v>
      </c>
      <c r="BN1200">
        <f xml:space="preserve"> IF( AND( $BL$1200 = "1", $BM$1200 = "1" ), 1, IF( AND( $BL$1200 = "1", $BM$1200 = "0" ), 2, IF( AND( $BL$1200 = "0", $BM$1200 = "1" ), 3, 4 ) ) )</f>
        <v>1</v>
      </c>
    </row>
    <row r="1201" spans="58:66" x14ac:dyDescent="0.25">
      <c r="BF1201" s="1">
        <v>0</v>
      </c>
      <c r="BG1201" t="str">
        <f>"0"</f>
        <v>0</v>
      </c>
      <c r="BH1201" t="str">
        <f xml:space="preserve"> IF($BF$1201 &gt;= $G$204, "1","0")</f>
        <v>0</v>
      </c>
      <c r="BI1201">
        <f xml:space="preserve"> IF( AND( $BG$1201 = "1", $BH$1201 = "1" ), 1, IF( AND( $BG$1201 = "1", $BH$1201 = "0" ), 2, IF( AND( $BG$1201 = "0", $BH$1201 = "1" ), 3, 4 ) ) )</f>
        <v>4</v>
      </c>
      <c r="BK1201" s="1">
        <v>1.8947368421052633E-2</v>
      </c>
      <c r="BL1201" t="str">
        <f>"0"</f>
        <v>0</v>
      </c>
      <c r="BM1201" t="str">
        <f xml:space="preserve"> IF($BK$1201 &gt;= $G$281, "1","0")</f>
        <v>0</v>
      </c>
      <c r="BN1201">
        <f xml:space="preserve"> IF( AND( $BL$1201 = "1", $BM$1201 = "1" ), 1, IF( AND( $BL$1201 = "1", $BM$1201 = "0" ), 2, IF( AND( $BL$1201 = "0", $BM$1201 = "1" ), 3, 4 ) ) )</f>
        <v>4</v>
      </c>
    </row>
    <row r="1202" spans="58:66" x14ac:dyDescent="0.25">
      <c r="BF1202" s="1">
        <v>0</v>
      </c>
      <c r="BG1202" t="str">
        <f>"0"</f>
        <v>0</v>
      </c>
      <c r="BH1202" t="str">
        <f xml:space="preserve"> IF($BF$1202 &gt;= $G$204, "1","0")</f>
        <v>0</v>
      </c>
      <c r="BI1202">
        <f xml:space="preserve"> IF( AND( $BG$1202 = "1", $BH$1202 = "1" ), 1, IF( AND( $BG$1202 = "1", $BH$1202 = "0" ), 2, IF( AND( $BG$1202 = "0", $BH$1202 = "1" ), 3, 4 ) ) )</f>
        <v>4</v>
      </c>
      <c r="BK1202" s="1">
        <v>0.14285714285714288</v>
      </c>
      <c r="BL1202" t="str">
        <f>"0"</f>
        <v>0</v>
      </c>
      <c r="BM1202" t="str">
        <f xml:space="preserve"> IF($BK$1202 &gt;= $G$281, "1","0")</f>
        <v>0</v>
      </c>
      <c r="BN1202">
        <f xml:space="preserve"> IF( AND( $BL$1202 = "1", $BM$1202 = "1" ), 1, IF( AND( $BL$1202 = "1", $BM$1202 = "0" ), 2, IF( AND( $BL$1202 = "0", $BM$1202 = "1" ), 3, 4 ) ) )</f>
        <v>4</v>
      </c>
    </row>
    <row r="1203" spans="58:66" x14ac:dyDescent="0.25">
      <c r="BF1203" s="1">
        <v>0</v>
      </c>
      <c r="BG1203" t="str">
        <f>"0"</f>
        <v>0</v>
      </c>
      <c r="BH1203" t="str">
        <f xml:space="preserve"> IF($BF$1203 &gt;= $G$204, "1","0")</f>
        <v>0</v>
      </c>
      <c r="BI1203">
        <f xml:space="preserve"> IF( AND( $BG$1203 = "1", $BH$1203 = "1" ), 1, IF( AND( $BG$1203 = "1", $BH$1203 = "0" ), 2, IF( AND( $BG$1203 = "0", $BH$1203 = "1" ), 3, 4 ) ) )</f>
        <v>4</v>
      </c>
      <c r="BK1203" s="1">
        <v>1.8947368421052633E-2</v>
      </c>
      <c r="BL1203" t="str">
        <f>"0"</f>
        <v>0</v>
      </c>
      <c r="BM1203" t="str">
        <f xml:space="preserve"> IF($BK$1203 &gt;= $G$281, "1","0")</f>
        <v>0</v>
      </c>
      <c r="BN1203">
        <f xml:space="preserve"> IF( AND( $BL$1203 = "1", $BM$1203 = "1" ), 1, IF( AND( $BL$1203 = "1", $BM$1203 = "0" ), 2, IF( AND( $BL$1203 = "0", $BM$1203 = "1" ), 3, 4 ) ) )</f>
        <v>4</v>
      </c>
    </row>
    <row r="1204" spans="58:66" x14ac:dyDescent="0.25">
      <c r="BF1204" s="1">
        <v>0</v>
      </c>
      <c r="BG1204" t="str">
        <f>"0"</f>
        <v>0</v>
      </c>
      <c r="BH1204" t="str">
        <f xml:space="preserve"> IF($BF$1204 &gt;= $G$204, "1","0")</f>
        <v>0</v>
      </c>
      <c r="BI1204">
        <f xml:space="preserve"> IF( AND( $BG$1204 = "1", $BH$1204 = "1" ), 1, IF( AND( $BG$1204 = "1", $BH$1204 = "0" ), 2, IF( AND( $BG$1204 = "0", $BH$1204 = "1" ), 3, 4 ) ) )</f>
        <v>4</v>
      </c>
      <c r="BK1204" s="1">
        <v>0</v>
      </c>
      <c r="BL1204" t="str">
        <f>"0"</f>
        <v>0</v>
      </c>
      <c r="BM1204" t="str">
        <f xml:space="preserve"> IF($BK$1204 &gt;= $G$281, "1","0")</f>
        <v>0</v>
      </c>
      <c r="BN1204">
        <f xml:space="preserve"> IF( AND( $BL$1204 = "1", $BM$1204 = "1" ), 1, IF( AND( $BL$1204 = "1", $BM$1204 = "0" ), 2, IF( AND( $BL$1204 = "0", $BM$1204 = "1" ), 3, 4 ) ) )</f>
        <v>4</v>
      </c>
    </row>
    <row r="1205" spans="58:66" x14ac:dyDescent="0.25">
      <c r="BF1205" s="1">
        <v>0</v>
      </c>
      <c r="BG1205" t="str">
        <f>"0"</f>
        <v>0</v>
      </c>
      <c r="BH1205" t="str">
        <f xml:space="preserve"> IF($BF$1205 &gt;= $G$204, "1","0")</f>
        <v>0</v>
      </c>
      <c r="BI1205">
        <f xml:space="preserve"> IF( AND( $BG$1205 = "1", $BH$1205 = "1" ), 1, IF( AND( $BG$1205 = "1", $BH$1205 = "0" ), 2, IF( AND( $BG$1205 = "0", $BH$1205 = "1" ), 3, 4 ) ) )</f>
        <v>4</v>
      </c>
      <c r="BK1205" s="1">
        <v>0.69230769230769229</v>
      </c>
      <c r="BL1205" t="str">
        <f>"1"</f>
        <v>1</v>
      </c>
      <c r="BM1205" t="str">
        <f xml:space="preserve"> IF($BK$1205 &gt;= $G$281, "1","0")</f>
        <v>1</v>
      </c>
      <c r="BN1205">
        <f xml:space="preserve"> IF( AND( $BL$1205 = "1", $BM$1205 = "1" ), 1, IF( AND( $BL$1205 = "1", $BM$1205 = "0" ), 2, IF( AND( $BL$1205 = "0", $BM$1205 = "1" ), 3, 4 ) ) )</f>
        <v>1</v>
      </c>
    </row>
    <row r="1206" spans="58:66" x14ac:dyDescent="0.25">
      <c r="BF1206" s="1">
        <v>0</v>
      </c>
      <c r="BG1206" t="str">
        <f>"0"</f>
        <v>0</v>
      </c>
      <c r="BH1206" t="str">
        <f xml:space="preserve"> IF($BF$1206 &gt;= $G$204, "1","0")</f>
        <v>0</v>
      </c>
      <c r="BI1206">
        <f xml:space="preserve"> IF( AND( $BG$1206 = "1", $BH$1206 = "1" ), 1, IF( AND( $BG$1206 = "1", $BH$1206 = "0" ), 2, IF( AND( $BG$1206 = "0", $BH$1206 = "1" ), 3, 4 ) ) )</f>
        <v>4</v>
      </c>
      <c r="BK1206" s="1">
        <v>2.5000000000000001E-3</v>
      </c>
      <c r="BL1206" t="str">
        <f>"0"</f>
        <v>0</v>
      </c>
      <c r="BM1206" t="str">
        <f xml:space="preserve"> IF($BK$1206 &gt;= $G$281, "1","0")</f>
        <v>0</v>
      </c>
      <c r="BN1206">
        <f xml:space="preserve"> IF( AND( $BL$1206 = "1", $BM$1206 = "1" ), 1, IF( AND( $BL$1206 = "1", $BM$1206 = "0" ), 2, IF( AND( $BL$1206 = "0", $BM$1206 = "1" ), 3, 4 ) ) )</f>
        <v>4</v>
      </c>
    </row>
    <row r="1207" spans="58:66" x14ac:dyDescent="0.25">
      <c r="BF1207" s="1">
        <v>0</v>
      </c>
      <c r="BG1207" t="str">
        <f>"0"</f>
        <v>0</v>
      </c>
      <c r="BH1207" t="str">
        <f xml:space="preserve"> IF($BF$1207 &gt;= $G$204, "1","0")</f>
        <v>0</v>
      </c>
      <c r="BI1207">
        <f xml:space="preserve"> IF( AND( $BG$1207 = "1", $BH$1207 = "1" ), 1, IF( AND( $BG$1207 = "1", $BH$1207 = "0" ), 2, IF( AND( $BG$1207 = "0", $BH$1207 = "1" ), 3, 4 ) ) )</f>
        <v>4</v>
      </c>
      <c r="BK1207" s="1">
        <v>1</v>
      </c>
      <c r="BL1207" t="str">
        <f>"1"</f>
        <v>1</v>
      </c>
      <c r="BM1207" t="str">
        <f xml:space="preserve"> IF($BK$1207 &gt;= $G$281, "1","0")</f>
        <v>1</v>
      </c>
      <c r="BN1207">
        <f xml:space="preserve"> IF( AND( $BL$1207 = "1", $BM$1207 = "1" ), 1, IF( AND( $BL$1207 = "1", $BM$1207 = "0" ), 2, IF( AND( $BL$1207 = "0", $BM$1207 = "1" ), 3, 4 ) ) )</f>
        <v>1</v>
      </c>
    </row>
    <row r="1208" spans="58:66" x14ac:dyDescent="0.25">
      <c r="BF1208" s="1">
        <v>0</v>
      </c>
      <c r="BG1208" t="str">
        <f>"0"</f>
        <v>0</v>
      </c>
      <c r="BH1208" t="str">
        <f xml:space="preserve"> IF($BF$1208 &gt;= $G$204, "1","0")</f>
        <v>0</v>
      </c>
      <c r="BI1208">
        <f xml:space="preserve"> IF( AND( $BG$1208 = "1", $BH$1208 = "1" ), 1, IF( AND( $BG$1208 = "1", $BH$1208 = "0" ), 2, IF( AND( $BG$1208 = "0", $BH$1208 = "1" ), 3, 4 ) ) )</f>
        <v>4</v>
      </c>
      <c r="BK1208" s="1">
        <v>3.333333333333334E-2</v>
      </c>
      <c r="BL1208" t="str">
        <f>"0"</f>
        <v>0</v>
      </c>
      <c r="BM1208" t="str">
        <f xml:space="preserve"> IF($BK$1208 &gt;= $G$281, "1","0")</f>
        <v>0</v>
      </c>
      <c r="BN1208">
        <f xml:space="preserve"> IF( AND( $BL$1208 = "1", $BM$1208 = "1" ), 1, IF( AND( $BL$1208 = "1", $BM$1208 = "0" ), 2, IF( AND( $BL$1208 = "0", $BM$1208 = "1" ), 3, 4 ) ) )</f>
        <v>4</v>
      </c>
    </row>
    <row r="1209" spans="58:66" x14ac:dyDescent="0.25">
      <c r="BF1209" s="1">
        <v>0</v>
      </c>
      <c r="BG1209" t="str">
        <f>"0"</f>
        <v>0</v>
      </c>
      <c r="BH1209" t="str">
        <f xml:space="preserve"> IF($BF$1209 &gt;= $G$204, "1","0")</f>
        <v>0</v>
      </c>
      <c r="BI1209">
        <f xml:space="preserve"> IF( AND( $BG$1209 = "1", $BH$1209 = "1" ), 1, IF( AND( $BG$1209 = "1", $BH$1209 = "0" ), 2, IF( AND( $BG$1209 = "0", $BH$1209 = "1" ), 3, 4 ) ) )</f>
        <v>4</v>
      </c>
      <c r="BK1209" s="1">
        <v>1.8947368421052633E-2</v>
      </c>
      <c r="BL1209" t="str">
        <f>"0"</f>
        <v>0</v>
      </c>
      <c r="BM1209" t="str">
        <f xml:space="preserve"> IF($BK$1209 &gt;= $G$281, "1","0")</f>
        <v>0</v>
      </c>
      <c r="BN1209">
        <f xml:space="preserve"> IF( AND( $BL$1209 = "1", $BM$1209 = "1" ), 1, IF( AND( $BL$1209 = "1", $BM$1209 = "0" ), 2, IF( AND( $BL$1209 = "0", $BM$1209 = "1" ), 3, 4 ) ) )</f>
        <v>4</v>
      </c>
    </row>
    <row r="1210" spans="58:66" x14ac:dyDescent="0.25">
      <c r="BF1210" s="1">
        <v>0</v>
      </c>
      <c r="BG1210" t="str">
        <f>"0"</f>
        <v>0</v>
      </c>
      <c r="BH1210" t="str">
        <f xml:space="preserve"> IF($BF$1210 &gt;= $G$204, "1","0")</f>
        <v>0</v>
      </c>
      <c r="BI1210">
        <f xml:space="preserve"> IF( AND( $BG$1210 = "1", $BH$1210 = "1" ), 1, IF( AND( $BG$1210 = "1", $BH$1210 = "0" ), 2, IF( AND( $BG$1210 = "0", $BH$1210 = "1" ), 3, 4 ) ) )</f>
        <v>4</v>
      </c>
      <c r="BK1210" s="1">
        <v>1</v>
      </c>
      <c r="BL1210" t="str">
        <f>"1"</f>
        <v>1</v>
      </c>
      <c r="BM1210" t="str">
        <f xml:space="preserve"> IF($BK$1210 &gt;= $G$281, "1","0")</f>
        <v>1</v>
      </c>
      <c r="BN1210">
        <f xml:space="preserve"> IF( AND( $BL$1210 = "1", $BM$1210 = "1" ), 1, IF( AND( $BL$1210 = "1", $BM$1210 = "0" ), 2, IF( AND( $BL$1210 = "0", $BM$1210 = "1" ), 3, 4 ) ) )</f>
        <v>1</v>
      </c>
    </row>
    <row r="1211" spans="58:66" x14ac:dyDescent="0.25">
      <c r="BF1211" s="1">
        <v>0</v>
      </c>
      <c r="BG1211" t="str">
        <f>"0"</f>
        <v>0</v>
      </c>
      <c r="BH1211" t="str">
        <f xml:space="preserve"> IF($BF$1211 &gt;= $G$204, "1","0")</f>
        <v>0</v>
      </c>
      <c r="BI1211">
        <f xml:space="preserve"> IF( AND( $BG$1211 = "1", $BH$1211 = "1" ), 1, IF( AND( $BG$1211 = "1", $BH$1211 = "0" ), 2, IF( AND( $BG$1211 = "0", $BH$1211 = "1" ), 3, 4 ) ) )</f>
        <v>4</v>
      </c>
      <c r="BK1211" s="1">
        <v>1.8947368421052633E-2</v>
      </c>
      <c r="BL1211" t="str">
        <f>"0"</f>
        <v>0</v>
      </c>
      <c r="BM1211" t="str">
        <f xml:space="preserve"> IF($BK$1211 &gt;= $G$281, "1","0")</f>
        <v>0</v>
      </c>
      <c r="BN1211">
        <f xml:space="preserve"> IF( AND( $BL$1211 = "1", $BM$1211 = "1" ), 1, IF( AND( $BL$1211 = "1", $BM$1211 = "0" ), 2, IF( AND( $BL$1211 = "0", $BM$1211 = "1" ), 3, 4 ) ) )</f>
        <v>4</v>
      </c>
    </row>
    <row r="1212" spans="58:66" x14ac:dyDescent="0.25">
      <c r="BF1212" s="1">
        <v>0</v>
      </c>
      <c r="BG1212" t="str">
        <f>"0"</f>
        <v>0</v>
      </c>
      <c r="BH1212" t="str">
        <f xml:space="preserve"> IF($BF$1212 &gt;= $G$204, "1","0")</f>
        <v>0</v>
      </c>
      <c r="BI1212">
        <f xml:space="preserve"> IF( AND( $BG$1212 = "1", $BH$1212 = "1" ), 1, IF( AND( $BG$1212 = "1", $BH$1212 = "0" ), 2, IF( AND( $BG$1212 = "0", $BH$1212 = "1" ), 3, 4 ) ) )</f>
        <v>4</v>
      </c>
      <c r="BK1212" s="1">
        <v>1</v>
      </c>
      <c r="BL1212" t="str">
        <f>"1"</f>
        <v>1</v>
      </c>
      <c r="BM1212" t="str">
        <f xml:space="preserve"> IF($BK$1212 &gt;= $G$281, "1","0")</f>
        <v>1</v>
      </c>
      <c r="BN1212">
        <f xml:space="preserve"> IF( AND( $BL$1212 = "1", $BM$1212 = "1" ), 1, IF( AND( $BL$1212 = "1", $BM$1212 = "0" ), 2, IF( AND( $BL$1212 = "0", $BM$1212 = "1" ), 3, 4 ) ) )</f>
        <v>1</v>
      </c>
    </row>
    <row r="1213" spans="58:66" x14ac:dyDescent="0.25">
      <c r="BF1213" s="1">
        <v>0</v>
      </c>
      <c r="BG1213" t="str">
        <f>"0"</f>
        <v>0</v>
      </c>
      <c r="BH1213" t="str">
        <f xml:space="preserve"> IF($BF$1213 &gt;= $G$204, "1","0")</f>
        <v>0</v>
      </c>
      <c r="BI1213">
        <f xml:space="preserve"> IF( AND( $BG$1213 = "1", $BH$1213 = "1" ), 1, IF( AND( $BG$1213 = "1", $BH$1213 = "0" ), 2, IF( AND( $BG$1213 = "0", $BH$1213 = "1" ), 3, 4 ) ) )</f>
        <v>4</v>
      </c>
      <c r="BK1213" s="1">
        <v>2.5000000000000001E-3</v>
      </c>
      <c r="BL1213" t="str">
        <f>"0"</f>
        <v>0</v>
      </c>
      <c r="BM1213" t="str">
        <f xml:space="preserve"> IF($BK$1213 &gt;= $G$281, "1","0")</f>
        <v>0</v>
      </c>
      <c r="BN1213">
        <f xml:space="preserve"> IF( AND( $BL$1213 = "1", $BM$1213 = "1" ), 1, IF( AND( $BL$1213 = "1", $BM$1213 = "0" ), 2, IF( AND( $BL$1213 = "0", $BM$1213 = "1" ), 3, 4 ) ) )</f>
        <v>4</v>
      </c>
    </row>
    <row r="1214" spans="58:66" x14ac:dyDescent="0.25">
      <c r="BF1214" s="1">
        <v>0</v>
      </c>
      <c r="BG1214" t="str">
        <f>"0"</f>
        <v>0</v>
      </c>
      <c r="BH1214" t="str">
        <f xml:space="preserve"> IF($BF$1214 &gt;= $G$204, "1","0")</f>
        <v>0</v>
      </c>
      <c r="BI1214">
        <f xml:space="preserve"> IF( AND( $BG$1214 = "1", $BH$1214 = "1" ), 1, IF( AND( $BG$1214 = "1", $BH$1214 = "0" ), 2, IF( AND( $BG$1214 = "0", $BH$1214 = "1" ), 3, 4 ) ) )</f>
        <v>4</v>
      </c>
      <c r="BK1214" s="1">
        <v>1</v>
      </c>
      <c r="BL1214" t="str">
        <f>"1"</f>
        <v>1</v>
      </c>
      <c r="BM1214" t="str">
        <f xml:space="preserve"> IF($BK$1214 &gt;= $G$281, "1","0")</f>
        <v>1</v>
      </c>
      <c r="BN1214">
        <f xml:space="preserve"> IF( AND( $BL$1214 = "1", $BM$1214 = "1" ), 1, IF( AND( $BL$1214 = "1", $BM$1214 = "0" ), 2, IF( AND( $BL$1214 = "0", $BM$1214 = "1" ), 3, 4 ) ) )</f>
        <v>1</v>
      </c>
    </row>
    <row r="1215" spans="58:66" x14ac:dyDescent="0.25">
      <c r="BF1215" s="1">
        <v>0</v>
      </c>
      <c r="BG1215" t="str">
        <f>"0"</f>
        <v>0</v>
      </c>
      <c r="BH1215" t="str">
        <f xml:space="preserve"> IF($BF$1215 &gt;= $G$204, "1","0")</f>
        <v>0</v>
      </c>
      <c r="BI1215">
        <f xml:space="preserve"> IF( AND( $BG$1215 = "1", $BH$1215 = "1" ), 1, IF( AND( $BG$1215 = "1", $BH$1215 = "0" ), 2, IF( AND( $BG$1215 = "0", $BH$1215 = "1" ), 3, 4 ) ) )</f>
        <v>4</v>
      </c>
      <c r="BK1215" s="1">
        <v>0</v>
      </c>
      <c r="BL1215" t="str">
        <f>"0"</f>
        <v>0</v>
      </c>
      <c r="BM1215" t="str">
        <f xml:space="preserve"> IF($BK$1215 &gt;= $G$281, "1","0")</f>
        <v>0</v>
      </c>
      <c r="BN1215">
        <f xml:space="preserve"> IF( AND( $BL$1215 = "1", $BM$1215 = "1" ), 1, IF( AND( $BL$1215 = "1", $BM$1215 = "0" ), 2, IF( AND( $BL$1215 = "0", $BM$1215 = "1" ), 3, 4 ) ) )</f>
        <v>4</v>
      </c>
    </row>
    <row r="1216" spans="58:66" x14ac:dyDescent="0.25">
      <c r="BF1216" s="1">
        <v>0</v>
      </c>
      <c r="BG1216" t="str">
        <f>"0"</f>
        <v>0</v>
      </c>
      <c r="BH1216" t="str">
        <f xml:space="preserve"> IF($BF$1216 &gt;= $G$204, "1","0")</f>
        <v>0</v>
      </c>
      <c r="BI1216">
        <f xml:space="preserve"> IF( AND( $BG$1216 = "1", $BH$1216 = "1" ), 1, IF( AND( $BG$1216 = "1", $BH$1216 = "0" ), 2, IF( AND( $BG$1216 = "0", $BH$1216 = "1" ), 3, 4 ) ) )</f>
        <v>4</v>
      </c>
      <c r="BK1216" s="1">
        <v>0</v>
      </c>
      <c r="BL1216" t="str">
        <f>"0"</f>
        <v>0</v>
      </c>
      <c r="BM1216" t="str">
        <f xml:space="preserve"> IF($BK$1216 &gt;= $G$281, "1","0")</f>
        <v>0</v>
      </c>
      <c r="BN1216">
        <f xml:space="preserve"> IF( AND( $BL$1216 = "1", $BM$1216 = "1" ), 1, IF( AND( $BL$1216 = "1", $BM$1216 = "0" ), 2, IF( AND( $BL$1216 = "0", $BM$1216 = "1" ), 3, 4 ) ) )</f>
        <v>4</v>
      </c>
    </row>
    <row r="1217" spans="58:66" x14ac:dyDescent="0.25">
      <c r="BF1217" s="1">
        <v>0</v>
      </c>
      <c r="BG1217" t="str">
        <f>"0"</f>
        <v>0</v>
      </c>
      <c r="BH1217" t="str">
        <f xml:space="preserve"> IF($BF$1217 &gt;= $G$204, "1","0")</f>
        <v>0</v>
      </c>
      <c r="BI1217">
        <f xml:space="preserve"> IF( AND( $BG$1217 = "1", $BH$1217 = "1" ), 1, IF( AND( $BG$1217 = "1", $BH$1217 = "0" ), 2, IF( AND( $BG$1217 = "0", $BH$1217 = "1" ), 3, 4 ) ) )</f>
        <v>4</v>
      </c>
      <c r="BK1217" s="1">
        <v>0.69230769230769229</v>
      </c>
      <c r="BL1217" t="str">
        <f>"0"</f>
        <v>0</v>
      </c>
      <c r="BM1217" t="str">
        <f xml:space="preserve"> IF($BK$1217 &gt;= $G$281, "1","0")</f>
        <v>1</v>
      </c>
      <c r="BN1217">
        <f xml:space="preserve"> IF( AND( $BL$1217 = "1", $BM$1217 = "1" ), 1, IF( AND( $BL$1217 = "1", $BM$1217 = "0" ), 2, IF( AND( $BL$1217 = "0", $BM$1217 = "1" ), 3, 4 ) ) )</f>
        <v>3</v>
      </c>
    </row>
    <row r="1218" spans="58:66" x14ac:dyDescent="0.25">
      <c r="BF1218" s="1">
        <v>0</v>
      </c>
      <c r="BG1218" t="str">
        <f>"0"</f>
        <v>0</v>
      </c>
      <c r="BH1218" t="str">
        <f xml:space="preserve"> IF($BF$1218 &gt;= $G$204, "1","0")</f>
        <v>0</v>
      </c>
      <c r="BI1218">
        <f xml:space="preserve"> IF( AND( $BG$1218 = "1", $BH$1218 = "1" ), 1, IF( AND( $BG$1218 = "1", $BH$1218 = "0" ), 2, IF( AND( $BG$1218 = "0", $BH$1218 = "1" ), 3, 4 ) ) )</f>
        <v>4</v>
      </c>
      <c r="BK1218" s="1">
        <v>3.333333333333334E-2</v>
      </c>
      <c r="BL1218" t="str">
        <f>"0"</f>
        <v>0</v>
      </c>
      <c r="BM1218" t="str">
        <f xml:space="preserve"> IF($BK$1218 &gt;= $G$281, "1","0")</f>
        <v>0</v>
      </c>
      <c r="BN1218">
        <f xml:space="preserve"> IF( AND( $BL$1218 = "1", $BM$1218 = "1" ), 1, IF( AND( $BL$1218 = "1", $BM$1218 = "0" ), 2, IF( AND( $BL$1218 = "0", $BM$1218 = "1" ), 3, 4 ) ) )</f>
        <v>4</v>
      </c>
    </row>
    <row r="1219" spans="58:66" x14ac:dyDescent="0.25">
      <c r="BF1219" s="1">
        <v>0</v>
      </c>
      <c r="BG1219" t="str">
        <f>"0"</f>
        <v>0</v>
      </c>
      <c r="BH1219" t="str">
        <f xml:space="preserve"> IF($BF$1219 &gt;= $G$204, "1","0")</f>
        <v>0</v>
      </c>
      <c r="BI1219">
        <f xml:space="preserve"> IF( AND( $BG$1219 = "1", $BH$1219 = "1" ), 1, IF( AND( $BG$1219 = "1", $BH$1219 = "0" ), 2, IF( AND( $BG$1219 = "0", $BH$1219 = "1" ), 3, 4 ) ) )</f>
        <v>4</v>
      </c>
      <c r="BK1219" s="1">
        <v>1.8947368421052633E-2</v>
      </c>
      <c r="BL1219" t="str">
        <f>"0"</f>
        <v>0</v>
      </c>
      <c r="BM1219" t="str">
        <f xml:space="preserve"> IF($BK$1219 &gt;= $G$281, "1","0")</f>
        <v>0</v>
      </c>
      <c r="BN1219">
        <f xml:space="preserve"> IF( AND( $BL$1219 = "1", $BM$1219 = "1" ), 1, IF( AND( $BL$1219 = "1", $BM$1219 = "0" ), 2, IF( AND( $BL$1219 = "0", $BM$1219 = "1" ), 3, 4 ) ) )</f>
        <v>4</v>
      </c>
    </row>
    <row r="1220" spans="58:66" x14ac:dyDescent="0.25">
      <c r="BF1220" s="1">
        <v>0</v>
      </c>
      <c r="BG1220" t="str">
        <f>"0"</f>
        <v>0</v>
      </c>
      <c r="BH1220" t="str">
        <f xml:space="preserve"> IF($BF$1220 &gt;= $G$204, "1","0")</f>
        <v>0</v>
      </c>
      <c r="BI1220">
        <f xml:space="preserve"> IF( AND( $BG$1220 = "1", $BH$1220 = "1" ), 1, IF( AND( $BG$1220 = "1", $BH$1220 = "0" ), 2, IF( AND( $BG$1220 = "0", $BH$1220 = "1" ), 3, 4 ) ) )</f>
        <v>4</v>
      </c>
      <c r="BK1220" s="1">
        <v>3.333333333333334E-2</v>
      </c>
      <c r="BL1220" t="str">
        <f>"0"</f>
        <v>0</v>
      </c>
      <c r="BM1220" t="str">
        <f xml:space="preserve"> IF($BK$1220 &gt;= $G$281, "1","0")</f>
        <v>0</v>
      </c>
      <c r="BN1220">
        <f xml:space="preserve"> IF( AND( $BL$1220 = "1", $BM$1220 = "1" ), 1, IF( AND( $BL$1220 = "1", $BM$1220 = "0" ), 2, IF( AND( $BL$1220 = "0", $BM$1220 = "1" ), 3, 4 ) ) )</f>
        <v>4</v>
      </c>
    </row>
    <row r="1221" spans="58:66" x14ac:dyDescent="0.25">
      <c r="BF1221" s="1">
        <v>0</v>
      </c>
      <c r="BG1221" t="str">
        <f>"0"</f>
        <v>0</v>
      </c>
      <c r="BH1221" t="str">
        <f xml:space="preserve"> IF($BF$1221 &gt;= $G$204, "1","0")</f>
        <v>0</v>
      </c>
      <c r="BI1221">
        <f xml:space="preserve"> IF( AND( $BG$1221 = "1", $BH$1221 = "1" ), 1, IF( AND( $BG$1221 = "1", $BH$1221 = "0" ), 2, IF( AND( $BG$1221 = "0", $BH$1221 = "1" ), 3, 4 ) ) )</f>
        <v>4</v>
      </c>
      <c r="BK1221" s="1">
        <v>0.90476190476190477</v>
      </c>
      <c r="BL1221" t="str">
        <f>"1"</f>
        <v>1</v>
      </c>
      <c r="BM1221" t="str">
        <f xml:space="preserve"> IF($BK$1221 &gt;= $G$281, "1","0")</f>
        <v>1</v>
      </c>
      <c r="BN1221">
        <f xml:space="preserve"> IF( AND( $BL$1221 = "1", $BM$1221 = "1" ), 1, IF( AND( $BL$1221 = "1", $BM$1221 = "0" ), 2, IF( AND( $BL$1221 = "0", $BM$1221 = "1" ), 3, 4 ) ) )</f>
        <v>1</v>
      </c>
    </row>
    <row r="1222" spans="58:66" x14ac:dyDescent="0.25">
      <c r="BF1222" s="1">
        <v>0</v>
      </c>
      <c r="BG1222" t="str">
        <f>"0"</f>
        <v>0</v>
      </c>
      <c r="BH1222" t="str">
        <f xml:space="preserve"> IF($BF$1222 &gt;= $G$204, "1","0")</f>
        <v>0</v>
      </c>
      <c r="BI1222">
        <f xml:space="preserve"> IF( AND( $BG$1222 = "1", $BH$1222 = "1" ), 1, IF( AND( $BG$1222 = "1", $BH$1222 = "0" ), 2, IF( AND( $BG$1222 = "0", $BH$1222 = "1" ), 3, 4 ) ) )</f>
        <v>4</v>
      </c>
      <c r="BK1222" s="1">
        <v>0.14285714285714285</v>
      </c>
      <c r="BL1222" t="str">
        <f>"0"</f>
        <v>0</v>
      </c>
      <c r="BM1222" t="str">
        <f xml:space="preserve"> IF($BK$1222 &gt;= $G$281, "1","0")</f>
        <v>0</v>
      </c>
      <c r="BN1222">
        <f xml:space="preserve"> IF( AND( $BL$1222 = "1", $BM$1222 = "1" ), 1, IF( AND( $BL$1222 = "1", $BM$1222 = "0" ), 2, IF( AND( $BL$1222 = "0", $BM$1222 = "1" ), 3, 4 ) ) )</f>
        <v>4</v>
      </c>
    </row>
    <row r="1223" spans="58:66" x14ac:dyDescent="0.25">
      <c r="BF1223" s="1">
        <v>0</v>
      </c>
      <c r="BG1223" t="str">
        <f>"0"</f>
        <v>0</v>
      </c>
      <c r="BH1223" t="str">
        <f xml:space="preserve"> IF($BF$1223 &gt;= $G$204, "1","0")</f>
        <v>0</v>
      </c>
      <c r="BI1223">
        <f xml:space="preserve"> IF( AND( $BG$1223 = "1", $BH$1223 = "1" ), 1, IF( AND( $BG$1223 = "1", $BH$1223 = "0" ), 2, IF( AND( $BG$1223 = "0", $BH$1223 = "1" ), 3, 4 ) ) )</f>
        <v>4</v>
      </c>
      <c r="BK1223" s="1">
        <v>1.8947368421052633E-2</v>
      </c>
      <c r="BL1223" t="str">
        <f>"0"</f>
        <v>0</v>
      </c>
      <c r="BM1223" t="str">
        <f xml:space="preserve"> IF($BK$1223 &gt;= $G$281, "1","0")</f>
        <v>0</v>
      </c>
      <c r="BN1223">
        <f xml:space="preserve"> IF( AND( $BL$1223 = "1", $BM$1223 = "1" ), 1, IF( AND( $BL$1223 = "1", $BM$1223 = "0" ), 2, IF( AND( $BL$1223 = "0", $BM$1223 = "1" ), 3, 4 ) ) )</f>
        <v>4</v>
      </c>
    </row>
    <row r="1224" spans="58:66" x14ac:dyDescent="0.25">
      <c r="BF1224" s="1">
        <v>0</v>
      </c>
      <c r="BG1224" t="str">
        <f>"0"</f>
        <v>0</v>
      </c>
      <c r="BH1224" t="str">
        <f xml:space="preserve"> IF($BF$1224 &gt;= $G$204, "1","0")</f>
        <v>0</v>
      </c>
      <c r="BI1224">
        <f xml:space="preserve"> IF( AND( $BG$1224 = "1", $BH$1224 = "1" ), 1, IF( AND( $BG$1224 = "1", $BH$1224 = "0" ), 2, IF( AND( $BG$1224 = "0", $BH$1224 = "1" ), 3, 4 ) ) )</f>
        <v>4</v>
      </c>
      <c r="BK1224" s="1">
        <v>0.68181818181818188</v>
      </c>
      <c r="BL1224" t="str">
        <f>"1"</f>
        <v>1</v>
      </c>
      <c r="BM1224" t="str">
        <f xml:space="preserve"> IF($BK$1224 &gt;= $G$281, "1","0")</f>
        <v>1</v>
      </c>
      <c r="BN1224">
        <f xml:space="preserve"> IF( AND( $BL$1224 = "1", $BM$1224 = "1" ), 1, IF( AND( $BL$1224 = "1", $BM$1224 = "0" ), 2, IF( AND( $BL$1224 = "0", $BM$1224 = "1" ), 3, 4 ) ) )</f>
        <v>1</v>
      </c>
    </row>
    <row r="1225" spans="58:66" x14ac:dyDescent="0.25">
      <c r="BF1225" s="1">
        <v>0</v>
      </c>
      <c r="BG1225" t="str">
        <f>"0"</f>
        <v>0</v>
      </c>
      <c r="BH1225" t="str">
        <f xml:space="preserve"> IF($BF$1225 &gt;= $G$204, "1","0")</f>
        <v>0</v>
      </c>
      <c r="BI1225">
        <f xml:space="preserve"> IF( AND( $BG$1225 = "1", $BH$1225 = "1" ), 1, IF( AND( $BG$1225 = "1", $BH$1225 = "0" ), 2, IF( AND( $BG$1225 = "0", $BH$1225 = "1" ), 3, 4 ) ) )</f>
        <v>4</v>
      </c>
      <c r="BK1225" s="1">
        <v>2.5000000000000001E-3</v>
      </c>
      <c r="BL1225" t="str">
        <f>"0"</f>
        <v>0</v>
      </c>
      <c r="BM1225" t="str">
        <f xml:space="preserve"> IF($BK$1225 &gt;= $G$281, "1","0")</f>
        <v>0</v>
      </c>
      <c r="BN1225">
        <f xml:space="preserve"> IF( AND( $BL$1225 = "1", $BM$1225 = "1" ), 1, IF( AND( $BL$1225 = "1", $BM$1225 = "0" ), 2, IF( AND( $BL$1225 = "0", $BM$1225 = "1" ), 3, 4 ) ) )</f>
        <v>4</v>
      </c>
    </row>
    <row r="1226" spans="58:66" x14ac:dyDescent="0.25">
      <c r="BF1226" s="1">
        <v>0</v>
      </c>
      <c r="BG1226" t="str">
        <f>"0"</f>
        <v>0</v>
      </c>
      <c r="BH1226" t="str">
        <f xml:space="preserve"> IF($BF$1226 &gt;= $G$204, "1","0")</f>
        <v>0</v>
      </c>
      <c r="BI1226">
        <f xml:space="preserve"> IF( AND( $BG$1226 = "1", $BH$1226 = "1" ), 1, IF( AND( $BG$1226 = "1", $BH$1226 = "0" ), 2, IF( AND( $BG$1226 = "0", $BH$1226 = "1" ), 3, 4 ) ) )</f>
        <v>4</v>
      </c>
      <c r="BK1226" s="1">
        <v>2.5000000000000001E-3</v>
      </c>
      <c r="BL1226" t="str">
        <f>"0"</f>
        <v>0</v>
      </c>
      <c r="BM1226" t="str">
        <f xml:space="preserve"> IF($BK$1226 &gt;= $G$281, "1","0")</f>
        <v>0</v>
      </c>
      <c r="BN1226">
        <f xml:space="preserve"> IF( AND( $BL$1226 = "1", $BM$1226 = "1" ), 1, IF( AND( $BL$1226 = "1", $BM$1226 = "0" ), 2, IF( AND( $BL$1226 = "0", $BM$1226 = "1" ), 3, 4 ) ) )</f>
        <v>4</v>
      </c>
    </row>
    <row r="1227" spans="58:66" x14ac:dyDescent="0.25">
      <c r="BF1227" s="1">
        <v>0</v>
      </c>
      <c r="BG1227" t="str">
        <f>"0"</f>
        <v>0</v>
      </c>
      <c r="BH1227" t="str">
        <f xml:space="preserve"> IF($BF$1227 &gt;= $G$204, "1","0")</f>
        <v>0</v>
      </c>
      <c r="BI1227">
        <f xml:space="preserve"> IF( AND( $BG$1227 = "1", $BH$1227 = "1" ), 1, IF( AND( $BG$1227 = "1", $BH$1227 = "0" ), 2, IF( AND( $BG$1227 = "0", $BH$1227 = "1" ), 3, 4 ) ) )</f>
        <v>4</v>
      </c>
      <c r="BK1227" s="1">
        <v>2.5000000000000001E-3</v>
      </c>
      <c r="BL1227" t="str">
        <f>"0"</f>
        <v>0</v>
      </c>
      <c r="BM1227" t="str">
        <f xml:space="preserve"> IF($BK$1227 &gt;= $G$281, "1","0")</f>
        <v>0</v>
      </c>
      <c r="BN1227">
        <f xml:space="preserve"> IF( AND( $BL$1227 = "1", $BM$1227 = "1" ), 1, IF( AND( $BL$1227 = "1", $BM$1227 = "0" ), 2, IF( AND( $BL$1227 = "0", $BM$1227 = "1" ), 3, 4 ) ) )</f>
        <v>4</v>
      </c>
    </row>
    <row r="1228" spans="58:66" x14ac:dyDescent="0.25">
      <c r="BF1228" s="1">
        <v>0</v>
      </c>
      <c r="BG1228" t="str">
        <f>"0"</f>
        <v>0</v>
      </c>
      <c r="BH1228" t="str">
        <f xml:space="preserve"> IF($BF$1228 &gt;= $G$204, "1","0")</f>
        <v>0</v>
      </c>
      <c r="BI1228">
        <f xml:space="preserve"> IF( AND( $BG$1228 = "1", $BH$1228 = "1" ), 1, IF( AND( $BG$1228 = "1", $BH$1228 = "0" ), 2, IF( AND( $BG$1228 = "0", $BH$1228 = "1" ), 3, 4 ) ) )</f>
        <v>4</v>
      </c>
      <c r="BK1228" s="1">
        <v>0.68181818181818188</v>
      </c>
      <c r="BL1228" t="str">
        <f>"1"</f>
        <v>1</v>
      </c>
      <c r="BM1228" t="str">
        <f xml:space="preserve"> IF($BK$1228 &gt;= $G$281, "1","0")</f>
        <v>1</v>
      </c>
      <c r="BN1228">
        <f xml:space="preserve"> IF( AND( $BL$1228 = "1", $BM$1228 = "1" ), 1, IF( AND( $BL$1228 = "1", $BM$1228 = "0" ), 2, IF( AND( $BL$1228 = "0", $BM$1228 = "1" ), 3, 4 ) ) )</f>
        <v>1</v>
      </c>
    </row>
    <row r="1229" spans="58:66" x14ac:dyDescent="0.25">
      <c r="BF1229" s="1">
        <v>0</v>
      </c>
      <c r="BG1229" t="str">
        <f>"0"</f>
        <v>0</v>
      </c>
      <c r="BH1229" t="str">
        <f xml:space="preserve"> IF($BF$1229 &gt;= $G$204, "1","0")</f>
        <v>0</v>
      </c>
      <c r="BI1229">
        <f xml:space="preserve"> IF( AND( $BG$1229 = "1", $BH$1229 = "1" ), 1, IF( AND( $BG$1229 = "1", $BH$1229 = "0" ), 2, IF( AND( $BG$1229 = "0", $BH$1229 = "1" ), 3, 4 ) ) )</f>
        <v>4</v>
      </c>
      <c r="BK1229" s="1">
        <v>0.32</v>
      </c>
      <c r="BL1229" t="str">
        <f>"0"</f>
        <v>0</v>
      </c>
      <c r="BM1229" t="str">
        <f xml:space="preserve"> IF($BK$1229 &gt;= $G$281, "1","0")</f>
        <v>1</v>
      </c>
      <c r="BN1229">
        <f xml:space="preserve"> IF( AND( $BL$1229 = "1", $BM$1229 = "1" ), 1, IF( AND( $BL$1229 = "1", $BM$1229 = "0" ), 2, IF( AND( $BL$1229 = "0", $BM$1229 = "1" ), 3, 4 ) ) )</f>
        <v>3</v>
      </c>
    </row>
    <row r="1230" spans="58:66" x14ac:dyDescent="0.25">
      <c r="BF1230" s="1">
        <v>0</v>
      </c>
      <c r="BG1230" t="str">
        <f>"0"</f>
        <v>0</v>
      </c>
      <c r="BH1230" t="str">
        <f xml:space="preserve"> IF($BF$1230 &gt;= $G$204, "1","0")</f>
        <v>0</v>
      </c>
      <c r="BI1230">
        <f xml:space="preserve"> IF( AND( $BG$1230 = "1", $BH$1230 = "1" ), 1, IF( AND( $BG$1230 = "1", $BH$1230 = "0" ), 2, IF( AND( $BG$1230 = "0", $BH$1230 = "1" ), 3, 4 ) ) )</f>
        <v>4</v>
      </c>
      <c r="BK1230" s="1">
        <v>2.5000000000000001E-3</v>
      </c>
      <c r="BL1230" t="str">
        <f>"0"</f>
        <v>0</v>
      </c>
      <c r="BM1230" t="str">
        <f xml:space="preserve"> IF($BK$1230 &gt;= $G$281, "1","0")</f>
        <v>0</v>
      </c>
      <c r="BN1230">
        <f xml:space="preserve"> IF( AND( $BL$1230 = "1", $BM$1230 = "1" ), 1, IF( AND( $BL$1230 = "1", $BM$1230 = "0" ), 2, IF( AND( $BL$1230 = "0", $BM$1230 = "1" ), 3, 4 ) ) )</f>
        <v>4</v>
      </c>
    </row>
    <row r="1231" spans="58:66" x14ac:dyDescent="0.25">
      <c r="BF1231" s="1">
        <v>0</v>
      </c>
      <c r="BG1231" t="str">
        <f>"0"</f>
        <v>0</v>
      </c>
      <c r="BH1231" t="str">
        <f xml:space="preserve"> IF($BF$1231 &gt;= $G$204, "1","0")</f>
        <v>0</v>
      </c>
      <c r="BI1231">
        <f xml:space="preserve"> IF( AND( $BG$1231 = "1", $BH$1231 = "1" ), 1, IF( AND( $BG$1231 = "1", $BH$1231 = "0" ), 2, IF( AND( $BG$1231 = "0", $BH$1231 = "1" ), 3, 4 ) ) )</f>
        <v>4</v>
      </c>
      <c r="BK1231" s="1">
        <v>0.14285714285714288</v>
      </c>
      <c r="BL1231" t="str">
        <f>"1"</f>
        <v>1</v>
      </c>
      <c r="BM1231" t="str">
        <f xml:space="preserve"> IF($BK$1231 &gt;= $G$281, "1","0")</f>
        <v>0</v>
      </c>
      <c r="BN1231">
        <f xml:space="preserve"> IF( AND( $BL$1231 = "1", $BM$1231 = "1" ), 1, IF( AND( $BL$1231 = "1", $BM$1231 = "0" ), 2, IF( AND( $BL$1231 = "0", $BM$1231 = "1" ), 3, 4 ) ) )</f>
        <v>2</v>
      </c>
    </row>
    <row r="1232" spans="58:66" x14ac:dyDescent="0.25">
      <c r="BF1232" s="1">
        <v>0</v>
      </c>
      <c r="BG1232" t="str">
        <f>"0"</f>
        <v>0</v>
      </c>
      <c r="BH1232" t="str">
        <f xml:space="preserve"> IF($BF$1232 &gt;= $G$204, "1","0")</f>
        <v>0</v>
      </c>
      <c r="BI1232">
        <f xml:space="preserve"> IF( AND( $BG$1232 = "1", $BH$1232 = "1" ), 1, IF( AND( $BG$1232 = "1", $BH$1232 = "0" ), 2, IF( AND( $BG$1232 = "0", $BH$1232 = "1" ), 3, 4 ) ) )</f>
        <v>4</v>
      </c>
      <c r="BK1232" s="1">
        <v>3.333333333333334E-2</v>
      </c>
      <c r="BL1232" t="str">
        <f>"0"</f>
        <v>0</v>
      </c>
      <c r="BM1232" t="str">
        <f xml:space="preserve"> IF($BK$1232 &gt;= $G$281, "1","0")</f>
        <v>0</v>
      </c>
      <c r="BN1232">
        <f xml:space="preserve"> IF( AND( $BL$1232 = "1", $BM$1232 = "1" ), 1, IF( AND( $BL$1232 = "1", $BM$1232 = "0" ), 2, IF( AND( $BL$1232 = "0", $BM$1232 = "1" ), 3, 4 ) ) )</f>
        <v>4</v>
      </c>
    </row>
    <row r="1233" spans="58:66" x14ac:dyDescent="0.25">
      <c r="BF1233" s="1">
        <v>0</v>
      </c>
      <c r="BG1233" t="str">
        <f>"0"</f>
        <v>0</v>
      </c>
      <c r="BH1233" t="str">
        <f xml:space="preserve"> IF($BF$1233 &gt;= $G$204, "1","0")</f>
        <v>0</v>
      </c>
      <c r="BI1233">
        <f xml:space="preserve"> IF( AND( $BG$1233 = "1", $BH$1233 = "1" ), 1, IF( AND( $BG$1233 = "1", $BH$1233 = "0" ), 2, IF( AND( $BG$1233 = "0", $BH$1233 = "1" ), 3, 4 ) ) )</f>
        <v>4</v>
      </c>
      <c r="BK1233" s="1">
        <v>0.14285714285714288</v>
      </c>
      <c r="BL1233" t="str">
        <f>"0"</f>
        <v>0</v>
      </c>
      <c r="BM1233" t="str">
        <f xml:space="preserve"> IF($BK$1233 &gt;= $G$281, "1","0")</f>
        <v>0</v>
      </c>
      <c r="BN1233">
        <f xml:space="preserve"> IF( AND( $BL$1233 = "1", $BM$1233 = "1" ), 1, IF( AND( $BL$1233 = "1", $BM$1233 = "0" ), 2, IF( AND( $BL$1233 = "0", $BM$1233 = "1" ), 3, 4 ) ) )</f>
        <v>4</v>
      </c>
    </row>
    <row r="1234" spans="58:66" x14ac:dyDescent="0.25">
      <c r="BF1234" s="1">
        <v>0</v>
      </c>
      <c r="BG1234" t="str">
        <f>"0"</f>
        <v>0</v>
      </c>
      <c r="BH1234" t="str">
        <f xml:space="preserve"> IF($BF$1234 &gt;= $G$204, "1","0")</f>
        <v>0</v>
      </c>
      <c r="BI1234">
        <f xml:space="preserve"> IF( AND( $BG$1234 = "1", $BH$1234 = "1" ), 1, IF( AND( $BG$1234 = "1", $BH$1234 = "0" ), 2, IF( AND( $BG$1234 = "0", $BH$1234 = "1" ), 3, 4 ) ) )</f>
        <v>4</v>
      </c>
      <c r="BK1234" s="1">
        <v>0.37500000000000006</v>
      </c>
      <c r="BL1234" t="str">
        <f>"0"</f>
        <v>0</v>
      </c>
      <c r="BM1234" t="str">
        <f xml:space="preserve"> IF($BK$1234 &gt;= $G$281, "1","0")</f>
        <v>1</v>
      </c>
      <c r="BN1234">
        <f xml:space="preserve"> IF( AND( $BL$1234 = "1", $BM$1234 = "1" ), 1, IF( AND( $BL$1234 = "1", $BM$1234 = "0" ), 2, IF( AND( $BL$1234 = "0", $BM$1234 = "1" ), 3, 4 ) ) )</f>
        <v>3</v>
      </c>
    </row>
    <row r="1235" spans="58:66" x14ac:dyDescent="0.25">
      <c r="BF1235" s="1">
        <v>0</v>
      </c>
      <c r="BG1235" t="str">
        <f>"0"</f>
        <v>0</v>
      </c>
      <c r="BH1235" t="str">
        <f xml:space="preserve"> IF($BF$1235 &gt;= $G$204, "1","0")</f>
        <v>0</v>
      </c>
      <c r="BI1235">
        <f xml:space="preserve"> IF( AND( $BG$1235 = "1", $BH$1235 = "1" ), 1, IF( AND( $BG$1235 = "1", $BH$1235 = "0" ), 2, IF( AND( $BG$1235 = "0", $BH$1235 = "1" ), 3, 4 ) ) )</f>
        <v>4</v>
      </c>
      <c r="BK1235" s="1">
        <v>0.68181818181818188</v>
      </c>
      <c r="BL1235" t="str">
        <f>"1"</f>
        <v>1</v>
      </c>
      <c r="BM1235" t="str">
        <f xml:space="preserve"> IF($BK$1235 &gt;= $G$281, "1","0")</f>
        <v>1</v>
      </c>
      <c r="BN1235">
        <f xml:space="preserve"> IF( AND( $BL$1235 = "1", $BM$1235 = "1" ), 1, IF( AND( $BL$1235 = "1", $BM$1235 = "0" ), 2, IF( AND( $BL$1235 = "0", $BM$1235 = "1" ), 3, 4 ) ) )</f>
        <v>1</v>
      </c>
    </row>
    <row r="1236" spans="58:66" x14ac:dyDescent="0.25">
      <c r="BF1236" s="1">
        <v>0</v>
      </c>
      <c r="BG1236" t="str">
        <f>"0"</f>
        <v>0</v>
      </c>
      <c r="BH1236" t="str">
        <f xml:space="preserve"> IF($BF$1236 &gt;= $G$204, "1","0")</f>
        <v>0</v>
      </c>
      <c r="BI1236">
        <f xml:space="preserve"> IF( AND( $BG$1236 = "1", $BH$1236 = "1" ), 1, IF( AND( $BG$1236 = "1", $BH$1236 = "0" ), 2, IF( AND( $BG$1236 = "0", $BH$1236 = "1" ), 3, 4 ) ) )</f>
        <v>4</v>
      </c>
      <c r="BK1236" s="1">
        <v>1.8947368421052633E-2</v>
      </c>
      <c r="BL1236" t="str">
        <f>"0"</f>
        <v>0</v>
      </c>
      <c r="BM1236" t="str">
        <f xml:space="preserve"> IF($BK$1236 &gt;= $G$281, "1","0")</f>
        <v>0</v>
      </c>
      <c r="BN1236">
        <f xml:space="preserve"> IF( AND( $BL$1236 = "1", $BM$1236 = "1" ), 1, IF( AND( $BL$1236 = "1", $BM$1236 = "0" ), 2, IF( AND( $BL$1236 = "0", $BM$1236 = "1" ), 3, 4 ) ) )</f>
        <v>4</v>
      </c>
    </row>
    <row r="1237" spans="58:66" x14ac:dyDescent="0.25">
      <c r="BF1237" s="1">
        <v>0</v>
      </c>
      <c r="BG1237" t="str">
        <f>"0"</f>
        <v>0</v>
      </c>
      <c r="BH1237" t="str">
        <f xml:space="preserve"> IF($BF$1237 &gt;= $G$204, "1","0")</f>
        <v>0</v>
      </c>
      <c r="BI1237">
        <f xml:space="preserve"> IF( AND( $BG$1237 = "1", $BH$1237 = "1" ), 1, IF( AND( $BG$1237 = "1", $BH$1237 = "0" ), 2, IF( AND( $BG$1237 = "0", $BH$1237 = "1" ), 3, 4 ) ) )</f>
        <v>4</v>
      </c>
      <c r="BK1237" s="1">
        <v>1</v>
      </c>
      <c r="BL1237" t="str">
        <f>"1"</f>
        <v>1</v>
      </c>
      <c r="BM1237" t="str">
        <f xml:space="preserve"> IF($BK$1237 &gt;= $G$281, "1","0")</f>
        <v>1</v>
      </c>
      <c r="BN1237">
        <f xml:space="preserve"> IF( AND( $BL$1237 = "1", $BM$1237 = "1" ), 1, IF( AND( $BL$1237 = "1", $BM$1237 = "0" ), 2, IF( AND( $BL$1237 = "0", $BM$1237 = "1" ), 3, 4 ) ) )</f>
        <v>1</v>
      </c>
    </row>
    <row r="1238" spans="58:66" x14ac:dyDescent="0.25">
      <c r="BF1238" s="1">
        <v>0</v>
      </c>
      <c r="BG1238" t="str">
        <f>"0"</f>
        <v>0</v>
      </c>
      <c r="BH1238" t="str">
        <f xml:space="preserve"> IF($BF$1238 &gt;= $G$204, "1","0")</f>
        <v>0</v>
      </c>
      <c r="BI1238">
        <f xml:space="preserve"> IF( AND( $BG$1238 = "1", $BH$1238 = "1" ), 1, IF( AND( $BG$1238 = "1", $BH$1238 = "0" ), 2, IF( AND( $BG$1238 = "0", $BH$1238 = "1" ), 3, 4 ) ) )</f>
        <v>4</v>
      </c>
      <c r="BK1238" s="1">
        <v>0.14285714285714285</v>
      </c>
      <c r="BL1238" t="str">
        <f>"0"</f>
        <v>0</v>
      </c>
      <c r="BM1238" t="str">
        <f xml:space="preserve"> IF($BK$1238 &gt;= $G$281, "1","0")</f>
        <v>0</v>
      </c>
      <c r="BN1238">
        <f xml:space="preserve"> IF( AND( $BL$1238 = "1", $BM$1238 = "1" ), 1, IF( AND( $BL$1238 = "1", $BM$1238 = "0" ), 2, IF( AND( $BL$1238 = "0", $BM$1238 = "1" ), 3, 4 ) ) )</f>
        <v>4</v>
      </c>
    </row>
    <row r="1239" spans="58:66" x14ac:dyDescent="0.25">
      <c r="BF1239" s="1">
        <v>0</v>
      </c>
      <c r="BG1239" t="str">
        <f>"0"</f>
        <v>0</v>
      </c>
      <c r="BH1239" t="str">
        <f xml:space="preserve"> IF($BF$1239 &gt;= $G$204, "1","0")</f>
        <v>0</v>
      </c>
      <c r="BI1239">
        <f xml:space="preserve"> IF( AND( $BG$1239 = "1", $BH$1239 = "1" ), 1, IF( AND( $BG$1239 = "1", $BH$1239 = "0" ), 2, IF( AND( $BG$1239 = "0", $BH$1239 = "1" ), 3, 4 ) ) )</f>
        <v>4</v>
      </c>
      <c r="BK1239" s="1">
        <v>1.8947368421052633E-2</v>
      </c>
      <c r="BL1239" t="str">
        <f>"0"</f>
        <v>0</v>
      </c>
      <c r="BM1239" t="str">
        <f xml:space="preserve"> IF($BK$1239 &gt;= $G$281, "1","0")</f>
        <v>0</v>
      </c>
      <c r="BN1239">
        <f xml:space="preserve"> IF( AND( $BL$1239 = "1", $BM$1239 = "1" ), 1, IF( AND( $BL$1239 = "1", $BM$1239 = "0" ), 2, IF( AND( $BL$1239 = "0", $BM$1239 = "1" ), 3, 4 ) ) )</f>
        <v>4</v>
      </c>
    </row>
    <row r="1240" spans="58:66" x14ac:dyDescent="0.25">
      <c r="BF1240" s="1">
        <v>0</v>
      </c>
      <c r="BG1240" t="str">
        <f>"0"</f>
        <v>0</v>
      </c>
      <c r="BH1240" t="str">
        <f xml:space="preserve"> IF($BF$1240 &gt;= $G$204, "1","0")</f>
        <v>0</v>
      </c>
      <c r="BI1240">
        <f xml:space="preserve"> IF( AND( $BG$1240 = "1", $BH$1240 = "1" ), 1, IF( AND( $BG$1240 = "1", $BH$1240 = "0" ), 2, IF( AND( $BG$1240 = "0", $BH$1240 = "1" ), 3, 4 ) ) )</f>
        <v>4</v>
      </c>
      <c r="BK1240" s="1">
        <v>1.8947368421052633E-2</v>
      </c>
      <c r="BL1240" t="str">
        <f>"0"</f>
        <v>0</v>
      </c>
      <c r="BM1240" t="str">
        <f xml:space="preserve"> IF($BK$1240 &gt;= $G$281, "1","0")</f>
        <v>0</v>
      </c>
      <c r="BN1240">
        <f xml:space="preserve"> IF( AND( $BL$1240 = "1", $BM$1240 = "1" ), 1, IF( AND( $BL$1240 = "1", $BM$1240 = "0" ), 2, IF( AND( $BL$1240 = "0", $BM$1240 = "1" ), 3, 4 ) ) )</f>
        <v>4</v>
      </c>
    </row>
    <row r="1241" spans="58:66" x14ac:dyDescent="0.25">
      <c r="BF1241" s="1">
        <v>0</v>
      </c>
      <c r="BG1241" t="str">
        <f>"0"</f>
        <v>0</v>
      </c>
      <c r="BH1241" t="str">
        <f xml:space="preserve"> IF($BF$1241 &gt;= $G$204, "1","0")</f>
        <v>0</v>
      </c>
      <c r="BI1241">
        <f xml:space="preserve"> IF( AND( $BG$1241 = "1", $BH$1241 = "1" ), 1, IF( AND( $BG$1241 = "1", $BH$1241 = "0" ), 2, IF( AND( $BG$1241 = "0", $BH$1241 = "1" ), 3, 4 ) ) )</f>
        <v>4</v>
      </c>
    </row>
    <row r="1242" spans="58:66" x14ac:dyDescent="0.25">
      <c r="BF1242" s="1">
        <v>0</v>
      </c>
      <c r="BG1242" t="str">
        <f>"0"</f>
        <v>0</v>
      </c>
      <c r="BH1242" t="str">
        <f xml:space="preserve"> IF($BF$1242 &gt;= $G$204, "1","0")</f>
        <v>0</v>
      </c>
      <c r="BI1242">
        <f xml:space="preserve"> IF( AND( $BG$1242 = "1", $BH$1242 = "1" ), 1, IF( AND( $BG$1242 = "1", $BH$1242 = "0" ), 2, IF( AND( $BG$1242 = "0", $BH$1242 = "1" ), 3, 4 ) ) )</f>
        <v>4</v>
      </c>
    </row>
    <row r="1243" spans="58:66" x14ac:dyDescent="0.25">
      <c r="BF1243" s="1">
        <v>0</v>
      </c>
      <c r="BG1243" t="str">
        <f>"0"</f>
        <v>0</v>
      </c>
      <c r="BH1243" t="str">
        <f xml:space="preserve"> IF($BF$1243 &gt;= $G$204, "1","0")</f>
        <v>0</v>
      </c>
      <c r="BI1243">
        <f xml:space="preserve"> IF( AND( $BG$1243 = "1", $BH$1243 = "1" ), 1, IF( AND( $BG$1243 = "1", $BH$1243 = "0" ), 2, IF( AND( $BG$1243 = "0", $BH$1243 = "1" ), 3, 4 ) ) )</f>
        <v>4</v>
      </c>
    </row>
    <row r="1244" spans="58:66" x14ac:dyDescent="0.25">
      <c r="BF1244" s="1">
        <v>0</v>
      </c>
      <c r="BG1244" t="str">
        <f>"0"</f>
        <v>0</v>
      </c>
      <c r="BH1244" t="str">
        <f xml:space="preserve"> IF($BF$1244 &gt;= $G$204, "1","0")</f>
        <v>0</v>
      </c>
      <c r="BI1244">
        <f xml:space="preserve"> IF( AND( $BG$1244 = "1", $BH$1244 = "1" ), 1, IF( AND( $BG$1244 = "1", $BH$1244 = "0" ), 2, IF( AND( $BG$1244 = "0", $BH$1244 = "1" ), 3, 4 ) ) )</f>
        <v>4</v>
      </c>
    </row>
    <row r="1245" spans="58:66" x14ac:dyDescent="0.25">
      <c r="BF1245" s="1">
        <v>0</v>
      </c>
      <c r="BG1245" t="str">
        <f>"0"</f>
        <v>0</v>
      </c>
      <c r="BH1245" t="str">
        <f xml:space="preserve"> IF($BF$1245 &gt;= $G$204, "1","0")</f>
        <v>0</v>
      </c>
      <c r="BI1245">
        <f xml:space="preserve"> IF( AND( $BG$1245 = "1", $BH$1245 = "1" ), 1, IF( AND( $BG$1245 = "1", $BH$1245 = "0" ), 2, IF( AND( $BG$1245 = "0", $BH$1245 = "1" ), 3, 4 ) ) )</f>
        <v>4</v>
      </c>
    </row>
    <row r="1246" spans="58:66" x14ac:dyDescent="0.25">
      <c r="BF1246" s="1">
        <v>0</v>
      </c>
      <c r="BG1246" t="str">
        <f>"0"</f>
        <v>0</v>
      </c>
      <c r="BH1246" t="str">
        <f xml:space="preserve"> IF($BF$1246 &gt;= $G$204, "1","0")</f>
        <v>0</v>
      </c>
      <c r="BI1246">
        <f xml:space="preserve"> IF( AND( $BG$1246 = "1", $BH$1246 = "1" ), 1, IF( AND( $BG$1246 = "1", $BH$1246 = "0" ), 2, IF( AND( $BG$1246 = "0", $BH$1246 = "1" ), 3, 4 ) ) )</f>
        <v>4</v>
      </c>
    </row>
    <row r="1247" spans="58:66" x14ac:dyDescent="0.25">
      <c r="BF1247" s="1">
        <v>0</v>
      </c>
      <c r="BG1247" t="str">
        <f>"0"</f>
        <v>0</v>
      </c>
      <c r="BH1247" t="str">
        <f xml:space="preserve"> IF($BF$1247 &gt;= $G$204, "1","0")</f>
        <v>0</v>
      </c>
      <c r="BI1247">
        <f xml:space="preserve"> IF( AND( $BG$1247 = "1", $BH$1247 = "1" ), 1, IF( AND( $BG$1247 = "1", $BH$1247 = "0" ), 2, IF( AND( $BG$1247 = "0", $BH$1247 = "1" ), 3, 4 ) ) )</f>
        <v>4</v>
      </c>
    </row>
    <row r="1248" spans="58:66" x14ac:dyDescent="0.25">
      <c r="BF1248" s="1">
        <v>0</v>
      </c>
      <c r="BG1248" t="str">
        <f>"0"</f>
        <v>0</v>
      </c>
      <c r="BH1248" t="str">
        <f xml:space="preserve"> IF($BF$1248 &gt;= $G$204, "1","0")</f>
        <v>0</v>
      </c>
      <c r="BI1248">
        <f xml:space="preserve"> IF( AND( $BG$1248 = "1", $BH$1248 = "1" ), 1, IF( AND( $BG$1248 = "1", $BH$1248 = "0" ), 2, IF( AND( $BG$1248 = "0", $BH$1248 = "1" ), 3, 4 ) ) )</f>
        <v>4</v>
      </c>
    </row>
    <row r="1249" spans="58:61" x14ac:dyDescent="0.25">
      <c r="BF1249" s="1">
        <v>0</v>
      </c>
      <c r="BG1249" t="str">
        <f>"0"</f>
        <v>0</v>
      </c>
      <c r="BH1249" t="str">
        <f xml:space="preserve"> IF($BF$1249 &gt;= $G$204, "1","0")</f>
        <v>0</v>
      </c>
      <c r="BI1249">
        <f xml:space="preserve"> IF( AND( $BG$1249 = "1", $BH$1249 = "1" ), 1, IF( AND( $BG$1249 = "1", $BH$1249 = "0" ), 2, IF( AND( $BG$1249 = "0", $BH$1249 = "1" ), 3, 4 ) ) )</f>
        <v>4</v>
      </c>
    </row>
    <row r="1250" spans="58:61" x14ac:dyDescent="0.25">
      <c r="BF1250" s="1">
        <v>0</v>
      </c>
      <c r="BG1250" t="str">
        <f>"0"</f>
        <v>0</v>
      </c>
      <c r="BH1250" t="str">
        <f xml:space="preserve"> IF($BF$1250 &gt;= $G$204, "1","0")</f>
        <v>0</v>
      </c>
      <c r="BI1250">
        <f xml:space="preserve"> IF( AND( $BG$1250 = "1", $BH$1250 = "1" ), 1, IF( AND( $BG$1250 = "1", $BH$1250 = "0" ), 2, IF( AND( $BG$1250 = "0", $BH$1250 = "1" ), 3, 4 ) ) )</f>
        <v>4</v>
      </c>
    </row>
    <row r="1251" spans="58:61" x14ac:dyDescent="0.25">
      <c r="BF1251" s="1">
        <v>0</v>
      </c>
      <c r="BG1251" t="str">
        <f>"0"</f>
        <v>0</v>
      </c>
      <c r="BH1251" t="str">
        <f xml:space="preserve"> IF($BF$1251 &gt;= $G$204, "1","0")</f>
        <v>0</v>
      </c>
      <c r="BI1251">
        <f xml:space="preserve"> IF( AND( $BG$1251 = "1", $BH$1251 = "1" ), 1, IF( AND( $BG$1251 = "1", $BH$1251 = "0" ), 2, IF( AND( $BG$1251 = "0", $BH$1251 = "1" ), 3, 4 ) ) )</f>
        <v>4</v>
      </c>
    </row>
    <row r="1252" spans="58:61" x14ac:dyDescent="0.25">
      <c r="BF1252" s="1">
        <v>0</v>
      </c>
      <c r="BG1252" t="str">
        <f>"0"</f>
        <v>0</v>
      </c>
      <c r="BH1252" t="str">
        <f xml:space="preserve"> IF($BF$1252 &gt;= $G$204, "1","0")</f>
        <v>0</v>
      </c>
      <c r="BI1252">
        <f xml:space="preserve"> IF( AND( $BG$1252 = "1", $BH$1252 = "1" ), 1, IF( AND( $BG$1252 = "1", $BH$1252 = "0" ), 2, IF( AND( $BG$1252 = "0", $BH$1252 = "1" ), 3, 4 ) ) )</f>
        <v>4</v>
      </c>
    </row>
    <row r="1253" spans="58:61" x14ac:dyDescent="0.25">
      <c r="BF1253" s="1">
        <v>0</v>
      </c>
      <c r="BG1253" t="str">
        <f>"0"</f>
        <v>0</v>
      </c>
      <c r="BH1253" t="str">
        <f xml:space="preserve"> IF($BF$1253 &gt;= $G$204, "1","0")</f>
        <v>0</v>
      </c>
      <c r="BI1253">
        <f xml:space="preserve"> IF( AND( $BG$1253 = "1", $BH$1253 = "1" ), 1, IF( AND( $BG$1253 = "1", $BH$1253 = "0" ), 2, IF( AND( $BG$1253 = "0", $BH$1253 = "1" ), 3, 4 ) ) )</f>
        <v>4</v>
      </c>
    </row>
    <row r="1254" spans="58:61" x14ac:dyDescent="0.25">
      <c r="BF1254" s="1">
        <v>0</v>
      </c>
      <c r="BG1254" t="str">
        <f>"0"</f>
        <v>0</v>
      </c>
      <c r="BH1254" t="str">
        <f xml:space="preserve"> IF($BF$1254 &gt;= $G$204, "1","0")</f>
        <v>0</v>
      </c>
      <c r="BI1254">
        <f xml:space="preserve"> IF( AND( $BG$1254 = "1", $BH$1254 = "1" ), 1, IF( AND( $BG$1254 = "1", $BH$1254 = "0" ), 2, IF( AND( $BG$1254 = "0", $BH$1254 = "1" ), 3, 4 ) ) )</f>
        <v>4</v>
      </c>
    </row>
    <row r="1255" spans="58:61" x14ac:dyDescent="0.25">
      <c r="BF1255" s="1">
        <v>0</v>
      </c>
      <c r="BG1255" t="str">
        <f>"0"</f>
        <v>0</v>
      </c>
      <c r="BH1255" t="str">
        <f xml:space="preserve"> IF($BF$1255 &gt;= $G$204, "1","0")</f>
        <v>0</v>
      </c>
      <c r="BI1255">
        <f xml:space="preserve"> IF( AND( $BG$1255 = "1", $BH$1255 = "1" ), 1, IF( AND( $BG$1255 = "1", $BH$1255 = "0" ), 2, IF( AND( $BG$1255 = "0", $BH$1255 = "1" ), 3, 4 ) ) )</f>
        <v>4</v>
      </c>
    </row>
    <row r="1256" spans="58:61" x14ac:dyDescent="0.25">
      <c r="BF1256" s="1">
        <v>0</v>
      </c>
      <c r="BG1256" t="str">
        <f>"0"</f>
        <v>0</v>
      </c>
      <c r="BH1256" t="str">
        <f xml:space="preserve"> IF($BF$1256 &gt;= $G$204, "1","0")</f>
        <v>0</v>
      </c>
      <c r="BI1256">
        <f xml:space="preserve"> IF( AND( $BG$1256 = "1", $BH$1256 = "1" ), 1, IF( AND( $BG$1256 = "1", $BH$1256 = "0" ), 2, IF( AND( $BG$1256 = "0", $BH$1256 = "1" ), 3, 4 ) ) )</f>
        <v>4</v>
      </c>
    </row>
    <row r="1257" spans="58:61" x14ac:dyDescent="0.25">
      <c r="BF1257" s="1">
        <v>0</v>
      </c>
      <c r="BG1257" t="str">
        <f>"0"</f>
        <v>0</v>
      </c>
      <c r="BH1257" t="str">
        <f xml:space="preserve"> IF($BF$1257 &gt;= $G$204, "1","0")</f>
        <v>0</v>
      </c>
      <c r="BI1257">
        <f xml:space="preserve"> IF( AND( $BG$1257 = "1", $BH$1257 = "1" ), 1, IF( AND( $BG$1257 = "1", $BH$1257 = "0" ), 2, IF( AND( $BG$1257 = "0", $BH$1257 = "1" ), 3, 4 ) ) )</f>
        <v>4</v>
      </c>
    </row>
    <row r="1258" spans="58:61" x14ac:dyDescent="0.25">
      <c r="BF1258" s="1">
        <v>0</v>
      </c>
      <c r="BG1258" t="str">
        <f>"0"</f>
        <v>0</v>
      </c>
      <c r="BH1258" t="str">
        <f xml:space="preserve"> IF($BF$1258 &gt;= $G$204, "1","0")</f>
        <v>0</v>
      </c>
      <c r="BI1258">
        <f xml:space="preserve"> IF( AND( $BG$1258 = "1", $BH$1258 = "1" ), 1, IF( AND( $BG$1258 = "1", $BH$1258 = "0" ), 2, IF( AND( $BG$1258 = "0", $BH$1258 = "1" ), 3, 4 ) ) )</f>
        <v>4</v>
      </c>
    </row>
    <row r="1259" spans="58:61" x14ac:dyDescent="0.25">
      <c r="BF1259" s="1">
        <v>0</v>
      </c>
      <c r="BG1259" t="str">
        <f>"0"</f>
        <v>0</v>
      </c>
      <c r="BH1259" t="str">
        <f xml:space="preserve"> IF($BF$1259 &gt;= $G$204, "1","0")</f>
        <v>0</v>
      </c>
      <c r="BI1259">
        <f xml:space="preserve"> IF( AND( $BG$1259 = "1", $BH$1259 = "1" ), 1, IF( AND( $BG$1259 = "1", $BH$1259 = "0" ), 2, IF( AND( $BG$1259 = "0", $BH$1259 = "1" ), 3, 4 ) ) )</f>
        <v>4</v>
      </c>
    </row>
    <row r="1260" spans="58:61" x14ac:dyDescent="0.25">
      <c r="BF1260" s="1">
        <v>0</v>
      </c>
      <c r="BG1260" t="str">
        <f>"0"</f>
        <v>0</v>
      </c>
      <c r="BH1260" t="str">
        <f xml:space="preserve"> IF($BF$1260 &gt;= $G$204, "1","0")</f>
        <v>0</v>
      </c>
      <c r="BI1260">
        <f xml:space="preserve"> IF( AND( $BG$1260 = "1", $BH$1260 = "1" ), 1, IF( AND( $BG$1260 = "1", $BH$1260 = "0" ), 2, IF( AND( $BG$1260 = "0", $BH$1260 = "1" ), 3, 4 ) ) )</f>
        <v>4</v>
      </c>
    </row>
    <row r="1261" spans="58:61" x14ac:dyDescent="0.25">
      <c r="BF1261" s="1">
        <v>0</v>
      </c>
      <c r="BG1261" t="str">
        <f>"0"</f>
        <v>0</v>
      </c>
      <c r="BH1261" t="str">
        <f xml:space="preserve"> IF($BF$1261 &gt;= $G$204, "1","0")</f>
        <v>0</v>
      </c>
      <c r="BI1261">
        <f xml:space="preserve"> IF( AND( $BG$1261 = "1", $BH$1261 = "1" ), 1, IF( AND( $BG$1261 = "1", $BH$1261 = "0" ), 2, IF( AND( $BG$1261 = "0", $BH$1261 = "1" ), 3, 4 ) ) )</f>
        <v>4</v>
      </c>
    </row>
    <row r="1262" spans="58:61" x14ac:dyDescent="0.25">
      <c r="BF1262" s="1">
        <v>0</v>
      </c>
      <c r="BG1262" t="str">
        <f>"0"</f>
        <v>0</v>
      </c>
      <c r="BH1262" t="str">
        <f xml:space="preserve"> IF($BF$1262 &gt;= $G$204, "1","0")</f>
        <v>0</v>
      </c>
      <c r="BI1262">
        <f xml:space="preserve"> IF( AND( $BG$1262 = "1", $BH$1262 = "1" ), 1, IF( AND( $BG$1262 = "1", $BH$1262 = "0" ), 2, IF( AND( $BG$1262 = "0", $BH$1262 = "1" ), 3, 4 ) ) )</f>
        <v>4</v>
      </c>
    </row>
    <row r="1263" spans="58:61" x14ac:dyDescent="0.25">
      <c r="BF1263" s="1">
        <v>0</v>
      </c>
      <c r="BG1263" t="str">
        <f>"0"</f>
        <v>0</v>
      </c>
      <c r="BH1263" t="str">
        <f xml:space="preserve"> IF($BF$1263 &gt;= $G$204, "1","0")</f>
        <v>0</v>
      </c>
      <c r="BI1263">
        <f xml:space="preserve"> IF( AND( $BG$1263 = "1", $BH$1263 = "1" ), 1, IF( AND( $BG$1263 = "1", $BH$1263 = "0" ), 2, IF( AND( $BG$1263 = "0", $BH$1263 = "1" ), 3, 4 ) ) )</f>
        <v>4</v>
      </c>
    </row>
    <row r="1264" spans="58:61" x14ac:dyDescent="0.25">
      <c r="BF1264" s="1">
        <v>0</v>
      </c>
      <c r="BG1264" t="str">
        <f>"0"</f>
        <v>0</v>
      </c>
      <c r="BH1264" t="str">
        <f xml:space="preserve"> IF($BF$1264 &gt;= $G$204, "1","0")</f>
        <v>0</v>
      </c>
      <c r="BI1264">
        <f xml:space="preserve"> IF( AND( $BG$1264 = "1", $BH$1264 = "1" ), 1, IF( AND( $BG$1264 = "1", $BH$1264 = "0" ), 2, IF( AND( $BG$1264 = "0", $BH$1264 = "1" ), 3, 4 ) ) )</f>
        <v>4</v>
      </c>
    </row>
    <row r="1265" spans="58:61" x14ac:dyDescent="0.25">
      <c r="BF1265" s="1">
        <v>0</v>
      </c>
      <c r="BG1265" t="str">
        <f>"0"</f>
        <v>0</v>
      </c>
      <c r="BH1265" t="str">
        <f xml:space="preserve"> IF($BF$1265 &gt;= $G$204, "1","0")</f>
        <v>0</v>
      </c>
      <c r="BI1265">
        <f xml:space="preserve"> IF( AND( $BG$1265 = "1", $BH$1265 = "1" ), 1, IF( AND( $BG$1265 = "1", $BH$1265 = "0" ), 2, IF( AND( $BG$1265 = "0", $BH$1265 = "1" ), 3, 4 ) ) )</f>
        <v>4</v>
      </c>
    </row>
    <row r="1266" spans="58:61" x14ac:dyDescent="0.25">
      <c r="BF1266" s="1">
        <v>0</v>
      </c>
      <c r="BG1266" t="str">
        <f>"0"</f>
        <v>0</v>
      </c>
      <c r="BH1266" t="str">
        <f xml:space="preserve"> IF($BF$1266 &gt;= $G$204, "1","0")</f>
        <v>0</v>
      </c>
      <c r="BI1266">
        <f xml:space="preserve"> IF( AND( $BG$1266 = "1", $BH$1266 = "1" ), 1, IF( AND( $BG$1266 = "1", $BH$1266 = "0" ), 2, IF( AND( $BG$1266 = "0", $BH$1266 = "1" ), 3, 4 ) ) )</f>
        <v>4</v>
      </c>
    </row>
    <row r="1267" spans="58:61" x14ac:dyDescent="0.25">
      <c r="BF1267" s="1">
        <v>0</v>
      </c>
      <c r="BG1267" t="str">
        <f>"0"</f>
        <v>0</v>
      </c>
      <c r="BH1267" t="str">
        <f xml:space="preserve"> IF($BF$1267 &gt;= $G$204, "1","0")</f>
        <v>0</v>
      </c>
      <c r="BI1267">
        <f xml:space="preserve"> IF( AND( $BG$1267 = "1", $BH$1267 = "1" ), 1, IF( AND( $BG$1267 = "1", $BH$1267 = "0" ), 2, IF( AND( $BG$1267 = "0", $BH$1267 = "1" ), 3, 4 ) ) )</f>
        <v>4</v>
      </c>
    </row>
    <row r="1268" spans="58:61" x14ac:dyDescent="0.25">
      <c r="BF1268" s="1">
        <v>0</v>
      </c>
      <c r="BG1268" t="str">
        <f>"0"</f>
        <v>0</v>
      </c>
      <c r="BH1268" t="str">
        <f xml:space="preserve"> IF($BF$1268 &gt;= $G$204, "1","0")</f>
        <v>0</v>
      </c>
      <c r="BI1268">
        <f xml:space="preserve"> IF( AND( $BG$1268 = "1", $BH$1268 = "1" ), 1, IF( AND( $BG$1268 = "1", $BH$1268 = "0" ), 2, IF( AND( $BG$1268 = "0", $BH$1268 = "1" ), 3, 4 ) ) )</f>
        <v>4</v>
      </c>
    </row>
    <row r="1269" spans="58:61" x14ac:dyDescent="0.25">
      <c r="BF1269" s="1">
        <v>0</v>
      </c>
      <c r="BG1269" t="str">
        <f>"0"</f>
        <v>0</v>
      </c>
      <c r="BH1269" t="str">
        <f xml:space="preserve"> IF($BF$1269 &gt;= $G$204, "1","0")</f>
        <v>0</v>
      </c>
      <c r="BI1269">
        <f xml:space="preserve"> IF( AND( $BG$1269 = "1", $BH$1269 = "1" ), 1, IF( AND( $BG$1269 = "1", $BH$1269 = "0" ), 2, IF( AND( $BG$1269 = "0", $BH$1269 = "1" ), 3, 4 ) ) )</f>
        <v>4</v>
      </c>
    </row>
    <row r="1270" spans="58:61" x14ac:dyDescent="0.25">
      <c r="BF1270" s="1">
        <v>0</v>
      </c>
      <c r="BG1270" t="str">
        <f>"0"</f>
        <v>0</v>
      </c>
      <c r="BH1270" t="str">
        <f xml:space="preserve"> IF($BF$1270 &gt;= $G$204, "1","0")</f>
        <v>0</v>
      </c>
      <c r="BI1270">
        <f xml:space="preserve"> IF( AND( $BG$1270 = "1", $BH$1270 = "1" ), 1, IF( AND( $BG$1270 = "1", $BH$1270 = "0" ), 2, IF( AND( $BG$1270 = "0", $BH$1270 = "1" ), 3, 4 ) ) )</f>
        <v>4</v>
      </c>
    </row>
    <row r="1271" spans="58:61" x14ac:dyDescent="0.25">
      <c r="BF1271" s="1">
        <v>0</v>
      </c>
      <c r="BG1271" t="str">
        <f>"0"</f>
        <v>0</v>
      </c>
      <c r="BH1271" t="str">
        <f xml:space="preserve"> IF($BF$1271 &gt;= $G$204, "1","0")</f>
        <v>0</v>
      </c>
      <c r="BI1271">
        <f xml:space="preserve"> IF( AND( $BG$1271 = "1", $BH$1271 = "1" ), 1, IF( AND( $BG$1271 = "1", $BH$1271 = "0" ), 2, IF( AND( $BG$1271 = "0", $BH$1271 = "1" ), 3, 4 ) ) )</f>
        <v>4</v>
      </c>
    </row>
    <row r="1272" spans="58:61" x14ac:dyDescent="0.25">
      <c r="BF1272" s="1">
        <v>0</v>
      </c>
      <c r="BG1272" t="str">
        <f>"0"</f>
        <v>0</v>
      </c>
      <c r="BH1272" t="str">
        <f xml:space="preserve"> IF($BF$1272 &gt;= $G$204, "1","0")</f>
        <v>0</v>
      </c>
      <c r="BI1272">
        <f xml:space="preserve"> IF( AND( $BG$1272 = "1", $BH$1272 = "1" ), 1, IF( AND( $BG$1272 = "1", $BH$1272 = "0" ), 2, IF( AND( $BG$1272 = "0", $BH$1272 = "1" ), 3, 4 ) ) )</f>
        <v>4</v>
      </c>
    </row>
    <row r="1273" spans="58:61" x14ac:dyDescent="0.25">
      <c r="BF1273" s="1">
        <v>0</v>
      </c>
      <c r="BG1273" t="str">
        <f>"0"</f>
        <v>0</v>
      </c>
      <c r="BH1273" t="str">
        <f xml:space="preserve"> IF($BF$1273 &gt;= $G$204, "1","0")</f>
        <v>0</v>
      </c>
      <c r="BI1273">
        <f xml:space="preserve"> IF( AND( $BG$1273 = "1", $BH$1273 = "1" ), 1, IF( AND( $BG$1273 = "1", $BH$1273 = "0" ), 2, IF( AND( $BG$1273 = "0", $BH$1273 = "1" ), 3, 4 ) ) )</f>
        <v>4</v>
      </c>
    </row>
    <row r="1274" spans="58:61" x14ac:dyDescent="0.25">
      <c r="BF1274" s="1">
        <v>0</v>
      </c>
      <c r="BG1274" t="str">
        <f>"0"</f>
        <v>0</v>
      </c>
      <c r="BH1274" t="str">
        <f xml:space="preserve"> IF($BF$1274 &gt;= $G$204, "1","0")</f>
        <v>0</v>
      </c>
      <c r="BI1274">
        <f xml:space="preserve"> IF( AND( $BG$1274 = "1", $BH$1274 = "1" ), 1, IF( AND( $BG$1274 = "1", $BH$1274 = "0" ), 2, IF( AND( $BG$1274 = "0", $BH$1274 = "1" ), 3, 4 ) ) )</f>
        <v>4</v>
      </c>
    </row>
    <row r="1275" spans="58:61" x14ac:dyDescent="0.25">
      <c r="BF1275" s="1">
        <v>0</v>
      </c>
      <c r="BG1275" t="str">
        <f>"0"</f>
        <v>0</v>
      </c>
      <c r="BH1275" t="str">
        <f xml:space="preserve"> IF($BF$1275 &gt;= $G$204, "1","0")</f>
        <v>0</v>
      </c>
      <c r="BI1275">
        <f xml:space="preserve"> IF( AND( $BG$1275 = "1", $BH$1275 = "1" ), 1, IF( AND( $BG$1275 = "1", $BH$1275 = "0" ), 2, IF( AND( $BG$1275 = "0", $BH$1275 = "1" ), 3, 4 ) ) )</f>
        <v>4</v>
      </c>
    </row>
    <row r="1276" spans="58:61" x14ac:dyDescent="0.25">
      <c r="BF1276" s="1">
        <v>0</v>
      </c>
      <c r="BG1276" t="str">
        <f>"0"</f>
        <v>0</v>
      </c>
      <c r="BH1276" t="str">
        <f xml:space="preserve"> IF($BF$1276 &gt;= $G$204, "1","0")</f>
        <v>0</v>
      </c>
      <c r="BI1276">
        <f xml:space="preserve"> IF( AND( $BG$1276 = "1", $BH$1276 = "1" ), 1, IF( AND( $BG$1276 = "1", $BH$1276 = "0" ), 2, IF( AND( $BG$1276 = "0", $BH$1276 = "1" ), 3, 4 ) ) )</f>
        <v>4</v>
      </c>
    </row>
    <row r="1277" spans="58:61" x14ac:dyDescent="0.25">
      <c r="BF1277" s="1">
        <v>0</v>
      </c>
      <c r="BG1277" t="str">
        <f>"0"</f>
        <v>0</v>
      </c>
      <c r="BH1277" t="str">
        <f xml:space="preserve"> IF($BF$1277 &gt;= $G$204, "1","0")</f>
        <v>0</v>
      </c>
      <c r="BI1277">
        <f xml:space="preserve"> IF( AND( $BG$1277 = "1", $BH$1277 = "1" ), 1, IF( AND( $BG$1277 = "1", $BH$1277 = "0" ), 2, IF( AND( $BG$1277 = "0", $BH$1277 = "1" ), 3, 4 ) ) )</f>
        <v>4</v>
      </c>
    </row>
    <row r="1278" spans="58:61" x14ac:dyDescent="0.25">
      <c r="BF1278" s="1">
        <v>0</v>
      </c>
      <c r="BG1278" t="str">
        <f>"0"</f>
        <v>0</v>
      </c>
      <c r="BH1278" t="str">
        <f xml:space="preserve"> IF($BF$1278 &gt;= $G$204, "1","0")</f>
        <v>0</v>
      </c>
      <c r="BI1278">
        <f xml:space="preserve"> IF( AND( $BG$1278 = "1", $BH$1278 = "1" ), 1, IF( AND( $BG$1278 = "1", $BH$1278 = "0" ), 2, IF( AND( $BG$1278 = "0", $BH$1278 = "1" ), 3, 4 ) ) )</f>
        <v>4</v>
      </c>
    </row>
    <row r="1279" spans="58:61" x14ac:dyDescent="0.25">
      <c r="BF1279" s="1">
        <v>0</v>
      </c>
      <c r="BG1279" t="str">
        <f>"0"</f>
        <v>0</v>
      </c>
      <c r="BH1279" t="str">
        <f xml:space="preserve"> IF($BF$1279 &gt;= $G$204, "1","0")</f>
        <v>0</v>
      </c>
      <c r="BI1279">
        <f xml:space="preserve"> IF( AND( $BG$1279 = "1", $BH$1279 = "1" ), 1, IF( AND( $BG$1279 = "1", $BH$1279 = "0" ), 2, IF( AND( $BG$1279 = "0", $BH$1279 = "1" ), 3, 4 ) ) )</f>
        <v>4</v>
      </c>
    </row>
    <row r="1280" spans="58:61" x14ac:dyDescent="0.25">
      <c r="BF1280" s="1">
        <v>0</v>
      </c>
      <c r="BG1280" t="str">
        <f>"0"</f>
        <v>0</v>
      </c>
      <c r="BH1280" t="str">
        <f xml:space="preserve"> IF($BF$1280 &gt;= $G$204, "1","0")</f>
        <v>0</v>
      </c>
      <c r="BI1280">
        <f xml:space="preserve"> IF( AND( $BG$1280 = "1", $BH$1280 = "1" ), 1, IF( AND( $BG$1280 = "1", $BH$1280 = "0" ), 2, IF( AND( $BG$1280 = "0", $BH$1280 = "1" ), 3, 4 ) ) )</f>
        <v>4</v>
      </c>
    </row>
    <row r="1281" spans="58:61" x14ac:dyDescent="0.25">
      <c r="BF1281" s="1">
        <v>0</v>
      </c>
      <c r="BG1281" t="str">
        <f>"0"</f>
        <v>0</v>
      </c>
      <c r="BH1281" t="str">
        <f xml:space="preserve"> IF($BF$1281 &gt;= $G$204, "1","0")</f>
        <v>0</v>
      </c>
      <c r="BI1281">
        <f xml:space="preserve"> IF( AND( $BG$1281 = "1", $BH$1281 = "1" ), 1, IF( AND( $BG$1281 = "1", $BH$1281 = "0" ), 2, IF( AND( $BG$1281 = "0", $BH$1281 = "1" ), 3, 4 ) ) )</f>
        <v>4</v>
      </c>
    </row>
    <row r="1282" spans="58:61" x14ac:dyDescent="0.25">
      <c r="BF1282" s="1">
        <v>0</v>
      </c>
      <c r="BG1282" t="str">
        <f>"0"</f>
        <v>0</v>
      </c>
      <c r="BH1282" t="str">
        <f xml:space="preserve"> IF($BF$1282 &gt;= $G$204, "1","0")</f>
        <v>0</v>
      </c>
      <c r="BI1282">
        <f xml:space="preserve"> IF( AND( $BG$1282 = "1", $BH$1282 = "1" ), 1, IF( AND( $BG$1282 = "1", $BH$1282 = "0" ), 2, IF( AND( $BG$1282 = "0", $BH$1282 = "1" ), 3, 4 ) ) )</f>
        <v>4</v>
      </c>
    </row>
    <row r="1283" spans="58:61" x14ac:dyDescent="0.25">
      <c r="BF1283" s="1">
        <v>0</v>
      </c>
      <c r="BG1283" t="str">
        <f>"0"</f>
        <v>0</v>
      </c>
      <c r="BH1283" t="str">
        <f xml:space="preserve"> IF($BF$1283 &gt;= $G$204, "1","0")</f>
        <v>0</v>
      </c>
      <c r="BI1283">
        <f xml:space="preserve"> IF( AND( $BG$1283 = "1", $BH$1283 = "1" ), 1, IF( AND( $BG$1283 = "1", $BH$1283 = "0" ), 2, IF( AND( $BG$1283 = "0", $BH$1283 = "1" ), 3, 4 ) ) )</f>
        <v>4</v>
      </c>
    </row>
    <row r="1284" spans="58:61" x14ac:dyDescent="0.25">
      <c r="BF1284" s="1">
        <v>0</v>
      </c>
      <c r="BG1284" t="str">
        <f>"0"</f>
        <v>0</v>
      </c>
      <c r="BH1284" t="str">
        <f xml:space="preserve"> IF($BF$1284 &gt;= $G$204, "1","0")</f>
        <v>0</v>
      </c>
      <c r="BI1284">
        <f xml:space="preserve"> IF( AND( $BG$1284 = "1", $BH$1284 = "1" ), 1, IF( AND( $BG$1284 = "1", $BH$1284 = "0" ), 2, IF( AND( $BG$1284 = "0", $BH$1284 = "1" ), 3, 4 ) ) )</f>
        <v>4</v>
      </c>
    </row>
    <row r="1285" spans="58:61" x14ac:dyDescent="0.25">
      <c r="BF1285" s="1">
        <v>0</v>
      </c>
      <c r="BG1285" t="str">
        <f>"0"</f>
        <v>0</v>
      </c>
      <c r="BH1285" t="str">
        <f xml:space="preserve"> IF($BF$1285 &gt;= $G$204, "1","0")</f>
        <v>0</v>
      </c>
      <c r="BI1285">
        <f xml:space="preserve"> IF( AND( $BG$1285 = "1", $BH$1285 = "1" ), 1, IF( AND( $BG$1285 = "1", $BH$1285 = "0" ), 2, IF( AND( $BG$1285 = "0", $BH$1285 = "1" ), 3, 4 ) ) )</f>
        <v>4</v>
      </c>
    </row>
    <row r="1286" spans="58:61" x14ac:dyDescent="0.25">
      <c r="BF1286" s="1">
        <v>0</v>
      </c>
      <c r="BG1286" t="str">
        <f>"0"</f>
        <v>0</v>
      </c>
      <c r="BH1286" t="str">
        <f xml:space="preserve"> IF($BF$1286 &gt;= $G$204, "1","0")</f>
        <v>0</v>
      </c>
      <c r="BI1286">
        <f xml:space="preserve"> IF( AND( $BG$1286 = "1", $BH$1286 = "1" ), 1, IF( AND( $BG$1286 = "1", $BH$1286 = "0" ), 2, IF( AND( $BG$1286 = "0", $BH$1286 = "1" ), 3, 4 ) ) )</f>
        <v>4</v>
      </c>
    </row>
    <row r="1287" spans="58:61" x14ac:dyDescent="0.25">
      <c r="BF1287" s="1">
        <v>0</v>
      </c>
      <c r="BG1287" t="str">
        <f>"0"</f>
        <v>0</v>
      </c>
      <c r="BH1287" t="str">
        <f xml:space="preserve"> IF($BF$1287 &gt;= $G$204, "1","0")</f>
        <v>0</v>
      </c>
      <c r="BI1287">
        <f xml:space="preserve"> IF( AND( $BG$1287 = "1", $BH$1287 = "1" ), 1, IF( AND( $BG$1287 = "1", $BH$1287 = "0" ), 2, IF( AND( $BG$1287 = "0", $BH$1287 = "1" ), 3, 4 ) ) )</f>
        <v>4</v>
      </c>
    </row>
    <row r="1288" spans="58:61" x14ac:dyDescent="0.25">
      <c r="BF1288" s="1">
        <v>0</v>
      </c>
      <c r="BG1288" t="str">
        <f>"0"</f>
        <v>0</v>
      </c>
      <c r="BH1288" t="str">
        <f xml:space="preserve"> IF($BF$1288 &gt;= $G$204, "1","0")</f>
        <v>0</v>
      </c>
      <c r="BI1288">
        <f xml:space="preserve"> IF( AND( $BG$1288 = "1", $BH$1288 = "1" ), 1, IF( AND( $BG$1288 = "1", $BH$1288 = "0" ), 2, IF( AND( $BG$1288 = "0", $BH$1288 = "1" ), 3, 4 ) ) )</f>
        <v>4</v>
      </c>
    </row>
    <row r="1289" spans="58:61" x14ac:dyDescent="0.25">
      <c r="BF1289" s="1">
        <v>0</v>
      </c>
      <c r="BG1289" t="str">
        <f>"0"</f>
        <v>0</v>
      </c>
      <c r="BH1289" t="str">
        <f xml:space="preserve"> IF($BF$1289 &gt;= $G$204, "1","0")</f>
        <v>0</v>
      </c>
      <c r="BI1289">
        <f xml:space="preserve"> IF( AND( $BG$1289 = "1", $BH$1289 = "1" ), 1, IF( AND( $BG$1289 = "1", $BH$1289 = "0" ), 2, IF( AND( $BG$1289 = "0", $BH$1289 = "1" ), 3, 4 ) ) )</f>
        <v>4</v>
      </c>
    </row>
    <row r="1290" spans="58:61" x14ac:dyDescent="0.25">
      <c r="BF1290" s="1">
        <v>0</v>
      </c>
      <c r="BG1290" t="str">
        <f>"0"</f>
        <v>0</v>
      </c>
      <c r="BH1290" t="str">
        <f xml:space="preserve"> IF($BF$1290 &gt;= $G$204, "1","0")</f>
        <v>0</v>
      </c>
      <c r="BI1290">
        <f xml:space="preserve"> IF( AND( $BG$1290 = "1", $BH$1290 = "1" ), 1, IF( AND( $BG$1290 = "1", $BH$1290 = "0" ), 2, IF( AND( $BG$1290 = "0", $BH$1290 = "1" ), 3, 4 ) ) )</f>
        <v>4</v>
      </c>
    </row>
    <row r="1291" spans="58:61" x14ac:dyDescent="0.25">
      <c r="BF1291" s="1">
        <v>0</v>
      </c>
      <c r="BG1291" t="str">
        <f>"0"</f>
        <v>0</v>
      </c>
      <c r="BH1291" t="str">
        <f xml:space="preserve"> IF($BF$1291 &gt;= $G$204, "1","0")</f>
        <v>0</v>
      </c>
      <c r="BI1291">
        <f xml:space="preserve"> IF( AND( $BG$1291 = "1", $BH$1291 = "1" ), 1, IF( AND( $BG$1291 = "1", $BH$1291 = "0" ), 2, IF( AND( $BG$1291 = "0", $BH$1291 = "1" ), 3, 4 ) ) )</f>
        <v>4</v>
      </c>
    </row>
    <row r="1292" spans="58:61" x14ac:dyDescent="0.25">
      <c r="BF1292" s="1">
        <v>0</v>
      </c>
      <c r="BG1292" t="str">
        <f>"0"</f>
        <v>0</v>
      </c>
      <c r="BH1292" t="str">
        <f xml:space="preserve"> IF($BF$1292 &gt;= $G$204, "1","0")</f>
        <v>0</v>
      </c>
      <c r="BI1292">
        <f xml:space="preserve"> IF( AND( $BG$1292 = "1", $BH$1292 = "1" ), 1, IF( AND( $BG$1292 = "1", $BH$1292 = "0" ), 2, IF( AND( $BG$1292 = "0", $BH$1292 = "1" ), 3, 4 ) ) )</f>
        <v>4</v>
      </c>
    </row>
    <row r="1293" spans="58:61" x14ac:dyDescent="0.25">
      <c r="BF1293" s="1">
        <v>9.9999999999999992E-2</v>
      </c>
      <c r="BG1293" t="str">
        <f>"0"</f>
        <v>0</v>
      </c>
      <c r="BH1293" t="str">
        <f xml:space="preserve"> IF($BF$1293 &gt;= $G$204, "1","0")</f>
        <v>0</v>
      </c>
      <c r="BI1293">
        <f xml:space="preserve"> IF( AND( $BG$1293 = "1", $BH$1293 = "1" ), 1, IF( AND( $BG$1293 = "1", $BH$1293 = "0" ), 2, IF( AND( $BG$1293 = "0", $BH$1293 = "1" ), 3, 4 ) ) )</f>
        <v>4</v>
      </c>
    </row>
    <row r="1294" spans="58:61" x14ac:dyDescent="0.25">
      <c r="BF1294" s="1">
        <v>0</v>
      </c>
      <c r="BG1294" t="str">
        <f>"0"</f>
        <v>0</v>
      </c>
      <c r="BH1294" t="str">
        <f xml:space="preserve"> IF($BF$1294 &gt;= $G$204, "1","0")</f>
        <v>0</v>
      </c>
      <c r="BI1294">
        <f xml:space="preserve"> IF( AND( $BG$1294 = "1", $BH$1294 = "1" ), 1, IF( AND( $BG$1294 = "1", $BH$1294 = "0" ), 2, IF( AND( $BG$1294 = "0", $BH$1294 = "1" ), 3, 4 ) ) )</f>
        <v>4</v>
      </c>
    </row>
    <row r="1295" spans="58:61" x14ac:dyDescent="0.25">
      <c r="BF1295" s="1">
        <v>0</v>
      </c>
      <c r="BG1295" t="str">
        <f>"0"</f>
        <v>0</v>
      </c>
      <c r="BH1295" t="str">
        <f xml:space="preserve"> IF($BF$1295 &gt;= $G$204, "1","0")</f>
        <v>0</v>
      </c>
      <c r="BI1295">
        <f xml:space="preserve"> IF( AND( $BG$1295 = "1", $BH$1295 = "1" ), 1, IF( AND( $BG$1295 = "1", $BH$1295 = "0" ), 2, IF( AND( $BG$1295 = "0", $BH$1295 = "1" ), 3, 4 ) ) )</f>
        <v>4</v>
      </c>
    </row>
    <row r="1296" spans="58:61" x14ac:dyDescent="0.25">
      <c r="BF1296" s="1">
        <v>0</v>
      </c>
      <c r="BG1296" t="str">
        <f>"0"</f>
        <v>0</v>
      </c>
      <c r="BH1296" t="str">
        <f xml:space="preserve"> IF($BF$1296 &gt;= $G$204, "1","0")</f>
        <v>0</v>
      </c>
      <c r="BI1296">
        <f xml:space="preserve"> IF( AND( $BG$1296 = "1", $BH$1296 = "1" ), 1, IF( AND( $BG$1296 = "1", $BH$1296 = "0" ), 2, IF( AND( $BG$1296 = "0", $BH$1296 = "1" ), 3, 4 ) ) )</f>
        <v>4</v>
      </c>
    </row>
    <row r="1297" spans="58:61" x14ac:dyDescent="0.25">
      <c r="BF1297" s="1">
        <v>0</v>
      </c>
      <c r="BG1297" t="str">
        <f>"0"</f>
        <v>0</v>
      </c>
      <c r="BH1297" t="str">
        <f xml:space="preserve"> IF($BF$1297 &gt;= $G$204, "1","0")</f>
        <v>0</v>
      </c>
      <c r="BI1297">
        <f xml:space="preserve"> IF( AND( $BG$1297 = "1", $BH$1297 = "1" ), 1, IF( AND( $BG$1297 = "1", $BH$1297 = "0" ), 2, IF( AND( $BG$1297 = "0", $BH$1297 = "1" ), 3, 4 ) ) )</f>
        <v>4</v>
      </c>
    </row>
    <row r="1298" spans="58:61" x14ac:dyDescent="0.25">
      <c r="BF1298" s="1">
        <v>0</v>
      </c>
      <c r="BG1298" t="str">
        <f>"0"</f>
        <v>0</v>
      </c>
      <c r="BH1298" t="str">
        <f xml:space="preserve"> IF($BF$1298 &gt;= $G$204, "1","0")</f>
        <v>0</v>
      </c>
      <c r="BI1298">
        <f xml:space="preserve"> IF( AND( $BG$1298 = "1", $BH$1298 = "1" ), 1, IF( AND( $BG$1298 = "1", $BH$1298 = "0" ), 2, IF( AND( $BG$1298 = "0", $BH$1298 = "1" ), 3, 4 ) ) )</f>
        <v>4</v>
      </c>
    </row>
    <row r="1299" spans="58:61" x14ac:dyDescent="0.25">
      <c r="BF1299" s="1">
        <v>0</v>
      </c>
      <c r="BG1299" t="str">
        <f>"0"</f>
        <v>0</v>
      </c>
      <c r="BH1299" t="str">
        <f xml:space="preserve"> IF($BF$1299 &gt;= $G$204, "1","0")</f>
        <v>0</v>
      </c>
      <c r="BI1299">
        <f xml:space="preserve"> IF( AND( $BG$1299 = "1", $BH$1299 = "1" ), 1, IF( AND( $BG$1299 = "1", $BH$1299 = "0" ), 2, IF( AND( $BG$1299 = "0", $BH$1299 = "1" ), 3, 4 ) ) )</f>
        <v>4</v>
      </c>
    </row>
    <row r="1300" spans="58:61" x14ac:dyDescent="0.25">
      <c r="BF1300" s="1">
        <v>0</v>
      </c>
      <c r="BG1300" t="str">
        <f>"0"</f>
        <v>0</v>
      </c>
      <c r="BH1300" t="str">
        <f xml:space="preserve"> IF($BF$1300 &gt;= $G$204, "1","0")</f>
        <v>0</v>
      </c>
      <c r="BI1300">
        <f xml:space="preserve"> IF( AND( $BG$1300 = "1", $BH$1300 = "1" ), 1, IF( AND( $BG$1300 = "1", $BH$1300 = "0" ), 2, IF( AND( $BG$1300 = "0", $BH$1300 = "1" ), 3, 4 ) ) )</f>
        <v>4</v>
      </c>
    </row>
    <row r="1301" spans="58:61" x14ac:dyDescent="0.25">
      <c r="BF1301" s="1">
        <v>0</v>
      </c>
      <c r="BG1301" t="str">
        <f>"0"</f>
        <v>0</v>
      </c>
      <c r="BH1301" t="str">
        <f xml:space="preserve"> IF($BF$1301 &gt;= $G$204, "1","0")</f>
        <v>0</v>
      </c>
      <c r="BI1301">
        <f xml:space="preserve"> IF( AND( $BG$1301 = "1", $BH$1301 = "1" ), 1, IF( AND( $BG$1301 = "1", $BH$1301 = "0" ), 2, IF( AND( $BG$1301 = "0", $BH$1301 = "1" ), 3, 4 ) ) )</f>
        <v>4</v>
      </c>
    </row>
    <row r="1302" spans="58:61" x14ac:dyDescent="0.25">
      <c r="BF1302" s="1">
        <v>0</v>
      </c>
      <c r="BG1302" t="str">
        <f>"0"</f>
        <v>0</v>
      </c>
      <c r="BH1302" t="str">
        <f xml:space="preserve"> IF($BF$1302 &gt;= $G$204, "1","0")</f>
        <v>0</v>
      </c>
      <c r="BI1302">
        <f xml:space="preserve"> IF( AND( $BG$1302 = "1", $BH$1302 = "1" ), 1, IF( AND( $BG$1302 = "1", $BH$1302 = "0" ), 2, IF( AND( $BG$1302 = "0", $BH$1302 = "1" ), 3, 4 ) ) )</f>
        <v>4</v>
      </c>
    </row>
    <row r="1303" spans="58:61" x14ac:dyDescent="0.25">
      <c r="BF1303" s="1">
        <v>0</v>
      </c>
      <c r="BG1303" t="str">
        <f>"0"</f>
        <v>0</v>
      </c>
      <c r="BH1303" t="str">
        <f xml:space="preserve"> IF($BF$1303 &gt;= $G$204, "1","0")</f>
        <v>0</v>
      </c>
      <c r="BI1303">
        <f xml:space="preserve"> IF( AND( $BG$1303 = "1", $BH$1303 = "1" ), 1, IF( AND( $BG$1303 = "1", $BH$1303 = "0" ), 2, IF( AND( $BG$1303 = "0", $BH$1303 = "1" ), 3, 4 ) ) )</f>
        <v>4</v>
      </c>
    </row>
    <row r="1304" spans="58:61" x14ac:dyDescent="0.25">
      <c r="BF1304" s="1">
        <v>0</v>
      </c>
      <c r="BG1304" t="str">
        <f>"0"</f>
        <v>0</v>
      </c>
      <c r="BH1304" t="str">
        <f xml:space="preserve"> IF($BF$1304 &gt;= $G$204, "1","0")</f>
        <v>0</v>
      </c>
      <c r="BI1304">
        <f xml:space="preserve"> IF( AND( $BG$1304 = "1", $BH$1304 = "1" ), 1, IF( AND( $BG$1304 = "1", $BH$1304 = "0" ), 2, IF( AND( $BG$1304 = "0", $BH$1304 = "1" ), 3, 4 ) ) )</f>
        <v>4</v>
      </c>
    </row>
    <row r="1305" spans="58:61" x14ac:dyDescent="0.25">
      <c r="BF1305" s="1">
        <v>0</v>
      </c>
      <c r="BG1305" t="str">
        <f>"0"</f>
        <v>0</v>
      </c>
      <c r="BH1305" t="str">
        <f xml:space="preserve"> IF($BF$1305 &gt;= $G$204, "1","0")</f>
        <v>0</v>
      </c>
      <c r="BI1305">
        <f xml:space="preserve"> IF( AND( $BG$1305 = "1", $BH$1305 = "1" ), 1, IF( AND( $BG$1305 = "1", $BH$1305 = "0" ), 2, IF( AND( $BG$1305 = "0", $BH$1305 = "1" ), 3, 4 ) ) )</f>
        <v>4</v>
      </c>
    </row>
    <row r="1306" spans="58:61" x14ac:dyDescent="0.25">
      <c r="BF1306" s="1">
        <v>0</v>
      </c>
      <c r="BG1306" t="str">
        <f>"0"</f>
        <v>0</v>
      </c>
      <c r="BH1306" t="str">
        <f xml:space="preserve"> IF($BF$1306 &gt;= $G$204, "1","0")</f>
        <v>0</v>
      </c>
      <c r="BI1306">
        <f xml:space="preserve"> IF( AND( $BG$1306 = "1", $BH$1306 = "1" ), 1, IF( AND( $BG$1306 = "1", $BH$1306 = "0" ), 2, IF( AND( $BG$1306 = "0", $BH$1306 = "1" ), 3, 4 ) ) )</f>
        <v>4</v>
      </c>
    </row>
    <row r="1307" spans="58:61" x14ac:dyDescent="0.25">
      <c r="BF1307" s="1">
        <v>9.9999999999999992E-2</v>
      </c>
      <c r="BG1307" t="str">
        <f>"0"</f>
        <v>0</v>
      </c>
      <c r="BH1307" t="str">
        <f xml:space="preserve"> IF($BF$1307 &gt;= $G$204, "1","0")</f>
        <v>0</v>
      </c>
      <c r="BI1307">
        <f xml:space="preserve"> IF( AND( $BG$1307 = "1", $BH$1307 = "1" ), 1, IF( AND( $BG$1307 = "1", $BH$1307 = "0" ), 2, IF( AND( $BG$1307 = "0", $BH$1307 = "1" ), 3, 4 ) ) )</f>
        <v>4</v>
      </c>
    </row>
    <row r="1308" spans="58:61" x14ac:dyDescent="0.25">
      <c r="BF1308" s="1">
        <v>0</v>
      </c>
      <c r="BG1308" t="str">
        <f>"0"</f>
        <v>0</v>
      </c>
      <c r="BH1308" t="str">
        <f xml:space="preserve"> IF($BF$1308 &gt;= $G$204, "1","0")</f>
        <v>0</v>
      </c>
      <c r="BI1308">
        <f xml:space="preserve"> IF( AND( $BG$1308 = "1", $BH$1308 = "1" ), 1, IF( AND( $BG$1308 = "1", $BH$1308 = "0" ), 2, IF( AND( $BG$1308 = "0", $BH$1308 = "1" ), 3, 4 ) ) )</f>
        <v>4</v>
      </c>
    </row>
    <row r="1309" spans="58:61" x14ac:dyDescent="0.25">
      <c r="BF1309" s="1">
        <v>0</v>
      </c>
      <c r="BG1309" t="str">
        <f>"0"</f>
        <v>0</v>
      </c>
      <c r="BH1309" t="str">
        <f xml:space="preserve"> IF($BF$1309 &gt;= $G$204, "1","0")</f>
        <v>0</v>
      </c>
      <c r="BI1309">
        <f xml:space="preserve"> IF( AND( $BG$1309 = "1", $BH$1309 = "1" ), 1, IF( AND( $BG$1309 = "1", $BH$1309 = "0" ), 2, IF( AND( $BG$1309 = "0", $BH$1309 = "1" ), 3, 4 ) ) )</f>
        <v>4</v>
      </c>
    </row>
    <row r="1310" spans="58:61" x14ac:dyDescent="0.25">
      <c r="BF1310" s="1">
        <v>0</v>
      </c>
      <c r="BG1310" t="str">
        <f>"0"</f>
        <v>0</v>
      </c>
      <c r="BH1310" t="str">
        <f xml:space="preserve"> IF($BF$1310 &gt;= $G$204, "1","0")</f>
        <v>0</v>
      </c>
      <c r="BI1310">
        <f xml:space="preserve"> IF( AND( $BG$1310 = "1", $BH$1310 = "1" ), 1, IF( AND( $BG$1310 = "1", $BH$1310 = "0" ), 2, IF( AND( $BG$1310 = "0", $BH$1310 = "1" ), 3, 4 ) ) )</f>
        <v>4</v>
      </c>
    </row>
    <row r="1311" spans="58:61" x14ac:dyDescent="0.25">
      <c r="BF1311" s="1">
        <v>0</v>
      </c>
      <c r="BG1311" t="str">
        <f>"0"</f>
        <v>0</v>
      </c>
      <c r="BH1311" t="str">
        <f xml:space="preserve"> IF($BF$1311 &gt;= $G$204, "1","0")</f>
        <v>0</v>
      </c>
      <c r="BI1311">
        <f xml:space="preserve"> IF( AND( $BG$1311 = "1", $BH$1311 = "1" ), 1, IF( AND( $BG$1311 = "1", $BH$1311 = "0" ), 2, IF( AND( $BG$1311 = "0", $BH$1311 = "1" ), 3, 4 ) ) )</f>
        <v>4</v>
      </c>
    </row>
    <row r="1312" spans="58:61" x14ac:dyDescent="0.25">
      <c r="BF1312" s="1">
        <v>0</v>
      </c>
      <c r="BG1312" t="str">
        <f>"0"</f>
        <v>0</v>
      </c>
      <c r="BH1312" t="str">
        <f xml:space="preserve"> IF($BF$1312 &gt;= $G$204, "1","0")</f>
        <v>0</v>
      </c>
      <c r="BI1312">
        <f xml:space="preserve"> IF( AND( $BG$1312 = "1", $BH$1312 = "1" ), 1, IF( AND( $BG$1312 = "1", $BH$1312 = "0" ), 2, IF( AND( $BG$1312 = "0", $BH$1312 = "1" ), 3, 4 ) ) )</f>
        <v>4</v>
      </c>
    </row>
    <row r="1313" spans="58:61" x14ac:dyDescent="0.25">
      <c r="BF1313" s="1">
        <v>0</v>
      </c>
      <c r="BG1313" t="str">
        <f>"0"</f>
        <v>0</v>
      </c>
      <c r="BH1313" t="str">
        <f xml:space="preserve"> IF($BF$1313 &gt;= $G$204, "1","0")</f>
        <v>0</v>
      </c>
      <c r="BI1313">
        <f xml:space="preserve"> IF( AND( $BG$1313 = "1", $BH$1313 = "1" ), 1, IF( AND( $BG$1313 = "1", $BH$1313 = "0" ), 2, IF( AND( $BG$1313 = "0", $BH$1313 = "1" ), 3, 4 ) ) )</f>
        <v>4</v>
      </c>
    </row>
    <row r="1314" spans="58:61" x14ac:dyDescent="0.25">
      <c r="BF1314" s="1">
        <v>0</v>
      </c>
      <c r="BG1314" t="str">
        <f>"0"</f>
        <v>0</v>
      </c>
      <c r="BH1314" t="str">
        <f xml:space="preserve"> IF($BF$1314 &gt;= $G$204, "1","0")</f>
        <v>0</v>
      </c>
      <c r="BI1314">
        <f xml:space="preserve"> IF( AND( $BG$1314 = "1", $BH$1314 = "1" ), 1, IF( AND( $BG$1314 = "1", $BH$1314 = "0" ), 2, IF( AND( $BG$1314 = "0", $BH$1314 = "1" ), 3, 4 ) ) )</f>
        <v>4</v>
      </c>
    </row>
    <row r="1315" spans="58:61" x14ac:dyDescent="0.25">
      <c r="BF1315" s="1">
        <v>9.9999999999999992E-2</v>
      </c>
      <c r="BG1315" t="str">
        <f>"0"</f>
        <v>0</v>
      </c>
      <c r="BH1315" t="str">
        <f xml:space="preserve"> IF($BF$1315 &gt;= $G$204, "1","0")</f>
        <v>0</v>
      </c>
      <c r="BI1315">
        <f xml:space="preserve"> IF( AND( $BG$1315 = "1", $BH$1315 = "1" ), 1, IF( AND( $BG$1315 = "1", $BH$1315 = "0" ), 2, IF( AND( $BG$1315 = "0", $BH$1315 = "1" ), 3, 4 ) ) )</f>
        <v>4</v>
      </c>
    </row>
    <row r="1316" spans="58:61" x14ac:dyDescent="0.25">
      <c r="BF1316" s="1">
        <v>9.9999999999999992E-2</v>
      </c>
      <c r="BG1316" t="str">
        <f>"0"</f>
        <v>0</v>
      </c>
      <c r="BH1316" t="str">
        <f xml:space="preserve"> IF($BF$1316 &gt;= $G$204, "1","0")</f>
        <v>0</v>
      </c>
      <c r="BI1316">
        <f xml:space="preserve"> IF( AND( $BG$1316 = "1", $BH$1316 = "1" ), 1, IF( AND( $BG$1316 = "1", $BH$1316 = "0" ), 2, IF( AND( $BG$1316 = "0", $BH$1316 = "1" ), 3, 4 ) ) )</f>
        <v>4</v>
      </c>
    </row>
    <row r="1317" spans="58:61" x14ac:dyDescent="0.25">
      <c r="BF1317" s="1">
        <v>0</v>
      </c>
      <c r="BG1317" t="str">
        <f>"0"</f>
        <v>0</v>
      </c>
      <c r="BH1317" t="str">
        <f xml:space="preserve"> IF($BF$1317 &gt;= $G$204, "1","0")</f>
        <v>0</v>
      </c>
      <c r="BI1317">
        <f xml:space="preserve"> IF( AND( $BG$1317 = "1", $BH$1317 = "1" ), 1, IF( AND( $BG$1317 = "1", $BH$1317 = "0" ), 2, IF( AND( $BG$1317 = "0", $BH$1317 = "1" ), 3, 4 ) ) )</f>
        <v>4</v>
      </c>
    </row>
    <row r="1318" spans="58:61" x14ac:dyDescent="0.25">
      <c r="BF1318" s="1">
        <v>0</v>
      </c>
      <c r="BG1318" t="str">
        <f>"0"</f>
        <v>0</v>
      </c>
      <c r="BH1318" t="str">
        <f xml:space="preserve"> IF($BF$1318 &gt;= $G$204, "1","0")</f>
        <v>0</v>
      </c>
      <c r="BI1318">
        <f xml:space="preserve"> IF( AND( $BG$1318 = "1", $BH$1318 = "1" ), 1, IF( AND( $BG$1318 = "1", $BH$1318 = "0" ), 2, IF( AND( $BG$1318 = "0", $BH$1318 = "1" ), 3, 4 ) ) )</f>
        <v>4</v>
      </c>
    </row>
    <row r="1319" spans="58:61" x14ac:dyDescent="0.25">
      <c r="BF1319" s="1">
        <v>0</v>
      </c>
      <c r="BG1319" t="str">
        <f>"0"</f>
        <v>0</v>
      </c>
      <c r="BH1319" t="str">
        <f xml:space="preserve"> IF($BF$1319 &gt;= $G$204, "1","0")</f>
        <v>0</v>
      </c>
      <c r="BI1319">
        <f xml:space="preserve"> IF( AND( $BG$1319 = "1", $BH$1319 = "1" ), 1, IF( AND( $BG$1319 = "1", $BH$1319 = "0" ), 2, IF( AND( $BG$1319 = "0", $BH$1319 = "1" ), 3, 4 ) ) )</f>
        <v>4</v>
      </c>
    </row>
    <row r="1320" spans="58:61" x14ac:dyDescent="0.25">
      <c r="BF1320" s="1">
        <v>0</v>
      </c>
      <c r="BG1320" t="str">
        <f>"0"</f>
        <v>0</v>
      </c>
      <c r="BH1320" t="str">
        <f xml:space="preserve"> IF($BF$1320 &gt;= $G$204, "1","0")</f>
        <v>0</v>
      </c>
      <c r="BI1320">
        <f xml:space="preserve"> IF( AND( $BG$1320 = "1", $BH$1320 = "1" ), 1, IF( AND( $BG$1320 = "1", $BH$1320 = "0" ), 2, IF( AND( $BG$1320 = "0", $BH$1320 = "1" ), 3, 4 ) ) )</f>
        <v>4</v>
      </c>
    </row>
    <row r="1321" spans="58:61" x14ac:dyDescent="0.25">
      <c r="BF1321" s="1">
        <v>0</v>
      </c>
      <c r="BG1321" t="str">
        <f>"0"</f>
        <v>0</v>
      </c>
      <c r="BH1321" t="str">
        <f xml:space="preserve"> IF($BF$1321 &gt;= $G$204, "1","0")</f>
        <v>0</v>
      </c>
      <c r="BI1321">
        <f xml:space="preserve"> IF( AND( $BG$1321 = "1", $BH$1321 = "1" ), 1, IF( AND( $BG$1321 = "1", $BH$1321 = "0" ), 2, IF( AND( $BG$1321 = "0", $BH$1321 = "1" ), 3, 4 ) ) )</f>
        <v>4</v>
      </c>
    </row>
    <row r="1322" spans="58:61" x14ac:dyDescent="0.25">
      <c r="BF1322" s="1">
        <v>0</v>
      </c>
      <c r="BG1322" t="str">
        <f>"0"</f>
        <v>0</v>
      </c>
      <c r="BH1322" t="str">
        <f xml:space="preserve"> IF($BF$1322 &gt;= $G$204, "1","0")</f>
        <v>0</v>
      </c>
      <c r="BI1322">
        <f xml:space="preserve"> IF( AND( $BG$1322 = "1", $BH$1322 = "1" ), 1, IF( AND( $BG$1322 = "1", $BH$1322 = "0" ), 2, IF( AND( $BG$1322 = "0", $BH$1322 = "1" ), 3, 4 ) ) )</f>
        <v>4</v>
      </c>
    </row>
    <row r="1323" spans="58:61" x14ac:dyDescent="0.25">
      <c r="BF1323" s="1">
        <v>0</v>
      </c>
      <c r="BG1323" t="str">
        <f>"0"</f>
        <v>0</v>
      </c>
      <c r="BH1323" t="str">
        <f xml:space="preserve"> IF($BF$1323 &gt;= $G$204, "1","0")</f>
        <v>0</v>
      </c>
      <c r="BI1323">
        <f xml:space="preserve"> IF( AND( $BG$1323 = "1", $BH$1323 = "1" ), 1, IF( AND( $BG$1323 = "1", $BH$1323 = "0" ), 2, IF( AND( $BG$1323 = "0", $BH$1323 = "1" ), 3, 4 ) ) )</f>
        <v>4</v>
      </c>
    </row>
    <row r="1324" spans="58:61" x14ac:dyDescent="0.25">
      <c r="BF1324" s="1">
        <v>0</v>
      </c>
      <c r="BG1324" t="str">
        <f>"0"</f>
        <v>0</v>
      </c>
      <c r="BH1324" t="str">
        <f xml:space="preserve"> IF($BF$1324 &gt;= $G$204, "1","0")</f>
        <v>0</v>
      </c>
      <c r="BI1324">
        <f xml:space="preserve"> IF( AND( $BG$1324 = "1", $BH$1324 = "1" ), 1, IF( AND( $BG$1324 = "1", $BH$1324 = "0" ), 2, IF( AND( $BG$1324 = "0", $BH$1324 = "1" ), 3, 4 ) ) )</f>
        <v>4</v>
      </c>
    </row>
    <row r="1325" spans="58:61" x14ac:dyDescent="0.25">
      <c r="BF1325" s="1">
        <v>0</v>
      </c>
      <c r="BG1325" t="str">
        <f>"0"</f>
        <v>0</v>
      </c>
      <c r="BH1325" t="str">
        <f xml:space="preserve"> IF($BF$1325 &gt;= $G$204, "1","0")</f>
        <v>0</v>
      </c>
      <c r="BI1325">
        <f xml:space="preserve"> IF( AND( $BG$1325 = "1", $BH$1325 = "1" ), 1, IF( AND( $BG$1325 = "1", $BH$1325 = "0" ), 2, IF( AND( $BG$1325 = "0", $BH$1325 = "1" ), 3, 4 ) ) )</f>
        <v>4</v>
      </c>
    </row>
    <row r="1326" spans="58:61" x14ac:dyDescent="0.25">
      <c r="BF1326" s="1">
        <v>0</v>
      </c>
      <c r="BG1326" t="str">
        <f>"0"</f>
        <v>0</v>
      </c>
      <c r="BH1326" t="str">
        <f xml:space="preserve"> IF($BF$1326 &gt;= $G$204, "1","0")</f>
        <v>0</v>
      </c>
      <c r="BI1326">
        <f xml:space="preserve"> IF( AND( $BG$1326 = "1", $BH$1326 = "1" ), 1, IF( AND( $BG$1326 = "1", $BH$1326 = "0" ), 2, IF( AND( $BG$1326 = "0", $BH$1326 = "1" ), 3, 4 ) ) )</f>
        <v>4</v>
      </c>
    </row>
    <row r="1327" spans="58:61" x14ac:dyDescent="0.25">
      <c r="BF1327" s="1">
        <v>0</v>
      </c>
      <c r="BG1327" t="str">
        <f>"0"</f>
        <v>0</v>
      </c>
      <c r="BH1327" t="str">
        <f xml:space="preserve"> IF($BF$1327 &gt;= $G$204, "1","0")</f>
        <v>0</v>
      </c>
      <c r="BI1327">
        <f xml:space="preserve"> IF( AND( $BG$1327 = "1", $BH$1327 = "1" ), 1, IF( AND( $BG$1327 = "1", $BH$1327 = "0" ), 2, IF( AND( $BG$1327 = "0", $BH$1327 = "1" ), 3, 4 ) ) )</f>
        <v>4</v>
      </c>
    </row>
    <row r="1328" spans="58:61" x14ac:dyDescent="0.25">
      <c r="BF1328" s="1">
        <v>0</v>
      </c>
      <c r="BG1328" t="str">
        <f>"0"</f>
        <v>0</v>
      </c>
      <c r="BH1328" t="str">
        <f xml:space="preserve"> IF($BF$1328 &gt;= $G$204, "1","0")</f>
        <v>0</v>
      </c>
      <c r="BI1328">
        <f xml:space="preserve"> IF( AND( $BG$1328 = "1", $BH$1328 = "1" ), 1, IF( AND( $BG$1328 = "1", $BH$1328 = "0" ), 2, IF( AND( $BG$1328 = "0", $BH$1328 = "1" ), 3, 4 ) ) )</f>
        <v>4</v>
      </c>
    </row>
    <row r="1329" spans="58:61" x14ac:dyDescent="0.25">
      <c r="BF1329" s="1">
        <v>0</v>
      </c>
      <c r="BG1329" t="str">
        <f>"0"</f>
        <v>0</v>
      </c>
      <c r="BH1329" t="str">
        <f xml:space="preserve"> IF($BF$1329 &gt;= $G$204, "1","0")</f>
        <v>0</v>
      </c>
      <c r="BI1329">
        <f xml:space="preserve"> IF( AND( $BG$1329 = "1", $BH$1329 = "1" ), 1, IF( AND( $BG$1329 = "1", $BH$1329 = "0" ), 2, IF( AND( $BG$1329 = "0", $BH$1329 = "1" ), 3, 4 ) ) )</f>
        <v>4</v>
      </c>
    </row>
    <row r="1330" spans="58:61" x14ac:dyDescent="0.25">
      <c r="BF1330" s="1">
        <v>8.3333333333333329E-2</v>
      </c>
      <c r="BG1330" t="str">
        <f>"0"</f>
        <v>0</v>
      </c>
      <c r="BH1330" t="str">
        <f xml:space="preserve"> IF($BF$1330 &gt;= $G$204, "1","0")</f>
        <v>0</v>
      </c>
      <c r="BI1330">
        <f xml:space="preserve"> IF( AND( $BG$1330 = "1", $BH$1330 = "1" ), 1, IF( AND( $BG$1330 = "1", $BH$1330 = "0" ), 2, IF( AND( $BG$1330 = "0", $BH$1330 = "1" ), 3, 4 ) ) )</f>
        <v>4</v>
      </c>
    </row>
    <row r="1331" spans="58:61" x14ac:dyDescent="0.25">
      <c r="BF1331" s="1">
        <v>0.21428571428571427</v>
      </c>
      <c r="BG1331" t="str">
        <f>"0"</f>
        <v>0</v>
      </c>
      <c r="BH1331" t="str">
        <f xml:space="preserve"> IF($BF$1331 &gt;= $G$204, "1","0")</f>
        <v>0</v>
      </c>
      <c r="BI1331">
        <f xml:space="preserve"> IF( AND( $BG$1331 = "1", $BH$1331 = "1" ), 1, IF( AND( $BG$1331 = "1", $BH$1331 = "0" ), 2, IF( AND( $BG$1331 = "0", $BH$1331 = "1" ), 3, 4 ) ) )</f>
        <v>4</v>
      </c>
    </row>
    <row r="1332" spans="58:61" x14ac:dyDescent="0.25">
      <c r="BF1332" s="1">
        <v>8.3333333333333329E-2</v>
      </c>
      <c r="BG1332" t="str">
        <f>"0"</f>
        <v>0</v>
      </c>
      <c r="BH1332" t="str">
        <f xml:space="preserve"> IF($BF$1332 &gt;= $G$204, "1","0")</f>
        <v>0</v>
      </c>
      <c r="BI1332">
        <f xml:space="preserve"> IF( AND( $BG$1332 = "1", $BH$1332 = "1" ), 1, IF( AND( $BG$1332 = "1", $BH$1332 = "0" ), 2, IF( AND( $BG$1332 = "0", $BH$1332 = "1" ), 3, 4 ) ) )</f>
        <v>4</v>
      </c>
    </row>
    <row r="1333" spans="58:61" x14ac:dyDescent="0.25">
      <c r="BF1333" s="1">
        <v>0</v>
      </c>
      <c r="BG1333" t="str">
        <f>"0"</f>
        <v>0</v>
      </c>
      <c r="BH1333" t="str">
        <f xml:space="preserve"> IF($BF$1333 &gt;= $G$204, "1","0")</f>
        <v>0</v>
      </c>
      <c r="BI1333">
        <f xml:space="preserve"> IF( AND( $BG$1333 = "1", $BH$1333 = "1" ), 1, IF( AND( $BG$1333 = "1", $BH$1333 = "0" ), 2, IF( AND( $BG$1333 = "0", $BH$1333 = "1" ), 3, 4 ) ) )</f>
        <v>4</v>
      </c>
    </row>
    <row r="1334" spans="58:61" x14ac:dyDescent="0.25">
      <c r="BF1334" s="1">
        <v>0</v>
      </c>
      <c r="BG1334" t="str">
        <f>"0"</f>
        <v>0</v>
      </c>
      <c r="BH1334" t="str">
        <f xml:space="preserve"> IF($BF$1334 &gt;= $G$204, "1","0")</f>
        <v>0</v>
      </c>
      <c r="BI1334">
        <f xml:space="preserve"> IF( AND( $BG$1334 = "1", $BH$1334 = "1" ), 1, IF( AND( $BG$1334 = "1", $BH$1334 = "0" ), 2, IF( AND( $BG$1334 = "0", $BH$1334 = "1" ), 3, 4 ) ) )</f>
        <v>4</v>
      </c>
    </row>
    <row r="1335" spans="58:61" x14ac:dyDescent="0.25">
      <c r="BF1335" s="1">
        <v>7.1428571428571411E-2</v>
      </c>
      <c r="BG1335" t="str">
        <f>"0"</f>
        <v>0</v>
      </c>
      <c r="BH1335" t="str">
        <f xml:space="preserve"> IF($BF$1335 &gt;= $G$204, "1","0")</f>
        <v>0</v>
      </c>
      <c r="BI1335">
        <f xml:space="preserve"> IF( AND( $BG$1335 = "1", $BH$1335 = "1" ), 1, IF( AND( $BG$1335 = "1", $BH$1335 = "0" ), 2, IF( AND( $BG$1335 = "0", $BH$1335 = "1" ), 3, 4 ) ) )</f>
        <v>4</v>
      </c>
    </row>
    <row r="1336" spans="58:61" x14ac:dyDescent="0.25">
      <c r="BF1336" s="1">
        <v>7.1428571428571411E-2</v>
      </c>
      <c r="BG1336" t="str">
        <f>"0"</f>
        <v>0</v>
      </c>
      <c r="BH1336" t="str">
        <f xml:space="preserve"> IF($BF$1336 &gt;= $G$204, "1","0")</f>
        <v>0</v>
      </c>
      <c r="BI1336">
        <f xml:space="preserve"> IF( AND( $BG$1336 = "1", $BH$1336 = "1" ), 1, IF( AND( $BG$1336 = "1", $BH$1336 = "0" ), 2, IF( AND( $BG$1336 = "0", $BH$1336 = "1" ), 3, 4 ) ) )</f>
        <v>4</v>
      </c>
    </row>
    <row r="1337" spans="58:61" x14ac:dyDescent="0.25">
      <c r="BF1337" s="1">
        <v>9.9999999999999992E-2</v>
      </c>
      <c r="BG1337" t="str">
        <f>"0"</f>
        <v>0</v>
      </c>
      <c r="BH1337" t="str">
        <f xml:space="preserve"> IF($BF$1337 &gt;= $G$204, "1","0")</f>
        <v>0</v>
      </c>
      <c r="BI1337">
        <f xml:space="preserve"> IF( AND( $BG$1337 = "1", $BH$1337 = "1" ), 1, IF( AND( $BG$1337 = "1", $BH$1337 = "0" ), 2, IF( AND( $BG$1337 = "0", $BH$1337 = "1" ), 3, 4 ) ) )</f>
        <v>4</v>
      </c>
    </row>
    <row r="1338" spans="58:61" x14ac:dyDescent="0.25">
      <c r="BF1338" s="1">
        <v>0</v>
      </c>
      <c r="BG1338" t="str">
        <f>"0"</f>
        <v>0</v>
      </c>
      <c r="BH1338" t="str">
        <f xml:space="preserve"> IF($BF$1338 &gt;= $G$204, "1","0")</f>
        <v>0</v>
      </c>
      <c r="BI1338">
        <f xml:space="preserve"> IF( AND( $BG$1338 = "1", $BH$1338 = "1" ), 1, IF( AND( $BG$1338 = "1", $BH$1338 = "0" ), 2, IF( AND( $BG$1338 = "0", $BH$1338 = "1" ), 3, 4 ) ) )</f>
        <v>4</v>
      </c>
    </row>
    <row r="1339" spans="58:61" x14ac:dyDescent="0.25">
      <c r="BF1339" s="1">
        <v>8.3333333333333329E-2</v>
      </c>
      <c r="BG1339" t="str">
        <f>"0"</f>
        <v>0</v>
      </c>
      <c r="BH1339" t="str">
        <f xml:space="preserve"> IF($BF$1339 &gt;= $G$204, "1","0")</f>
        <v>0</v>
      </c>
      <c r="BI1339">
        <f xml:space="preserve"> IF( AND( $BG$1339 = "1", $BH$1339 = "1" ), 1, IF( AND( $BG$1339 = "1", $BH$1339 = "0" ), 2, IF( AND( $BG$1339 = "0", $BH$1339 = "1" ), 3, 4 ) ) )</f>
        <v>4</v>
      </c>
    </row>
    <row r="1340" spans="58:61" x14ac:dyDescent="0.25">
      <c r="BF1340" s="1">
        <v>7.1428571428571411E-2</v>
      </c>
      <c r="BG1340" t="str">
        <f>"0"</f>
        <v>0</v>
      </c>
      <c r="BH1340" t="str">
        <f xml:space="preserve"> IF($BF$1340 &gt;= $G$204, "1","0")</f>
        <v>0</v>
      </c>
      <c r="BI1340">
        <f xml:space="preserve"> IF( AND( $BG$1340 = "1", $BH$1340 = "1" ), 1, IF( AND( $BG$1340 = "1", $BH$1340 = "0" ), 2, IF( AND( $BG$1340 = "0", $BH$1340 = "1" ), 3, 4 ) ) )</f>
        <v>4</v>
      </c>
    </row>
    <row r="1341" spans="58:61" x14ac:dyDescent="0.25">
      <c r="BF1341" s="1">
        <v>7.1428571428571411E-2</v>
      </c>
      <c r="BG1341" t="str">
        <f>"0"</f>
        <v>0</v>
      </c>
      <c r="BH1341" t="str">
        <f xml:space="preserve"> IF($BF$1341 &gt;= $G$204, "1","0")</f>
        <v>0</v>
      </c>
      <c r="BI1341">
        <f xml:space="preserve"> IF( AND( $BG$1341 = "1", $BH$1341 = "1" ), 1, IF( AND( $BG$1341 = "1", $BH$1341 = "0" ), 2, IF( AND( $BG$1341 = "0", $BH$1341 = "1" ), 3, 4 ) ) )</f>
        <v>4</v>
      </c>
    </row>
    <row r="1342" spans="58:61" x14ac:dyDescent="0.25">
      <c r="BF1342" s="1">
        <v>0</v>
      </c>
      <c r="BG1342" t="str">
        <f>"0"</f>
        <v>0</v>
      </c>
      <c r="BH1342" t="str">
        <f xml:space="preserve"> IF($BF$1342 &gt;= $G$204, "1","0")</f>
        <v>0</v>
      </c>
      <c r="BI1342">
        <f xml:space="preserve"> IF( AND( $BG$1342 = "1", $BH$1342 = "1" ), 1, IF( AND( $BG$1342 = "1", $BH$1342 = "0" ), 2, IF( AND( $BG$1342 = "0", $BH$1342 = "1" ), 3, 4 ) ) )</f>
        <v>4</v>
      </c>
    </row>
    <row r="1343" spans="58:61" x14ac:dyDescent="0.25">
      <c r="BF1343" s="1">
        <v>0</v>
      </c>
      <c r="BG1343" t="str">
        <f>"0"</f>
        <v>0</v>
      </c>
      <c r="BH1343" t="str">
        <f xml:space="preserve"> IF($BF$1343 &gt;= $G$204, "1","0")</f>
        <v>0</v>
      </c>
      <c r="BI1343">
        <f xml:space="preserve"> IF( AND( $BG$1343 = "1", $BH$1343 = "1" ), 1, IF( AND( $BG$1343 = "1", $BH$1343 = "0" ), 2, IF( AND( $BG$1343 = "0", $BH$1343 = "1" ), 3, 4 ) ) )</f>
        <v>4</v>
      </c>
    </row>
    <row r="1344" spans="58:61" x14ac:dyDescent="0.25">
      <c r="BF1344" s="1">
        <v>8.3333333333333329E-2</v>
      </c>
      <c r="BG1344" t="str">
        <f>"0"</f>
        <v>0</v>
      </c>
      <c r="BH1344" t="str">
        <f xml:space="preserve"> IF($BF$1344 &gt;= $G$204, "1","0")</f>
        <v>0</v>
      </c>
      <c r="BI1344">
        <f xml:space="preserve"> IF( AND( $BG$1344 = "1", $BH$1344 = "1" ), 1, IF( AND( $BG$1344 = "1", $BH$1344 = "0" ), 2, IF( AND( $BG$1344 = "0", $BH$1344 = "1" ), 3, 4 ) ) )</f>
        <v>4</v>
      </c>
    </row>
    <row r="1345" spans="58:61" x14ac:dyDescent="0.25">
      <c r="BF1345" s="1">
        <v>0.21428571428571427</v>
      </c>
      <c r="BG1345" t="str">
        <f>"0"</f>
        <v>0</v>
      </c>
      <c r="BH1345" t="str">
        <f xml:space="preserve"> IF($BF$1345 &gt;= $G$204, "1","0")</f>
        <v>0</v>
      </c>
      <c r="BI1345">
        <f xml:space="preserve"> IF( AND( $BG$1345 = "1", $BH$1345 = "1" ), 1, IF( AND( $BG$1345 = "1", $BH$1345 = "0" ), 2, IF( AND( $BG$1345 = "0", $BH$1345 = "1" ), 3, 4 ) ) )</f>
        <v>4</v>
      </c>
    </row>
    <row r="1346" spans="58:61" x14ac:dyDescent="0.25">
      <c r="BF1346" s="1">
        <v>0</v>
      </c>
      <c r="BG1346" t="str">
        <f>"0"</f>
        <v>0</v>
      </c>
      <c r="BH1346" t="str">
        <f xml:space="preserve"> IF($BF$1346 &gt;= $G$204, "1","0")</f>
        <v>0</v>
      </c>
      <c r="BI1346">
        <f xml:space="preserve"> IF( AND( $BG$1346 = "1", $BH$1346 = "1" ), 1, IF( AND( $BG$1346 = "1", $BH$1346 = "0" ), 2, IF( AND( $BG$1346 = "0", $BH$1346 = "1" ), 3, 4 ) ) )</f>
        <v>4</v>
      </c>
    </row>
    <row r="1347" spans="58:61" x14ac:dyDescent="0.25">
      <c r="BF1347" s="1">
        <v>0</v>
      </c>
      <c r="BG1347" t="str">
        <f>"0"</f>
        <v>0</v>
      </c>
      <c r="BH1347" t="str">
        <f xml:space="preserve"> IF($BF$1347 &gt;= $G$204, "1","0")</f>
        <v>0</v>
      </c>
      <c r="BI1347">
        <f xml:space="preserve"> IF( AND( $BG$1347 = "1", $BH$1347 = "1" ), 1, IF( AND( $BG$1347 = "1", $BH$1347 = "0" ), 2, IF( AND( $BG$1347 = "0", $BH$1347 = "1" ), 3, 4 ) ) )</f>
        <v>4</v>
      </c>
    </row>
    <row r="1348" spans="58:61" x14ac:dyDescent="0.25">
      <c r="BF1348" s="1">
        <v>0</v>
      </c>
      <c r="BG1348" t="str">
        <f>"0"</f>
        <v>0</v>
      </c>
      <c r="BH1348" t="str">
        <f xml:space="preserve"> IF($BF$1348 &gt;= $G$204, "1","0")</f>
        <v>0</v>
      </c>
      <c r="BI1348">
        <f xml:space="preserve"> IF( AND( $BG$1348 = "1", $BH$1348 = "1" ), 1, IF( AND( $BG$1348 = "1", $BH$1348 = "0" ), 2, IF( AND( $BG$1348 = "0", $BH$1348 = "1" ), 3, 4 ) ) )</f>
        <v>4</v>
      </c>
    </row>
    <row r="1349" spans="58:61" x14ac:dyDescent="0.25">
      <c r="BF1349" s="1">
        <v>8.3333333333333329E-2</v>
      </c>
      <c r="BG1349" t="str">
        <f>"0"</f>
        <v>0</v>
      </c>
      <c r="BH1349" t="str">
        <f xml:space="preserve"> IF($BF$1349 &gt;= $G$204, "1","0")</f>
        <v>0</v>
      </c>
      <c r="BI1349">
        <f xml:space="preserve"> IF( AND( $BG$1349 = "1", $BH$1349 = "1" ), 1, IF( AND( $BG$1349 = "1", $BH$1349 = "0" ), 2, IF( AND( $BG$1349 = "0", $BH$1349 = "1" ), 3, 4 ) ) )</f>
        <v>4</v>
      </c>
    </row>
    <row r="1350" spans="58:61" x14ac:dyDescent="0.25">
      <c r="BF1350" s="1">
        <v>7.1428571428571411E-2</v>
      </c>
      <c r="BG1350" t="str">
        <f>"0"</f>
        <v>0</v>
      </c>
      <c r="BH1350" t="str">
        <f xml:space="preserve"> IF($BF$1350 &gt;= $G$204, "1","0")</f>
        <v>0</v>
      </c>
      <c r="BI1350">
        <f xml:space="preserve"> IF( AND( $BG$1350 = "1", $BH$1350 = "1" ), 1, IF( AND( $BG$1350 = "1", $BH$1350 = "0" ), 2, IF( AND( $BG$1350 = "0", $BH$1350 = "1" ), 3, 4 ) ) )</f>
        <v>4</v>
      </c>
    </row>
    <row r="1351" spans="58:61" x14ac:dyDescent="0.25">
      <c r="BF1351" s="1">
        <v>8.3333333333333329E-2</v>
      </c>
      <c r="BG1351" t="str">
        <f>"0"</f>
        <v>0</v>
      </c>
      <c r="BH1351" t="str">
        <f xml:space="preserve"> IF($BF$1351 &gt;= $G$204, "1","0")</f>
        <v>0</v>
      </c>
      <c r="BI1351">
        <f xml:space="preserve"> IF( AND( $BG$1351 = "1", $BH$1351 = "1" ), 1, IF( AND( $BG$1351 = "1", $BH$1351 = "0" ), 2, IF( AND( $BG$1351 = "0", $BH$1351 = "1" ), 3, 4 ) ) )</f>
        <v>4</v>
      </c>
    </row>
    <row r="1352" spans="58:61" x14ac:dyDescent="0.25">
      <c r="BF1352" s="1">
        <v>8.3333333333333329E-2</v>
      </c>
      <c r="BG1352" t="str">
        <f>"0"</f>
        <v>0</v>
      </c>
      <c r="BH1352" t="str">
        <f xml:space="preserve"> IF($BF$1352 &gt;= $G$204, "1","0")</f>
        <v>0</v>
      </c>
      <c r="BI1352">
        <f xml:space="preserve"> IF( AND( $BG$1352 = "1", $BH$1352 = "1" ), 1, IF( AND( $BG$1352 = "1", $BH$1352 = "0" ), 2, IF( AND( $BG$1352 = "0", $BH$1352 = "1" ), 3, 4 ) ) )</f>
        <v>4</v>
      </c>
    </row>
    <row r="1353" spans="58:61" x14ac:dyDescent="0.25">
      <c r="BF1353" s="1">
        <v>8.3333333333333329E-2</v>
      </c>
      <c r="BG1353" t="str">
        <f>"0"</f>
        <v>0</v>
      </c>
      <c r="BH1353" t="str">
        <f xml:space="preserve"> IF($BF$1353 &gt;= $G$204, "1","0")</f>
        <v>0</v>
      </c>
      <c r="BI1353">
        <f xml:space="preserve"> IF( AND( $BG$1353 = "1", $BH$1353 = "1" ), 1, IF( AND( $BG$1353 = "1", $BH$1353 = "0" ), 2, IF( AND( $BG$1353 = "0", $BH$1353 = "1" ), 3, 4 ) ) )</f>
        <v>4</v>
      </c>
    </row>
    <row r="1354" spans="58:61" x14ac:dyDescent="0.25">
      <c r="BF1354" s="1">
        <v>0</v>
      </c>
      <c r="BG1354" t="str">
        <f>"0"</f>
        <v>0</v>
      </c>
      <c r="BH1354" t="str">
        <f xml:space="preserve"> IF($BF$1354 &gt;= $G$204, "1","0")</f>
        <v>0</v>
      </c>
      <c r="BI1354">
        <f xml:space="preserve"> IF( AND( $BG$1354 = "1", $BH$1354 = "1" ), 1, IF( AND( $BG$1354 = "1", $BH$1354 = "0" ), 2, IF( AND( $BG$1354 = "0", $BH$1354 = "1" ), 3, 4 ) ) )</f>
        <v>4</v>
      </c>
    </row>
    <row r="1355" spans="58:61" x14ac:dyDescent="0.25">
      <c r="BF1355" s="1">
        <v>8.3333333333333329E-2</v>
      </c>
      <c r="BG1355" t="str">
        <f>"0"</f>
        <v>0</v>
      </c>
      <c r="BH1355" t="str">
        <f xml:space="preserve"> IF($BF$1355 &gt;= $G$204, "1","0")</f>
        <v>0</v>
      </c>
      <c r="BI1355">
        <f xml:space="preserve"> IF( AND( $BG$1355 = "1", $BH$1355 = "1" ), 1, IF( AND( $BG$1355 = "1", $BH$1355 = "0" ), 2, IF( AND( $BG$1355 = "0", $BH$1355 = "1" ), 3, 4 ) ) )</f>
        <v>4</v>
      </c>
    </row>
    <row r="1356" spans="58:61" x14ac:dyDescent="0.25">
      <c r="BF1356" s="1">
        <v>9.9999999999999992E-2</v>
      </c>
      <c r="BG1356" t="str">
        <f>"0"</f>
        <v>0</v>
      </c>
      <c r="BH1356" t="str">
        <f xml:space="preserve"> IF($BF$1356 &gt;= $G$204, "1","0")</f>
        <v>0</v>
      </c>
      <c r="BI1356">
        <f xml:space="preserve"> IF( AND( $BG$1356 = "1", $BH$1356 = "1" ), 1, IF( AND( $BG$1356 = "1", $BH$1356 = "0" ), 2, IF( AND( $BG$1356 = "0", $BH$1356 = "1" ), 3, 4 ) ) )</f>
        <v>4</v>
      </c>
    </row>
    <row r="1357" spans="58:61" x14ac:dyDescent="0.25">
      <c r="BF1357" s="1">
        <v>9.9999999999999992E-2</v>
      </c>
      <c r="BG1357" t="str">
        <f>"0"</f>
        <v>0</v>
      </c>
      <c r="BH1357" t="str">
        <f xml:space="preserve"> IF($BF$1357 &gt;= $G$204, "1","0")</f>
        <v>0</v>
      </c>
      <c r="BI1357">
        <f xml:space="preserve"> IF( AND( $BG$1357 = "1", $BH$1357 = "1" ), 1, IF( AND( $BG$1357 = "1", $BH$1357 = "0" ), 2, IF( AND( $BG$1357 = "0", $BH$1357 = "1" ), 3, 4 ) ) )</f>
        <v>4</v>
      </c>
    </row>
    <row r="1358" spans="58:61" x14ac:dyDescent="0.25">
      <c r="BF1358" s="1">
        <v>0.21428571428571427</v>
      </c>
      <c r="BG1358" t="str">
        <f>"0"</f>
        <v>0</v>
      </c>
      <c r="BH1358" t="str">
        <f xml:space="preserve"> IF($BF$1358 &gt;= $G$204, "1","0")</f>
        <v>0</v>
      </c>
      <c r="BI1358">
        <f xml:space="preserve"> IF( AND( $BG$1358 = "1", $BH$1358 = "1" ), 1, IF( AND( $BG$1358 = "1", $BH$1358 = "0" ), 2, IF( AND( $BG$1358 = "0", $BH$1358 = "1" ), 3, 4 ) ) )</f>
        <v>4</v>
      </c>
    </row>
    <row r="1359" spans="58:61" x14ac:dyDescent="0.25">
      <c r="BF1359" s="1">
        <v>9.9999999999999992E-2</v>
      </c>
      <c r="BG1359" t="str">
        <f>"0"</f>
        <v>0</v>
      </c>
      <c r="BH1359" t="str">
        <f xml:space="preserve"> IF($BF$1359 &gt;= $G$204, "1","0")</f>
        <v>0</v>
      </c>
      <c r="BI1359">
        <f xml:space="preserve"> IF( AND( $BG$1359 = "1", $BH$1359 = "1" ), 1, IF( AND( $BG$1359 = "1", $BH$1359 = "0" ), 2, IF( AND( $BG$1359 = "0", $BH$1359 = "1" ), 3, 4 ) ) )</f>
        <v>4</v>
      </c>
    </row>
    <row r="1360" spans="58:61" x14ac:dyDescent="0.25">
      <c r="BF1360" s="1">
        <v>8.3333333333333329E-2</v>
      </c>
      <c r="BG1360" t="str">
        <f>"0"</f>
        <v>0</v>
      </c>
      <c r="BH1360" t="str">
        <f xml:space="preserve"> IF($BF$1360 &gt;= $G$204, "1","0")</f>
        <v>0</v>
      </c>
      <c r="BI1360">
        <f xml:space="preserve"> IF( AND( $BG$1360 = "1", $BH$1360 = "1" ), 1, IF( AND( $BG$1360 = "1", $BH$1360 = "0" ), 2, IF( AND( $BG$1360 = "0", $BH$1360 = "1" ), 3, 4 ) ) )</f>
        <v>4</v>
      </c>
    </row>
    <row r="1361" spans="58:61" x14ac:dyDescent="0.25">
      <c r="BF1361" s="1">
        <v>7.1428571428571411E-2</v>
      </c>
      <c r="BG1361" t="str">
        <f>"0"</f>
        <v>0</v>
      </c>
      <c r="BH1361" t="str">
        <f xml:space="preserve"> IF($BF$1361 &gt;= $G$204, "1","0")</f>
        <v>0</v>
      </c>
      <c r="BI1361">
        <f xml:space="preserve"> IF( AND( $BG$1361 = "1", $BH$1361 = "1" ), 1, IF( AND( $BG$1361 = "1", $BH$1361 = "0" ), 2, IF( AND( $BG$1361 = "0", $BH$1361 = "1" ), 3, 4 ) ) )</f>
        <v>4</v>
      </c>
    </row>
    <row r="1362" spans="58:61" x14ac:dyDescent="0.25">
      <c r="BF1362" s="1">
        <v>8.3333333333333329E-2</v>
      </c>
      <c r="BG1362" t="str">
        <f>"0"</f>
        <v>0</v>
      </c>
      <c r="BH1362" t="str">
        <f xml:space="preserve"> IF($BF$1362 &gt;= $G$204, "1","0")</f>
        <v>0</v>
      </c>
      <c r="BI1362">
        <f xml:space="preserve"> IF( AND( $BG$1362 = "1", $BH$1362 = "1" ), 1, IF( AND( $BG$1362 = "1", $BH$1362 = "0" ), 2, IF( AND( $BG$1362 = "0", $BH$1362 = "1" ), 3, 4 ) ) )</f>
        <v>4</v>
      </c>
    </row>
    <row r="1363" spans="58:61" x14ac:dyDescent="0.25">
      <c r="BF1363" s="1">
        <v>7.1428571428571411E-2</v>
      </c>
      <c r="BG1363" t="str">
        <f>"0"</f>
        <v>0</v>
      </c>
      <c r="BH1363" t="str">
        <f xml:space="preserve"> IF($BF$1363 &gt;= $G$204, "1","0")</f>
        <v>0</v>
      </c>
      <c r="BI1363">
        <f xml:space="preserve"> IF( AND( $BG$1363 = "1", $BH$1363 = "1" ), 1, IF( AND( $BG$1363 = "1", $BH$1363 = "0" ), 2, IF( AND( $BG$1363 = "0", $BH$1363 = "1" ), 3, 4 ) ) )</f>
        <v>4</v>
      </c>
    </row>
    <row r="1364" spans="58:61" x14ac:dyDescent="0.25">
      <c r="BF1364" s="1">
        <v>0</v>
      </c>
      <c r="BG1364" t="str">
        <f>"0"</f>
        <v>0</v>
      </c>
      <c r="BH1364" t="str">
        <f xml:space="preserve"> IF($BF$1364 &gt;= $G$204, "1","0")</f>
        <v>0</v>
      </c>
      <c r="BI1364">
        <f xml:space="preserve"> IF( AND( $BG$1364 = "1", $BH$1364 = "1" ), 1, IF( AND( $BG$1364 = "1", $BH$1364 = "0" ), 2, IF( AND( $BG$1364 = "0", $BH$1364 = "1" ), 3, 4 ) ) )</f>
        <v>4</v>
      </c>
    </row>
    <row r="1365" spans="58:61" x14ac:dyDescent="0.25">
      <c r="BF1365" s="1">
        <v>0</v>
      </c>
      <c r="BG1365" t="str">
        <f>"0"</f>
        <v>0</v>
      </c>
      <c r="BH1365" t="str">
        <f xml:space="preserve"> IF($BF$1365 &gt;= $G$204, "1","0")</f>
        <v>0</v>
      </c>
      <c r="BI1365">
        <f xml:space="preserve"> IF( AND( $BG$1365 = "1", $BH$1365 = "1" ), 1, IF( AND( $BG$1365 = "1", $BH$1365 = "0" ), 2, IF( AND( $BG$1365 = "0", $BH$1365 = "1" ), 3, 4 ) ) )</f>
        <v>4</v>
      </c>
    </row>
    <row r="1366" spans="58:61" x14ac:dyDescent="0.25">
      <c r="BF1366" s="1">
        <v>0.21428571428571427</v>
      </c>
      <c r="BG1366" t="str">
        <f>"0"</f>
        <v>0</v>
      </c>
      <c r="BH1366" t="str">
        <f xml:space="preserve"> IF($BF$1366 &gt;= $G$204, "1","0")</f>
        <v>0</v>
      </c>
      <c r="BI1366">
        <f xml:space="preserve"> IF( AND( $BG$1366 = "1", $BH$1366 = "1" ), 1, IF( AND( $BG$1366 = "1", $BH$1366 = "0" ), 2, IF( AND( $BG$1366 = "0", $BH$1366 = "1" ), 3, 4 ) ) )</f>
        <v>4</v>
      </c>
    </row>
    <row r="1367" spans="58:61" x14ac:dyDescent="0.25">
      <c r="BF1367" s="1">
        <v>0.21428571428571427</v>
      </c>
      <c r="BG1367" t="str">
        <f>"0"</f>
        <v>0</v>
      </c>
      <c r="BH1367" t="str">
        <f xml:space="preserve"> IF($BF$1367 &gt;= $G$204, "1","0")</f>
        <v>0</v>
      </c>
      <c r="BI1367">
        <f xml:space="preserve"> IF( AND( $BG$1367 = "1", $BH$1367 = "1" ), 1, IF( AND( $BG$1367 = "1", $BH$1367 = "0" ), 2, IF( AND( $BG$1367 = "0", $BH$1367 = "1" ), 3, 4 ) ) )</f>
        <v>4</v>
      </c>
    </row>
    <row r="1368" spans="58:61" x14ac:dyDescent="0.25">
      <c r="BF1368" s="1">
        <v>8.3333333333333329E-2</v>
      </c>
      <c r="BG1368" t="str">
        <f>"0"</f>
        <v>0</v>
      </c>
      <c r="BH1368" t="str">
        <f xml:space="preserve"> IF($BF$1368 &gt;= $G$204, "1","0")</f>
        <v>0</v>
      </c>
      <c r="BI1368">
        <f xml:space="preserve"> IF( AND( $BG$1368 = "1", $BH$1368 = "1" ), 1, IF( AND( $BG$1368 = "1", $BH$1368 = "0" ), 2, IF( AND( $BG$1368 = "0", $BH$1368 = "1" ), 3, 4 ) ) )</f>
        <v>4</v>
      </c>
    </row>
    <row r="1369" spans="58:61" x14ac:dyDescent="0.25">
      <c r="BF1369" s="1">
        <v>0.21428571428571427</v>
      </c>
      <c r="BG1369" t="str">
        <f>"0"</f>
        <v>0</v>
      </c>
      <c r="BH1369" t="str">
        <f xml:space="preserve"> IF($BF$1369 &gt;= $G$204, "1","0")</f>
        <v>0</v>
      </c>
      <c r="BI1369">
        <f xml:space="preserve"> IF( AND( $BG$1369 = "1", $BH$1369 = "1" ), 1, IF( AND( $BG$1369 = "1", $BH$1369 = "0" ), 2, IF( AND( $BG$1369 = "0", $BH$1369 = "1" ), 3, 4 ) ) )</f>
        <v>4</v>
      </c>
    </row>
    <row r="1370" spans="58:61" x14ac:dyDescent="0.25">
      <c r="BF1370" s="1">
        <v>8.3333333333333329E-2</v>
      </c>
      <c r="BG1370" t="str">
        <f>"0"</f>
        <v>0</v>
      </c>
      <c r="BH1370" t="str">
        <f xml:space="preserve"> IF($BF$1370 &gt;= $G$204, "1","0")</f>
        <v>0</v>
      </c>
      <c r="BI1370">
        <f xml:space="preserve"> IF( AND( $BG$1370 = "1", $BH$1370 = "1" ), 1, IF( AND( $BG$1370 = "1", $BH$1370 = "0" ), 2, IF( AND( $BG$1370 = "0", $BH$1370 = "1" ), 3, 4 ) ) )</f>
        <v>4</v>
      </c>
    </row>
    <row r="1371" spans="58:61" x14ac:dyDescent="0.25">
      <c r="BF1371" s="1">
        <v>0</v>
      </c>
      <c r="BG1371" t="str">
        <f>"0"</f>
        <v>0</v>
      </c>
      <c r="BH1371" t="str">
        <f xml:space="preserve"> IF($BF$1371 &gt;= $G$204, "1","0")</f>
        <v>0</v>
      </c>
      <c r="BI1371">
        <f xml:space="preserve"> IF( AND( $BG$1371 = "1", $BH$1371 = "1" ), 1, IF( AND( $BG$1371 = "1", $BH$1371 = "0" ), 2, IF( AND( $BG$1371 = "0", $BH$1371 = "1" ), 3, 4 ) ) )</f>
        <v>4</v>
      </c>
    </row>
    <row r="1372" spans="58:61" x14ac:dyDescent="0.25">
      <c r="BF1372" s="1">
        <v>8.3333333333333329E-2</v>
      </c>
      <c r="BG1372" t="str">
        <f>"0"</f>
        <v>0</v>
      </c>
      <c r="BH1372" t="str">
        <f xml:space="preserve"> IF($BF$1372 &gt;= $G$204, "1","0")</f>
        <v>0</v>
      </c>
      <c r="BI1372">
        <f xml:space="preserve"> IF( AND( $BG$1372 = "1", $BH$1372 = "1" ), 1, IF( AND( $BG$1372 = "1", $BH$1372 = "0" ), 2, IF( AND( $BG$1372 = "0", $BH$1372 = "1" ), 3, 4 ) ) )</f>
        <v>4</v>
      </c>
    </row>
    <row r="1373" spans="58:61" x14ac:dyDescent="0.25">
      <c r="BF1373" s="1">
        <v>0</v>
      </c>
      <c r="BG1373" t="str">
        <f>"0"</f>
        <v>0</v>
      </c>
      <c r="BH1373" t="str">
        <f xml:space="preserve"> IF($BF$1373 &gt;= $G$204, "1","0")</f>
        <v>0</v>
      </c>
      <c r="BI1373">
        <f xml:space="preserve"> IF( AND( $BG$1373 = "1", $BH$1373 = "1" ), 1, IF( AND( $BG$1373 = "1", $BH$1373 = "0" ), 2, IF( AND( $BG$1373 = "0", $BH$1373 = "1" ), 3, 4 ) ) )</f>
        <v>4</v>
      </c>
    </row>
    <row r="1374" spans="58:61" x14ac:dyDescent="0.25">
      <c r="BF1374" s="1">
        <v>0.21428571428571427</v>
      </c>
      <c r="BG1374" t="str">
        <f>"0"</f>
        <v>0</v>
      </c>
      <c r="BH1374" t="str">
        <f xml:space="preserve"> IF($BF$1374 &gt;= $G$204, "1","0")</f>
        <v>0</v>
      </c>
      <c r="BI1374">
        <f xml:space="preserve"> IF( AND( $BG$1374 = "1", $BH$1374 = "1" ), 1, IF( AND( $BG$1374 = "1", $BH$1374 = "0" ), 2, IF( AND( $BG$1374 = "0", $BH$1374 = "1" ), 3, 4 ) ) )</f>
        <v>4</v>
      </c>
    </row>
    <row r="1375" spans="58:61" x14ac:dyDescent="0.25">
      <c r="BF1375" s="1">
        <v>0</v>
      </c>
      <c r="BG1375" t="str">
        <f>"0"</f>
        <v>0</v>
      </c>
      <c r="BH1375" t="str">
        <f xml:space="preserve"> IF($BF$1375 &gt;= $G$204, "1","0")</f>
        <v>0</v>
      </c>
      <c r="BI1375">
        <f xml:space="preserve"> IF( AND( $BG$1375 = "1", $BH$1375 = "1" ), 1, IF( AND( $BG$1375 = "1", $BH$1375 = "0" ), 2, IF( AND( $BG$1375 = "0", $BH$1375 = "1" ), 3, 4 ) ) )</f>
        <v>4</v>
      </c>
    </row>
    <row r="1376" spans="58:61" x14ac:dyDescent="0.25">
      <c r="BF1376" s="1">
        <v>0</v>
      </c>
      <c r="BG1376" t="str">
        <f>"0"</f>
        <v>0</v>
      </c>
      <c r="BH1376" t="str">
        <f xml:space="preserve"> IF($BF$1376 &gt;= $G$204, "1","0")</f>
        <v>0</v>
      </c>
      <c r="BI1376">
        <f xml:space="preserve"> IF( AND( $BG$1376 = "1", $BH$1376 = "1" ), 1, IF( AND( $BG$1376 = "1", $BH$1376 = "0" ), 2, IF( AND( $BG$1376 = "0", $BH$1376 = "1" ), 3, 4 ) ) )</f>
        <v>4</v>
      </c>
    </row>
    <row r="1377" spans="58:61" x14ac:dyDescent="0.25">
      <c r="BF1377" s="1">
        <v>0</v>
      </c>
      <c r="BG1377" t="str">
        <f>"0"</f>
        <v>0</v>
      </c>
      <c r="BH1377" t="str">
        <f xml:space="preserve"> IF($BF$1377 &gt;= $G$204, "1","0")</f>
        <v>0</v>
      </c>
      <c r="BI1377">
        <f xml:space="preserve"> IF( AND( $BG$1377 = "1", $BH$1377 = "1" ), 1, IF( AND( $BG$1377 = "1", $BH$1377 = "0" ), 2, IF( AND( $BG$1377 = "0", $BH$1377 = "1" ), 3, 4 ) ) )</f>
        <v>4</v>
      </c>
    </row>
    <row r="1378" spans="58:61" x14ac:dyDescent="0.25">
      <c r="BF1378" s="1">
        <v>0</v>
      </c>
      <c r="BG1378" t="str">
        <f>"0"</f>
        <v>0</v>
      </c>
      <c r="BH1378" t="str">
        <f xml:space="preserve"> IF($BF$1378 &gt;= $G$204, "1","0")</f>
        <v>0</v>
      </c>
      <c r="BI1378">
        <f xml:space="preserve"> IF( AND( $BG$1378 = "1", $BH$1378 = "1" ), 1, IF( AND( $BG$1378 = "1", $BH$1378 = "0" ), 2, IF( AND( $BG$1378 = "0", $BH$1378 = "1" ), 3, 4 ) ) )</f>
        <v>4</v>
      </c>
    </row>
    <row r="1379" spans="58:61" x14ac:dyDescent="0.25">
      <c r="BF1379" s="1">
        <v>0</v>
      </c>
      <c r="BG1379" t="str">
        <f>"0"</f>
        <v>0</v>
      </c>
      <c r="BH1379" t="str">
        <f xml:space="preserve"> IF($BF$1379 &gt;= $G$204, "1","0")</f>
        <v>0</v>
      </c>
      <c r="BI1379">
        <f xml:space="preserve"> IF( AND( $BG$1379 = "1", $BH$1379 = "1" ), 1, IF( AND( $BG$1379 = "1", $BH$1379 = "0" ), 2, IF( AND( $BG$1379 = "0", $BH$1379 = "1" ), 3, 4 ) ) )</f>
        <v>4</v>
      </c>
    </row>
    <row r="1380" spans="58:61" x14ac:dyDescent="0.25">
      <c r="BF1380" s="1">
        <v>0</v>
      </c>
      <c r="BG1380" t="str">
        <f>"0"</f>
        <v>0</v>
      </c>
      <c r="BH1380" t="str">
        <f xml:space="preserve"> IF($BF$1380 &gt;= $G$204, "1","0")</f>
        <v>0</v>
      </c>
      <c r="BI1380">
        <f xml:space="preserve"> IF( AND( $BG$1380 = "1", $BH$1380 = "1" ), 1, IF( AND( $BG$1380 = "1", $BH$1380 = "0" ), 2, IF( AND( $BG$1380 = "0", $BH$1380 = "1" ), 3, 4 ) ) )</f>
        <v>4</v>
      </c>
    </row>
    <row r="1381" spans="58:61" x14ac:dyDescent="0.25">
      <c r="BF1381" s="1">
        <v>0</v>
      </c>
      <c r="BG1381" t="str">
        <f>"0"</f>
        <v>0</v>
      </c>
      <c r="BH1381" t="str">
        <f xml:space="preserve"> IF($BF$1381 &gt;= $G$204, "1","0")</f>
        <v>0</v>
      </c>
      <c r="BI1381">
        <f xml:space="preserve"> IF( AND( $BG$1381 = "1", $BH$1381 = "1" ), 1, IF( AND( $BG$1381 = "1", $BH$1381 = "0" ), 2, IF( AND( $BG$1381 = "0", $BH$1381 = "1" ), 3, 4 ) ) )</f>
        <v>4</v>
      </c>
    </row>
    <row r="1382" spans="58:61" x14ac:dyDescent="0.25">
      <c r="BF1382" s="1">
        <v>0</v>
      </c>
      <c r="BG1382" t="str">
        <f>"0"</f>
        <v>0</v>
      </c>
      <c r="BH1382" t="str">
        <f xml:space="preserve"> IF($BF$1382 &gt;= $G$204, "1","0")</f>
        <v>0</v>
      </c>
      <c r="BI1382">
        <f xml:space="preserve"> IF( AND( $BG$1382 = "1", $BH$1382 = "1" ), 1, IF( AND( $BG$1382 = "1", $BH$1382 = "0" ), 2, IF( AND( $BG$1382 = "0", $BH$1382 = "1" ), 3, 4 ) ) )</f>
        <v>4</v>
      </c>
    </row>
    <row r="1383" spans="58:61" x14ac:dyDescent="0.25">
      <c r="BF1383" s="1">
        <v>0</v>
      </c>
      <c r="BG1383" t="str">
        <f>"0"</f>
        <v>0</v>
      </c>
      <c r="BH1383" t="str">
        <f xml:space="preserve"> IF($BF$1383 &gt;= $G$204, "1","0")</f>
        <v>0</v>
      </c>
      <c r="BI1383">
        <f xml:space="preserve"> IF( AND( $BG$1383 = "1", $BH$1383 = "1" ), 1, IF( AND( $BG$1383 = "1", $BH$1383 = "0" ), 2, IF( AND( $BG$1383 = "0", $BH$1383 = "1" ), 3, 4 ) ) )</f>
        <v>4</v>
      </c>
    </row>
    <row r="1384" spans="58:61" x14ac:dyDescent="0.25">
      <c r="BF1384" s="1">
        <v>0</v>
      </c>
      <c r="BG1384" t="str">
        <f>"0"</f>
        <v>0</v>
      </c>
      <c r="BH1384" t="str">
        <f xml:space="preserve"> IF($BF$1384 &gt;= $G$204, "1","0")</f>
        <v>0</v>
      </c>
      <c r="BI1384">
        <f xml:space="preserve"> IF( AND( $BG$1384 = "1", $BH$1384 = "1" ), 1, IF( AND( $BG$1384 = "1", $BH$1384 = "0" ), 2, IF( AND( $BG$1384 = "0", $BH$1384 = "1" ), 3, 4 ) ) )</f>
        <v>4</v>
      </c>
    </row>
    <row r="1385" spans="58:61" x14ac:dyDescent="0.25">
      <c r="BF1385" s="1">
        <v>9.9999999999999992E-2</v>
      </c>
      <c r="BG1385" t="str">
        <f>"0"</f>
        <v>0</v>
      </c>
      <c r="BH1385" t="str">
        <f xml:space="preserve"> IF($BF$1385 &gt;= $G$204, "1","0")</f>
        <v>0</v>
      </c>
      <c r="BI1385">
        <f xml:space="preserve"> IF( AND( $BG$1385 = "1", $BH$1385 = "1" ), 1, IF( AND( $BG$1385 = "1", $BH$1385 = "0" ), 2, IF( AND( $BG$1385 = "0", $BH$1385 = "1" ), 3, 4 ) ) )</f>
        <v>4</v>
      </c>
    </row>
    <row r="1386" spans="58:61" x14ac:dyDescent="0.25">
      <c r="BF1386" s="1">
        <v>7.1428571428571411E-2</v>
      </c>
      <c r="BG1386" t="str">
        <f>"0"</f>
        <v>0</v>
      </c>
      <c r="BH1386" t="str">
        <f xml:space="preserve"> IF($BF$1386 &gt;= $G$204, "1","0")</f>
        <v>0</v>
      </c>
      <c r="BI1386">
        <f xml:space="preserve"> IF( AND( $BG$1386 = "1", $BH$1386 = "1" ), 1, IF( AND( $BG$1386 = "1", $BH$1386 = "0" ), 2, IF( AND( $BG$1386 = "0", $BH$1386 = "1" ), 3, 4 ) ) )</f>
        <v>4</v>
      </c>
    </row>
    <row r="1387" spans="58:61" x14ac:dyDescent="0.25">
      <c r="BF1387" s="1">
        <v>0</v>
      </c>
      <c r="BG1387" t="str">
        <f>"0"</f>
        <v>0</v>
      </c>
      <c r="BH1387" t="str">
        <f xml:space="preserve"> IF($BF$1387 &gt;= $G$204, "1","0")</f>
        <v>0</v>
      </c>
      <c r="BI1387">
        <f xml:space="preserve"> IF( AND( $BG$1387 = "1", $BH$1387 = "1" ), 1, IF( AND( $BG$1387 = "1", $BH$1387 = "0" ), 2, IF( AND( $BG$1387 = "0", $BH$1387 = "1" ), 3, 4 ) ) )</f>
        <v>4</v>
      </c>
    </row>
    <row r="1388" spans="58:61" x14ac:dyDescent="0.25">
      <c r="BF1388" s="1">
        <v>0</v>
      </c>
      <c r="BG1388" t="str">
        <f>"0"</f>
        <v>0</v>
      </c>
      <c r="BH1388" t="str">
        <f xml:space="preserve"> IF($BF$1388 &gt;= $G$204, "1","0")</f>
        <v>0</v>
      </c>
      <c r="BI1388">
        <f xml:space="preserve"> IF( AND( $BG$1388 = "1", $BH$1388 = "1" ), 1, IF( AND( $BG$1388 = "1", $BH$1388 = "0" ), 2, IF( AND( $BG$1388 = "0", $BH$1388 = "1" ), 3, 4 ) ) )</f>
        <v>4</v>
      </c>
    </row>
    <row r="1389" spans="58:61" x14ac:dyDescent="0.25">
      <c r="BF1389" s="1">
        <v>7.1428571428571411E-2</v>
      </c>
      <c r="BG1389" t="str">
        <f>"0"</f>
        <v>0</v>
      </c>
      <c r="BH1389" t="str">
        <f xml:space="preserve"> IF($BF$1389 &gt;= $G$204, "1","0")</f>
        <v>0</v>
      </c>
      <c r="BI1389">
        <f xml:space="preserve"> IF( AND( $BG$1389 = "1", $BH$1389 = "1" ), 1, IF( AND( $BG$1389 = "1", $BH$1389 = "0" ), 2, IF( AND( $BG$1389 = "0", $BH$1389 = "1" ), 3, 4 ) ) )</f>
        <v>4</v>
      </c>
    </row>
    <row r="1390" spans="58:61" x14ac:dyDescent="0.25">
      <c r="BF1390" s="1">
        <v>0</v>
      </c>
      <c r="BG1390" t="str">
        <f>"0"</f>
        <v>0</v>
      </c>
      <c r="BH1390" t="str">
        <f xml:space="preserve"> IF($BF$1390 &gt;= $G$204, "1","0")</f>
        <v>0</v>
      </c>
      <c r="BI1390">
        <f xml:space="preserve"> IF( AND( $BG$1390 = "1", $BH$1390 = "1" ), 1, IF( AND( $BG$1390 = "1", $BH$1390 = "0" ), 2, IF( AND( $BG$1390 = "0", $BH$1390 = "1" ), 3, 4 ) ) )</f>
        <v>4</v>
      </c>
    </row>
    <row r="1391" spans="58:61" x14ac:dyDescent="0.25">
      <c r="BF1391" s="1">
        <v>0</v>
      </c>
      <c r="BG1391" t="str">
        <f>"0"</f>
        <v>0</v>
      </c>
      <c r="BH1391" t="str">
        <f xml:space="preserve"> IF($BF$1391 &gt;= $G$204, "1","0")</f>
        <v>0</v>
      </c>
      <c r="BI1391">
        <f xml:space="preserve"> IF( AND( $BG$1391 = "1", $BH$1391 = "1" ), 1, IF( AND( $BG$1391 = "1", $BH$1391 = "0" ), 2, IF( AND( $BG$1391 = "0", $BH$1391 = "1" ), 3, 4 ) ) )</f>
        <v>4</v>
      </c>
    </row>
    <row r="1392" spans="58:61" x14ac:dyDescent="0.25">
      <c r="BF1392" s="1">
        <v>0</v>
      </c>
      <c r="BG1392" t="str">
        <f>"0"</f>
        <v>0</v>
      </c>
      <c r="BH1392" t="str">
        <f xml:space="preserve"> IF($BF$1392 &gt;= $G$204, "1","0")</f>
        <v>0</v>
      </c>
      <c r="BI1392">
        <f xml:space="preserve"> IF( AND( $BG$1392 = "1", $BH$1392 = "1" ), 1, IF( AND( $BG$1392 = "1", $BH$1392 = "0" ), 2, IF( AND( $BG$1392 = "0", $BH$1392 = "1" ), 3, 4 ) ) )</f>
        <v>4</v>
      </c>
    </row>
    <row r="1393" spans="58:61" x14ac:dyDescent="0.25">
      <c r="BF1393" s="1">
        <v>1</v>
      </c>
      <c r="BG1393" t="str">
        <f>"1"</f>
        <v>1</v>
      </c>
      <c r="BH1393" t="str">
        <f xml:space="preserve"> IF($BF$1393 &gt;= $G$204, "1","0")</f>
        <v>1</v>
      </c>
      <c r="BI1393">
        <f xml:space="preserve"> IF( AND( $BG$1393 = "1", $BH$1393 = "1" ), 1, IF( AND( $BG$1393 = "1", $BH$1393 = "0" ), 2, IF( AND( $BG$1393 = "0", $BH$1393 = "1" ), 3, 4 ) ) )</f>
        <v>1</v>
      </c>
    </row>
    <row r="1394" spans="58:61" x14ac:dyDescent="0.25">
      <c r="BF1394" s="1">
        <v>1</v>
      </c>
      <c r="BG1394" t="str">
        <f>"1"</f>
        <v>1</v>
      </c>
      <c r="BH1394" t="str">
        <f xml:space="preserve"> IF($BF$1394 &gt;= $G$204, "1","0")</f>
        <v>1</v>
      </c>
      <c r="BI1394">
        <f xml:space="preserve"> IF( AND( $BG$1394 = "1", $BH$1394 = "1" ), 1, IF( AND( $BG$1394 = "1", $BH$1394 = "0" ), 2, IF( AND( $BG$1394 = "0", $BH$1394 = "1" ), 3, 4 ) ) )</f>
        <v>1</v>
      </c>
    </row>
    <row r="1395" spans="58:61" x14ac:dyDescent="0.25">
      <c r="BF1395" s="1">
        <v>1</v>
      </c>
      <c r="BG1395" t="str">
        <f>"1"</f>
        <v>1</v>
      </c>
      <c r="BH1395" t="str">
        <f xml:space="preserve"> IF($BF$1395 &gt;= $G$204, "1","0")</f>
        <v>1</v>
      </c>
      <c r="BI1395">
        <f xml:space="preserve"> IF( AND( $BG$1395 = "1", $BH$1395 = "1" ), 1, IF( AND( $BG$1395 = "1", $BH$1395 = "0" ), 2, IF( AND( $BG$1395 = "0", $BH$1395 = "1" ), 3, 4 ) ) )</f>
        <v>1</v>
      </c>
    </row>
    <row r="1396" spans="58:61" x14ac:dyDescent="0.25">
      <c r="BF1396" s="1">
        <v>1</v>
      </c>
      <c r="BG1396" t="str">
        <f>"1"</f>
        <v>1</v>
      </c>
      <c r="BH1396" t="str">
        <f xml:space="preserve"> IF($BF$1396 &gt;= $G$204, "1","0")</f>
        <v>1</v>
      </c>
      <c r="BI1396">
        <f xml:space="preserve"> IF( AND( $BG$1396 = "1", $BH$1396 = "1" ), 1, IF( AND( $BG$1396 = "1", $BH$1396 = "0" ), 2, IF( AND( $BG$1396 = "0", $BH$1396 = "1" ), 3, 4 ) ) )</f>
        <v>1</v>
      </c>
    </row>
    <row r="1397" spans="58:61" x14ac:dyDescent="0.25">
      <c r="BF1397" s="1">
        <v>1</v>
      </c>
      <c r="BG1397" t="str">
        <f>"1"</f>
        <v>1</v>
      </c>
      <c r="BH1397" t="str">
        <f xml:space="preserve"> IF($BF$1397 &gt;= $G$204, "1","0")</f>
        <v>1</v>
      </c>
      <c r="BI1397">
        <f xml:space="preserve"> IF( AND( $BG$1397 = "1", $BH$1397 = "1" ), 1, IF( AND( $BG$1397 = "1", $BH$1397 = "0" ), 2, IF( AND( $BG$1397 = "0", $BH$1397 = "1" ), 3, 4 ) ) )</f>
        <v>1</v>
      </c>
    </row>
    <row r="1398" spans="58:61" x14ac:dyDescent="0.25">
      <c r="BF1398" s="1">
        <v>1</v>
      </c>
      <c r="BG1398" t="str">
        <f>"1"</f>
        <v>1</v>
      </c>
      <c r="BH1398" t="str">
        <f xml:space="preserve"> IF($BF$1398 &gt;= $G$204, "1","0")</f>
        <v>1</v>
      </c>
      <c r="BI1398">
        <f xml:space="preserve"> IF( AND( $BG$1398 = "1", $BH$1398 = "1" ), 1, IF( AND( $BG$1398 = "1", $BH$1398 = "0" ), 2, IF( AND( $BG$1398 = "0", $BH$1398 = "1" ), 3, 4 ) ) )</f>
        <v>1</v>
      </c>
    </row>
    <row r="1399" spans="58:61" x14ac:dyDescent="0.25">
      <c r="BF1399" s="1">
        <v>1</v>
      </c>
      <c r="BG1399" t="str">
        <f>"1"</f>
        <v>1</v>
      </c>
      <c r="BH1399" t="str">
        <f xml:space="preserve"> IF($BF$1399 &gt;= $G$204, "1","0")</f>
        <v>1</v>
      </c>
      <c r="BI1399">
        <f xml:space="preserve"> IF( AND( $BG$1399 = "1", $BH$1399 = "1" ), 1, IF( AND( $BG$1399 = "1", $BH$1399 = "0" ), 2, IF( AND( $BG$1399 = "0", $BH$1399 = "1" ), 3, 4 ) ) )</f>
        <v>1</v>
      </c>
    </row>
    <row r="1400" spans="58:61" x14ac:dyDescent="0.25">
      <c r="BF1400" s="1">
        <v>1</v>
      </c>
      <c r="BG1400" t="str">
        <f>"1"</f>
        <v>1</v>
      </c>
      <c r="BH1400" t="str">
        <f xml:space="preserve"> IF($BF$1400 &gt;= $G$204, "1","0")</f>
        <v>1</v>
      </c>
      <c r="BI1400">
        <f xml:space="preserve"> IF( AND( $BG$1400 = "1", $BH$1400 = "1" ), 1, IF( AND( $BG$1400 = "1", $BH$1400 = "0" ), 2, IF( AND( $BG$1400 = "0", $BH$1400 = "1" ), 3, 4 ) ) )</f>
        <v>1</v>
      </c>
    </row>
    <row r="1401" spans="58:61" x14ac:dyDescent="0.25">
      <c r="BF1401" s="1">
        <v>1</v>
      </c>
      <c r="BG1401" t="str">
        <f>"1"</f>
        <v>1</v>
      </c>
      <c r="BH1401" t="str">
        <f xml:space="preserve"> IF($BF$1401 &gt;= $G$204, "1","0")</f>
        <v>1</v>
      </c>
      <c r="BI1401">
        <f xml:space="preserve"> IF( AND( $BG$1401 = "1", $BH$1401 = "1" ), 1, IF( AND( $BG$1401 = "1", $BH$1401 = "0" ), 2, IF( AND( $BG$1401 = "0", $BH$1401 = "1" ), 3, 4 ) ) )</f>
        <v>1</v>
      </c>
    </row>
    <row r="1402" spans="58:61" x14ac:dyDescent="0.25">
      <c r="BF1402" s="1">
        <v>1</v>
      </c>
      <c r="BG1402" t="str">
        <f>"1"</f>
        <v>1</v>
      </c>
      <c r="BH1402" t="str">
        <f xml:space="preserve"> IF($BF$1402 &gt;= $G$204, "1","0")</f>
        <v>1</v>
      </c>
      <c r="BI1402">
        <f xml:space="preserve"> IF( AND( $BG$1402 = "1", $BH$1402 = "1" ), 1, IF( AND( $BG$1402 = "1", $BH$1402 = "0" ), 2, IF( AND( $BG$1402 = "0", $BH$1402 = "1" ), 3, 4 ) ) )</f>
        <v>1</v>
      </c>
    </row>
    <row r="1403" spans="58:61" x14ac:dyDescent="0.25">
      <c r="BF1403" s="1">
        <v>1</v>
      </c>
      <c r="BG1403" t="str">
        <f>"1"</f>
        <v>1</v>
      </c>
      <c r="BH1403" t="str">
        <f xml:space="preserve"> IF($BF$1403 &gt;= $G$204, "1","0")</f>
        <v>1</v>
      </c>
      <c r="BI1403">
        <f xml:space="preserve"> IF( AND( $BG$1403 = "1", $BH$1403 = "1" ), 1, IF( AND( $BG$1403 = "1", $BH$1403 = "0" ), 2, IF( AND( $BG$1403 = "0", $BH$1403 = "1" ), 3, 4 ) ) )</f>
        <v>1</v>
      </c>
    </row>
    <row r="1404" spans="58:61" x14ac:dyDescent="0.25">
      <c r="BF1404" s="1">
        <v>1</v>
      </c>
      <c r="BG1404" t="str">
        <f>"1"</f>
        <v>1</v>
      </c>
      <c r="BH1404" t="str">
        <f xml:space="preserve"> IF($BF$1404 &gt;= $G$204, "1","0")</f>
        <v>1</v>
      </c>
      <c r="BI1404">
        <f xml:space="preserve"> IF( AND( $BG$1404 = "1", $BH$1404 = "1" ), 1, IF( AND( $BG$1404 = "1", $BH$1404 = "0" ), 2, IF( AND( $BG$1404 = "0", $BH$1404 = "1" ), 3, 4 ) ) )</f>
        <v>1</v>
      </c>
    </row>
    <row r="1405" spans="58:61" x14ac:dyDescent="0.25">
      <c r="BF1405" s="1">
        <v>1</v>
      </c>
      <c r="BG1405" t="str">
        <f>"1"</f>
        <v>1</v>
      </c>
      <c r="BH1405" t="str">
        <f xml:space="preserve"> IF($BF$1405 &gt;= $G$204, "1","0")</f>
        <v>1</v>
      </c>
      <c r="BI1405">
        <f xml:space="preserve"> IF( AND( $BG$1405 = "1", $BH$1405 = "1" ), 1, IF( AND( $BG$1405 = "1", $BH$1405 = "0" ), 2, IF( AND( $BG$1405 = "0", $BH$1405 = "1" ), 3, 4 ) ) )</f>
        <v>1</v>
      </c>
    </row>
    <row r="1406" spans="58:61" x14ac:dyDescent="0.25">
      <c r="BF1406" s="1">
        <v>1</v>
      </c>
      <c r="BG1406" t="str">
        <f>"1"</f>
        <v>1</v>
      </c>
      <c r="BH1406" t="str">
        <f xml:space="preserve"> IF($BF$1406 &gt;= $G$204, "1","0")</f>
        <v>1</v>
      </c>
      <c r="BI1406">
        <f xml:space="preserve"> IF( AND( $BG$1406 = "1", $BH$1406 = "1" ), 1, IF( AND( $BG$1406 = "1", $BH$1406 = "0" ), 2, IF( AND( $BG$1406 = "0", $BH$1406 = "1" ), 3, 4 ) ) )</f>
        <v>1</v>
      </c>
    </row>
    <row r="1407" spans="58:61" x14ac:dyDescent="0.25">
      <c r="BF1407" s="1">
        <v>1</v>
      </c>
      <c r="BG1407" t="str">
        <f>"1"</f>
        <v>1</v>
      </c>
      <c r="BH1407" t="str">
        <f xml:space="preserve"> IF($BF$1407 &gt;= $G$204, "1","0")</f>
        <v>1</v>
      </c>
      <c r="BI1407">
        <f xml:space="preserve"> IF( AND( $BG$1407 = "1", $BH$1407 = "1" ), 1, IF( AND( $BG$1407 = "1", $BH$1407 = "0" ), 2, IF( AND( $BG$1407 = "0", $BH$1407 = "1" ), 3, 4 ) ) )</f>
        <v>1</v>
      </c>
    </row>
    <row r="1408" spans="58:61" x14ac:dyDescent="0.25">
      <c r="BF1408" s="1">
        <v>1</v>
      </c>
      <c r="BG1408" t="str">
        <f>"1"</f>
        <v>1</v>
      </c>
      <c r="BH1408" t="str">
        <f xml:space="preserve"> IF($BF$1408 &gt;= $G$204, "1","0")</f>
        <v>1</v>
      </c>
      <c r="BI1408">
        <f xml:space="preserve"> IF( AND( $BG$1408 = "1", $BH$1408 = "1" ), 1, IF( AND( $BG$1408 = "1", $BH$1408 = "0" ), 2, IF( AND( $BG$1408 = "0", $BH$1408 = "1" ), 3, 4 ) ) )</f>
        <v>1</v>
      </c>
    </row>
    <row r="1409" spans="58:61" x14ac:dyDescent="0.25">
      <c r="BF1409" s="1">
        <v>1</v>
      </c>
      <c r="BG1409" t="str">
        <f>"1"</f>
        <v>1</v>
      </c>
      <c r="BH1409" t="str">
        <f xml:space="preserve"> IF($BF$1409 &gt;= $G$204, "1","0")</f>
        <v>1</v>
      </c>
      <c r="BI1409">
        <f xml:space="preserve"> IF( AND( $BG$1409 = "1", $BH$1409 = "1" ), 1, IF( AND( $BG$1409 = "1", $BH$1409 = "0" ), 2, IF( AND( $BG$1409 = "0", $BH$1409 = "1" ), 3, 4 ) ) )</f>
        <v>1</v>
      </c>
    </row>
    <row r="1410" spans="58:61" x14ac:dyDescent="0.25">
      <c r="BF1410" s="1">
        <v>1</v>
      </c>
      <c r="BG1410" t="str">
        <f>"1"</f>
        <v>1</v>
      </c>
      <c r="BH1410" t="str">
        <f xml:space="preserve"> IF($BF$1410 &gt;= $G$204, "1","0")</f>
        <v>1</v>
      </c>
      <c r="BI1410">
        <f xml:space="preserve"> IF( AND( $BG$1410 = "1", $BH$1410 = "1" ), 1, IF( AND( $BG$1410 = "1", $BH$1410 = "0" ), 2, IF( AND( $BG$1410 = "0", $BH$1410 = "1" ), 3, 4 ) ) )</f>
        <v>1</v>
      </c>
    </row>
    <row r="1411" spans="58:61" x14ac:dyDescent="0.25">
      <c r="BF1411" s="1">
        <v>1</v>
      </c>
      <c r="BG1411" t="str">
        <f>"1"</f>
        <v>1</v>
      </c>
      <c r="BH1411" t="str">
        <f xml:space="preserve"> IF($BF$1411 &gt;= $G$204, "1","0")</f>
        <v>1</v>
      </c>
      <c r="BI1411">
        <f xml:space="preserve"> IF( AND( $BG$1411 = "1", $BH$1411 = "1" ), 1, IF( AND( $BG$1411 = "1", $BH$1411 = "0" ), 2, IF( AND( $BG$1411 = "0", $BH$1411 = "1" ), 3, 4 ) ) )</f>
        <v>1</v>
      </c>
    </row>
    <row r="1412" spans="58:61" x14ac:dyDescent="0.25">
      <c r="BF1412" s="1">
        <v>1</v>
      </c>
      <c r="BG1412" t="str">
        <f>"1"</f>
        <v>1</v>
      </c>
      <c r="BH1412" t="str">
        <f xml:space="preserve"> IF($BF$1412 &gt;= $G$204, "1","0")</f>
        <v>1</v>
      </c>
      <c r="BI1412">
        <f xml:space="preserve"> IF( AND( $BG$1412 = "1", $BH$1412 = "1" ), 1, IF( AND( $BG$1412 = "1", $BH$1412 = "0" ), 2, IF( AND( $BG$1412 = "0", $BH$1412 = "1" ), 3, 4 ) ) )</f>
        <v>1</v>
      </c>
    </row>
    <row r="1413" spans="58:61" x14ac:dyDescent="0.25">
      <c r="BF1413" s="1">
        <v>1</v>
      </c>
      <c r="BG1413" t="str">
        <f>"1"</f>
        <v>1</v>
      </c>
      <c r="BH1413" t="str">
        <f xml:space="preserve"> IF($BF$1413 &gt;= $G$204, "1","0")</f>
        <v>1</v>
      </c>
      <c r="BI1413">
        <f xml:space="preserve"> IF( AND( $BG$1413 = "1", $BH$1413 = "1" ), 1, IF( AND( $BG$1413 = "1", $BH$1413 = "0" ), 2, IF( AND( $BG$1413 = "0", $BH$1413 = "1" ), 3, 4 ) ) )</f>
        <v>1</v>
      </c>
    </row>
    <row r="1414" spans="58:61" x14ac:dyDescent="0.25">
      <c r="BF1414" s="1">
        <v>1</v>
      </c>
      <c r="BG1414" t="str">
        <f>"1"</f>
        <v>1</v>
      </c>
      <c r="BH1414" t="str">
        <f xml:space="preserve"> IF($BF$1414 &gt;= $G$204, "1","0")</f>
        <v>1</v>
      </c>
      <c r="BI1414">
        <f xml:space="preserve"> IF( AND( $BG$1414 = "1", $BH$1414 = "1" ), 1, IF( AND( $BG$1414 = "1", $BH$1414 = "0" ), 2, IF( AND( $BG$1414 = "0", $BH$1414 = "1" ), 3, 4 ) ) )</f>
        <v>1</v>
      </c>
    </row>
    <row r="1415" spans="58:61" x14ac:dyDescent="0.25">
      <c r="BF1415" s="1">
        <v>1</v>
      </c>
      <c r="BG1415" t="str">
        <f>"1"</f>
        <v>1</v>
      </c>
      <c r="BH1415" t="str">
        <f xml:space="preserve"> IF($BF$1415 &gt;= $G$204, "1","0")</f>
        <v>1</v>
      </c>
      <c r="BI1415">
        <f xml:space="preserve"> IF( AND( $BG$1415 = "1", $BH$1415 = "1" ), 1, IF( AND( $BG$1415 = "1", $BH$1415 = "0" ), 2, IF( AND( $BG$1415 = "0", $BH$1415 = "1" ), 3, 4 ) ) )</f>
        <v>1</v>
      </c>
    </row>
    <row r="1416" spans="58:61" x14ac:dyDescent="0.25">
      <c r="BF1416" s="1">
        <v>1</v>
      </c>
      <c r="BG1416" t="str">
        <f>"1"</f>
        <v>1</v>
      </c>
      <c r="BH1416" t="str">
        <f xml:space="preserve"> IF($BF$1416 &gt;= $G$204, "1","0")</f>
        <v>1</v>
      </c>
      <c r="BI1416">
        <f xml:space="preserve"> IF( AND( $BG$1416 = "1", $BH$1416 = "1" ), 1, IF( AND( $BG$1416 = "1", $BH$1416 = "0" ), 2, IF( AND( $BG$1416 = "0", $BH$1416 = "1" ), 3, 4 ) ) )</f>
        <v>1</v>
      </c>
    </row>
    <row r="1417" spans="58:61" x14ac:dyDescent="0.25">
      <c r="BF1417" s="1">
        <v>1</v>
      </c>
      <c r="BG1417" t="str">
        <f>"1"</f>
        <v>1</v>
      </c>
      <c r="BH1417" t="str">
        <f xml:space="preserve"> IF($BF$1417 &gt;= $G$204, "1","0")</f>
        <v>1</v>
      </c>
      <c r="BI1417">
        <f xml:space="preserve"> IF( AND( $BG$1417 = "1", $BH$1417 = "1" ), 1, IF( AND( $BG$1417 = "1", $BH$1417 = "0" ), 2, IF( AND( $BG$1417 = "0", $BH$1417 = "1" ), 3, 4 ) ) )</f>
        <v>1</v>
      </c>
    </row>
    <row r="1418" spans="58:61" x14ac:dyDescent="0.25">
      <c r="BF1418" s="1">
        <v>1</v>
      </c>
      <c r="BG1418" t="str">
        <f>"1"</f>
        <v>1</v>
      </c>
      <c r="BH1418" t="str">
        <f xml:space="preserve"> IF($BF$1418 &gt;= $G$204, "1","0")</f>
        <v>1</v>
      </c>
      <c r="BI1418">
        <f xml:space="preserve"> IF( AND( $BG$1418 = "1", $BH$1418 = "1" ), 1, IF( AND( $BG$1418 = "1", $BH$1418 = "0" ), 2, IF( AND( $BG$1418 = "0", $BH$1418 = "1" ), 3, 4 ) ) )</f>
        <v>1</v>
      </c>
    </row>
    <row r="1419" spans="58:61" x14ac:dyDescent="0.25">
      <c r="BF1419" s="1">
        <v>1</v>
      </c>
      <c r="BG1419" t="str">
        <f>"1"</f>
        <v>1</v>
      </c>
      <c r="BH1419" t="str">
        <f xml:space="preserve"> IF($BF$1419 &gt;= $G$204, "1","0")</f>
        <v>1</v>
      </c>
      <c r="BI1419">
        <f xml:space="preserve"> IF( AND( $BG$1419 = "1", $BH$1419 = "1" ), 1, IF( AND( $BG$1419 = "1", $BH$1419 = "0" ), 2, IF( AND( $BG$1419 = "0", $BH$1419 = "1" ), 3, 4 ) ) )</f>
        <v>1</v>
      </c>
    </row>
    <row r="1420" spans="58:61" x14ac:dyDescent="0.25">
      <c r="BF1420" s="1">
        <v>1</v>
      </c>
      <c r="BG1420" t="str">
        <f>"1"</f>
        <v>1</v>
      </c>
      <c r="BH1420" t="str">
        <f xml:space="preserve"> IF($BF$1420 &gt;= $G$204, "1","0")</f>
        <v>1</v>
      </c>
      <c r="BI1420">
        <f xml:space="preserve"> IF( AND( $BG$1420 = "1", $BH$1420 = "1" ), 1, IF( AND( $BG$1420 = "1", $BH$1420 = "0" ), 2, IF( AND( $BG$1420 = "0", $BH$1420 = "1" ), 3, 4 ) ) )</f>
        <v>1</v>
      </c>
    </row>
    <row r="1421" spans="58:61" x14ac:dyDescent="0.25">
      <c r="BF1421" s="1">
        <v>1</v>
      </c>
      <c r="BG1421" t="str">
        <f>"1"</f>
        <v>1</v>
      </c>
      <c r="BH1421" t="str">
        <f xml:space="preserve"> IF($BF$1421 &gt;= $G$204, "1","0")</f>
        <v>1</v>
      </c>
      <c r="BI1421">
        <f xml:space="preserve"> IF( AND( $BG$1421 = "1", $BH$1421 = "1" ), 1, IF( AND( $BG$1421 = "1", $BH$1421 = "0" ), 2, IF( AND( $BG$1421 = "0", $BH$1421 = "1" ), 3, 4 ) ) )</f>
        <v>1</v>
      </c>
    </row>
    <row r="1422" spans="58:61" x14ac:dyDescent="0.25">
      <c r="BF1422" s="1">
        <v>1</v>
      </c>
      <c r="BG1422" t="str">
        <f>"1"</f>
        <v>1</v>
      </c>
      <c r="BH1422" t="str">
        <f xml:space="preserve"> IF($BF$1422 &gt;= $G$204, "1","0")</f>
        <v>1</v>
      </c>
      <c r="BI1422">
        <f xml:space="preserve"> IF( AND( $BG$1422 = "1", $BH$1422 = "1" ), 1, IF( AND( $BG$1422 = "1", $BH$1422 = "0" ), 2, IF( AND( $BG$1422 = "0", $BH$1422 = "1" ), 3, 4 ) ) )</f>
        <v>1</v>
      </c>
    </row>
    <row r="1423" spans="58:61" x14ac:dyDescent="0.25">
      <c r="BF1423" s="1">
        <v>1</v>
      </c>
      <c r="BG1423" t="str">
        <f>"1"</f>
        <v>1</v>
      </c>
      <c r="BH1423" t="str">
        <f xml:space="preserve"> IF($BF$1423 &gt;= $G$204, "1","0")</f>
        <v>1</v>
      </c>
      <c r="BI1423">
        <f xml:space="preserve"> IF( AND( $BG$1423 = "1", $BH$1423 = "1" ), 1, IF( AND( $BG$1423 = "1", $BH$1423 = "0" ), 2, IF( AND( $BG$1423 = "0", $BH$1423 = "1" ), 3, 4 ) ) )</f>
        <v>1</v>
      </c>
    </row>
    <row r="1424" spans="58:61" x14ac:dyDescent="0.25">
      <c r="BF1424" s="1">
        <v>1</v>
      </c>
      <c r="BG1424" t="str">
        <f>"1"</f>
        <v>1</v>
      </c>
      <c r="BH1424" t="str">
        <f xml:space="preserve"> IF($BF$1424 &gt;= $G$204, "1","0")</f>
        <v>1</v>
      </c>
      <c r="BI1424">
        <f xml:space="preserve"> IF( AND( $BG$1424 = "1", $BH$1424 = "1" ), 1, IF( AND( $BG$1424 = "1", $BH$1424 = "0" ), 2, IF( AND( $BG$1424 = "0", $BH$1424 = "1" ), 3, 4 ) ) )</f>
        <v>1</v>
      </c>
    </row>
    <row r="1425" spans="58:61" x14ac:dyDescent="0.25">
      <c r="BF1425" s="1">
        <v>1</v>
      </c>
      <c r="BG1425" t="str">
        <f>"1"</f>
        <v>1</v>
      </c>
      <c r="BH1425" t="str">
        <f xml:space="preserve"> IF($BF$1425 &gt;= $G$204, "1","0")</f>
        <v>1</v>
      </c>
      <c r="BI1425">
        <f xml:space="preserve"> IF( AND( $BG$1425 = "1", $BH$1425 = "1" ), 1, IF( AND( $BG$1425 = "1", $BH$1425 = "0" ), 2, IF( AND( $BG$1425 = "0", $BH$1425 = "1" ), 3, 4 ) ) )</f>
        <v>1</v>
      </c>
    </row>
    <row r="1426" spans="58:61" x14ac:dyDescent="0.25">
      <c r="BF1426" s="1">
        <v>1</v>
      </c>
      <c r="BG1426" t="str">
        <f>"1"</f>
        <v>1</v>
      </c>
      <c r="BH1426" t="str">
        <f xml:space="preserve"> IF($BF$1426 &gt;= $G$204, "1","0")</f>
        <v>1</v>
      </c>
      <c r="BI1426">
        <f xml:space="preserve"> IF( AND( $BG$1426 = "1", $BH$1426 = "1" ), 1, IF( AND( $BG$1426 = "1", $BH$1426 = "0" ), 2, IF( AND( $BG$1426 = "0", $BH$1426 = "1" ), 3, 4 ) ) )</f>
        <v>1</v>
      </c>
    </row>
    <row r="1427" spans="58:61" x14ac:dyDescent="0.25">
      <c r="BF1427" s="1">
        <v>1</v>
      </c>
      <c r="BG1427" t="str">
        <f>"1"</f>
        <v>1</v>
      </c>
      <c r="BH1427" t="str">
        <f xml:space="preserve"> IF($BF$1427 &gt;= $G$204, "1","0")</f>
        <v>1</v>
      </c>
      <c r="BI1427">
        <f xml:space="preserve"> IF( AND( $BG$1427 = "1", $BH$1427 = "1" ), 1, IF( AND( $BG$1427 = "1", $BH$1427 = "0" ), 2, IF( AND( $BG$1427 = "0", $BH$1427 = "1" ), 3, 4 ) ) )</f>
        <v>1</v>
      </c>
    </row>
    <row r="1428" spans="58:61" x14ac:dyDescent="0.25">
      <c r="BF1428" s="1">
        <v>1</v>
      </c>
      <c r="BG1428" t="str">
        <f>"1"</f>
        <v>1</v>
      </c>
      <c r="BH1428" t="str">
        <f xml:space="preserve"> IF($BF$1428 &gt;= $G$204, "1","0")</f>
        <v>1</v>
      </c>
      <c r="BI1428">
        <f xml:space="preserve"> IF( AND( $BG$1428 = "1", $BH$1428 = "1" ), 1, IF( AND( $BG$1428 = "1", $BH$1428 = "0" ), 2, IF( AND( $BG$1428 = "0", $BH$1428 = "1" ), 3, 4 ) ) )</f>
        <v>1</v>
      </c>
    </row>
    <row r="1429" spans="58:61" x14ac:dyDescent="0.25">
      <c r="BF1429" s="1">
        <v>1</v>
      </c>
      <c r="BG1429" t="str">
        <f>"1"</f>
        <v>1</v>
      </c>
      <c r="BH1429" t="str">
        <f xml:space="preserve"> IF($BF$1429 &gt;= $G$204, "1","0")</f>
        <v>1</v>
      </c>
      <c r="BI1429">
        <f xml:space="preserve"> IF( AND( $BG$1429 = "1", $BH$1429 = "1" ), 1, IF( AND( $BG$1429 = "1", $BH$1429 = "0" ), 2, IF( AND( $BG$1429 = "0", $BH$1429 = "1" ), 3, 4 ) ) )</f>
        <v>1</v>
      </c>
    </row>
    <row r="1430" spans="58:61" x14ac:dyDescent="0.25">
      <c r="BF1430" s="1">
        <v>1</v>
      </c>
      <c r="BG1430" t="str">
        <f>"1"</f>
        <v>1</v>
      </c>
      <c r="BH1430" t="str">
        <f xml:space="preserve"> IF($BF$1430 &gt;= $G$204, "1","0")</f>
        <v>1</v>
      </c>
      <c r="BI1430">
        <f xml:space="preserve"> IF( AND( $BG$1430 = "1", $BH$1430 = "1" ), 1, IF( AND( $BG$1430 = "1", $BH$1430 = "0" ), 2, IF( AND( $BG$1430 = "0", $BH$1430 = "1" ), 3, 4 ) ) )</f>
        <v>1</v>
      </c>
    </row>
    <row r="1431" spans="58:61" x14ac:dyDescent="0.25">
      <c r="BF1431" s="1">
        <v>1</v>
      </c>
      <c r="BG1431" t="str">
        <f>"1"</f>
        <v>1</v>
      </c>
      <c r="BH1431" t="str">
        <f xml:space="preserve"> IF($BF$1431 &gt;= $G$204, "1","0")</f>
        <v>1</v>
      </c>
      <c r="BI1431">
        <f xml:space="preserve"> IF( AND( $BG$1431 = "1", $BH$1431 = "1" ), 1, IF( AND( $BG$1431 = "1", $BH$1431 = "0" ), 2, IF( AND( $BG$1431 = "0", $BH$1431 = "1" ), 3, 4 ) ) )</f>
        <v>1</v>
      </c>
    </row>
    <row r="1432" spans="58:61" x14ac:dyDescent="0.25">
      <c r="BF1432" s="1">
        <v>1</v>
      </c>
      <c r="BG1432" t="str">
        <f>"1"</f>
        <v>1</v>
      </c>
      <c r="BH1432" t="str">
        <f xml:space="preserve"> IF($BF$1432 &gt;= $G$204, "1","0")</f>
        <v>1</v>
      </c>
      <c r="BI1432">
        <f xml:space="preserve"> IF( AND( $BG$1432 = "1", $BH$1432 = "1" ), 1, IF( AND( $BG$1432 = "1", $BH$1432 = "0" ), 2, IF( AND( $BG$1432 = "0", $BH$1432 = "1" ), 3, 4 ) ) )</f>
        <v>1</v>
      </c>
    </row>
    <row r="1433" spans="58:61" x14ac:dyDescent="0.25">
      <c r="BF1433" s="1">
        <v>1</v>
      </c>
      <c r="BG1433" t="str">
        <f>"1"</f>
        <v>1</v>
      </c>
      <c r="BH1433" t="str">
        <f xml:space="preserve"> IF($BF$1433 &gt;= $G$204, "1","0")</f>
        <v>1</v>
      </c>
      <c r="BI1433">
        <f xml:space="preserve"> IF( AND( $BG$1433 = "1", $BH$1433 = "1" ), 1, IF( AND( $BG$1433 = "1", $BH$1433 = "0" ), 2, IF( AND( $BG$1433 = "0", $BH$1433 = "1" ), 3, 4 ) ) )</f>
        <v>1</v>
      </c>
    </row>
    <row r="1434" spans="58:61" x14ac:dyDescent="0.25">
      <c r="BF1434" s="1">
        <v>1</v>
      </c>
      <c r="BG1434" t="str">
        <f>"1"</f>
        <v>1</v>
      </c>
      <c r="BH1434" t="str">
        <f xml:space="preserve"> IF($BF$1434 &gt;= $G$204, "1","0")</f>
        <v>1</v>
      </c>
      <c r="BI1434">
        <f xml:space="preserve"> IF( AND( $BG$1434 = "1", $BH$1434 = "1" ), 1, IF( AND( $BG$1434 = "1", $BH$1434 = "0" ), 2, IF( AND( $BG$1434 = "0", $BH$1434 = "1" ), 3, 4 ) ) )</f>
        <v>1</v>
      </c>
    </row>
    <row r="1435" spans="58:61" x14ac:dyDescent="0.25">
      <c r="BF1435" s="1">
        <v>1</v>
      </c>
      <c r="BG1435" t="str">
        <f>"1"</f>
        <v>1</v>
      </c>
      <c r="BH1435" t="str">
        <f xml:space="preserve"> IF($BF$1435 &gt;= $G$204, "1","0")</f>
        <v>1</v>
      </c>
      <c r="BI1435">
        <f xml:space="preserve"> IF( AND( $BG$1435 = "1", $BH$1435 = "1" ), 1, IF( AND( $BG$1435 = "1", $BH$1435 = "0" ), 2, IF( AND( $BG$1435 = "0", $BH$1435 = "1" ), 3, 4 ) ) )</f>
        <v>1</v>
      </c>
    </row>
    <row r="1436" spans="58:61" x14ac:dyDescent="0.25">
      <c r="BF1436" s="1">
        <v>1</v>
      </c>
      <c r="BG1436" t="str">
        <f>"1"</f>
        <v>1</v>
      </c>
      <c r="BH1436" t="str">
        <f xml:space="preserve"> IF($BF$1436 &gt;= $G$204, "1","0")</f>
        <v>1</v>
      </c>
      <c r="BI1436">
        <f xml:space="preserve"> IF( AND( $BG$1436 = "1", $BH$1436 = "1" ), 1, IF( AND( $BG$1436 = "1", $BH$1436 = "0" ), 2, IF( AND( $BG$1436 = "0", $BH$1436 = "1" ), 3, 4 ) ) )</f>
        <v>1</v>
      </c>
    </row>
    <row r="1437" spans="58:61" x14ac:dyDescent="0.25">
      <c r="BF1437" s="1">
        <v>1</v>
      </c>
      <c r="BG1437" t="str">
        <f>"1"</f>
        <v>1</v>
      </c>
      <c r="BH1437" t="str">
        <f xml:space="preserve"> IF($BF$1437 &gt;= $G$204, "1","0")</f>
        <v>1</v>
      </c>
      <c r="BI1437">
        <f xml:space="preserve"> IF( AND( $BG$1437 = "1", $BH$1437 = "1" ), 1, IF( AND( $BG$1437 = "1", $BH$1437 = "0" ), 2, IF( AND( $BG$1437 = "0", $BH$1437 = "1" ), 3, 4 ) ) )</f>
        <v>1</v>
      </c>
    </row>
    <row r="1438" spans="58:61" x14ac:dyDescent="0.25">
      <c r="BF1438" s="1">
        <v>1</v>
      </c>
      <c r="BG1438" t="str">
        <f>"1"</f>
        <v>1</v>
      </c>
      <c r="BH1438" t="str">
        <f xml:space="preserve"> IF($BF$1438 &gt;= $G$204, "1","0")</f>
        <v>1</v>
      </c>
      <c r="BI1438">
        <f xml:space="preserve"> IF( AND( $BG$1438 = "1", $BH$1438 = "1" ), 1, IF( AND( $BG$1438 = "1", $BH$1438 = "0" ), 2, IF( AND( $BG$1438 = "0", $BH$1438 = "1" ), 3, 4 ) ) )</f>
        <v>1</v>
      </c>
    </row>
    <row r="1439" spans="58:61" x14ac:dyDescent="0.25">
      <c r="BF1439" s="1">
        <v>1</v>
      </c>
      <c r="BG1439" t="str">
        <f>"1"</f>
        <v>1</v>
      </c>
      <c r="BH1439" t="str">
        <f xml:space="preserve"> IF($BF$1439 &gt;= $G$204, "1","0")</f>
        <v>1</v>
      </c>
      <c r="BI1439">
        <f xml:space="preserve"> IF( AND( $BG$1439 = "1", $BH$1439 = "1" ), 1, IF( AND( $BG$1439 = "1", $BH$1439 = "0" ), 2, IF( AND( $BG$1439 = "0", $BH$1439 = "1" ), 3, 4 ) ) )</f>
        <v>1</v>
      </c>
    </row>
    <row r="1440" spans="58:61" x14ac:dyDescent="0.25">
      <c r="BF1440" s="1">
        <v>1</v>
      </c>
      <c r="BG1440" t="str">
        <f>"1"</f>
        <v>1</v>
      </c>
      <c r="BH1440" t="str">
        <f xml:space="preserve"> IF($BF$1440 &gt;= $G$204, "1","0")</f>
        <v>1</v>
      </c>
      <c r="BI1440">
        <f xml:space="preserve"> IF( AND( $BG$1440 = "1", $BH$1440 = "1" ), 1, IF( AND( $BG$1440 = "1", $BH$1440 = "0" ), 2, IF( AND( $BG$1440 = "0", $BH$1440 = "1" ), 3, 4 ) ) )</f>
        <v>1</v>
      </c>
    </row>
    <row r="1441" spans="58:61" x14ac:dyDescent="0.25">
      <c r="BF1441" s="1">
        <v>1</v>
      </c>
      <c r="BG1441" t="str">
        <f>"1"</f>
        <v>1</v>
      </c>
      <c r="BH1441" t="str">
        <f xml:space="preserve"> IF($BF$1441 &gt;= $G$204, "1","0")</f>
        <v>1</v>
      </c>
      <c r="BI1441">
        <f xml:space="preserve"> IF( AND( $BG$1441 = "1", $BH$1441 = "1" ), 1, IF( AND( $BG$1441 = "1", $BH$1441 = "0" ), 2, IF( AND( $BG$1441 = "0", $BH$1441 = "1" ), 3, 4 ) ) )</f>
        <v>1</v>
      </c>
    </row>
    <row r="1442" spans="58:61" x14ac:dyDescent="0.25">
      <c r="BF1442" s="1">
        <v>1</v>
      </c>
      <c r="BG1442" t="str">
        <f>"1"</f>
        <v>1</v>
      </c>
      <c r="BH1442" t="str">
        <f xml:space="preserve"> IF($BF$1442 &gt;= $G$204, "1","0")</f>
        <v>1</v>
      </c>
      <c r="BI1442">
        <f xml:space="preserve"> IF( AND( $BG$1442 = "1", $BH$1442 = "1" ), 1, IF( AND( $BG$1442 = "1", $BH$1442 = "0" ), 2, IF( AND( $BG$1442 = "0", $BH$1442 = "1" ), 3, 4 ) ) )</f>
        <v>1</v>
      </c>
    </row>
    <row r="1443" spans="58:61" x14ac:dyDescent="0.25">
      <c r="BF1443" s="1">
        <v>1</v>
      </c>
      <c r="BG1443" t="str">
        <f>"1"</f>
        <v>1</v>
      </c>
      <c r="BH1443" t="str">
        <f xml:space="preserve"> IF($BF$1443 &gt;= $G$204, "1","0")</f>
        <v>1</v>
      </c>
      <c r="BI1443">
        <f xml:space="preserve"> IF( AND( $BG$1443 = "1", $BH$1443 = "1" ), 1, IF( AND( $BG$1443 = "1", $BH$1443 = "0" ), 2, IF( AND( $BG$1443 = "0", $BH$1443 = "1" ), 3, 4 ) ) )</f>
        <v>1</v>
      </c>
    </row>
    <row r="1444" spans="58:61" x14ac:dyDescent="0.25">
      <c r="BF1444" s="1">
        <v>1</v>
      </c>
      <c r="BG1444" t="str">
        <f>"1"</f>
        <v>1</v>
      </c>
      <c r="BH1444" t="str">
        <f xml:space="preserve"> IF($BF$1444 &gt;= $G$204, "1","0")</f>
        <v>1</v>
      </c>
      <c r="BI1444">
        <f xml:space="preserve"> IF( AND( $BG$1444 = "1", $BH$1444 = "1" ), 1, IF( AND( $BG$1444 = "1", $BH$1444 = "0" ), 2, IF( AND( $BG$1444 = "0", $BH$1444 = "1" ), 3, 4 ) ) )</f>
        <v>1</v>
      </c>
    </row>
    <row r="1445" spans="58:61" x14ac:dyDescent="0.25">
      <c r="BF1445" s="1">
        <v>1</v>
      </c>
      <c r="BG1445" t="str">
        <f>"1"</f>
        <v>1</v>
      </c>
      <c r="BH1445" t="str">
        <f xml:space="preserve"> IF($BF$1445 &gt;= $G$204, "1","0")</f>
        <v>1</v>
      </c>
      <c r="BI1445">
        <f xml:space="preserve"> IF( AND( $BG$1445 = "1", $BH$1445 = "1" ), 1, IF( AND( $BG$1445 = "1", $BH$1445 = "0" ), 2, IF( AND( $BG$1445 = "0", $BH$1445 = "1" ), 3, 4 ) ) )</f>
        <v>1</v>
      </c>
    </row>
    <row r="1446" spans="58:61" x14ac:dyDescent="0.25">
      <c r="BF1446" s="1">
        <v>1</v>
      </c>
      <c r="BG1446" t="str">
        <f>"1"</f>
        <v>1</v>
      </c>
      <c r="BH1446" t="str">
        <f xml:space="preserve"> IF($BF$1446 &gt;= $G$204, "1","0")</f>
        <v>1</v>
      </c>
      <c r="BI1446">
        <f xml:space="preserve"> IF( AND( $BG$1446 = "1", $BH$1446 = "1" ), 1, IF( AND( $BG$1446 = "1", $BH$1446 = "0" ), 2, IF( AND( $BG$1446 = "0", $BH$1446 = "1" ), 3, 4 ) ) )</f>
        <v>1</v>
      </c>
    </row>
    <row r="1447" spans="58:61" x14ac:dyDescent="0.25">
      <c r="BF1447" s="1">
        <v>1</v>
      </c>
      <c r="BG1447" t="str">
        <f>"1"</f>
        <v>1</v>
      </c>
      <c r="BH1447" t="str">
        <f xml:space="preserve"> IF($BF$1447 &gt;= $G$204, "1","0")</f>
        <v>1</v>
      </c>
      <c r="BI1447">
        <f xml:space="preserve"> IF( AND( $BG$1447 = "1", $BH$1447 = "1" ), 1, IF( AND( $BG$1447 = "1", $BH$1447 = "0" ), 2, IF( AND( $BG$1447 = "0", $BH$1447 = "1" ), 3, 4 ) ) )</f>
        <v>1</v>
      </c>
    </row>
    <row r="1448" spans="58:61" x14ac:dyDescent="0.25">
      <c r="BF1448" s="1">
        <v>1</v>
      </c>
      <c r="BG1448" t="str">
        <f>"1"</f>
        <v>1</v>
      </c>
      <c r="BH1448" t="str">
        <f xml:space="preserve"> IF($BF$1448 &gt;= $G$204, "1","0")</f>
        <v>1</v>
      </c>
      <c r="BI1448">
        <f xml:space="preserve"> IF( AND( $BG$1448 = "1", $BH$1448 = "1" ), 1, IF( AND( $BG$1448 = "1", $BH$1448 = "0" ), 2, IF( AND( $BG$1448 = "0", $BH$1448 = "1" ), 3, 4 ) ) )</f>
        <v>1</v>
      </c>
    </row>
    <row r="1449" spans="58:61" x14ac:dyDescent="0.25">
      <c r="BF1449" s="1">
        <v>1</v>
      </c>
      <c r="BG1449" t="str">
        <f>"1"</f>
        <v>1</v>
      </c>
      <c r="BH1449" t="str">
        <f xml:space="preserve"> IF($BF$1449 &gt;= $G$204, "1","0")</f>
        <v>1</v>
      </c>
      <c r="BI1449">
        <f xml:space="preserve"> IF( AND( $BG$1449 = "1", $BH$1449 = "1" ), 1, IF( AND( $BG$1449 = "1", $BH$1449 = "0" ), 2, IF( AND( $BG$1449 = "0", $BH$1449 = "1" ), 3, 4 ) ) )</f>
        <v>1</v>
      </c>
    </row>
    <row r="1450" spans="58:61" x14ac:dyDescent="0.25">
      <c r="BF1450" s="1">
        <v>1</v>
      </c>
      <c r="BG1450" t="str">
        <f>"1"</f>
        <v>1</v>
      </c>
      <c r="BH1450" t="str">
        <f xml:space="preserve"> IF($BF$1450 &gt;= $G$204, "1","0")</f>
        <v>1</v>
      </c>
      <c r="BI1450">
        <f xml:space="preserve"> IF( AND( $BG$1450 = "1", $BH$1450 = "1" ), 1, IF( AND( $BG$1450 = "1", $BH$1450 = "0" ), 2, IF( AND( $BG$1450 = "0", $BH$1450 = "1" ), 3, 4 ) ) )</f>
        <v>1</v>
      </c>
    </row>
    <row r="1451" spans="58:61" x14ac:dyDescent="0.25">
      <c r="BF1451" s="1">
        <v>1</v>
      </c>
      <c r="BG1451" t="str">
        <f>"1"</f>
        <v>1</v>
      </c>
      <c r="BH1451" t="str">
        <f xml:space="preserve"> IF($BF$1451 &gt;= $G$204, "1","0")</f>
        <v>1</v>
      </c>
      <c r="BI1451">
        <f xml:space="preserve"> IF( AND( $BG$1451 = "1", $BH$1451 = "1" ), 1, IF( AND( $BG$1451 = "1", $BH$1451 = "0" ), 2, IF( AND( $BG$1451 = "0", $BH$1451 = "1" ), 3, 4 ) ) )</f>
        <v>1</v>
      </c>
    </row>
    <row r="1452" spans="58:61" x14ac:dyDescent="0.25">
      <c r="BF1452" s="1">
        <v>1</v>
      </c>
      <c r="BG1452" t="str">
        <f>"1"</f>
        <v>1</v>
      </c>
      <c r="BH1452" t="str">
        <f xml:space="preserve"> IF($BF$1452 &gt;= $G$204, "1","0")</f>
        <v>1</v>
      </c>
      <c r="BI1452">
        <f xml:space="preserve"> IF( AND( $BG$1452 = "1", $BH$1452 = "1" ), 1, IF( AND( $BG$1452 = "1", $BH$1452 = "0" ), 2, IF( AND( $BG$1452 = "0", $BH$1452 = "1" ), 3, 4 ) ) )</f>
        <v>1</v>
      </c>
    </row>
    <row r="1453" spans="58:61" x14ac:dyDescent="0.25">
      <c r="BF1453" s="1">
        <v>1</v>
      </c>
      <c r="BG1453" t="str">
        <f>"1"</f>
        <v>1</v>
      </c>
      <c r="BH1453" t="str">
        <f xml:space="preserve"> IF($BF$1453 &gt;= $G$204, "1","0")</f>
        <v>1</v>
      </c>
      <c r="BI1453">
        <f xml:space="preserve"> IF( AND( $BG$1453 = "1", $BH$1453 = "1" ), 1, IF( AND( $BG$1453 = "1", $BH$1453 = "0" ), 2, IF( AND( $BG$1453 = "0", $BH$1453 = "1" ), 3, 4 ) ) )</f>
        <v>1</v>
      </c>
    </row>
    <row r="1454" spans="58:61" x14ac:dyDescent="0.25">
      <c r="BF1454" s="1">
        <v>1</v>
      </c>
      <c r="BG1454" t="str">
        <f>"1"</f>
        <v>1</v>
      </c>
      <c r="BH1454" t="str">
        <f xml:space="preserve"> IF($BF$1454 &gt;= $G$204, "1","0")</f>
        <v>1</v>
      </c>
      <c r="BI1454">
        <f xml:space="preserve"> IF( AND( $BG$1454 = "1", $BH$1454 = "1" ), 1, IF( AND( $BG$1454 = "1", $BH$1454 = "0" ), 2, IF( AND( $BG$1454 = "0", $BH$1454 = "1" ), 3, 4 ) ) )</f>
        <v>1</v>
      </c>
    </row>
    <row r="1455" spans="58:61" x14ac:dyDescent="0.25">
      <c r="BF1455" s="1">
        <v>1</v>
      </c>
      <c r="BG1455" t="str">
        <f>"1"</f>
        <v>1</v>
      </c>
      <c r="BH1455" t="str">
        <f xml:space="preserve"> IF($BF$1455 &gt;= $G$204, "1","0")</f>
        <v>1</v>
      </c>
      <c r="BI1455">
        <f xml:space="preserve"> IF( AND( $BG$1455 = "1", $BH$1455 = "1" ), 1, IF( AND( $BG$1455 = "1", $BH$1455 = "0" ), 2, IF( AND( $BG$1455 = "0", $BH$1455 = "1" ), 3, 4 ) ) )</f>
        <v>1</v>
      </c>
    </row>
    <row r="1456" spans="58:61" x14ac:dyDescent="0.25">
      <c r="BF1456" s="1">
        <v>1</v>
      </c>
      <c r="BG1456" t="str">
        <f>"1"</f>
        <v>1</v>
      </c>
      <c r="BH1456" t="str">
        <f xml:space="preserve"> IF($BF$1456 &gt;= $G$204, "1","0")</f>
        <v>1</v>
      </c>
      <c r="BI1456">
        <f xml:space="preserve"> IF( AND( $BG$1456 = "1", $BH$1456 = "1" ), 1, IF( AND( $BG$1456 = "1", $BH$1456 = "0" ), 2, IF( AND( $BG$1456 = "0", $BH$1456 = "1" ), 3, 4 ) ) )</f>
        <v>1</v>
      </c>
    </row>
    <row r="1457" spans="58:61" x14ac:dyDescent="0.25">
      <c r="BF1457" s="1">
        <v>1</v>
      </c>
      <c r="BG1457" t="str">
        <f>"1"</f>
        <v>1</v>
      </c>
      <c r="BH1457" t="str">
        <f xml:space="preserve"> IF($BF$1457 &gt;= $G$204, "1","0")</f>
        <v>1</v>
      </c>
      <c r="BI1457">
        <f xml:space="preserve"> IF( AND( $BG$1457 = "1", $BH$1457 = "1" ), 1, IF( AND( $BG$1457 = "1", $BH$1457 = "0" ), 2, IF( AND( $BG$1457 = "0", $BH$1457 = "1" ), 3, 4 ) ) )</f>
        <v>1</v>
      </c>
    </row>
    <row r="1458" spans="58:61" x14ac:dyDescent="0.25">
      <c r="BF1458" s="1">
        <v>1</v>
      </c>
      <c r="BG1458" t="str">
        <f>"1"</f>
        <v>1</v>
      </c>
      <c r="BH1458" t="str">
        <f xml:space="preserve"> IF($BF$1458 &gt;= $G$204, "1","0")</f>
        <v>1</v>
      </c>
      <c r="BI1458">
        <f xml:space="preserve"> IF( AND( $BG$1458 = "1", $BH$1458 = "1" ), 1, IF( AND( $BG$1458 = "1", $BH$1458 = "0" ), 2, IF( AND( $BG$1458 = "0", $BH$1458 = "1" ), 3, 4 ) ) )</f>
        <v>1</v>
      </c>
    </row>
    <row r="1459" spans="58:61" x14ac:dyDescent="0.25">
      <c r="BF1459" s="1">
        <v>1</v>
      </c>
      <c r="BG1459" t="str">
        <f>"1"</f>
        <v>1</v>
      </c>
      <c r="BH1459" t="str">
        <f xml:space="preserve"> IF($BF$1459 &gt;= $G$204, "1","0")</f>
        <v>1</v>
      </c>
      <c r="BI1459">
        <f xml:space="preserve"> IF( AND( $BG$1459 = "1", $BH$1459 = "1" ), 1, IF( AND( $BG$1459 = "1", $BH$1459 = "0" ), 2, IF( AND( $BG$1459 = "0", $BH$1459 = "1" ), 3, 4 ) ) )</f>
        <v>1</v>
      </c>
    </row>
    <row r="1460" spans="58:61" x14ac:dyDescent="0.25">
      <c r="BF1460" s="1">
        <v>1</v>
      </c>
      <c r="BG1460" t="str">
        <f>"1"</f>
        <v>1</v>
      </c>
      <c r="BH1460" t="str">
        <f xml:space="preserve"> IF($BF$1460 &gt;= $G$204, "1","0")</f>
        <v>1</v>
      </c>
      <c r="BI1460">
        <f xml:space="preserve"> IF( AND( $BG$1460 = "1", $BH$1460 = "1" ), 1, IF( AND( $BG$1460 = "1", $BH$1460 = "0" ), 2, IF( AND( $BG$1460 = "0", $BH$1460 = "1" ), 3, 4 ) ) )</f>
        <v>1</v>
      </c>
    </row>
    <row r="1461" spans="58:61" x14ac:dyDescent="0.25">
      <c r="BF1461" s="1">
        <v>1</v>
      </c>
      <c r="BG1461" t="str">
        <f>"1"</f>
        <v>1</v>
      </c>
      <c r="BH1461" t="str">
        <f xml:space="preserve"> IF($BF$1461 &gt;= $G$204, "1","0")</f>
        <v>1</v>
      </c>
      <c r="BI1461">
        <f xml:space="preserve"> IF( AND( $BG$1461 = "1", $BH$1461 = "1" ), 1, IF( AND( $BG$1461 = "1", $BH$1461 = "0" ), 2, IF( AND( $BG$1461 = "0", $BH$1461 = "1" ), 3, 4 ) ) )</f>
        <v>1</v>
      </c>
    </row>
    <row r="1462" spans="58:61" x14ac:dyDescent="0.25">
      <c r="BF1462" s="1">
        <v>1</v>
      </c>
      <c r="BG1462" t="str">
        <f>"1"</f>
        <v>1</v>
      </c>
      <c r="BH1462" t="str">
        <f xml:space="preserve"> IF($BF$1462 &gt;= $G$204, "1","0")</f>
        <v>1</v>
      </c>
      <c r="BI1462">
        <f xml:space="preserve"> IF( AND( $BG$1462 = "1", $BH$1462 = "1" ), 1, IF( AND( $BG$1462 = "1", $BH$1462 = "0" ), 2, IF( AND( $BG$1462 = "0", $BH$1462 = "1" ), 3, 4 ) ) )</f>
        <v>1</v>
      </c>
    </row>
    <row r="1463" spans="58:61" x14ac:dyDescent="0.25">
      <c r="BF1463" s="1">
        <v>1</v>
      </c>
      <c r="BG1463" t="str">
        <f>"1"</f>
        <v>1</v>
      </c>
      <c r="BH1463" t="str">
        <f xml:space="preserve"> IF($BF$1463 &gt;= $G$204, "1","0")</f>
        <v>1</v>
      </c>
      <c r="BI1463">
        <f xml:space="preserve"> IF( AND( $BG$1463 = "1", $BH$1463 = "1" ), 1, IF( AND( $BG$1463 = "1", $BH$1463 = "0" ), 2, IF( AND( $BG$1463 = "0", $BH$1463 = "1" ), 3, 4 ) ) )</f>
        <v>1</v>
      </c>
    </row>
    <row r="1464" spans="58:61" x14ac:dyDescent="0.25">
      <c r="BF1464" s="1">
        <v>1</v>
      </c>
      <c r="BG1464" t="str">
        <f>"1"</f>
        <v>1</v>
      </c>
      <c r="BH1464" t="str">
        <f xml:space="preserve"> IF($BF$1464 &gt;= $G$204, "1","0")</f>
        <v>1</v>
      </c>
      <c r="BI1464">
        <f xml:space="preserve"> IF( AND( $BG$1464 = "1", $BH$1464 = "1" ), 1, IF( AND( $BG$1464 = "1", $BH$1464 = "0" ), 2, IF( AND( $BG$1464 = "0", $BH$1464 = "1" ), 3, 4 ) ) )</f>
        <v>1</v>
      </c>
    </row>
    <row r="1465" spans="58:61" x14ac:dyDescent="0.25">
      <c r="BF1465" s="1">
        <v>1</v>
      </c>
      <c r="BG1465" t="str">
        <f>"1"</f>
        <v>1</v>
      </c>
      <c r="BH1465" t="str">
        <f xml:space="preserve"> IF($BF$1465 &gt;= $G$204, "1","0")</f>
        <v>1</v>
      </c>
      <c r="BI1465">
        <f xml:space="preserve"> IF( AND( $BG$1465 = "1", $BH$1465 = "1" ), 1, IF( AND( $BG$1465 = "1", $BH$1465 = "0" ), 2, IF( AND( $BG$1465 = "0", $BH$1465 = "1" ), 3, 4 ) ) )</f>
        <v>1</v>
      </c>
    </row>
    <row r="1466" spans="58:61" x14ac:dyDescent="0.25">
      <c r="BF1466" s="1">
        <v>1</v>
      </c>
      <c r="BG1466" t="str">
        <f>"1"</f>
        <v>1</v>
      </c>
      <c r="BH1466" t="str">
        <f xml:space="preserve"> IF($BF$1466 &gt;= $G$204, "1","0")</f>
        <v>1</v>
      </c>
      <c r="BI1466">
        <f xml:space="preserve"> IF( AND( $BG$1466 = "1", $BH$1466 = "1" ), 1, IF( AND( $BG$1466 = "1", $BH$1466 = "0" ), 2, IF( AND( $BG$1466 = "0", $BH$1466 = "1" ), 3, 4 ) ) )</f>
        <v>1</v>
      </c>
    </row>
    <row r="1467" spans="58:61" x14ac:dyDescent="0.25">
      <c r="BF1467" s="1">
        <v>1</v>
      </c>
      <c r="BG1467" t="str">
        <f>"1"</f>
        <v>1</v>
      </c>
      <c r="BH1467" t="str">
        <f xml:space="preserve"> IF($BF$1467 &gt;= $G$204, "1","0")</f>
        <v>1</v>
      </c>
      <c r="BI1467">
        <f xml:space="preserve"> IF( AND( $BG$1467 = "1", $BH$1467 = "1" ), 1, IF( AND( $BG$1467 = "1", $BH$1467 = "0" ), 2, IF( AND( $BG$1467 = "0", $BH$1467 = "1" ), 3, 4 ) ) )</f>
        <v>1</v>
      </c>
    </row>
    <row r="1468" spans="58:61" x14ac:dyDescent="0.25">
      <c r="BF1468" s="1">
        <v>1</v>
      </c>
      <c r="BG1468" t="str">
        <f>"1"</f>
        <v>1</v>
      </c>
      <c r="BH1468" t="str">
        <f xml:space="preserve"> IF($BF$1468 &gt;= $G$204, "1","0")</f>
        <v>1</v>
      </c>
      <c r="BI1468">
        <f xml:space="preserve"> IF( AND( $BG$1468 = "1", $BH$1468 = "1" ), 1, IF( AND( $BG$1468 = "1", $BH$1468 = "0" ), 2, IF( AND( $BG$1468 = "0", $BH$1468 = "1" ), 3, 4 ) ) )</f>
        <v>1</v>
      </c>
    </row>
    <row r="1469" spans="58:61" x14ac:dyDescent="0.25">
      <c r="BF1469" s="1">
        <v>1</v>
      </c>
      <c r="BG1469" t="str">
        <f>"1"</f>
        <v>1</v>
      </c>
      <c r="BH1469" t="str">
        <f xml:space="preserve"> IF($BF$1469 &gt;= $G$204, "1","0")</f>
        <v>1</v>
      </c>
      <c r="BI1469">
        <f xml:space="preserve"> IF( AND( $BG$1469 = "1", $BH$1469 = "1" ), 1, IF( AND( $BG$1469 = "1", $BH$1469 = "0" ), 2, IF( AND( $BG$1469 = "0", $BH$1469 = "1" ), 3, 4 ) ) )</f>
        <v>1</v>
      </c>
    </row>
    <row r="1470" spans="58:61" x14ac:dyDescent="0.25">
      <c r="BF1470" s="1">
        <v>1</v>
      </c>
      <c r="BG1470" t="str">
        <f>"1"</f>
        <v>1</v>
      </c>
      <c r="BH1470" t="str">
        <f xml:space="preserve"> IF($BF$1470 &gt;= $G$204, "1","0")</f>
        <v>1</v>
      </c>
      <c r="BI1470">
        <f xml:space="preserve"> IF( AND( $BG$1470 = "1", $BH$1470 = "1" ), 1, IF( AND( $BG$1470 = "1", $BH$1470 = "0" ), 2, IF( AND( $BG$1470 = "0", $BH$1470 = "1" ), 3, 4 ) ) )</f>
        <v>1</v>
      </c>
    </row>
    <row r="1471" spans="58:61" x14ac:dyDescent="0.25">
      <c r="BF1471" s="1">
        <v>1</v>
      </c>
      <c r="BG1471" t="str">
        <f>"1"</f>
        <v>1</v>
      </c>
      <c r="BH1471" t="str">
        <f xml:space="preserve"> IF($BF$1471 &gt;= $G$204, "1","0")</f>
        <v>1</v>
      </c>
      <c r="BI1471">
        <f xml:space="preserve"> IF( AND( $BG$1471 = "1", $BH$1471 = "1" ), 1, IF( AND( $BG$1471 = "1", $BH$1471 = "0" ), 2, IF( AND( $BG$1471 = "0", $BH$1471 = "1" ), 3, 4 ) ) )</f>
        <v>1</v>
      </c>
    </row>
    <row r="1472" spans="58:61" x14ac:dyDescent="0.25">
      <c r="BF1472" s="1">
        <v>1</v>
      </c>
      <c r="BG1472" t="str">
        <f>"1"</f>
        <v>1</v>
      </c>
      <c r="BH1472" t="str">
        <f xml:space="preserve"> IF($BF$1472 &gt;= $G$204, "1","0")</f>
        <v>1</v>
      </c>
      <c r="BI1472">
        <f xml:space="preserve"> IF( AND( $BG$1472 = "1", $BH$1472 = "1" ), 1, IF( AND( $BG$1472 = "1", $BH$1472 = "0" ), 2, IF( AND( $BG$1472 = "0", $BH$1472 = "1" ), 3, 4 ) ) )</f>
        <v>1</v>
      </c>
    </row>
    <row r="1473" spans="58:61" x14ac:dyDescent="0.25">
      <c r="BF1473" s="1">
        <v>1</v>
      </c>
      <c r="BG1473" t="str">
        <f>"1"</f>
        <v>1</v>
      </c>
      <c r="BH1473" t="str">
        <f xml:space="preserve"> IF($BF$1473 &gt;= $G$204, "1","0")</f>
        <v>1</v>
      </c>
      <c r="BI1473">
        <f xml:space="preserve"> IF( AND( $BG$1473 = "1", $BH$1473 = "1" ), 1, IF( AND( $BG$1473 = "1", $BH$1473 = "0" ), 2, IF( AND( $BG$1473 = "0", $BH$1473 = "1" ), 3, 4 ) ) )</f>
        <v>1</v>
      </c>
    </row>
    <row r="1474" spans="58:61" x14ac:dyDescent="0.25">
      <c r="BF1474" s="1">
        <v>1</v>
      </c>
      <c r="BG1474" t="str">
        <f>"1"</f>
        <v>1</v>
      </c>
      <c r="BH1474" t="str">
        <f xml:space="preserve"> IF($BF$1474 &gt;= $G$204, "1","0")</f>
        <v>1</v>
      </c>
      <c r="BI1474">
        <f xml:space="preserve"> IF( AND( $BG$1474 = "1", $BH$1474 = "1" ), 1, IF( AND( $BG$1474 = "1", $BH$1474 = "0" ), 2, IF( AND( $BG$1474 = "0", $BH$1474 = "1" ), 3, 4 ) ) )</f>
        <v>1</v>
      </c>
    </row>
    <row r="1475" spans="58:61" x14ac:dyDescent="0.25">
      <c r="BF1475" s="1">
        <v>1</v>
      </c>
      <c r="BG1475" t="str">
        <f>"1"</f>
        <v>1</v>
      </c>
      <c r="BH1475" t="str">
        <f xml:space="preserve"> IF($BF$1475 &gt;= $G$204, "1","0")</f>
        <v>1</v>
      </c>
      <c r="BI1475">
        <f xml:space="preserve"> IF( AND( $BG$1475 = "1", $BH$1475 = "1" ), 1, IF( AND( $BG$1475 = "1", $BH$1475 = "0" ), 2, IF( AND( $BG$1475 = "0", $BH$1475 = "1" ), 3, 4 ) ) )</f>
        <v>1</v>
      </c>
    </row>
    <row r="1476" spans="58:61" x14ac:dyDescent="0.25">
      <c r="BF1476" s="1">
        <v>1</v>
      </c>
      <c r="BG1476" t="str">
        <f>"1"</f>
        <v>1</v>
      </c>
      <c r="BH1476" t="str">
        <f xml:space="preserve"> IF($BF$1476 &gt;= $G$204, "1","0")</f>
        <v>1</v>
      </c>
      <c r="BI1476">
        <f xml:space="preserve"> IF( AND( $BG$1476 = "1", $BH$1476 = "1" ), 1, IF( AND( $BG$1476 = "1", $BH$1476 = "0" ), 2, IF( AND( $BG$1476 = "0", $BH$1476 = "1" ), 3, 4 ) ) )</f>
        <v>1</v>
      </c>
    </row>
    <row r="1477" spans="58:61" x14ac:dyDescent="0.25">
      <c r="BF1477" s="1">
        <v>1</v>
      </c>
      <c r="BG1477" t="str">
        <f>"1"</f>
        <v>1</v>
      </c>
      <c r="BH1477" t="str">
        <f xml:space="preserve"> IF($BF$1477 &gt;= $G$204, "1","0")</f>
        <v>1</v>
      </c>
      <c r="BI1477">
        <f xml:space="preserve"> IF( AND( $BG$1477 = "1", $BH$1477 = "1" ), 1, IF( AND( $BG$1477 = "1", $BH$1477 = "0" ), 2, IF( AND( $BG$1477 = "0", $BH$1477 = "1" ), 3, 4 ) ) )</f>
        <v>1</v>
      </c>
    </row>
    <row r="1478" spans="58:61" x14ac:dyDescent="0.25">
      <c r="BF1478" s="1">
        <v>1</v>
      </c>
      <c r="BG1478" t="str">
        <f>"1"</f>
        <v>1</v>
      </c>
      <c r="BH1478" t="str">
        <f xml:space="preserve"> IF($BF$1478 &gt;= $G$204, "1","0")</f>
        <v>1</v>
      </c>
      <c r="BI1478">
        <f xml:space="preserve"> IF( AND( $BG$1478 = "1", $BH$1478 = "1" ), 1, IF( AND( $BG$1478 = "1", $BH$1478 = "0" ), 2, IF( AND( $BG$1478 = "0", $BH$1478 = "1" ), 3, 4 ) ) )</f>
        <v>1</v>
      </c>
    </row>
    <row r="1479" spans="58:61" x14ac:dyDescent="0.25">
      <c r="BF1479" s="1">
        <v>1</v>
      </c>
      <c r="BG1479" t="str">
        <f>"1"</f>
        <v>1</v>
      </c>
      <c r="BH1479" t="str">
        <f xml:space="preserve"> IF($BF$1479 &gt;= $G$204, "1","0")</f>
        <v>1</v>
      </c>
      <c r="BI1479">
        <f xml:space="preserve"> IF( AND( $BG$1479 = "1", $BH$1479 = "1" ), 1, IF( AND( $BG$1479 = "1", $BH$1479 = "0" ), 2, IF( AND( $BG$1479 = "0", $BH$1479 = "1" ), 3, 4 ) ) )</f>
        <v>1</v>
      </c>
    </row>
    <row r="1480" spans="58:61" x14ac:dyDescent="0.25">
      <c r="BF1480" s="1">
        <v>1</v>
      </c>
      <c r="BG1480" t="str">
        <f>"1"</f>
        <v>1</v>
      </c>
      <c r="BH1480" t="str">
        <f xml:space="preserve"> IF($BF$1480 &gt;= $G$204, "1","0")</f>
        <v>1</v>
      </c>
      <c r="BI1480">
        <f xml:space="preserve"> IF( AND( $BG$1480 = "1", $BH$1480 = "1" ), 1, IF( AND( $BG$1480 = "1", $BH$1480 = "0" ), 2, IF( AND( $BG$1480 = "0", $BH$1480 = "1" ), 3, 4 ) ) )</f>
        <v>1</v>
      </c>
    </row>
    <row r="1481" spans="58:61" x14ac:dyDescent="0.25">
      <c r="BF1481" s="1">
        <v>1</v>
      </c>
      <c r="BG1481" t="str">
        <f>"1"</f>
        <v>1</v>
      </c>
      <c r="BH1481" t="str">
        <f xml:space="preserve"> IF($BF$1481 &gt;= $G$204, "1","0")</f>
        <v>1</v>
      </c>
      <c r="BI1481">
        <f xml:space="preserve"> IF( AND( $BG$1481 = "1", $BH$1481 = "1" ), 1, IF( AND( $BG$1481 = "1", $BH$1481 = "0" ), 2, IF( AND( $BG$1481 = "0", $BH$1481 = "1" ), 3, 4 ) ) )</f>
        <v>1</v>
      </c>
    </row>
    <row r="1482" spans="58:61" x14ac:dyDescent="0.25">
      <c r="BF1482" s="1">
        <v>1</v>
      </c>
      <c r="BG1482" t="str">
        <f>"1"</f>
        <v>1</v>
      </c>
      <c r="BH1482" t="str">
        <f xml:space="preserve"> IF($BF$1482 &gt;= $G$204, "1","0")</f>
        <v>1</v>
      </c>
      <c r="BI1482">
        <f xml:space="preserve"> IF( AND( $BG$1482 = "1", $BH$1482 = "1" ), 1, IF( AND( $BG$1482 = "1", $BH$1482 = "0" ), 2, IF( AND( $BG$1482 = "0", $BH$1482 = "1" ), 3, 4 ) ) )</f>
        <v>1</v>
      </c>
    </row>
    <row r="1483" spans="58:61" x14ac:dyDescent="0.25">
      <c r="BF1483" s="1">
        <v>1</v>
      </c>
      <c r="BG1483" t="str">
        <f>"1"</f>
        <v>1</v>
      </c>
      <c r="BH1483" t="str">
        <f xml:space="preserve"> IF($BF$1483 &gt;= $G$204, "1","0")</f>
        <v>1</v>
      </c>
      <c r="BI1483">
        <f xml:space="preserve"> IF( AND( $BG$1483 = "1", $BH$1483 = "1" ), 1, IF( AND( $BG$1483 = "1", $BH$1483 = "0" ), 2, IF( AND( $BG$1483 = "0", $BH$1483 = "1" ), 3, 4 ) ) )</f>
        <v>1</v>
      </c>
    </row>
    <row r="1484" spans="58:61" x14ac:dyDescent="0.25">
      <c r="BF1484" s="1">
        <v>1</v>
      </c>
      <c r="BG1484" t="str">
        <f>"1"</f>
        <v>1</v>
      </c>
      <c r="BH1484" t="str">
        <f xml:space="preserve"> IF($BF$1484 &gt;= $G$204, "1","0")</f>
        <v>1</v>
      </c>
      <c r="BI1484">
        <f xml:space="preserve"> IF( AND( $BG$1484 = "1", $BH$1484 = "1" ), 1, IF( AND( $BG$1484 = "1", $BH$1484 = "0" ), 2, IF( AND( $BG$1484 = "0", $BH$1484 = "1" ), 3, 4 ) ) )</f>
        <v>1</v>
      </c>
    </row>
    <row r="1485" spans="58:61" x14ac:dyDescent="0.25">
      <c r="BF1485" s="1">
        <v>1</v>
      </c>
      <c r="BG1485" t="str">
        <f>"1"</f>
        <v>1</v>
      </c>
      <c r="BH1485" t="str">
        <f xml:space="preserve"> IF($BF$1485 &gt;= $G$204, "1","0")</f>
        <v>1</v>
      </c>
      <c r="BI1485">
        <f xml:space="preserve"> IF( AND( $BG$1485 = "1", $BH$1485 = "1" ), 1, IF( AND( $BG$1485 = "1", $BH$1485 = "0" ), 2, IF( AND( $BG$1485 = "0", $BH$1485 = "1" ), 3, 4 ) ) )</f>
        <v>1</v>
      </c>
    </row>
    <row r="1486" spans="58:61" x14ac:dyDescent="0.25">
      <c r="BF1486" s="1">
        <v>1</v>
      </c>
      <c r="BG1486" t="str">
        <f>"1"</f>
        <v>1</v>
      </c>
      <c r="BH1486" t="str">
        <f xml:space="preserve"> IF($BF$1486 &gt;= $G$204, "1","0")</f>
        <v>1</v>
      </c>
      <c r="BI1486">
        <f xml:space="preserve"> IF( AND( $BG$1486 = "1", $BH$1486 = "1" ), 1, IF( AND( $BG$1486 = "1", $BH$1486 = "0" ), 2, IF( AND( $BG$1486 = "0", $BH$1486 = "1" ), 3, 4 ) ) )</f>
        <v>1</v>
      </c>
    </row>
    <row r="1487" spans="58:61" x14ac:dyDescent="0.25">
      <c r="BF1487" s="1">
        <v>1</v>
      </c>
      <c r="BG1487" t="str">
        <f>"1"</f>
        <v>1</v>
      </c>
      <c r="BH1487" t="str">
        <f xml:space="preserve"> IF($BF$1487 &gt;= $G$204, "1","0")</f>
        <v>1</v>
      </c>
      <c r="BI1487">
        <f xml:space="preserve"> IF( AND( $BG$1487 = "1", $BH$1487 = "1" ), 1, IF( AND( $BG$1487 = "1", $BH$1487 = "0" ), 2, IF( AND( $BG$1487 = "0", $BH$1487 = "1" ), 3, 4 ) ) )</f>
        <v>1</v>
      </c>
    </row>
    <row r="1488" spans="58:61" x14ac:dyDescent="0.25">
      <c r="BF1488" s="1">
        <v>1</v>
      </c>
      <c r="BG1488" t="str">
        <f>"1"</f>
        <v>1</v>
      </c>
      <c r="BH1488" t="str">
        <f xml:space="preserve"> IF($BF$1488 &gt;= $G$204, "1","0")</f>
        <v>1</v>
      </c>
      <c r="BI1488">
        <f xml:space="preserve"> IF( AND( $BG$1488 = "1", $BH$1488 = "1" ), 1, IF( AND( $BG$1488 = "1", $BH$1488 = "0" ), 2, IF( AND( $BG$1488 = "0", $BH$1488 = "1" ), 3, 4 ) ) )</f>
        <v>1</v>
      </c>
    </row>
    <row r="1489" spans="58:61" x14ac:dyDescent="0.25">
      <c r="BF1489" s="1">
        <v>1</v>
      </c>
      <c r="BG1489" t="str">
        <f>"1"</f>
        <v>1</v>
      </c>
      <c r="BH1489" t="str">
        <f xml:space="preserve"> IF($BF$1489 &gt;= $G$204, "1","0")</f>
        <v>1</v>
      </c>
      <c r="BI1489">
        <f xml:space="preserve"> IF( AND( $BG$1489 = "1", $BH$1489 = "1" ), 1, IF( AND( $BG$1489 = "1", $BH$1489 = "0" ), 2, IF( AND( $BG$1489 = "0", $BH$1489 = "1" ), 3, 4 ) ) )</f>
        <v>1</v>
      </c>
    </row>
    <row r="1490" spans="58:61" x14ac:dyDescent="0.25">
      <c r="BF1490" s="1">
        <v>1</v>
      </c>
      <c r="BG1490" t="str">
        <f>"1"</f>
        <v>1</v>
      </c>
      <c r="BH1490" t="str">
        <f xml:space="preserve"> IF($BF$1490 &gt;= $G$204, "1","0")</f>
        <v>1</v>
      </c>
      <c r="BI1490">
        <f xml:space="preserve"> IF( AND( $BG$1490 = "1", $BH$1490 = "1" ), 1, IF( AND( $BG$1490 = "1", $BH$1490 = "0" ), 2, IF( AND( $BG$1490 = "0", $BH$1490 = "1" ), 3, 4 ) ) )</f>
        <v>1</v>
      </c>
    </row>
    <row r="1491" spans="58:61" x14ac:dyDescent="0.25">
      <c r="BF1491" s="1">
        <v>1</v>
      </c>
      <c r="BG1491" t="str">
        <f>"1"</f>
        <v>1</v>
      </c>
      <c r="BH1491" t="str">
        <f xml:space="preserve"> IF($BF$1491 &gt;= $G$204, "1","0")</f>
        <v>1</v>
      </c>
      <c r="BI1491">
        <f xml:space="preserve"> IF( AND( $BG$1491 = "1", $BH$1491 = "1" ), 1, IF( AND( $BG$1491 = "1", $BH$1491 = "0" ), 2, IF( AND( $BG$1491 = "0", $BH$1491 = "1" ), 3, 4 ) ) )</f>
        <v>1</v>
      </c>
    </row>
    <row r="1492" spans="58:61" x14ac:dyDescent="0.25">
      <c r="BF1492" s="1">
        <v>1</v>
      </c>
      <c r="BG1492" t="str">
        <f>"1"</f>
        <v>1</v>
      </c>
      <c r="BH1492" t="str">
        <f xml:space="preserve"> IF($BF$1492 &gt;= $G$204, "1","0")</f>
        <v>1</v>
      </c>
      <c r="BI1492">
        <f xml:space="preserve"> IF( AND( $BG$1492 = "1", $BH$1492 = "1" ), 1, IF( AND( $BG$1492 = "1", $BH$1492 = "0" ), 2, IF( AND( $BG$1492 = "0", $BH$1492 = "1" ), 3, 4 ) ) )</f>
        <v>1</v>
      </c>
    </row>
    <row r="1493" spans="58:61" x14ac:dyDescent="0.25">
      <c r="BF1493" s="1">
        <v>1</v>
      </c>
      <c r="BG1493" t="str">
        <f>"1"</f>
        <v>1</v>
      </c>
      <c r="BH1493" t="str">
        <f xml:space="preserve"> IF($BF$1493 &gt;= $G$204, "1","0")</f>
        <v>1</v>
      </c>
      <c r="BI1493">
        <f xml:space="preserve"> IF( AND( $BG$1493 = "1", $BH$1493 = "1" ), 1, IF( AND( $BG$1493 = "1", $BH$1493 = "0" ), 2, IF( AND( $BG$1493 = "0", $BH$1493 = "1" ), 3, 4 ) ) )</f>
        <v>1</v>
      </c>
    </row>
    <row r="1494" spans="58:61" x14ac:dyDescent="0.25">
      <c r="BF1494" s="1">
        <v>1</v>
      </c>
      <c r="BG1494" t="str">
        <f>"1"</f>
        <v>1</v>
      </c>
      <c r="BH1494" t="str">
        <f xml:space="preserve"> IF($BF$1494 &gt;= $G$204, "1","0")</f>
        <v>1</v>
      </c>
      <c r="BI1494">
        <f xml:space="preserve"> IF( AND( $BG$1494 = "1", $BH$1494 = "1" ), 1, IF( AND( $BG$1494 = "1", $BH$1494 = "0" ), 2, IF( AND( $BG$1494 = "0", $BH$1494 = "1" ), 3, 4 ) ) )</f>
        <v>1</v>
      </c>
    </row>
    <row r="1495" spans="58:61" x14ac:dyDescent="0.25">
      <c r="BF1495" s="1">
        <v>1</v>
      </c>
      <c r="BG1495" t="str">
        <f>"1"</f>
        <v>1</v>
      </c>
      <c r="BH1495" t="str">
        <f xml:space="preserve"> IF($BF$1495 &gt;= $G$204, "1","0")</f>
        <v>1</v>
      </c>
      <c r="BI1495">
        <f xml:space="preserve"> IF( AND( $BG$1495 = "1", $BH$1495 = "1" ), 1, IF( AND( $BG$1495 = "1", $BH$1495 = "0" ), 2, IF( AND( $BG$1495 = "0", $BH$1495 = "1" ), 3, 4 ) ) )</f>
        <v>1</v>
      </c>
    </row>
    <row r="1496" spans="58:61" x14ac:dyDescent="0.25">
      <c r="BF1496" s="1">
        <v>1</v>
      </c>
      <c r="BG1496" t="str">
        <f>"1"</f>
        <v>1</v>
      </c>
      <c r="BH1496" t="str">
        <f xml:space="preserve"> IF($BF$1496 &gt;= $G$204, "1","0")</f>
        <v>1</v>
      </c>
      <c r="BI1496">
        <f xml:space="preserve"> IF( AND( $BG$1496 = "1", $BH$1496 = "1" ), 1, IF( AND( $BG$1496 = "1", $BH$1496 = "0" ), 2, IF( AND( $BG$1496 = "0", $BH$1496 = "1" ), 3, 4 ) ) )</f>
        <v>1</v>
      </c>
    </row>
    <row r="1497" spans="58:61" x14ac:dyDescent="0.25">
      <c r="BF1497" s="1">
        <v>1</v>
      </c>
      <c r="BG1497" t="str">
        <f>"1"</f>
        <v>1</v>
      </c>
      <c r="BH1497" t="str">
        <f xml:space="preserve"> IF($BF$1497 &gt;= $G$204, "1","0")</f>
        <v>1</v>
      </c>
      <c r="BI1497">
        <f xml:space="preserve"> IF( AND( $BG$1497 = "1", $BH$1497 = "1" ), 1, IF( AND( $BG$1497 = "1", $BH$1497 = "0" ), 2, IF( AND( $BG$1497 = "0", $BH$1497 = "1" ), 3, 4 ) ) )</f>
        <v>1</v>
      </c>
    </row>
    <row r="1498" spans="58:61" x14ac:dyDescent="0.25">
      <c r="BF1498" s="1">
        <v>1</v>
      </c>
      <c r="BG1498" t="str">
        <f>"1"</f>
        <v>1</v>
      </c>
      <c r="BH1498" t="str">
        <f xml:space="preserve"> IF($BF$1498 &gt;= $G$204, "1","0")</f>
        <v>1</v>
      </c>
      <c r="BI1498">
        <f xml:space="preserve"> IF( AND( $BG$1498 = "1", $BH$1498 = "1" ), 1, IF( AND( $BG$1498 = "1", $BH$1498 = "0" ), 2, IF( AND( $BG$1498 = "0", $BH$1498 = "1" ), 3, 4 ) ) )</f>
        <v>1</v>
      </c>
    </row>
    <row r="1499" spans="58:61" x14ac:dyDescent="0.25">
      <c r="BF1499" s="1">
        <v>1</v>
      </c>
      <c r="BG1499" t="str">
        <f>"1"</f>
        <v>1</v>
      </c>
      <c r="BH1499" t="str">
        <f xml:space="preserve"> IF($BF$1499 &gt;= $G$204, "1","0")</f>
        <v>1</v>
      </c>
      <c r="BI1499">
        <f xml:space="preserve"> IF( AND( $BG$1499 = "1", $BH$1499 = "1" ), 1, IF( AND( $BG$1499 = "1", $BH$1499 = "0" ), 2, IF( AND( $BG$1499 = "0", $BH$1499 = "1" ), 3, 4 ) ) )</f>
        <v>1</v>
      </c>
    </row>
    <row r="1500" spans="58:61" x14ac:dyDescent="0.25">
      <c r="BF1500" s="1">
        <v>1</v>
      </c>
      <c r="BG1500" t="str">
        <f>"1"</f>
        <v>1</v>
      </c>
      <c r="BH1500" t="str">
        <f xml:space="preserve"> IF($BF$1500 &gt;= $G$204, "1","0")</f>
        <v>1</v>
      </c>
      <c r="BI1500">
        <f xml:space="preserve"> IF( AND( $BG$1500 = "1", $BH$1500 = "1" ), 1, IF( AND( $BG$1500 = "1", $BH$1500 = "0" ), 2, IF( AND( $BG$1500 = "0", $BH$1500 = "1" ), 3, 4 ) ) )</f>
        <v>1</v>
      </c>
    </row>
    <row r="1501" spans="58:61" x14ac:dyDescent="0.25">
      <c r="BF1501" s="1">
        <v>1</v>
      </c>
      <c r="BG1501" t="str">
        <f>"1"</f>
        <v>1</v>
      </c>
      <c r="BH1501" t="str">
        <f xml:space="preserve"> IF($BF$1501 &gt;= $G$204, "1","0")</f>
        <v>1</v>
      </c>
      <c r="BI1501">
        <f xml:space="preserve"> IF( AND( $BG$1501 = "1", $BH$1501 = "1" ), 1, IF( AND( $BG$1501 = "1", $BH$1501 = "0" ), 2, IF( AND( $BG$1501 = "0", $BH$1501 = "1" ), 3, 4 ) ) )</f>
        <v>1</v>
      </c>
    </row>
    <row r="1502" spans="58:61" x14ac:dyDescent="0.25">
      <c r="BF1502" s="1">
        <v>1</v>
      </c>
      <c r="BG1502" t="str">
        <f>"1"</f>
        <v>1</v>
      </c>
      <c r="BH1502" t="str">
        <f xml:space="preserve"> IF($BF$1502 &gt;= $G$204, "1","0")</f>
        <v>1</v>
      </c>
      <c r="BI1502">
        <f xml:space="preserve"> IF( AND( $BG$1502 = "1", $BH$1502 = "1" ), 1, IF( AND( $BG$1502 = "1", $BH$1502 = "0" ), 2, IF( AND( $BG$1502 = "0", $BH$1502 = "1" ), 3, 4 ) ) )</f>
        <v>1</v>
      </c>
    </row>
    <row r="1503" spans="58:61" x14ac:dyDescent="0.25">
      <c r="BF1503" s="1">
        <v>1</v>
      </c>
      <c r="BG1503" t="str">
        <f>"1"</f>
        <v>1</v>
      </c>
      <c r="BH1503" t="str">
        <f xml:space="preserve"> IF($BF$1503 &gt;= $G$204, "1","0")</f>
        <v>1</v>
      </c>
      <c r="BI1503">
        <f xml:space="preserve"> IF( AND( $BG$1503 = "1", $BH$1503 = "1" ), 1, IF( AND( $BG$1503 = "1", $BH$1503 = "0" ), 2, IF( AND( $BG$1503 = "0", $BH$1503 = "1" ), 3, 4 ) ) )</f>
        <v>1</v>
      </c>
    </row>
    <row r="1504" spans="58:61" x14ac:dyDescent="0.25">
      <c r="BF1504" s="1">
        <v>1</v>
      </c>
      <c r="BG1504" t="str">
        <f>"1"</f>
        <v>1</v>
      </c>
      <c r="BH1504" t="str">
        <f xml:space="preserve"> IF($BF$1504 &gt;= $G$204, "1","0")</f>
        <v>1</v>
      </c>
      <c r="BI1504">
        <f xml:space="preserve"> IF( AND( $BG$1504 = "1", $BH$1504 = "1" ), 1, IF( AND( $BG$1504 = "1", $BH$1504 = "0" ), 2, IF( AND( $BG$1504 = "0", $BH$1504 = "1" ), 3, 4 ) ) )</f>
        <v>1</v>
      </c>
    </row>
    <row r="1505" spans="58:61" x14ac:dyDescent="0.25">
      <c r="BF1505" s="1">
        <v>1</v>
      </c>
      <c r="BG1505" t="str">
        <f>"1"</f>
        <v>1</v>
      </c>
      <c r="BH1505" t="str">
        <f xml:space="preserve"> IF($BF$1505 &gt;= $G$204, "1","0")</f>
        <v>1</v>
      </c>
      <c r="BI1505">
        <f xml:space="preserve"> IF( AND( $BG$1505 = "1", $BH$1505 = "1" ), 1, IF( AND( $BG$1505 = "1", $BH$1505 = "0" ), 2, IF( AND( $BG$1505 = "0", $BH$1505 = "1" ), 3, 4 ) ) )</f>
        <v>1</v>
      </c>
    </row>
    <row r="1506" spans="58:61" x14ac:dyDescent="0.25">
      <c r="BF1506" s="1">
        <v>1</v>
      </c>
      <c r="BG1506" t="str">
        <f>"1"</f>
        <v>1</v>
      </c>
      <c r="BH1506" t="str">
        <f xml:space="preserve"> IF($BF$1506 &gt;= $G$204, "1","0")</f>
        <v>1</v>
      </c>
      <c r="BI1506">
        <f xml:space="preserve"> IF( AND( $BG$1506 = "1", $BH$1506 = "1" ), 1, IF( AND( $BG$1506 = "1", $BH$1506 = "0" ), 2, IF( AND( $BG$1506 = "0", $BH$1506 = "1" ), 3, 4 ) ) )</f>
        <v>1</v>
      </c>
    </row>
    <row r="1507" spans="58:61" x14ac:dyDescent="0.25">
      <c r="BF1507" s="1">
        <v>1</v>
      </c>
      <c r="BG1507" t="str">
        <f>"1"</f>
        <v>1</v>
      </c>
      <c r="BH1507" t="str">
        <f xml:space="preserve"> IF($BF$1507 &gt;= $G$204, "1","0")</f>
        <v>1</v>
      </c>
      <c r="BI1507">
        <f xml:space="preserve"> IF( AND( $BG$1507 = "1", $BH$1507 = "1" ), 1, IF( AND( $BG$1507 = "1", $BH$1507 = "0" ), 2, IF( AND( $BG$1507 = "0", $BH$1507 = "1" ), 3, 4 ) ) )</f>
        <v>1</v>
      </c>
    </row>
    <row r="1508" spans="58:61" x14ac:dyDescent="0.25">
      <c r="BF1508" s="1">
        <v>1</v>
      </c>
      <c r="BG1508" t="str">
        <f>"1"</f>
        <v>1</v>
      </c>
      <c r="BH1508" t="str">
        <f xml:space="preserve"> IF($BF$1508 &gt;= $G$204, "1","0")</f>
        <v>1</v>
      </c>
      <c r="BI1508">
        <f xml:space="preserve"> IF( AND( $BG$1508 = "1", $BH$1508 = "1" ), 1, IF( AND( $BG$1508 = "1", $BH$1508 = "0" ), 2, IF( AND( $BG$1508 = "0", $BH$1508 = "1" ), 3, 4 ) ) )</f>
        <v>1</v>
      </c>
    </row>
    <row r="1509" spans="58:61" x14ac:dyDescent="0.25">
      <c r="BF1509" s="1">
        <v>1</v>
      </c>
      <c r="BG1509" t="str">
        <f>"1"</f>
        <v>1</v>
      </c>
      <c r="BH1509" t="str">
        <f xml:space="preserve"> IF($BF$1509 &gt;= $G$204, "1","0")</f>
        <v>1</v>
      </c>
      <c r="BI1509">
        <f xml:space="preserve"> IF( AND( $BG$1509 = "1", $BH$1509 = "1" ), 1, IF( AND( $BG$1509 = "1", $BH$1509 = "0" ), 2, IF( AND( $BG$1509 = "0", $BH$1509 = "1" ), 3, 4 ) ) )</f>
        <v>1</v>
      </c>
    </row>
    <row r="1510" spans="58:61" x14ac:dyDescent="0.25">
      <c r="BF1510" s="1">
        <v>1</v>
      </c>
      <c r="BG1510" t="str">
        <f>"1"</f>
        <v>1</v>
      </c>
      <c r="BH1510" t="str">
        <f xml:space="preserve"> IF($BF$1510 &gt;= $G$204, "1","0")</f>
        <v>1</v>
      </c>
      <c r="BI1510">
        <f xml:space="preserve"> IF( AND( $BG$1510 = "1", $BH$1510 = "1" ), 1, IF( AND( $BG$1510 = "1", $BH$1510 = "0" ), 2, IF( AND( $BG$1510 = "0", $BH$1510 = "1" ), 3, 4 ) ) )</f>
        <v>1</v>
      </c>
    </row>
    <row r="1511" spans="58:61" x14ac:dyDescent="0.25">
      <c r="BF1511" s="1">
        <v>1</v>
      </c>
      <c r="BG1511" t="str">
        <f>"1"</f>
        <v>1</v>
      </c>
      <c r="BH1511" t="str">
        <f xml:space="preserve"> IF($BF$1511 &gt;= $G$204, "1","0")</f>
        <v>1</v>
      </c>
      <c r="BI1511">
        <f xml:space="preserve"> IF( AND( $BG$1511 = "1", $BH$1511 = "1" ), 1, IF( AND( $BG$1511 = "1", $BH$1511 = "0" ), 2, IF( AND( $BG$1511 = "0", $BH$1511 = "1" ), 3, 4 ) ) )</f>
        <v>1</v>
      </c>
    </row>
    <row r="1512" spans="58:61" x14ac:dyDescent="0.25">
      <c r="BF1512" s="1">
        <v>1</v>
      </c>
      <c r="BG1512" t="str">
        <f>"1"</f>
        <v>1</v>
      </c>
      <c r="BH1512" t="str">
        <f xml:space="preserve"> IF($BF$1512 &gt;= $G$204, "1","0")</f>
        <v>1</v>
      </c>
      <c r="BI1512">
        <f xml:space="preserve"> IF( AND( $BG$1512 = "1", $BH$1512 = "1" ), 1, IF( AND( $BG$1512 = "1", $BH$1512 = "0" ), 2, IF( AND( $BG$1512 = "0", $BH$1512 = "1" ), 3, 4 ) ) )</f>
        <v>1</v>
      </c>
    </row>
    <row r="1513" spans="58:61" x14ac:dyDescent="0.25">
      <c r="BF1513" s="1">
        <v>1</v>
      </c>
      <c r="BG1513" t="str">
        <f>"1"</f>
        <v>1</v>
      </c>
      <c r="BH1513" t="str">
        <f xml:space="preserve"> IF($BF$1513 &gt;= $G$204, "1","0")</f>
        <v>1</v>
      </c>
      <c r="BI1513">
        <f xml:space="preserve"> IF( AND( $BG$1513 = "1", $BH$1513 = "1" ), 1, IF( AND( $BG$1513 = "1", $BH$1513 = "0" ), 2, IF( AND( $BG$1513 = "0", $BH$1513 = "1" ), 3, 4 ) ) )</f>
        <v>1</v>
      </c>
    </row>
    <row r="1514" spans="58:61" x14ac:dyDescent="0.25">
      <c r="BF1514" s="1">
        <v>1</v>
      </c>
      <c r="BG1514" t="str">
        <f>"1"</f>
        <v>1</v>
      </c>
      <c r="BH1514" t="str">
        <f xml:space="preserve"> IF($BF$1514 &gt;= $G$204, "1","0")</f>
        <v>1</v>
      </c>
      <c r="BI1514">
        <f xml:space="preserve"> IF( AND( $BG$1514 = "1", $BH$1514 = "1" ), 1, IF( AND( $BG$1514 = "1", $BH$1514 = "0" ), 2, IF( AND( $BG$1514 = "0", $BH$1514 = "1" ), 3, 4 ) ) )</f>
        <v>1</v>
      </c>
    </row>
    <row r="1515" spans="58:61" x14ac:dyDescent="0.25">
      <c r="BF1515" s="1">
        <v>1</v>
      </c>
      <c r="BG1515" t="str">
        <f>"1"</f>
        <v>1</v>
      </c>
      <c r="BH1515" t="str">
        <f xml:space="preserve"> IF($BF$1515 &gt;= $G$204, "1","0")</f>
        <v>1</v>
      </c>
      <c r="BI1515">
        <f xml:space="preserve"> IF( AND( $BG$1515 = "1", $BH$1515 = "1" ), 1, IF( AND( $BG$1515 = "1", $BH$1515 = "0" ), 2, IF( AND( $BG$1515 = "0", $BH$1515 = "1" ), 3, 4 ) ) )</f>
        <v>1</v>
      </c>
    </row>
    <row r="1516" spans="58:61" x14ac:dyDescent="0.25">
      <c r="BF1516" s="1">
        <v>1</v>
      </c>
      <c r="BG1516" t="str">
        <f>"1"</f>
        <v>1</v>
      </c>
      <c r="BH1516" t="str">
        <f xml:space="preserve"> IF($BF$1516 &gt;= $G$204, "1","0")</f>
        <v>1</v>
      </c>
      <c r="BI1516">
        <f xml:space="preserve"> IF( AND( $BG$1516 = "1", $BH$1516 = "1" ), 1, IF( AND( $BG$1516 = "1", $BH$1516 = "0" ), 2, IF( AND( $BG$1516 = "0", $BH$1516 = "1" ), 3, 4 ) ) )</f>
        <v>1</v>
      </c>
    </row>
    <row r="1517" spans="58:61" x14ac:dyDescent="0.25">
      <c r="BF1517" s="1">
        <v>1</v>
      </c>
      <c r="BG1517" t="str">
        <f>"1"</f>
        <v>1</v>
      </c>
      <c r="BH1517" t="str">
        <f xml:space="preserve"> IF($BF$1517 &gt;= $G$204, "1","0")</f>
        <v>1</v>
      </c>
      <c r="BI1517">
        <f xml:space="preserve"> IF( AND( $BG$1517 = "1", $BH$1517 = "1" ), 1, IF( AND( $BG$1517 = "1", $BH$1517 = "0" ), 2, IF( AND( $BG$1517 = "0", $BH$1517 = "1" ), 3, 4 ) ) )</f>
        <v>1</v>
      </c>
    </row>
    <row r="1518" spans="58:61" x14ac:dyDescent="0.25">
      <c r="BF1518" s="1">
        <v>1</v>
      </c>
      <c r="BG1518" t="str">
        <f>"1"</f>
        <v>1</v>
      </c>
      <c r="BH1518" t="str">
        <f xml:space="preserve"> IF($BF$1518 &gt;= $G$204, "1","0")</f>
        <v>1</v>
      </c>
      <c r="BI1518">
        <f xml:space="preserve"> IF( AND( $BG$1518 = "1", $BH$1518 = "1" ), 1, IF( AND( $BG$1518 = "1", $BH$1518 = "0" ), 2, IF( AND( $BG$1518 = "0", $BH$1518 = "1" ), 3, 4 ) ) )</f>
        <v>1</v>
      </c>
    </row>
    <row r="1519" spans="58:61" x14ac:dyDescent="0.25">
      <c r="BF1519" s="1">
        <v>1</v>
      </c>
      <c r="BG1519" t="str">
        <f>"1"</f>
        <v>1</v>
      </c>
      <c r="BH1519" t="str">
        <f xml:space="preserve"> IF($BF$1519 &gt;= $G$204, "1","0")</f>
        <v>1</v>
      </c>
      <c r="BI1519">
        <f xml:space="preserve"> IF( AND( $BG$1519 = "1", $BH$1519 = "1" ), 1, IF( AND( $BG$1519 = "1", $BH$1519 = "0" ), 2, IF( AND( $BG$1519 = "0", $BH$1519 = "1" ), 3, 4 ) ) )</f>
        <v>1</v>
      </c>
    </row>
    <row r="1520" spans="58:61" x14ac:dyDescent="0.25">
      <c r="BF1520" s="1">
        <v>1</v>
      </c>
      <c r="BG1520" t="str">
        <f>"1"</f>
        <v>1</v>
      </c>
      <c r="BH1520" t="str">
        <f xml:space="preserve"> IF($BF$1520 &gt;= $G$204, "1","0")</f>
        <v>1</v>
      </c>
      <c r="BI1520">
        <f xml:space="preserve"> IF( AND( $BG$1520 = "1", $BH$1520 = "1" ), 1, IF( AND( $BG$1520 = "1", $BH$1520 = "0" ), 2, IF( AND( $BG$1520 = "0", $BH$1520 = "1" ), 3, 4 ) ) )</f>
        <v>1</v>
      </c>
    </row>
    <row r="1521" spans="58:61" x14ac:dyDescent="0.25">
      <c r="BF1521" s="1">
        <v>1</v>
      </c>
      <c r="BG1521" t="str">
        <f>"1"</f>
        <v>1</v>
      </c>
      <c r="BH1521" t="str">
        <f xml:space="preserve"> IF($BF$1521 &gt;= $G$204, "1","0")</f>
        <v>1</v>
      </c>
      <c r="BI1521">
        <f xml:space="preserve"> IF( AND( $BG$1521 = "1", $BH$1521 = "1" ), 1, IF( AND( $BG$1521 = "1", $BH$1521 = "0" ), 2, IF( AND( $BG$1521 = "0", $BH$1521 = "1" ), 3, 4 ) ) )</f>
        <v>1</v>
      </c>
    </row>
    <row r="1522" spans="58:61" x14ac:dyDescent="0.25">
      <c r="BF1522" s="1">
        <v>1</v>
      </c>
      <c r="BG1522" t="str">
        <f>"1"</f>
        <v>1</v>
      </c>
      <c r="BH1522" t="str">
        <f xml:space="preserve"> IF($BF$1522 &gt;= $G$204, "1","0")</f>
        <v>1</v>
      </c>
      <c r="BI1522">
        <f xml:space="preserve"> IF( AND( $BG$1522 = "1", $BH$1522 = "1" ), 1, IF( AND( $BG$1522 = "1", $BH$1522 = "0" ), 2, IF( AND( $BG$1522 = "0", $BH$1522 = "1" ), 3, 4 ) ) )</f>
        <v>1</v>
      </c>
    </row>
    <row r="1523" spans="58:61" x14ac:dyDescent="0.25">
      <c r="BF1523" s="1">
        <v>1</v>
      </c>
      <c r="BG1523" t="str">
        <f>"1"</f>
        <v>1</v>
      </c>
      <c r="BH1523" t="str">
        <f xml:space="preserve"> IF($BF$1523 &gt;= $G$204, "1","0")</f>
        <v>1</v>
      </c>
      <c r="BI1523">
        <f xml:space="preserve"> IF( AND( $BG$1523 = "1", $BH$1523 = "1" ), 1, IF( AND( $BG$1523 = "1", $BH$1523 = "0" ), 2, IF( AND( $BG$1523 = "0", $BH$1523 = "1" ), 3, 4 ) ) )</f>
        <v>1</v>
      </c>
    </row>
    <row r="1524" spans="58:61" x14ac:dyDescent="0.25">
      <c r="BF1524" s="1">
        <v>1</v>
      </c>
      <c r="BG1524" t="str">
        <f>"1"</f>
        <v>1</v>
      </c>
      <c r="BH1524" t="str">
        <f xml:space="preserve"> IF($BF$1524 &gt;= $G$204, "1","0")</f>
        <v>1</v>
      </c>
      <c r="BI1524">
        <f xml:space="preserve"> IF( AND( $BG$1524 = "1", $BH$1524 = "1" ), 1, IF( AND( $BG$1524 = "1", $BH$1524 = "0" ), 2, IF( AND( $BG$1524 = "0", $BH$1524 = "1" ), 3, 4 ) ) )</f>
        <v>1</v>
      </c>
    </row>
    <row r="1525" spans="58:61" x14ac:dyDescent="0.25">
      <c r="BF1525" s="1">
        <v>1</v>
      </c>
      <c r="BG1525" t="str">
        <f>"1"</f>
        <v>1</v>
      </c>
      <c r="BH1525" t="str">
        <f xml:space="preserve"> IF($BF$1525 &gt;= $G$204, "1","0")</f>
        <v>1</v>
      </c>
      <c r="BI1525">
        <f xml:space="preserve"> IF( AND( $BG$1525 = "1", $BH$1525 = "1" ), 1, IF( AND( $BG$1525 = "1", $BH$1525 = "0" ), 2, IF( AND( $BG$1525 = "0", $BH$1525 = "1" ), 3, 4 ) ) )</f>
        <v>1</v>
      </c>
    </row>
    <row r="1526" spans="58:61" x14ac:dyDescent="0.25">
      <c r="BF1526" s="1">
        <v>1</v>
      </c>
      <c r="BG1526" t="str">
        <f>"1"</f>
        <v>1</v>
      </c>
      <c r="BH1526" t="str">
        <f xml:space="preserve"> IF($BF$1526 &gt;= $G$204, "1","0")</f>
        <v>1</v>
      </c>
      <c r="BI1526">
        <f xml:space="preserve"> IF( AND( $BG$1526 = "1", $BH$1526 = "1" ), 1, IF( AND( $BG$1526 = "1", $BH$1526 = "0" ), 2, IF( AND( $BG$1526 = "0", $BH$1526 = "1" ), 3, 4 ) ) )</f>
        <v>1</v>
      </c>
    </row>
    <row r="1527" spans="58:61" x14ac:dyDescent="0.25">
      <c r="BF1527" s="1">
        <v>1</v>
      </c>
      <c r="BG1527" t="str">
        <f>"1"</f>
        <v>1</v>
      </c>
      <c r="BH1527" t="str">
        <f xml:space="preserve"> IF($BF$1527 &gt;= $G$204, "1","0")</f>
        <v>1</v>
      </c>
      <c r="BI1527">
        <f xml:space="preserve"> IF( AND( $BG$1527 = "1", $BH$1527 = "1" ), 1, IF( AND( $BG$1527 = "1", $BH$1527 = "0" ), 2, IF( AND( $BG$1527 = "0", $BH$1527 = "1" ), 3, 4 ) ) )</f>
        <v>1</v>
      </c>
    </row>
    <row r="1528" spans="58:61" x14ac:dyDescent="0.25">
      <c r="BF1528" s="1">
        <v>1</v>
      </c>
      <c r="BG1528" t="str">
        <f>"1"</f>
        <v>1</v>
      </c>
      <c r="BH1528" t="str">
        <f xml:space="preserve"> IF($BF$1528 &gt;= $G$204, "1","0")</f>
        <v>1</v>
      </c>
      <c r="BI1528">
        <f xml:space="preserve"> IF( AND( $BG$1528 = "1", $BH$1528 = "1" ), 1, IF( AND( $BG$1528 = "1", $BH$1528 = "0" ), 2, IF( AND( $BG$1528 = "0", $BH$1528 = "1" ), 3, 4 ) ) )</f>
        <v>1</v>
      </c>
    </row>
    <row r="1529" spans="58:61" x14ac:dyDescent="0.25">
      <c r="BF1529" s="1">
        <v>1</v>
      </c>
      <c r="BG1529" t="str">
        <f>"1"</f>
        <v>1</v>
      </c>
      <c r="BH1529" t="str">
        <f xml:space="preserve"> IF($BF$1529 &gt;= $G$204, "1","0")</f>
        <v>1</v>
      </c>
      <c r="BI1529">
        <f xml:space="preserve"> IF( AND( $BG$1529 = "1", $BH$1529 = "1" ), 1, IF( AND( $BG$1529 = "1", $BH$1529 = "0" ), 2, IF( AND( $BG$1529 = "0", $BH$1529 = "1" ), 3, 4 ) ) )</f>
        <v>1</v>
      </c>
    </row>
    <row r="1530" spans="58:61" x14ac:dyDescent="0.25">
      <c r="BF1530" s="1">
        <v>1</v>
      </c>
      <c r="BG1530" t="str">
        <f>"1"</f>
        <v>1</v>
      </c>
      <c r="BH1530" t="str">
        <f xml:space="preserve"> IF($BF$1530 &gt;= $G$204, "1","0")</f>
        <v>1</v>
      </c>
      <c r="BI1530">
        <f xml:space="preserve"> IF( AND( $BG$1530 = "1", $BH$1530 = "1" ), 1, IF( AND( $BG$1530 = "1", $BH$1530 = "0" ), 2, IF( AND( $BG$1530 = "0", $BH$1530 = "1" ), 3, 4 ) ) )</f>
        <v>1</v>
      </c>
    </row>
    <row r="1531" spans="58:61" x14ac:dyDescent="0.25">
      <c r="BF1531" s="1">
        <v>1</v>
      </c>
      <c r="BG1531" t="str">
        <f>"1"</f>
        <v>1</v>
      </c>
      <c r="BH1531" t="str">
        <f xml:space="preserve"> IF($BF$1531 &gt;= $G$204, "1","0")</f>
        <v>1</v>
      </c>
      <c r="BI1531">
        <f xml:space="preserve"> IF( AND( $BG$1531 = "1", $BH$1531 = "1" ), 1, IF( AND( $BG$1531 = "1", $BH$1531 = "0" ), 2, IF( AND( $BG$1531 = "0", $BH$1531 = "1" ), 3, 4 ) ) )</f>
        <v>1</v>
      </c>
    </row>
    <row r="1532" spans="58:61" x14ac:dyDescent="0.25">
      <c r="BF1532" s="1">
        <v>1</v>
      </c>
      <c r="BG1532" t="str">
        <f>"1"</f>
        <v>1</v>
      </c>
      <c r="BH1532" t="str">
        <f xml:space="preserve"> IF($BF$1532 &gt;= $G$204, "1","0")</f>
        <v>1</v>
      </c>
      <c r="BI1532">
        <f xml:space="preserve"> IF( AND( $BG$1532 = "1", $BH$1532 = "1" ), 1, IF( AND( $BG$1532 = "1", $BH$1532 = "0" ), 2, IF( AND( $BG$1532 = "0", $BH$1532 = "1" ), 3, 4 ) ) )</f>
        <v>1</v>
      </c>
    </row>
    <row r="1533" spans="58:61" x14ac:dyDescent="0.25">
      <c r="BF1533" s="1">
        <v>1</v>
      </c>
      <c r="BG1533" t="str">
        <f>"1"</f>
        <v>1</v>
      </c>
      <c r="BH1533" t="str">
        <f xml:space="preserve"> IF($BF$1533 &gt;= $G$204, "1","0")</f>
        <v>1</v>
      </c>
      <c r="BI1533">
        <f xml:space="preserve"> IF( AND( $BG$1533 = "1", $BH$1533 = "1" ), 1, IF( AND( $BG$1533 = "1", $BH$1533 = "0" ), 2, IF( AND( $BG$1533 = "0", $BH$1533 = "1" ), 3, 4 ) ) )</f>
        <v>1</v>
      </c>
    </row>
    <row r="1534" spans="58:61" x14ac:dyDescent="0.25">
      <c r="BF1534" s="1">
        <v>1</v>
      </c>
      <c r="BG1534" t="str">
        <f>"1"</f>
        <v>1</v>
      </c>
      <c r="BH1534" t="str">
        <f xml:space="preserve"> IF($BF$1534 &gt;= $G$204, "1","0")</f>
        <v>1</v>
      </c>
      <c r="BI1534">
        <f xml:space="preserve"> IF( AND( $BG$1534 = "1", $BH$1534 = "1" ), 1, IF( AND( $BG$1534 = "1", $BH$1534 = "0" ), 2, IF( AND( $BG$1534 = "0", $BH$1534 = "1" ), 3, 4 ) ) )</f>
        <v>1</v>
      </c>
    </row>
    <row r="1535" spans="58:61" x14ac:dyDescent="0.25">
      <c r="BF1535" s="1">
        <v>1</v>
      </c>
      <c r="BG1535" t="str">
        <f>"1"</f>
        <v>1</v>
      </c>
      <c r="BH1535" t="str">
        <f xml:space="preserve"> IF($BF$1535 &gt;= $G$204, "1","0")</f>
        <v>1</v>
      </c>
      <c r="BI1535">
        <f xml:space="preserve"> IF( AND( $BG$1535 = "1", $BH$1535 = "1" ), 1, IF( AND( $BG$1535 = "1", $BH$1535 = "0" ), 2, IF( AND( $BG$1535 = "0", $BH$1535 = "1" ), 3, 4 ) ) )</f>
        <v>1</v>
      </c>
    </row>
    <row r="1536" spans="58:61" x14ac:dyDescent="0.25">
      <c r="BF1536" s="1">
        <v>1</v>
      </c>
      <c r="BG1536" t="str">
        <f>"1"</f>
        <v>1</v>
      </c>
      <c r="BH1536" t="str">
        <f xml:space="preserve"> IF($BF$1536 &gt;= $G$204, "1","0")</f>
        <v>1</v>
      </c>
      <c r="BI1536">
        <f xml:space="preserve"> IF( AND( $BG$1536 = "1", $BH$1536 = "1" ), 1, IF( AND( $BG$1536 = "1", $BH$1536 = "0" ), 2, IF( AND( $BG$1536 = "0", $BH$1536 = "1" ), 3, 4 ) ) )</f>
        <v>1</v>
      </c>
    </row>
    <row r="1537" spans="58:61" x14ac:dyDescent="0.25">
      <c r="BF1537" s="1">
        <v>1</v>
      </c>
      <c r="BG1537" t="str">
        <f>"1"</f>
        <v>1</v>
      </c>
      <c r="BH1537" t="str">
        <f xml:space="preserve"> IF($BF$1537 &gt;= $G$204, "1","0")</f>
        <v>1</v>
      </c>
      <c r="BI1537">
        <f xml:space="preserve"> IF( AND( $BG$1537 = "1", $BH$1537 = "1" ), 1, IF( AND( $BG$1537 = "1", $BH$1537 = "0" ), 2, IF( AND( $BG$1537 = "0", $BH$1537 = "1" ), 3, 4 ) ) )</f>
        <v>1</v>
      </c>
    </row>
    <row r="1538" spans="58:61" x14ac:dyDescent="0.25">
      <c r="BF1538" s="1">
        <v>1</v>
      </c>
      <c r="BG1538" t="str">
        <f>"1"</f>
        <v>1</v>
      </c>
      <c r="BH1538" t="str">
        <f xml:space="preserve"> IF($BF$1538 &gt;= $G$204, "1","0")</f>
        <v>1</v>
      </c>
      <c r="BI1538">
        <f xml:space="preserve"> IF( AND( $BG$1538 = "1", $BH$1538 = "1" ), 1, IF( AND( $BG$1538 = "1", $BH$1538 = "0" ), 2, IF( AND( $BG$1538 = "0", $BH$1538 = "1" ), 3, 4 ) ) )</f>
        <v>1</v>
      </c>
    </row>
    <row r="1539" spans="58:61" x14ac:dyDescent="0.25">
      <c r="BF1539" s="1">
        <v>1</v>
      </c>
      <c r="BG1539" t="str">
        <f>"1"</f>
        <v>1</v>
      </c>
      <c r="BH1539" t="str">
        <f xml:space="preserve"> IF($BF$1539 &gt;= $G$204, "1","0")</f>
        <v>1</v>
      </c>
      <c r="BI1539">
        <f xml:space="preserve"> IF( AND( $BG$1539 = "1", $BH$1539 = "1" ), 1, IF( AND( $BG$1539 = "1", $BH$1539 = "0" ), 2, IF( AND( $BG$1539 = "0", $BH$1539 = "1" ), 3, 4 ) ) )</f>
        <v>1</v>
      </c>
    </row>
    <row r="1540" spans="58:61" x14ac:dyDescent="0.25">
      <c r="BF1540" s="1">
        <v>1</v>
      </c>
      <c r="BG1540" t="str">
        <f>"1"</f>
        <v>1</v>
      </c>
      <c r="BH1540" t="str">
        <f xml:space="preserve"> IF($BF$1540 &gt;= $G$204, "1","0")</f>
        <v>1</v>
      </c>
      <c r="BI1540">
        <f xml:space="preserve"> IF( AND( $BG$1540 = "1", $BH$1540 = "1" ), 1, IF( AND( $BG$1540 = "1", $BH$1540 = "0" ), 2, IF( AND( $BG$1540 = "0", $BH$1540 = "1" ), 3, 4 ) ) )</f>
        <v>1</v>
      </c>
    </row>
    <row r="1541" spans="58:61" x14ac:dyDescent="0.25">
      <c r="BF1541" s="1">
        <v>1</v>
      </c>
      <c r="BG1541" t="str">
        <f>"1"</f>
        <v>1</v>
      </c>
      <c r="BH1541" t="str">
        <f xml:space="preserve"> IF($BF$1541 &gt;= $G$204, "1","0")</f>
        <v>1</v>
      </c>
      <c r="BI1541">
        <f xml:space="preserve"> IF( AND( $BG$1541 = "1", $BH$1541 = "1" ), 1, IF( AND( $BG$1541 = "1", $BH$1541 = "0" ), 2, IF( AND( $BG$1541 = "0", $BH$1541 = "1" ), 3, 4 ) ) )</f>
        <v>1</v>
      </c>
    </row>
    <row r="1542" spans="58:61" x14ac:dyDescent="0.25">
      <c r="BF1542" s="1">
        <v>1</v>
      </c>
      <c r="BG1542" t="str">
        <f>"1"</f>
        <v>1</v>
      </c>
      <c r="BH1542" t="str">
        <f xml:space="preserve"> IF($BF$1542 &gt;= $G$204, "1","0")</f>
        <v>1</v>
      </c>
      <c r="BI1542">
        <f xml:space="preserve"> IF( AND( $BG$1542 = "1", $BH$1542 = "1" ), 1, IF( AND( $BG$1542 = "1", $BH$1542 = "0" ), 2, IF( AND( $BG$1542 = "0", $BH$1542 = "1" ), 3, 4 ) ) )</f>
        <v>1</v>
      </c>
    </row>
    <row r="1543" spans="58:61" x14ac:dyDescent="0.25">
      <c r="BF1543" s="1">
        <v>1</v>
      </c>
      <c r="BG1543" t="str">
        <f>"1"</f>
        <v>1</v>
      </c>
      <c r="BH1543" t="str">
        <f xml:space="preserve"> IF($BF$1543 &gt;= $G$204, "1","0")</f>
        <v>1</v>
      </c>
      <c r="BI1543">
        <f xml:space="preserve"> IF( AND( $BG$1543 = "1", $BH$1543 = "1" ), 1, IF( AND( $BG$1543 = "1", $BH$1543 = "0" ), 2, IF( AND( $BG$1543 = "0", $BH$1543 = "1" ), 3, 4 ) ) )</f>
        <v>1</v>
      </c>
    </row>
    <row r="1544" spans="58:61" x14ac:dyDescent="0.25">
      <c r="BF1544" s="1">
        <v>1</v>
      </c>
      <c r="BG1544" t="str">
        <f>"1"</f>
        <v>1</v>
      </c>
      <c r="BH1544" t="str">
        <f xml:space="preserve"> IF($BF$1544 &gt;= $G$204, "1","0")</f>
        <v>1</v>
      </c>
      <c r="BI1544">
        <f xml:space="preserve"> IF( AND( $BG$1544 = "1", $BH$1544 = "1" ), 1, IF( AND( $BG$1544 = "1", $BH$1544 = "0" ), 2, IF( AND( $BG$1544 = "0", $BH$1544 = "1" ), 3, 4 ) ) )</f>
        <v>1</v>
      </c>
    </row>
    <row r="1545" spans="58:61" x14ac:dyDescent="0.25">
      <c r="BF1545" s="1">
        <v>1</v>
      </c>
      <c r="BG1545" t="str">
        <f>"1"</f>
        <v>1</v>
      </c>
      <c r="BH1545" t="str">
        <f xml:space="preserve"> IF($BF$1545 &gt;= $G$204, "1","0")</f>
        <v>1</v>
      </c>
      <c r="BI1545">
        <f xml:space="preserve"> IF( AND( $BG$1545 = "1", $BH$1545 = "1" ), 1, IF( AND( $BG$1545 = "1", $BH$1545 = "0" ), 2, IF( AND( $BG$1545 = "0", $BH$1545 = "1" ), 3, 4 ) ) )</f>
        <v>1</v>
      </c>
    </row>
    <row r="1546" spans="58:61" x14ac:dyDescent="0.25">
      <c r="BF1546" s="1">
        <v>1</v>
      </c>
      <c r="BG1546" t="str">
        <f>"1"</f>
        <v>1</v>
      </c>
      <c r="BH1546" t="str">
        <f xml:space="preserve"> IF($BF$1546 &gt;= $G$204, "1","0")</f>
        <v>1</v>
      </c>
      <c r="BI1546">
        <f xml:space="preserve"> IF( AND( $BG$1546 = "1", $BH$1546 = "1" ), 1, IF( AND( $BG$1546 = "1", $BH$1546 = "0" ), 2, IF( AND( $BG$1546 = "0", $BH$1546 = "1" ), 3, 4 ) ) )</f>
        <v>1</v>
      </c>
    </row>
    <row r="1547" spans="58:61" x14ac:dyDescent="0.25">
      <c r="BF1547" s="1">
        <v>1</v>
      </c>
      <c r="BG1547" t="str">
        <f>"1"</f>
        <v>1</v>
      </c>
      <c r="BH1547" t="str">
        <f xml:space="preserve"> IF($BF$1547 &gt;= $G$204, "1","0")</f>
        <v>1</v>
      </c>
      <c r="BI1547">
        <f xml:space="preserve"> IF( AND( $BG$1547 = "1", $BH$1547 = "1" ), 1, IF( AND( $BG$1547 = "1", $BH$1547 = "0" ), 2, IF( AND( $BG$1547 = "0", $BH$1547 = "1" ), 3, 4 ) ) )</f>
        <v>1</v>
      </c>
    </row>
    <row r="1548" spans="58:61" x14ac:dyDescent="0.25">
      <c r="BF1548" s="1">
        <v>1</v>
      </c>
      <c r="BG1548" t="str">
        <f>"1"</f>
        <v>1</v>
      </c>
      <c r="BH1548" t="str">
        <f xml:space="preserve"> IF($BF$1548 &gt;= $G$204, "1","0")</f>
        <v>1</v>
      </c>
      <c r="BI1548">
        <f xml:space="preserve"> IF( AND( $BG$1548 = "1", $BH$1548 = "1" ), 1, IF( AND( $BG$1548 = "1", $BH$1548 = "0" ), 2, IF( AND( $BG$1548 = "0", $BH$1548 = "1" ), 3, 4 ) ) )</f>
        <v>1</v>
      </c>
    </row>
    <row r="1549" spans="58:61" x14ac:dyDescent="0.25">
      <c r="BF1549" s="1">
        <v>1</v>
      </c>
      <c r="BG1549" t="str">
        <f>"1"</f>
        <v>1</v>
      </c>
      <c r="BH1549" t="str">
        <f xml:space="preserve"> IF($BF$1549 &gt;= $G$204, "1","0")</f>
        <v>1</v>
      </c>
      <c r="BI1549">
        <f xml:space="preserve"> IF( AND( $BG$1549 = "1", $BH$1549 = "1" ), 1, IF( AND( $BG$1549 = "1", $BH$1549 = "0" ), 2, IF( AND( $BG$1549 = "0", $BH$1549 = "1" ), 3, 4 ) ) )</f>
        <v>1</v>
      </c>
    </row>
    <row r="1550" spans="58:61" x14ac:dyDescent="0.25">
      <c r="BF1550" s="1">
        <v>1</v>
      </c>
      <c r="BG1550" t="str">
        <f>"1"</f>
        <v>1</v>
      </c>
      <c r="BH1550" t="str">
        <f xml:space="preserve"> IF($BF$1550 &gt;= $G$204, "1","0")</f>
        <v>1</v>
      </c>
      <c r="BI1550">
        <f xml:space="preserve"> IF( AND( $BG$1550 = "1", $BH$1550 = "1" ), 1, IF( AND( $BG$1550 = "1", $BH$1550 = "0" ), 2, IF( AND( $BG$1550 = "0", $BH$1550 = "1" ), 3, 4 ) ) )</f>
        <v>1</v>
      </c>
    </row>
    <row r="1551" spans="58:61" x14ac:dyDescent="0.25">
      <c r="BF1551" s="1">
        <v>1</v>
      </c>
      <c r="BG1551" t="str">
        <f>"1"</f>
        <v>1</v>
      </c>
      <c r="BH1551" t="str">
        <f xml:space="preserve"> IF($BF$1551 &gt;= $G$204, "1","0")</f>
        <v>1</v>
      </c>
      <c r="BI1551">
        <f xml:space="preserve"> IF( AND( $BG$1551 = "1", $BH$1551 = "1" ), 1, IF( AND( $BG$1551 = "1", $BH$1551 = "0" ), 2, IF( AND( $BG$1551 = "0", $BH$1551 = "1" ), 3, 4 ) ) )</f>
        <v>1</v>
      </c>
    </row>
    <row r="1552" spans="58:61" x14ac:dyDescent="0.25">
      <c r="BF1552" s="1">
        <v>1</v>
      </c>
      <c r="BG1552" t="str">
        <f>"1"</f>
        <v>1</v>
      </c>
      <c r="BH1552" t="str">
        <f xml:space="preserve"> IF($BF$1552 &gt;= $G$204, "1","0")</f>
        <v>1</v>
      </c>
      <c r="BI1552">
        <f xml:space="preserve"> IF( AND( $BG$1552 = "1", $BH$1552 = "1" ), 1, IF( AND( $BG$1552 = "1", $BH$1552 = "0" ), 2, IF( AND( $BG$1552 = "0", $BH$1552 = "1" ), 3, 4 ) ) )</f>
        <v>1</v>
      </c>
    </row>
    <row r="1553" spans="58:61" x14ac:dyDescent="0.25">
      <c r="BF1553" s="1">
        <v>1</v>
      </c>
      <c r="BG1553" t="str">
        <f>"1"</f>
        <v>1</v>
      </c>
      <c r="BH1553" t="str">
        <f xml:space="preserve"> IF($BF$1553 &gt;= $G$204, "1","0")</f>
        <v>1</v>
      </c>
      <c r="BI1553">
        <f xml:space="preserve"> IF( AND( $BG$1553 = "1", $BH$1553 = "1" ), 1, IF( AND( $BG$1553 = "1", $BH$1553 = "0" ), 2, IF( AND( $BG$1553 = "0", $BH$1553 = "1" ), 3, 4 ) ) )</f>
        <v>1</v>
      </c>
    </row>
    <row r="1554" spans="58:61" x14ac:dyDescent="0.25">
      <c r="BF1554" s="1">
        <v>1</v>
      </c>
      <c r="BG1554" t="str">
        <f>"1"</f>
        <v>1</v>
      </c>
      <c r="BH1554" t="str">
        <f xml:space="preserve"> IF($BF$1554 &gt;= $G$204, "1","0")</f>
        <v>1</v>
      </c>
      <c r="BI1554">
        <f xml:space="preserve"> IF( AND( $BG$1554 = "1", $BH$1554 = "1" ), 1, IF( AND( $BG$1554 = "1", $BH$1554 = "0" ), 2, IF( AND( $BG$1554 = "0", $BH$1554 = "1" ), 3, 4 ) ) )</f>
        <v>1</v>
      </c>
    </row>
    <row r="1555" spans="58:61" x14ac:dyDescent="0.25">
      <c r="BF1555" s="1">
        <v>1</v>
      </c>
      <c r="BG1555" t="str">
        <f>"1"</f>
        <v>1</v>
      </c>
      <c r="BH1555" t="str">
        <f xml:space="preserve"> IF($BF$1555 &gt;= $G$204, "1","0")</f>
        <v>1</v>
      </c>
      <c r="BI1555">
        <f xml:space="preserve"> IF( AND( $BG$1555 = "1", $BH$1555 = "1" ), 1, IF( AND( $BG$1555 = "1", $BH$1555 = "0" ), 2, IF( AND( $BG$1555 = "0", $BH$1555 = "1" ), 3, 4 ) ) )</f>
        <v>1</v>
      </c>
    </row>
    <row r="1556" spans="58:61" x14ac:dyDescent="0.25">
      <c r="BF1556" s="1">
        <v>1</v>
      </c>
      <c r="BG1556" t="str">
        <f>"1"</f>
        <v>1</v>
      </c>
      <c r="BH1556" t="str">
        <f xml:space="preserve"> IF($BF$1556 &gt;= $G$204, "1","0")</f>
        <v>1</v>
      </c>
      <c r="BI1556">
        <f xml:space="preserve"> IF( AND( $BG$1556 = "1", $BH$1556 = "1" ), 1, IF( AND( $BG$1556 = "1", $BH$1556 = "0" ), 2, IF( AND( $BG$1556 = "0", $BH$1556 = "1" ), 3, 4 ) ) )</f>
        <v>1</v>
      </c>
    </row>
    <row r="1557" spans="58:61" x14ac:dyDescent="0.25">
      <c r="BF1557" s="1">
        <v>1</v>
      </c>
      <c r="BG1557" t="str">
        <f>"1"</f>
        <v>1</v>
      </c>
      <c r="BH1557" t="str">
        <f xml:space="preserve"> IF($BF$1557 &gt;= $G$204, "1","0")</f>
        <v>1</v>
      </c>
      <c r="BI1557">
        <f xml:space="preserve"> IF( AND( $BG$1557 = "1", $BH$1557 = "1" ), 1, IF( AND( $BG$1557 = "1", $BH$1557 = "0" ), 2, IF( AND( $BG$1557 = "0", $BH$1557 = "1" ), 3, 4 ) ) )</f>
        <v>1</v>
      </c>
    </row>
    <row r="1558" spans="58:61" x14ac:dyDescent="0.25">
      <c r="BF1558" s="1">
        <v>1</v>
      </c>
      <c r="BG1558" t="str">
        <f>"1"</f>
        <v>1</v>
      </c>
      <c r="BH1558" t="str">
        <f xml:space="preserve"> IF($BF$1558 &gt;= $G$204, "1","0")</f>
        <v>1</v>
      </c>
      <c r="BI1558">
        <f xml:space="preserve"> IF( AND( $BG$1558 = "1", $BH$1558 = "1" ), 1, IF( AND( $BG$1558 = "1", $BH$1558 = "0" ), 2, IF( AND( $BG$1558 = "0", $BH$1558 = "1" ), 3, 4 ) ) )</f>
        <v>1</v>
      </c>
    </row>
    <row r="1559" spans="58:61" x14ac:dyDescent="0.25">
      <c r="BF1559" s="1">
        <v>1</v>
      </c>
      <c r="BG1559" t="str">
        <f>"1"</f>
        <v>1</v>
      </c>
      <c r="BH1559" t="str">
        <f xml:space="preserve"> IF($BF$1559 &gt;= $G$204, "1","0")</f>
        <v>1</v>
      </c>
      <c r="BI1559">
        <f xml:space="preserve"> IF( AND( $BG$1559 = "1", $BH$1559 = "1" ), 1, IF( AND( $BG$1559 = "1", $BH$1559 = "0" ), 2, IF( AND( $BG$1559 = "0", $BH$1559 = "1" ), 3, 4 ) ) )</f>
        <v>1</v>
      </c>
    </row>
    <row r="1560" spans="58:61" x14ac:dyDescent="0.25">
      <c r="BF1560" s="1">
        <v>1</v>
      </c>
      <c r="BG1560" t="str">
        <f>"1"</f>
        <v>1</v>
      </c>
      <c r="BH1560" t="str">
        <f xml:space="preserve"> IF($BF$1560 &gt;= $G$204, "1","0")</f>
        <v>1</v>
      </c>
      <c r="BI1560">
        <f xml:space="preserve"> IF( AND( $BG$1560 = "1", $BH$1560 = "1" ), 1, IF( AND( $BG$1560 = "1", $BH$1560 = "0" ), 2, IF( AND( $BG$1560 = "0", $BH$1560 = "1" ), 3, 4 ) ) )</f>
        <v>1</v>
      </c>
    </row>
    <row r="1561" spans="58:61" x14ac:dyDescent="0.25">
      <c r="BF1561" s="1">
        <v>1</v>
      </c>
      <c r="BG1561" t="str">
        <f>"1"</f>
        <v>1</v>
      </c>
      <c r="BH1561" t="str">
        <f xml:space="preserve"> IF($BF$1561 &gt;= $G$204, "1","0")</f>
        <v>1</v>
      </c>
      <c r="BI1561">
        <f xml:space="preserve"> IF( AND( $BG$1561 = "1", $BH$1561 = "1" ), 1, IF( AND( $BG$1561 = "1", $BH$1561 = "0" ), 2, IF( AND( $BG$1561 = "0", $BH$1561 = "1" ), 3, 4 ) ) )</f>
        <v>1</v>
      </c>
    </row>
    <row r="1562" spans="58:61" x14ac:dyDescent="0.25">
      <c r="BF1562" s="1">
        <v>1</v>
      </c>
      <c r="BG1562" t="str">
        <f>"1"</f>
        <v>1</v>
      </c>
      <c r="BH1562" t="str">
        <f xml:space="preserve"> IF($BF$1562 &gt;= $G$204, "1","0")</f>
        <v>1</v>
      </c>
      <c r="BI1562">
        <f xml:space="preserve"> IF( AND( $BG$1562 = "1", $BH$1562 = "1" ), 1, IF( AND( $BG$1562 = "1", $BH$1562 = "0" ), 2, IF( AND( $BG$1562 = "0", $BH$1562 = "1" ), 3, 4 ) ) )</f>
        <v>1</v>
      </c>
    </row>
    <row r="1563" spans="58:61" x14ac:dyDescent="0.25">
      <c r="BF1563" s="1">
        <v>1</v>
      </c>
      <c r="BG1563" t="str">
        <f>"1"</f>
        <v>1</v>
      </c>
      <c r="BH1563" t="str">
        <f xml:space="preserve"> IF($BF$1563 &gt;= $G$204, "1","0")</f>
        <v>1</v>
      </c>
      <c r="BI1563">
        <f xml:space="preserve"> IF( AND( $BG$1563 = "1", $BH$1563 = "1" ), 1, IF( AND( $BG$1563 = "1", $BH$1563 = "0" ), 2, IF( AND( $BG$1563 = "0", $BH$1563 = "1" ), 3, 4 ) ) )</f>
        <v>1</v>
      </c>
    </row>
    <row r="1564" spans="58:61" x14ac:dyDescent="0.25">
      <c r="BF1564" s="1">
        <v>1</v>
      </c>
      <c r="BG1564" t="str">
        <f>"1"</f>
        <v>1</v>
      </c>
      <c r="BH1564" t="str">
        <f xml:space="preserve"> IF($BF$1564 &gt;= $G$204, "1","0")</f>
        <v>1</v>
      </c>
      <c r="BI1564">
        <f xml:space="preserve"> IF( AND( $BG$1564 = "1", $BH$1564 = "1" ), 1, IF( AND( $BG$1564 = "1", $BH$1564 = "0" ), 2, IF( AND( $BG$1564 = "0", $BH$1564 = "1" ), 3, 4 ) ) )</f>
        <v>1</v>
      </c>
    </row>
    <row r="1565" spans="58:61" x14ac:dyDescent="0.25">
      <c r="BF1565" s="1">
        <v>1</v>
      </c>
      <c r="BG1565" t="str">
        <f>"1"</f>
        <v>1</v>
      </c>
      <c r="BH1565" t="str">
        <f xml:space="preserve"> IF($BF$1565 &gt;= $G$204, "1","0")</f>
        <v>1</v>
      </c>
      <c r="BI1565">
        <f xml:space="preserve"> IF( AND( $BG$1565 = "1", $BH$1565 = "1" ), 1, IF( AND( $BG$1565 = "1", $BH$1565 = "0" ), 2, IF( AND( $BG$1565 = "0", $BH$1565 = "1" ), 3, 4 ) ) )</f>
        <v>1</v>
      </c>
    </row>
    <row r="1566" spans="58:61" x14ac:dyDescent="0.25">
      <c r="BF1566" s="1">
        <v>1</v>
      </c>
      <c r="BG1566" t="str">
        <f>"1"</f>
        <v>1</v>
      </c>
      <c r="BH1566" t="str">
        <f xml:space="preserve"> IF($BF$1566 &gt;= $G$204, "1","0")</f>
        <v>1</v>
      </c>
      <c r="BI1566">
        <f xml:space="preserve"> IF( AND( $BG$1566 = "1", $BH$1566 = "1" ), 1, IF( AND( $BG$1566 = "1", $BH$1566 = "0" ), 2, IF( AND( $BG$1566 = "0", $BH$1566 = "1" ), 3, 4 ) ) )</f>
        <v>1</v>
      </c>
    </row>
    <row r="1567" spans="58:61" x14ac:dyDescent="0.25">
      <c r="BF1567" s="1">
        <v>1</v>
      </c>
      <c r="BG1567" t="str">
        <f>"1"</f>
        <v>1</v>
      </c>
      <c r="BH1567" t="str">
        <f xml:space="preserve"> IF($BF$1567 &gt;= $G$204, "1","0")</f>
        <v>1</v>
      </c>
      <c r="BI1567">
        <f xml:space="preserve"> IF( AND( $BG$1567 = "1", $BH$1567 = "1" ), 1, IF( AND( $BG$1567 = "1", $BH$1567 = "0" ), 2, IF( AND( $BG$1567 = "0", $BH$1567 = "1" ), 3, 4 ) ) )</f>
        <v>1</v>
      </c>
    </row>
    <row r="1568" spans="58:61" x14ac:dyDescent="0.25">
      <c r="BF1568" s="1">
        <v>1</v>
      </c>
      <c r="BG1568" t="str">
        <f>"1"</f>
        <v>1</v>
      </c>
      <c r="BH1568" t="str">
        <f xml:space="preserve"> IF($BF$1568 &gt;= $G$204, "1","0")</f>
        <v>1</v>
      </c>
      <c r="BI1568">
        <f xml:space="preserve"> IF( AND( $BG$1568 = "1", $BH$1568 = "1" ), 1, IF( AND( $BG$1568 = "1", $BH$1568 = "0" ), 2, IF( AND( $BG$1568 = "0", $BH$1568 = "1" ), 3, 4 ) ) )</f>
        <v>1</v>
      </c>
    </row>
    <row r="1569" spans="58:61" x14ac:dyDescent="0.25">
      <c r="BF1569" s="1">
        <v>1</v>
      </c>
      <c r="BG1569" t="str">
        <f>"1"</f>
        <v>1</v>
      </c>
      <c r="BH1569" t="str">
        <f xml:space="preserve"> IF($BF$1569 &gt;= $G$204, "1","0")</f>
        <v>1</v>
      </c>
      <c r="BI1569">
        <f xml:space="preserve"> IF( AND( $BG$1569 = "1", $BH$1569 = "1" ), 1, IF( AND( $BG$1569 = "1", $BH$1569 = "0" ), 2, IF( AND( $BG$1569 = "0", $BH$1569 = "1" ), 3, 4 ) ) )</f>
        <v>1</v>
      </c>
    </row>
    <row r="1570" spans="58:61" x14ac:dyDescent="0.25">
      <c r="BF1570" s="1">
        <v>1</v>
      </c>
      <c r="BG1570" t="str">
        <f>"1"</f>
        <v>1</v>
      </c>
      <c r="BH1570" t="str">
        <f xml:space="preserve"> IF($BF$1570 &gt;= $G$204, "1","0")</f>
        <v>1</v>
      </c>
      <c r="BI1570">
        <f xml:space="preserve"> IF( AND( $BG$1570 = "1", $BH$1570 = "1" ), 1, IF( AND( $BG$1570 = "1", $BH$1570 = "0" ), 2, IF( AND( $BG$1570 = "0", $BH$1570 = "1" ), 3, 4 ) ) )</f>
        <v>1</v>
      </c>
    </row>
    <row r="1571" spans="58:61" x14ac:dyDescent="0.25">
      <c r="BF1571" s="1">
        <v>1</v>
      </c>
      <c r="BG1571" t="str">
        <f>"1"</f>
        <v>1</v>
      </c>
      <c r="BH1571" t="str">
        <f xml:space="preserve"> IF($BF$1571 &gt;= $G$204, "1","0")</f>
        <v>1</v>
      </c>
      <c r="BI1571">
        <f xml:space="preserve"> IF( AND( $BG$1571 = "1", $BH$1571 = "1" ), 1, IF( AND( $BG$1571 = "1", $BH$1571 = "0" ), 2, IF( AND( $BG$1571 = "0", $BH$1571 = "1" ), 3, 4 ) ) )</f>
        <v>1</v>
      </c>
    </row>
    <row r="1572" spans="58:61" x14ac:dyDescent="0.25">
      <c r="BF1572" s="1">
        <v>1</v>
      </c>
      <c r="BG1572" t="str">
        <f>"1"</f>
        <v>1</v>
      </c>
      <c r="BH1572" t="str">
        <f xml:space="preserve"> IF($BF$1572 &gt;= $G$204, "1","0")</f>
        <v>1</v>
      </c>
      <c r="BI1572">
        <f xml:space="preserve"> IF( AND( $BG$1572 = "1", $BH$1572 = "1" ), 1, IF( AND( $BG$1572 = "1", $BH$1572 = "0" ), 2, IF( AND( $BG$1572 = "0", $BH$1572 = "1" ), 3, 4 ) ) )</f>
        <v>1</v>
      </c>
    </row>
    <row r="1573" spans="58:61" x14ac:dyDescent="0.25">
      <c r="BF1573" s="1">
        <v>1</v>
      </c>
      <c r="BG1573" t="str">
        <f>"1"</f>
        <v>1</v>
      </c>
      <c r="BH1573" t="str">
        <f xml:space="preserve"> IF($BF$1573 &gt;= $G$204, "1","0")</f>
        <v>1</v>
      </c>
      <c r="BI1573">
        <f xml:space="preserve"> IF( AND( $BG$1573 = "1", $BH$1573 = "1" ), 1, IF( AND( $BG$1573 = "1", $BH$1573 = "0" ), 2, IF( AND( $BG$1573 = "0", $BH$1573 = "1" ), 3, 4 ) ) )</f>
        <v>1</v>
      </c>
    </row>
    <row r="1574" spans="58:61" x14ac:dyDescent="0.25">
      <c r="BF1574" s="1">
        <v>1</v>
      </c>
      <c r="BG1574" t="str">
        <f>"1"</f>
        <v>1</v>
      </c>
      <c r="BH1574" t="str">
        <f xml:space="preserve"> IF($BF$1574 &gt;= $G$204, "1","0")</f>
        <v>1</v>
      </c>
      <c r="BI1574">
        <f xml:space="preserve"> IF( AND( $BG$1574 = "1", $BH$1574 = "1" ), 1, IF( AND( $BG$1574 = "1", $BH$1574 = "0" ), 2, IF( AND( $BG$1574 = "0", $BH$1574 = "1" ), 3, 4 ) ) )</f>
        <v>1</v>
      </c>
    </row>
    <row r="1575" spans="58:61" x14ac:dyDescent="0.25">
      <c r="BF1575" s="1">
        <v>1</v>
      </c>
      <c r="BG1575" t="str">
        <f>"1"</f>
        <v>1</v>
      </c>
      <c r="BH1575" t="str">
        <f xml:space="preserve"> IF($BF$1575 &gt;= $G$204, "1","0")</f>
        <v>1</v>
      </c>
      <c r="BI1575">
        <f xml:space="preserve"> IF( AND( $BG$1575 = "1", $BH$1575 = "1" ), 1, IF( AND( $BG$1575 = "1", $BH$1575 = "0" ), 2, IF( AND( $BG$1575 = "0", $BH$1575 = "1" ), 3, 4 ) ) )</f>
        <v>1</v>
      </c>
    </row>
    <row r="1576" spans="58:61" x14ac:dyDescent="0.25">
      <c r="BF1576" s="1">
        <v>1</v>
      </c>
      <c r="BG1576" t="str">
        <f>"1"</f>
        <v>1</v>
      </c>
      <c r="BH1576" t="str">
        <f xml:space="preserve"> IF($BF$1576 &gt;= $G$204, "1","0")</f>
        <v>1</v>
      </c>
      <c r="BI1576">
        <f xml:space="preserve"> IF( AND( $BG$1576 = "1", $BH$1576 = "1" ), 1, IF( AND( $BG$1576 = "1", $BH$1576 = "0" ), 2, IF( AND( $BG$1576 = "0", $BH$1576 = "1" ), 3, 4 ) ) )</f>
        <v>1</v>
      </c>
    </row>
    <row r="1577" spans="58:61" x14ac:dyDescent="0.25">
      <c r="BF1577" s="1">
        <v>1</v>
      </c>
      <c r="BG1577" t="str">
        <f>"1"</f>
        <v>1</v>
      </c>
      <c r="BH1577" t="str">
        <f xml:space="preserve"> IF($BF$1577 &gt;= $G$204, "1","0")</f>
        <v>1</v>
      </c>
      <c r="BI1577">
        <f xml:space="preserve"> IF( AND( $BG$1577 = "1", $BH$1577 = "1" ), 1, IF( AND( $BG$1577 = "1", $BH$1577 = "0" ), 2, IF( AND( $BG$1577 = "0", $BH$1577 = "1" ), 3, 4 ) ) )</f>
        <v>1</v>
      </c>
    </row>
    <row r="1578" spans="58:61" x14ac:dyDescent="0.25">
      <c r="BF1578" s="1">
        <v>1</v>
      </c>
      <c r="BG1578" t="str">
        <f>"1"</f>
        <v>1</v>
      </c>
      <c r="BH1578" t="str">
        <f xml:space="preserve"> IF($BF$1578 &gt;= $G$204, "1","0")</f>
        <v>1</v>
      </c>
      <c r="BI1578">
        <f xml:space="preserve"> IF( AND( $BG$1578 = "1", $BH$1578 = "1" ), 1, IF( AND( $BG$1578 = "1", $BH$1578 = "0" ), 2, IF( AND( $BG$1578 = "0", $BH$1578 = "1" ), 3, 4 ) ) )</f>
        <v>1</v>
      </c>
    </row>
    <row r="1579" spans="58:61" x14ac:dyDescent="0.25">
      <c r="BF1579" s="1">
        <v>1</v>
      </c>
      <c r="BG1579" t="str">
        <f>"1"</f>
        <v>1</v>
      </c>
      <c r="BH1579" t="str">
        <f xml:space="preserve"> IF($BF$1579 &gt;= $G$204, "1","0")</f>
        <v>1</v>
      </c>
      <c r="BI1579">
        <f xml:space="preserve"> IF( AND( $BG$1579 = "1", $BH$1579 = "1" ), 1, IF( AND( $BG$1579 = "1", $BH$1579 = "0" ), 2, IF( AND( $BG$1579 = "0", $BH$1579 = "1" ), 3, 4 ) ) )</f>
        <v>1</v>
      </c>
    </row>
    <row r="1580" spans="58:61" x14ac:dyDescent="0.25">
      <c r="BF1580" s="1">
        <v>1</v>
      </c>
      <c r="BG1580" t="str">
        <f>"1"</f>
        <v>1</v>
      </c>
      <c r="BH1580" t="str">
        <f xml:space="preserve"> IF($BF$1580 &gt;= $G$204, "1","0")</f>
        <v>1</v>
      </c>
      <c r="BI1580">
        <f xml:space="preserve"> IF( AND( $BG$1580 = "1", $BH$1580 = "1" ), 1, IF( AND( $BG$1580 = "1", $BH$1580 = "0" ), 2, IF( AND( $BG$1580 = "0", $BH$1580 = "1" ), 3, 4 ) ) )</f>
        <v>1</v>
      </c>
    </row>
    <row r="1581" spans="58:61" x14ac:dyDescent="0.25">
      <c r="BF1581" s="1">
        <v>1</v>
      </c>
      <c r="BG1581" t="str">
        <f>"1"</f>
        <v>1</v>
      </c>
      <c r="BH1581" t="str">
        <f xml:space="preserve"> IF($BF$1581 &gt;= $G$204, "1","0")</f>
        <v>1</v>
      </c>
      <c r="BI1581">
        <f xml:space="preserve"> IF( AND( $BG$1581 = "1", $BH$1581 = "1" ), 1, IF( AND( $BG$1581 = "1", $BH$1581 = "0" ), 2, IF( AND( $BG$1581 = "0", $BH$1581 = "1" ), 3, 4 ) ) )</f>
        <v>1</v>
      </c>
    </row>
    <row r="1582" spans="58:61" x14ac:dyDescent="0.25">
      <c r="BF1582" s="1">
        <v>1</v>
      </c>
      <c r="BG1582" t="str">
        <f>"1"</f>
        <v>1</v>
      </c>
      <c r="BH1582" t="str">
        <f xml:space="preserve"> IF($BF$1582 &gt;= $G$204, "1","0")</f>
        <v>1</v>
      </c>
      <c r="BI1582">
        <f xml:space="preserve"> IF( AND( $BG$1582 = "1", $BH$1582 = "1" ), 1, IF( AND( $BG$1582 = "1", $BH$1582 = "0" ), 2, IF( AND( $BG$1582 = "0", $BH$1582 = "1" ), 3, 4 ) ) )</f>
        <v>1</v>
      </c>
    </row>
    <row r="1583" spans="58:61" x14ac:dyDescent="0.25">
      <c r="BF1583" s="1">
        <v>1</v>
      </c>
      <c r="BG1583" t="str">
        <f>"1"</f>
        <v>1</v>
      </c>
      <c r="BH1583" t="str">
        <f xml:space="preserve"> IF($BF$1583 &gt;= $G$204, "1","0")</f>
        <v>1</v>
      </c>
      <c r="BI1583">
        <f xml:space="preserve"> IF( AND( $BG$1583 = "1", $BH$1583 = "1" ), 1, IF( AND( $BG$1583 = "1", $BH$1583 = "0" ), 2, IF( AND( $BG$1583 = "0", $BH$1583 = "1" ), 3, 4 ) ) )</f>
        <v>1</v>
      </c>
    </row>
    <row r="1584" spans="58:61" x14ac:dyDescent="0.25">
      <c r="BF1584" s="1">
        <v>1</v>
      </c>
      <c r="BG1584" t="str">
        <f>"1"</f>
        <v>1</v>
      </c>
      <c r="BH1584" t="str">
        <f xml:space="preserve"> IF($BF$1584 &gt;= $G$204, "1","0")</f>
        <v>1</v>
      </c>
      <c r="BI1584">
        <f xml:space="preserve"> IF( AND( $BG$1584 = "1", $BH$1584 = "1" ), 1, IF( AND( $BG$1584 = "1", $BH$1584 = "0" ), 2, IF( AND( $BG$1584 = "0", $BH$1584 = "1" ), 3, 4 ) ) )</f>
        <v>1</v>
      </c>
    </row>
    <row r="1585" spans="58:61" x14ac:dyDescent="0.25">
      <c r="BF1585" s="1">
        <v>1</v>
      </c>
      <c r="BG1585" t="str">
        <f>"1"</f>
        <v>1</v>
      </c>
      <c r="BH1585" t="str">
        <f xml:space="preserve"> IF($BF$1585 &gt;= $G$204, "1","0")</f>
        <v>1</v>
      </c>
      <c r="BI1585">
        <f xml:space="preserve"> IF( AND( $BG$1585 = "1", $BH$1585 = "1" ), 1, IF( AND( $BG$1585 = "1", $BH$1585 = "0" ), 2, IF( AND( $BG$1585 = "0", $BH$1585 = "1" ), 3, 4 ) ) )</f>
        <v>1</v>
      </c>
    </row>
    <row r="1586" spans="58:61" x14ac:dyDescent="0.25">
      <c r="BF1586" s="1">
        <v>1</v>
      </c>
      <c r="BG1586" t="str">
        <f>"1"</f>
        <v>1</v>
      </c>
      <c r="BH1586" t="str">
        <f xml:space="preserve"> IF($BF$1586 &gt;= $G$204, "1","0")</f>
        <v>1</v>
      </c>
      <c r="BI1586">
        <f xml:space="preserve"> IF( AND( $BG$1586 = "1", $BH$1586 = "1" ), 1, IF( AND( $BG$1586 = "1", $BH$1586 = "0" ), 2, IF( AND( $BG$1586 = "0", $BH$1586 = "1" ), 3, 4 ) ) )</f>
        <v>1</v>
      </c>
    </row>
    <row r="1587" spans="58:61" x14ac:dyDescent="0.25">
      <c r="BF1587" s="1">
        <v>1</v>
      </c>
      <c r="BG1587" t="str">
        <f>"1"</f>
        <v>1</v>
      </c>
      <c r="BH1587" t="str">
        <f xml:space="preserve"> IF($BF$1587 &gt;= $G$204, "1","0")</f>
        <v>1</v>
      </c>
      <c r="BI1587">
        <f xml:space="preserve"> IF( AND( $BG$1587 = "1", $BH$1587 = "1" ), 1, IF( AND( $BG$1587 = "1", $BH$1587 = "0" ), 2, IF( AND( $BG$1587 = "0", $BH$1587 = "1" ), 3, 4 ) ) )</f>
        <v>1</v>
      </c>
    </row>
    <row r="1588" spans="58:61" x14ac:dyDescent="0.25">
      <c r="BF1588" s="1">
        <v>1</v>
      </c>
      <c r="BG1588" t="str">
        <f>"1"</f>
        <v>1</v>
      </c>
      <c r="BH1588" t="str">
        <f xml:space="preserve"> IF($BF$1588 &gt;= $G$204, "1","0")</f>
        <v>1</v>
      </c>
      <c r="BI1588">
        <f xml:space="preserve"> IF( AND( $BG$1588 = "1", $BH$1588 = "1" ), 1, IF( AND( $BG$1588 = "1", $BH$1588 = "0" ), 2, IF( AND( $BG$1588 = "0", $BH$1588 = "1" ), 3, 4 ) ) )</f>
        <v>1</v>
      </c>
    </row>
    <row r="1589" spans="58:61" x14ac:dyDescent="0.25">
      <c r="BF1589" s="1">
        <v>1</v>
      </c>
      <c r="BG1589" t="str">
        <f>"1"</f>
        <v>1</v>
      </c>
      <c r="BH1589" t="str">
        <f xml:space="preserve"> IF($BF$1589 &gt;= $G$204, "1","0")</f>
        <v>1</v>
      </c>
      <c r="BI1589">
        <f xml:space="preserve"> IF( AND( $BG$1589 = "1", $BH$1589 = "1" ), 1, IF( AND( $BG$1589 = "1", $BH$1589 = "0" ), 2, IF( AND( $BG$1589 = "0", $BH$1589 = "1" ), 3, 4 ) ) )</f>
        <v>1</v>
      </c>
    </row>
    <row r="1590" spans="58:61" x14ac:dyDescent="0.25">
      <c r="BF1590" s="1">
        <v>1</v>
      </c>
      <c r="BG1590" t="str">
        <f>"1"</f>
        <v>1</v>
      </c>
      <c r="BH1590" t="str">
        <f xml:space="preserve"> IF($BF$1590 &gt;= $G$204, "1","0")</f>
        <v>1</v>
      </c>
      <c r="BI1590">
        <f xml:space="preserve"> IF( AND( $BG$1590 = "1", $BH$1590 = "1" ), 1, IF( AND( $BG$1590 = "1", $BH$1590 = "0" ), 2, IF( AND( $BG$1590 = "0", $BH$1590 = "1" ), 3, 4 ) ) )</f>
        <v>1</v>
      </c>
    </row>
    <row r="1591" spans="58:61" x14ac:dyDescent="0.25">
      <c r="BF1591" s="1">
        <v>1</v>
      </c>
      <c r="BG1591" t="str">
        <f>"1"</f>
        <v>1</v>
      </c>
      <c r="BH1591" t="str">
        <f xml:space="preserve"> IF($BF$1591 &gt;= $G$204, "1","0")</f>
        <v>1</v>
      </c>
      <c r="BI1591">
        <f xml:space="preserve"> IF( AND( $BG$1591 = "1", $BH$1591 = "1" ), 1, IF( AND( $BG$1591 = "1", $BH$1591 = "0" ), 2, IF( AND( $BG$1591 = "0", $BH$1591 = "1" ), 3, 4 ) ) )</f>
        <v>1</v>
      </c>
    </row>
    <row r="1592" spans="58:61" x14ac:dyDescent="0.25">
      <c r="BF1592" s="1">
        <v>1</v>
      </c>
      <c r="BG1592" t="str">
        <f>"1"</f>
        <v>1</v>
      </c>
      <c r="BH1592" t="str">
        <f xml:space="preserve"> IF($BF$1592 &gt;= $G$204, "1","0")</f>
        <v>1</v>
      </c>
      <c r="BI1592">
        <f xml:space="preserve"> IF( AND( $BG$1592 = "1", $BH$1592 = "1" ), 1, IF( AND( $BG$1592 = "1", $BH$1592 = "0" ), 2, IF( AND( $BG$1592 = "0", $BH$1592 = "1" ), 3, 4 ) ) )</f>
        <v>1</v>
      </c>
    </row>
    <row r="1593" spans="58:61" x14ac:dyDescent="0.25">
      <c r="BF1593" s="1">
        <v>1</v>
      </c>
      <c r="BG1593" t="str">
        <f>"1"</f>
        <v>1</v>
      </c>
      <c r="BH1593" t="str">
        <f xml:space="preserve"> IF($BF$1593 &gt;= $G$204, "1","0")</f>
        <v>1</v>
      </c>
      <c r="BI1593">
        <f xml:space="preserve"> IF( AND( $BG$1593 = "1", $BH$1593 = "1" ), 1, IF( AND( $BG$1593 = "1", $BH$1593 = "0" ), 2, IF( AND( $BG$1593 = "0", $BH$1593 = "1" ), 3, 4 ) ) )</f>
        <v>1</v>
      </c>
    </row>
    <row r="1594" spans="58:61" x14ac:dyDescent="0.25">
      <c r="BF1594" s="1">
        <v>1</v>
      </c>
      <c r="BG1594" t="str">
        <f>"1"</f>
        <v>1</v>
      </c>
      <c r="BH1594" t="str">
        <f xml:space="preserve"> IF($BF$1594 &gt;= $G$204, "1","0")</f>
        <v>1</v>
      </c>
      <c r="BI1594">
        <f xml:space="preserve"> IF( AND( $BG$1594 = "1", $BH$1594 = "1" ), 1, IF( AND( $BG$1594 = "1", $BH$1594 = "0" ), 2, IF( AND( $BG$1594 = "0", $BH$1594 = "1" ), 3, 4 ) ) )</f>
        <v>1</v>
      </c>
    </row>
    <row r="1595" spans="58:61" x14ac:dyDescent="0.25">
      <c r="BF1595" s="1">
        <v>1</v>
      </c>
      <c r="BG1595" t="str">
        <f>"1"</f>
        <v>1</v>
      </c>
      <c r="BH1595" t="str">
        <f xml:space="preserve"> IF($BF$1595 &gt;= $G$204, "1","0")</f>
        <v>1</v>
      </c>
      <c r="BI1595">
        <f xml:space="preserve"> IF( AND( $BG$1595 = "1", $BH$1595 = "1" ), 1, IF( AND( $BG$1595 = "1", $BH$1595 = "0" ), 2, IF( AND( $BG$1595 = "0", $BH$1595 = "1" ), 3, 4 ) ) )</f>
        <v>1</v>
      </c>
    </row>
    <row r="1596" spans="58:61" x14ac:dyDescent="0.25">
      <c r="BF1596" s="1">
        <v>1</v>
      </c>
      <c r="BG1596" t="str">
        <f>"1"</f>
        <v>1</v>
      </c>
      <c r="BH1596" t="str">
        <f xml:space="preserve"> IF($BF$1596 &gt;= $G$204, "1","0")</f>
        <v>1</v>
      </c>
      <c r="BI1596">
        <f xml:space="preserve"> IF( AND( $BG$1596 = "1", $BH$1596 = "1" ), 1, IF( AND( $BG$1596 = "1", $BH$1596 = "0" ), 2, IF( AND( $BG$1596 = "0", $BH$1596 = "1" ), 3, 4 ) ) )</f>
        <v>1</v>
      </c>
    </row>
    <row r="1597" spans="58:61" x14ac:dyDescent="0.25">
      <c r="BF1597" s="1">
        <v>1</v>
      </c>
      <c r="BG1597" t="str">
        <f>"1"</f>
        <v>1</v>
      </c>
      <c r="BH1597" t="str">
        <f xml:space="preserve"> IF($BF$1597 &gt;= $G$204, "1","0")</f>
        <v>1</v>
      </c>
      <c r="BI1597">
        <f xml:space="preserve"> IF( AND( $BG$1597 = "1", $BH$1597 = "1" ), 1, IF( AND( $BG$1597 = "1", $BH$1597 = "0" ), 2, IF( AND( $BG$1597 = "0", $BH$1597 = "1" ), 3, 4 ) ) )</f>
        <v>1</v>
      </c>
    </row>
    <row r="1598" spans="58:61" x14ac:dyDescent="0.25">
      <c r="BF1598" s="1">
        <v>1</v>
      </c>
      <c r="BG1598" t="str">
        <f>"1"</f>
        <v>1</v>
      </c>
      <c r="BH1598" t="str">
        <f xml:space="preserve"> IF($BF$1598 &gt;= $G$204, "1","0")</f>
        <v>1</v>
      </c>
      <c r="BI1598">
        <f xml:space="preserve"> IF( AND( $BG$1598 = "1", $BH$1598 = "1" ), 1, IF( AND( $BG$1598 = "1", $BH$1598 = "0" ), 2, IF( AND( $BG$1598 = "0", $BH$1598 = "1" ), 3, 4 ) ) )</f>
        <v>1</v>
      </c>
    </row>
    <row r="1599" spans="58:61" x14ac:dyDescent="0.25">
      <c r="BF1599" s="1">
        <v>1</v>
      </c>
      <c r="BG1599" t="str">
        <f>"1"</f>
        <v>1</v>
      </c>
      <c r="BH1599" t="str">
        <f xml:space="preserve"> IF($BF$1599 &gt;= $G$204, "1","0")</f>
        <v>1</v>
      </c>
      <c r="BI1599">
        <f xml:space="preserve"> IF( AND( $BG$1599 = "1", $BH$1599 = "1" ), 1, IF( AND( $BG$1599 = "1", $BH$1599 = "0" ), 2, IF( AND( $BG$1599 = "0", $BH$1599 = "1" ), 3, 4 ) ) )</f>
        <v>1</v>
      </c>
    </row>
    <row r="1600" spans="58:61" x14ac:dyDescent="0.25">
      <c r="BF1600" s="1">
        <v>1</v>
      </c>
      <c r="BG1600" t="str">
        <f>"1"</f>
        <v>1</v>
      </c>
      <c r="BH1600" t="str">
        <f xml:space="preserve"> IF($BF$1600 &gt;= $G$204, "1","0")</f>
        <v>1</v>
      </c>
      <c r="BI1600">
        <f xml:space="preserve"> IF( AND( $BG$1600 = "1", $BH$1600 = "1" ), 1, IF( AND( $BG$1600 = "1", $BH$1600 = "0" ), 2, IF( AND( $BG$1600 = "0", $BH$1600 = "1" ), 3, 4 ) ) )</f>
        <v>1</v>
      </c>
    </row>
    <row r="1601" spans="58:61" x14ac:dyDescent="0.25">
      <c r="BF1601" s="1">
        <v>1</v>
      </c>
      <c r="BG1601" t="str">
        <f>"1"</f>
        <v>1</v>
      </c>
      <c r="BH1601" t="str">
        <f xml:space="preserve"> IF($BF$1601 &gt;= $G$204, "1","0")</f>
        <v>1</v>
      </c>
      <c r="BI1601">
        <f xml:space="preserve"> IF( AND( $BG$1601 = "1", $BH$1601 = "1" ), 1, IF( AND( $BG$1601 = "1", $BH$1601 = "0" ), 2, IF( AND( $BG$1601 = "0", $BH$1601 = "1" ), 3, 4 ) ) )</f>
        <v>1</v>
      </c>
    </row>
    <row r="1602" spans="58:61" x14ac:dyDescent="0.25">
      <c r="BF1602" s="1">
        <v>1</v>
      </c>
      <c r="BG1602" t="str">
        <f>"1"</f>
        <v>1</v>
      </c>
      <c r="BH1602" t="str">
        <f xml:space="preserve"> IF($BF$1602 &gt;= $G$204, "1","0")</f>
        <v>1</v>
      </c>
      <c r="BI1602">
        <f xml:space="preserve"> IF( AND( $BG$1602 = "1", $BH$1602 = "1" ), 1, IF( AND( $BG$1602 = "1", $BH$1602 = "0" ), 2, IF( AND( $BG$1602 = "0", $BH$1602 = "1" ), 3, 4 ) ) )</f>
        <v>1</v>
      </c>
    </row>
    <row r="1603" spans="58:61" x14ac:dyDescent="0.25">
      <c r="BF1603" s="1">
        <v>1</v>
      </c>
      <c r="BG1603" t="str">
        <f>"1"</f>
        <v>1</v>
      </c>
      <c r="BH1603" t="str">
        <f xml:space="preserve"> IF($BF$1603 &gt;= $G$204, "1","0")</f>
        <v>1</v>
      </c>
      <c r="BI1603">
        <f xml:space="preserve"> IF( AND( $BG$1603 = "1", $BH$1603 = "1" ), 1, IF( AND( $BG$1603 = "1", $BH$1603 = "0" ), 2, IF( AND( $BG$1603 = "0", $BH$1603 = "1" ), 3, 4 ) ) )</f>
        <v>1</v>
      </c>
    </row>
    <row r="1604" spans="58:61" x14ac:dyDescent="0.25">
      <c r="BF1604" s="1">
        <v>1</v>
      </c>
      <c r="BG1604" t="str">
        <f>"1"</f>
        <v>1</v>
      </c>
      <c r="BH1604" t="str">
        <f xml:space="preserve"> IF($BF$1604 &gt;= $G$204, "1","0")</f>
        <v>1</v>
      </c>
      <c r="BI1604">
        <f xml:space="preserve"> IF( AND( $BG$1604 = "1", $BH$1604 = "1" ), 1, IF( AND( $BG$1604 = "1", $BH$1604 = "0" ), 2, IF( AND( $BG$1604 = "0", $BH$1604 = "1" ), 3, 4 ) ) )</f>
        <v>1</v>
      </c>
    </row>
    <row r="1605" spans="58:61" x14ac:dyDescent="0.25">
      <c r="BF1605" s="1">
        <v>1</v>
      </c>
      <c r="BG1605" t="str">
        <f>"1"</f>
        <v>1</v>
      </c>
      <c r="BH1605" t="str">
        <f xml:space="preserve"> IF($BF$1605 &gt;= $G$204, "1","0")</f>
        <v>1</v>
      </c>
      <c r="BI1605">
        <f xml:space="preserve"> IF( AND( $BG$1605 = "1", $BH$1605 = "1" ), 1, IF( AND( $BG$1605 = "1", $BH$1605 = "0" ), 2, IF( AND( $BG$1605 = "0", $BH$1605 = "1" ), 3, 4 ) ) )</f>
        <v>1</v>
      </c>
    </row>
    <row r="1606" spans="58:61" x14ac:dyDescent="0.25">
      <c r="BF1606" s="1">
        <v>1</v>
      </c>
      <c r="BG1606" t="str">
        <f>"1"</f>
        <v>1</v>
      </c>
      <c r="BH1606" t="str">
        <f xml:space="preserve"> IF($BF$1606 &gt;= $G$204, "1","0")</f>
        <v>1</v>
      </c>
      <c r="BI1606">
        <f xml:space="preserve"> IF( AND( $BG$1606 = "1", $BH$1606 = "1" ), 1, IF( AND( $BG$1606 = "1", $BH$1606 = "0" ), 2, IF( AND( $BG$1606 = "0", $BH$1606 = "1" ), 3, 4 ) ) )</f>
        <v>1</v>
      </c>
    </row>
    <row r="1607" spans="58:61" x14ac:dyDescent="0.25">
      <c r="BF1607" s="1">
        <v>1</v>
      </c>
      <c r="BG1607" t="str">
        <f>"1"</f>
        <v>1</v>
      </c>
      <c r="BH1607" t="str">
        <f xml:space="preserve"> IF($BF$1607 &gt;= $G$204, "1","0")</f>
        <v>1</v>
      </c>
      <c r="BI1607">
        <f xml:space="preserve"> IF( AND( $BG$1607 = "1", $BH$1607 = "1" ), 1, IF( AND( $BG$1607 = "1", $BH$1607 = "0" ), 2, IF( AND( $BG$1607 = "0", $BH$1607 = "1" ), 3, 4 ) ) )</f>
        <v>1</v>
      </c>
    </row>
    <row r="1608" spans="58:61" x14ac:dyDescent="0.25">
      <c r="BF1608" s="1">
        <v>1</v>
      </c>
      <c r="BG1608" t="str">
        <f>"1"</f>
        <v>1</v>
      </c>
      <c r="BH1608" t="str">
        <f xml:space="preserve"> IF($BF$1608 &gt;= $G$204, "1","0")</f>
        <v>1</v>
      </c>
      <c r="BI1608">
        <f xml:space="preserve"> IF( AND( $BG$1608 = "1", $BH$1608 = "1" ), 1, IF( AND( $BG$1608 = "1", $BH$1608 = "0" ), 2, IF( AND( $BG$1608 = "0", $BH$1608 = "1" ), 3, 4 ) ) )</f>
        <v>1</v>
      </c>
    </row>
    <row r="1609" spans="58:61" x14ac:dyDescent="0.25">
      <c r="BF1609" s="1">
        <v>1</v>
      </c>
      <c r="BG1609" t="str">
        <f>"1"</f>
        <v>1</v>
      </c>
      <c r="BH1609" t="str">
        <f xml:space="preserve"> IF($BF$1609 &gt;= $G$204, "1","0")</f>
        <v>1</v>
      </c>
      <c r="BI1609">
        <f xml:space="preserve"> IF( AND( $BG$1609 = "1", $BH$1609 = "1" ), 1, IF( AND( $BG$1609 = "1", $BH$1609 = "0" ), 2, IF( AND( $BG$1609 = "0", $BH$1609 = "1" ), 3, 4 ) ) )</f>
        <v>1</v>
      </c>
    </row>
    <row r="1610" spans="58:61" x14ac:dyDescent="0.25">
      <c r="BF1610" s="1">
        <v>1</v>
      </c>
      <c r="BG1610" t="str">
        <f>"1"</f>
        <v>1</v>
      </c>
      <c r="BH1610" t="str">
        <f xml:space="preserve"> IF($BF$1610 &gt;= $G$204, "1","0")</f>
        <v>1</v>
      </c>
      <c r="BI1610">
        <f xml:space="preserve"> IF( AND( $BG$1610 = "1", $BH$1610 = "1" ), 1, IF( AND( $BG$1610 = "1", $BH$1610 = "0" ), 2, IF( AND( $BG$1610 = "0", $BH$1610 = "1" ), 3, 4 ) ) )</f>
        <v>1</v>
      </c>
    </row>
    <row r="1611" spans="58:61" x14ac:dyDescent="0.25">
      <c r="BF1611" s="1">
        <v>1</v>
      </c>
      <c r="BG1611" t="str">
        <f>"1"</f>
        <v>1</v>
      </c>
      <c r="BH1611" t="str">
        <f xml:space="preserve"> IF($BF$1611 &gt;= $G$204, "1","0")</f>
        <v>1</v>
      </c>
      <c r="BI1611">
        <f xml:space="preserve"> IF( AND( $BG$1611 = "1", $BH$1611 = "1" ), 1, IF( AND( $BG$1611 = "1", $BH$1611 = "0" ), 2, IF( AND( $BG$1611 = "0", $BH$1611 = "1" ), 3, 4 ) ) )</f>
        <v>1</v>
      </c>
    </row>
    <row r="1612" spans="58:61" x14ac:dyDescent="0.25">
      <c r="BF1612" s="1">
        <v>1</v>
      </c>
      <c r="BG1612" t="str">
        <f>"1"</f>
        <v>1</v>
      </c>
      <c r="BH1612" t="str">
        <f xml:space="preserve"> IF($BF$1612 &gt;= $G$204, "1","0")</f>
        <v>1</v>
      </c>
      <c r="BI1612">
        <f xml:space="preserve"> IF( AND( $BG$1612 = "1", $BH$1612 = "1" ), 1, IF( AND( $BG$1612 = "1", $BH$1612 = "0" ), 2, IF( AND( $BG$1612 = "0", $BH$1612 = "1" ), 3, 4 ) ) )</f>
        <v>1</v>
      </c>
    </row>
    <row r="1613" spans="58:61" x14ac:dyDescent="0.25">
      <c r="BF1613" s="1">
        <v>1</v>
      </c>
      <c r="BG1613" t="str">
        <f>"1"</f>
        <v>1</v>
      </c>
      <c r="BH1613" t="str">
        <f xml:space="preserve"> IF($BF$1613 &gt;= $G$204, "1","0")</f>
        <v>1</v>
      </c>
      <c r="BI1613">
        <f xml:space="preserve"> IF( AND( $BG$1613 = "1", $BH$1613 = "1" ), 1, IF( AND( $BG$1613 = "1", $BH$1613 = "0" ), 2, IF( AND( $BG$1613 = "0", $BH$1613 = "1" ), 3, 4 ) ) )</f>
        <v>1</v>
      </c>
    </row>
    <row r="1614" spans="58:61" x14ac:dyDescent="0.25">
      <c r="BF1614" s="1">
        <v>1</v>
      </c>
      <c r="BG1614" t="str">
        <f>"1"</f>
        <v>1</v>
      </c>
      <c r="BH1614" t="str">
        <f xml:space="preserve"> IF($BF$1614 &gt;= $G$204, "1","0")</f>
        <v>1</v>
      </c>
      <c r="BI1614">
        <f xml:space="preserve"> IF( AND( $BG$1614 = "1", $BH$1614 = "1" ), 1, IF( AND( $BG$1614 = "1", $BH$1614 = "0" ), 2, IF( AND( $BG$1614 = "0", $BH$1614 = "1" ), 3, 4 ) ) )</f>
        <v>1</v>
      </c>
    </row>
    <row r="1615" spans="58:61" x14ac:dyDescent="0.25">
      <c r="BF1615" s="1">
        <v>1</v>
      </c>
      <c r="BG1615" t="str">
        <f>"1"</f>
        <v>1</v>
      </c>
      <c r="BH1615" t="str">
        <f xml:space="preserve"> IF($BF$1615 &gt;= $G$204, "1","0")</f>
        <v>1</v>
      </c>
      <c r="BI1615">
        <f xml:space="preserve"> IF( AND( $BG$1615 = "1", $BH$1615 = "1" ), 1, IF( AND( $BG$1615 = "1", $BH$1615 = "0" ), 2, IF( AND( $BG$1615 = "0", $BH$1615 = "1" ), 3, 4 ) ) )</f>
        <v>1</v>
      </c>
    </row>
    <row r="1616" spans="58:61" x14ac:dyDescent="0.25">
      <c r="BF1616" s="1">
        <v>1</v>
      </c>
      <c r="BG1616" t="str">
        <f>"1"</f>
        <v>1</v>
      </c>
      <c r="BH1616" t="str">
        <f xml:space="preserve"> IF($BF$1616 &gt;= $G$204, "1","0")</f>
        <v>1</v>
      </c>
      <c r="BI1616">
        <f xml:space="preserve"> IF( AND( $BG$1616 = "1", $BH$1616 = "1" ), 1, IF( AND( $BG$1616 = "1", $BH$1616 = "0" ), 2, IF( AND( $BG$1616 = "0", $BH$1616 = "1" ), 3, 4 ) ) )</f>
        <v>1</v>
      </c>
    </row>
    <row r="1617" spans="58:61" x14ac:dyDescent="0.25">
      <c r="BF1617" s="1">
        <v>1</v>
      </c>
      <c r="BG1617" t="str">
        <f>"1"</f>
        <v>1</v>
      </c>
      <c r="BH1617" t="str">
        <f xml:space="preserve"> IF($BF$1617 &gt;= $G$204, "1","0")</f>
        <v>1</v>
      </c>
      <c r="BI1617">
        <f xml:space="preserve"> IF( AND( $BG$1617 = "1", $BH$1617 = "1" ), 1, IF( AND( $BG$1617 = "1", $BH$1617 = "0" ), 2, IF( AND( $BG$1617 = "0", $BH$1617 = "1" ), 3, 4 ) ) )</f>
        <v>1</v>
      </c>
    </row>
    <row r="1618" spans="58:61" x14ac:dyDescent="0.25">
      <c r="BF1618" s="1">
        <v>1</v>
      </c>
      <c r="BG1618" t="str">
        <f>"1"</f>
        <v>1</v>
      </c>
      <c r="BH1618" t="str">
        <f xml:space="preserve"> IF($BF$1618 &gt;= $G$204, "1","0")</f>
        <v>1</v>
      </c>
      <c r="BI1618">
        <f xml:space="preserve"> IF( AND( $BG$1618 = "1", $BH$1618 = "1" ), 1, IF( AND( $BG$1618 = "1", $BH$1618 = "0" ), 2, IF( AND( $BG$1618 = "0", $BH$1618 = "1" ), 3, 4 ) ) )</f>
        <v>1</v>
      </c>
    </row>
    <row r="1619" spans="58:61" x14ac:dyDescent="0.25">
      <c r="BF1619" s="1">
        <v>1</v>
      </c>
      <c r="BG1619" t="str">
        <f>"1"</f>
        <v>1</v>
      </c>
      <c r="BH1619" t="str">
        <f xml:space="preserve"> IF($BF$1619 &gt;= $G$204, "1","0")</f>
        <v>1</v>
      </c>
      <c r="BI1619">
        <f xml:space="preserve"> IF( AND( $BG$1619 = "1", $BH$1619 = "1" ), 1, IF( AND( $BG$1619 = "1", $BH$1619 = "0" ), 2, IF( AND( $BG$1619 = "0", $BH$1619 = "1" ), 3, 4 ) ) )</f>
        <v>1</v>
      </c>
    </row>
    <row r="1620" spans="58:61" x14ac:dyDescent="0.25">
      <c r="BF1620" s="1">
        <v>1</v>
      </c>
      <c r="BG1620" t="str">
        <f>"1"</f>
        <v>1</v>
      </c>
      <c r="BH1620" t="str">
        <f xml:space="preserve"> IF($BF$1620 &gt;= $G$204, "1","0")</f>
        <v>1</v>
      </c>
      <c r="BI1620">
        <f xml:space="preserve"> IF( AND( $BG$1620 = "1", $BH$1620 = "1" ), 1, IF( AND( $BG$1620 = "1", $BH$1620 = "0" ), 2, IF( AND( $BG$1620 = "0", $BH$1620 = "1" ), 3, 4 ) ) )</f>
        <v>1</v>
      </c>
    </row>
    <row r="1621" spans="58:61" x14ac:dyDescent="0.25">
      <c r="BF1621" s="1">
        <v>1</v>
      </c>
      <c r="BG1621" t="str">
        <f>"1"</f>
        <v>1</v>
      </c>
      <c r="BH1621" t="str">
        <f xml:space="preserve"> IF($BF$1621 &gt;= $G$204, "1","0")</f>
        <v>1</v>
      </c>
      <c r="BI1621">
        <f xml:space="preserve"> IF( AND( $BG$1621 = "1", $BH$1621 = "1" ), 1, IF( AND( $BG$1621 = "1", $BH$1621 = "0" ), 2, IF( AND( $BG$1621 = "0", $BH$1621 = "1" ), 3, 4 ) ) )</f>
        <v>1</v>
      </c>
    </row>
    <row r="1622" spans="58:61" x14ac:dyDescent="0.25">
      <c r="BF1622" s="1">
        <v>1</v>
      </c>
      <c r="BG1622" t="str">
        <f>"1"</f>
        <v>1</v>
      </c>
      <c r="BH1622" t="str">
        <f xml:space="preserve"> IF($BF$1622 &gt;= $G$204, "1","0")</f>
        <v>1</v>
      </c>
      <c r="BI1622">
        <f xml:space="preserve"> IF( AND( $BG$1622 = "1", $BH$1622 = "1" ), 1, IF( AND( $BG$1622 = "1", $BH$1622 = "0" ), 2, IF( AND( $BG$1622 = "0", $BH$1622 = "1" ), 3, 4 ) ) )</f>
        <v>1</v>
      </c>
    </row>
    <row r="1623" spans="58:61" x14ac:dyDescent="0.25">
      <c r="BF1623" s="1">
        <v>1</v>
      </c>
      <c r="BG1623" t="str">
        <f>"1"</f>
        <v>1</v>
      </c>
      <c r="BH1623" t="str">
        <f xml:space="preserve"> IF($BF$1623 &gt;= $G$204, "1","0")</f>
        <v>1</v>
      </c>
      <c r="BI1623">
        <f xml:space="preserve"> IF( AND( $BG$1623 = "1", $BH$1623 = "1" ), 1, IF( AND( $BG$1623 = "1", $BH$1623 = "0" ), 2, IF( AND( $BG$1623 = "0", $BH$1623 = "1" ), 3, 4 ) ) )</f>
        <v>1</v>
      </c>
    </row>
    <row r="1624" spans="58:61" x14ac:dyDescent="0.25">
      <c r="BF1624" s="1">
        <v>1</v>
      </c>
      <c r="BG1624" t="str">
        <f>"1"</f>
        <v>1</v>
      </c>
      <c r="BH1624" t="str">
        <f xml:space="preserve"> IF($BF$1624 &gt;= $G$204, "1","0")</f>
        <v>1</v>
      </c>
      <c r="BI1624">
        <f xml:space="preserve"> IF( AND( $BG$1624 = "1", $BH$1624 = "1" ), 1, IF( AND( $BG$1624 = "1", $BH$1624 = "0" ), 2, IF( AND( $BG$1624 = "0", $BH$1624 = "1" ), 3, 4 ) ) )</f>
        <v>1</v>
      </c>
    </row>
    <row r="1625" spans="58:61" x14ac:dyDescent="0.25">
      <c r="BF1625" s="1">
        <v>1</v>
      </c>
      <c r="BG1625" t="str">
        <f>"1"</f>
        <v>1</v>
      </c>
      <c r="BH1625" t="str">
        <f xml:space="preserve"> IF($BF$1625 &gt;= $G$204, "1","0")</f>
        <v>1</v>
      </c>
      <c r="BI1625">
        <f xml:space="preserve"> IF( AND( $BG$1625 = "1", $BH$1625 = "1" ), 1, IF( AND( $BG$1625 = "1", $BH$1625 = "0" ), 2, IF( AND( $BG$1625 = "0", $BH$1625 = "1" ), 3, 4 ) ) )</f>
        <v>1</v>
      </c>
    </row>
    <row r="1626" spans="58:61" x14ac:dyDescent="0.25">
      <c r="BF1626" s="1">
        <v>1</v>
      </c>
      <c r="BG1626" t="str">
        <f>"1"</f>
        <v>1</v>
      </c>
      <c r="BH1626" t="str">
        <f xml:space="preserve"> IF($BF$1626 &gt;= $G$204, "1","0")</f>
        <v>1</v>
      </c>
      <c r="BI1626">
        <f xml:space="preserve"> IF( AND( $BG$1626 = "1", $BH$1626 = "1" ), 1, IF( AND( $BG$1626 = "1", $BH$1626 = "0" ), 2, IF( AND( $BG$1626 = "0", $BH$1626 = "1" ), 3, 4 ) ) )</f>
        <v>1</v>
      </c>
    </row>
    <row r="1627" spans="58:61" x14ac:dyDescent="0.25">
      <c r="BF1627" s="1">
        <v>1</v>
      </c>
      <c r="BG1627" t="str">
        <f>"1"</f>
        <v>1</v>
      </c>
      <c r="BH1627" t="str">
        <f xml:space="preserve"> IF($BF$1627 &gt;= $G$204, "1","0")</f>
        <v>1</v>
      </c>
      <c r="BI1627">
        <f xml:space="preserve"> IF( AND( $BG$1627 = "1", $BH$1627 = "1" ), 1, IF( AND( $BG$1627 = "1", $BH$1627 = "0" ), 2, IF( AND( $BG$1627 = "0", $BH$1627 = "1" ), 3, 4 ) ) )</f>
        <v>1</v>
      </c>
    </row>
    <row r="1628" spans="58:61" x14ac:dyDescent="0.25">
      <c r="BF1628" s="1">
        <v>1</v>
      </c>
      <c r="BG1628" t="str">
        <f>"1"</f>
        <v>1</v>
      </c>
      <c r="BH1628" t="str">
        <f xml:space="preserve"> IF($BF$1628 &gt;= $G$204, "1","0")</f>
        <v>1</v>
      </c>
      <c r="BI1628">
        <f xml:space="preserve"> IF( AND( $BG$1628 = "1", $BH$1628 = "1" ), 1, IF( AND( $BG$1628 = "1", $BH$1628 = "0" ), 2, IF( AND( $BG$1628 = "0", $BH$1628 = "1" ), 3, 4 ) ) )</f>
        <v>1</v>
      </c>
    </row>
    <row r="1629" spans="58:61" x14ac:dyDescent="0.25">
      <c r="BF1629" s="1">
        <v>1</v>
      </c>
      <c r="BG1629" t="str">
        <f>"1"</f>
        <v>1</v>
      </c>
      <c r="BH1629" t="str">
        <f xml:space="preserve"> IF($BF$1629 &gt;= $G$204, "1","0")</f>
        <v>1</v>
      </c>
      <c r="BI1629">
        <f xml:space="preserve"> IF( AND( $BG$1629 = "1", $BH$1629 = "1" ), 1, IF( AND( $BG$1629 = "1", $BH$1629 = "0" ), 2, IF( AND( $BG$1629 = "0", $BH$1629 = "1" ), 3, 4 ) ) )</f>
        <v>1</v>
      </c>
    </row>
    <row r="1630" spans="58:61" x14ac:dyDescent="0.25">
      <c r="BF1630" s="1">
        <v>1</v>
      </c>
      <c r="BG1630" t="str">
        <f>"1"</f>
        <v>1</v>
      </c>
      <c r="BH1630" t="str">
        <f xml:space="preserve"> IF($BF$1630 &gt;= $G$204, "1","0")</f>
        <v>1</v>
      </c>
      <c r="BI1630">
        <f xml:space="preserve"> IF( AND( $BG$1630 = "1", $BH$1630 = "1" ), 1, IF( AND( $BG$1630 = "1", $BH$1630 = "0" ), 2, IF( AND( $BG$1630 = "0", $BH$1630 = "1" ), 3, 4 ) ) )</f>
        <v>1</v>
      </c>
    </row>
    <row r="1631" spans="58:61" x14ac:dyDescent="0.25">
      <c r="BF1631" s="1">
        <v>1</v>
      </c>
      <c r="BG1631" t="str">
        <f>"1"</f>
        <v>1</v>
      </c>
      <c r="BH1631" t="str">
        <f xml:space="preserve"> IF($BF$1631 &gt;= $G$204, "1","0")</f>
        <v>1</v>
      </c>
      <c r="BI1631">
        <f xml:space="preserve"> IF( AND( $BG$1631 = "1", $BH$1631 = "1" ), 1, IF( AND( $BG$1631 = "1", $BH$1631 = "0" ), 2, IF( AND( $BG$1631 = "0", $BH$1631 = "1" ), 3, 4 ) ) )</f>
        <v>1</v>
      </c>
    </row>
    <row r="1632" spans="58:61" x14ac:dyDescent="0.25">
      <c r="BF1632" s="1">
        <v>1</v>
      </c>
      <c r="BG1632" t="str">
        <f>"1"</f>
        <v>1</v>
      </c>
      <c r="BH1632" t="str">
        <f xml:space="preserve"> IF($BF$1632 &gt;= $G$204, "1","0")</f>
        <v>1</v>
      </c>
      <c r="BI1632">
        <f xml:space="preserve"> IF( AND( $BG$1632 = "1", $BH$1632 = "1" ), 1, IF( AND( $BG$1632 = "1", $BH$1632 = "0" ), 2, IF( AND( $BG$1632 = "0", $BH$1632 = "1" ), 3, 4 ) ) )</f>
        <v>1</v>
      </c>
    </row>
    <row r="1633" spans="58:61" x14ac:dyDescent="0.25">
      <c r="BF1633" s="1">
        <v>1</v>
      </c>
      <c r="BG1633" t="str">
        <f>"1"</f>
        <v>1</v>
      </c>
      <c r="BH1633" t="str">
        <f xml:space="preserve"> IF($BF$1633 &gt;= $G$204, "1","0")</f>
        <v>1</v>
      </c>
      <c r="BI1633">
        <f xml:space="preserve"> IF( AND( $BG$1633 = "1", $BH$1633 = "1" ), 1, IF( AND( $BG$1633 = "1", $BH$1633 = "0" ), 2, IF( AND( $BG$1633 = "0", $BH$1633 = "1" ), 3, 4 ) ) )</f>
        <v>1</v>
      </c>
    </row>
    <row r="1634" spans="58:61" x14ac:dyDescent="0.25">
      <c r="BF1634" s="1">
        <v>1</v>
      </c>
      <c r="BG1634" t="str">
        <f>"1"</f>
        <v>1</v>
      </c>
      <c r="BH1634" t="str">
        <f xml:space="preserve"> IF($BF$1634 &gt;= $G$204, "1","0")</f>
        <v>1</v>
      </c>
      <c r="BI1634">
        <f xml:space="preserve"> IF( AND( $BG$1634 = "1", $BH$1634 = "1" ), 1, IF( AND( $BG$1634 = "1", $BH$1634 = "0" ), 2, IF( AND( $BG$1634 = "0", $BH$1634 = "1" ), 3, 4 ) ) )</f>
        <v>1</v>
      </c>
    </row>
    <row r="1635" spans="58:61" x14ac:dyDescent="0.25">
      <c r="BF1635" s="1">
        <v>1</v>
      </c>
      <c r="BG1635" t="str">
        <f>"1"</f>
        <v>1</v>
      </c>
      <c r="BH1635" t="str">
        <f xml:space="preserve"> IF($BF$1635 &gt;= $G$204, "1","0")</f>
        <v>1</v>
      </c>
      <c r="BI1635">
        <f xml:space="preserve"> IF( AND( $BG$1635 = "1", $BH$1635 = "1" ), 1, IF( AND( $BG$1635 = "1", $BH$1635 = "0" ), 2, IF( AND( $BG$1635 = "0", $BH$1635 = "1" ), 3, 4 ) ) )</f>
        <v>1</v>
      </c>
    </row>
    <row r="1636" spans="58:61" x14ac:dyDescent="0.25">
      <c r="BF1636" s="1">
        <v>1</v>
      </c>
      <c r="BG1636" t="str">
        <f>"1"</f>
        <v>1</v>
      </c>
      <c r="BH1636" t="str">
        <f xml:space="preserve"> IF($BF$1636 &gt;= $G$204, "1","0")</f>
        <v>1</v>
      </c>
      <c r="BI1636">
        <f xml:space="preserve"> IF( AND( $BG$1636 = "1", $BH$1636 = "1" ), 1, IF( AND( $BG$1636 = "1", $BH$1636 = "0" ), 2, IF( AND( $BG$1636 = "0", $BH$1636 = "1" ), 3, 4 ) ) )</f>
        <v>1</v>
      </c>
    </row>
    <row r="1637" spans="58:61" x14ac:dyDescent="0.25">
      <c r="BF1637" s="1">
        <v>1</v>
      </c>
      <c r="BG1637" t="str">
        <f>"1"</f>
        <v>1</v>
      </c>
      <c r="BH1637" t="str">
        <f xml:space="preserve"> IF($BF$1637 &gt;= $G$204, "1","0")</f>
        <v>1</v>
      </c>
      <c r="BI1637">
        <f xml:space="preserve"> IF( AND( $BG$1637 = "1", $BH$1637 = "1" ), 1, IF( AND( $BG$1637 = "1", $BH$1637 = "0" ), 2, IF( AND( $BG$1637 = "0", $BH$1637 = "1" ), 3, 4 ) ) )</f>
        <v>1</v>
      </c>
    </row>
    <row r="1638" spans="58:61" x14ac:dyDescent="0.25">
      <c r="BF1638" s="1">
        <v>1</v>
      </c>
      <c r="BG1638" t="str">
        <f>"1"</f>
        <v>1</v>
      </c>
      <c r="BH1638" t="str">
        <f xml:space="preserve"> IF($BF$1638 &gt;= $G$204, "1","0")</f>
        <v>1</v>
      </c>
      <c r="BI1638">
        <f xml:space="preserve"> IF( AND( $BG$1638 = "1", $BH$1638 = "1" ), 1, IF( AND( $BG$1638 = "1", $BH$1638 = "0" ), 2, IF( AND( $BG$1638 = "0", $BH$1638 = "1" ), 3, 4 ) ) )</f>
        <v>1</v>
      </c>
    </row>
    <row r="1639" spans="58:61" x14ac:dyDescent="0.25">
      <c r="BF1639" s="1">
        <v>1</v>
      </c>
      <c r="BG1639" t="str">
        <f>"1"</f>
        <v>1</v>
      </c>
      <c r="BH1639" t="str">
        <f xml:space="preserve"> IF($BF$1639 &gt;= $G$204, "1","0")</f>
        <v>1</v>
      </c>
      <c r="BI1639">
        <f xml:space="preserve"> IF( AND( $BG$1639 = "1", $BH$1639 = "1" ), 1, IF( AND( $BG$1639 = "1", $BH$1639 = "0" ), 2, IF( AND( $BG$1639 = "0", $BH$1639 = "1" ), 3, 4 ) ) )</f>
        <v>1</v>
      </c>
    </row>
    <row r="1640" spans="58:61" x14ac:dyDescent="0.25">
      <c r="BF1640" s="1">
        <v>1</v>
      </c>
      <c r="BG1640" t="str">
        <f>"1"</f>
        <v>1</v>
      </c>
      <c r="BH1640" t="str">
        <f xml:space="preserve"> IF($BF$1640 &gt;= $G$204, "1","0")</f>
        <v>1</v>
      </c>
      <c r="BI1640">
        <f xml:space="preserve"> IF( AND( $BG$1640 = "1", $BH$1640 = "1" ), 1, IF( AND( $BG$1640 = "1", $BH$1640 = "0" ), 2, IF( AND( $BG$1640 = "0", $BH$1640 = "1" ), 3, 4 ) ) )</f>
        <v>1</v>
      </c>
    </row>
    <row r="1641" spans="58:61" x14ac:dyDescent="0.25">
      <c r="BF1641" s="1">
        <v>1</v>
      </c>
      <c r="BG1641" t="str">
        <f>"1"</f>
        <v>1</v>
      </c>
      <c r="BH1641" t="str">
        <f xml:space="preserve"> IF($BF$1641 &gt;= $G$204, "1","0")</f>
        <v>1</v>
      </c>
      <c r="BI1641">
        <f xml:space="preserve"> IF( AND( $BG$1641 = "1", $BH$1641 = "1" ), 1, IF( AND( $BG$1641 = "1", $BH$1641 = "0" ), 2, IF( AND( $BG$1641 = "0", $BH$1641 = "1" ), 3, 4 ) ) )</f>
        <v>1</v>
      </c>
    </row>
    <row r="1642" spans="58:61" x14ac:dyDescent="0.25">
      <c r="BF1642" s="1">
        <v>1</v>
      </c>
      <c r="BG1642" t="str">
        <f>"1"</f>
        <v>1</v>
      </c>
      <c r="BH1642" t="str">
        <f xml:space="preserve"> IF($BF$1642 &gt;= $G$204, "1","0")</f>
        <v>1</v>
      </c>
      <c r="BI1642">
        <f xml:space="preserve"> IF( AND( $BG$1642 = "1", $BH$1642 = "1" ), 1, IF( AND( $BG$1642 = "1", $BH$1642 = "0" ), 2, IF( AND( $BG$1642 = "0", $BH$1642 = "1" ), 3, 4 ) ) )</f>
        <v>1</v>
      </c>
    </row>
    <row r="1643" spans="58:61" x14ac:dyDescent="0.25">
      <c r="BF1643" s="1">
        <v>1</v>
      </c>
      <c r="BG1643" t="str">
        <f>"1"</f>
        <v>1</v>
      </c>
      <c r="BH1643" t="str">
        <f xml:space="preserve"> IF($BF$1643 &gt;= $G$204, "1","0")</f>
        <v>1</v>
      </c>
      <c r="BI1643">
        <f xml:space="preserve"> IF( AND( $BG$1643 = "1", $BH$1643 = "1" ), 1, IF( AND( $BG$1643 = "1", $BH$1643 = "0" ), 2, IF( AND( $BG$1643 = "0", $BH$1643 = "1" ), 3, 4 ) ) )</f>
        <v>1</v>
      </c>
    </row>
    <row r="1644" spans="58:61" x14ac:dyDescent="0.25">
      <c r="BF1644" s="1">
        <v>1</v>
      </c>
      <c r="BG1644" t="str">
        <f>"1"</f>
        <v>1</v>
      </c>
      <c r="BH1644" t="str">
        <f xml:space="preserve"> IF($BF$1644 &gt;= $G$204, "1","0")</f>
        <v>1</v>
      </c>
      <c r="BI1644">
        <f xml:space="preserve"> IF( AND( $BG$1644 = "1", $BH$1644 = "1" ), 1, IF( AND( $BG$1644 = "1", $BH$1644 = "0" ), 2, IF( AND( $BG$1644 = "0", $BH$1644 = "1" ), 3, 4 ) ) )</f>
        <v>1</v>
      </c>
    </row>
    <row r="1645" spans="58:61" x14ac:dyDescent="0.25">
      <c r="BF1645" s="1">
        <v>1</v>
      </c>
      <c r="BG1645" t="str">
        <f>"1"</f>
        <v>1</v>
      </c>
      <c r="BH1645" t="str">
        <f xml:space="preserve"> IF($BF$1645 &gt;= $G$204, "1","0")</f>
        <v>1</v>
      </c>
      <c r="BI1645">
        <f xml:space="preserve"> IF( AND( $BG$1645 = "1", $BH$1645 = "1" ), 1, IF( AND( $BG$1645 = "1", $BH$1645 = "0" ), 2, IF( AND( $BG$1645 = "0", $BH$1645 = "1" ), 3, 4 ) ) )</f>
        <v>1</v>
      </c>
    </row>
    <row r="1646" spans="58:61" x14ac:dyDescent="0.25">
      <c r="BF1646" s="1">
        <v>1</v>
      </c>
      <c r="BG1646" t="str">
        <f>"1"</f>
        <v>1</v>
      </c>
      <c r="BH1646" t="str">
        <f xml:space="preserve"> IF($BF$1646 &gt;= $G$204, "1","0")</f>
        <v>1</v>
      </c>
      <c r="BI1646">
        <f xml:space="preserve"> IF( AND( $BG$1646 = "1", $BH$1646 = "1" ), 1, IF( AND( $BG$1646 = "1", $BH$1646 = "0" ), 2, IF( AND( $BG$1646 = "0", $BH$1646 = "1" ), 3, 4 ) ) )</f>
        <v>1</v>
      </c>
    </row>
    <row r="1647" spans="58:61" x14ac:dyDescent="0.25">
      <c r="BF1647" s="1">
        <v>1</v>
      </c>
      <c r="BG1647" t="str">
        <f>"1"</f>
        <v>1</v>
      </c>
      <c r="BH1647" t="str">
        <f xml:space="preserve"> IF($BF$1647 &gt;= $G$204, "1","0")</f>
        <v>1</v>
      </c>
      <c r="BI1647">
        <f xml:space="preserve"> IF( AND( $BG$1647 = "1", $BH$1647 = "1" ), 1, IF( AND( $BG$1647 = "1", $BH$1647 = "0" ), 2, IF( AND( $BG$1647 = "0", $BH$1647 = "1" ), 3, 4 ) ) )</f>
        <v>1</v>
      </c>
    </row>
    <row r="1648" spans="58:61" x14ac:dyDescent="0.25">
      <c r="BF1648" s="1">
        <v>1</v>
      </c>
      <c r="BG1648" t="str">
        <f>"1"</f>
        <v>1</v>
      </c>
      <c r="BH1648" t="str">
        <f xml:space="preserve"> IF($BF$1648 &gt;= $G$204, "1","0")</f>
        <v>1</v>
      </c>
      <c r="BI1648">
        <f xml:space="preserve"> IF( AND( $BG$1648 = "1", $BH$1648 = "1" ), 1, IF( AND( $BG$1648 = "1", $BH$1648 = "0" ), 2, IF( AND( $BG$1648 = "0", $BH$1648 = "1" ), 3, 4 ) ) )</f>
        <v>1</v>
      </c>
    </row>
    <row r="1649" spans="58:61" x14ac:dyDescent="0.25">
      <c r="BF1649" s="1">
        <v>1</v>
      </c>
      <c r="BG1649" t="str">
        <f>"1"</f>
        <v>1</v>
      </c>
      <c r="BH1649" t="str">
        <f xml:space="preserve"> IF($BF$1649 &gt;= $G$204, "1","0")</f>
        <v>1</v>
      </c>
      <c r="BI1649">
        <f xml:space="preserve"> IF( AND( $BG$1649 = "1", $BH$1649 = "1" ), 1, IF( AND( $BG$1649 = "1", $BH$1649 = "0" ), 2, IF( AND( $BG$1649 = "0", $BH$1649 = "1" ), 3, 4 ) ) )</f>
        <v>1</v>
      </c>
    </row>
    <row r="1650" spans="58:61" x14ac:dyDescent="0.25">
      <c r="BF1650" s="1">
        <v>1</v>
      </c>
      <c r="BG1650" t="str">
        <f>"1"</f>
        <v>1</v>
      </c>
      <c r="BH1650" t="str">
        <f xml:space="preserve"> IF($BF$1650 &gt;= $G$204, "1","0")</f>
        <v>1</v>
      </c>
      <c r="BI1650">
        <f xml:space="preserve"> IF( AND( $BG$1650 = "1", $BH$1650 = "1" ), 1, IF( AND( $BG$1650 = "1", $BH$1650 = "0" ), 2, IF( AND( $BG$1650 = "0", $BH$1650 = "1" ), 3, 4 ) ) )</f>
        <v>1</v>
      </c>
    </row>
    <row r="1651" spans="58:61" x14ac:dyDescent="0.25">
      <c r="BF1651" s="1">
        <v>1</v>
      </c>
      <c r="BG1651" t="str">
        <f>"1"</f>
        <v>1</v>
      </c>
      <c r="BH1651" t="str">
        <f xml:space="preserve"> IF($BF$1651 &gt;= $G$204, "1","0")</f>
        <v>1</v>
      </c>
      <c r="BI1651">
        <f xml:space="preserve"> IF( AND( $BG$1651 = "1", $BH$1651 = "1" ), 1, IF( AND( $BG$1651 = "1", $BH$1651 = "0" ), 2, IF( AND( $BG$1651 = "0", $BH$1651 = "1" ), 3, 4 ) ) )</f>
        <v>1</v>
      </c>
    </row>
    <row r="1652" spans="58:61" x14ac:dyDescent="0.25">
      <c r="BF1652" s="1">
        <v>1</v>
      </c>
      <c r="BG1652" t="str">
        <f>"1"</f>
        <v>1</v>
      </c>
      <c r="BH1652" t="str">
        <f xml:space="preserve"> IF($BF$1652 &gt;= $G$204, "1","0")</f>
        <v>1</v>
      </c>
      <c r="BI1652">
        <f xml:space="preserve"> IF( AND( $BG$1652 = "1", $BH$1652 = "1" ), 1, IF( AND( $BG$1652 = "1", $BH$1652 = "0" ), 2, IF( AND( $BG$1652 = "0", $BH$1652 = "1" ), 3, 4 ) ) )</f>
        <v>1</v>
      </c>
    </row>
    <row r="1653" spans="58:61" x14ac:dyDescent="0.25">
      <c r="BF1653" s="1">
        <v>1</v>
      </c>
      <c r="BG1653" t="str">
        <f>"1"</f>
        <v>1</v>
      </c>
      <c r="BH1653" t="str">
        <f xml:space="preserve"> IF($BF$1653 &gt;= $G$204, "1","0")</f>
        <v>1</v>
      </c>
      <c r="BI1653">
        <f xml:space="preserve"> IF( AND( $BG$1653 = "1", $BH$1653 = "1" ), 1, IF( AND( $BG$1653 = "1", $BH$1653 = "0" ), 2, IF( AND( $BG$1653 = "0", $BH$1653 = "1" ), 3, 4 ) ) )</f>
        <v>1</v>
      </c>
    </row>
    <row r="1654" spans="58:61" x14ac:dyDescent="0.25">
      <c r="BF1654" s="1">
        <v>1</v>
      </c>
      <c r="BG1654" t="str">
        <f>"1"</f>
        <v>1</v>
      </c>
      <c r="BH1654" t="str">
        <f xml:space="preserve"> IF($BF$1654 &gt;= $G$204, "1","0")</f>
        <v>1</v>
      </c>
      <c r="BI1654">
        <f xml:space="preserve"> IF( AND( $BG$1654 = "1", $BH$1654 = "1" ), 1, IF( AND( $BG$1654 = "1", $BH$1654 = "0" ), 2, IF( AND( $BG$1654 = "0", $BH$1654 = "1" ), 3, 4 ) ) )</f>
        <v>1</v>
      </c>
    </row>
    <row r="1655" spans="58:61" x14ac:dyDescent="0.25">
      <c r="BF1655" s="1">
        <v>1</v>
      </c>
      <c r="BG1655" t="str">
        <f>"1"</f>
        <v>1</v>
      </c>
      <c r="BH1655" t="str">
        <f xml:space="preserve"> IF($BF$1655 &gt;= $G$204, "1","0")</f>
        <v>1</v>
      </c>
      <c r="BI1655">
        <f xml:space="preserve"> IF( AND( $BG$1655 = "1", $BH$1655 = "1" ), 1, IF( AND( $BG$1655 = "1", $BH$1655 = "0" ), 2, IF( AND( $BG$1655 = "0", $BH$1655 = "1" ), 3, 4 ) ) )</f>
        <v>1</v>
      </c>
    </row>
    <row r="1656" spans="58:61" x14ac:dyDescent="0.25">
      <c r="BF1656" s="1">
        <v>1</v>
      </c>
      <c r="BG1656" t="str">
        <f>"1"</f>
        <v>1</v>
      </c>
      <c r="BH1656" t="str">
        <f xml:space="preserve"> IF($BF$1656 &gt;= $G$204, "1","0")</f>
        <v>1</v>
      </c>
      <c r="BI1656">
        <f xml:space="preserve"> IF( AND( $BG$1656 = "1", $BH$1656 = "1" ), 1, IF( AND( $BG$1656 = "1", $BH$1656 = "0" ), 2, IF( AND( $BG$1656 = "0", $BH$1656 = "1" ), 3, 4 ) ) )</f>
        <v>1</v>
      </c>
    </row>
    <row r="1657" spans="58:61" x14ac:dyDescent="0.25">
      <c r="BF1657" s="1">
        <v>1</v>
      </c>
      <c r="BG1657" t="str">
        <f>"1"</f>
        <v>1</v>
      </c>
      <c r="BH1657" t="str">
        <f xml:space="preserve"> IF($BF$1657 &gt;= $G$204, "1","0")</f>
        <v>1</v>
      </c>
      <c r="BI1657">
        <f xml:space="preserve"> IF( AND( $BG$1657 = "1", $BH$1657 = "1" ), 1, IF( AND( $BG$1657 = "1", $BH$1657 = "0" ), 2, IF( AND( $BG$1657 = "0", $BH$1657 = "1" ), 3, 4 ) ) )</f>
        <v>1</v>
      </c>
    </row>
    <row r="1658" spans="58:61" x14ac:dyDescent="0.25">
      <c r="BF1658" s="1">
        <v>1</v>
      </c>
      <c r="BG1658" t="str">
        <f>"1"</f>
        <v>1</v>
      </c>
      <c r="BH1658" t="str">
        <f xml:space="preserve"> IF($BF$1658 &gt;= $G$204, "1","0")</f>
        <v>1</v>
      </c>
      <c r="BI1658">
        <f xml:space="preserve"> IF( AND( $BG$1658 = "1", $BH$1658 = "1" ), 1, IF( AND( $BG$1658 = "1", $BH$1658 = "0" ), 2, IF( AND( $BG$1658 = "0", $BH$1658 = "1" ), 3, 4 ) ) )</f>
        <v>1</v>
      </c>
    </row>
    <row r="1659" spans="58:61" x14ac:dyDescent="0.25">
      <c r="BF1659" s="1">
        <v>1</v>
      </c>
      <c r="BG1659" t="str">
        <f>"1"</f>
        <v>1</v>
      </c>
      <c r="BH1659" t="str">
        <f xml:space="preserve"> IF($BF$1659 &gt;= $G$204, "1","0")</f>
        <v>1</v>
      </c>
      <c r="BI1659">
        <f xml:space="preserve"> IF( AND( $BG$1659 = "1", $BH$1659 = "1" ), 1, IF( AND( $BG$1659 = "1", $BH$1659 = "0" ), 2, IF( AND( $BG$1659 = "0", $BH$1659 = "1" ), 3, 4 ) ) )</f>
        <v>1</v>
      </c>
    </row>
    <row r="1660" spans="58:61" x14ac:dyDescent="0.25">
      <c r="BF1660" s="1">
        <v>1</v>
      </c>
      <c r="BG1660" t="str">
        <f>"1"</f>
        <v>1</v>
      </c>
      <c r="BH1660" t="str">
        <f xml:space="preserve"> IF($BF$1660 &gt;= $G$204, "1","0")</f>
        <v>1</v>
      </c>
      <c r="BI1660">
        <f xml:space="preserve"> IF( AND( $BG$1660 = "1", $BH$1660 = "1" ), 1, IF( AND( $BG$1660 = "1", $BH$1660 = "0" ), 2, IF( AND( $BG$1660 = "0", $BH$1660 = "1" ), 3, 4 ) ) )</f>
        <v>1</v>
      </c>
    </row>
    <row r="1661" spans="58:61" x14ac:dyDescent="0.25">
      <c r="BF1661" s="1">
        <v>1</v>
      </c>
      <c r="BG1661" t="str">
        <f>"1"</f>
        <v>1</v>
      </c>
      <c r="BH1661" t="str">
        <f xml:space="preserve"> IF($BF$1661 &gt;= $G$204, "1","0")</f>
        <v>1</v>
      </c>
      <c r="BI1661">
        <f xml:space="preserve"> IF( AND( $BG$1661 = "1", $BH$1661 = "1" ), 1, IF( AND( $BG$1661 = "1", $BH$1661 = "0" ), 2, IF( AND( $BG$1661 = "0", $BH$1661 = "1" ), 3, 4 ) ) )</f>
        <v>1</v>
      </c>
    </row>
    <row r="1662" spans="58:61" x14ac:dyDescent="0.25">
      <c r="BF1662" s="1">
        <v>1</v>
      </c>
      <c r="BG1662" t="str">
        <f>"1"</f>
        <v>1</v>
      </c>
      <c r="BH1662" t="str">
        <f xml:space="preserve"> IF($BF$1662 &gt;= $G$204, "1","0")</f>
        <v>1</v>
      </c>
      <c r="BI1662">
        <f xml:space="preserve"> IF( AND( $BG$1662 = "1", $BH$1662 = "1" ), 1, IF( AND( $BG$1662 = "1", $BH$1662 = "0" ), 2, IF( AND( $BG$1662 = "0", $BH$1662 = "1" ), 3, 4 ) ) )</f>
        <v>1</v>
      </c>
    </row>
    <row r="1663" spans="58:61" x14ac:dyDescent="0.25">
      <c r="BF1663" s="1">
        <v>1</v>
      </c>
      <c r="BG1663" t="str">
        <f>"1"</f>
        <v>1</v>
      </c>
      <c r="BH1663" t="str">
        <f xml:space="preserve"> IF($BF$1663 &gt;= $G$204, "1","0")</f>
        <v>1</v>
      </c>
      <c r="BI1663">
        <f xml:space="preserve"> IF( AND( $BG$1663 = "1", $BH$1663 = "1" ), 1, IF( AND( $BG$1663 = "1", $BH$1663 = "0" ), 2, IF( AND( $BG$1663 = "0", $BH$1663 = "1" ), 3, 4 ) ) )</f>
        <v>1</v>
      </c>
    </row>
    <row r="1664" spans="58:61" x14ac:dyDescent="0.25">
      <c r="BF1664" s="1">
        <v>1</v>
      </c>
      <c r="BG1664" t="str">
        <f>"1"</f>
        <v>1</v>
      </c>
      <c r="BH1664" t="str">
        <f xml:space="preserve"> IF($BF$1664 &gt;= $G$204, "1","0")</f>
        <v>1</v>
      </c>
      <c r="BI1664">
        <f xml:space="preserve"> IF( AND( $BG$1664 = "1", $BH$1664 = "1" ), 1, IF( AND( $BG$1664 = "1", $BH$1664 = "0" ), 2, IF( AND( $BG$1664 = "0", $BH$1664 = "1" ), 3, 4 ) ) )</f>
        <v>1</v>
      </c>
    </row>
    <row r="1665" spans="58:61" x14ac:dyDescent="0.25">
      <c r="BF1665" s="1">
        <v>1</v>
      </c>
      <c r="BG1665" t="str">
        <f>"1"</f>
        <v>1</v>
      </c>
      <c r="BH1665" t="str">
        <f xml:space="preserve"> IF($BF$1665 &gt;= $G$204, "1","0")</f>
        <v>1</v>
      </c>
      <c r="BI1665">
        <f xml:space="preserve"> IF( AND( $BG$1665 = "1", $BH$1665 = "1" ), 1, IF( AND( $BG$1665 = "1", $BH$1665 = "0" ), 2, IF( AND( $BG$1665 = "0", $BH$1665 = "1" ), 3, 4 ) ) )</f>
        <v>1</v>
      </c>
    </row>
    <row r="1666" spans="58:61" x14ac:dyDescent="0.25">
      <c r="BF1666" s="1">
        <v>1</v>
      </c>
      <c r="BG1666" t="str">
        <f>"1"</f>
        <v>1</v>
      </c>
      <c r="BH1666" t="str">
        <f xml:space="preserve"> IF($BF$1666 &gt;= $G$204, "1","0")</f>
        <v>1</v>
      </c>
      <c r="BI1666">
        <f xml:space="preserve"> IF( AND( $BG$1666 = "1", $BH$1666 = "1" ), 1, IF( AND( $BG$1666 = "1", $BH$1666 = "0" ), 2, IF( AND( $BG$1666 = "0", $BH$1666 = "1" ), 3, 4 ) ) )</f>
        <v>1</v>
      </c>
    </row>
    <row r="1667" spans="58:61" x14ac:dyDescent="0.25">
      <c r="BF1667" s="1">
        <v>1</v>
      </c>
      <c r="BG1667" t="str">
        <f>"1"</f>
        <v>1</v>
      </c>
      <c r="BH1667" t="str">
        <f xml:space="preserve"> IF($BF$1667 &gt;= $G$204, "1","0")</f>
        <v>1</v>
      </c>
      <c r="BI1667">
        <f xml:space="preserve"> IF( AND( $BG$1667 = "1", $BH$1667 = "1" ), 1, IF( AND( $BG$1667 = "1", $BH$1667 = "0" ), 2, IF( AND( $BG$1667 = "0", $BH$1667 = "1" ), 3, 4 ) ) )</f>
        <v>1</v>
      </c>
    </row>
    <row r="1668" spans="58:61" x14ac:dyDescent="0.25">
      <c r="BF1668" s="1">
        <v>1</v>
      </c>
      <c r="BG1668" t="str">
        <f>"1"</f>
        <v>1</v>
      </c>
      <c r="BH1668" t="str">
        <f xml:space="preserve"> IF($BF$1668 &gt;= $G$204, "1","0")</f>
        <v>1</v>
      </c>
      <c r="BI1668">
        <f xml:space="preserve"> IF( AND( $BG$1668 = "1", $BH$1668 = "1" ), 1, IF( AND( $BG$1668 = "1", $BH$1668 = "0" ), 2, IF( AND( $BG$1668 = "0", $BH$1668 = "1" ), 3, 4 ) ) )</f>
        <v>1</v>
      </c>
    </row>
    <row r="1669" spans="58:61" x14ac:dyDescent="0.25">
      <c r="BF1669" s="1">
        <v>1</v>
      </c>
      <c r="BG1669" t="str">
        <f>"1"</f>
        <v>1</v>
      </c>
      <c r="BH1669" t="str">
        <f xml:space="preserve"> IF($BF$1669 &gt;= $G$204, "1","0")</f>
        <v>1</v>
      </c>
      <c r="BI1669">
        <f xml:space="preserve"> IF( AND( $BG$1669 = "1", $BH$1669 = "1" ), 1, IF( AND( $BG$1669 = "1", $BH$1669 = "0" ), 2, IF( AND( $BG$1669 = "0", $BH$1669 = "1" ), 3, 4 ) ) )</f>
        <v>1</v>
      </c>
    </row>
    <row r="1670" spans="58:61" x14ac:dyDescent="0.25">
      <c r="BF1670" s="1">
        <v>1</v>
      </c>
      <c r="BG1670" t="str">
        <f>"1"</f>
        <v>1</v>
      </c>
      <c r="BH1670" t="str">
        <f xml:space="preserve"> IF($BF$1670 &gt;= $G$204, "1","0")</f>
        <v>1</v>
      </c>
      <c r="BI1670">
        <f xml:space="preserve"> IF( AND( $BG$1670 = "1", $BH$1670 = "1" ), 1, IF( AND( $BG$1670 = "1", $BH$1670 = "0" ), 2, IF( AND( $BG$1670 = "0", $BH$1670 = "1" ), 3, 4 ) ) )</f>
        <v>1</v>
      </c>
    </row>
    <row r="1671" spans="58:61" x14ac:dyDescent="0.25">
      <c r="BF1671" s="1">
        <v>1</v>
      </c>
      <c r="BG1671" t="str">
        <f>"1"</f>
        <v>1</v>
      </c>
      <c r="BH1671" t="str">
        <f xml:space="preserve"> IF($BF$1671 &gt;= $G$204, "1","0")</f>
        <v>1</v>
      </c>
      <c r="BI1671">
        <f xml:space="preserve"> IF( AND( $BG$1671 = "1", $BH$1671 = "1" ), 1, IF( AND( $BG$1671 = "1", $BH$1671 = "0" ), 2, IF( AND( $BG$1671 = "0", $BH$1671 = "1" ), 3, 4 ) ) )</f>
        <v>1</v>
      </c>
    </row>
    <row r="1672" spans="58:61" x14ac:dyDescent="0.25">
      <c r="BF1672" s="1">
        <v>1</v>
      </c>
      <c r="BG1672" t="str">
        <f>"1"</f>
        <v>1</v>
      </c>
      <c r="BH1672" t="str">
        <f xml:space="preserve"> IF($BF$1672 &gt;= $G$204, "1","0")</f>
        <v>1</v>
      </c>
      <c r="BI1672">
        <f xml:space="preserve"> IF( AND( $BG$1672 = "1", $BH$1672 = "1" ), 1, IF( AND( $BG$1672 = "1", $BH$1672 = "0" ), 2, IF( AND( $BG$1672 = "0", $BH$1672 = "1" ), 3, 4 ) ) )</f>
        <v>1</v>
      </c>
    </row>
    <row r="1673" spans="58:61" x14ac:dyDescent="0.25">
      <c r="BF1673" s="1">
        <v>1</v>
      </c>
      <c r="BG1673" t="str">
        <f>"1"</f>
        <v>1</v>
      </c>
      <c r="BH1673" t="str">
        <f xml:space="preserve"> IF($BF$1673 &gt;= $G$204, "1","0")</f>
        <v>1</v>
      </c>
      <c r="BI1673">
        <f xml:space="preserve"> IF( AND( $BG$1673 = "1", $BH$1673 = "1" ), 1, IF( AND( $BG$1673 = "1", $BH$1673 = "0" ), 2, IF( AND( $BG$1673 = "0", $BH$1673 = "1" ), 3, 4 ) ) )</f>
        <v>1</v>
      </c>
    </row>
    <row r="1674" spans="58:61" x14ac:dyDescent="0.25">
      <c r="BF1674" s="1">
        <v>1</v>
      </c>
      <c r="BG1674" t="str">
        <f>"1"</f>
        <v>1</v>
      </c>
      <c r="BH1674" t="str">
        <f xml:space="preserve"> IF($BF$1674 &gt;= $G$204, "1","0")</f>
        <v>1</v>
      </c>
      <c r="BI1674">
        <f xml:space="preserve"> IF( AND( $BG$1674 = "1", $BH$1674 = "1" ), 1, IF( AND( $BG$1674 = "1", $BH$1674 = "0" ), 2, IF( AND( $BG$1674 = "0", $BH$1674 = "1" ), 3, 4 ) ) )</f>
        <v>1</v>
      </c>
    </row>
    <row r="1675" spans="58:61" x14ac:dyDescent="0.25">
      <c r="BF1675" s="1">
        <v>1</v>
      </c>
      <c r="BG1675" t="str">
        <f>"1"</f>
        <v>1</v>
      </c>
      <c r="BH1675" t="str">
        <f xml:space="preserve"> IF($BF$1675 &gt;= $G$204, "1","0")</f>
        <v>1</v>
      </c>
      <c r="BI1675">
        <f xml:space="preserve"> IF( AND( $BG$1675 = "1", $BH$1675 = "1" ), 1, IF( AND( $BG$1675 = "1", $BH$1675 = "0" ), 2, IF( AND( $BG$1675 = "0", $BH$1675 = "1" ), 3, 4 ) ) )</f>
        <v>1</v>
      </c>
    </row>
    <row r="1676" spans="58:61" x14ac:dyDescent="0.25">
      <c r="BF1676" s="1">
        <v>1</v>
      </c>
      <c r="BG1676" t="str">
        <f>"1"</f>
        <v>1</v>
      </c>
      <c r="BH1676" t="str">
        <f xml:space="preserve"> IF($BF$1676 &gt;= $G$204, "1","0")</f>
        <v>1</v>
      </c>
      <c r="BI1676">
        <f xml:space="preserve"> IF( AND( $BG$1676 = "1", $BH$1676 = "1" ), 1, IF( AND( $BG$1676 = "1", $BH$1676 = "0" ), 2, IF( AND( $BG$1676 = "0", $BH$1676 = "1" ), 3, 4 ) ) )</f>
        <v>1</v>
      </c>
    </row>
    <row r="1677" spans="58:61" x14ac:dyDescent="0.25">
      <c r="BF1677" s="1">
        <v>1</v>
      </c>
      <c r="BG1677" t="str">
        <f>"1"</f>
        <v>1</v>
      </c>
      <c r="BH1677" t="str">
        <f xml:space="preserve"> IF($BF$1677 &gt;= $G$204, "1","0")</f>
        <v>1</v>
      </c>
      <c r="BI1677">
        <f xml:space="preserve"> IF( AND( $BG$1677 = "1", $BH$1677 = "1" ), 1, IF( AND( $BG$1677 = "1", $BH$1677 = "0" ), 2, IF( AND( $BG$1677 = "0", $BH$1677 = "1" ), 3, 4 ) ) )</f>
        <v>1</v>
      </c>
    </row>
    <row r="1678" spans="58:61" x14ac:dyDescent="0.25">
      <c r="BF1678" s="1">
        <v>1</v>
      </c>
      <c r="BG1678" t="str">
        <f>"1"</f>
        <v>1</v>
      </c>
      <c r="BH1678" t="str">
        <f xml:space="preserve"> IF($BF$1678 &gt;= $G$204, "1","0")</f>
        <v>1</v>
      </c>
      <c r="BI1678">
        <f xml:space="preserve"> IF( AND( $BG$1678 = "1", $BH$1678 = "1" ), 1, IF( AND( $BG$1678 = "1", $BH$1678 = "0" ), 2, IF( AND( $BG$1678 = "0", $BH$1678 = "1" ), 3, 4 ) ) )</f>
        <v>1</v>
      </c>
    </row>
    <row r="1679" spans="58:61" x14ac:dyDescent="0.25">
      <c r="BF1679" s="1">
        <v>1</v>
      </c>
      <c r="BG1679" t="str">
        <f>"1"</f>
        <v>1</v>
      </c>
      <c r="BH1679" t="str">
        <f xml:space="preserve"> IF($BF$1679 &gt;= $G$204, "1","0")</f>
        <v>1</v>
      </c>
      <c r="BI1679">
        <f xml:space="preserve"> IF( AND( $BG$1679 = "1", $BH$1679 = "1" ), 1, IF( AND( $BG$1679 = "1", $BH$1679 = "0" ), 2, IF( AND( $BG$1679 = "0", $BH$1679 = "1" ), 3, 4 ) ) )</f>
        <v>1</v>
      </c>
    </row>
    <row r="1680" spans="58:61" x14ac:dyDescent="0.25">
      <c r="BF1680" s="1">
        <v>1</v>
      </c>
      <c r="BG1680" t="str">
        <f>"1"</f>
        <v>1</v>
      </c>
      <c r="BH1680" t="str">
        <f xml:space="preserve"> IF($BF$1680 &gt;= $G$204, "1","0")</f>
        <v>1</v>
      </c>
      <c r="BI1680">
        <f xml:space="preserve"> IF( AND( $BG$1680 = "1", $BH$1680 = "1" ), 1, IF( AND( $BG$1680 = "1", $BH$1680 = "0" ), 2, IF( AND( $BG$1680 = "0", $BH$1680 = "1" ), 3, 4 ) ) )</f>
        <v>1</v>
      </c>
    </row>
    <row r="1681" spans="58:61" x14ac:dyDescent="0.25">
      <c r="BF1681" s="1">
        <v>1</v>
      </c>
      <c r="BG1681" t="str">
        <f>"1"</f>
        <v>1</v>
      </c>
      <c r="BH1681" t="str">
        <f xml:space="preserve"> IF($BF$1681 &gt;= $G$204, "1","0")</f>
        <v>1</v>
      </c>
      <c r="BI1681">
        <f xml:space="preserve"> IF( AND( $BG$1681 = "1", $BH$1681 = "1" ), 1, IF( AND( $BG$1681 = "1", $BH$1681 = "0" ), 2, IF( AND( $BG$1681 = "0", $BH$1681 = "1" ), 3, 4 ) ) )</f>
        <v>1</v>
      </c>
    </row>
    <row r="1682" spans="58:61" x14ac:dyDescent="0.25">
      <c r="BF1682" s="1">
        <v>1</v>
      </c>
      <c r="BG1682" t="str">
        <f>"1"</f>
        <v>1</v>
      </c>
      <c r="BH1682" t="str">
        <f xml:space="preserve"> IF($BF$1682 &gt;= $G$204, "1","0")</f>
        <v>1</v>
      </c>
      <c r="BI1682">
        <f xml:space="preserve"> IF( AND( $BG$1682 = "1", $BH$1682 = "1" ), 1, IF( AND( $BG$1682 = "1", $BH$1682 = "0" ), 2, IF( AND( $BG$1682 = "0", $BH$1682 = "1" ), 3, 4 ) ) )</f>
        <v>1</v>
      </c>
    </row>
    <row r="1683" spans="58:61" x14ac:dyDescent="0.25">
      <c r="BF1683" s="1">
        <v>1</v>
      </c>
      <c r="BG1683" t="str">
        <f>"1"</f>
        <v>1</v>
      </c>
      <c r="BH1683" t="str">
        <f xml:space="preserve"> IF($BF$1683 &gt;= $G$204, "1","0")</f>
        <v>1</v>
      </c>
      <c r="BI1683">
        <f xml:space="preserve"> IF( AND( $BG$1683 = "1", $BH$1683 = "1" ), 1, IF( AND( $BG$1683 = "1", $BH$1683 = "0" ), 2, IF( AND( $BG$1683 = "0", $BH$1683 = "1" ), 3, 4 ) ) )</f>
        <v>1</v>
      </c>
    </row>
    <row r="1684" spans="58:61" x14ac:dyDescent="0.25">
      <c r="BF1684" s="1">
        <v>1</v>
      </c>
      <c r="BG1684" t="str">
        <f>"1"</f>
        <v>1</v>
      </c>
      <c r="BH1684" t="str">
        <f xml:space="preserve"> IF($BF$1684 &gt;= $G$204, "1","0")</f>
        <v>1</v>
      </c>
      <c r="BI1684">
        <f xml:space="preserve"> IF( AND( $BG$1684 = "1", $BH$1684 = "1" ), 1, IF( AND( $BG$1684 = "1", $BH$1684 = "0" ), 2, IF( AND( $BG$1684 = "0", $BH$1684 = "1" ), 3, 4 ) ) )</f>
        <v>1</v>
      </c>
    </row>
    <row r="1685" spans="58:61" x14ac:dyDescent="0.25">
      <c r="BF1685" s="1">
        <v>0</v>
      </c>
      <c r="BG1685" t="str">
        <f>"0"</f>
        <v>0</v>
      </c>
      <c r="BH1685" t="str">
        <f xml:space="preserve"> IF($BF$1685 &gt;= $G$204, "1","0")</f>
        <v>0</v>
      </c>
      <c r="BI1685">
        <f xml:space="preserve"> IF( AND( $BG$1685 = "1", $BH$1685 = "1" ), 1, IF( AND( $BG$1685 = "1", $BH$1685 = "0" ), 2, IF( AND( $BG$1685 = "0", $BH$1685 = "1" ), 3, 4 ) ) )</f>
        <v>4</v>
      </c>
    </row>
    <row r="1686" spans="58:61" x14ac:dyDescent="0.25">
      <c r="BF1686" s="1">
        <v>0</v>
      </c>
      <c r="BG1686" t="str">
        <f>"0"</f>
        <v>0</v>
      </c>
      <c r="BH1686" t="str">
        <f xml:space="preserve"> IF($BF$1686 &gt;= $G$204, "1","0")</f>
        <v>0</v>
      </c>
      <c r="BI1686">
        <f xml:space="preserve"> IF( AND( $BG$1686 = "1", $BH$1686 = "1" ), 1, IF( AND( $BG$1686 = "1", $BH$1686 = "0" ), 2, IF( AND( $BG$1686 = "0", $BH$1686 = "1" ), 3, 4 ) ) )</f>
        <v>4</v>
      </c>
    </row>
    <row r="1687" spans="58:61" x14ac:dyDescent="0.25">
      <c r="BF1687" s="1">
        <v>0</v>
      </c>
      <c r="BG1687" t="str">
        <f>"0"</f>
        <v>0</v>
      </c>
      <c r="BH1687" t="str">
        <f xml:space="preserve"> IF($BF$1687 &gt;= $G$204, "1","0")</f>
        <v>0</v>
      </c>
      <c r="BI1687">
        <f xml:space="preserve"> IF( AND( $BG$1687 = "1", $BH$1687 = "1" ), 1, IF( AND( $BG$1687 = "1", $BH$1687 = "0" ), 2, IF( AND( $BG$1687 = "0", $BH$1687 = "1" ), 3, 4 ) ) )</f>
        <v>4</v>
      </c>
    </row>
    <row r="1688" spans="58:61" x14ac:dyDescent="0.25">
      <c r="BF1688" s="1">
        <v>0</v>
      </c>
      <c r="BG1688" t="str">
        <f>"0"</f>
        <v>0</v>
      </c>
      <c r="BH1688" t="str">
        <f xml:space="preserve"> IF($BF$1688 &gt;= $G$204, "1","0")</f>
        <v>0</v>
      </c>
      <c r="BI1688">
        <f xml:space="preserve"> IF( AND( $BG$1688 = "1", $BH$1688 = "1" ), 1, IF( AND( $BG$1688 = "1", $BH$1688 = "0" ), 2, IF( AND( $BG$1688 = "0", $BH$1688 = "1" ), 3, 4 ) ) )</f>
        <v>4</v>
      </c>
    </row>
    <row r="1689" spans="58:61" x14ac:dyDescent="0.25">
      <c r="BF1689" s="1">
        <v>1</v>
      </c>
      <c r="BG1689" t="str">
        <f>"1"</f>
        <v>1</v>
      </c>
      <c r="BH1689" t="str">
        <f xml:space="preserve"> IF($BF$1689 &gt;= $G$204, "1","0")</f>
        <v>1</v>
      </c>
      <c r="BI1689">
        <f xml:space="preserve"> IF( AND( $BG$1689 = "1", $BH$1689 = "1" ), 1, IF( AND( $BG$1689 = "1", $BH$1689 = "0" ), 2, IF( AND( $BG$1689 = "0", $BH$1689 = "1" ), 3, 4 ) ) )</f>
        <v>1</v>
      </c>
    </row>
    <row r="1690" spans="58:61" x14ac:dyDescent="0.25">
      <c r="BF1690" s="1">
        <v>1</v>
      </c>
      <c r="BG1690" t="str">
        <f>"1"</f>
        <v>1</v>
      </c>
      <c r="BH1690" t="str">
        <f xml:space="preserve"> IF($BF$1690 &gt;= $G$204, "1","0")</f>
        <v>1</v>
      </c>
      <c r="BI1690">
        <f xml:space="preserve"> IF( AND( $BG$1690 = "1", $BH$1690 = "1" ), 1, IF( AND( $BG$1690 = "1", $BH$1690 = "0" ), 2, IF( AND( $BG$1690 = "0", $BH$1690 = "1" ), 3, 4 ) ) )</f>
        <v>1</v>
      </c>
    </row>
    <row r="1691" spans="58:61" x14ac:dyDescent="0.25">
      <c r="BF1691" s="1">
        <v>0</v>
      </c>
      <c r="BG1691" t="str">
        <f>"0"</f>
        <v>0</v>
      </c>
      <c r="BH1691" t="str">
        <f xml:space="preserve"> IF($BF$1691 &gt;= $G$204, "1","0")</f>
        <v>0</v>
      </c>
      <c r="BI1691">
        <f xml:space="preserve"> IF( AND( $BG$1691 = "1", $BH$1691 = "1" ), 1, IF( AND( $BG$1691 = "1", $BH$1691 = "0" ), 2, IF( AND( $BG$1691 = "0", $BH$1691 = "1" ), 3, 4 ) ) )</f>
        <v>4</v>
      </c>
    </row>
    <row r="1692" spans="58:61" x14ac:dyDescent="0.25">
      <c r="BF1692" s="1">
        <v>0</v>
      </c>
      <c r="BG1692" t="str">
        <f>"0"</f>
        <v>0</v>
      </c>
      <c r="BH1692" t="str">
        <f xml:space="preserve"> IF($BF$1692 &gt;= $G$204, "1","0")</f>
        <v>0</v>
      </c>
      <c r="BI1692">
        <f xml:space="preserve"> IF( AND( $BG$1692 = "1", $BH$1692 = "1" ), 1, IF( AND( $BG$1692 = "1", $BH$1692 = "0" ), 2, IF( AND( $BG$1692 = "0", $BH$1692 = "1" ), 3, 4 ) ) )</f>
        <v>4</v>
      </c>
    </row>
    <row r="1693" spans="58:61" x14ac:dyDescent="0.25">
      <c r="BF1693" s="1">
        <v>1</v>
      </c>
      <c r="BG1693" t="str">
        <f>"1"</f>
        <v>1</v>
      </c>
      <c r="BH1693" t="str">
        <f xml:space="preserve"> IF($BF$1693 &gt;= $G$204, "1","0")</f>
        <v>1</v>
      </c>
      <c r="BI1693">
        <f xml:space="preserve"> IF( AND( $BG$1693 = "1", $BH$1693 = "1" ), 1, IF( AND( $BG$1693 = "1", $BH$1693 = "0" ), 2, IF( AND( $BG$1693 = "0", $BH$1693 = "1" ), 3, 4 ) ) )</f>
        <v>1</v>
      </c>
    </row>
    <row r="1694" spans="58:61" x14ac:dyDescent="0.25">
      <c r="BF1694" s="1">
        <v>0</v>
      </c>
      <c r="BG1694" t="str">
        <f>"0"</f>
        <v>0</v>
      </c>
      <c r="BH1694" t="str">
        <f xml:space="preserve"> IF($BF$1694 &gt;= $G$204, "1","0")</f>
        <v>0</v>
      </c>
      <c r="BI1694">
        <f xml:space="preserve"> IF( AND( $BG$1694 = "1", $BH$1694 = "1" ), 1, IF( AND( $BG$1694 = "1", $BH$1694 = "0" ), 2, IF( AND( $BG$1694 = "0", $BH$1694 = "1" ), 3, 4 ) ) )</f>
        <v>4</v>
      </c>
    </row>
    <row r="1695" spans="58:61" x14ac:dyDescent="0.25">
      <c r="BF1695" s="1">
        <v>0.21428571428571427</v>
      </c>
      <c r="BG1695" t="str">
        <f>"0"</f>
        <v>0</v>
      </c>
      <c r="BH1695" t="str">
        <f xml:space="preserve"> IF($BF$1695 &gt;= $G$204, "1","0")</f>
        <v>0</v>
      </c>
      <c r="BI1695">
        <f xml:space="preserve"> IF( AND( $BG$1695 = "1", $BH$1695 = "1" ), 1, IF( AND( $BG$1695 = "1", $BH$1695 = "0" ), 2, IF( AND( $BG$1695 = "0", $BH$1695 = "1" ), 3, 4 ) ) )</f>
        <v>4</v>
      </c>
    </row>
    <row r="1696" spans="58:61" x14ac:dyDescent="0.25">
      <c r="BF1696" s="1">
        <v>7.1428571428571411E-2</v>
      </c>
      <c r="BG1696" t="str">
        <f>"0"</f>
        <v>0</v>
      </c>
      <c r="BH1696" t="str">
        <f xml:space="preserve"> IF($BF$1696 &gt;= $G$204, "1","0")</f>
        <v>0</v>
      </c>
      <c r="BI1696">
        <f xml:space="preserve"> IF( AND( $BG$1696 = "1", $BH$1696 = "1" ), 1, IF( AND( $BG$1696 = "1", $BH$1696 = "0" ), 2, IF( AND( $BG$1696 = "0", $BH$1696 = "1" ), 3, 4 ) ) )</f>
        <v>4</v>
      </c>
    </row>
    <row r="1697" spans="58:61" x14ac:dyDescent="0.25">
      <c r="BF1697" s="1">
        <v>0</v>
      </c>
      <c r="BG1697" t="str">
        <f>"0"</f>
        <v>0</v>
      </c>
      <c r="BH1697" t="str">
        <f xml:space="preserve"> IF($BF$1697 &gt;= $G$204, "1","0")</f>
        <v>0</v>
      </c>
      <c r="BI1697">
        <f xml:space="preserve"> IF( AND( $BG$1697 = "1", $BH$1697 = "1" ), 1, IF( AND( $BG$1697 = "1", $BH$1697 = "0" ), 2, IF( AND( $BG$1697 = "0", $BH$1697 = "1" ), 3, 4 ) ) )</f>
        <v>4</v>
      </c>
    </row>
    <row r="1698" spans="58:61" x14ac:dyDescent="0.25">
      <c r="BF1698" s="1">
        <v>0</v>
      </c>
      <c r="BG1698" t="str">
        <f>"0"</f>
        <v>0</v>
      </c>
      <c r="BH1698" t="str">
        <f xml:space="preserve"> IF($BF$1698 &gt;= $G$204, "1","0")</f>
        <v>0</v>
      </c>
      <c r="BI1698">
        <f xml:space="preserve"> IF( AND( $BG$1698 = "1", $BH$1698 = "1" ), 1, IF( AND( $BG$1698 = "1", $BH$1698 = "0" ), 2, IF( AND( $BG$1698 = "0", $BH$1698 = "1" ), 3, 4 ) ) )</f>
        <v>4</v>
      </c>
    </row>
    <row r="1699" spans="58:61" x14ac:dyDescent="0.25">
      <c r="BF1699" s="1">
        <v>0</v>
      </c>
      <c r="BG1699" t="str">
        <f>"0"</f>
        <v>0</v>
      </c>
      <c r="BH1699" t="str">
        <f xml:space="preserve"> IF($BF$1699 &gt;= $G$204, "1","0")</f>
        <v>0</v>
      </c>
      <c r="BI1699">
        <f xml:space="preserve"> IF( AND( $BG$1699 = "1", $BH$1699 = "1" ), 1, IF( AND( $BG$1699 = "1", $BH$1699 = "0" ), 2, IF( AND( $BG$1699 = "0", $BH$1699 = "1" ), 3, 4 ) ) )</f>
        <v>4</v>
      </c>
    </row>
    <row r="1700" spans="58:61" x14ac:dyDescent="0.25">
      <c r="BF1700" s="1">
        <v>0</v>
      </c>
      <c r="BG1700" t="str">
        <f>"0"</f>
        <v>0</v>
      </c>
      <c r="BH1700" t="str">
        <f xml:space="preserve"> IF($BF$1700 &gt;= $G$204, "1","0")</f>
        <v>0</v>
      </c>
      <c r="BI1700">
        <f xml:space="preserve"> IF( AND( $BG$1700 = "1", $BH$1700 = "1" ), 1, IF( AND( $BG$1700 = "1", $BH$1700 = "0" ), 2, IF( AND( $BG$1700 = "0", $BH$1700 = "1" ), 3, 4 ) ) )</f>
        <v>4</v>
      </c>
    </row>
    <row r="1701" spans="58:61" x14ac:dyDescent="0.25">
      <c r="BF1701" s="1">
        <v>0</v>
      </c>
      <c r="BG1701" t="str">
        <f>"0"</f>
        <v>0</v>
      </c>
      <c r="BH1701" t="str">
        <f xml:space="preserve"> IF($BF$1701 &gt;= $G$204, "1","0")</f>
        <v>0</v>
      </c>
      <c r="BI1701">
        <f xml:space="preserve"> IF( AND( $BG$1701 = "1", $BH$1701 = "1" ), 1, IF( AND( $BG$1701 = "1", $BH$1701 = "0" ), 2, IF( AND( $BG$1701 = "0", $BH$1701 = "1" ), 3, 4 ) ) )</f>
        <v>4</v>
      </c>
    </row>
    <row r="1702" spans="58:61" x14ac:dyDescent="0.25">
      <c r="BF1702" s="1">
        <v>0</v>
      </c>
      <c r="BG1702" t="str">
        <f>"0"</f>
        <v>0</v>
      </c>
      <c r="BH1702" t="str">
        <f xml:space="preserve"> IF($BF$1702 &gt;= $G$204, "1","0")</f>
        <v>0</v>
      </c>
      <c r="BI1702">
        <f xml:space="preserve"> IF( AND( $BG$1702 = "1", $BH$1702 = "1" ), 1, IF( AND( $BG$1702 = "1", $BH$1702 = "0" ), 2, IF( AND( $BG$1702 = "0", $BH$1702 = "1" ), 3, 4 ) ) )</f>
        <v>4</v>
      </c>
    </row>
    <row r="1703" spans="58:61" x14ac:dyDescent="0.25">
      <c r="BF1703" s="1">
        <v>0</v>
      </c>
      <c r="BG1703" t="str">
        <f>"0"</f>
        <v>0</v>
      </c>
      <c r="BH1703" t="str">
        <f xml:space="preserve"> IF($BF$1703 &gt;= $G$204, "1","0")</f>
        <v>0</v>
      </c>
      <c r="BI1703">
        <f xml:space="preserve"> IF( AND( $BG$1703 = "1", $BH$1703 = "1" ), 1, IF( AND( $BG$1703 = "1", $BH$1703 = "0" ), 2, IF( AND( $BG$1703 = "0", $BH$1703 = "1" ), 3, 4 ) ) )</f>
        <v>4</v>
      </c>
    </row>
    <row r="1704" spans="58:61" x14ac:dyDescent="0.25">
      <c r="BF1704" s="1">
        <v>0</v>
      </c>
      <c r="BG1704" t="str">
        <f>"0"</f>
        <v>0</v>
      </c>
      <c r="BH1704" t="str">
        <f xml:space="preserve"> IF($BF$1704 &gt;= $G$204, "1","0")</f>
        <v>0</v>
      </c>
      <c r="BI1704">
        <f xml:space="preserve"> IF( AND( $BG$1704 = "1", $BH$1704 = "1" ), 1, IF( AND( $BG$1704 = "1", $BH$1704 = "0" ), 2, IF( AND( $BG$1704 = "0", $BH$1704 = "1" ), 3, 4 ) ) )</f>
        <v>4</v>
      </c>
    </row>
    <row r="1705" spans="58:61" x14ac:dyDescent="0.25">
      <c r="BF1705" s="1">
        <v>0</v>
      </c>
      <c r="BG1705" t="str">
        <f>"0"</f>
        <v>0</v>
      </c>
      <c r="BH1705" t="str">
        <f xml:space="preserve"> IF($BF$1705 &gt;= $G$204, "1","0")</f>
        <v>0</v>
      </c>
      <c r="BI1705">
        <f xml:space="preserve"> IF( AND( $BG$1705 = "1", $BH$1705 = "1" ), 1, IF( AND( $BG$1705 = "1", $BH$1705 = "0" ), 2, IF( AND( $BG$1705 = "0", $BH$1705 = "1" ), 3, 4 ) ) )</f>
        <v>4</v>
      </c>
    </row>
    <row r="1706" spans="58:61" x14ac:dyDescent="0.25">
      <c r="BF1706" s="1">
        <v>1</v>
      </c>
      <c r="BG1706" t="str">
        <f>"1"</f>
        <v>1</v>
      </c>
      <c r="BH1706" t="str">
        <f xml:space="preserve"> IF($BF$1706 &gt;= $G$204, "1","0")</f>
        <v>1</v>
      </c>
      <c r="BI1706">
        <f xml:space="preserve"> IF( AND( $BG$1706 = "1", $BH$1706 = "1" ), 1, IF( AND( $BG$1706 = "1", $BH$1706 = "0" ), 2, IF( AND( $BG$1706 = "0", $BH$1706 = "1" ), 3, 4 ) ) )</f>
        <v>1</v>
      </c>
    </row>
    <row r="1707" spans="58:61" x14ac:dyDescent="0.25">
      <c r="BF1707" s="1">
        <v>0</v>
      </c>
      <c r="BG1707" t="str">
        <f>"0"</f>
        <v>0</v>
      </c>
      <c r="BH1707" t="str">
        <f xml:space="preserve"> IF($BF$1707 &gt;= $G$204, "1","0")</f>
        <v>0</v>
      </c>
      <c r="BI1707">
        <f xml:space="preserve"> IF( AND( $BG$1707 = "1", $BH$1707 = "1" ), 1, IF( AND( $BG$1707 = "1", $BH$1707 = "0" ), 2, IF( AND( $BG$1707 = "0", $BH$1707 = "1" ), 3, 4 ) ) )</f>
        <v>4</v>
      </c>
    </row>
    <row r="1708" spans="58:61" x14ac:dyDescent="0.25">
      <c r="BF1708" s="1">
        <v>0</v>
      </c>
      <c r="BG1708" t="str">
        <f>"0"</f>
        <v>0</v>
      </c>
      <c r="BH1708" t="str">
        <f xml:space="preserve"> IF($BF$1708 &gt;= $G$204, "1","0")</f>
        <v>0</v>
      </c>
      <c r="BI1708">
        <f xml:space="preserve"> IF( AND( $BG$1708 = "1", $BH$1708 = "1" ), 1, IF( AND( $BG$1708 = "1", $BH$1708 = "0" ), 2, IF( AND( $BG$1708 = "0", $BH$1708 = "1" ), 3, 4 ) ) )</f>
        <v>4</v>
      </c>
    </row>
    <row r="1709" spans="58:61" x14ac:dyDescent="0.25">
      <c r="BF1709" s="1">
        <v>0</v>
      </c>
      <c r="BG1709" t="str">
        <f>"0"</f>
        <v>0</v>
      </c>
      <c r="BH1709" t="str">
        <f xml:space="preserve"> IF($BF$1709 &gt;= $G$204, "1","0")</f>
        <v>0</v>
      </c>
      <c r="BI1709">
        <f xml:space="preserve"> IF( AND( $BG$1709 = "1", $BH$1709 = "1" ), 1, IF( AND( $BG$1709 = "1", $BH$1709 = "0" ), 2, IF( AND( $BG$1709 = "0", $BH$1709 = "1" ), 3, 4 ) ) )</f>
        <v>4</v>
      </c>
    </row>
    <row r="1710" spans="58:61" x14ac:dyDescent="0.25">
      <c r="BF1710" s="1">
        <v>1</v>
      </c>
      <c r="BG1710" t="str">
        <f>"1"</f>
        <v>1</v>
      </c>
      <c r="BH1710" t="str">
        <f xml:space="preserve"> IF($BF$1710 &gt;= $G$204, "1","0")</f>
        <v>1</v>
      </c>
      <c r="BI1710">
        <f xml:space="preserve"> IF( AND( $BG$1710 = "1", $BH$1710 = "1" ), 1, IF( AND( $BG$1710 = "1", $BH$1710 = "0" ), 2, IF( AND( $BG$1710 = "0", $BH$1710 = "1" ), 3, 4 ) ) )</f>
        <v>1</v>
      </c>
    </row>
    <row r="1711" spans="58:61" x14ac:dyDescent="0.25">
      <c r="BF1711" s="1">
        <v>0.38461538461538464</v>
      </c>
      <c r="BG1711" t="str">
        <f>"1"</f>
        <v>1</v>
      </c>
      <c r="BH1711" t="str">
        <f xml:space="preserve"> IF($BF$1711 &gt;= $G$204, "1","0")</f>
        <v>1</v>
      </c>
      <c r="BI1711">
        <f xml:space="preserve"> IF( AND( $BG$1711 = "1", $BH$1711 = "1" ), 1, IF( AND( $BG$1711 = "1", $BH$1711 = "0" ), 2, IF( AND( $BG$1711 = "0", $BH$1711 = "1" ), 3, 4 ) ) )</f>
        <v>1</v>
      </c>
    </row>
    <row r="1712" spans="58:61" x14ac:dyDescent="0.25">
      <c r="BF1712" s="1">
        <v>0</v>
      </c>
      <c r="BG1712" t="str">
        <f>"0"</f>
        <v>0</v>
      </c>
      <c r="BH1712" t="str">
        <f xml:space="preserve"> IF($BF$1712 &gt;= $G$204, "1","0")</f>
        <v>0</v>
      </c>
      <c r="BI1712">
        <f xml:space="preserve"> IF( AND( $BG$1712 = "1", $BH$1712 = "1" ), 1, IF( AND( $BG$1712 = "1", $BH$1712 = "0" ), 2, IF( AND( $BG$1712 = "0", $BH$1712 = "1" ), 3, 4 ) ) )</f>
        <v>4</v>
      </c>
    </row>
    <row r="1713" spans="58:61" x14ac:dyDescent="0.25">
      <c r="BF1713" s="1">
        <v>4.3478260869565209E-2</v>
      </c>
      <c r="BG1713" t="str">
        <f>"0"</f>
        <v>0</v>
      </c>
      <c r="BH1713" t="str">
        <f xml:space="preserve"> IF($BF$1713 &gt;= $G$204, "1","0")</f>
        <v>0</v>
      </c>
      <c r="BI1713">
        <f xml:space="preserve"> IF( AND( $BG$1713 = "1", $BH$1713 = "1" ), 1, IF( AND( $BG$1713 = "1", $BH$1713 = "0" ), 2, IF( AND( $BG$1713 = "0", $BH$1713 = "1" ), 3, 4 ) ) )</f>
        <v>4</v>
      </c>
    </row>
    <row r="1714" spans="58:61" x14ac:dyDescent="0.25">
      <c r="BF1714" s="1">
        <v>0</v>
      </c>
      <c r="BG1714" t="str">
        <f>"0"</f>
        <v>0</v>
      </c>
      <c r="BH1714" t="str">
        <f xml:space="preserve"> IF($BF$1714 &gt;= $G$204, "1","0")</f>
        <v>0</v>
      </c>
      <c r="BI1714">
        <f xml:space="preserve"> IF( AND( $BG$1714 = "1", $BH$1714 = "1" ), 1, IF( AND( $BG$1714 = "1", $BH$1714 = "0" ), 2, IF( AND( $BG$1714 = "0", $BH$1714 = "1" ), 3, 4 ) ) )</f>
        <v>4</v>
      </c>
    </row>
    <row r="1715" spans="58:61" x14ac:dyDescent="0.25">
      <c r="BF1715" s="1">
        <v>0.44444444444444448</v>
      </c>
      <c r="BG1715" t="str">
        <f>"0"</f>
        <v>0</v>
      </c>
      <c r="BH1715" t="str">
        <f xml:space="preserve"> IF($BF$1715 &gt;= $G$204, "1","0")</f>
        <v>1</v>
      </c>
      <c r="BI1715">
        <f xml:space="preserve"> IF( AND( $BG$1715 = "1", $BH$1715 = "1" ), 1, IF( AND( $BG$1715 = "1", $BH$1715 = "0" ), 2, IF( AND( $BG$1715 = "0", $BH$1715 = "1" ), 3, 4 ) ) )</f>
        <v>3</v>
      </c>
    </row>
    <row r="1716" spans="58:61" x14ac:dyDescent="0.25">
      <c r="BF1716" s="1">
        <v>0.79999999999999993</v>
      </c>
      <c r="BG1716" t="str">
        <f>"1"</f>
        <v>1</v>
      </c>
      <c r="BH1716" t="str">
        <f xml:space="preserve"> IF($BF$1716 &gt;= $G$204, "1","0")</f>
        <v>1</v>
      </c>
      <c r="BI1716">
        <f xml:space="preserve"> IF( AND( $BG$1716 = "1", $BH$1716 = "1" ), 1, IF( AND( $BG$1716 = "1", $BH$1716 = "0" ), 2, IF( AND( $BG$1716 = "0", $BH$1716 = "1" ), 3, 4 ) ) )</f>
        <v>1</v>
      </c>
    </row>
    <row r="1717" spans="58:61" x14ac:dyDescent="0.25">
      <c r="BF1717" s="1">
        <v>0</v>
      </c>
      <c r="BG1717" t="str">
        <f>"0"</f>
        <v>0</v>
      </c>
      <c r="BH1717" t="str">
        <f xml:space="preserve"> IF($BF$1717 &gt;= $G$204, "1","0")</f>
        <v>0</v>
      </c>
      <c r="BI1717">
        <f xml:space="preserve"> IF( AND( $BG$1717 = "1", $BH$1717 = "1" ), 1, IF( AND( $BG$1717 = "1", $BH$1717 = "0" ), 2, IF( AND( $BG$1717 = "0", $BH$1717 = "1" ), 3, 4 ) ) )</f>
        <v>4</v>
      </c>
    </row>
    <row r="1718" spans="58:61" x14ac:dyDescent="0.25">
      <c r="BF1718" s="1">
        <v>1</v>
      </c>
      <c r="BG1718" t="str">
        <f>"1"</f>
        <v>1</v>
      </c>
      <c r="BH1718" t="str">
        <f xml:space="preserve"> IF($BF$1718 &gt;= $G$204, "1","0")</f>
        <v>1</v>
      </c>
      <c r="BI1718">
        <f xml:space="preserve"> IF( AND( $BG$1718 = "1", $BH$1718 = "1" ), 1, IF( AND( $BG$1718 = "1", $BH$1718 = "0" ), 2, IF( AND( $BG$1718 = "0", $BH$1718 = "1" ), 3, 4 ) ) )</f>
        <v>1</v>
      </c>
    </row>
    <row r="1719" spans="58:61" x14ac:dyDescent="0.25">
      <c r="BF1719" s="1">
        <v>0</v>
      </c>
      <c r="BG1719" t="str">
        <f>"0"</f>
        <v>0</v>
      </c>
      <c r="BH1719" t="str">
        <f xml:space="preserve"> IF($BF$1719 &gt;= $G$204, "1","0")</f>
        <v>0</v>
      </c>
      <c r="BI1719">
        <f xml:space="preserve"> IF( AND( $BG$1719 = "1", $BH$1719 = "1" ), 1, IF( AND( $BG$1719 = "1", $BH$1719 = "0" ), 2, IF( AND( $BG$1719 = "0", $BH$1719 = "1" ), 3, 4 ) ) )</f>
        <v>4</v>
      </c>
    </row>
    <row r="1720" spans="58:61" x14ac:dyDescent="0.25">
      <c r="BF1720" s="1">
        <v>0</v>
      </c>
      <c r="BG1720" t="str">
        <f>"0"</f>
        <v>0</v>
      </c>
      <c r="BH1720" t="str">
        <f xml:space="preserve"> IF($BF$1720 &gt;= $G$204, "1","0")</f>
        <v>0</v>
      </c>
      <c r="BI1720">
        <f xml:space="preserve"> IF( AND( $BG$1720 = "1", $BH$1720 = "1" ), 1, IF( AND( $BG$1720 = "1", $BH$1720 = "0" ), 2, IF( AND( $BG$1720 = "0", $BH$1720 = "1" ), 3, 4 ) ) )</f>
        <v>4</v>
      </c>
    </row>
    <row r="1721" spans="58:61" x14ac:dyDescent="0.25">
      <c r="BF1721" s="1">
        <v>0</v>
      </c>
      <c r="BG1721" t="str">
        <f>"0"</f>
        <v>0</v>
      </c>
      <c r="BH1721" t="str">
        <f xml:space="preserve"> IF($BF$1721 &gt;= $G$204, "1","0")</f>
        <v>0</v>
      </c>
      <c r="BI1721">
        <f xml:space="preserve"> IF( AND( $BG$1721 = "1", $BH$1721 = "1" ), 1, IF( AND( $BG$1721 = "1", $BH$1721 = "0" ), 2, IF( AND( $BG$1721 = "0", $BH$1721 = "1" ), 3, 4 ) ) )</f>
        <v>4</v>
      </c>
    </row>
    <row r="1722" spans="58:61" x14ac:dyDescent="0.25">
      <c r="BF1722" s="1">
        <v>0.2608695652173913</v>
      </c>
      <c r="BG1722" t="str">
        <f>"0"</f>
        <v>0</v>
      </c>
      <c r="BH1722" t="str">
        <f xml:space="preserve"> IF($BF$1722 &gt;= $G$204, "1","0")</f>
        <v>1</v>
      </c>
      <c r="BI1722">
        <f xml:space="preserve"> IF( AND( $BG$1722 = "1", $BH$1722 = "1" ), 1, IF( AND( $BG$1722 = "1", $BH$1722 = "0" ), 2, IF( AND( $BG$1722 = "0", $BH$1722 = "1" ), 3, 4 ) ) )</f>
        <v>3</v>
      </c>
    </row>
    <row r="1723" spans="58:61" x14ac:dyDescent="0.25">
      <c r="BF1723" s="1">
        <v>0</v>
      </c>
      <c r="BG1723" t="str">
        <f>"0"</f>
        <v>0</v>
      </c>
      <c r="BH1723" t="str">
        <f xml:space="preserve"> IF($BF$1723 &gt;= $G$204, "1","0")</f>
        <v>0</v>
      </c>
      <c r="BI1723">
        <f xml:space="preserve"> IF( AND( $BG$1723 = "1", $BH$1723 = "1" ), 1, IF( AND( $BG$1723 = "1", $BH$1723 = "0" ), 2, IF( AND( $BG$1723 = "0", $BH$1723 = "1" ), 3, 4 ) ) )</f>
        <v>4</v>
      </c>
    </row>
    <row r="1724" spans="58:61" x14ac:dyDescent="0.25">
      <c r="BF1724" s="1">
        <v>0</v>
      </c>
      <c r="BG1724" t="str">
        <f>"0"</f>
        <v>0</v>
      </c>
      <c r="BH1724" t="str">
        <f xml:space="preserve"> IF($BF$1724 &gt;= $G$204, "1","0")</f>
        <v>0</v>
      </c>
      <c r="BI1724">
        <f xml:space="preserve"> IF( AND( $BG$1724 = "1", $BH$1724 = "1" ), 1, IF( AND( $BG$1724 = "1", $BH$1724 = "0" ), 2, IF( AND( $BG$1724 = "0", $BH$1724 = "1" ), 3, 4 ) ) )</f>
        <v>4</v>
      </c>
    </row>
    <row r="1725" spans="58:61" x14ac:dyDescent="0.25">
      <c r="BF1725" s="1">
        <v>0.79999999999999993</v>
      </c>
      <c r="BG1725" t="str">
        <f>"1"</f>
        <v>1</v>
      </c>
      <c r="BH1725" t="str">
        <f xml:space="preserve"> IF($BF$1725 &gt;= $G$204, "1","0")</f>
        <v>1</v>
      </c>
      <c r="BI1725">
        <f xml:space="preserve"> IF( AND( $BG$1725 = "1", $BH$1725 = "1" ), 1, IF( AND( $BG$1725 = "1", $BH$1725 = "0" ), 2, IF( AND( $BG$1725 = "0", $BH$1725 = "1" ), 3, 4 ) ) )</f>
        <v>1</v>
      </c>
    </row>
    <row r="1726" spans="58:61" x14ac:dyDescent="0.25">
      <c r="BF1726" s="1">
        <v>0</v>
      </c>
      <c r="BG1726" t="str">
        <f>"0"</f>
        <v>0</v>
      </c>
      <c r="BH1726" t="str">
        <f xml:space="preserve"> IF($BF$1726 &gt;= $G$204, "1","0")</f>
        <v>0</v>
      </c>
      <c r="BI1726">
        <f xml:space="preserve"> IF( AND( $BG$1726 = "1", $BH$1726 = "1" ), 1, IF( AND( $BG$1726 = "1", $BH$1726 = "0" ), 2, IF( AND( $BG$1726 = "0", $BH$1726 = "1" ), 3, 4 ) ) )</f>
        <v>4</v>
      </c>
    </row>
    <row r="1727" spans="58:61" x14ac:dyDescent="0.25">
      <c r="BF1727" s="1">
        <v>0.04</v>
      </c>
      <c r="BG1727" t="str">
        <f>"0"</f>
        <v>0</v>
      </c>
      <c r="BH1727" t="str">
        <f xml:space="preserve"> IF($BF$1727 &gt;= $G$204, "1","0")</f>
        <v>0</v>
      </c>
      <c r="BI1727">
        <f xml:space="preserve"> IF( AND( $BG$1727 = "1", $BH$1727 = "1" ), 1, IF( AND( $BG$1727 = "1", $BH$1727 = "0" ), 2, IF( AND( $BG$1727 = "0", $BH$1727 = "1" ), 3, 4 ) ) )</f>
        <v>4</v>
      </c>
    </row>
    <row r="1728" spans="58:61" x14ac:dyDescent="0.25">
      <c r="BF1728" s="1">
        <v>1</v>
      </c>
      <c r="BG1728" t="str">
        <f>"1"</f>
        <v>1</v>
      </c>
      <c r="BH1728" t="str">
        <f xml:space="preserve"> IF($BF$1728 &gt;= $G$204, "1","0")</f>
        <v>1</v>
      </c>
      <c r="BI1728">
        <f xml:space="preserve"> IF( AND( $BG$1728 = "1", $BH$1728 = "1" ), 1, IF( AND( $BG$1728 = "1", $BH$1728 = "0" ), 2, IF( AND( $BG$1728 = "0", $BH$1728 = "1" ), 3, 4 ) ) )</f>
        <v>1</v>
      </c>
    </row>
    <row r="1729" spans="58:61" x14ac:dyDescent="0.25">
      <c r="BF1729" s="1">
        <v>0</v>
      </c>
      <c r="BG1729" t="str">
        <f>"0"</f>
        <v>0</v>
      </c>
      <c r="BH1729" t="str">
        <f xml:space="preserve"> IF($BF$1729 &gt;= $G$204, "1","0")</f>
        <v>0</v>
      </c>
      <c r="BI1729">
        <f xml:space="preserve"> IF( AND( $BG$1729 = "1", $BH$1729 = "1" ), 1, IF( AND( $BG$1729 = "1", $BH$1729 = "0" ), 2, IF( AND( $BG$1729 = "0", $BH$1729 = "1" ), 3, 4 ) ) )</f>
        <v>4</v>
      </c>
    </row>
    <row r="1730" spans="58:61" x14ac:dyDescent="0.25">
      <c r="BF1730" s="1">
        <v>0.3</v>
      </c>
      <c r="BG1730" t="str">
        <f>"1"</f>
        <v>1</v>
      </c>
      <c r="BH1730" t="str">
        <f xml:space="preserve"> IF($BF$1730 &gt;= $G$204, "1","0")</f>
        <v>1</v>
      </c>
      <c r="BI1730">
        <f xml:space="preserve"> IF( AND( $BG$1730 = "1", $BH$1730 = "1" ), 1, IF( AND( $BG$1730 = "1", $BH$1730 = "0" ), 2, IF( AND( $BG$1730 = "0", $BH$1730 = "1" ), 3, 4 ) ) )</f>
        <v>1</v>
      </c>
    </row>
    <row r="1731" spans="58:61" x14ac:dyDescent="0.25">
      <c r="BF1731" s="1">
        <v>0.52941176470588236</v>
      </c>
      <c r="BG1731" t="str">
        <f>"1"</f>
        <v>1</v>
      </c>
      <c r="BH1731" t="str">
        <f xml:space="preserve"> IF($BF$1731 &gt;= $G$204, "1","0")</f>
        <v>1</v>
      </c>
      <c r="BI1731">
        <f xml:space="preserve"> IF( AND( $BG$1731 = "1", $BH$1731 = "1" ), 1, IF( AND( $BG$1731 = "1", $BH$1731 = "0" ), 2, IF( AND( $BG$1731 = "0", $BH$1731 = "1" ), 3, 4 ) ) )</f>
        <v>1</v>
      </c>
    </row>
    <row r="1732" spans="58:61" x14ac:dyDescent="0.25">
      <c r="BF1732" s="1">
        <v>0.21428571428571427</v>
      </c>
      <c r="BG1732" t="str">
        <f>"0"</f>
        <v>0</v>
      </c>
      <c r="BH1732" t="str">
        <f xml:space="preserve"> IF($BF$1732 &gt;= $G$204, "1","0")</f>
        <v>0</v>
      </c>
      <c r="BI1732">
        <f xml:space="preserve"> IF( AND( $BG$1732 = "1", $BH$1732 = "1" ), 1, IF( AND( $BG$1732 = "1", $BH$1732 = "0" ), 2, IF( AND( $BG$1732 = "0", $BH$1732 = "1" ), 3, 4 ) ) )</f>
        <v>4</v>
      </c>
    </row>
    <row r="1733" spans="58:61" x14ac:dyDescent="0.25">
      <c r="BF1733" s="1">
        <v>0</v>
      </c>
      <c r="BG1733" t="str">
        <f>"0"</f>
        <v>0</v>
      </c>
      <c r="BH1733" t="str">
        <f xml:space="preserve"> IF($BF$1733 &gt;= $G$204, "1","0")</f>
        <v>0</v>
      </c>
      <c r="BI1733">
        <f xml:space="preserve"> IF( AND( $BG$1733 = "1", $BH$1733 = "1" ), 1, IF( AND( $BG$1733 = "1", $BH$1733 = "0" ), 2, IF( AND( $BG$1733 = "0", $BH$1733 = "1" ), 3, 4 ) ) )</f>
        <v>4</v>
      </c>
    </row>
    <row r="1734" spans="58:61" x14ac:dyDescent="0.25">
      <c r="BF1734" s="1">
        <v>0</v>
      </c>
      <c r="BG1734" t="str">
        <f>"0"</f>
        <v>0</v>
      </c>
      <c r="BH1734" t="str">
        <f xml:space="preserve"> IF($BF$1734 &gt;= $G$204, "1","0")</f>
        <v>0</v>
      </c>
      <c r="BI1734">
        <f xml:space="preserve"> IF( AND( $BG$1734 = "1", $BH$1734 = "1" ), 1, IF( AND( $BG$1734 = "1", $BH$1734 = "0" ), 2, IF( AND( $BG$1734 = "0", $BH$1734 = "1" ), 3, 4 ) ) )</f>
        <v>4</v>
      </c>
    </row>
    <row r="1735" spans="58:61" x14ac:dyDescent="0.25">
      <c r="BF1735" s="1">
        <v>0</v>
      </c>
      <c r="BG1735" t="str">
        <f>"0"</f>
        <v>0</v>
      </c>
      <c r="BH1735" t="str">
        <f xml:space="preserve"> IF($BF$1735 &gt;= $G$204, "1","0")</f>
        <v>0</v>
      </c>
      <c r="BI1735">
        <f xml:space="preserve"> IF( AND( $BG$1735 = "1", $BH$1735 = "1" ), 1, IF( AND( $BG$1735 = "1", $BH$1735 = "0" ), 2, IF( AND( $BG$1735 = "0", $BH$1735 = "1" ), 3, 4 ) ) )</f>
        <v>4</v>
      </c>
    </row>
    <row r="1736" spans="58:61" x14ac:dyDescent="0.25">
      <c r="BF1736" s="1">
        <v>0</v>
      </c>
      <c r="BG1736" t="str">
        <f>"0"</f>
        <v>0</v>
      </c>
      <c r="BH1736" t="str">
        <f xml:space="preserve"> IF($BF$1736 &gt;= $G$204, "1","0")</f>
        <v>0</v>
      </c>
      <c r="BI1736">
        <f xml:space="preserve"> IF( AND( $BG$1736 = "1", $BH$1736 = "1" ), 1, IF( AND( $BG$1736 = "1", $BH$1736 = "0" ), 2, IF( AND( $BG$1736 = "0", $BH$1736 = "1" ), 3, 4 ) ) )</f>
        <v>4</v>
      </c>
    </row>
    <row r="1737" spans="58:61" x14ac:dyDescent="0.25">
      <c r="BF1737" s="1">
        <v>1</v>
      </c>
      <c r="BG1737" t="str">
        <f>"1"</f>
        <v>1</v>
      </c>
      <c r="BH1737" t="str">
        <f xml:space="preserve"> IF($BF$1737 &gt;= $G$204, "1","0")</f>
        <v>1</v>
      </c>
      <c r="BI1737">
        <f xml:space="preserve"> IF( AND( $BG$1737 = "1", $BH$1737 = "1" ), 1, IF( AND( $BG$1737 = "1", $BH$1737 = "0" ), 2, IF( AND( $BG$1737 = "0", $BH$1737 = "1" ), 3, 4 ) ) )</f>
        <v>1</v>
      </c>
    </row>
    <row r="1738" spans="58:61" x14ac:dyDescent="0.25">
      <c r="BF1738" s="1">
        <v>1</v>
      </c>
      <c r="BG1738" t="str">
        <f>"1"</f>
        <v>1</v>
      </c>
      <c r="BH1738" t="str">
        <f xml:space="preserve"> IF($BF$1738 &gt;= $G$204, "1","0")</f>
        <v>1</v>
      </c>
      <c r="BI1738">
        <f xml:space="preserve"> IF( AND( $BG$1738 = "1", $BH$1738 = "1" ), 1, IF( AND( $BG$1738 = "1", $BH$1738 = "0" ), 2, IF( AND( $BG$1738 = "0", $BH$1738 = "1" ), 3, 4 ) ) )</f>
        <v>1</v>
      </c>
    </row>
    <row r="1739" spans="58:61" x14ac:dyDescent="0.25">
      <c r="BF1739" s="1">
        <v>0</v>
      </c>
      <c r="BG1739" t="str">
        <f>"0"</f>
        <v>0</v>
      </c>
      <c r="BH1739" t="str">
        <f xml:space="preserve"> IF($BF$1739 &gt;= $G$204, "1","0")</f>
        <v>0</v>
      </c>
      <c r="BI1739">
        <f xml:space="preserve"> IF( AND( $BG$1739 = "1", $BH$1739 = "1" ), 1, IF( AND( $BG$1739 = "1", $BH$1739 = "0" ), 2, IF( AND( $BG$1739 = "0", $BH$1739 = "1" ), 3, 4 ) ) )</f>
        <v>4</v>
      </c>
    </row>
    <row r="1740" spans="58:61" x14ac:dyDescent="0.25">
      <c r="BF1740" s="1">
        <v>0</v>
      </c>
      <c r="BG1740" t="str">
        <f>"0"</f>
        <v>0</v>
      </c>
      <c r="BH1740" t="str">
        <f xml:space="preserve"> IF($BF$1740 &gt;= $G$204, "1","0")</f>
        <v>0</v>
      </c>
      <c r="BI1740">
        <f xml:space="preserve"> IF( AND( $BG$1740 = "1", $BH$1740 = "1" ), 1, IF( AND( $BG$1740 = "1", $BH$1740 = "0" ), 2, IF( AND( $BG$1740 = "0", $BH$1740 = "1" ), 3, 4 ) ) )</f>
        <v>4</v>
      </c>
    </row>
    <row r="1741" spans="58:61" x14ac:dyDescent="0.25">
      <c r="BF1741" s="1">
        <v>0.38461538461538464</v>
      </c>
      <c r="BG1741" t="str">
        <f>"0"</f>
        <v>0</v>
      </c>
      <c r="BH1741" t="str">
        <f xml:space="preserve"> IF($BF$1741 &gt;= $G$204, "1","0")</f>
        <v>1</v>
      </c>
      <c r="BI1741">
        <f xml:space="preserve"> IF( AND( $BG$1741 = "1", $BH$1741 = "1" ), 1, IF( AND( $BG$1741 = "1", $BH$1741 = "0" ), 2, IF( AND( $BG$1741 = "0", $BH$1741 = "1" ), 3, 4 ) ) )</f>
        <v>3</v>
      </c>
    </row>
    <row r="1742" spans="58:61" x14ac:dyDescent="0.25">
      <c r="BF1742" s="1">
        <v>0</v>
      </c>
      <c r="BG1742" t="str">
        <f>"0"</f>
        <v>0</v>
      </c>
      <c r="BH1742" t="str">
        <f xml:space="preserve"> IF($BF$1742 &gt;= $G$204, "1","0")</f>
        <v>0</v>
      </c>
      <c r="BI1742">
        <f xml:space="preserve"> IF( AND( $BG$1742 = "1", $BH$1742 = "1" ), 1, IF( AND( $BG$1742 = "1", $BH$1742 = "0" ), 2, IF( AND( $BG$1742 = "0", $BH$1742 = "1" ), 3, 4 ) ) )</f>
        <v>4</v>
      </c>
    </row>
    <row r="1743" spans="58:61" x14ac:dyDescent="0.25">
      <c r="BF1743" s="1">
        <v>0.44444444444444448</v>
      </c>
      <c r="BG1743" t="str">
        <f>"0"</f>
        <v>0</v>
      </c>
      <c r="BH1743" t="str">
        <f xml:space="preserve"> IF($BF$1743 &gt;= $G$204, "1","0")</f>
        <v>1</v>
      </c>
      <c r="BI1743">
        <f xml:space="preserve"> IF( AND( $BG$1743 = "1", $BH$1743 = "1" ), 1, IF( AND( $BG$1743 = "1", $BH$1743 = "0" ), 2, IF( AND( $BG$1743 = "0", $BH$1743 = "1" ), 3, 4 ) ) )</f>
        <v>3</v>
      </c>
    </row>
    <row r="1744" spans="58:61" x14ac:dyDescent="0.25">
      <c r="BF1744" s="1">
        <v>0.79999999999999993</v>
      </c>
      <c r="BG1744" t="str">
        <f>"1"</f>
        <v>1</v>
      </c>
      <c r="BH1744" t="str">
        <f xml:space="preserve"> IF($BF$1744 &gt;= $G$204, "1","0")</f>
        <v>1</v>
      </c>
      <c r="BI1744">
        <f xml:space="preserve"> IF( AND( $BG$1744 = "1", $BH$1744 = "1" ), 1, IF( AND( $BG$1744 = "1", $BH$1744 = "0" ), 2, IF( AND( $BG$1744 = "0", $BH$1744 = "1" ), 3, 4 ) ) )</f>
        <v>1</v>
      </c>
    </row>
    <row r="1745" spans="58:61" x14ac:dyDescent="0.25">
      <c r="BF1745" s="1">
        <v>0</v>
      </c>
      <c r="BG1745" t="str">
        <f>"0"</f>
        <v>0</v>
      </c>
      <c r="BH1745" t="str">
        <f xml:space="preserve"> IF($BF$1745 &gt;= $G$204, "1","0")</f>
        <v>0</v>
      </c>
      <c r="BI1745">
        <f xml:space="preserve"> IF( AND( $BG$1745 = "1", $BH$1745 = "1" ), 1, IF( AND( $BG$1745 = "1", $BH$1745 = "0" ), 2, IF( AND( $BG$1745 = "0", $BH$1745 = "1" ), 3, 4 ) ) )</f>
        <v>4</v>
      </c>
    </row>
    <row r="1746" spans="58:61" x14ac:dyDescent="0.25">
      <c r="BF1746" s="1">
        <v>0</v>
      </c>
      <c r="BG1746" t="str">
        <f>"0"</f>
        <v>0</v>
      </c>
      <c r="BH1746" t="str">
        <f xml:space="preserve"> IF($BF$1746 &gt;= $G$204, "1","0")</f>
        <v>0</v>
      </c>
      <c r="BI1746">
        <f xml:space="preserve"> IF( AND( $BG$1746 = "1", $BH$1746 = "1" ), 1, IF( AND( $BG$1746 = "1", $BH$1746 = "0" ), 2, IF( AND( $BG$1746 = "0", $BH$1746 = "1" ), 3, 4 ) ) )</f>
        <v>4</v>
      </c>
    </row>
    <row r="1747" spans="58:61" x14ac:dyDescent="0.25">
      <c r="BF1747" s="1">
        <v>0</v>
      </c>
      <c r="BG1747" t="str">
        <f>"0"</f>
        <v>0</v>
      </c>
      <c r="BH1747" t="str">
        <f xml:space="preserve"> IF($BF$1747 &gt;= $G$204, "1","0")</f>
        <v>0</v>
      </c>
      <c r="BI1747">
        <f xml:space="preserve"> IF( AND( $BG$1747 = "1", $BH$1747 = "1" ), 1, IF( AND( $BG$1747 = "1", $BH$1747 = "0" ), 2, IF( AND( $BG$1747 = "0", $BH$1747 = "1" ), 3, 4 ) ) )</f>
        <v>4</v>
      </c>
    </row>
    <row r="1748" spans="58:61" x14ac:dyDescent="0.25">
      <c r="BF1748" s="1">
        <v>0.79999999999999993</v>
      </c>
      <c r="BG1748" t="str">
        <f>"1"</f>
        <v>1</v>
      </c>
      <c r="BH1748" t="str">
        <f xml:space="preserve"> IF($BF$1748 &gt;= $G$204, "1","0")</f>
        <v>1</v>
      </c>
      <c r="BI1748">
        <f xml:space="preserve"> IF( AND( $BG$1748 = "1", $BH$1748 = "1" ), 1, IF( AND( $BG$1748 = "1", $BH$1748 = "0" ), 2, IF( AND( $BG$1748 = "0", $BH$1748 = "1" ), 3, 4 ) ) )</f>
        <v>1</v>
      </c>
    </row>
    <row r="1749" spans="58:61" x14ac:dyDescent="0.25">
      <c r="BF1749" s="1">
        <v>0.43750000000000006</v>
      </c>
      <c r="BG1749" t="str">
        <f>"0"</f>
        <v>0</v>
      </c>
      <c r="BH1749" t="str">
        <f xml:space="preserve"> IF($BF$1749 &gt;= $G$204, "1","0")</f>
        <v>1</v>
      </c>
      <c r="BI1749">
        <f xml:space="preserve"> IF( AND( $BG$1749 = "1", $BH$1749 = "1" ), 1, IF( AND( $BG$1749 = "1", $BH$1749 = "0" ), 2, IF( AND( $BG$1749 = "0", $BH$1749 = "1" ), 3, 4 ) ) )</f>
        <v>3</v>
      </c>
    </row>
    <row r="1750" spans="58:61" x14ac:dyDescent="0.25">
      <c r="BF1750" s="1">
        <v>0</v>
      </c>
      <c r="BG1750" t="str">
        <f>"0"</f>
        <v>0</v>
      </c>
      <c r="BH1750" t="str">
        <f xml:space="preserve"> IF($BF$1750 &gt;= $G$204, "1","0")</f>
        <v>0</v>
      </c>
      <c r="BI1750">
        <f xml:space="preserve"> IF( AND( $BG$1750 = "1", $BH$1750 = "1" ), 1, IF( AND( $BG$1750 = "1", $BH$1750 = "0" ), 2, IF( AND( $BG$1750 = "0", $BH$1750 = "1" ), 3, 4 ) ) )</f>
        <v>4</v>
      </c>
    </row>
    <row r="1751" spans="58:61" x14ac:dyDescent="0.25">
      <c r="BF1751" s="1">
        <v>0.79999999999999993</v>
      </c>
      <c r="BG1751" t="str">
        <f>"1"</f>
        <v>1</v>
      </c>
      <c r="BH1751" t="str">
        <f xml:space="preserve"> IF($BF$1751 &gt;= $G$204, "1","0")</f>
        <v>1</v>
      </c>
      <c r="BI1751">
        <f xml:space="preserve"> IF( AND( $BG$1751 = "1", $BH$1751 = "1" ), 1, IF( AND( $BG$1751 = "1", $BH$1751 = "0" ), 2, IF( AND( $BG$1751 = "0", $BH$1751 = "1" ), 3, 4 ) ) )</f>
        <v>1</v>
      </c>
    </row>
    <row r="1752" spans="58:61" x14ac:dyDescent="0.25">
      <c r="BF1752" s="1">
        <v>0</v>
      </c>
      <c r="BG1752" t="str">
        <f>"0"</f>
        <v>0</v>
      </c>
      <c r="BH1752" t="str">
        <f xml:space="preserve"> IF($BF$1752 &gt;= $G$204, "1","0")</f>
        <v>0</v>
      </c>
      <c r="BI1752">
        <f xml:space="preserve"> IF( AND( $BG$1752 = "1", $BH$1752 = "1" ), 1, IF( AND( $BG$1752 = "1", $BH$1752 = "0" ), 2, IF( AND( $BG$1752 = "0", $BH$1752 = "1" ), 3, 4 ) ) )</f>
        <v>4</v>
      </c>
    </row>
    <row r="1753" spans="58:61" x14ac:dyDescent="0.25">
      <c r="BF1753" s="1">
        <v>0</v>
      </c>
      <c r="BG1753" t="str">
        <f>"0"</f>
        <v>0</v>
      </c>
      <c r="BH1753" t="str">
        <f xml:space="preserve"> IF($BF$1753 &gt;= $G$204, "1","0")</f>
        <v>0</v>
      </c>
      <c r="BI1753">
        <f xml:space="preserve"> IF( AND( $BG$1753 = "1", $BH$1753 = "1" ), 1, IF( AND( $BG$1753 = "1", $BH$1753 = "0" ), 2, IF( AND( $BG$1753 = "0", $BH$1753 = "1" ), 3, 4 ) ) )</f>
        <v>4</v>
      </c>
    </row>
    <row r="1754" spans="58:61" x14ac:dyDescent="0.25">
      <c r="BF1754" s="1">
        <v>0</v>
      </c>
      <c r="BG1754" t="str">
        <f>"0"</f>
        <v>0</v>
      </c>
      <c r="BH1754" t="str">
        <f xml:space="preserve"> IF($BF$1754 &gt;= $G$204, "1","0")</f>
        <v>0</v>
      </c>
      <c r="BI1754">
        <f xml:space="preserve"> IF( AND( $BG$1754 = "1", $BH$1754 = "1" ), 1, IF( AND( $BG$1754 = "1", $BH$1754 = "0" ), 2, IF( AND( $BG$1754 = "0", $BH$1754 = "1" ), 3, 4 ) ) )</f>
        <v>4</v>
      </c>
    </row>
    <row r="1755" spans="58:61" x14ac:dyDescent="0.25">
      <c r="BF1755" s="1">
        <v>1</v>
      </c>
      <c r="BG1755" t="str">
        <f>"1"</f>
        <v>1</v>
      </c>
      <c r="BH1755" t="str">
        <f xml:space="preserve"> IF($BF$1755 &gt;= $G$204, "1","0")</f>
        <v>1</v>
      </c>
      <c r="BI1755">
        <f xml:space="preserve"> IF( AND( $BG$1755 = "1", $BH$1755 = "1" ), 1, IF( AND( $BG$1755 = "1", $BH$1755 = "0" ), 2, IF( AND( $BG$1755 = "0", $BH$1755 = "1" ), 3, 4 ) ) )</f>
        <v>1</v>
      </c>
    </row>
    <row r="1756" spans="58:61" x14ac:dyDescent="0.25">
      <c r="BF1756" s="1">
        <v>0</v>
      </c>
      <c r="BG1756" t="str">
        <f>"0"</f>
        <v>0</v>
      </c>
      <c r="BH1756" t="str">
        <f xml:space="preserve"> IF($BF$1756 &gt;= $G$204, "1","0")</f>
        <v>0</v>
      </c>
      <c r="BI1756">
        <f xml:space="preserve"> IF( AND( $BG$1756 = "1", $BH$1756 = "1" ), 1, IF( AND( $BG$1756 = "1", $BH$1756 = "0" ), 2, IF( AND( $BG$1756 = "0", $BH$1756 = "1" ), 3, 4 ) ) )</f>
        <v>4</v>
      </c>
    </row>
    <row r="1757" spans="58:61" x14ac:dyDescent="0.25">
      <c r="BF1757" s="1">
        <v>0.52941176470588236</v>
      </c>
      <c r="BG1757" t="str">
        <f>"0"</f>
        <v>0</v>
      </c>
      <c r="BH1757" t="str">
        <f xml:space="preserve"> IF($BF$1757 &gt;= $G$204, "1","0")</f>
        <v>1</v>
      </c>
      <c r="BI1757">
        <f xml:space="preserve"> IF( AND( $BG$1757 = "1", $BH$1757 = "1" ), 1, IF( AND( $BG$1757 = "1", $BH$1757 = "0" ), 2, IF( AND( $BG$1757 = "0", $BH$1757 = "1" ), 3, 4 ) ) )</f>
        <v>3</v>
      </c>
    </row>
    <row r="1758" spans="58:61" x14ac:dyDescent="0.25">
      <c r="BF1758" s="1">
        <v>0</v>
      </c>
      <c r="BG1758" t="str">
        <f>"0"</f>
        <v>0</v>
      </c>
      <c r="BH1758" t="str">
        <f xml:space="preserve"> IF($BF$1758 &gt;= $G$204, "1","0")</f>
        <v>0</v>
      </c>
      <c r="BI1758">
        <f xml:space="preserve"> IF( AND( $BG$1758 = "1", $BH$1758 = "1" ), 1, IF( AND( $BG$1758 = "1", $BH$1758 = "0" ), 2, IF( AND( $BG$1758 = "0", $BH$1758 = "1" ), 3, 4 ) ) )</f>
        <v>4</v>
      </c>
    </row>
    <row r="1759" spans="58:61" x14ac:dyDescent="0.25">
      <c r="BF1759" s="1">
        <v>0</v>
      </c>
      <c r="BG1759" t="str">
        <f>"0"</f>
        <v>0</v>
      </c>
      <c r="BH1759" t="str">
        <f xml:space="preserve"> IF($BF$1759 &gt;= $G$204, "1","0")</f>
        <v>0</v>
      </c>
      <c r="BI1759">
        <f xml:space="preserve"> IF( AND( $BG$1759 = "1", $BH$1759 = "1" ), 1, IF( AND( $BG$1759 = "1", $BH$1759 = "0" ), 2, IF( AND( $BG$1759 = "0", $BH$1759 = "1" ), 3, 4 ) ) )</f>
        <v>4</v>
      </c>
    </row>
    <row r="1760" spans="58:61" x14ac:dyDescent="0.25">
      <c r="BF1760" s="1">
        <v>0</v>
      </c>
      <c r="BG1760" t="str">
        <f>"0"</f>
        <v>0</v>
      </c>
      <c r="BH1760" t="str">
        <f xml:space="preserve"> IF($BF$1760 &gt;= $G$204, "1","0")</f>
        <v>0</v>
      </c>
      <c r="BI1760">
        <f xml:space="preserve"> IF( AND( $BG$1760 = "1", $BH$1760 = "1" ), 1, IF( AND( $BG$1760 = "1", $BH$1760 = "0" ), 2, IF( AND( $BG$1760 = "0", $BH$1760 = "1" ), 3, 4 ) ) )</f>
        <v>4</v>
      </c>
    </row>
    <row r="1761" spans="58:61" x14ac:dyDescent="0.25">
      <c r="BF1761" s="1">
        <v>0</v>
      </c>
      <c r="BG1761" t="str">
        <f>"0"</f>
        <v>0</v>
      </c>
      <c r="BH1761" t="str">
        <f xml:space="preserve"> IF($BF$1761 &gt;= $G$204, "1","0")</f>
        <v>0</v>
      </c>
      <c r="BI1761">
        <f xml:space="preserve"> IF( AND( $BG$1761 = "1", $BH$1761 = "1" ), 1, IF( AND( $BG$1761 = "1", $BH$1761 = "0" ), 2, IF( AND( $BG$1761 = "0", $BH$1761 = "1" ), 3, 4 ) ) )</f>
        <v>4</v>
      </c>
    </row>
    <row r="1762" spans="58:61" x14ac:dyDescent="0.25">
      <c r="BF1762" s="1">
        <v>0</v>
      </c>
      <c r="BG1762" t="str">
        <f>"0"</f>
        <v>0</v>
      </c>
      <c r="BH1762" t="str">
        <f xml:space="preserve"> IF($BF$1762 &gt;= $G$204, "1","0")</f>
        <v>0</v>
      </c>
      <c r="BI1762">
        <f xml:space="preserve"> IF( AND( $BG$1762 = "1", $BH$1762 = "1" ), 1, IF( AND( $BG$1762 = "1", $BH$1762 = "0" ), 2, IF( AND( $BG$1762 = "0", $BH$1762 = "1" ), 3, 4 ) ) )</f>
        <v>4</v>
      </c>
    </row>
    <row r="1763" spans="58:61" x14ac:dyDescent="0.25">
      <c r="BF1763" s="1">
        <v>0</v>
      </c>
      <c r="BG1763" t="str">
        <f>"0"</f>
        <v>0</v>
      </c>
      <c r="BH1763" t="str">
        <f xml:space="preserve"> IF($BF$1763 &gt;= $G$204, "1","0")</f>
        <v>0</v>
      </c>
      <c r="BI1763">
        <f xml:space="preserve"> IF( AND( $BG$1763 = "1", $BH$1763 = "1" ), 1, IF( AND( $BG$1763 = "1", $BH$1763 = "0" ), 2, IF( AND( $BG$1763 = "0", $BH$1763 = "1" ), 3, 4 ) ) )</f>
        <v>4</v>
      </c>
    </row>
    <row r="1764" spans="58:61" x14ac:dyDescent="0.25">
      <c r="BF1764" s="1">
        <v>0</v>
      </c>
      <c r="BG1764" t="str">
        <f>"0"</f>
        <v>0</v>
      </c>
      <c r="BH1764" t="str">
        <f xml:space="preserve"> IF($BF$1764 &gt;= $G$204, "1","0")</f>
        <v>0</v>
      </c>
      <c r="BI1764">
        <f xml:space="preserve"> IF( AND( $BG$1764 = "1", $BH$1764 = "1" ), 1, IF( AND( $BG$1764 = "1", $BH$1764 = "0" ), 2, IF( AND( $BG$1764 = "0", $BH$1764 = "1" ), 3, 4 ) ) )</f>
        <v>4</v>
      </c>
    </row>
    <row r="1765" spans="58:61" x14ac:dyDescent="0.25">
      <c r="BF1765" s="1">
        <v>0</v>
      </c>
      <c r="BG1765" t="str">
        <f>"0"</f>
        <v>0</v>
      </c>
      <c r="BH1765" t="str">
        <f xml:space="preserve"> IF($BF$1765 &gt;= $G$204, "1","0")</f>
        <v>0</v>
      </c>
      <c r="BI1765">
        <f xml:space="preserve"> IF( AND( $BG$1765 = "1", $BH$1765 = "1" ), 1, IF( AND( $BG$1765 = "1", $BH$1765 = "0" ), 2, IF( AND( $BG$1765 = "0", $BH$1765 = "1" ), 3, 4 ) ) )</f>
        <v>4</v>
      </c>
    </row>
    <row r="1766" spans="58:61" x14ac:dyDescent="0.25">
      <c r="BF1766" s="1">
        <v>0</v>
      </c>
      <c r="BG1766" t="str">
        <f>"0"</f>
        <v>0</v>
      </c>
      <c r="BH1766" t="str">
        <f xml:space="preserve"> IF($BF$1766 &gt;= $G$204, "1","0")</f>
        <v>0</v>
      </c>
      <c r="BI1766">
        <f xml:space="preserve"> IF( AND( $BG$1766 = "1", $BH$1766 = "1" ), 1, IF( AND( $BG$1766 = "1", $BH$1766 = "0" ), 2, IF( AND( $BG$1766 = "0", $BH$1766 = "1" ), 3, 4 ) ) )</f>
        <v>4</v>
      </c>
    </row>
    <row r="1767" spans="58:61" x14ac:dyDescent="0.25">
      <c r="BF1767" s="1">
        <v>0</v>
      </c>
      <c r="BG1767" t="str">
        <f>"0"</f>
        <v>0</v>
      </c>
      <c r="BH1767" t="str">
        <f xml:space="preserve"> IF($BF$1767 &gt;= $G$204, "1","0")</f>
        <v>0</v>
      </c>
      <c r="BI1767">
        <f xml:space="preserve"> IF( AND( $BG$1767 = "1", $BH$1767 = "1" ), 1, IF( AND( $BG$1767 = "1", $BH$1767 = "0" ), 2, IF( AND( $BG$1767 = "0", $BH$1767 = "1" ), 3, 4 ) ) )</f>
        <v>4</v>
      </c>
    </row>
    <row r="1768" spans="58:61" x14ac:dyDescent="0.25">
      <c r="BF1768" s="1">
        <v>0</v>
      </c>
      <c r="BG1768" t="str">
        <f>"0"</f>
        <v>0</v>
      </c>
      <c r="BH1768" t="str">
        <f xml:space="preserve"> IF($BF$1768 &gt;= $G$204, "1","0")</f>
        <v>0</v>
      </c>
      <c r="BI1768">
        <f xml:space="preserve"> IF( AND( $BG$1768 = "1", $BH$1768 = "1" ), 1, IF( AND( $BG$1768 = "1", $BH$1768 = "0" ), 2, IF( AND( $BG$1768 = "0", $BH$1768 = "1" ), 3, 4 ) ) )</f>
        <v>4</v>
      </c>
    </row>
    <row r="1769" spans="58:61" x14ac:dyDescent="0.25">
      <c r="BF1769" s="1">
        <v>0</v>
      </c>
      <c r="BG1769" t="str">
        <f>"0"</f>
        <v>0</v>
      </c>
      <c r="BH1769" t="str">
        <f xml:space="preserve"> IF($BF$1769 &gt;= $G$204, "1","0")</f>
        <v>0</v>
      </c>
      <c r="BI1769">
        <f xml:space="preserve"> IF( AND( $BG$1769 = "1", $BH$1769 = "1" ), 1, IF( AND( $BG$1769 = "1", $BH$1769 = "0" ), 2, IF( AND( $BG$1769 = "0", $BH$1769 = "1" ), 3, 4 ) ) )</f>
        <v>4</v>
      </c>
    </row>
    <row r="1770" spans="58:61" x14ac:dyDescent="0.25">
      <c r="BF1770" s="1">
        <v>0</v>
      </c>
      <c r="BG1770" t="str">
        <f>"0"</f>
        <v>0</v>
      </c>
      <c r="BH1770" t="str">
        <f xml:space="preserve"> IF($BF$1770 &gt;= $G$204, "1","0")</f>
        <v>0</v>
      </c>
      <c r="BI1770">
        <f xml:space="preserve"> IF( AND( $BG$1770 = "1", $BH$1770 = "1" ), 1, IF( AND( $BG$1770 = "1", $BH$1770 = "0" ), 2, IF( AND( $BG$1770 = "0", $BH$1770 = "1" ), 3, 4 ) ) )</f>
        <v>4</v>
      </c>
    </row>
    <row r="1771" spans="58:61" x14ac:dyDescent="0.25">
      <c r="BF1771" s="1">
        <v>0</v>
      </c>
      <c r="BG1771" t="str">
        <f>"0"</f>
        <v>0</v>
      </c>
      <c r="BH1771" t="str">
        <f xml:space="preserve"> IF($BF$1771 &gt;= $G$204, "1","0")</f>
        <v>0</v>
      </c>
      <c r="BI1771">
        <f xml:space="preserve"> IF( AND( $BG$1771 = "1", $BH$1771 = "1" ), 1, IF( AND( $BG$1771 = "1", $BH$1771 = "0" ), 2, IF( AND( $BG$1771 = "0", $BH$1771 = "1" ), 3, 4 ) ) )</f>
        <v>4</v>
      </c>
    </row>
    <row r="1772" spans="58:61" x14ac:dyDescent="0.25">
      <c r="BF1772" s="1">
        <v>0</v>
      </c>
      <c r="BG1772" t="str">
        <f>"0"</f>
        <v>0</v>
      </c>
      <c r="BH1772" t="str">
        <f xml:space="preserve"> IF($BF$1772 &gt;= $G$204, "1","0")</f>
        <v>0</v>
      </c>
      <c r="BI1772">
        <f xml:space="preserve"> IF( AND( $BG$1772 = "1", $BH$1772 = "1" ), 1, IF( AND( $BG$1772 = "1", $BH$1772 = "0" ), 2, IF( AND( $BG$1772 = "0", $BH$1772 = "1" ), 3, 4 ) ) )</f>
        <v>4</v>
      </c>
    </row>
    <row r="1773" spans="58:61" x14ac:dyDescent="0.25">
      <c r="BF1773" s="1">
        <v>0.52941176470588236</v>
      </c>
      <c r="BG1773" t="str">
        <f>"0"</f>
        <v>0</v>
      </c>
      <c r="BH1773" t="str">
        <f xml:space="preserve"> IF($BF$1773 &gt;= $G$204, "1","0")</f>
        <v>1</v>
      </c>
      <c r="BI1773">
        <f xml:space="preserve"> IF( AND( $BG$1773 = "1", $BH$1773 = "1" ), 1, IF( AND( $BG$1773 = "1", $BH$1773 = "0" ), 2, IF( AND( $BG$1773 = "0", $BH$1773 = "1" ), 3, 4 ) ) )</f>
        <v>3</v>
      </c>
    </row>
    <row r="1774" spans="58:61" x14ac:dyDescent="0.25">
      <c r="BF1774" s="1">
        <v>1</v>
      </c>
      <c r="BG1774" t="str">
        <f>"1"</f>
        <v>1</v>
      </c>
      <c r="BH1774" t="str">
        <f xml:space="preserve"> IF($BF$1774 &gt;= $G$204, "1","0")</f>
        <v>1</v>
      </c>
      <c r="BI1774">
        <f xml:space="preserve"> IF( AND( $BG$1774 = "1", $BH$1774 = "1" ), 1, IF( AND( $BG$1774 = "1", $BH$1774 = "0" ), 2, IF( AND( $BG$1774 = "0", $BH$1774 = "1" ), 3, 4 ) ) )</f>
        <v>1</v>
      </c>
    </row>
    <row r="1775" spans="58:61" x14ac:dyDescent="0.25">
      <c r="BF1775" s="1">
        <v>0.37500000000000006</v>
      </c>
      <c r="BG1775" t="str">
        <f>"0"</f>
        <v>0</v>
      </c>
      <c r="BH1775" t="str">
        <f xml:space="preserve"> IF($BF$1775 &gt;= $G$204, "1","0")</f>
        <v>1</v>
      </c>
      <c r="BI1775">
        <f xml:space="preserve"> IF( AND( $BG$1775 = "1", $BH$1775 = "1" ), 1, IF( AND( $BG$1775 = "1", $BH$1775 = "0" ), 2, IF( AND( $BG$1775 = "0", $BH$1775 = "1" ), 3, 4 ) ) )</f>
        <v>3</v>
      </c>
    </row>
    <row r="1776" spans="58:61" x14ac:dyDescent="0.25">
      <c r="BF1776" s="1">
        <v>0</v>
      </c>
      <c r="BG1776" t="str">
        <f>"0"</f>
        <v>0</v>
      </c>
      <c r="BH1776" t="str">
        <f xml:space="preserve"> IF($BF$1776 &gt;= $G$204, "1","0")</f>
        <v>0</v>
      </c>
      <c r="BI1776">
        <f xml:space="preserve"> IF( AND( $BG$1776 = "1", $BH$1776 = "1" ), 1, IF( AND( $BG$1776 = "1", $BH$1776 = "0" ), 2, IF( AND( $BG$1776 = "0", $BH$1776 = "1" ), 3, 4 ) ) )</f>
        <v>4</v>
      </c>
    </row>
    <row r="1777" spans="58:61" x14ac:dyDescent="0.25">
      <c r="BF1777" s="1">
        <v>1</v>
      </c>
      <c r="BG1777" t="str">
        <f>"1"</f>
        <v>1</v>
      </c>
      <c r="BH1777" t="str">
        <f xml:space="preserve"> IF($BF$1777 &gt;= $G$204, "1","0")</f>
        <v>1</v>
      </c>
      <c r="BI1777">
        <f xml:space="preserve"> IF( AND( $BG$1777 = "1", $BH$1777 = "1" ), 1, IF( AND( $BG$1777 = "1", $BH$1777 = "0" ), 2, IF( AND( $BG$1777 = "0", $BH$1777 = "1" ), 3, 4 ) ) )</f>
        <v>1</v>
      </c>
    </row>
    <row r="1778" spans="58:61" x14ac:dyDescent="0.25">
      <c r="BF1778" s="1">
        <v>0</v>
      </c>
      <c r="BG1778" t="str">
        <f>"0"</f>
        <v>0</v>
      </c>
      <c r="BH1778" t="str">
        <f xml:space="preserve"> IF($BF$1778 &gt;= $G$204, "1","0")</f>
        <v>0</v>
      </c>
      <c r="BI1778">
        <f xml:space="preserve"> IF( AND( $BG$1778 = "1", $BH$1778 = "1" ), 1, IF( AND( $BG$1778 = "1", $BH$1778 = "0" ), 2, IF( AND( $BG$1778 = "0", $BH$1778 = "1" ), 3, 4 ) ) )</f>
        <v>4</v>
      </c>
    </row>
    <row r="1779" spans="58:61" x14ac:dyDescent="0.25">
      <c r="BF1779" s="1">
        <v>0.64</v>
      </c>
      <c r="BG1779" t="str">
        <f>"0"</f>
        <v>0</v>
      </c>
      <c r="BH1779" t="str">
        <f xml:space="preserve"> IF($BF$1779 &gt;= $G$204, "1","0")</f>
        <v>1</v>
      </c>
      <c r="BI1779">
        <f xml:space="preserve"> IF( AND( $BG$1779 = "1", $BH$1779 = "1" ), 1, IF( AND( $BG$1779 = "1", $BH$1779 = "0" ), 2, IF( AND( $BG$1779 = "0", $BH$1779 = "1" ), 3, 4 ) ) )</f>
        <v>3</v>
      </c>
    </row>
    <row r="1780" spans="58:61" x14ac:dyDescent="0.25">
      <c r="BF1780" s="1">
        <v>0</v>
      </c>
      <c r="BG1780" t="str">
        <f>"0"</f>
        <v>0</v>
      </c>
      <c r="BH1780" t="str">
        <f xml:space="preserve"> IF($BF$1780 &gt;= $G$204, "1","0")</f>
        <v>0</v>
      </c>
      <c r="BI1780">
        <f xml:space="preserve"> IF( AND( $BG$1780 = "1", $BH$1780 = "1" ), 1, IF( AND( $BG$1780 = "1", $BH$1780 = "0" ), 2, IF( AND( $BG$1780 = "0", $BH$1780 = "1" ), 3, 4 ) ) )</f>
        <v>4</v>
      </c>
    </row>
    <row r="1781" spans="58:61" x14ac:dyDescent="0.25">
      <c r="BF1781" s="1">
        <v>1</v>
      </c>
      <c r="BG1781" t="str">
        <f>"1"</f>
        <v>1</v>
      </c>
      <c r="BH1781" t="str">
        <f xml:space="preserve"> IF($BF$1781 &gt;= $G$204, "1","0")</f>
        <v>1</v>
      </c>
      <c r="BI1781">
        <f xml:space="preserve"> IF( AND( $BG$1781 = "1", $BH$1781 = "1" ), 1, IF( AND( $BG$1781 = "1", $BH$1781 = "0" ), 2, IF( AND( $BG$1781 = "0", $BH$1781 = "1" ), 3, 4 ) ) )</f>
        <v>1</v>
      </c>
    </row>
    <row r="1782" spans="58:61" x14ac:dyDescent="0.25">
      <c r="BF1782" s="1">
        <v>0</v>
      </c>
      <c r="BG1782" t="str">
        <f>"0"</f>
        <v>0</v>
      </c>
      <c r="BH1782" t="str">
        <f xml:space="preserve"> IF($BF$1782 &gt;= $G$204, "1","0")</f>
        <v>0</v>
      </c>
      <c r="BI1782">
        <f xml:space="preserve"> IF( AND( $BG$1782 = "1", $BH$1782 = "1" ), 1, IF( AND( $BG$1782 = "1", $BH$1782 = "0" ), 2, IF( AND( $BG$1782 = "0", $BH$1782 = "1" ), 3, 4 ) ) )</f>
        <v>4</v>
      </c>
    </row>
    <row r="1783" spans="58:61" x14ac:dyDescent="0.25">
      <c r="BF1783" s="1">
        <v>0</v>
      </c>
      <c r="BG1783" t="str">
        <f>"0"</f>
        <v>0</v>
      </c>
      <c r="BH1783" t="str">
        <f xml:space="preserve"> IF($BF$1783 &gt;= $G$204, "1","0")</f>
        <v>0</v>
      </c>
      <c r="BI1783">
        <f xml:space="preserve"> IF( AND( $BG$1783 = "1", $BH$1783 = "1" ), 1, IF( AND( $BG$1783 = "1", $BH$1783 = "0" ), 2, IF( AND( $BG$1783 = "0", $BH$1783 = "1" ), 3, 4 ) ) )</f>
        <v>4</v>
      </c>
    </row>
    <row r="1784" spans="58:61" x14ac:dyDescent="0.25">
      <c r="BF1784" s="1">
        <v>3.4482758620689655E-2</v>
      </c>
      <c r="BG1784" t="str">
        <f>"0"</f>
        <v>0</v>
      </c>
      <c r="BH1784" t="str">
        <f xml:space="preserve"> IF($BF$1784 &gt;= $G$204, "1","0")</f>
        <v>0</v>
      </c>
      <c r="BI1784">
        <f xml:space="preserve"> IF( AND( $BG$1784 = "1", $BH$1784 = "1" ), 1, IF( AND( $BG$1784 = "1", $BH$1784 = "0" ), 2, IF( AND( $BG$1784 = "0", $BH$1784 = "1" ), 3, 4 ) ) )</f>
        <v>4</v>
      </c>
    </row>
    <row r="1785" spans="58:61" x14ac:dyDescent="0.25">
      <c r="BF1785" s="1">
        <v>0</v>
      </c>
      <c r="BG1785" t="str">
        <f>"0"</f>
        <v>0</v>
      </c>
      <c r="BH1785" t="str">
        <f xml:space="preserve"> IF($BF$1785 &gt;= $G$204, "1","0")</f>
        <v>0</v>
      </c>
      <c r="BI1785">
        <f xml:space="preserve"> IF( AND( $BG$1785 = "1", $BH$1785 = "1" ), 1, IF( AND( $BG$1785 = "1", $BH$1785 = "0" ), 2, IF( AND( $BG$1785 = "0", $BH$1785 = "1" ), 3, 4 ) ) )</f>
        <v>4</v>
      </c>
    </row>
    <row r="1786" spans="58:61" x14ac:dyDescent="0.25">
      <c r="BF1786" s="1">
        <v>0</v>
      </c>
      <c r="BG1786" t="str">
        <f>"0"</f>
        <v>0</v>
      </c>
      <c r="BH1786" t="str">
        <f xml:space="preserve"> IF($BF$1786 &gt;= $G$204, "1","0")</f>
        <v>0</v>
      </c>
      <c r="BI1786">
        <f xml:space="preserve"> IF( AND( $BG$1786 = "1", $BH$1786 = "1" ), 1, IF( AND( $BG$1786 = "1", $BH$1786 = "0" ), 2, IF( AND( $BG$1786 = "0", $BH$1786 = "1" ), 3, 4 ) ) )</f>
        <v>4</v>
      </c>
    </row>
    <row r="1787" spans="58:61" x14ac:dyDescent="0.25">
      <c r="BF1787" s="1">
        <v>0</v>
      </c>
      <c r="BG1787" t="str">
        <f>"0"</f>
        <v>0</v>
      </c>
      <c r="BH1787" t="str">
        <f xml:space="preserve"> IF($BF$1787 &gt;= $G$204, "1","0")</f>
        <v>0</v>
      </c>
      <c r="BI1787">
        <f xml:space="preserve"> IF( AND( $BG$1787 = "1", $BH$1787 = "1" ), 1, IF( AND( $BG$1787 = "1", $BH$1787 = "0" ), 2, IF( AND( $BG$1787 = "0", $BH$1787 = "1" ), 3, 4 ) ) )</f>
        <v>4</v>
      </c>
    </row>
    <row r="1788" spans="58:61" x14ac:dyDescent="0.25">
      <c r="BF1788" s="1">
        <v>0</v>
      </c>
      <c r="BG1788" t="str">
        <f>"0"</f>
        <v>0</v>
      </c>
      <c r="BH1788" t="str">
        <f xml:space="preserve"> IF($BF$1788 &gt;= $G$204, "1","0")</f>
        <v>0</v>
      </c>
      <c r="BI1788">
        <f xml:space="preserve"> IF( AND( $BG$1788 = "1", $BH$1788 = "1" ), 1, IF( AND( $BG$1788 = "1", $BH$1788 = "0" ), 2, IF( AND( $BG$1788 = "0", $BH$1788 = "1" ), 3, 4 ) ) )</f>
        <v>4</v>
      </c>
    </row>
    <row r="1789" spans="58:61" x14ac:dyDescent="0.25">
      <c r="BF1789" s="1">
        <v>0.2608695652173913</v>
      </c>
      <c r="BG1789" t="str">
        <f>"1"</f>
        <v>1</v>
      </c>
      <c r="BH1789" t="str">
        <f xml:space="preserve"> IF($BF$1789 &gt;= $G$204, "1","0")</f>
        <v>1</v>
      </c>
      <c r="BI1789">
        <f xml:space="preserve"> IF( AND( $BG$1789 = "1", $BH$1789 = "1" ), 1, IF( AND( $BG$1789 = "1", $BH$1789 = "0" ), 2, IF( AND( $BG$1789 = "0", $BH$1789 = "1" ), 3, 4 ) ) )</f>
        <v>1</v>
      </c>
    </row>
    <row r="1790" spans="58:61" x14ac:dyDescent="0.25">
      <c r="BF1790" s="1">
        <v>0.44444444444444448</v>
      </c>
      <c r="BG1790" t="str">
        <f>"1"</f>
        <v>1</v>
      </c>
      <c r="BH1790" t="str">
        <f xml:space="preserve"> IF($BF$1790 &gt;= $G$204, "1","0")</f>
        <v>1</v>
      </c>
      <c r="BI1790">
        <f xml:space="preserve"> IF( AND( $BG$1790 = "1", $BH$1790 = "1" ), 1, IF( AND( $BG$1790 = "1", $BH$1790 = "0" ), 2, IF( AND( $BG$1790 = "0", $BH$1790 = "1" ), 3, 4 ) ) )</f>
        <v>1</v>
      </c>
    </row>
    <row r="1791" spans="58:61" x14ac:dyDescent="0.25">
      <c r="BF1791" s="1">
        <v>0.2857142857142857</v>
      </c>
      <c r="BG1791" t="str">
        <f>"1"</f>
        <v>1</v>
      </c>
      <c r="BH1791" t="str">
        <f xml:space="preserve"> IF($BF$1791 &gt;= $G$204, "1","0")</f>
        <v>1</v>
      </c>
      <c r="BI1791">
        <f xml:space="preserve"> IF( AND( $BG$1791 = "1", $BH$1791 = "1" ), 1, IF( AND( $BG$1791 = "1", $BH$1791 = "0" ), 2, IF( AND( $BG$1791 = "0", $BH$1791 = "1" ), 3, 4 ) ) )</f>
        <v>1</v>
      </c>
    </row>
    <row r="1792" spans="58:61" x14ac:dyDescent="0.25">
      <c r="BF1792" s="1">
        <v>0</v>
      </c>
      <c r="BG1792" t="str">
        <f>"0"</f>
        <v>0</v>
      </c>
      <c r="BH1792" t="str">
        <f xml:space="preserve"> IF($BF$1792 &gt;= $G$204, "1","0")</f>
        <v>0</v>
      </c>
      <c r="BI1792">
        <f xml:space="preserve"> IF( AND( $BG$1792 = "1", $BH$1792 = "1" ), 1, IF( AND( $BG$1792 = "1", $BH$1792 = "0" ), 2, IF( AND( $BG$1792 = "0", $BH$1792 = "1" ), 3, 4 ) ) )</f>
        <v>4</v>
      </c>
    </row>
    <row r="1793" spans="58:61" x14ac:dyDescent="0.25">
      <c r="BF1793" s="1">
        <v>1</v>
      </c>
      <c r="BG1793" t="str">
        <f>"1"</f>
        <v>1</v>
      </c>
      <c r="BH1793" t="str">
        <f xml:space="preserve"> IF($BF$1793 &gt;= $G$204, "1","0")</f>
        <v>1</v>
      </c>
      <c r="BI1793">
        <f xml:space="preserve"> IF( AND( $BG$1793 = "1", $BH$1793 = "1" ), 1, IF( AND( $BG$1793 = "1", $BH$1793 = "0" ), 2, IF( AND( $BG$1793 = "0", $BH$1793 = "1" ), 3, 4 ) ) )</f>
        <v>1</v>
      </c>
    </row>
    <row r="1794" spans="58:61" x14ac:dyDescent="0.25">
      <c r="BF1794" s="1">
        <v>0</v>
      </c>
      <c r="BG1794" t="str">
        <f>"0"</f>
        <v>0</v>
      </c>
      <c r="BH1794" t="str">
        <f xml:space="preserve"> IF($BF$1794 &gt;= $G$204, "1","0")</f>
        <v>0</v>
      </c>
      <c r="BI1794">
        <f xml:space="preserve"> IF( AND( $BG$1794 = "1", $BH$1794 = "1" ), 1, IF( AND( $BG$1794 = "1", $BH$1794 = "0" ), 2, IF( AND( $BG$1794 = "0", $BH$1794 = "1" ), 3, 4 ) ) )</f>
        <v>4</v>
      </c>
    </row>
    <row r="1795" spans="58:61" x14ac:dyDescent="0.25">
      <c r="BF1795" s="1">
        <v>0</v>
      </c>
      <c r="BG1795" t="str">
        <f>"0"</f>
        <v>0</v>
      </c>
      <c r="BH1795" t="str">
        <f xml:space="preserve"> IF($BF$1795 &gt;= $G$204, "1","0")</f>
        <v>0</v>
      </c>
      <c r="BI1795">
        <f xml:space="preserve"> IF( AND( $BG$1795 = "1", $BH$1795 = "1" ), 1, IF( AND( $BG$1795 = "1", $BH$1795 = "0" ), 2, IF( AND( $BG$1795 = "0", $BH$1795 = "1" ), 3, 4 ) ) )</f>
        <v>4</v>
      </c>
    </row>
    <row r="1796" spans="58:61" x14ac:dyDescent="0.25">
      <c r="BF1796" s="1">
        <v>0</v>
      </c>
      <c r="BG1796" t="str">
        <f>"0"</f>
        <v>0</v>
      </c>
      <c r="BH1796" t="str">
        <f xml:space="preserve"> IF($BF$1796 &gt;= $G$204, "1","0")</f>
        <v>0</v>
      </c>
      <c r="BI1796">
        <f xml:space="preserve"> IF( AND( $BG$1796 = "1", $BH$1796 = "1" ), 1, IF( AND( $BG$1796 = "1", $BH$1796 = "0" ), 2, IF( AND( $BG$1796 = "0", $BH$1796 = "1" ), 3, 4 ) ) )</f>
        <v>4</v>
      </c>
    </row>
    <row r="1797" spans="58:61" x14ac:dyDescent="0.25">
      <c r="BF1797" s="1">
        <v>0.04</v>
      </c>
      <c r="BG1797" t="str">
        <f>"0"</f>
        <v>0</v>
      </c>
      <c r="BH1797" t="str">
        <f xml:space="preserve"> IF($BF$1797 &gt;= $G$204, "1","0")</f>
        <v>0</v>
      </c>
      <c r="BI1797">
        <f xml:space="preserve"> IF( AND( $BG$1797 = "1", $BH$1797 = "1" ), 1, IF( AND( $BG$1797 = "1", $BH$1797 = "0" ), 2, IF( AND( $BG$1797 = "0", $BH$1797 = "1" ), 3, 4 ) ) )</f>
        <v>4</v>
      </c>
    </row>
    <row r="1798" spans="58:61" x14ac:dyDescent="0.25">
      <c r="BF1798" s="1">
        <v>0</v>
      </c>
      <c r="BG1798" t="str">
        <f>"0"</f>
        <v>0</v>
      </c>
      <c r="BH1798" t="str">
        <f xml:space="preserve"> IF($BF$1798 &gt;= $G$204, "1","0")</f>
        <v>0</v>
      </c>
      <c r="BI1798">
        <f xml:space="preserve"> IF( AND( $BG$1798 = "1", $BH$1798 = "1" ), 1, IF( AND( $BG$1798 = "1", $BH$1798 = "0" ), 2, IF( AND( $BG$1798 = "0", $BH$1798 = "1" ), 3, 4 ) ) )</f>
        <v>4</v>
      </c>
    </row>
    <row r="1799" spans="58:61" x14ac:dyDescent="0.25">
      <c r="BF1799" s="1">
        <v>1</v>
      </c>
      <c r="BG1799" t="str">
        <f>"1"</f>
        <v>1</v>
      </c>
      <c r="BH1799" t="str">
        <f xml:space="preserve"> IF($BF$1799 &gt;= $G$204, "1","0")</f>
        <v>1</v>
      </c>
      <c r="BI1799">
        <f xml:space="preserve"> IF( AND( $BG$1799 = "1", $BH$1799 = "1" ), 1, IF( AND( $BG$1799 = "1", $BH$1799 = "0" ), 2, IF( AND( $BG$1799 = "0", $BH$1799 = "1" ), 3, 4 ) ) )</f>
        <v>1</v>
      </c>
    </row>
    <row r="1800" spans="58:61" x14ac:dyDescent="0.25">
      <c r="BF1800" s="1">
        <v>0</v>
      </c>
      <c r="BG1800" t="str">
        <f>"0"</f>
        <v>0</v>
      </c>
      <c r="BH1800" t="str">
        <f xml:space="preserve"> IF($BF$1800 &gt;= $G$204, "1","0")</f>
        <v>0</v>
      </c>
      <c r="BI1800">
        <f xml:space="preserve"> IF( AND( $BG$1800 = "1", $BH$1800 = "1" ), 1, IF( AND( $BG$1800 = "1", $BH$1800 = "0" ), 2, IF( AND( $BG$1800 = "0", $BH$1800 = "1" ), 3, 4 ) ) )</f>
        <v>4</v>
      </c>
    </row>
    <row r="1801" spans="58:61" x14ac:dyDescent="0.25">
      <c r="BF1801" s="1">
        <v>0.43750000000000006</v>
      </c>
      <c r="BG1801" t="str">
        <f>"0"</f>
        <v>0</v>
      </c>
      <c r="BH1801" t="str">
        <f xml:space="preserve"> IF($BF$1801 &gt;= $G$204, "1","0")</f>
        <v>1</v>
      </c>
      <c r="BI1801">
        <f xml:space="preserve"> IF( AND( $BG$1801 = "1", $BH$1801 = "1" ), 1, IF( AND( $BG$1801 = "1", $BH$1801 = "0" ), 2, IF( AND( $BG$1801 = "0", $BH$1801 = "1" ), 3, 4 ) ) )</f>
        <v>3</v>
      </c>
    </row>
    <row r="1802" spans="58:61" x14ac:dyDescent="0.25">
      <c r="BF1802" s="1">
        <v>0</v>
      </c>
      <c r="BG1802" t="str">
        <f>"0"</f>
        <v>0</v>
      </c>
      <c r="BH1802" t="str">
        <f xml:space="preserve"> IF($BF$1802 &gt;= $G$204, "1","0")</f>
        <v>0</v>
      </c>
      <c r="BI1802">
        <f xml:space="preserve"> IF( AND( $BG$1802 = "1", $BH$1802 = "1" ), 1, IF( AND( $BG$1802 = "1", $BH$1802 = "0" ), 2, IF( AND( $BG$1802 = "0", $BH$1802 = "1" ), 3, 4 ) ) )</f>
        <v>4</v>
      </c>
    </row>
    <row r="1803" spans="58:61" x14ac:dyDescent="0.25">
      <c r="BF1803" s="1">
        <v>0</v>
      </c>
      <c r="BG1803" t="str">
        <f>"0"</f>
        <v>0</v>
      </c>
      <c r="BH1803" t="str">
        <f xml:space="preserve"> IF($BF$1803 &gt;= $G$204, "1","0")</f>
        <v>0</v>
      </c>
      <c r="BI1803">
        <f xml:space="preserve"> IF( AND( $BG$1803 = "1", $BH$1803 = "1" ), 1, IF( AND( $BG$1803 = "1", $BH$1803 = "0" ), 2, IF( AND( $BG$1803 = "0", $BH$1803 = "1" ), 3, 4 ) ) )</f>
        <v>4</v>
      </c>
    </row>
    <row r="1804" spans="58:61" x14ac:dyDescent="0.25">
      <c r="BF1804" s="1">
        <v>0</v>
      </c>
      <c r="BG1804" t="str">
        <f>"0"</f>
        <v>0</v>
      </c>
      <c r="BH1804" t="str">
        <f xml:space="preserve"> IF($BF$1804 &gt;= $G$204, "1","0")</f>
        <v>0</v>
      </c>
      <c r="BI1804">
        <f xml:space="preserve"> IF( AND( $BG$1804 = "1", $BH$1804 = "1" ), 1, IF( AND( $BG$1804 = "1", $BH$1804 = "0" ), 2, IF( AND( $BG$1804 = "0", $BH$1804 = "1" ), 3, 4 ) ) )</f>
        <v>4</v>
      </c>
    </row>
    <row r="1805" spans="58:61" x14ac:dyDescent="0.25">
      <c r="BF1805" s="1">
        <v>0</v>
      </c>
      <c r="BG1805" t="str">
        <f>"0"</f>
        <v>0</v>
      </c>
      <c r="BH1805" t="str">
        <f xml:space="preserve"> IF($BF$1805 &gt;= $G$204, "1","0")</f>
        <v>0</v>
      </c>
      <c r="BI1805">
        <f xml:space="preserve"> IF( AND( $BG$1805 = "1", $BH$1805 = "1" ), 1, IF( AND( $BG$1805 = "1", $BH$1805 = "0" ), 2, IF( AND( $BG$1805 = "0", $BH$1805 = "1" ), 3, 4 ) ) )</f>
        <v>4</v>
      </c>
    </row>
    <row r="1806" spans="58:61" x14ac:dyDescent="0.25">
      <c r="BF1806" s="1">
        <v>0</v>
      </c>
      <c r="BG1806" t="str">
        <f>"0"</f>
        <v>0</v>
      </c>
      <c r="BH1806" t="str">
        <f xml:space="preserve"> IF($BF$1806 &gt;= $G$204, "1","0")</f>
        <v>0</v>
      </c>
      <c r="BI1806">
        <f xml:space="preserve"> IF( AND( $BG$1806 = "1", $BH$1806 = "1" ), 1, IF( AND( $BG$1806 = "1", $BH$1806 = "0" ), 2, IF( AND( $BG$1806 = "0", $BH$1806 = "1" ), 3, 4 ) ) )</f>
        <v>4</v>
      </c>
    </row>
    <row r="1807" spans="58:61" x14ac:dyDescent="0.25">
      <c r="BF1807" s="1">
        <v>0</v>
      </c>
      <c r="BG1807" t="str">
        <f>"0"</f>
        <v>0</v>
      </c>
      <c r="BH1807" t="str">
        <f xml:space="preserve"> IF($BF$1807 &gt;= $G$204, "1","0")</f>
        <v>0</v>
      </c>
      <c r="BI1807">
        <f xml:space="preserve"> IF( AND( $BG$1807 = "1", $BH$1807 = "1" ), 1, IF( AND( $BG$1807 = "1", $BH$1807 = "0" ), 2, IF( AND( $BG$1807 = "0", $BH$1807 = "1" ), 3, 4 ) ) )</f>
        <v>4</v>
      </c>
    </row>
    <row r="1808" spans="58:61" x14ac:dyDescent="0.25">
      <c r="BF1808" s="1">
        <v>0.04</v>
      </c>
      <c r="BG1808" t="str">
        <f>"0"</f>
        <v>0</v>
      </c>
      <c r="BH1808" t="str">
        <f xml:space="preserve"> IF($BF$1808 &gt;= $G$204, "1","0")</f>
        <v>0</v>
      </c>
      <c r="BI1808">
        <f xml:space="preserve"> IF( AND( $BG$1808 = "1", $BH$1808 = "1" ), 1, IF( AND( $BG$1808 = "1", $BH$1808 = "0" ), 2, IF( AND( $BG$1808 = "0", $BH$1808 = "1" ), 3, 4 ) ) )</f>
        <v>4</v>
      </c>
    </row>
    <row r="1809" spans="58:61" x14ac:dyDescent="0.25">
      <c r="BF1809" s="1">
        <v>8.3333333333333329E-2</v>
      </c>
      <c r="BG1809" t="str">
        <f>"0"</f>
        <v>0</v>
      </c>
      <c r="BH1809" t="str">
        <f xml:space="preserve"> IF($BF$1809 &gt;= $G$204, "1","0")</f>
        <v>0</v>
      </c>
      <c r="BI1809">
        <f xml:space="preserve"> IF( AND( $BG$1809 = "1", $BH$1809 = "1" ), 1, IF( AND( $BG$1809 = "1", $BH$1809 = "0" ), 2, IF( AND( $BG$1809 = "0", $BH$1809 = "1" ), 3, 4 ) ) )</f>
        <v>4</v>
      </c>
    </row>
    <row r="1810" spans="58:61" x14ac:dyDescent="0.25">
      <c r="BF1810" s="1">
        <v>0.90476190476190477</v>
      </c>
      <c r="BG1810" t="str">
        <f>"1"</f>
        <v>1</v>
      </c>
      <c r="BH1810" t="str">
        <f xml:space="preserve"> IF($BF$1810 &gt;= $G$204, "1","0")</f>
        <v>1</v>
      </c>
      <c r="BI1810">
        <f xml:space="preserve"> IF( AND( $BG$1810 = "1", $BH$1810 = "1" ), 1, IF( AND( $BG$1810 = "1", $BH$1810 = "0" ), 2, IF( AND( $BG$1810 = "0", $BH$1810 = "1" ), 3, 4 ) ) )</f>
        <v>1</v>
      </c>
    </row>
    <row r="1811" spans="58:61" x14ac:dyDescent="0.25">
      <c r="BF1811" s="1">
        <v>1</v>
      </c>
      <c r="BG1811" t="str">
        <f>"1"</f>
        <v>1</v>
      </c>
      <c r="BH1811" t="str">
        <f xml:space="preserve"> IF($BF$1811 &gt;= $G$204, "1","0")</f>
        <v>1</v>
      </c>
      <c r="BI1811">
        <f xml:space="preserve"> IF( AND( $BG$1811 = "1", $BH$1811 = "1" ), 1, IF( AND( $BG$1811 = "1", $BH$1811 = "0" ), 2, IF( AND( $BG$1811 = "0", $BH$1811 = "1" ), 3, 4 ) ) )</f>
        <v>1</v>
      </c>
    </row>
    <row r="1812" spans="58:61" x14ac:dyDescent="0.25">
      <c r="BF1812" s="1">
        <v>0</v>
      </c>
      <c r="BG1812" t="str">
        <f>"0"</f>
        <v>0</v>
      </c>
      <c r="BH1812" t="str">
        <f xml:space="preserve"> IF($BF$1812 &gt;= $G$204, "1","0")</f>
        <v>0</v>
      </c>
      <c r="BI1812">
        <f xml:space="preserve"> IF( AND( $BG$1812 = "1", $BH$1812 = "1" ), 1, IF( AND( $BG$1812 = "1", $BH$1812 = "0" ), 2, IF( AND( $BG$1812 = "0", $BH$1812 = "1" ), 3, 4 ) ) )</f>
        <v>4</v>
      </c>
    </row>
    <row r="1813" spans="58:61" x14ac:dyDescent="0.25">
      <c r="BF1813" s="1">
        <v>0.66666666666666663</v>
      </c>
      <c r="BG1813" t="str">
        <f>"1"</f>
        <v>1</v>
      </c>
      <c r="BH1813" t="str">
        <f xml:space="preserve"> IF($BF$1813 &gt;= $G$204, "1","0")</f>
        <v>1</v>
      </c>
      <c r="BI1813">
        <f xml:space="preserve"> IF( AND( $BG$1813 = "1", $BH$1813 = "1" ), 1, IF( AND( $BG$1813 = "1", $BH$1813 = "0" ), 2, IF( AND( $BG$1813 = "0", $BH$1813 = "1" ), 3, 4 ) ) )</f>
        <v>1</v>
      </c>
    </row>
    <row r="1814" spans="58:61" x14ac:dyDescent="0.25">
      <c r="BF1814" s="1">
        <v>0</v>
      </c>
      <c r="BG1814" t="str">
        <f>"0"</f>
        <v>0</v>
      </c>
      <c r="BH1814" t="str">
        <f xml:space="preserve"> IF($BF$1814 &gt;= $G$204, "1","0")</f>
        <v>0</v>
      </c>
      <c r="BI1814">
        <f xml:space="preserve"> IF( AND( $BG$1814 = "1", $BH$1814 = "1" ), 1, IF( AND( $BG$1814 = "1", $BH$1814 = "0" ), 2, IF( AND( $BG$1814 = "0", $BH$1814 = "1" ), 3, 4 ) ) )</f>
        <v>4</v>
      </c>
    </row>
    <row r="1815" spans="58:61" x14ac:dyDescent="0.25">
      <c r="BF1815" s="1">
        <v>0</v>
      </c>
      <c r="BG1815" t="str">
        <f>"0"</f>
        <v>0</v>
      </c>
      <c r="BH1815" t="str">
        <f xml:space="preserve"> IF($BF$1815 &gt;= $G$204, "1","0")</f>
        <v>0</v>
      </c>
      <c r="BI1815">
        <f xml:space="preserve"> IF( AND( $BG$1815 = "1", $BH$1815 = "1" ), 1, IF( AND( $BG$1815 = "1", $BH$1815 = "0" ), 2, IF( AND( $BG$1815 = "0", $BH$1815 = "1" ), 3, 4 ) ) )</f>
        <v>4</v>
      </c>
    </row>
    <row r="1816" spans="58:61" x14ac:dyDescent="0.25">
      <c r="BF1816" s="1">
        <v>1</v>
      </c>
      <c r="BG1816" t="str">
        <f>"1"</f>
        <v>1</v>
      </c>
      <c r="BH1816" t="str">
        <f xml:space="preserve"> IF($BF$1816 &gt;= $G$204, "1","0")</f>
        <v>1</v>
      </c>
      <c r="BI1816">
        <f xml:space="preserve"> IF( AND( $BG$1816 = "1", $BH$1816 = "1" ), 1, IF( AND( $BG$1816 = "1", $BH$1816 = "0" ), 2, IF( AND( $BG$1816 = "0", $BH$1816 = "1" ), 3, 4 ) ) )</f>
        <v>1</v>
      </c>
    </row>
    <row r="1817" spans="58:61" x14ac:dyDescent="0.25">
      <c r="BF1817" s="1">
        <v>1</v>
      </c>
      <c r="BG1817" t="str">
        <f>"1"</f>
        <v>1</v>
      </c>
      <c r="BH1817" t="str">
        <f xml:space="preserve"> IF($BF$1817 &gt;= $G$204, "1","0")</f>
        <v>1</v>
      </c>
      <c r="BI1817">
        <f xml:space="preserve"> IF( AND( $BG$1817 = "1", $BH$1817 = "1" ), 1, IF( AND( $BG$1817 = "1", $BH$1817 = "0" ), 2, IF( AND( $BG$1817 = "0", $BH$1817 = "1" ), 3, 4 ) ) )</f>
        <v>1</v>
      </c>
    </row>
    <row r="1818" spans="58:61" x14ac:dyDescent="0.25">
      <c r="BF1818" s="1">
        <v>0</v>
      </c>
      <c r="BG1818" t="str">
        <f>"0"</f>
        <v>0</v>
      </c>
      <c r="BH1818" t="str">
        <f xml:space="preserve"> IF($BF$1818 &gt;= $G$204, "1","0")</f>
        <v>0</v>
      </c>
      <c r="BI1818">
        <f xml:space="preserve"> IF( AND( $BG$1818 = "1", $BH$1818 = "1" ), 1, IF( AND( $BG$1818 = "1", $BH$1818 = "0" ), 2, IF( AND( $BG$1818 = "0", $BH$1818 = "1" ), 3, 4 ) ) )</f>
        <v>4</v>
      </c>
    </row>
    <row r="1819" spans="58:61" x14ac:dyDescent="0.25">
      <c r="BF1819" s="1">
        <v>0</v>
      </c>
      <c r="BG1819" t="str">
        <f>"0"</f>
        <v>0</v>
      </c>
      <c r="BH1819" t="str">
        <f xml:space="preserve"> IF($BF$1819 &gt;= $G$204, "1","0")</f>
        <v>0</v>
      </c>
      <c r="BI1819">
        <f xml:space="preserve"> IF( AND( $BG$1819 = "1", $BH$1819 = "1" ), 1, IF( AND( $BG$1819 = "1", $BH$1819 = "0" ), 2, IF( AND( $BG$1819 = "0", $BH$1819 = "1" ), 3, 4 ) ) )</f>
        <v>4</v>
      </c>
    </row>
    <row r="1820" spans="58:61" x14ac:dyDescent="0.25">
      <c r="BF1820" s="1">
        <v>0</v>
      </c>
      <c r="BG1820" t="str">
        <f>"0"</f>
        <v>0</v>
      </c>
      <c r="BH1820" t="str">
        <f xml:space="preserve"> IF($BF$1820 &gt;= $G$204, "1","0")</f>
        <v>0</v>
      </c>
      <c r="BI1820">
        <f xml:space="preserve"> IF( AND( $BG$1820 = "1", $BH$1820 = "1" ), 1, IF( AND( $BG$1820 = "1", $BH$1820 = "0" ), 2, IF( AND( $BG$1820 = "0", $BH$1820 = "1" ), 3, 4 ) ) )</f>
        <v>4</v>
      </c>
    </row>
    <row r="1821" spans="58:61" x14ac:dyDescent="0.25">
      <c r="BF1821" s="1">
        <v>0</v>
      </c>
      <c r="BG1821" t="str">
        <f>"0"</f>
        <v>0</v>
      </c>
      <c r="BH1821" t="str">
        <f xml:space="preserve"> IF($BF$1821 &gt;= $G$204, "1","0")</f>
        <v>0</v>
      </c>
      <c r="BI1821">
        <f xml:space="preserve"> IF( AND( $BG$1821 = "1", $BH$1821 = "1" ), 1, IF( AND( $BG$1821 = "1", $BH$1821 = "0" ), 2, IF( AND( $BG$1821 = "0", $BH$1821 = "1" ), 3, 4 ) ) )</f>
        <v>4</v>
      </c>
    </row>
    <row r="1822" spans="58:61" x14ac:dyDescent="0.25">
      <c r="BF1822" s="1">
        <v>0.38461538461538464</v>
      </c>
      <c r="BG1822" t="str">
        <f>"1"</f>
        <v>1</v>
      </c>
      <c r="BH1822" t="str">
        <f xml:space="preserve"> IF($BF$1822 &gt;= $G$204, "1","0")</f>
        <v>1</v>
      </c>
      <c r="BI1822">
        <f xml:space="preserve"> IF( AND( $BG$1822 = "1", $BH$1822 = "1" ), 1, IF( AND( $BG$1822 = "1", $BH$1822 = "0" ), 2, IF( AND( $BG$1822 = "0", $BH$1822 = "1" ), 3, 4 ) ) )</f>
        <v>1</v>
      </c>
    </row>
    <row r="1823" spans="58:61" x14ac:dyDescent="0.25">
      <c r="BF1823" s="1">
        <v>1</v>
      </c>
      <c r="BG1823" t="str">
        <f>"1"</f>
        <v>1</v>
      </c>
      <c r="BH1823" t="str">
        <f xml:space="preserve"> IF($BF$1823 &gt;= $G$204, "1","0")</f>
        <v>1</v>
      </c>
      <c r="BI1823">
        <f xml:space="preserve"> IF( AND( $BG$1823 = "1", $BH$1823 = "1" ), 1, IF( AND( $BG$1823 = "1", $BH$1823 = "0" ), 2, IF( AND( $BG$1823 = "0", $BH$1823 = "1" ), 3, 4 ) ) )</f>
        <v>1</v>
      </c>
    </row>
    <row r="1824" spans="58:61" x14ac:dyDescent="0.25">
      <c r="BF1824" s="1">
        <v>1</v>
      </c>
      <c r="BG1824" t="str">
        <f>"1"</f>
        <v>1</v>
      </c>
      <c r="BH1824" t="str">
        <f xml:space="preserve"> IF($BF$1824 &gt;= $G$204, "1","0")</f>
        <v>1</v>
      </c>
      <c r="BI1824">
        <f xml:space="preserve"> IF( AND( $BG$1824 = "1", $BH$1824 = "1" ), 1, IF( AND( $BG$1824 = "1", $BH$1824 = "0" ), 2, IF( AND( $BG$1824 = "0", $BH$1824 = "1" ), 3, 4 ) ) )</f>
        <v>1</v>
      </c>
    </row>
    <row r="1825" spans="58:61" x14ac:dyDescent="0.25">
      <c r="BF1825" s="1">
        <v>1</v>
      </c>
      <c r="BG1825" t="str">
        <f>"1"</f>
        <v>1</v>
      </c>
      <c r="BH1825" t="str">
        <f xml:space="preserve"> IF($BF$1825 &gt;= $G$204, "1","0")</f>
        <v>1</v>
      </c>
      <c r="BI1825">
        <f xml:space="preserve"> IF( AND( $BG$1825 = "1", $BH$1825 = "1" ), 1, IF( AND( $BG$1825 = "1", $BH$1825 = "0" ), 2, IF( AND( $BG$1825 = "0", $BH$1825 = "1" ), 3, 4 ) ) )</f>
        <v>1</v>
      </c>
    </row>
    <row r="1826" spans="58:61" x14ac:dyDescent="0.25">
      <c r="BF1826" s="1">
        <v>0</v>
      </c>
      <c r="BG1826" t="str">
        <f>"0"</f>
        <v>0</v>
      </c>
      <c r="BH1826" t="str">
        <f xml:space="preserve"> IF($BF$1826 &gt;= $G$204, "1","0")</f>
        <v>0</v>
      </c>
      <c r="BI1826">
        <f xml:space="preserve"> IF( AND( $BG$1826 = "1", $BH$1826 = "1" ), 1, IF( AND( $BG$1826 = "1", $BH$1826 = "0" ), 2, IF( AND( $BG$1826 = "0", $BH$1826 = "1" ), 3, 4 ) ) )</f>
        <v>4</v>
      </c>
    </row>
    <row r="1827" spans="58:61" x14ac:dyDescent="0.25">
      <c r="BF1827" s="1">
        <v>0</v>
      </c>
      <c r="BG1827" t="str">
        <f>"0"</f>
        <v>0</v>
      </c>
      <c r="BH1827" t="str">
        <f xml:space="preserve"> IF($BF$1827 &gt;= $G$204, "1","0")</f>
        <v>0</v>
      </c>
      <c r="BI1827">
        <f xml:space="preserve"> IF( AND( $BG$1827 = "1", $BH$1827 = "1" ), 1, IF( AND( $BG$1827 = "1", $BH$1827 = "0" ), 2, IF( AND( $BG$1827 = "0", $BH$1827 = "1" ), 3, 4 ) ) )</f>
        <v>4</v>
      </c>
    </row>
    <row r="1828" spans="58:61" x14ac:dyDescent="0.25">
      <c r="BF1828" s="1">
        <v>0</v>
      </c>
      <c r="BG1828" t="str">
        <f>"0"</f>
        <v>0</v>
      </c>
      <c r="BH1828" t="str">
        <f xml:space="preserve"> IF($BF$1828 &gt;= $G$204, "1","0")</f>
        <v>0</v>
      </c>
      <c r="BI1828">
        <f xml:space="preserve"> IF( AND( $BG$1828 = "1", $BH$1828 = "1" ), 1, IF( AND( $BG$1828 = "1", $BH$1828 = "0" ), 2, IF( AND( $BG$1828 = "0", $BH$1828 = "1" ), 3, 4 ) ) )</f>
        <v>4</v>
      </c>
    </row>
    <row r="1829" spans="58:61" x14ac:dyDescent="0.25">
      <c r="BF1829" s="1">
        <v>1</v>
      </c>
      <c r="BG1829" t="str">
        <f>"1"</f>
        <v>1</v>
      </c>
      <c r="BH1829" t="str">
        <f xml:space="preserve"> IF($BF$1829 &gt;= $G$204, "1","0")</f>
        <v>1</v>
      </c>
      <c r="BI1829">
        <f xml:space="preserve"> IF( AND( $BG$1829 = "1", $BH$1829 = "1" ), 1, IF( AND( $BG$1829 = "1", $BH$1829 = "0" ), 2, IF( AND( $BG$1829 = "0", $BH$1829 = "1" ), 3, 4 ) ) )</f>
        <v>1</v>
      </c>
    </row>
    <row r="1830" spans="58:61" x14ac:dyDescent="0.25">
      <c r="BF1830" s="1">
        <v>0</v>
      </c>
      <c r="BG1830" t="str">
        <f>"0"</f>
        <v>0</v>
      </c>
      <c r="BH1830" t="str">
        <f xml:space="preserve"> IF($BF$1830 &gt;= $G$204, "1","0")</f>
        <v>0</v>
      </c>
      <c r="BI1830">
        <f xml:space="preserve"> IF( AND( $BG$1830 = "1", $BH$1830 = "1" ), 1, IF( AND( $BG$1830 = "1", $BH$1830 = "0" ), 2, IF( AND( $BG$1830 = "0", $BH$1830 = "1" ), 3, 4 ) ) )</f>
        <v>4</v>
      </c>
    </row>
    <row r="1831" spans="58:61" x14ac:dyDescent="0.25">
      <c r="BF1831" s="1">
        <v>0</v>
      </c>
      <c r="BG1831" t="str">
        <f>"0"</f>
        <v>0</v>
      </c>
      <c r="BH1831" t="str">
        <f xml:space="preserve"> IF($BF$1831 &gt;= $G$204, "1","0")</f>
        <v>0</v>
      </c>
      <c r="BI1831">
        <f xml:space="preserve"> IF( AND( $BG$1831 = "1", $BH$1831 = "1" ), 1, IF( AND( $BG$1831 = "1", $BH$1831 = "0" ), 2, IF( AND( $BG$1831 = "0", $BH$1831 = "1" ), 3, 4 ) ) )</f>
        <v>4</v>
      </c>
    </row>
    <row r="1832" spans="58:61" x14ac:dyDescent="0.25">
      <c r="BF1832" s="1">
        <v>4.3478260869565209E-2</v>
      </c>
      <c r="BG1832" t="str">
        <f>"0"</f>
        <v>0</v>
      </c>
      <c r="BH1832" t="str">
        <f xml:space="preserve"> IF($BF$1832 &gt;= $G$204, "1","0")</f>
        <v>0</v>
      </c>
      <c r="BI1832">
        <f xml:space="preserve"> IF( AND( $BG$1832 = "1", $BH$1832 = "1" ), 1, IF( AND( $BG$1832 = "1", $BH$1832 = "0" ), 2, IF( AND( $BG$1832 = "0", $BH$1832 = "1" ), 3, 4 ) ) )</f>
        <v>4</v>
      </c>
    </row>
    <row r="1833" spans="58:61" x14ac:dyDescent="0.25">
      <c r="BF1833" s="1">
        <v>3.4482758620689655E-2</v>
      </c>
      <c r="BG1833" t="str">
        <f>"0"</f>
        <v>0</v>
      </c>
      <c r="BH1833" t="str">
        <f xml:space="preserve"> IF($BF$1833 &gt;= $G$204, "1","0")</f>
        <v>0</v>
      </c>
      <c r="BI1833">
        <f xml:space="preserve"> IF( AND( $BG$1833 = "1", $BH$1833 = "1" ), 1, IF( AND( $BG$1833 = "1", $BH$1833 = "0" ), 2, IF( AND( $BG$1833 = "0", $BH$1833 = "1" ), 3, 4 ) ) )</f>
        <v>4</v>
      </c>
    </row>
    <row r="1834" spans="58:61" x14ac:dyDescent="0.25">
      <c r="BF1834" s="1">
        <v>0</v>
      </c>
      <c r="BG1834" t="str">
        <f>"0"</f>
        <v>0</v>
      </c>
      <c r="BH1834" t="str">
        <f xml:space="preserve"> IF($BF$1834 &gt;= $G$204, "1","0")</f>
        <v>0</v>
      </c>
      <c r="BI1834">
        <f xml:space="preserve"> IF( AND( $BG$1834 = "1", $BH$1834 = "1" ), 1, IF( AND( $BG$1834 = "1", $BH$1834 = "0" ), 2, IF( AND( $BG$1834 = "0", $BH$1834 = "1" ), 3, 4 ) ) )</f>
        <v>4</v>
      </c>
    </row>
    <row r="1835" spans="58:61" x14ac:dyDescent="0.25">
      <c r="BF1835" s="1">
        <v>0.5</v>
      </c>
      <c r="BG1835" t="str">
        <f>"1"</f>
        <v>1</v>
      </c>
      <c r="BH1835" t="str">
        <f xml:space="preserve"> IF($BF$1835 &gt;= $G$204, "1","0")</f>
        <v>1</v>
      </c>
      <c r="BI1835">
        <f xml:space="preserve"> IF( AND( $BG$1835 = "1", $BH$1835 = "1" ), 1, IF( AND( $BG$1835 = "1", $BH$1835 = "0" ), 2, IF( AND( $BG$1835 = "0", $BH$1835 = "1" ), 3, 4 ) ) )</f>
        <v>1</v>
      </c>
    </row>
    <row r="1836" spans="58:61" x14ac:dyDescent="0.25">
      <c r="BF1836" s="1">
        <v>0</v>
      </c>
      <c r="BG1836" t="str">
        <f>"0"</f>
        <v>0</v>
      </c>
      <c r="BH1836" t="str">
        <f xml:space="preserve"> IF($BF$1836 &gt;= $G$204, "1","0")</f>
        <v>0</v>
      </c>
      <c r="BI1836">
        <f xml:space="preserve"> IF( AND( $BG$1836 = "1", $BH$1836 = "1" ), 1, IF( AND( $BG$1836 = "1", $BH$1836 = "0" ), 2, IF( AND( $BG$1836 = "0", $BH$1836 = "1" ), 3, 4 ) ) )</f>
        <v>4</v>
      </c>
    </row>
    <row r="1837" spans="58:61" x14ac:dyDescent="0.25">
      <c r="BF1837" s="1">
        <v>7.1428571428571411E-2</v>
      </c>
      <c r="BG1837" t="str">
        <f>"0"</f>
        <v>0</v>
      </c>
      <c r="BH1837" t="str">
        <f xml:space="preserve"> IF($BF$1837 &gt;= $G$204, "1","0")</f>
        <v>0</v>
      </c>
      <c r="BI1837">
        <f xml:space="preserve"> IF( AND( $BG$1837 = "1", $BH$1837 = "1" ), 1, IF( AND( $BG$1837 = "1", $BH$1837 = "0" ), 2, IF( AND( $BG$1837 = "0", $BH$1837 = "1" ), 3, 4 ) ) )</f>
        <v>4</v>
      </c>
    </row>
    <row r="1838" spans="58:61" x14ac:dyDescent="0.25">
      <c r="BF1838" s="1">
        <v>8.3333333333333329E-2</v>
      </c>
      <c r="BG1838" t="str">
        <f>"0"</f>
        <v>0</v>
      </c>
      <c r="BH1838" t="str">
        <f xml:space="preserve"> IF($BF$1838 &gt;= $G$204, "1","0")</f>
        <v>0</v>
      </c>
      <c r="BI1838">
        <f xml:space="preserve"> IF( AND( $BG$1838 = "1", $BH$1838 = "1" ), 1, IF( AND( $BG$1838 = "1", $BH$1838 = "0" ), 2, IF( AND( $BG$1838 = "0", $BH$1838 = "1" ), 3, 4 ) ) )</f>
        <v>4</v>
      </c>
    </row>
    <row r="1839" spans="58:61" x14ac:dyDescent="0.25">
      <c r="BF1839" s="1">
        <v>0</v>
      </c>
      <c r="BG1839" t="str">
        <f>"0"</f>
        <v>0</v>
      </c>
      <c r="BH1839" t="str">
        <f xml:space="preserve"> IF($BF$1839 &gt;= $G$204, "1","0")</f>
        <v>0</v>
      </c>
      <c r="BI1839">
        <f xml:space="preserve"> IF( AND( $BG$1839 = "1", $BH$1839 = "1" ), 1, IF( AND( $BG$1839 = "1", $BH$1839 = "0" ), 2, IF( AND( $BG$1839 = "0", $BH$1839 = "1" ), 3, 4 ) ) )</f>
        <v>4</v>
      </c>
    </row>
    <row r="1840" spans="58:61" x14ac:dyDescent="0.25">
      <c r="BF1840" s="1">
        <v>0</v>
      </c>
      <c r="BG1840" t="str">
        <f>"0"</f>
        <v>0</v>
      </c>
      <c r="BH1840" t="str">
        <f xml:space="preserve"> IF($BF$1840 &gt;= $G$204, "1","0")</f>
        <v>0</v>
      </c>
      <c r="BI1840">
        <f xml:space="preserve"> IF( AND( $BG$1840 = "1", $BH$1840 = "1" ), 1, IF( AND( $BG$1840 = "1", $BH$1840 = "0" ), 2, IF( AND( $BG$1840 = "0", $BH$1840 = "1" ), 3, 4 ) ) )</f>
        <v>4</v>
      </c>
    </row>
    <row r="1841" spans="58:61" x14ac:dyDescent="0.25">
      <c r="BF1841" s="1">
        <v>0.9</v>
      </c>
      <c r="BG1841" t="str">
        <f>"1"</f>
        <v>1</v>
      </c>
      <c r="BH1841" t="str">
        <f xml:space="preserve"> IF($BF$1841 &gt;= $G$204, "1","0")</f>
        <v>1</v>
      </c>
      <c r="BI1841">
        <f xml:space="preserve"> IF( AND( $BG$1841 = "1", $BH$1841 = "1" ), 1, IF( AND( $BG$1841 = "1", $BH$1841 = "0" ), 2, IF( AND( $BG$1841 = "0", $BH$1841 = "1" ), 3, 4 ) ) )</f>
        <v>1</v>
      </c>
    </row>
    <row r="1842" spans="58:61" x14ac:dyDescent="0.25">
      <c r="BF1842" s="1">
        <v>0</v>
      </c>
      <c r="BG1842" t="str">
        <f>"0"</f>
        <v>0</v>
      </c>
      <c r="BH1842" t="str">
        <f xml:space="preserve"> IF($BF$1842 &gt;= $G$204, "1","0")</f>
        <v>0</v>
      </c>
      <c r="BI1842">
        <f xml:space="preserve"> IF( AND( $BG$1842 = "1", $BH$1842 = "1" ), 1, IF( AND( $BG$1842 = "1", $BH$1842 = "0" ), 2, IF( AND( $BG$1842 = "0", $BH$1842 = "1" ), 3, 4 ) ) )</f>
        <v>4</v>
      </c>
    </row>
    <row r="1843" spans="58:61" x14ac:dyDescent="0.25">
      <c r="BF1843" s="1">
        <v>0.04</v>
      </c>
      <c r="BG1843" t="str">
        <f>"0"</f>
        <v>0</v>
      </c>
      <c r="BH1843" t="str">
        <f xml:space="preserve"> IF($BF$1843 &gt;= $G$204, "1","0")</f>
        <v>0</v>
      </c>
      <c r="BI1843">
        <f xml:space="preserve"> IF( AND( $BG$1843 = "1", $BH$1843 = "1" ), 1, IF( AND( $BG$1843 = "1", $BH$1843 = "0" ), 2, IF( AND( $BG$1843 = "0", $BH$1843 = "1" ), 3, 4 ) ) )</f>
        <v>4</v>
      </c>
    </row>
    <row r="1844" spans="58:61" x14ac:dyDescent="0.25">
      <c r="BF1844" s="1">
        <v>0.69230769230769229</v>
      </c>
      <c r="BG1844" t="str">
        <f>"1"</f>
        <v>1</v>
      </c>
      <c r="BH1844" t="str">
        <f xml:space="preserve"> IF($BF$1844 &gt;= $G$204, "1","0")</f>
        <v>1</v>
      </c>
      <c r="BI1844">
        <f xml:space="preserve"> IF( AND( $BG$1844 = "1", $BH$1844 = "1" ), 1, IF( AND( $BG$1844 = "1", $BH$1844 = "0" ), 2, IF( AND( $BG$1844 = "0", $BH$1844 = "1" ), 3, 4 ) ) )</f>
        <v>1</v>
      </c>
    </row>
    <row r="1845" spans="58:61" x14ac:dyDescent="0.25">
      <c r="BF1845" s="1">
        <v>8.3333333333333329E-2</v>
      </c>
      <c r="BG1845" t="str">
        <f>"0"</f>
        <v>0</v>
      </c>
      <c r="BH1845" t="str">
        <f xml:space="preserve"> IF($BF$1845 &gt;= $G$204, "1","0")</f>
        <v>0</v>
      </c>
      <c r="BI1845">
        <f xml:space="preserve"> IF( AND( $BG$1845 = "1", $BH$1845 = "1" ), 1, IF( AND( $BG$1845 = "1", $BH$1845 = "0" ), 2, IF( AND( $BG$1845 = "0", $BH$1845 = "1" ), 3, 4 ) ) )</f>
        <v>4</v>
      </c>
    </row>
    <row r="1846" spans="58:61" x14ac:dyDescent="0.25">
      <c r="BF1846" s="1">
        <v>0</v>
      </c>
      <c r="BG1846" t="str">
        <f>"0"</f>
        <v>0</v>
      </c>
      <c r="BH1846" t="str">
        <f xml:space="preserve"> IF($BF$1846 &gt;= $G$204, "1","0")</f>
        <v>0</v>
      </c>
      <c r="BI1846">
        <f xml:space="preserve"> IF( AND( $BG$1846 = "1", $BH$1846 = "1" ), 1, IF( AND( $BG$1846 = "1", $BH$1846 = "0" ), 2, IF( AND( $BG$1846 = "0", $BH$1846 = "1" ), 3, 4 ) ) )</f>
        <v>4</v>
      </c>
    </row>
    <row r="1847" spans="58:61" x14ac:dyDescent="0.25">
      <c r="BF1847" s="1">
        <v>0</v>
      </c>
      <c r="BG1847" t="str">
        <f>"0"</f>
        <v>0</v>
      </c>
      <c r="BH1847" t="str">
        <f xml:space="preserve"> IF($BF$1847 &gt;= $G$204, "1","0")</f>
        <v>0</v>
      </c>
      <c r="BI1847">
        <f xml:space="preserve"> IF( AND( $BG$1847 = "1", $BH$1847 = "1" ), 1, IF( AND( $BG$1847 = "1", $BH$1847 = "0" ), 2, IF( AND( $BG$1847 = "0", $BH$1847 = "1" ), 3, 4 ) ) )</f>
        <v>4</v>
      </c>
    </row>
    <row r="1848" spans="58:61" x14ac:dyDescent="0.25">
      <c r="BF1848" s="1">
        <v>9.9999999999999992E-2</v>
      </c>
      <c r="BG1848" t="str">
        <f>"0"</f>
        <v>0</v>
      </c>
      <c r="BH1848" t="str">
        <f xml:space="preserve"> IF($BF$1848 &gt;= $G$204, "1","0")</f>
        <v>0</v>
      </c>
      <c r="BI1848">
        <f xml:space="preserve"> IF( AND( $BG$1848 = "1", $BH$1848 = "1" ), 1, IF( AND( $BG$1848 = "1", $BH$1848 = "0" ), 2, IF( AND( $BG$1848 = "0", $BH$1848 = "1" ), 3, 4 ) ) )</f>
        <v>4</v>
      </c>
    </row>
    <row r="1849" spans="58:61" x14ac:dyDescent="0.25">
      <c r="BF1849" s="1">
        <v>0</v>
      </c>
      <c r="BG1849" t="str">
        <f>"0"</f>
        <v>0</v>
      </c>
      <c r="BH1849" t="str">
        <f xml:space="preserve"> IF($BF$1849 &gt;= $G$204, "1","0")</f>
        <v>0</v>
      </c>
      <c r="BI1849">
        <f xml:space="preserve"> IF( AND( $BG$1849 = "1", $BH$1849 = "1" ), 1, IF( AND( $BG$1849 = "1", $BH$1849 = "0" ), 2, IF( AND( $BG$1849 = "0", $BH$1849 = "1" ), 3, 4 ) ) )</f>
        <v>4</v>
      </c>
    </row>
    <row r="1850" spans="58:61" x14ac:dyDescent="0.25">
      <c r="BF1850" s="1">
        <v>0</v>
      </c>
      <c r="BG1850" t="str">
        <f>"0"</f>
        <v>0</v>
      </c>
      <c r="BH1850" t="str">
        <f xml:space="preserve"> IF($BF$1850 &gt;= $G$204, "1","0")</f>
        <v>0</v>
      </c>
      <c r="BI1850">
        <f xml:space="preserve"> IF( AND( $BG$1850 = "1", $BH$1850 = "1" ), 1, IF( AND( $BG$1850 = "1", $BH$1850 = "0" ), 2, IF( AND( $BG$1850 = "0", $BH$1850 = "1" ), 3, 4 ) ) )</f>
        <v>4</v>
      </c>
    </row>
    <row r="1851" spans="58:61" x14ac:dyDescent="0.25">
      <c r="BF1851" s="1">
        <v>0</v>
      </c>
      <c r="BG1851" t="str">
        <f>"0"</f>
        <v>0</v>
      </c>
      <c r="BH1851" t="str">
        <f xml:space="preserve"> IF($BF$1851 &gt;= $G$204, "1","0")</f>
        <v>0</v>
      </c>
      <c r="BI1851">
        <f xml:space="preserve"> IF( AND( $BG$1851 = "1", $BH$1851 = "1" ), 1, IF( AND( $BG$1851 = "1", $BH$1851 = "0" ), 2, IF( AND( $BG$1851 = "0", $BH$1851 = "1" ), 3, 4 ) ) )</f>
        <v>4</v>
      </c>
    </row>
    <row r="1852" spans="58:61" x14ac:dyDescent="0.25">
      <c r="BF1852" s="1">
        <v>0</v>
      </c>
      <c r="BG1852" t="str">
        <f>"0"</f>
        <v>0</v>
      </c>
      <c r="BH1852" t="str">
        <f xml:space="preserve"> IF($BF$1852 &gt;= $G$204, "1","0")</f>
        <v>0</v>
      </c>
      <c r="BI1852">
        <f xml:space="preserve"> IF( AND( $BG$1852 = "1", $BH$1852 = "1" ), 1, IF( AND( $BG$1852 = "1", $BH$1852 = "0" ), 2, IF( AND( $BG$1852 = "0", $BH$1852 = "1" ), 3, 4 ) ) )</f>
        <v>4</v>
      </c>
    </row>
    <row r="1853" spans="58:61" x14ac:dyDescent="0.25">
      <c r="BF1853" s="1">
        <v>1</v>
      </c>
      <c r="BG1853" t="str">
        <f>"1"</f>
        <v>1</v>
      </c>
      <c r="BH1853" t="str">
        <f xml:space="preserve"> IF($BF$1853 &gt;= $G$204, "1","0")</f>
        <v>1</v>
      </c>
      <c r="BI1853">
        <f xml:space="preserve"> IF( AND( $BG$1853 = "1", $BH$1853 = "1" ), 1, IF( AND( $BG$1853 = "1", $BH$1853 = "0" ), 2, IF( AND( $BG$1853 = "0", $BH$1853 = "1" ), 3, 4 ) ) )</f>
        <v>1</v>
      </c>
    </row>
    <row r="1854" spans="58:61" x14ac:dyDescent="0.25">
      <c r="BF1854" s="1">
        <v>0.3</v>
      </c>
      <c r="BG1854" t="str">
        <f>"0"</f>
        <v>0</v>
      </c>
      <c r="BH1854" t="str">
        <f xml:space="preserve"> IF($BF$1854 &gt;= $G$204, "1","0")</f>
        <v>1</v>
      </c>
      <c r="BI1854">
        <f xml:space="preserve"> IF( AND( $BG$1854 = "1", $BH$1854 = "1" ), 1, IF( AND( $BG$1854 = "1", $BH$1854 = "0" ), 2, IF( AND( $BG$1854 = "0", $BH$1854 = "1" ), 3, 4 ) ) )</f>
        <v>3</v>
      </c>
    </row>
    <row r="1855" spans="58:61" x14ac:dyDescent="0.25">
      <c r="BF1855" s="1">
        <v>0</v>
      </c>
      <c r="BG1855" t="str">
        <f>"0"</f>
        <v>0</v>
      </c>
      <c r="BH1855" t="str">
        <f xml:space="preserve"> IF($BF$1855 &gt;= $G$204, "1","0")</f>
        <v>0</v>
      </c>
      <c r="BI1855">
        <f xml:space="preserve"> IF( AND( $BG$1855 = "1", $BH$1855 = "1" ), 1, IF( AND( $BG$1855 = "1", $BH$1855 = "0" ), 2, IF( AND( $BG$1855 = "0", $BH$1855 = "1" ), 3, 4 ) ) )</f>
        <v>4</v>
      </c>
    </row>
    <row r="1856" spans="58:61" x14ac:dyDescent="0.25">
      <c r="BF1856" s="1">
        <v>0</v>
      </c>
      <c r="BG1856" t="str">
        <f>"0"</f>
        <v>0</v>
      </c>
      <c r="BH1856" t="str">
        <f xml:space="preserve"> IF($BF$1856 &gt;= $G$204, "1","0")</f>
        <v>0</v>
      </c>
      <c r="BI1856">
        <f xml:space="preserve"> IF( AND( $BG$1856 = "1", $BH$1856 = "1" ), 1, IF( AND( $BG$1856 = "1", $BH$1856 = "0" ), 2, IF( AND( $BG$1856 = "0", $BH$1856 = "1" ), 3, 4 ) ) )</f>
        <v>4</v>
      </c>
    </row>
    <row r="1857" spans="58:61" x14ac:dyDescent="0.25">
      <c r="BF1857" s="1">
        <v>1</v>
      </c>
      <c r="BG1857" t="str">
        <f>"1"</f>
        <v>1</v>
      </c>
      <c r="BH1857" t="str">
        <f xml:space="preserve"> IF($BF$1857 &gt;= $G$204, "1","0")</f>
        <v>1</v>
      </c>
      <c r="BI1857">
        <f xml:space="preserve"> IF( AND( $BG$1857 = "1", $BH$1857 = "1" ), 1, IF( AND( $BG$1857 = "1", $BH$1857 = "0" ), 2, IF( AND( $BG$1857 = "0", $BH$1857 = "1" ), 3, 4 ) ) )</f>
        <v>1</v>
      </c>
    </row>
    <row r="1858" spans="58:61" x14ac:dyDescent="0.25">
      <c r="BF1858" s="1">
        <v>0.38461538461538464</v>
      </c>
      <c r="BG1858" t="str">
        <f>"1"</f>
        <v>1</v>
      </c>
      <c r="BH1858" t="str">
        <f xml:space="preserve"> IF($BF$1858 &gt;= $G$204, "1","0")</f>
        <v>1</v>
      </c>
      <c r="BI1858">
        <f xml:space="preserve"> IF( AND( $BG$1858 = "1", $BH$1858 = "1" ), 1, IF( AND( $BG$1858 = "1", $BH$1858 = "0" ), 2, IF( AND( $BG$1858 = "0", $BH$1858 = "1" ), 3, 4 ) ) )</f>
        <v>1</v>
      </c>
    </row>
    <row r="1859" spans="58:61" x14ac:dyDescent="0.25">
      <c r="BF1859" s="1">
        <v>0</v>
      </c>
      <c r="BG1859" t="str">
        <f>"0"</f>
        <v>0</v>
      </c>
      <c r="BH1859" t="str">
        <f xml:space="preserve"> IF($BF$1859 &gt;= $G$204, "1","0")</f>
        <v>0</v>
      </c>
      <c r="BI1859">
        <f xml:space="preserve"> IF( AND( $BG$1859 = "1", $BH$1859 = "1" ), 1, IF( AND( $BG$1859 = "1", $BH$1859 = "0" ), 2, IF( AND( $BG$1859 = "0", $BH$1859 = "1" ), 3, 4 ) ) )</f>
        <v>4</v>
      </c>
    </row>
    <row r="1860" spans="58:61" x14ac:dyDescent="0.25">
      <c r="BF1860" s="1">
        <v>1</v>
      </c>
      <c r="BG1860" t="str">
        <f>"1"</f>
        <v>1</v>
      </c>
      <c r="BH1860" t="str">
        <f xml:space="preserve"> IF($BF$1860 &gt;= $G$204, "1","0")</f>
        <v>1</v>
      </c>
      <c r="BI1860">
        <f xml:space="preserve"> IF( AND( $BG$1860 = "1", $BH$1860 = "1" ), 1, IF( AND( $BG$1860 = "1", $BH$1860 = "0" ), 2, IF( AND( $BG$1860 = "0", $BH$1860 = "1" ), 3, 4 ) ) )</f>
        <v>1</v>
      </c>
    </row>
  </sheetData>
  <mergeCells count="82">
    <mergeCell ref="J7:K7"/>
    <mergeCell ref="B4:K4"/>
    <mergeCell ref="N4:Q4"/>
    <mergeCell ref="J5:K5"/>
    <mergeCell ref="B6:C6"/>
    <mergeCell ref="D6:E6"/>
    <mergeCell ref="F6:G6"/>
    <mergeCell ref="H6:I6"/>
    <mergeCell ref="J6:K6"/>
    <mergeCell ref="C299:D299"/>
    <mergeCell ref="C300:D300"/>
    <mergeCell ref="B5:C5"/>
    <mergeCell ref="D5:E5"/>
    <mergeCell ref="F5:G5"/>
    <mergeCell ref="H5:I5"/>
    <mergeCell ref="B7:C7"/>
    <mergeCell ref="D7:E7"/>
    <mergeCell ref="F7:G7"/>
    <mergeCell ref="H7:I7"/>
    <mergeCell ref="D284:E284"/>
    <mergeCell ref="C289:F289"/>
    <mergeCell ref="C295:E295"/>
    <mergeCell ref="C296:D296"/>
    <mergeCell ref="C297:D297"/>
    <mergeCell ref="C298:D298"/>
    <mergeCell ref="C223:D223"/>
    <mergeCell ref="C227:D227"/>
    <mergeCell ref="H227:I227"/>
    <mergeCell ref="C281:F281"/>
    <mergeCell ref="H281:M281"/>
    <mergeCell ref="C283:E283"/>
    <mergeCell ref="C212:F212"/>
    <mergeCell ref="C218:E218"/>
    <mergeCell ref="C219:D219"/>
    <mergeCell ref="C220:D220"/>
    <mergeCell ref="C221:D221"/>
    <mergeCell ref="C222:D222"/>
    <mergeCell ref="C106:D106"/>
    <mergeCell ref="H106:I106"/>
    <mergeCell ref="C204:F204"/>
    <mergeCell ref="H204:M204"/>
    <mergeCell ref="C206:E206"/>
    <mergeCell ref="D207:E207"/>
    <mergeCell ref="C41:G41"/>
    <mergeCell ref="C42:G42"/>
    <mergeCell ref="C43:G43"/>
    <mergeCell ref="C44:G44"/>
    <mergeCell ref="C48:F48"/>
    <mergeCell ref="E52:F52"/>
    <mergeCell ref="C34:F34"/>
    <mergeCell ref="C35:F35"/>
    <mergeCell ref="C36:F36"/>
    <mergeCell ref="C38:G38"/>
    <mergeCell ref="C39:G39"/>
    <mergeCell ref="C40:G40"/>
    <mergeCell ref="C28:G28"/>
    <mergeCell ref="C29:F29"/>
    <mergeCell ref="C30:F30"/>
    <mergeCell ref="C31:F31"/>
    <mergeCell ref="C32:F32"/>
    <mergeCell ref="C33:F33"/>
    <mergeCell ref="C23:L23"/>
    <mergeCell ref="C24:D24"/>
    <mergeCell ref="C25:D25"/>
    <mergeCell ref="C26:D26"/>
    <mergeCell ref="E24:L24"/>
    <mergeCell ref="E26:L26"/>
    <mergeCell ref="C20:F20"/>
    <mergeCell ref="C21:F21"/>
    <mergeCell ref="G15:K15"/>
    <mergeCell ref="G16:K16"/>
    <mergeCell ref="G17:K17"/>
    <mergeCell ref="G18:K18"/>
    <mergeCell ref="G19:K19"/>
    <mergeCell ref="G20:K20"/>
    <mergeCell ref="G21:K21"/>
    <mergeCell ref="C14:K14"/>
    <mergeCell ref="C15:F15"/>
    <mergeCell ref="C16:F16"/>
    <mergeCell ref="C17:F17"/>
    <mergeCell ref="C18:F18"/>
    <mergeCell ref="C19:F19"/>
  </mergeCells>
  <hyperlinks>
    <hyperlink ref="B5" location="'CT_FullTree'!$B$12:$B$12" display="Full-Grown Tree"/>
    <hyperlink ref="D5" location="'CT_Output'!$B$12:$B$12" display="Inputs"/>
    <hyperlink ref="F5" location="'CT_Output'!$B$46:$B$46" display="Prior class probs"/>
    <hyperlink ref="H5" location="'CT_Output'!$B$54:$B$54" display="Train Log"/>
    <hyperlink ref="J5" location="'CT_Output'!$B$104:$B$104" display="Full-Grown Tree Rules"/>
    <hyperlink ref="B6" location="'CT_Output'!$B$202:$B$202" display="Train. Score Summary."/>
    <hyperlink ref="D6" location="'CT_Output'!$B$225:$B$225" display="Best-Pruned Tree Rules"/>
    <hyperlink ref="F6" location="'CT_Output'!$B$279:$B$279" display="Valid. Score Summary"/>
    <hyperlink ref="H6" location="'CT_PruneLog'!$B$2:$B$2" display="Prune Log"/>
    <hyperlink ref="J6" location="'CT_PruneTree'!$B$12:$B$12" display="Best-Pruned Tree"/>
    <hyperlink ref="B7" location="'CT_TrainingLiftChart'!$B$12:$B$12" display="CT Train. Lift Chart"/>
    <hyperlink ref="D7" location="'CT_TrainingScore'!$B$2:$B$2" display="Train. Score Detail"/>
    <hyperlink ref="F7" location="'CT_ValidationLiftChart'!$B$12:$B$12" display="CT Valid. Lift Chart"/>
    <hyperlink ref="H7" location="'CT_ValidationScore'!$B$2:$B$2" display="Valid. Score Detail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Q1878"/>
  <sheetViews>
    <sheetView showGridLines="0" workbookViewId="0"/>
  </sheetViews>
  <sheetFormatPr defaultRowHeight="15" x14ac:dyDescent="0.25"/>
  <cols>
    <col min="14" max="14" width="11.140625" bestFit="1" customWidth="1"/>
  </cols>
  <sheetData>
    <row r="2" spans="2:17" ht="18.75" x14ac:dyDescent="0.3">
      <c r="B2" s="4" t="s">
        <v>136</v>
      </c>
      <c r="N2" t="s">
        <v>9</v>
      </c>
    </row>
    <row r="4" spans="2:17" ht="15.75" x14ac:dyDescent="0.25">
      <c r="B4" s="9" t="s">
        <v>81</v>
      </c>
      <c r="C4" s="10"/>
      <c r="D4" s="10"/>
      <c r="E4" s="10"/>
      <c r="F4" s="10"/>
      <c r="G4" s="10"/>
      <c r="H4" s="10"/>
      <c r="I4" s="10"/>
      <c r="J4" s="10"/>
      <c r="K4" s="11"/>
      <c r="N4" s="9" t="s">
        <v>82</v>
      </c>
      <c r="O4" s="10"/>
      <c r="P4" s="10"/>
      <c r="Q4" s="11"/>
    </row>
    <row r="5" spans="2:17" x14ac:dyDescent="0.25">
      <c r="B5" s="12" t="s">
        <v>102</v>
      </c>
      <c r="C5" s="8"/>
      <c r="D5" s="12" t="s">
        <v>103</v>
      </c>
      <c r="E5" s="8"/>
      <c r="F5" s="12" t="s">
        <v>104</v>
      </c>
      <c r="G5" s="8"/>
      <c r="H5" s="12" t="s">
        <v>105</v>
      </c>
      <c r="I5" s="8"/>
      <c r="J5" s="12" t="s">
        <v>106</v>
      </c>
      <c r="K5" s="8"/>
      <c r="N5" s="2" t="s">
        <v>83</v>
      </c>
      <c r="O5" s="2" t="s">
        <v>84</v>
      </c>
      <c r="P5" s="2" t="s">
        <v>85</v>
      </c>
      <c r="Q5" s="2" t="s">
        <v>86</v>
      </c>
    </row>
    <row r="6" spans="2:17" x14ac:dyDescent="0.25">
      <c r="B6" s="12" t="s">
        <v>107</v>
      </c>
      <c r="C6" s="8"/>
      <c r="D6" s="12" t="s">
        <v>108</v>
      </c>
      <c r="E6" s="8"/>
      <c r="F6" s="12" t="s">
        <v>109</v>
      </c>
      <c r="G6" s="8"/>
      <c r="H6" s="12" t="s">
        <v>110</v>
      </c>
      <c r="I6" s="8"/>
      <c r="J6" s="12" t="s">
        <v>111</v>
      </c>
      <c r="K6" s="8"/>
      <c r="N6" s="1">
        <v>15</v>
      </c>
      <c r="O6" s="1">
        <v>579</v>
      </c>
      <c r="P6" s="1">
        <v>78</v>
      </c>
      <c r="Q6" s="1">
        <v>672</v>
      </c>
    </row>
    <row r="7" spans="2:17" x14ac:dyDescent="0.25">
      <c r="B7" s="12" t="s">
        <v>112</v>
      </c>
      <c r="C7" s="8"/>
      <c r="D7" s="12" t="s">
        <v>113</v>
      </c>
      <c r="E7" s="8"/>
      <c r="F7" s="12" t="s">
        <v>114</v>
      </c>
      <c r="G7" s="8"/>
      <c r="H7" s="12" t="s">
        <v>115</v>
      </c>
      <c r="I7" s="8"/>
      <c r="J7" s="7"/>
      <c r="K7" s="8"/>
    </row>
    <row r="12" spans="2:17" x14ac:dyDescent="0.25">
      <c r="B12" s="3" t="s">
        <v>126</v>
      </c>
      <c r="C12" s="7" t="s">
        <v>127</v>
      </c>
      <c r="D12" s="18"/>
      <c r="E12" s="18"/>
      <c r="F12" s="8"/>
    </row>
    <row r="13" spans="2:17" x14ac:dyDescent="0.25">
      <c r="B13" s="3" t="s">
        <v>128</v>
      </c>
      <c r="C13" s="7" t="s">
        <v>129</v>
      </c>
      <c r="D13" s="18"/>
      <c r="E13" s="18"/>
      <c r="F13" s="8"/>
    </row>
    <row r="16" spans="2:17" x14ac:dyDescent="0.25">
      <c r="B16" s="19" t="s">
        <v>130</v>
      </c>
      <c r="C16" s="20"/>
      <c r="D16" s="20"/>
      <c r="E16" s="21"/>
      <c r="F16" s="15">
        <v>0.25</v>
      </c>
      <c r="G16" s="19" t="s">
        <v>131</v>
      </c>
      <c r="H16" s="20"/>
      <c r="I16" s="20"/>
      <c r="J16" s="20"/>
      <c r="K16" s="20"/>
      <c r="L16" s="21"/>
    </row>
    <row r="18" spans="2:13" ht="26.25" x14ac:dyDescent="0.25">
      <c r="B18" s="16" t="s">
        <v>132</v>
      </c>
      <c r="C18" s="16" t="s">
        <v>133</v>
      </c>
      <c r="D18" s="16" t="s">
        <v>134</v>
      </c>
      <c r="E18" s="16" t="s">
        <v>135</v>
      </c>
      <c r="F18" s="2" t="s">
        <v>0</v>
      </c>
      <c r="G18" s="2" t="s">
        <v>1</v>
      </c>
      <c r="H18" s="2" t="s">
        <v>2</v>
      </c>
      <c r="I18" s="2" t="s">
        <v>3</v>
      </c>
      <c r="J18" s="2" t="s">
        <v>4</v>
      </c>
      <c r="K18" s="2" t="s">
        <v>5</v>
      </c>
      <c r="L18" s="2" t="s">
        <v>6</v>
      </c>
      <c r="M18" s="2" t="s">
        <v>7</v>
      </c>
    </row>
    <row r="19" spans="2:13" x14ac:dyDescent="0.25">
      <c r="B19" s="17">
        <v>0</v>
      </c>
      <c r="C19" s="17">
        <v>1</v>
      </c>
      <c r="D19" s="17">
        <v>0.73913043478260865</v>
      </c>
      <c r="E19" s="17">
        <v>0.2608695652173913</v>
      </c>
      <c r="F19" s="17">
        <v>100</v>
      </c>
      <c r="G19" s="17">
        <v>1</v>
      </c>
      <c r="H19" s="17">
        <v>4</v>
      </c>
      <c r="I19" s="17">
        <v>3</v>
      </c>
      <c r="J19" s="17">
        <v>2</v>
      </c>
      <c r="K19" s="17">
        <v>0</v>
      </c>
      <c r="L19" s="17">
        <v>13886</v>
      </c>
      <c r="M19" s="17">
        <v>0</v>
      </c>
    </row>
    <row r="20" spans="2:13" x14ac:dyDescent="0.25">
      <c r="B20" s="1">
        <v>1</v>
      </c>
      <c r="C20" s="1">
        <v>1</v>
      </c>
      <c r="D20" s="1">
        <v>0</v>
      </c>
      <c r="E20" s="1">
        <v>1</v>
      </c>
      <c r="F20" s="1">
        <v>97</v>
      </c>
      <c r="G20" s="1">
        <v>1</v>
      </c>
      <c r="H20" s="1">
        <v>4</v>
      </c>
      <c r="I20" s="1">
        <v>4</v>
      </c>
      <c r="J20" s="1">
        <v>0</v>
      </c>
      <c r="K20" s="1">
        <v>0</v>
      </c>
      <c r="L20" s="1">
        <v>13059</v>
      </c>
      <c r="M20" s="1">
        <v>0</v>
      </c>
    </row>
    <row r="21" spans="2:13" x14ac:dyDescent="0.25">
      <c r="B21" s="17">
        <v>0</v>
      </c>
      <c r="C21" s="17">
        <v>1</v>
      </c>
      <c r="D21" s="17">
        <v>0.55555555555555547</v>
      </c>
      <c r="E21" s="17">
        <v>0.44444444444444448</v>
      </c>
      <c r="F21" s="17">
        <v>97</v>
      </c>
      <c r="G21" s="17">
        <v>1</v>
      </c>
      <c r="H21" s="17">
        <v>7</v>
      </c>
      <c r="I21" s="17">
        <v>6</v>
      </c>
      <c r="J21" s="17">
        <v>1</v>
      </c>
      <c r="K21" s="17">
        <v>0</v>
      </c>
      <c r="L21" s="17">
        <v>8084</v>
      </c>
      <c r="M21" s="17">
        <v>0</v>
      </c>
    </row>
    <row r="22" spans="2:13" x14ac:dyDescent="0.25">
      <c r="B22" s="17">
        <v>0</v>
      </c>
      <c r="C22" s="17">
        <v>1</v>
      </c>
      <c r="D22" s="17">
        <v>0.5</v>
      </c>
      <c r="E22" s="17">
        <v>0.5</v>
      </c>
      <c r="F22" s="17">
        <v>96</v>
      </c>
      <c r="G22" s="17">
        <v>1</v>
      </c>
      <c r="H22" s="17">
        <v>3</v>
      </c>
      <c r="I22" s="17">
        <v>4</v>
      </c>
      <c r="J22" s="17">
        <v>0</v>
      </c>
      <c r="K22" s="17">
        <v>0</v>
      </c>
      <c r="L22" s="17">
        <v>12154</v>
      </c>
      <c r="M22" s="17">
        <v>0</v>
      </c>
    </row>
    <row r="23" spans="2:13" x14ac:dyDescent="0.25">
      <c r="B23" s="1">
        <v>1</v>
      </c>
      <c r="C23" s="1">
        <v>1</v>
      </c>
      <c r="D23" s="1">
        <v>0</v>
      </c>
      <c r="E23" s="1">
        <v>1</v>
      </c>
      <c r="F23" s="1">
        <v>95</v>
      </c>
      <c r="G23" s="1">
        <v>0</v>
      </c>
      <c r="H23" s="1">
        <v>6</v>
      </c>
      <c r="I23" s="1">
        <v>5</v>
      </c>
      <c r="J23" s="1">
        <v>2</v>
      </c>
      <c r="K23" s="1">
        <v>0</v>
      </c>
      <c r="L23" s="1">
        <v>14036</v>
      </c>
      <c r="M23" s="1">
        <v>0</v>
      </c>
    </row>
    <row r="24" spans="2:13" x14ac:dyDescent="0.25">
      <c r="B24" s="1">
        <v>1</v>
      </c>
      <c r="C24" s="1">
        <v>1</v>
      </c>
      <c r="D24" s="1">
        <v>0.19999999999999996</v>
      </c>
      <c r="E24" s="1">
        <v>0.79999999999999993</v>
      </c>
      <c r="F24" s="1">
        <v>92</v>
      </c>
      <c r="G24" s="1">
        <v>1</v>
      </c>
      <c r="H24" s="1">
        <v>10</v>
      </c>
      <c r="I24" s="1">
        <v>4</v>
      </c>
      <c r="J24" s="1">
        <v>2</v>
      </c>
      <c r="K24" s="1">
        <v>0</v>
      </c>
      <c r="L24" s="1">
        <v>32688</v>
      </c>
      <c r="M24" s="1">
        <v>1</v>
      </c>
    </row>
    <row r="25" spans="2:13" x14ac:dyDescent="0.25">
      <c r="B25" s="1">
        <v>1</v>
      </c>
      <c r="C25" s="1">
        <v>1</v>
      </c>
      <c r="D25" s="1">
        <v>0.19999999999999996</v>
      </c>
      <c r="E25" s="1">
        <v>0.79999999999999993</v>
      </c>
      <c r="F25" s="1">
        <v>91</v>
      </c>
      <c r="G25" s="1">
        <v>1</v>
      </c>
      <c r="H25" s="1">
        <v>9</v>
      </c>
      <c r="I25" s="1">
        <v>4</v>
      </c>
      <c r="J25" s="1">
        <v>0</v>
      </c>
      <c r="K25" s="1">
        <v>0</v>
      </c>
      <c r="L25" s="1">
        <v>16550</v>
      </c>
      <c r="M25" s="1">
        <v>0</v>
      </c>
    </row>
    <row r="26" spans="2:13" x14ac:dyDescent="0.25">
      <c r="B26" s="17">
        <v>0</v>
      </c>
      <c r="C26" s="17">
        <v>1</v>
      </c>
      <c r="D26" s="17">
        <v>0.55555555555555547</v>
      </c>
      <c r="E26" s="17">
        <v>0.44444444444444448</v>
      </c>
      <c r="F26" s="17">
        <v>91</v>
      </c>
      <c r="G26" s="17">
        <v>0</v>
      </c>
      <c r="H26" s="17">
        <v>5</v>
      </c>
      <c r="I26" s="17">
        <v>5</v>
      </c>
      <c r="J26" s="17">
        <v>0</v>
      </c>
      <c r="K26" s="17">
        <v>0</v>
      </c>
      <c r="L26" s="17">
        <v>8836</v>
      </c>
      <c r="M26" s="17">
        <v>0</v>
      </c>
    </row>
    <row r="27" spans="2:13" x14ac:dyDescent="0.25">
      <c r="B27" s="1">
        <v>1</v>
      </c>
      <c r="C27" s="1">
        <v>1</v>
      </c>
      <c r="D27" s="1">
        <v>0.19999999999999996</v>
      </c>
      <c r="E27" s="1">
        <v>0.79999999999999993</v>
      </c>
      <c r="F27" s="1">
        <v>91</v>
      </c>
      <c r="G27" s="1">
        <v>0</v>
      </c>
      <c r="H27" s="1">
        <v>17</v>
      </c>
      <c r="I27" s="1">
        <v>4</v>
      </c>
      <c r="J27" s="1">
        <v>1</v>
      </c>
      <c r="K27" s="1">
        <v>0</v>
      </c>
      <c r="L27" s="1">
        <v>44211</v>
      </c>
      <c r="M27" s="1">
        <v>1</v>
      </c>
    </row>
    <row r="28" spans="2:13" x14ac:dyDescent="0.25">
      <c r="B28" s="17">
        <v>0</v>
      </c>
      <c r="C28" s="17">
        <v>1</v>
      </c>
      <c r="D28" s="17">
        <v>0.95652173913043481</v>
      </c>
      <c r="E28" s="17">
        <v>4.3478260869565209E-2</v>
      </c>
      <c r="F28" s="17">
        <v>90</v>
      </c>
      <c r="G28" s="17">
        <v>0</v>
      </c>
      <c r="H28" s="17">
        <v>2</v>
      </c>
      <c r="I28" s="17">
        <v>3</v>
      </c>
      <c r="J28" s="17">
        <v>0</v>
      </c>
      <c r="K28" s="17">
        <v>0</v>
      </c>
      <c r="L28" s="17">
        <v>11481</v>
      </c>
      <c r="M28" s="17">
        <v>0</v>
      </c>
    </row>
    <row r="29" spans="2:13" x14ac:dyDescent="0.25">
      <c r="B29" s="17">
        <v>0</v>
      </c>
      <c r="C29" s="17">
        <v>1</v>
      </c>
      <c r="D29" s="17">
        <v>0.73913043478260865</v>
      </c>
      <c r="E29" s="17">
        <v>0.2608695652173913</v>
      </c>
      <c r="F29" s="17">
        <v>90</v>
      </c>
      <c r="G29" s="17">
        <v>1</v>
      </c>
      <c r="H29" s="17">
        <v>16</v>
      </c>
      <c r="I29" s="17">
        <v>3</v>
      </c>
      <c r="J29" s="17">
        <v>0</v>
      </c>
      <c r="K29" s="17">
        <v>0</v>
      </c>
      <c r="L29" s="17">
        <v>49582</v>
      </c>
      <c r="M29" s="17">
        <v>0</v>
      </c>
    </row>
    <row r="30" spans="2:13" x14ac:dyDescent="0.25">
      <c r="B30" s="17">
        <v>0</v>
      </c>
      <c r="C30" s="17">
        <v>1</v>
      </c>
      <c r="D30" s="17">
        <v>0.55555555555555547</v>
      </c>
      <c r="E30" s="17">
        <v>0.44444444444444448</v>
      </c>
      <c r="F30" s="17">
        <v>89</v>
      </c>
      <c r="G30" s="17">
        <v>1</v>
      </c>
      <c r="H30" s="17">
        <v>2</v>
      </c>
      <c r="I30" s="17">
        <v>6</v>
      </c>
      <c r="J30" s="17">
        <v>0</v>
      </c>
      <c r="K30" s="17">
        <v>0</v>
      </c>
      <c r="L30" s="17">
        <v>9075</v>
      </c>
      <c r="M30" s="17">
        <v>0</v>
      </c>
    </row>
    <row r="31" spans="2:13" x14ac:dyDescent="0.25">
      <c r="B31" s="1">
        <v>1</v>
      </c>
      <c r="C31" s="1">
        <v>1</v>
      </c>
      <c r="D31" s="1">
        <v>0.33333333333333331</v>
      </c>
      <c r="E31" s="1">
        <v>0.66666666666666663</v>
      </c>
      <c r="F31" s="1">
        <v>89</v>
      </c>
      <c r="G31" s="1">
        <v>1</v>
      </c>
      <c r="H31" s="1">
        <v>2</v>
      </c>
      <c r="I31" s="1">
        <v>3</v>
      </c>
      <c r="J31" s="1">
        <v>0</v>
      </c>
      <c r="K31" s="1">
        <v>0</v>
      </c>
      <c r="L31" s="1">
        <v>7020</v>
      </c>
      <c r="M31" s="1">
        <v>0</v>
      </c>
    </row>
    <row r="32" spans="2:13" x14ac:dyDescent="0.25">
      <c r="B32" s="1">
        <v>1</v>
      </c>
      <c r="C32" s="1">
        <v>1</v>
      </c>
      <c r="D32" s="1">
        <v>0.36</v>
      </c>
      <c r="E32" s="1">
        <v>0.64</v>
      </c>
      <c r="F32" s="1">
        <v>89</v>
      </c>
      <c r="G32" s="1">
        <v>0</v>
      </c>
      <c r="H32" s="1">
        <v>3</v>
      </c>
      <c r="I32" s="1">
        <v>4</v>
      </c>
      <c r="J32" s="1">
        <v>0</v>
      </c>
      <c r="K32" s="1">
        <v>0</v>
      </c>
      <c r="L32" s="1">
        <v>17508</v>
      </c>
      <c r="M32" s="1">
        <v>0</v>
      </c>
    </row>
    <row r="33" spans="2:13" x14ac:dyDescent="0.25">
      <c r="B33" s="1">
        <v>1</v>
      </c>
      <c r="C33" s="1">
        <v>1</v>
      </c>
      <c r="D33" s="1">
        <v>0.27272727272727276</v>
      </c>
      <c r="E33" s="1">
        <v>0.72727272727272729</v>
      </c>
      <c r="F33" s="1">
        <v>89</v>
      </c>
      <c r="G33" s="1">
        <v>1</v>
      </c>
      <c r="H33" s="1">
        <v>2</v>
      </c>
      <c r="I33" s="1">
        <v>3</v>
      </c>
      <c r="J33" s="1">
        <v>0</v>
      </c>
      <c r="K33" s="1">
        <v>0</v>
      </c>
      <c r="L33" s="1">
        <v>5315</v>
      </c>
      <c r="M33" s="1">
        <v>0</v>
      </c>
    </row>
    <row r="34" spans="2:13" x14ac:dyDescent="0.25">
      <c r="B34" s="1">
        <v>1</v>
      </c>
      <c r="C34" s="1">
        <v>1</v>
      </c>
      <c r="D34" s="1">
        <v>0.27272727272727276</v>
      </c>
      <c r="E34" s="1">
        <v>0.72727272727272729</v>
      </c>
      <c r="F34" s="1">
        <v>89</v>
      </c>
      <c r="G34" s="1">
        <v>1</v>
      </c>
      <c r="H34" s="1">
        <v>2</v>
      </c>
      <c r="I34" s="1">
        <v>7</v>
      </c>
      <c r="J34" s="1">
        <v>0</v>
      </c>
      <c r="K34" s="1">
        <v>0</v>
      </c>
      <c r="L34" s="1">
        <v>5661</v>
      </c>
      <c r="M34" s="1">
        <v>0</v>
      </c>
    </row>
    <row r="35" spans="2:13" x14ac:dyDescent="0.25">
      <c r="B35" s="1">
        <v>1</v>
      </c>
      <c r="C35" s="1">
        <v>1</v>
      </c>
      <c r="D35" s="1">
        <v>0.19999999999999996</v>
      </c>
      <c r="E35" s="1">
        <v>0.79999999999999993</v>
      </c>
      <c r="F35" s="1">
        <v>89</v>
      </c>
      <c r="G35" s="1">
        <v>1</v>
      </c>
      <c r="H35" s="1">
        <v>11</v>
      </c>
      <c r="I35" s="1">
        <v>5</v>
      </c>
      <c r="J35" s="1">
        <v>0</v>
      </c>
      <c r="K35" s="1">
        <v>0</v>
      </c>
      <c r="L35" s="1">
        <v>26531</v>
      </c>
      <c r="M35" s="1">
        <v>0</v>
      </c>
    </row>
    <row r="36" spans="2:13" x14ac:dyDescent="0.25">
      <c r="B36" s="1">
        <v>1</v>
      </c>
      <c r="C36" s="1">
        <v>1</v>
      </c>
      <c r="D36" s="1">
        <v>0.36</v>
      </c>
      <c r="E36" s="1">
        <v>0.64</v>
      </c>
      <c r="F36" s="1">
        <v>89</v>
      </c>
      <c r="G36" s="1">
        <v>1</v>
      </c>
      <c r="H36" s="1">
        <v>6</v>
      </c>
      <c r="I36" s="1">
        <v>5</v>
      </c>
      <c r="J36" s="1">
        <v>1</v>
      </c>
      <c r="K36" s="1">
        <v>0</v>
      </c>
      <c r="L36" s="1">
        <v>20444</v>
      </c>
      <c r="M36" s="1">
        <v>0</v>
      </c>
    </row>
    <row r="37" spans="2:13" x14ac:dyDescent="0.25">
      <c r="B37" s="1">
        <v>1</v>
      </c>
      <c r="C37" s="1">
        <v>1</v>
      </c>
      <c r="D37" s="1">
        <v>0.33333333333333331</v>
      </c>
      <c r="E37" s="1">
        <v>0.66666666666666663</v>
      </c>
      <c r="F37" s="1">
        <v>89</v>
      </c>
      <c r="G37" s="1">
        <v>1</v>
      </c>
      <c r="H37" s="1">
        <v>1</v>
      </c>
      <c r="I37" s="1">
        <v>1</v>
      </c>
      <c r="J37" s="1">
        <v>0</v>
      </c>
      <c r="K37" s="1">
        <v>0</v>
      </c>
      <c r="L37" s="1">
        <v>6725</v>
      </c>
      <c r="M37" s="1">
        <v>0</v>
      </c>
    </row>
    <row r="38" spans="2:13" x14ac:dyDescent="0.25">
      <c r="B38" s="17">
        <v>0</v>
      </c>
      <c r="C38" s="17">
        <v>1</v>
      </c>
      <c r="D38" s="17">
        <v>0.73913043478260865</v>
      </c>
      <c r="E38" s="17">
        <v>0.2608695652173913</v>
      </c>
      <c r="F38" s="17">
        <v>89</v>
      </c>
      <c r="G38" s="17">
        <v>0</v>
      </c>
      <c r="H38" s="17">
        <v>7</v>
      </c>
      <c r="I38" s="17">
        <v>1</v>
      </c>
      <c r="J38" s="17">
        <v>0</v>
      </c>
      <c r="K38" s="17">
        <v>0</v>
      </c>
      <c r="L38" s="17">
        <v>15951</v>
      </c>
      <c r="M38" s="17">
        <v>0</v>
      </c>
    </row>
    <row r="39" spans="2:13" x14ac:dyDescent="0.25">
      <c r="B39" s="17">
        <v>0</v>
      </c>
      <c r="C39" s="17">
        <v>1</v>
      </c>
      <c r="D39" s="17">
        <v>0.625</v>
      </c>
      <c r="E39" s="17">
        <v>0.37500000000000006</v>
      </c>
      <c r="F39" s="17">
        <v>88</v>
      </c>
      <c r="G39" s="17">
        <v>1</v>
      </c>
      <c r="H39" s="17">
        <v>2</v>
      </c>
      <c r="I39" s="17">
        <v>2</v>
      </c>
      <c r="J39" s="17">
        <v>0</v>
      </c>
      <c r="K39" s="17">
        <v>0</v>
      </c>
      <c r="L39" s="17">
        <v>8848</v>
      </c>
      <c r="M39" s="17">
        <v>0</v>
      </c>
    </row>
    <row r="40" spans="2:13" x14ac:dyDescent="0.25">
      <c r="B40" s="1">
        <v>1</v>
      </c>
      <c r="C40" s="1">
        <v>1</v>
      </c>
      <c r="D40" s="1">
        <v>0.36</v>
      </c>
      <c r="E40" s="1">
        <v>0.64</v>
      </c>
      <c r="F40" s="1">
        <v>88</v>
      </c>
      <c r="G40" s="1">
        <v>1</v>
      </c>
      <c r="H40" s="1">
        <v>7</v>
      </c>
      <c r="I40" s="1">
        <v>4</v>
      </c>
      <c r="J40" s="1">
        <v>0</v>
      </c>
      <c r="K40" s="1">
        <v>0</v>
      </c>
      <c r="L40" s="1">
        <v>21941</v>
      </c>
      <c r="M40" s="1">
        <v>0</v>
      </c>
    </row>
    <row r="41" spans="2:13" x14ac:dyDescent="0.25">
      <c r="B41" s="17">
        <v>0</v>
      </c>
      <c r="C41" s="17">
        <v>1</v>
      </c>
      <c r="D41" s="17">
        <v>0.73913043478260865</v>
      </c>
      <c r="E41" s="17">
        <v>0.2608695652173913</v>
      </c>
      <c r="F41" s="17">
        <v>88</v>
      </c>
      <c r="G41" s="17">
        <v>1</v>
      </c>
      <c r="H41" s="17">
        <v>8</v>
      </c>
      <c r="I41" s="17">
        <v>3</v>
      </c>
      <c r="J41" s="17">
        <v>0</v>
      </c>
      <c r="K41" s="17">
        <v>0</v>
      </c>
      <c r="L41" s="17">
        <v>18293</v>
      </c>
      <c r="M41" s="17">
        <v>0</v>
      </c>
    </row>
    <row r="42" spans="2:13" x14ac:dyDescent="0.25">
      <c r="B42" s="1">
        <v>1</v>
      </c>
      <c r="C42" s="1">
        <v>1</v>
      </c>
      <c r="D42" s="1">
        <v>0.36</v>
      </c>
      <c r="E42" s="1">
        <v>0.64</v>
      </c>
      <c r="F42" s="1">
        <v>88</v>
      </c>
      <c r="G42" s="1">
        <v>1</v>
      </c>
      <c r="H42" s="1">
        <v>5</v>
      </c>
      <c r="I42" s="1">
        <v>4</v>
      </c>
      <c r="J42" s="1">
        <v>0</v>
      </c>
      <c r="K42" s="1">
        <v>0</v>
      </c>
      <c r="L42" s="1">
        <v>15257</v>
      </c>
      <c r="M42" s="1">
        <v>0</v>
      </c>
    </row>
    <row r="43" spans="2:13" x14ac:dyDescent="0.25">
      <c r="B43" s="17">
        <v>0</v>
      </c>
      <c r="C43" s="17">
        <v>1</v>
      </c>
      <c r="D43" s="17">
        <v>0.55555555555555547</v>
      </c>
      <c r="E43" s="17">
        <v>0.44444444444444448</v>
      </c>
      <c r="F43" s="17">
        <v>87</v>
      </c>
      <c r="G43" s="17">
        <v>1</v>
      </c>
      <c r="H43" s="17">
        <v>3</v>
      </c>
      <c r="I43" s="17">
        <v>6</v>
      </c>
      <c r="J43" s="17">
        <v>1</v>
      </c>
      <c r="K43" s="17">
        <v>0</v>
      </c>
      <c r="L43" s="17">
        <v>10125</v>
      </c>
      <c r="M43" s="17">
        <v>0</v>
      </c>
    </row>
    <row r="44" spans="2:13" x14ac:dyDescent="0.25">
      <c r="B44" s="1">
        <v>1</v>
      </c>
      <c r="C44" s="1">
        <v>1</v>
      </c>
      <c r="D44" s="1">
        <v>0.36</v>
      </c>
      <c r="E44" s="1">
        <v>0.64</v>
      </c>
      <c r="F44" s="1">
        <v>87</v>
      </c>
      <c r="G44" s="1">
        <v>0</v>
      </c>
      <c r="H44" s="1">
        <v>5</v>
      </c>
      <c r="I44" s="1">
        <v>4</v>
      </c>
      <c r="J44" s="1">
        <v>0</v>
      </c>
      <c r="K44" s="1">
        <v>0</v>
      </c>
      <c r="L44" s="1">
        <v>19576</v>
      </c>
      <c r="M44" s="1">
        <v>0</v>
      </c>
    </row>
    <row r="45" spans="2:13" x14ac:dyDescent="0.25">
      <c r="B45" s="1">
        <v>1</v>
      </c>
      <c r="C45" s="1">
        <v>1</v>
      </c>
      <c r="D45" s="1">
        <v>0.36</v>
      </c>
      <c r="E45" s="1">
        <v>0.64</v>
      </c>
      <c r="F45" s="1">
        <v>87</v>
      </c>
      <c r="G45" s="1">
        <v>0</v>
      </c>
      <c r="H45" s="1">
        <v>3</v>
      </c>
      <c r="I45" s="1">
        <v>4</v>
      </c>
      <c r="J45" s="1">
        <v>1</v>
      </c>
      <c r="K45" s="1">
        <v>0</v>
      </c>
      <c r="L45" s="1">
        <v>25808</v>
      </c>
      <c r="M45" s="1">
        <v>1</v>
      </c>
    </row>
    <row r="46" spans="2:13" x14ac:dyDescent="0.25">
      <c r="B46" s="1">
        <v>1</v>
      </c>
      <c r="C46" s="1">
        <v>1</v>
      </c>
      <c r="D46" s="1">
        <v>0</v>
      </c>
      <c r="E46" s="1">
        <v>1</v>
      </c>
      <c r="F46" s="1">
        <v>86</v>
      </c>
      <c r="G46" s="1">
        <v>1</v>
      </c>
      <c r="H46" s="1">
        <v>3</v>
      </c>
      <c r="I46" s="1">
        <v>4</v>
      </c>
      <c r="J46" s="1">
        <v>0</v>
      </c>
      <c r="K46" s="1">
        <v>0</v>
      </c>
      <c r="L46" s="1">
        <v>13797</v>
      </c>
      <c r="M46" s="1">
        <v>0</v>
      </c>
    </row>
    <row r="47" spans="2:13" x14ac:dyDescent="0.25">
      <c r="B47" s="17">
        <v>0</v>
      </c>
      <c r="C47" s="17">
        <v>1</v>
      </c>
      <c r="D47" s="17">
        <v>0.73913043478260865</v>
      </c>
      <c r="E47" s="17">
        <v>0.2608695652173913</v>
      </c>
      <c r="F47" s="17">
        <v>86</v>
      </c>
      <c r="G47" s="17">
        <v>0</v>
      </c>
      <c r="H47" s="17">
        <v>3</v>
      </c>
      <c r="I47" s="17">
        <v>2</v>
      </c>
      <c r="J47" s="17">
        <v>0</v>
      </c>
      <c r="K47" s="17">
        <v>0</v>
      </c>
      <c r="L47" s="17">
        <v>14424</v>
      </c>
      <c r="M47" s="17">
        <v>0</v>
      </c>
    </row>
    <row r="48" spans="2:13" x14ac:dyDescent="0.25">
      <c r="B48" s="1">
        <v>1</v>
      </c>
      <c r="C48" s="1">
        <v>1</v>
      </c>
      <c r="D48" s="1">
        <v>0.19999999999999996</v>
      </c>
      <c r="E48" s="1">
        <v>0.79999999999999993</v>
      </c>
      <c r="F48" s="1">
        <v>86</v>
      </c>
      <c r="G48" s="1">
        <v>1</v>
      </c>
      <c r="H48" s="1">
        <v>9</v>
      </c>
      <c r="I48" s="1">
        <v>7</v>
      </c>
      <c r="J48" s="1">
        <v>2</v>
      </c>
      <c r="K48" s="1">
        <v>0</v>
      </c>
      <c r="L48" s="1">
        <v>59242</v>
      </c>
      <c r="M48" s="1">
        <v>0</v>
      </c>
    </row>
    <row r="49" spans="2:13" x14ac:dyDescent="0.25">
      <c r="B49" s="17">
        <v>0</v>
      </c>
      <c r="C49" s="17">
        <v>1</v>
      </c>
      <c r="D49" s="17">
        <v>0.7142857142857143</v>
      </c>
      <c r="E49" s="17">
        <v>0.2857142857142857</v>
      </c>
      <c r="F49" s="17">
        <v>86</v>
      </c>
      <c r="G49" s="17">
        <v>0</v>
      </c>
      <c r="H49" s="17">
        <v>5</v>
      </c>
      <c r="I49" s="17">
        <v>6</v>
      </c>
      <c r="J49" s="17">
        <v>0</v>
      </c>
      <c r="K49" s="17">
        <v>0</v>
      </c>
      <c r="L49" s="17">
        <v>28252</v>
      </c>
      <c r="M49" s="17">
        <v>0</v>
      </c>
    </row>
    <row r="50" spans="2:13" x14ac:dyDescent="0.25">
      <c r="B50" s="17">
        <v>0</v>
      </c>
      <c r="C50" s="17">
        <v>1</v>
      </c>
      <c r="D50" s="17">
        <v>0.625</v>
      </c>
      <c r="E50" s="17">
        <v>0.37500000000000006</v>
      </c>
      <c r="F50" s="17">
        <v>86</v>
      </c>
      <c r="G50" s="17">
        <v>1</v>
      </c>
      <c r="H50" s="17">
        <v>1</v>
      </c>
      <c r="I50" s="17">
        <v>2</v>
      </c>
      <c r="J50" s="17">
        <v>1</v>
      </c>
      <c r="K50" s="17">
        <v>0</v>
      </c>
      <c r="L50" s="17">
        <v>7532</v>
      </c>
      <c r="M50" s="17">
        <v>0</v>
      </c>
    </row>
    <row r="51" spans="2:13" x14ac:dyDescent="0.25">
      <c r="B51" s="17">
        <v>0</v>
      </c>
      <c r="C51" s="17">
        <v>1</v>
      </c>
      <c r="D51" s="17">
        <v>0.55555555555555547</v>
      </c>
      <c r="E51" s="17">
        <v>0.44444444444444448</v>
      </c>
      <c r="F51" s="17">
        <v>85</v>
      </c>
      <c r="G51" s="17">
        <v>1</v>
      </c>
      <c r="H51" s="17">
        <v>3</v>
      </c>
      <c r="I51" s="17">
        <v>5</v>
      </c>
      <c r="J51" s="17">
        <v>0</v>
      </c>
      <c r="K51" s="17">
        <v>0</v>
      </c>
      <c r="L51" s="17">
        <v>10620</v>
      </c>
      <c r="M51" s="17">
        <v>0</v>
      </c>
    </row>
    <row r="52" spans="2:13" x14ac:dyDescent="0.25">
      <c r="B52" s="1">
        <v>1</v>
      </c>
      <c r="C52" s="1">
        <v>1</v>
      </c>
      <c r="D52" s="1">
        <v>0.36</v>
      </c>
      <c r="E52" s="1">
        <v>0.64</v>
      </c>
      <c r="F52" s="1">
        <v>85</v>
      </c>
      <c r="G52" s="1">
        <v>1</v>
      </c>
      <c r="H52" s="1">
        <v>5</v>
      </c>
      <c r="I52" s="1">
        <v>4</v>
      </c>
      <c r="J52" s="1">
        <v>1</v>
      </c>
      <c r="K52" s="1">
        <v>0</v>
      </c>
      <c r="L52" s="1">
        <v>16944</v>
      </c>
      <c r="M52" s="1">
        <v>0</v>
      </c>
    </row>
    <row r="53" spans="2:13" x14ac:dyDescent="0.25">
      <c r="B53" s="1">
        <v>1</v>
      </c>
      <c r="C53" s="1">
        <v>1</v>
      </c>
      <c r="D53" s="1">
        <v>0</v>
      </c>
      <c r="E53" s="1">
        <v>1</v>
      </c>
      <c r="F53" s="1">
        <v>85</v>
      </c>
      <c r="G53" s="1">
        <v>1</v>
      </c>
      <c r="H53" s="1">
        <v>4</v>
      </c>
      <c r="I53" s="1">
        <v>6</v>
      </c>
      <c r="J53" s="1">
        <v>0</v>
      </c>
      <c r="K53" s="1">
        <v>0</v>
      </c>
      <c r="L53" s="1">
        <v>12981</v>
      </c>
      <c r="M53" s="1">
        <v>0</v>
      </c>
    </row>
    <row r="54" spans="2:13" x14ac:dyDescent="0.25">
      <c r="B54" s="17">
        <v>0</v>
      </c>
      <c r="C54" s="17">
        <v>1</v>
      </c>
      <c r="D54" s="17">
        <v>0.55555555555555547</v>
      </c>
      <c r="E54" s="17">
        <v>0.44444444444444448</v>
      </c>
      <c r="F54" s="17">
        <v>85</v>
      </c>
      <c r="G54" s="17">
        <v>0</v>
      </c>
      <c r="H54" s="17">
        <v>3</v>
      </c>
      <c r="I54" s="17">
        <v>5</v>
      </c>
      <c r="J54" s="17">
        <v>0</v>
      </c>
      <c r="K54" s="17">
        <v>0</v>
      </c>
      <c r="L54" s="17">
        <v>12384</v>
      </c>
      <c r="M54" s="17">
        <v>0</v>
      </c>
    </row>
    <row r="55" spans="2:13" x14ac:dyDescent="0.25">
      <c r="B55" s="1">
        <v>1</v>
      </c>
      <c r="C55" s="1">
        <v>1</v>
      </c>
      <c r="D55" s="1">
        <v>0.27272727272727276</v>
      </c>
      <c r="E55" s="1">
        <v>0.72727272727272729</v>
      </c>
      <c r="F55" s="1">
        <v>85</v>
      </c>
      <c r="G55" s="1">
        <v>1</v>
      </c>
      <c r="H55" s="1">
        <v>1</v>
      </c>
      <c r="I55" s="1">
        <v>2</v>
      </c>
      <c r="J55" s="1">
        <v>0</v>
      </c>
      <c r="K55" s="1">
        <v>0</v>
      </c>
      <c r="L55" s="1">
        <v>6112</v>
      </c>
      <c r="M55" s="1">
        <v>0</v>
      </c>
    </row>
    <row r="56" spans="2:13" x14ac:dyDescent="0.25">
      <c r="B56" s="1">
        <v>1</v>
      </c>
      <c r="C56" s="1">
        <v>1</v>
      </c>
      <c r="D56" s="1">
        <v>0.36</v>
      </c>
      <c r="E56" s="1">
        <v>0.64</v>
      </c>
      <c r="F56" s="1">
        <v>85</v>
      </c>
      <c r="G56" s="1">
        <v>1</v>
      </c>
      <c r="H56" s="1">
        <v>7</v>
      </c>
      <c r="I56" s="1">
        <v>4</v>
      </c>
      <c r="J56" s="1">
        <v>1</v>
      </c>
      <c r="K56" s="1">
        <v>0</v>
      </c>
      <c r="L56" s="1">
        <v>14424</v>
      </c>
      <c r="M56" s="1">
        <v>0</v>
      </c>
    </row>
    <row r="57" spans="2:13" x14ac:dyDescent="0.25">
      <c r="B57" s="17">
        <v>0</v>
      </c>
      <c r="C57" s="17">
        <v>1</v>
      </c>
      <c r="D57" s="17">
        <v>0.625</v>
      </c>
      <c r="E57" s="17">
        <v>0.37500000000000006</v>
      </c>
      <c r="F57" s="17">
        <v>85</v>
      </c>
      <c r="G57" s="17">
        <v>1</v>
      </c>
      <c r="H57" s="17">
        <v>5</v>
      </c>
      <c r="I57" s="17">
        <v>2</v>
      </c>
      <c r="J57" s="17">
        <v>0</v>
      </c>
      <c r="K57" s="17">
        <v>0</v>
      </c>
      <c r="L57" s="17">
        <v>12488</v>
      </c>
      <c r="M57" s="17">
        <v>0</v>
      </c>
    </row>
    <row r="58" spans="2:13" x14ac:dyDescent="0.25">
      <c r="B58" s="17">
        <v>0</v>
      </c>
      <c r="C58" s="17">
        <v>1</v>
      </c>
      <c r="D58" s="17">
        <v>0.55555555555555547</v>
      </c>
      <c r="E58" s="17">
        <v>0.44444444444444448</v>
      </c>
      <c r="F58" s="17">
        <v>85</v>
      </c>
      <c r="G58" s="17">
        <v>1</v>
      </c>
      <c r="H58" s="17">
        <v>5</v>
      </c>
      <c r="I58" s="17">
        <v>6</v>
      </c>
      <c r="J58" s="17">
        <v>0</v>
      </c>
      <c r="K58" s="17">
        <v>0</v>
      </c>
      <c r="L58" s="17">
        <v>12355</v>
      </c>
      <c r="M58" s="17">
        <v>0</v>
      </c>
    </row>
    <row r="59" spans="2:13" x14ac:dyDescent="0.25">
      <c r="B59" s="1">
        <v>1</v>
      </c>
      <c r="C59" s="1">
        <v>1</v>
      </c>
      <c r="D59" s="1">
        <v>0.36</v>
      </c>
      <c r="E59" s="1">
        <v>0.64</v>
      </c>
      <c r="F59" s="1">
        <v>85</v>
      </c>
      <c r="G59" s="1">
        <v>1</v>
      </c>
      <c r="H59" s="1">
        <v>1</v>
      </c>
      <c r="I59" s="1">
        <v>4</v>
      </c>
      <c r="J59" s="1">
        <v>2</v>
      </c>
      <c r="K59" s="1">
        <v>0</v>
      </c>
      <c r="L59" s="1">
        <v>18508</v>
      </c>
      <c r="M59" s="1">
        <v>0</v>
      </c>
    </row>
    <row r="60" spans="2:13" x14ac:dyDescent="0.25">
      <c r="B60" s="1">
        <v>1</v>
      </c>
      <c r="C60" s="1">
        <v>1</v>
      </c>
      <c r="D60" s="1">
        <v>0.36</v>
      </c>
      <c r="E60" s="1">
        <v>0.64</v>
      </c>
      <c r="F60" s="1">
        <v>85</v>
      </c>
      <c r="G60" s="1">
        <v>1</v>
      </c>
      <c r="H60" s="1">
        <v>5</v>
      </c>
      <c r="I60" s="1">
        <v>7</v>
      </c>
      <c r="J60" s="1">
        <v>0</v>
      </c>
      <c r="K60" s="1">
        <v>0</v>
      </c>
      <c r="L60" s="1">
        <v>22519</v>
      </c>
      <c r="M60" s="1">
        <v>0</v>
      </c>
    </row>
    <row r="61" spans="2:13" x14ac:dyDescent="0.25">
      <c r="B61" s="1">
        <v>1</v>
      </c>
      <c r="C61" s="1">
        <v>1</v>
      </c>
      <c r="D61" s="1">
        <v>0.19999999999999996</v>
      </c>
      <c r="E61" s="1">
        <v>0.79999999999999993</v>
      </c>
      <c r="F61" s="1">
        <v>85</v>
      </c>
      <c r="G61" s="1">
        <v>0</v>
      </c>
      <c r="H61" s="1">
        <v>9</v>
      </c>
      <c r="I61" s="1">
        <v>5</v>
      </c>
      <c r="J61" s="1">
        <v>1</v>
      </c>
      <c r="K61" s="1">
        <v>0</v>
      </c>
      <c r="L61" s="1">
        <v>18652</v>
      </c>
      <c r="M61" s="1">
        <v>0</v>
      </c>
    </row>
    <row r="62" spans="2:13" x14ac:dyDescent="0.25">
      <c r="B62" s="1">
        <v>1</v>
      </c>
      <c r="C62" s="1">
        <v>1</v>
      </c>
      <c r="D62" s="1">
        <v>0</v>
      </c>
      <c r="E62" s="1">
        <v>1</v>
      </c>
      <c r="F62" s="1">
        <v>84</v>
      </c>
      <c r="G62" s="1">
        <v>0</v>
      </c>
      <c r="H62" s="1">
        <v>4</v>
      </c>
      <c r="I62" s="1">
        <v>5</v>
      </c>
      <c r="J62" s="1">
        <v>0</v>
      </c>
      <c r="K62" s="1">
        <v>0</v>
      </c>
      <c r="L62" s="1">
        <v>13247</v>
      </c>
      <c r="M62" s="1">
        <v>0</v>
      </c>
    </row>
    <row r="63" spans="2:13" x14ac:dyDescent="0.25">
      <c r="B63" s="1">
        <v>1</v>
      </c>
      <c r="C63" s="1">
        <v>1</v>
      </c>
      <c r="D63" s="1">
        <v>0.36</v>
      </c>
      <c r="E63" s="1">
        <v>0.64</v>
      </c>
      <c r="F63" s="1">
        <v>84</v>
      </c>
      <c r="G63" s="1">
        <v>0</v>
      </c>
      <c r="H63" s="1">
        <v>4</v>
      </c>
      <c r="I63" s="1">
        <v>4</v>
      </c>
      <c r="J63" s="1">
        <v>0</v>
      </c>
      <c r="K63" s="1">
        <v>0</v>
      </c>
      <c r="L63" s="1">
        <v>16264</v>
      </c>
      <c r="M63" s="1">
        <v>0</v>
      </c>
    </row>
    <row r="64" spans="2:13" x14ac:dyDescent="0.25">
      <c r="B64" s="1">
        <v>1</v>
      </c>
      <c r="C64" s="1">
        <v>1</v>
      </c>
      <c r="D64" s="1">
        <v>0.27272727272727276</v>
      </c>
      <c r="E64" s="1">
        <v>0.72727272727272729</v>
      </c>
      <c r="F64" s="1">
        <v>84</v>
      </c>
      <c r="G64" s="1">
        <v>0</v>
      </c>
      <c r="H64" s="1">
        <v>1</v>
      </c>
      <c r="I64" s="1">
        <v>3</v>
      </c>
      <c r="J64" s="1">
        <v>0</v>
      </c>
      <c r="K64" s="1">
        <v>0</v>
      </c>
      <c r="L64" s="1">
        <v>4852</v>
      </c>
      <c r="M64" s="1">
        <v>0</v>
      </c>
    </row>
    <row r="65" spans="2:13" x14ac:dyDescent="0.25">
      <c r="B65" s="1">
        <v>1</v>
      </c>
      <c r="C65" s="1">
        <v>1</v>
      </c>
      <c r="D65" s="1">
        <v>0.27272727272727276</v>
      </c>
      <c r="E65" s="1">
        <v>0.72727272727272729</v>
      </c>
      <c r="F65" s="1">
        <v>83</v>
      </c>
      <c r="G65" s="1">
        <v>1</v>
      </c>
      <c r="H65" s="1">
        <v>2</v>
      </c>
      <c r="I65" s="1">
        <v>1</v>
      </c>
      <c r="J65" s="1">
        <v>1</v>
      </c>
      <c r="K65" s="1">
        <v>0</v>
      </c>
      <c r="L65" s="1">
        <v>4951</v>
      </c>
      <c r="M65" s="1">
        <v>0</v>
      </c>
    </row>
    <row r="66" spans="2:13" x14ac:dyDescent="0.25">
      <c r="B66" s="1">
        <v>1</v>
      </c>
      <c r="C66" s="1">
        <v>1</v>
      </c>
      <c r="D66" s="1">
        <v>0.27272727272727276</v>
      </c>
      <c r="E66" s="1">
        <v>0.72727272727272729</v>
      </c>
      <c r="F66" s="1">
        <v>83</v>
      </c>
      <c r="G66" s="1">
        <v>1</v>
      </c>
      <c r="H66" s="1">
        <v>2</v>
      </c>
      <c r="I66" s="1">
        <v>3</v>
      </c>
      <c r="J66" s="1">
        <v>0</v>
      </c>
      <c r="K66" s="1">
        <v>0</v>
      </c>
      <c r="L66" s="1">
        <v>4531</v>
      </c>
      <c r="M66" s="1">
        <v>0</v>
      </c>
    </row>
    <row r="67" spans="2:13" x14ac:dyDescent="0.25">
      <c r="B67" s="1">
        <v>1</v>
      </c>
      <c r="C67" s="1">
        <v>1</v>
      </c>
      <c r="D67" s="1">
        <v>0.27272727272727276</v>
      </c>
      <c r="E67" s="1">
        <v>0.72727272727272729</v>
      </c>
      <c r="F67" s="1">
        <v>83</v>
      </c>
      <c r="G67" s="1">
        <v>1</v>
      </c>
      <c r="H67" s="1">
        <v>2</v>
      </c>
      <c r="I67" s="1">
        <v>8</v>
      </c>
      <c r="J67" s="1">
        <v>0</v>
      </c>
      <c r="K67" s="1">
        <v>0</v>
      </c>
      <c r="L67" s="1">
        <v>5320</v>
      </c>
      <c r="M67" s="1">
        <v>0</v>
      </c>
    </row>
    <row r="68" spans="2:13" x14ac:dyDescent="0.25">
      <c r="B68" s="1">
        <v>1</v>
      </c>
      <c r="C68" s="1">
        <v>1</v>
      </c>
      <c r="D68" s="1">
        <v>0.47058823529411764</v>
      </c>
      <c r="E68" s="1">
        <v>0.52941176470588236</v>
      </c>
      <c r="F68" s="1">
        <v>83</v>
      </c>
      <c r="G68" s="1">
        <v>0</v>
      </c>
      <c r="H68" s="1">
        <v>6</v>
      </c>
      <c r="I68" s="1">
        <v>2</v>
      </c>
      <c r="J68" s="1">
        <v>1</v>
      </c>
      <c r="K68" s="1">
        <v>0</v>
      </c>
      <c r="L68" s="1">
        <v>23349</v>
      </c>
      <c r="M68" s="1">
        <v>0</v>
      </c>
    </row>
    <row r="69" spans="2:13" x14ac:dyDescent="0.25">
      <c r="B69" s="1">
        <v>1</v>
      </c>
      <c r="C69" s="1">
        <v>1</v>
      </c>
      <c r="D69" s="1">
        <v>0</v>
      </c>
      <c r="E69" s="1">
        <v>1</v>
      </c>
      <c r="F69" s="1">
        <v>83</v>
      </c>
      <c r="G69" s="1">
        <v>1</v>
      </c>
      <c r="H69" s="1">
        <v>1</v>
      </c>
      <c r="I69" s="1">
        <v>5</v>
      </c>
      <c r="J69" s="1">
        <v>0</v>
      </c>
      <c r="K69" s="1">
        <v>0</v>
      </c>
      <c r="L69" s="1">
        <v>12722</v>
      </c>
      <c r="M69" s="1">
        <v>0</v>
      </c>
    </row>
    <row r="70" spans="2:13" x14ac:dyDescent="0.25">
      <c r="B70" s="17">
        <v>0</v>
      </c>
      <c r="C70" s="17">
        <v>1</v>
      </c>
      <c r="D70" s="17">
        <v>0.55555555555555547</v>
      </c>
      <c r="E70" s="17">
        <v>0.44444444444444448</v>
      </c>
      <c r="F70" s="17">
        <v>83</v>
      </c>
      <c r="G70" s="17">
        <v>1</v>
      </c>
      <c r="H70" s="17">
        <v>5</v>
      </c>
      <c r="I70" s="17">
        <v>5</v>
      </c>
      <c r="J70" s="17">
        <v>2</v>
      </c>
      <c r="K70" s="17">
        <v>0</v>
      </c>
      <c r="L70" s="17">
        <v>12589</v>
      </c>
      <c r="M70" s="17">
        <v>0</v>
      </c>
    </row>
    <row r="71" spans="2:13" x14ac:dyDescent="0.25">
      <c r="B71" s="1">
        <v>1</v>
      </c>
      <c r="C71" s="1">
        <v>1</v>
      </c>
      <c r="D71" s="1">
        <v>0.47058823529411764</v>
      </c>
      <c r="E71" s="1">
        <v>0.52941176470588236</v>
      </c>
      <c r="F71" s="1">
        <v>83</v>
      </c>
      <c r="G71" s="1">
        <v>1</v>
      </c>
      <c r="H71" s="1">
        <v>6</v>
      </c>
      <c r="I71" s="1">
        <v>2</v>
      </c>
      <c r="J71" s="1">
        <v>1</v>
      </c>
      <c r="K71" s="1">
        <v>0</v>
      </c>
      <c r="L71" s="1">
        <v>18547</v>
      </c>
      <c r="M71" s="1">
        <v>1</v>
      </c>
    </row>
    <row r="72" spans="2:13" x14ac:dyDescent="0.25">
      <c r="B72" s="1">
        <v>1</v>
      </c>
      <c r="C72" s="1">
        <v>1</v>
      </c>
      <c r="D72" s="1">
        <v>0.47058823529411764</v>
      </c>
      <c r="E72" s="1">
        <v>0.52941176470588236</v>
      </c>
      <c r="F72" s="1">
        <v>83</v>
      </c>
      <c r="G72" s="1">
        <v>1</v>
      </c>
      <c r="H72" s="1">
        <v>12</v>
      </c>
      <c r="I72" s="1">
        <v>3</v>
      </c>
      <c r="J72" s="1">
        <v>6</v>
      </c>
      <c r="K72" s="1">
        <v>0</v>
      </c>
      <c r="L72" s="1">
        <v>86659</v>
      </c>
      <c r="M72" s="1">
        <v>1</v>
      </c>
    </row>
    <row r="73" spans="2:13" x14ac:dyDescent="0.25">
      <c r="B73" s="1">
        <v>1</v>
      </c>
      <c r="C73" s="1">
        <v>1</v>
      </c>
      <c r="D73" s="1">
        <v>0.36</v>
      </c>
      <c r="E73" s="1">
        <v>0.64</v>
      </c>
      <c r="F73" s="1">
        <v>83</v>
      </c>
      <c r="G73" s="1">
        <v>0</v>
      </c>
      <c r="H73" s="1">
        <v>5</v>
      </c>
      <c r="I73" s="1">
        <v>7</v>
      </c>
      <c r="J73" s="1">
        <v>6</v>
      </c>
      <c r="K73" s="1">
        <v>0</v>
      </c>
      <c r="L73" s="1">
        <v>23327</v>
      </c>
      <c r="M73" s="1">
        <v>1</v>
      </c>
    </row>
    <row r="74" spans="2:13" x14ac:dyDescent="0.25">
      <c r="B74" s="17">
        <v>0</v>
      </c>
      <c r="C74" s="17">
        <v>1</v>
      </c>
      <c r="D74" s="17">
        <v>0.6</v>
      </c>
      <c r="E74" s="17">
        <v>0.39999999999999997</v>
      </c>
      <c r="F74" s="17">
        <v>82</v>
      </c>
      <c r="G74" s="17">
        <v>1</v>
      </c>
      <c r="H74" s="17">
        <v>3</v>
      </c>
      <c r="I74" s="17">
        <v>4</v>
      </c>
      <c r="J74" s="17">
        <v>0</v>
      </c>
      <c r="K74" s="17">
        <v>0</v>
      </c>
      <c r="L74" s="17">
        <v>11385</v>
      </c>
      <c r="M74" s="17">
        <v>0</v>
      </c>
    </row>
    <row r="75" spans="2:13" x14ac:dyDescent="0.25">
      <c r="B75" s="1">
        <v>1</v>
      </c>
      <c r="C75" s="1">
        <v>1</v>
      </c>
      <c r="D75" s="1">
        <v>0</v>
      </c>
      <c r="E75" s="1">
        <v>1</v>
      </c>
      <c r="F75" s="1">
        <v>82</v>
      </c>
      <c r="G75" s="1">
        <v>0</v>
      </c>
      <c r="H75" s="1">
        <v>2</v>
      </c>
      <c r="I75" s="1">
        <v>4</v>
      </c>
      <c r="J75" s="1">
        <v>0</v>
      </c>
      <c r="K75" s="1">
        <v>0</v>
      </c>
      <c r="L75" s="1">
        <v>12770</v>
      </c>
      <c r="M75" s="1">
        <v>0</v>
      </c>
    </row>
    <row r="76" spans="2:13" x14ac:dyDescent="0.25">
      <c r="B76" s="1">
        <v>1</v>
      </c>
      <c r="C76" s="1">
        <v>1</v>
      </c>
      <c r="D76" s="1">
        <v>0.47058823529411764</v>
      </c>
      <c r="E76" s="1">
        <v>0.52941176470588236</v>
      </c>
      <c r="F76" s="1">
        <v>81</v>
      </c>
      <c r="G76" s="1">
        <v>0</v>
      </c>
      <c r="H76" s="1">
        <v>13</v>
      </c>
      <c r="I76" s="1">
        <v>2</v>
      </c>
      <c r="J76" s="1">
        <v>0</v>
      </c>
      <c r="K76" s="1">
        <v>0</v>
      </c>
      <c r="L76" s="1">
        <v>56827</v>
      </c>
      <c r="M76" s="1">
        <v>0</v>
      </c>
    </row>
    <row r="77" spans="2:13" x14ac:dyDescent="0.25">
      <c r="B77" s="1">
        <v>1</v>
      </c>
      <c r="C77" s="1">
        <v>1</v>
      </c>
      <c r="D77" s="1">
        <v>0</v>
      </c>
      <c r="E77" s="1">
        <v>1</v>
      </c>
      <c r="F77" s="1">
        <v>81</v>
      </c>
      <c r="G77" s="1">
        <v>0</v>
      </c>
      <c r="H77" s="1">
        <v>3</v>
      </c>
      <c r="I77" s="1">
        <v>5</v>
      </c>
      <c r="J77" s="1">
        <v>0</v>
      </c>
      <c r="K77" s="1">
        <v>0</v>
      </c>
      <c r="L77" s="1">
        <v>13258</v>
      </c>
      <c r="M77" s="1">
        <v>0</v>
      </c>
    </row>
    <row r="78" spans="2:13" x14ac:dyDescent="0.25">
      <c r="B78" s="17">
        <v>0</v>
      </c>
      <c r="C78" s="17">
        <v>1</v>
      </c>
      <c r="D78" s="17">
        <v>0.6</v>
      </c>
      <c r="E78" s="17">
        <v>0.39999999999999997</v>
      </c>
      <c r="F78" s="17">
        <v>81</v>
      </c>
      <c r="G78" s="17">
        <v>0</v>
      </c>
      <c r="H78" s="17">
        <v>2</v>
      </c>
      <c r="I78" s="17">
        <v>2</v>
      </c>
      <c r="J78" s="17">
        <v>0</v>
      </c>
      <c r="K78" s="17">
        <v>0</v>
      </c>
      <c r="L78" s="17">
        <v>10442</v>
      </c>
      <c r="M78" s="17">
        <v>0</v>
      </c>
    </row>
    <row r="79" spans="2:13" x14ac:dyDescent="0.25">
      <c r="B79" s="17">
        <v>0</v>
      </c>
      <c r="C79" s="17">
        <v>1</v>
      </c>
      <c r="D79" s="17">
        <v>0.55555555555555547</v>
      </c>
      <c r="E79" s="17">
        <v>0.44444444444444448</v>
      </c>
      <c r="F79" s="17">
        <v>81</v>
      </c>
      <c r="G79" s="17">
        <v>0</v>
      </c>
      <c r="H79" s="17">
        <v>4</v>
      </c>
      <c r="I79" s="17">
        <v>8</v>
      </c>
      <c r="J79" s="17">
        <v>0</v>
      </c>
      <c r="K79" s="17">
        <v>0</v>
      </c>
      <c r="L79" s="17">
        <v>10733</v>
      </c>
      <c r="M79" s="17">
        <v>0</v>
      </c>
    </row>
    <row r="80" spans="2:13" x14ac:dyDescent="0.25">
      <c r="B80" s="1">
        <v>1</v>
      </c>
      <c r="C80" s="1">
        <v>1</v>
      </c>
      <c r="D80" s="1">
        <v>0.36</v>
      </c>
      <c r="E80" s="1">
        <v>0.64</v>
      </c>
      <c r="F80" s="1">
        <v>81</v>
      </c>
      <c r="G80" s="1">
        <v>1</v>
      </c>
      <c r="H80" s="1">
        <v>5</v>
      </c>
      <c r="I80" s="1">
        <v>5</v>
      </c>
      <c r="J80" s="1">
        <v>0</v>
      </c>
      <c r="K80" s="1">
        <v>0</v>
      </c>
      <c r="L80" s="1">
        <v>14903</v>
      </c>
      <c r="M80" s="1">
        <v>0</v>
      </c>
    </row>
    <row r="81" spans="2:13" x14ac:dyDescent="0.25">
      <c r="B81" s="1">
        <v>1</v>
      </c>
      <c r="C81" s="1">
        <v>1</v>
      </c>
      <c r="D81" s="1">
        <v>0.19999999999999996</v>
      </c>
      <c r="E81" s="1">
        <v>0.79999999999999993</v>
      </c>
      <c r="F81" s="1">
        <v>81</v>
      </c>
      <c r="G81" s="1">
        <v>1</v>
      </c>
      <c r="H81" s="1">
        <v>13</v>
      </c>
      <c r="I81" s="1">
        <v>7</v>
      </c>
      <c r="J81" s="1">
        <v>0</v>
      </c>
      <c r="K81" s="1">
        <v>0</v>
      </c>
      <c r="L81" s="1">
        <v>34557</v>
      </c>
      <c r="M81" s="1">
        <v>0</v>
      </c>
    </row>
    <row r="82" spans="2:13" x14ac:dyDescent="0.25">
      <c r="B82" s="1">
        <v>1</v>
      </c>
      <c r="C82" s="1">
        <v>1</v>
      </c>
      <c r="D82" s="1">
        <v>0.19999999999999996</v>
      </c>
      <c r="E82" s="1">
        <v>0.79999999999999993</v>
      </c>
      <c r="F82" s="1">
        <v>81</v>
      </c>
      <c r="G82" s="1">
        <v>0</v>
      </c>
      <c r="H82" s="1">
        <v>11</v>
      </c>
      <c r="I82" s="1">
        <v>8</v>
      </c>
      <c r="J82" s="1">
        <v>0</v>
      </c>
      <c r="K82" s="1">
        <v>0</v>
      </c>
      <c r="L82" s="1">
        <v>44268</v>
      </c>
      <c r="M82" s="1">
        <v>0</v>
      </c>
    </row>
    <row r="83" spans="2:13" x14ac:dyDescent="0.25">
      <c r="B83" s="17">
        <v>0</v>
      </c>
      <c r="C83" s="17">
        <v>1</v>
      </c>
      <c r="D83" s="17">
        <v>0.6</v>
      </c>
      <c r="E83" s="17">
        <v>0.39999999999999997</v>
      </c>
      <c r="F83" s="17">
        <v>81</v>
      </c>
      <c r="G83" s="17">
        <v>1</v>
      </c>
      <c r="H83" s="17">
        <v>3</v>
      </c>
      <c r="I83" s="17">
        <v>3</v>
      </c>
      <c r="J83" s="17">
        <v>1</v>
      </c>
      <c r="K83" s="17">
        <v>0</v>
      </c>
      <c r="L83" s="17">
        <v>9579</v>
      </c>
      <c r="M83" s="17">
        <v>0</v>
      </c>
    </row>
    <row r="84" spans="2:13" x14ac:dyDescent="0.25">
      <c r="B84" s="1">
        <v>1</v>
      </c>
      <c r="C84" s="1">
        <v>1</v>
      </c>
      <c r="D84" s="1">
        <v>0.47058823529411764</v>
      </c>
      <c r="E84" s="1">
        <v>0.52941176470588236</v>
      </c>
      <c r="F84" s="1">
        <v>81</v>
      </c>
      <c r="G84" s="1">
        <v>1</v>
      </c>
      <c r="H84" s="1">
        <v>7</v>
      </c>
      <c r="I84" s="1">
        <v>3</v>
      </c>
      <c r="J84" s="1">
        <v>0</v>
      </c>
      <c r="K84" s="1">
        <v>0</v>
      </c>
      <c r="L84" s="1">
        <v>25009</v>
      </c>
      <c r="M84" s="1">
        <v>0</v>
      </c>
    </row>
    <row r="85" spans="2:13" x14ac:dyDescent="0.25">
      <c r="B85" s="1">
        <v>1</v>
      </c>
      <c r="C85" s="1">
        <v>1</v>
      </c>
      <c r="D85" s="1">
        <v>0.36</v>
      </c>
      <c r="E85" s="1">
        <v>0.64</v>
      </c>
      <c r="F85" s="1">
        <v>81</v>
      </c>
      <c r="G85" s="1">
        <v>1</v>
      </c>
      <c r="H85" s="1">
        <v>8</v>
      </c>
      <c r="I85" s="1">
        <v>6</v>
      </c>
      <c r="J85" s="1">
        <v>1</v>
      </c>
      <c r="K85" s="1">
        <v>0</v>
      </c>
      <c r="L85" s="1">
        <v>25989</v>
      </c>
      <c r="M85" s="1">
        <v>0</v>
      </c>
    </row>
    <row r="86" spans="2:13" x14ac:dyDescent="0.25">
      <c r="B86" s="17">
        <v>0</v>
      </c>
      <c r="C86" s="17">
        <v>1</v>
      </c>
      <c r="D86" s="17">
        <v>0.55555555555555547</v>
      </c>
      <c r="E86" s="17">
        <v>0.44444444444444448</v>
      </c>
      <c r="F86" s="17">
        <v>81</v>
      </c>
      <c r="G86" s="17">
        <v>1</v>
      </c>
      <c r="H86" s="17">
        <v>7</v>
      </c>
      <c r="I86" s="17">
        <v>5</v>
      </c>
      <c r="J86" s="17">
        <v>0</v>
      </c>
      <c r="K86" s="17">
        <v>0</v>
      </c>
      <c r="L86" s="17">
        <v>11661</v>
      </c>
      <c r="M86" s="17">
        <v>0</v>
      </c>
    </row>
    <row r="87" spans="2:13" x14ac:dyDescent="0.25">
      <c r="B87" s="17">
        <v>0</v>
      </c>
      <c r="C87" s="17">
        <v>1</v>
      </c>
      <c r="D87" s="17">
        <v>0.55555555555555547</v>
      </c>
      <c r="E87" s="17">
        <v>0.44444444444444448</v>
      </c>
      <c r="F87" s="17">
        <v>81</v>
      </c>
      <c r="G87" s="17">
        <v>1</v>
      </c>
      <c r="H87" s="17">
        <v>4</v>
      </c>
      <c r="I87" s="17">
        <v>5</v>
      </c>
      <c r="J87" s="17">
        <v>2</v>
      </c>
      <c r="K87" s="17">
        <v>0</v>
      </c>
      <c r="L87" s="17">
        <v>11852</v>
      </c>
      <c r="M87" s="17">
        <v>0</v>
      </c>
    </row>
    <row r="88" spans="2:13" x14ac:dyDescent="0.25">
      <c r="B88" s="1">
        <v>1</v>
      </c>
      <c r="C88" s="1">
        <v>1</v>
      </c>
      <c r="D88" s="1">
        <v>0.36</v>
      </c>
      <c r="E88" s="1">
        <v>0.64</v>
      </c>
      <c r="F88" s="1">
        <v>81</v>
      </c>
      <c r="G88" s="1">
        <v>1</v>
      </c>
      <c r="H88" s="1">
        <v>3</v>
      </c>
      <c r="I88" s="1">
        <v>4</v>
      </c>
      <c r="J88" s="1">
        <v>1</v>
      </c>
      <c r="K88" s="1">
        <v>0</v>
      </c>
      <c r="L88" s="1">
        <v>17237</v>
      </c>
      <c r="M88" s="1">
        <v>0</v>
      </c>
    </row>
    <row r="89" spans="2:13" x14ac:dyDescent="0.25">
      <c r="B89" s="1">
        <v>1</v>
      </c>
      <c r="C89" s="1">
        <v>1</v>
      </c>
      <c r="D89" s="1">
        <v>0.47058823529411764</v>
      </c>
      <c r="E89" s="1">
        <v>0.52941176470588236</v>
      </c>
      <c r="F89" s="1">
        <v>81</v>
      </c>
      <c r="G89" s="1">
        <v>1</v>
      </c>
      <c r="H89" s="1">
        <v>7</v>
      </c>
      <c r="I89" s="1">
        <v>3</v>
      </c>
      <c r="J89" s="1">
        <v>2</v>
      </c>
      <c r="K89" s="1">
        <v>0</v>
      </c>
      <c r="L89" s="1">
        <v>49497</v>
      </c>
      <c r="M89" s="1">
        <v>1</v>
      </c>
    </row>
    <row r="90" spans="2:13" x14ac:dyDescent="0.25">
      <c r="B90" s="1">
        <v>1</v>
      </c>
      <c r="C90" s="1">
        <v>1</v>
      </c>
      <c r="D90" s="1">
        <v>0.47058823529411764</v>
      </c>
      <c r="E90" s="1">
        <v>0.52941176470588236</v>
      </c>
      <c r="F90" s="1">
        <v>80</v>
      </c>
      <c r="G90" s="1">
        <v>1</v>
      </c>
      <c r="H90" s="1">
        <v>4</v>
      </c>
      <c r="I90" s="1">
        <v>3</v>
      </c>
      <c r="J90" s="1">
        <v>0</v>
      </c>
      <c r="K90" s="1">
        <v>0</v>
      </c>
      <c r="L90" s="1">
        <v>14340</v>
      </c>
      <c r="M90" s="1">
        <v>0</v>
      </c>
    </row>
    <row r="91" spans="2:13" x14ac:dyDescent="0.25">
      <c r="B91" s="1">
        <v>1</v>
      </c>
      <c r="C91" s="1">
        <v>1</v>
      </c>
      <c r="D91" s="1">
        <v>0.27272727272727276</v>
      </c>
      <c r="E91" s="1">
        <v>0.72727272727272729</v>
      </c>
      <c r="F91" s="1">
        <v>80</v>
      </c>
      <c r="G91" s="1">
        <v>0</v>
      </c>
      <c r="H91" s="1">
        <v>2</v>
      </c>
      <c r="I91" s="1">
        <v>3</v>
      </c>
      <c r="J91" s="1">
        <v>0</v>
      </c>
      <c r="K91" s="1">
        <v>0</v>
      </c>
      <c r="L91" s="1">
        <v>5753</v>
      </c>
      <c r="M91" s="1">
        <v>0</v>
      </c>
    </row>
    <row r="92" spans="2:13" x14ac:dyDescent="0.25">
      <c r="B92" s="17">
        <v>0</v>
      </c>
      <c r="C92" s="17">
        <v>1</v>
      </c>
      <c r="D92" s="17">
        <v>0.6</v>
      </c>
      <c r="E92" s="17">
        <v>0.39999999999999997</v>
      </c>
      <c r="F92" s="17">
        <v>80</v>
      </c>
      <c r="G92" s="17">
        <v>1</v>
      </c>
      <c r="H92" s="17">
        <v>3</v>
      </c>
      <c r="I92" s="17">
        <v>3</v>
      </c>
      <c r="J92" s="17">
        <v>0</v>
      </c>
      <c r="K92" s="17">
        <v>0</v>
      </c>
      <c r="L92" s="17">
        <v>7973</v>
      </c>
      <c r="M92" s="17">
        <v>0</v>
      </c>
    </row>
    <row r="93" spans="2:13" x14ac:dyDescent="0.25">
      <c r="B93" s="1">
        <v>1</v>
      </c>
      <c r="C93" s="1">
        <v>1</v>
      </c>
      <c r="D93" s="1">
        <v>0.36</v>
      </c>
      <c r="E93" s="1">
        <v>0.64</v>
      </c>
      <c r="F93" s="1">
        <v>80</v>
      </c>
      <c r="G93" s="1">
        <v>0</v>
      </c>
      <c r="H93" s="1">
        <v>4</v>
      </c>
      <c r="I93" s="1">
        <v>6</v>
      </c>
      <c r="J93" s="1">
        <v>1</v>
      </c>
      <c r="K93" s="1">
        <v>0</v>
      </c>
      <c r="L93" s="1">
        <v>15375</v>
      </c>
      <c r="M93" s="1">
        <v>0</v>
      </c>
    </row>
    <row r="94" spans="2:13" x14ac:dyDescent="0.25">
      <c r="B94" s="1">
        <v>1</v>
      </c>
      <c r="C94" s="1">
        <v>1</v>
      </c>
      <c r="D94" s="1">
        <v>0.19999999999999996</v>
      </c>
      <c r="E94" s="1">
        <v>0.79999999999999993</v>
      </c>
      <c r="F94" s="1">
        <v>80</v>
      </c>
      <c r="G94" s="1">
        <v>1</v>
      </c>
      <c r="H94" s="1">
        <v>9</v>
      </c>
      <c r="I94" s="1">
        <v>4</v>
      </c>
      <c r="J94" s="1">
        <v>0</v>
      </c>
      <c r="K94" s="1">
        <v>0</v>
      </c>
      <c r="L94" s="1">
        <v>17291</v>
      </c>
      <c r="M94" s="1">
        <v>0</v>
      </c>
    </row>
    <row r="95" spans="2:13" x14ac:dyDescent="0.25">
      <c r="B95" s="1">
        <v>1</v>
      </c>
      <c r="C95" s="1">
        <v>1</v>
      </c>
      <c r="D95" s="1">
        <v>0.19999999999999996</v>
      </c>
      <c r="E95" s="1">
        <v>0.79999999999999993</v>
      </c>
      <c r="F95" s="1">
        <v>80</v>
      </c>
      <c r="G95" s="1">
        <v>1</v>
      </c>
      <c r="H95" s="1">
        <v>10</v>
      </c>
      <c r="I95" s="1">
        <v>6</v>
      </c>
      <c r="J95" s="1">
        <v>0</v>
      </c>
      <c r="K95" s="1">
        <v>0</v>
      </c>
      <c r="L95" s="1">
        <v>27856</v>
      </c>
      <c r="M95" s="1">
        <v>0</v>
      </c>
    </row>
    <row r="96" spans="2:13" x14ac:dyDescent="0.25">
      <c r="B96" s="1">
        <v>1</v>
      </c>
      <c r="C96" s="1">
        <v>1</v>
      </c>
      <c r="D96" s="1">
        <v>0.47058823529411764</v>
      </c>
      <c r="E96" s="1">
        <v>0.52941176470588236</v>
      </c>
      <c r="F96" s="1">
        <v>80</v>
      </c>
      <c r="G96" s="1">
        <v>1</v>
      </c>
      <c r="H96" s="1">
        <v>4</v>
      </c>
      <c r="I96" s="1">
        <v>0</v>
      </c>
      <c r="J96" s="1">
        <v>0</v>
      </c>
      <c r="K96" s="1">
        <v>0</v>
      </c>
      <c r="L96" s="1">
        <v>14456</v>
      </c>
      <c r="M96" s="1">
        <v>0</v>
      </c>
    </row>
    <row r="97" spans="2:13" x14ac:dyDescent="0.25">
      <c r="B97" s="17">
        <v>0</v>
      </c>
      <c r="C97" s="17">
        <v>1</v>
      </c>
      <c r="D97" s="17">
        <v>0.5625</v>
      </c>
      <c r="E97" s="17">
        <v>0.43750000000000006</v>
      </c>
      <c r="F97" s="17">
        <v>78</v>
      </c>
      <c r="G97" s="17">
        <v>0</v>
      </c>
      <c r="H97" s="17">
        <v>3</v>
      </c>
      <c r="I97" s="17">
        <v>5</v>
      </c>
      <c r="J97" s="17">
        <v>0</v>
      </c>
      <c r="K97" s="17">
        <v>0</v>
      </c>
      <c r="L97" s="17">
        <v>6993</v>
      </c>
      <c r="M97" s="17">
        <v>0</v>
      </c>
    </row>
    <row r="98" spans="2:13" x14ac:dyDescent="0.25">
      <c r="B98" s="17">
        <v>0</v>
      </c>
      <c r="C98" s="17">
        <v>1</v>
      </c>
      <c r="D98" s="17">
        <v>0.5625</v>
      </c>
      <c r="E98" s="17">
        <v>0.43750000000000006</v>
      </c>
      <c r="F98" s="17">
        <v>78</v>
      </c>
      <c r="G98" s="17">
        <v>1</v>
      </c>
      <c r="H98" s="17">
        <v>3</v>
      </c>
      <c r="I98" s="17">
        <v>7</v>
      </c>
      <c r="J98" s="17">
        <v>0</v>
      </c>
      <c r="K98" s="17">
        <v>0</v>
      </c>
      <c r="L98" s="17">
        <v>11701</v>
      </c>
      <c r="M98" s="17">
        <v>0</v>
      </c>
    </row>
    <row r="99" spans="2:13" x14ac:dyDescent="0.25">
      <c r="B99" s="17">
        <v>0</v>
      </c>
      <c r="C99" s="17">
        <v>1</v>
      </c>
      <c r="D99" s="17">
        <v>0.5625</v>
      </c>
      <c r="E99" s="17">
        <v>0.43750000000000006</v>
      </c>
      <c r="F99" s="17">
        <v>78</v>
      </c>
      <c r="G99" s="17">
        <v>0</v>
      </c>
      <c r="H99" s="17">
        <v>3</v>
      </c>
      <c r="I99" s="17">
        <v>4</v>
      </c>
      <c r="J99" s="17">
        <v>0</v>
      </c>
      <c r="K99" s="17">
        <v>0</v>
      </c>
      <c r="L99" s="17">
        <v>8165</v>
      </c>
      <c r="M99" s="17">
        <v>0</v>
      </c>
    </row>
    <row r="100" spans="2:13" x14ac:dyDescent="0.25">
      <c r="B100" s="17">
        <v>0</v>
      </c>
      <c r="C100" s="17">
        <v>1</v>
      </c>
      <c r="D100" s="17">
        <v>0.5625</v>
      </c>
      <c r="E100" s="17">
        <v>0.43750000000000006</v>
      </c>
      <c r="F100" s="17">
        <v>78</v>
      </c>
      <c r="G100" s="17">
        <v>1</v>
      </c>
      <c r="H100" s="17">
        <v>4</v>
      </c>
      <c r="I100" s="17">
        <v>5</v>
      </c>
      <c r="J100" s="17">
        <v>0</v>
      </c>
      <c r="K100" s="17">
        <v>0</v>
      </c>
      <c r="L100" s="17">
        <v>15876</v>
      </c>
      <c r="M100" s="17">
        <v>0</v>
      </c>
    </row>
    <row r="101" spans="2:13" x14ac:dyDescent="0.25">
      <c r="B101" s="17">
        <v>0</v>
      </c>
      <c r="C101" s="17">
        <v>1</v>
      </c>
      <c r="D101" s="17">
        <v>0.5625</v>
      </c>
      <c r="E101" s="17">
        <v>0.43750000000000006</v>
      </c>
      <c r="F101" s="17">
        <v>78</v>
      </c>
      <c r="G101" s="17">
        <v>0</v>
      </c>
      <c r="H101" s="17">
        <v>5</v>
      </c>
      <c r="I101" s="17">
        <v>3</v>
      </c>
      <c r="J101" s="17">
        <v>0</v>
      </c>
      <c r="K101" s="17">
        <v>0</v>
      </c>
      <c r="L101" s="17">
        <v>14001</v>
      </c>
      <c r="M101" s="17">
        <v>0</v>
      </c>
    </row>
    <row r="102" spans="2:13" x14ac:dyDescent="0.25">
      <c r="B102" s="17">
        <v>0</v>
      </c>
      <c r="C102" s="17">
        <v>1</v>
      </c>
      <c r="D102" s="17">
        <v>0.5625</v>
      </c>
      <c r="E102" s="17">
        <v>0.43750000000000006</v>
      </c>
      <c r="F102" s="17">
        <v>78</v>
      </c>
      <c r="G102" s="17">
        <v>1</v>
      </c>
      <c r="H102" s="17">
        <v>4</v>
      </c>
      <c r="I102" s="17">
        <v>4</v>
      </c>
      <c r="J102" s="17">
        <v>0</v>
      </c>
      <c r="K102" s="17">
        <v>0</v>
      </c>
      <c r="L102" s="17">
        <v>10237</v>
      </c>
      <c r="M102" s="17">
        <v>0</v>
      </c>
    </row>
    <row r="103" spans="2:13" x14ac:dyDescent="0.25">
      <c r="B103" s="17">
        <v>0</v>
      </c>
      <c r="C103" s="17">
        <v>1</v>
      </c>
      <c r="D103" s="17">
        <v>0.5625</v>
      </c>
      <c r="E103" s="17">
        <v>0.43750000000000006</v>
      </c>
      <c r="F103" s="17">
        <v>78</v>
      </c>
      <c r="G103" s="17">
        <v>1</v>
      </c>
      <c r="H103" s="17">
        <v>5</v>
      </c>
      <c r="I103" s="17">
        <v>5</v>
      </c>
      <c r="J103" s="17">
        <v>0</v>
      </c>
      <c r="K103" s="17">
        <v>0</v>
      </c>
      <c r="L103" s="17">
        <v>23888</v>
      </c>
      <c r="M103" s="17">
        <v>0</v>
      </c>
    </row>
    <row r="104" spans="2:13" x14ac:dyDescent="0.25">
      <c r="B104" s="17">
        <v>0</v>
      </c>
      <c r="C104" s="17">
        <v>1</v>
      </c>
      <c r="D104" s="17">
        <v>0.9</v>
      </c>
      <c r="E104" s="17">
        <v>9.9999999999999992E-2</v>
      </c>
      <c r="F104" s="17">
        <v>76</v>
      </c>
      <c r="G104" s="17">
        <v>1</v>
      </c>
      <c r="H104" s="17">
        <v>2</v>
      </c>
      <c r="I104" s="17">
        <v>4</v>
      </c>
      <c r="J104" s="17">
        <v>0</v>
      </c>
      <c r="K104" s="17">
        <v>0</v>
      </c>
      <c r="L104" s="17">
        <v>9361</v>
      </c>
      <c r="M104" s="17">
        <v>0</v>
      </c>
    </row>
    <row r="105" spans="2:13" x14ac:dyDescent="0.25">
      <c r="B105" s="1">
        <v>1</v>
      </c>
      <c r="C105" s="1">
        <v>1</v>
      </c>
      <c r="D105" s="1">
        <v>0.33333333333333331</v>
      </c>
      <c r="E105" s="1">
        <v>0.66666666666666663</v>
      </c>
      <c r="F105" s="1">
        <v>76</v>
      </c>
      <c r="G105" s="1">
        <v>0</v>
      </c>
      <c r="H105" s="1">
        <v>9</v>
      </c>
      <c r="I105" s="1">
        <v>5</v>
      </c>
      <c r="J105" s="1">
        <v>2</v>
      </c>
      <c r="K105" s="1">
        <v>0</v>
      </c>
      <c r="L105" s="1">
        <v>50918</v>
      </c>
      <c r="M105" s="1">
        <v>1</v>
      </c>
    </row>
    <row r="106" spans="2:13" x14ac:dyDescent="0.25">
      <c r="B106" s="1">
        <v>1</v>
      </c>
      <c r="C106" s="1">
        <v>1</v>
      </c>
      <c r="D106" s="1">
        <v>0.4375</v>
      </c>
      <c r="E106" s="1">
        <v>0.5625</v>
      </c>
      <c r="F106" s="1">
        <v>75</v>
      </c>
      <c r="G106" s="1">
        <v>0</v>
      </c>
      <c r="H106" s="1">
        <v>5</v>
      </c>
      <c r="I106" s="1">
        <v>2</v>
      </c>
      <c r="J106" s="1">
        <v>0</v>
      </c>
      <c r="K106" s="1">
        <v>0</v>
      </c>
      <c r="L106" s="1">
        <v>13934</v>
      </c>
      <c r="M106" s="1">
        <v>0</v>
      </c>
    </row>
    <row r="107" spans="2:13" x14ac:dyDescent="0.25">
      <c r="B107" s="1">
        <v>1</v>
      </c>
      <c r="C107" s="1">
        <v>1</v>
      </c>
      <c r="D107" s="1">
        <v>0.4375</v>
      </c>
      <c r="E107" s="1">
        <v>0.5625</v>
      </c>
      <c r="F107" s="1">
        <v>75</v>
      </c>
      <c r="G107" s="1">
        <v>1</v>
      </c>
      <c r="H107" s="1">
        <v>2</v>
      </c>
      <c r="I107" s="1">
        <v>5</v>
      </c>
      <c r="J107" s="1">
        <v>0</v>
      </c>
      <c r="K107" s="1">
        <v>0</v>
      </c>
      <c r="L107" s="1">
        <v>10406</v>
      </c>
      <c r="M107" s="1">
        <v>0</v>
      </c>
    </row>
    <row r="108" spans="2:13" x14ac:dyDescent="0.25">
      <c r="B108" s="1">
        <v>1</v>
      </c>
      <c r="C108" s="1">
        <v>1</v>
      </c>
      <c r="D108" s="1">
        <v>0.4375</v>
      </c>
      <c r="E108" s="1">
        <v>0.5625</v>
      </c>
      <c r="F108" s="1">
        <v>75</v>
      </c>
      <c r="G108" s="1">
        <v>1</v>
      </c>
      <c r="H108" s="1">
        <v>2</v>
      </c>
      <c r="I108" s="1">
        <v>3</v>
      </c>
      <c r="J108" s="1">
        <v>0</v>
      </c>
      <c r="K108" s="1">
        <v>0</v>
      </c>
      <c r="L108" s="1">
        <v>10048</v>
      </c>
      <c r="M108" s="1">
        <v>0</v>
      </c>
    </row>
    <row r="109" spans="2:13" x14ac:dyDescent="0.25">
      <c r="B109" s="1">
        <v>1</v>
      </c>
      <c r="C109" s="1">
        <v>1</v>
      </c>
      <c r="D109" s="1">
        <v>0.4375</v>
      </c>
      <c r="E109" s="1">
        <v>0.5625</v>
      </c>
      <c r="F109" s="1">
        <v>75</v>
      </c>
      <c r="G109" s="1">
        <v>0</v>
      </c>
      <c r="H109" s="1">
        <v>5</v>
      </c>
      <c r="I109" s="1">
        <v>4</v>
      </c>
      <c r="J109" s="1">
        <v>2</v>
      </c>
      <c r="K109" s="1">
        <v>0</v>
      </c>
      <c r="L109" s="1">
        <v>23408</v>
      </c>
      <c r="M109" s="1">
        <v>0</v>
      </c>
    </row>
    <row r="110" spans="2:13" x14ac:dyDescent="0.25">
      <c r="B110" s="1">
        <v>1</v>
      </c>
      <c r="C110" s="1">
        <v>1</v>
      </c>
      <c r="D110" s="1">
        <v>0.4375</v>
      </c>
      <c r="E110" s="1">
        <v>0.5625</v>
      </c>
      <c r="F110" s="1">
        <v>75</v>
      </c>
      <c r="G110" s="1">
        <v>0</v>
      </c>
      <c r="H110" s="1">
        <v>1</v>
      </c>
      <c r="I110" s="1">
        <v>3</v>
      </c>
      <c r="J110" s="1">
        <v>0</v>
      </c>
      <c r="K110" s="1">
        <v>0</v>
      </c>
      <c r="L110" s="1">
        <v>8019</v>
      </c>
      <c r="M110" s="1">
        <v>0</v>
      </c>
    </row>
    <row r="111" spans="2:13" x14ac:dyDescent="0.25">
      <c r="B111" s="1">
        <v>1</v>
      </c>
      <c r="C111" s="1">
        <v>1</v>
      </c>
      <c r="D111" s="1">
        <v>0.4375</v>
      </c>
      <c r="E111" s="1">
        <v>0.5625</v>
      </c>
      <c r="F111" s="1">
        <v>75</v>
      </c>
      <c r="G111" s="1">
        <v>1</v>
      </c>
      <c r="H111" s="1">
        <v>12</v>
      </c>
      <c r="I111" s="1">
        <v>4</v>
      </c>
      <c r="J111" s="1">
        <v>0</v>
      </c>
      <c r="K111" s="1">
        <v>0</v>
      </c>
      <c r="L111" s="1">
        <v>25101</v>
      </c>
      <c r="M111" s="1">
        <v>0</v>
      </c>
    </row>
    <row r="112" spans="2:13" x14ac:dyDescent="0.25">
      <c r="B112" s="1">
        <v>1</v>
      </c>
      <c r="C112" s="1">
        <v>1</v>
      </c>
      <c r="D112" s="1">
        <v>0.4375</v>
      </c>
      <c r="E112" s="1">
        <v>0.5625</v>
      </c>
      <c r="F112" s="1">
        <v>75</v>
      </c>
      <c r="G112" s="1">
        <v>1</v>
      </c>
      <c r="H112" s="1">
        <v>14</v>
      </c>
      <c r="I112" s="1">
        <v>4</v>
      </c>
      <c r="J112" s="1">
        <v>0</v>
      </c>
      <c r="K112" s="1">
        <v>0</v>
      </c>
      <c r="L112" s="1">
        <v>22198</v>
      </c>
      <c r="M112" s="1">
        <v>0</v>
      </c>
    </row>
    <row r="113" spans="2:13" x14ac:dyDescent="0.25">
      <c r="B113" s="1">
        <v>1</v>
      </c>
      <c r="C113" s="1">
        <v>1</v>
      </c>
      <c r="D113" s="1">
        <v>0.4375</v>
      </c>
      <c r="E113" s="1">
        <v>0.5625</v>
      </c>
      <c r="F113" s="1">
        <v>75</v>
      </c>
      <c r="G113" s="1">
        <v>0</v>
      </c>
      <c r="H113" s="1">
        <v>13</v>
      </c>
      <c r="I113" s="1">
        <v>7</v>
      </c>
      <c r="J113" s="1">
        <v>0</v>
      </c>
      <c r="K113" s="1">
        <v>0</v>
      </c>
      <c r="L113" s="1">
        <v>21604</v>
      </c>
      <c r="M113" s="1">
        <v>0</v>
      </c>
    </row>
    <row r="114" spans="2:13" x14ac:dyDescent="0.25">
      <c r="B114" s="1">
        <v>1</v>
      </c>
      <c r="C114" s="1">
        <v>1</v>
      </c>
      <c r="D114" s="1">
        <v>0.4375</v>
      </c>
      <c r="E114" s="1">
        <v>0.5625</v>
      </c>
      <c r="F114" s="1">
        <v>75</v>
      </c>
      <c r="G114" s="1">
        <v>0</v>
      </c>
      <c r="H114" s="1">
        <v>8</v>
      </c>
      <c r="I114" s="1">
        <v>4</v>
      </c>
      <c r="J114" s="1">
        <v>0</v>
      </c>
      <c r="K114" s="1">
        <v>0</v>
      </c>
      <c r="L114" s="1">
        <v>17932</v>
      </c>
      <c r="M114" s="1">
        <v>0</v>
      </c>
    </row>
    <row r="115" spans="2:13" x14ac:dyDescent="0.25">
      <c r="B115" s="1">
        <v>1</v>
      </c>
      <c r="C115" s="1">
        <v>1</v>
      </c>
      <c r="D115" s="1">
        <v>9.9999999999999992E-2</v>
      </c>
      <c r="E115" s="1">
        <v>0.9</v>
      </c>
      <c r="F115" s="1">
        <v>74</v>
      </c>
      <c r="G115" s="1">
        <v>0</v>
      </c>
      <c r="H115" s="1">
        <v>2</v>
      </c>
      <c r="I115" s="1">
        <v>4</v>
      </c>
      <c r="J115" s="1">
        <v>0</v>
      </c>
      <c r="K115" s="1">
        <v>0</v>
      </c>
      <c r="L115" s="1">
        <v>7723</v>
      </c>
      <c r="M115" s="1">
        <v>0</v>
      </c>
    </row>
    <row r="116" spans="2:13" x14ac:dyDescent="0.25">
      <c r="B116" s="1">
        <v>1</v>
      </c>
      <c r="C116" s="1">
        <v>1</v>
      </c>
      <c r="D116" s="1">
        <v>9.9999999999999992E-2</v>
      </c>
      <c r="E116" s="1">
        <v>0.9</v>
      </c>
      <c r="F116" s="1">
        <v>74</v>
      </c>
      <c r="G116" s="1">
        <v>1</v>
      </c>
      <c r="H116" s="1">
        <v>2</v>
      </c>
      <c r="I116" s="1">
        <v>4</v>
      </c>
      <c r="J116" s="1">
        <v>0</v>
      </c>
      <c r="K116" s="1">
        <v>0</v>
      </c>
      <c r="L116" s="1">
        <v>8337</v>
      </c>
      <c r="M116" s="1">
        <v>0</v>
      </c>
    </row>
    <row r="117" spans="2:13" x14ac:dyDescent="0.25">
      <c r="B117" s="1">
        <v>1</v>
      </c>
      <c r="C117" s="1">
        <v>1</v>
      </c>
      <c r="D117" s="1">
        <v>9.9999999999999992E-2</v>
      </c>
      <c r="E117" s="1">
        <v>0.9</v>
      </c>
      <c r="F117" s="1">
        <v>74</v>
      </c>
      <c r="G117" s="1">
        <v>0</v>
      </c>
      <c r="H117" s="1">
        <v>6</v>
      </c>
      <c r="I117" s="1">
        <v>5</v>
      </c>
      <c r="J117" s="1">
        <v>0</v>
      </c>
      <c r="K117" s="1">
        <v>0</v>
      </c>
      <c r="L117" s="1">
        <v>26582</v>
      </c>
      <c r="M117" s="1">
        <v>0</v>
      </c>
    </row>
    <row r="118" spans="2:13" x14ac:dyDescent="0.25">
      <c r="B118" s="1">
        <v>1</v>
      </c>
      <c r="C118" s="1">
        <v>1</v>
      </c>
      <c r="D118" s="1">
        <v>9.9999999999999992E-2</v>
      </c>
      <c r="E118" s="1">
        <v>0.9</v>
      </c>
      <c r="F118" s="1">
        <v>74</v>
      </c>
      <c r="G118" s="1">
        <v>0</v>
      </c>
      <c r="H118" s="1">
        <v>4</v>
      </c>
      <c r="I118" s="1">
        <v>5</v>
      </c>
      <c r="J118" s="1">
        <v>0</v>
      </c>
      <c r="K118" s="1">
        <v>0</v>
      </c>
      <c r="L118" s="1">
        <v>9658</v>
      </c>
      <c r="M118" s="1">
        <v>0</v>
      </c>
    </row>
    <row r="119" spans="2:13" x14ac:dyDescent="0.25">
      <c r="B119" s="1">
        <v>1</v>
      </c>
      <c r="C119" s="1">
        <v>1</v>
      </c>
      <c r="D119" s="1">
        <v>9.9999999999999992E-2</v>
      </c>
      <c r="E119" s="1">
        <v>0.9</v>
      </c>
      <c r="F119" s="1">
        <v>74</v>
      </c>
      <c r="G119" s="1">
        <v>0</v>
      </c>
      <c r="H119" s="1">
        <v>3</v>
      </c>
      <c r="I119" s="1">
        <v>4</v>
      </c>
      <c r="J119" s="1">
        <v>2</v>
      </c>
      <c r="K119" s="1">
        <v>0</v>
      </c>
      <c r="L119" s="1">
        <v>19810</v>
      </c>
      <c r="M119" s="1">
        <v>0</v>
      </c>
    </row>
    <row r="120" spans="2:13" x14ac:dyDescent="0.25">
      <c r="B120" s="1">
        <v>1</v>
      </c>
      <c r="C120" s="1">
        <v>1</v>
      </c>
      <c r="D120" s="1">
        <v>9.9999999999999992E-2</v>
      </c>
      <c r="E120" s="1">
        <v>0.9</v>
      </c>
      <c r="F120" s="1">
        <v>74</v>
      </c>
      <c r="G120" s="1">
        <v>0</v>
      </c>
      <c r="H120" s="1">
        <v>4</v>
      </c>
      <c r="I120" s="1">
        <v>4</v>
      </c>
      <c r="J120" s="1">
        <v>2</v>
      </c>
      <c r="K120" s="1">
        <v>0</v>
      </c>
      <c r="L120" s="1">
        <v>11690</v>
      </c>
      <c r="M120" s="1">
        <v>0</v>
      </c>
    </row>
    <row r="121" spans="2:13" x14ac:dyDescent="0.25">
      <c r="B121" s="1">
        <v>1</v>
      </c>
      <c r="C121" s="1">
        <v>1</v>
      </c>
      <c r="D121" s="1">
        <v>9.9999999999999992E-2</v>
      </c>
      <c r="E121" s="1">
        <v>0.9</v>
      </c>
      <c r="F121" s="1">
        <v>74</v>
      </c>
      <c r="G121" s="1">
        <v>1</v>
      </c>
      <c r="H121" s="1">
        <v>3</v>
      </c>
      <c r="I121" s="1">
        <v>5</v>
      </c>
      <c r="J121" s="1">
        <v>0</v>
      </c>
      <c r="K121" s="1">
        <v>0</v>
      </c>
      <c r="L121" s="1">
        <v>25747</v>
      </c>
      <c r="M121" s="1">
        <v>0</v>
      </c>
    </row>
    <row r="122" spans="2:13" x14ac:dyDescent="0.25">
      <c r="B122" s="1">
        <v>1</v>
      </c>
      <c r="C122" s="1">
        <v>1</v>
      </c>
      <c r="D122" s="1">
        <v>9.9999999999999992E-2</v>
      </c>
      <c r="E122" s="1">
        <v>0.9</v>
      </c>
      <c r="F122" s="1">
        <v>74</v>
      </c>
      <c r="G122" s="1">
        <v>0</v>
      </c>
      <c r="H122" s="1">
        <v>7</v>
      </c>
      <c r="I122" s="1">
        <v>4</v>
      </c>
      <c r="J122" s="1">
        <v>3</v>
      </c>
      <c r="K122" s="1">
        <v>0</v>
      </c>
      <c r="L122" s="1">
        <v>22685</v>
      </c>
      <c r="M122" s="1">
        <v>0</v>
      </c>
    </row>
    <row r="123" spans="2:13" x14ac:dyDescent="0.25">
      <c r="B123" s="17">
        <v>0</v>
      </c>
      <c r="C123" s="17">
        <v>1</v>
      </c>
      <c r="D123" s="17">
        <v>0.96</v>
      </c>
      <c r="E123" s="17">
        <v>0.04</v>
      </c>
      <c r="F123" s="17">
        <v>54</v>
      </c>
      <c r="G123" s="17">
        <v>1</v>
      </c>
      <c r="H123" s="17">
        <v>5</v>
      </c>
      <c r="I123" s="17">
        <v>7</v>
      </c>
      <c r="J123" s="17">
        <v>3</v>
      </c>
      <c r="K123" s="17">
        <v>0</v>
      </c>
      <c r="L123" s="17">
        <v>25892</v>
      </c>
      <c r="M123" s="17">
        <v>1</v>
      </c>
    </row>
    <row r="124" spans="2:13" x14ac:dyDescent="0.25">
      <c r="B124" s="1">
        <v>1</v>
      </c>
      <c r="C124" s="1">
        <v>1</v>
      </c>
      <c r="D124" s="1">
        <v>9.5238095238095233E-2</v>
      </c>
      <c r="E124" s="1">
        <v>0.90476190476190477</v>
      </c>
      <c r="F124" s="1">
        <v>53</v>
      </c>
      <c r="G124" s="1">
        <v>1</v>
      </c>
      <c r="H124" s="1">
        <v>8</v>
      </c>
      <c r="I124" s="1">
        <v>5</v>
      </c>
      <c r="J124" s="1">
        <v>0</v>
      </c>
      <c r="K124" s="1">
        <v>0</v>
      </c>
      <c r="L124" s="1">
        <v>25912</v>
      </c>
      <c r="M124" s="1">
        <v>0</v>
      </c>
    </row>
    <row r="125" spans="2:13" x14ac:dyDescent="0.25">
      <c r="B125" s="1">
        <v>1</v>
      </c>
      <c r="C125" s="1">
        <v>1</v>
      </c>
      <c r="D125" s="1">
        <v>9.5238095238095233E-2</v>
      </c>
      <c r="E125" s="1">
        <v>0.90476190476190477</v>
      </c>
      <c r="F125" s="1">
        <v>53</v>
      </c>
      <c r="G125" s="1">
        <v>1</v>
      </c>
      <c r="H125" s="1">
        <v>3</v>
      </c>
      <c r="I125" s="1">
        <v>3</v>
      </c>
      <c r="J125" s="1">
        <v>0</v>
      </c>
      <c r="K125" s="1">
        <v>0</v>
      </c>
      <c r="L125" s="1">
        <v>7398</v>
      </c>
      <c r="M125" s="1">
        <v>0</v>
      </c>
    </row>
    <row r="126" spans="2:13" x14ac:dyDescent="0.25">
      <c r="B126" s="1">
        <v>1</v>
      </c>
      <c r="C126" s="1">
        <v>1</v>
      </c>
      <c r="D126" s="1">
        <v>9.5238095238095233E-2</v>
      </c>
      <c r="E126" s="1">
        <v>0.90476190476190477</v>
      </c>
      <c r="F126" s="1">
        <v>53</v>
      </c>
      <c r="G126" s="1">
        <v>1</v>
      </c>
      <c r="H126" s="1">
        <v>5</v>
      </c>
      <c r="I126" s="1">
        <v>7</v>
      </c>
      <c r="J126" s="1">
        <v>0</v>
      </c>
      <c r="K126" s="1">
        <v>0</v>
      </c>
      <c r="L126" s="1">
        <v>23935</v>
      </c>
      <c r="M126" s="1">
        <v>0</v>
      </c>
    </row>
    <row r="127" spans="2:13" x14ac:dyDescent="0.25">
      <c r="B127" s="1">
        <v>1</v>
      </c>
      <c r="C127" s="1">
        <v>1</v>
      </c>
      <c r="D127" s="1">
        <v>9.5238095238095233E-2</v>
      </c>
      <c r="E127" s="1">
        <v>0.90476190476190477</v>
      </c>
      <c r="F127" s="1">
        <v>53</v>
      </c>
      <c r="G127" s="1">
        <v>0</v>
      </c>
      <c r="H127" s="1">
        <v>3</v>
      </c>
      <c r="I127" s="1">
        <v>5</v>
      </c>
      <c r="J127" s="1">
        <v>0</v>
      </c>
      <c r="K127" s="1">
        <v>0</v>
      </c>
      <c r="L127" s="1">
        <v>10159</v>
      </c>
      <c r="M127" s="1">
        <v>0</v>
      </c>
    </row>
    <row r="128" spans="2:13" x14ac:dyDescent="0.25">
      <c r="B128" s="1">
        <v>1</v>
      </c>
      <c r="C128" s="1">
        <v>1</v>
      </c>
      <c r="D128" s="1">
        <v>9.5238095238095233E-2</v>
      </c>
      <c r="E128" s="1">
        <v>0.90476190476190477</v>
      </c>
      <c r="F128" s="1">
        <v>53</v>
      </c>
      <c r="G128" s="1">
        <v>1</v>
      </c>
      <c r="H128" s="1">
        <v>6</v>
      </c>
      <c r="I128" s="1">
        <v>4</v>
      </c>
      <c r="J128" s="1">
        <v>0</v>
      </c>
      <c r="K128" s="1">
        <v>0</v>
      </c>
      <c r="L128" s="1">
        <v>20485</v>
      </c>
      <c r="M128" s="1">
        <v>0</v>
      </c>
    </row>
    <row r="129" spans="2:13" x14ac:dyDescent="0.25">
      <c r="B129" s="1">
        <v>1</v>
      </c>
      <c r="C129" s="1">
        <v>1</v>
      </c>
      <c r="D129" s="1">
        <v>9.5238095238095233E-2</v>
      </c>
      <c r="E129" s="1">
        <v>0.90476190476190477</v>
      </c>
      <c r="F129" s="1">
        <v>53</v>
      </c>
      <c r="G129" s="1">
        <v>1</v>
      </c>
      <c r="H129" s="1">
        <v>3</v>
      </c>
      <c r="I129" s="1">
        <v>7</v>
      </c>
      <c r="J129" s="1">
        <v>0</v>
      </c>
      <c r="K129" s="1">
        <v>0</v>
      </c>
      <c r="L129" s="1">
        <v>13327</v>
      </c>
      <c r="M129" s="1">
        <v>0</v>
      </c>
    </row>
    <row r="130" spans="2:13" x14ac:dyDescent="0.25">
      <c r="B130" s="1">
        <v>1</v>
      </c>
      <c r="C130" s="1">
        <v>1</v>
      </c>
      <c r="D130" s="1">
        <v>9.5238095238095233E-2</v>
      </c>
      <c r="E130" s="1">
        <v>0.90476190476190477</v>
      </c>
      <c r="F130" s="1">
        <v>53</v>
      </c>
      <c r="G130" s="1">
        <v>1</v>
      </c>
      <c r="H130" s="1">
        <v>5</v>
      </c>
      <c r="I130" s="1">
        <v>1</v>
      </c>
      <c r="J130" s="1">
        <v>2</v>
      </c>
      <c r="K130" s="1">
        <v>0</v>
      </c>
      <c r="L130" s="1">
        <v>9101</v>
      </c>
      <c r="M130" s="1">
        <v>0</v>
      </c>
    </row>
    <row r="131" spans="2:13" x14ac:dyDescent="0.25">
      <c r="B131" s="1">
        <v>1</v>
      </c>
      <c r="C131" s="1">
        <v>1</v>
      </c>
      <c r="D131" s="1">
        <v>9.5238095238095233E-2</v>
      </c>
      <c r="E131" s="1">
        <v>0.90476190476190477</v>
      </c>
      <c r="F131" s="1">
        <v>53</v>
      </c>
      <c r="G131" s="1">
        <v>0</v>
      </c>
      <c r="H131" s="1">
        <v>6</v>
      </c>
      <c r="I131" s="1">
        <v>4</v>
      </c>
      <c r="J131" s="1">
        <v>0</v>
      </c>
      <c r="K131" s="1">
        <v>0</v>
      </c>
      <c r="L131" s="1">
        <v>8494</v>
      </c>
      <c r="M131" s="1">
        <v>0</v>
      </c>
    </row>
    <row r="132" spans="2:13" x14ac:dyDescent="0.25">
      <c r="B132" s="1">
        <v>1</v>
      </c>
      <c r="C132" s="1">
        <v>1</v>
      </c>
      <c r="D132" s="1">
        <v>9.5238095238095233E-2</v>
      </c>
      <c r="E132" s="1">
        <v>0.90476190476190477</v>
      </c>
      <c r="F132" s="1">
        <v>53</v>
      </c>
      <c r="G132" s="1">
        <v>1</v>
      </c>
      <c r="H132" s="1">
        <v>2</v>
      </c>
      <c r="I132" s="1">
        <v>5</v>
      </c>
      <c r="J132" s="1">
        <v>0</v>
      </c>
      <c r="K132" s="1">
        <v>0</v>
      </c>
      <c r="L132" s="1">
        <v>7589</v>
      </c>
      <c r="M132" s="1">
        <v>0</v>
      </c>
    </row>
    <row r="133" spans="2:13" x14ac:dyDescent="0.25">
      <c r="B133" s="1">
        <v>1</v>
      </c>
      <c r="C133" s="1">
        <v>1</v>
      </c>
      <c r="D133" s="1">
        <v>9.5238095238095233E-2</v>
      </c>
      <c r="E133" s="1">
        <v>0.90476190476190477</v>
      </c>
      <c r="F133" s="1">
        <v>53</v>
      </c>
      <c r="G133" s="1">
        <v>0</v>
      </c>
      <c r="H133" s="1">
        <v>2</v>
      </c>
      <c r="I133" s="1">
        <v>6</v>
      </c>
      <c r="J133" s="1">
        <v>0</v>
      </c>
      <c r="K133" s="1">
        <v>0</v>
      </c>
      <c r="L133" s="1">
        <v>17697</v>
      </c>
      <c r="M133" s="1">
        <v>0</v>
      </c>
    </row>
    <row r="134" spans="2:13" x14ac:dyDescent="0.25">
      <c r="B134" s="1">
        <v>1</v>
      </c>
      <c r="C134" s="1">
        <v>1</v>
      </c>
      <c r="D134" s="1">
        <v>9.5238095238095233E-2</v>
      </c>
      <c r="E134" s="1">
        <v>0.90476190476190477</v>
      </c>
      <c r="F134" s="1">
        <v>53</v>
      </c>
      <c r="G134" s="1">
        <v>0</v>
      </c>
      <c r="H134" s="1">
        <v>7</v>
      </c>
      <c r="I134" s="1">
        <v>6</v>
      </c>
      <c r="J134" s="1">
        <v>0</v>
      </c>
      <c r="K134" s="1">
        <v>0</v>
      </c>
      <c r="L134" s="1">
        <v>22737</v>
      </c>
      <c r="M134" s="1">
        <v>0</v>
      </c>
    </row>
    <row r="135" spans="2:13" x14ac:dyDescent="0.25">
      <c r="B135" s="1">
        <v>1</v>
      </c>
      <c r="C135" s="1">
        <v>1</v>
      </c>
      <c r="D135" s="1">
        <v>9.5238095238095233E-2</v>
      </c>
      <c r="E135" s="1">
        <v>0.90476190476190477</v>
      </c>
      <c r="F135" s="1">
        <v>53</v>
      </c>
      <c r="G135" s="1">
        <v>0</v>
      </c>
      <c r="H135" s="1">
        <v>1</v>
      </c>
      <c r="I135" s="1">
        <v>4</v>
      </c>
      <c r="J135" s="1">
        <v>0</v>
      </c>
      <c r="K135" s="1">
        <v>0</v>
      </c>
      <c r="L135" s="1">
        <v>10120</v>
      </c>
      <c r="M135" s="1">
        <v>0</v>
      </c>
    </row>
    <row r="136" spans="2:13" x14ac:dyDescent="0.25">
      <c r="B136" s="1">
        <v>1</v>
      </c>
      <c r="C136" s="1">
        <v>1</v>
      </c>
      <c r="D136" s="1">
        <v>9.5238095238095233E-2</v>
      </c>
      <c r="E136" s="1">
        <v>0.90476190476190477</v>
      </c>
      <c r="F136" s="1">
        <v>53</v>
      </c>
      <c r="G136" s="1">
        <v>1</v>
      </c>
      <c r="H136" s="1">
        <v>6</v>
      </c>
      <c r="I136" s="1">
        <v>4</v>
      </c>
      <c r="J136" s="1">
        <v>0</v>
      </c>
      <c r="K136" s="1">
        <v>0</v>
      </c>
      <c r="L136" s="1">
        <v>13776</v>
      </c>
      <c r="M136" s="1">
        <v>0</v>
      </c>
    </row>
    <row r="137" spans="2:13" x14ac:dyDescent="0.25">
      <c r="B137" s="1">
        <v>1</v>
      </c>
      <c r="C137" s="1">
        <v>1</v>
      </c>
      <c r="D137" s="1">
        <v>9.5238095238095233E-2</v>
      </c>
      <c r="E137" s="1">
        <v>0.90476190476190477</v>
      </c>
      <c r="F137" s="1">
        <v>53</v>
      </c>
      <c r="G137" s="1">
        <v>1</v>
      </c>
      <c r="H137" s="1">
        <v>4</v>
      </c>
      <c r="I137" s="1">
        <v>1</v>
      </c>
      <c r="J137" s="1">
        <v>0</v>
      </c>
      <c r="K137" s="1">
        <v>0</v>
      </c>
      <c r="L137" s="1">
        <v>11809</v>
      </c>
      <c r="M137" s="1">
        <v>0</v>
      </c>
    </row>
    <row r="138" spans="2:13" x14ac:dyDescent="0.25">
      <c r="B138" s="1">
        <v>1</v>
      </c>
      <c r="C138" s="1">
        <v>1</v>
      </c>
      <c r="D138" s="1">
        <v>9.5238095238095233E-2</v>
      </c>
      <c r="E138" s="1">
        <v>0.90476190476190477</v>
      </c>
      <c r="F138" s="1">
        <v>53</v>
      </c>
      <c r="G138" s="1">
        <v>1</v>
      </c>
      <c r="H138" s="1">
        <v>8</v>
      </c>
      <c r="I138" s="1">
        <v>2</v>
      </c>
      <c r="J138" s="1">
        <v>0</v>
      </c>
      <c r="K138" s="1">
        <v>0</v>
      </c>
      <c r="L138" s="1">
        <v>14453</v>
      </c>
      <c r="M138" s="1">
        <v>0</v>
      </c>
    </row>
    <row r="139" spans="2:13" x14ac:dyDescent="0.25">
      <c r="B139" s="1">
        <v>1</v>
      </c>
      <c r="C139" s="1">
        <v>1</v>
      </c>
      <c r="D139" s="1">
        <v>9.5238095238095233E-2</v>
      </c>
      <c r="E139" s="1">
        <v>0.90476190476190477</v>
      </c>
      <c r="F139" s="1">
        <v>53</v>
      </c>
      <c r="G139" s="1">
        <v>0</v>
      </c>
      <c r="H139" s="1">
        <v>11</v>
      </c>
      <c r="I139" s="1">
        <v>5</v>
      </c>
      <c r="J139" s="1">
        <v>0</v>
      </c>
      <c r="K139" s="1">
        <v>0</v>
      </c>
      <c r="L139" s="1">
        <v>18612</v>
      </c>
      <c r="M139" s="1">
        <v>0</v>
      </c>
    </row>
    <row r="140" spans="2:13" x14ac:dyDescent="0.25">
      <c r="B140" s="1">
        <v>1</v>
      </c>
      <c r="C140" s="1">
        <v>1</v>
      </c>
      <c r="D140" s="1">
        <v>9.5238095238095233E-2</v>
      </c>
      <c r="E140" s="1">
        <v>0.90476190476190477</v>
      </c>
      <c r="F140" s="1">
        <v>53</v>
      </c>
      <c r="G140" s="1">
        <v>1</v>
      </c>
      <c r="H140" s="1">
        <v>14</v>
      </c>
      <c r="I140" s="1">
        <v>3</v>
      </c>
      <c r="J140" s="1">
        <v>1</v>
      </c>
      <c r="K140" s="1">
        <v>0</v>
      </c>
      <c r="L140" s="1">
        <v>38690</v>
      </c>
      <c r="M140" s="1">
        <v>0</v>
      </c>
    </row>
    <row r="141" spans="2:13" x14ac:dyDescent="0.25">
      <c r="B141" s="1">
        <v>1</v>
      </c>
      <c r="C141" s="1">
        <v>1</v>
      </c>
      <c r="D141" s="1">
        <v>9.5238095238095233E-2</v>
      </c>
      <c r="E141" s="1">
        <v>0.90476190476190477</v>
      </c>
      <c r="F141" s="1">
        <v>53</v>
      </c>
      <c r="G141" s="1">
        <v>1</v>
      </c>
      <c r="H141" s="1">
        <v>6</v>
      </c>
      <c r="I141" s="1">
        <v>4</v>
      </c>
      <c r="J141" s="1">
        <v>0</v>
      </c>
      <c r="K141" s="1">
        <v>0</v>
      </c>
      <c r="L141" s="1">
        <v>14977</v>
      </c>
      <c r="M141" s="1">
        <v>0</v>
      </c>
    </row>
    <row r="142" spans="2:13" x14ac:dyDescent="0.25">
      <c r="B142" s="17">
        <v>0</v>
      </c>
      <c r="C142" s="17">
        <v>1</v>
      </c>
      <c r="D142" s="17">
        <v>0.96551724137931039</v>
      </c>
      <c r="E142" s="17">
        <v>3.4482758620689655E-2</v>
      </c>
      <c r="F142" s="17">
        <v>51</v>
      </c>
      <c r="G142" s="17">
        <v>0</v>
      </c>
      <c r="H142" s="17">
        <v>8</v>
      </c>
      <c r="I142" s="17">
        <v>2</v>
      </c>
      <c r="J142" s="17">
        <v>0</v>
      </c>
      <c r="K142" s="17">
        <v>0</v>
      </c>
      <c r="L142" s="17">
        <v>12104</v>
      </c>
      <c r="M142" s="17">
        <v>0</v>
      </c>
    </row>
    <row r="143" spans="2:13" x14ac:dyDescent="0.25">
      <c r="B143" s="17">
        <v>0</v>
      </c>
      <c r="C143" s="17">
        <v>1</v>
      </c>
      <c r="D143" s="17">
        <v>0.61538461538461542</v>
      </c>
      <c r="E143" s="17">
        <v>0.38461538461538464</v>
      </c>
      <c r="F143" s="17">
        <v>51</v>
      </c>
      <c r="G143" s="17">
        <v>1</v>
      </c>
      <c r="H143" s="17">
        <v>21</v>
      </c>
      <c r="I143" s="17">
        <v>4</v>
      </c>
      <c r="J143" s="17">
        <v>3</v>
      </c>
      <c r="K143" s="17">
        <v>0</v>
      </c>
      <c r="L143" s="17">
        <v>46974</v>
      </c>
      <c r="M143" s="17">
        <v>0</v>
      </c>
    </row>
    <row r="144" spans="2:13" x14ac:dyDescent="0.25">
      <c r="B144" s="17">
        <v>0</v>
      </c>
      <c r="C144" s="17">
        <v>1</v>
      </c>
      <c r="D144" s="17">
        <v>0.61538461538461542</v>
      </c>
      <c r="E144" s="17">
        <v>0.38461538461538464</v>
      </c>
      <c r="F144" s="17">
        <v>51</v>
      </c>
      <c r="G144" s="17">
        <v>1</v>
      </c>
      <c r="H144" s="17">
        <v>7</v>
      </c>
      <c r="I144" s="17">
        <v>8</v>
      </c>
      <c r="J144" s="17">
        <v>2</v>
      </c>
      <c r="K144" s="17">
        <v>0</v>
      </c>
      <c r="L144" s="17">
        <v>31477</v>
      </c>
      <c r="M144" s="17">
        <v>0</v>
      </c>
    </row>
    <row r="145" spans="2:13" x14ac:dyDescent="0.25">
      <c r="B145" s="1">
        <v>1</v>
      </c>
      <c r="C145" s="1">
        <v>1</v>
      </c>
      <c r="D145" s="1">
        <v>0.30769230769230771</v>
      </c>
      <c r="E145" s="1">
        <v>0.69230769230769229</v>
      </c>
      <c r="F145" s="1">
        <v>50</v>
      </c>
      <c r="G145" s="1">
        <v>1</v>
      </c>
      <c r="H145" s="1">
        <v>2</v>
      </c>
      <c r="I145" s="1">
        <v>3</v>
      </c>
      <c r="J145" s="1">
        <v>0</v>
      </c>
      <c r="K145" s="1">
        <v>0</v>
      </c>
      <c r="L145" s="1">
        <v>3097</v>
      </c>
      <c r="M145" s="1">
        <v>0</v>
      </c>
    </row>
    <row r="146" spans="2:13" x14ac:dyDescent="0.25">
      <c r="B146" s="1">
        <v>1</v>
      </c>
      <c r="C146" s="1">
        <v>1</v>
      </c>
      <c r="D146" s="1">
        <v>0.30769230769230771</v>
      </c>
      <c r="E146" s="1">
        <v>0.69230769230769229</v>
      </c>
      <c r="F146" s="1">
        <v>50</v>
      </c>
      <c r="G146" s="1">
        <v>0</v>
      </c>
      <c r="H146" s="1">
        <v>12</v>
      </c>
      <c r="I146" s="1">
        <v>5</v>
      </c>
      <c r="J146" s="1">
        <v>0</v>
      </c>
      <c r="K146" s="1">
        <v>0</v>
      </c>
      <c r="L146" s="1">
        <v>24147</v>
      </c>
      <c r="M146" s="1">
        <v>0</v>
      </c>
    </row>
    <row r="147" spans="2:13" x14ac:dyDescent="0.25">
      <c r="B147" s="1">
        <v>1</v>
      </c>
      <c r="C147" s="1">
        <v>1</v>
      </c>
      <c r="D147" s="1">
        <v>0.30769230769230771</v>
      </c>
      <c r="E147" s="1">
        <v>0.69230769230769229</v>
      </c>
      <c r="F147" s="1">
        <v>50</v>
      </c>
      <c r="G147" s="1">
        <v>0</v>
      </c>
      <c r="H147" s="1">
        <v>2</v>
      </c>
      <c r="I147" s="1">
        <v>5</v>
      </c>
      <c r="J147" s="1">
        <v>0</v>
      </c>
      <c r="K147" s="1">
        <v>0</v>
      </c>
      <c r="L147" s="1">
        <v>10412</v>
      </c>
      <c r="M147" s="1">
        <v>0</v>
      </c>
    </row>
    <row r="148" spans="2:13" x14ac:dyDescent="0.25">
      <c r="B148" s="1">
        <v>1</v>
      </c>
      <c r="C148" s="1">
        <v>1</v>
      </c>
      <c r="D148" s="1">
        <v>0.30769230769230771</v>
      </c>
      <c r="E148" s="1">
        <v>0.69230769230769229</v>
      </c>
      <c r="F148" s="1">
        <v>50</v>
      </c>
      <c r="G148" s="1">
        <v>0</v>
      </c>
      <c r="H148" s="1">
        <v>3</v>
      </c>
      <c r="I148" s="1">
        <v>1</v>
      </c>
      <c r="J148" s="1">
        <v>0</v>
      </c>
      <c r="K148" s="1">
        <v>0</v>
      </c>
      <c r="L148" s="1">
        <v>13672</v>
      </c>
      <c r="M148" s="1">
        <v>0</v>
      </c>
    </row>
    <row r="149" spans="2:13" x14ac:dyDescent="0.25">
      <c r="B149" s="1">
        <v>1</v>
      </c>
      <c r="C149" s="1">
        <v>1</v>
      </c>
      <c r="D149" s="1">
        <v>0.30769230769230771</v>
      </c>
      <c r="E149" s="1">
        <v>0.69230769230769229</v>
      </c>
      <c r="F149" s="1">
        <v>50</v>
      </c>
      <c r="G149" s="1">
        <v>1</v>
      </c>
      <c r="H149" s="1">
        <v>3</v>
      </c>
      <c r="I149" s="1">
        <v>2</v>
      </c>
      <c r="J149" s="1">
        <v>0</v>
      </c>
      <c r="K149" s="1">
        <v>0</v>
      </c>
      <c r="L149" s="1">
        <v>9770</v>
      </c>
      <c r="M149" s="1">
        <v>0</v>
      </c>
    </row>
    <row r="150" spans="2:13" x14ac:dyDescent="0.25">
      <c r="B150" s="1">
        <v>1</v>
      </c>
      <c r="C150" s="1">
        <v>1</v>
      </c>
      <c r="D150" s="1">
        <v>0.30769230769230771</v>
      </c>
      <c r="E150" s="1">
        <v>0.69230769230769229</v>
      </c>
      <c r="F150" s="1">
        <v>50</v>
      </c>
      <c r="G150" s="1">
        <v>0</v>
      </c>
      <c r="H150" s="1">
        <v>3</v>
      </c>
      <c r="I150" s="1">
        <v>3</v>
      </c>
      <c r="J150" s="1">
        <v>0</v>
      </c>
      <c r="K150" s="1">
        <v>0</v>
      </c>
      <c r="L150" s="1">
        <v>15175</v>
      </c>
      <c r="M150" s="1">
        <v>0</v>
      </c>
    </row>
    <row r="151" spans="2:13" x14ac:dyDescent="0.25">
      <c r="B151" s="1">
        <v>1</v>
      </c>
      <c r="C151" s="1">
        <v>1</v>
      </c>
      <c r="D151" s="1">
        <v>0.30769230769230771</v>
      </c>
      <c r="E151" s="1">
        <v>0.69230769230769229</v>
      </c>
      <c r="F151" s="1">
        <v>50</v>
      </c>
      <c r="G151" s="1">
        <v>1</v>
      </c>
      <c r="H151" s="1">
        <v>1</v>
      </c>
      <c r="I151" s="1">
        <v>4</v>
      </c>
      <c r="J151" s="1">
        <v>0</v>
      </c>
      <c r="K151" s="1">
        <v>0</v>
      </c>
      <c r="L151" s="1">
        <v>6661</v>
      </c>
      <c r="M151" s="1">
        <v>0</v>
      </c>
    </row>
    <row r="152" spans="2:13" x14ac:dyDescent="0.25">
      <c r="B152" s="1">
        <v>1</v>
      </c>
      <c r="C152" s="1">
        <v>1</v>
      </c>
      <c r="D152" s="1">
        <v>0.30769230769230771</v>
      </c>
      <c r="E152" s="1">
        <v>0.69230769230769229</v>
      </c>
      <c r="F152" s="1">
        <v>50</v>
      </c>
      <c r="G152" s="1">
        <v>1</v>
      </c>
      <c r="H152" s="1">
        <v>5</v>
      </c>
      <c r="I152" s="1">
        <v>1</v>
      </c>
      <c r="J152" s="1">
        <v>1</v>
      </c>
      <c r="K152" s="1">
        <v>0</v>
      </c>
      <c r="L152" s="1">
        <v>25008</v>
      </c>
      <c r="M152" s="1">
        <v>1</v>
      </c>
    </row>
    <row r="153" spans="2:13" x14ac:dyDescent="0.25">
      <c r="B153" s="1">
        <v>1</v>
      </c>
      <c r="C153" s="1">
        <v>1</v>
      </c>
      <c r="D153" s="1">
        <v>0.19999999999999998</v>
      </c>
      <c r="E153" s="1">
        <v>0.79999999999999993</v>
      </c>
      <c r="F153" s="1">
        <v>37</v>
      </c>
      <c r="G153" s="1">
        <v>0</v>
      </c>
      <c r="H153" s="1">
        <v>11</v>
      </c>
      <c r="I153" s="1">
        <v>2</v>
      </c>
      <c r="J153" s="1">
        <v>0</v>
      </c>
      <c r="K153" s="1">
        <v>0</v>
      </c>
      <c r="L153" s="1">
        <v>20220</v>
      </c>
      <c r="M153" s="1">
        <v>0</v>
      </c>
    </row>
    <row r="154" spans="2:13" x14ac:dyDescent="0.25">
      <c r="B154" s="1">
        <v>1</v>
      </c>
      <c r="C154" s="1">
        <v>1</v>
      </c>
      <c r="D154" s="1">
        <v>0.19999999999999998</v>
      </c>
      <c r="E154" s="1">
        <v>0.79999999999999993</v>
      </c>
      <c r="F154" s="1">
        <v>37</v>
      </c>
      <c r="G154" s="1">
        <v>1</v>
      </c>
      <c r="H154" s="1">
        <v>3</v>
      </c>
      <c r="I154" s="1">
        <v>2</v>
      </c>
      <c r="J154" s="1">
        <v>0</v>
      </c>
      <c r="K154" s="1">
        <v>0</v>
      </c>
      <c r="L154" s="1">
        <v>8927</v>
      </c>
      <c r="M154" s="1">
        <v>0</v>
      </c>
    </row>
    <row r="155" spans="2:13" x14ac:dyDescent="0.25">
      <c r="B155" s="1">
        <v>1</v>
      </c>
      <c r="C155" s="1">
        <v>1</v>
      </c>
      <c r="D155" s="1">
        <v>0.27272727272727276</v>
      </c>
      <c r="E155" s="1">
        <v>0.72727272727272729</v>
      </c>
      <c r="F155" s="1">
        <v>37</v>
      </c>
      <c r="G155" s="1">
        <v>1</v>
      </c>
      <c r="H155" s="1">
        <v>48</v>
      </c>
      <c r="I155" s="1">
        <v>2</v>
      </c>
      <c r="J155" s="1">
        <v>3</v>
      </c>
      <c r="K155" s="1">
        <v>0</v>
      </c>
      <c r="L155" s="1">
        <v>79360</v>
      </c>
      <c r="M155" s="1">
        <v>0</v>
      </c>
    </row>
    <row r="156" spans="2:13" x14ac:dyDescent="0.25">
      <c r="B156" s="1">
        <v>1</v>
      </c>
      <c r="C156" s="1">
        <v>1</v>
      </c>
      <c r="D156" s="1">
        <v>0.19999999999999998</v>
      </c>
      <c r="E156" s="1">
        <v>0.79999999999999993</v>
      </c>
      <c r="F156" s="1">
        <v>37</v>
      </c>
      <c r="G156" s="1">
        <v>1</v>
      </c>
      <c r="H156" s="1">
        <v>2</v>
      </c>
      <c r="I156" s="1">
        <v>0</v>
      </c>
      <c r="J156" s="1">
        <v>2</v>
      </c>
      <c r="K156" s="1">
        <v>0</v>
      </c>
      <c r="L156" s="1">
        <v>8652</v>
      </c>
      <c r="M156" s="1">
        <v>0</v>
      </c>
    </row>
    <row r="157" spans="2:13" x14ac:dyDescent="0.25">
      <c r="B157" s="1">
        <v>1</v>
      </c>
      <c r="C157" s="1">
        <v>1</v>
      </c>
      <c r="D157" s="1">
        <v>0.19999999999999998</v>
      </c>
      <c r="E157" s="1">
        <v>0.79999999999999993</v>
      </c>
      <c r="F157" s="1">
        <v>37</v>
      </c>
      <c r="G157" s="1">
        <v>0</v>
      </c>
      <c r="H157" s="1">
        <v>2</v>
      </c>
      <c r="I157" s="1">
        <v>0</v>
      </c>
      <c r="J157" s="1">
        <v>1</v>
      </c>
      <c r="K157" s="1">
        <v>0</v>
      </c>
      <c r="L157" s="1">
        <v>19323</v>
      </c>
      <c r="M157" s="1">
        <v>1</v>
      </c>
    </row>
    <row r="158" spans="2:13" x14ac:dyDescent="0.25">
      <c r="B158" s="1">
        <v>1</v>
      </c>
      <c r="C158" s="1">
        <v>1</v>
      </c>
      <c r="D158" s="1">
        <v>0.19999999999999998</v>
      </c>
      <c r="E158" s="1">
        <v>0.79999999999999993</v>
      </c>
      <c r="F158" s="1">
        <v>36</v>
      </c>
      <c r="G158" s="1">
        <v>0</v>
      </c>
      <c r="H158" s="1">
        <v>7</v>
      </c>
      <c r="I158" s="1">
        <v>5</v>
      </c>
      <c r="J158" s="1">
        <v>0</v>
      </c>
      <c r="K158" s="1">
        <v>0</v>
      </c>
      <c r="L158" s="1">
        <v>9134</v>
      </c>
      <c r="M158" s="1">
        <v>0</v>
      </c>
    </row>
    <row r="159" spans="2:13" x14ac:dyDescent="0.25">
      <c r="B159" s="1">
        <v>1</v>
      </c>
      <c r="C159" s="1">
        <v>1</v>
      </c>
      <c r="D159" s="1">
        <v>0.19999999999999998</v>
      </c>
      <c r="E159" s="1">
        <v>0.79999999999999993</v>
      </c>
      <c r="F159" s="1">
        <v>36</v>
      </c>
      <c r="G159" s="1">
        <v>0</v>
      </c>
      <c r="H159" s="1">
        <v>9</v>
      </c>
      <c r="I159" s="1">
        <v>2</v>
      </c>
      <c r="J159" s="1">
        <v>0</v>
      </c>
      <c r="K159" s="1">
        <v>0</v>
      </c>
      <c r="L159" s="1">
        <v>15681</v>
      </c>
      <c r="M159" s="1">
        <v>0</v>
      </c>
    </row>
    <row r="160" spans="2:13" x14ac:dyDescent="0.25">
      <c r="B160" s="1">
        <v>1</v>
      </c>
      <c r="C160" s="1">
        <v>1</v>
      </c>
      <c r="D160" s="1">
        <v>0.19999999999999998</v>
      </c>
      <c r="E160" s="1">
        <v>0.79999999999999993</v>
      </c>
      <c r="F160" s="1">
        <v>36</v>
      </c>
      <c r="G160" s="1">
        <v>1</v>
      </c>
      <c r="H160" s="1">
        <v>2</v>
      </c>
      <c r="I160" s="1">
        <v>1</v>
      </c>
      <c r="J160" s="1">
        <v>1</v>
      </c>
      <c r="K160" s="1">
        <v>0</v>
      </c>
      <c r="L160" s="1">
        <v>13992</v>
      </c>
      <c r="M160" s="1">
        <v>0</v>
      </c>
    </row>
    <row r="161" spans="2:13" x14ac:dyDescent="0.25">
      <c r="B161" s="1">
        <v>1</v>
      </c>
      <c r="C161" s="1">
        <v>1</v>
      </c>
      <c r="D161" s="1">
        <v>0.19999999999999998</v>
      </c>
      <c r="E161" s="1">
        <v>0.79999999999999993</v>
      </c>
      <c r="F161" s="1">
        <v>36</v>
      </c>
      <c r="G161" s="1">
        <v>1</v>
      </c>
      <c r="H161" s="1">
        <v>4</v>
      </c>
      <c r="I161" s="1">
        <v>3</v>
      </c>
      <c r="J161" s="1">
        <v>0</v>
      </c>
      <c r="K161" s="1">
        <v>0</v>
      </c>
      <c r="L161" s="1">
        <v>7006</v>
      </c>
      <c r="M161" s="1">
        <v>0</v>
      </c>
    </row>
    <row r="162" spans="2:13" x14ac:dyDescent="0.25">
      <c r="B162" s="1">
        <v>1</v>
      </c>
      <c r="C162" s="1">
        <v>1</v>
      </c>
      <c r="D162" s="1">
        <v>0.19999999999999998</v>
      </c>
      <c r="E162" s="1">
        <v>0.79999999999999993</v>
      </c>
      <c r="F162" s="1">
        <v>36</v>
      </c>
      <c r="G162" s="1">
        <v>1</v>
      </c>
      <c r="H162" s="1">
        <v>2</v>
      </c>
      <c r="I162" s="1">
        <v>5</v>
      </c>
      <c r="J162" s="1">
        <v>0</v>
      </c>
      <c r="K162" s="1">
        <v>0</v>
      </c>
      <c r="L162" s="1">
        <v>5680</v>
      </c>
      <c r="M162" s="1">
        <v>0</v>
      </c>
    </row>
    <row r="163" spans="2:13" x14ac:dyDescent="0.25">
      <c r="B163" s="1">
        <v>1</v>
      </c>
      <c r="C163" s="1">
        <v>1</v>
      </c>
      <c r="D163" s="1">
        <v>0.19999999999999998</v>
      </c>
      <c r="E163" s="1">
        <v>0.79999999999999993</v>
      </c>
      <c r="F163" s="1">
        <v>36</v>
      </c>
      <c r="G163" s="1">
        <v>0</v>
      </c>
      <c r="H163" s="1">
        <v>7</v>
      </c>
      <c r="I163" s="1">
        <v>3</v>
      </c>
      <c r="J163" s="1">
        <v>0</v>
      </c>
      <c r="K163" s="1">
        <v>0</v>
      </c>
      <c r="L163" s="1">
        <v>10270</v>
      </c>
      <c r="M163" s="1">
        <v>0</v>
      </c>
    </row>
    <row r="164" spans="2:13" x14ac:dyDescent="0.25">
      <c r="B164" s="1">
        <v>1</v>
      </c>
      <c r="C164" s="1">
        <v>1</v>
      </c>
      <c r="D164" s="1">
        <v>0.19999999999999998</v>
      </c>
      <c r="E164" s="1">
        <v>0.79999999999999993</v>
      </c>
      <c r="F164" s="1">
        <v>36</v>
      </c>
      <c r="G164" s="1">
        <v>1</v>
      </c>
      <c r="H164" s="1">
        <v>2</v>
      </c>
      <c r="I164" s="1">
        <v>0</v>
      </c>
      <c r="J164" s="1">
        <v>1</v>
      </c>
      <c r="K164" s="1">
        <v>0</v>
      </c>
      <c r="L164" s="1">
        <v>4025</v>
      </c>
      <c r="M164" s="1">
        <v>0</v>
      </c>
    </row>
    <row r="165" spans="2:13" x14ac:dyDescent="0.25">
      <c r="B165" s="1">
        <v>1</v>
      </c>
      <c r="C165" s="1">
        <v>1</v>
      </c>
      <c r="D165" s="1">
        <v>0.19999999999999998</v>
      </c>
      <c r="E165" s="1">
        <v>0.79999999999999993</v>
      </c>
      <c r="F165" s="1">
        <v>36</v>
      </c>
      <c r="G165" s="1">
        <v>1</v>
      </c>
      <c r="H165" s="1">
        <v>4</v>
      </c>
      <c r="I165" s="1">
        <v>0</v>
      </c>
      <c r="J165" s="1">
        <v>1</v>
      </c>
      <c r="K165" s="1">
        <v>0</v>
      </c>
      <c r="L165" s="1">
        <v>15366</v>
      </c>
      <c r="M165" s="1">
        <v>0</v>
      </c>
    </row>
    <row r="166" spans="2:13" x14ac:dyDescent="0.25">
      <c r="B166" s="1">
        <v>1</v>
      </c>
      <c r="C166" s="1">
        <v>1</v>
      </c>
      <c r="D166" s="1">
        <v>0.19999999999999998</v>
      </c>
      <c r="E166" s="1">
        <v>0.79999999999999993</v>
      </c>
      <c r="F166" s="1">
        <v>36</v>
      </c>
      <c r="G166" s="1">
        <v>1</v>
      </c>
      <c r="H166" s="1">
        <v>4</v>
      </c>
      <c r="I166" s="1">
        <v>6</v>
      </c>
      <c r="J166" s="1">
        <v>3</v>
      </c>
      <c r="K166" s="1">
        <v>0</v>
      </c>
      <c r="L166" s="1">
        <v>17740</v>
      </c>
      <c r="M166" s="1">
        <v>0</v>
      </c>
    </row>
    <row r="167" spans="2:13" x14ac:dyDescent="0.25">
      <c r="B167" s="1">
        <v>1</v>
      </c>
      <c r="C167" s="1">
        <v>1</v>
      </c>
      <c r="D167" s="1">
        <v>0.19999999999999998</v>
      </c>
      <c r="E167" s="1">
        <v>0.79999999999999993</v>
      </c>
      <c r="F167" s="1">
        <v>36</v>
      </c>
      <c r="G167" s="1">
        <v>1</v>
      </c>
      <c r="H167" s="1">
        <v>3</v>
      </c>
      <c r="I167" s="1">
        <v>1</v>
      </c>
      <c r="J167" s="1">
        <v>1</v>
      </c>
      <c r="K167" s="1">
        <v>0</v>
      </c>
      <c r="L167" s="1">
        <v>24576</v>
      </c>
      <c r="M167" s="1">
        <v>1</v>
      </c>
    </row>
    <row r="168" spans="2:13" x14ac:dyDescent="0.25">
      <c r="B168" s="1">
        <v>1</v>
      </c>
      <c r="C168" s="1">
        <v>1</v>
      </c>
      <c r="D168" s="1">
        <v>0.19999999999999998</v>
      </c>
      <c r="E168" s="1">
        <v>0.79999999999999993</v>
      </c>
      <c r="F168" s="1">
        <v>36</v>
      </c>
      <c r="G168" s="1">
        <v>1</v>
      </c>
      <c r="H168" s="1">
        <v>2</v>
      </c>
      <c r="I168" s="1">
        <v>0</v>
      </c>
      <c r="J168" s="1">
        <v>3</v>
      </c>
      <c r="K168" s="1">
        <v>0</v>
      </c>
      <c r="L168" s="1">
        <v>10073</v>
      </c>
      <c r="M168" s="1">
        <v>1</v>
      </c>
    </row>
    <row r="169" spans="2:13" x14ac:dyDescent="0.25">
      <c r="B169" s="1">
        <v>1</v>
      </c>
      <c r="C169" s="1">
        <v>1</v>
      </c>
      <c r="D169" s="1">
        <v>0.19999999999999998</v>
      </c>
      <c r="E169" s="1">
        <v>0.79999999999999993</v>
      </c>
      <c r="F169" s="1">
        <v>36</v>
      </c>
      <c r="G169" s="1">
        <v>1</v>
      </c>
      <c r="H169" s="1">
        <v>4</v>
      </c>
      <c r="I169" s="1">
        <v>2</v>
      </c>
      <c r="J169" s="1">
        <v>3</v>
      </c>
      <c r="K169" s="1">
        <v>0</v>
      </c>
      <c r="L169" s="1">
        <v>22721</v>
      </c>
      <c r="M169" s="1">
        <v>1</v>
      </c>
    </row>
    <row r="170" spans="2:13" x14ac:dyDescent="0.25">
      <c r="B170" s="1">
        <v>1</v>
      </c>
      <c r="C170" s="1">
        <v>1</v>
      </c>
      <c r="D170" s="1">
        <v>0.19999999999999998</v>
      </c>
      <c r="E170" s="1">
        <v>0.79999999999999993</v>
      </c>
      <c r="F170" s="1">
        <v>36</v>
      </c>
      <c r="G170" s="1">
        <v>1</v>
      </c>
      <c r="H170" s="1">
        <v>8</v>
      </c>
      <c r="I170" s="1">
        <v>4</v>
      </c>
      <c r="J170" s="1">
        <v>4</v>
      </c>
      <c r="K170" s="1">
        <v>0</v>
      </c>
      <c r="L170" s="1">
        <v>25148</v>
      </c>
      <c r="M170" s="1">
        <v>1</v>
      </c>
    </row>
    <row r="171" spans="2:13" x14ac:dyDescent="0.25">
      <c r="B171" s="17">
        <v>0</v>
      </c>
      <c r="C171" s="17">
        <v>1</v>
      </c>
      <c r="D171" s="17">
        <v>0.7</v>
      </c>
      <c r="E171" s="17">
        <v>0.3</v>
      </c>
      <c r="F171" s="17">
        <v>29</v>
      </c>
      <c r="G171" s="17">
        <v>1</v>
      </c>
      <c r="H171" s="17">
        <v>4</v>
      </c>
      <c r="I171" s="17">
        <v>2</v>
      </c>
      <c r="J171" s="17">
        <v>1</v>
      </c>
      <c r="K171" s="17">
        <v>0</v>
      </c>
      <c r="L171" s="17">
        <v>8029</v>
      </c>
      <c r="M171" s="17">
        <v>0</v>
      </c>
    </row>
    <row r="172" spans="2:13" x14ac:dyDescent="0.25">
      <c r="B172" s="17">
        <v>0</v>
      </c>
      <c r="C172" s="17">
        <v>1</v>
      </c>
      <c r="D172" s="17">
        <v>0.7</v>
      </c>
      <c r="E172" s="17">
        <v>0.3</v>
      </c>
      <c r="F172" s="17">
        <v>29</v>
      </c>
      <c r="G172" s="17">
        <v>1</v>
      </c>
      <c r="H172" s="17">
        <v>3</v>
      </c>
      <c r="I172" s="17">
        <v>0</v>
      </c>
      <c r="J172" s="17">
        <v>2</v>
      </c>
      <c r="K172" s="17">
        <v>0</v>
      </c>
      <c r="L172" s="17">
        <v>15807</v>
      </c>
      <c r="M172" s="17">
        <v>1</v>
      </c>
    </row>
    <row r="173" spans="2:13" x14ac:dyDescent="0.25">
      <c r="B173" s="1">
        <v>1</v>
      </c>
      <c r="C173" s="1">
        <v>1</v>
      </c>
      <c r="D173" s="1">
        <v>0.31818181818181818</v>
      </c>
      <c r="E173" s="1">
        <v>0.68181818181818188</v>
      </c>
      <c r="F173" s="1">
        <v>28</v>
      </c>
      <c r="G173" s="1">
        <v>1</v>
      </c>
      <c r="H173" s="1">
        <v>2</v>
      </c>
      <c r="I173" s="1">
        <v>0</v>
      </c>
      <c r="J173" s="1">
        <v>2</v>
      </c>
      <c r="K173" s="1">
        <v>0</v>
      </c>
      <c r="L173" s="1">
        <v>4626</v>
      </c>
      <c r="M173" s="1">
        <v>0</v>
      </c>
    </row>
    <row r="174" spans="2:13" x14ac:dyDescent="0.25">
      <c r="B174" s="1">
        <v>1</v>
      </c>
      <c r="C174" s="1">
        <v>1</v>
      </c>
      <c r="D174" s="1">
        <v>0.31818181818181818</v>
      </c>
      <c r="E174" s="1">
        <v>0.68181818181818188</v>
      </c>
      <c r="F174" s="1">
        <v>28</v>
      </c>
      <c r="G174" s="1">
        <v>0</v>
      </c>
      <c r="H174" s="1">
        <v>3</v>
      </c>
      <c r="I174" s="1">
        <v>3</v>
      </c>
      <c r="J174" s="1">
        <v>0</v>
      </c>
      <c r="K174" s="1">
        <v>0</v>
      </c>
      <c r="L174" s="1">
        <v>4312</v>
      </c>
      <c r="M174" s="1">
        <v>0</v>
      </c>
    </row>
    <row r="175" spans="2:13" x14ac:dyDescent="0.25">
      <c r="B175" s="1">
        <v>1</v>
      </c>
      <c r="C175" s="1">
        <v>1</v>
      </c>
      <c r="D175" s="1">
        <v>0.31818181818181818</v>
      </c>
      <c r="E175" s="1">
        <v>0.68181818181818188</v>
      </c>
      <c r="F175" s="1">
        <v>28</v>
      </c>
      <c r="G175" s="1">
        <v>0</v>
      </c>
      <c r="H175" s="1">
        <v>3</v>
      </c>
      <c r="I175" s="1">
        <v>0</v>
      </c>
      <c r="J175" s="1">
        <v>2</v>
      </c>
      <c r="K175" s="1">
        <v>0</v>
      </c>
      <c r="L175" s="1">
        <v>12822</v>
      </c>
      <c r="M175" s="1">
        <v>0</v>
      </c>
    </row>
    <row r="176" spans="2:13" x14ac:dyDescent="0.25">
      <c r="B176" s="1">
        <v>1</v>
      </c>
      <c r="C176" s="1">
        <v>1</v>
      </c>
      <c r="D176" s="1">
        <v>0.31818181818181818</v>
      </c>
      <c r="E176" s="1">
        <v>0.68181818181818188</v>
      </c>
      <c r="F176" s="1">
        <v>28</v>
      </c>
      <c r="G176" s="1">
        <v>0</v>
      </c>
      <c r="H176" s="1">
        <v>6</v>
      </c>
      <c r="I176" s="1">
        <v>2</v>
      </c>
      <c r="J176" s="1">
        <v>0</v>
      </c>
      <c r="K176" s="1">
        <v>0</v>
      </c>
      <c r="L176" s="1">
        <v>7807</v>
      </c>
      <c r="M176" s="1">
        <v>0</v>
      </c>
    </row>
    <row r="177" spans="2:13" x14ac:dyDescent="0.25">
      <c r="B177" s="1">
        <v>1</v>
      </c>
      <c r="C177" s="1">
        <v>1</v>
      </c>
      <c r="D177" s="1">
        <v>0.31818181818181818</v>
      </c>
      <c r="E177" s="1">
        <v>0.68181818181818188</v>
      </c>
      <c r="F177" s="1">
        <v>28</v>
      </c>
      <c r="G177" s="1">
        <v>1</v>
      </c>
      <c r="H177" s="1">
        <v>3</v>
      </c>
      <c r="I177" s="1">
        <v>0</v>
      </c>
      <c r="J177" s="1">
        <v>0</v>
      </c>
      <c r="K177" s="1">
        <v>0</v>
      </c>
      <c r="L177" s="1">
        <v>5907</v>
      </c>
      <c r="M177" s="1">
        <v>0</v>
      </c>
    </row>
    <row r="178" spans="2:13" x14ac:dyDescent="0.25">
      <c r="B178" s="1">
        <v>1</v>
      </c>
      <c r="C178" s="1">
        <v>1</v>
      </c>
      <c r="D178" s="1">
        <v>0.31818181818181818</v>
      </c>
      <c r="E178" s="1">
        <v>0.68181818181818188</v>
      </c>
      <c r="F178" s="1">
        <v>28</v>
      </c>
      <c r="G178" s="1">
        <v>0</v>
      </c>
      <c r="H178" s="1">
        <v>9</v>
      </c>
      <c r="I178" s="1">
        <v>5</v>
      </c>
      <c r="J178" s="1">
        <v>1</v>
      </c>
      <c r="K178" s="1">
        <v>0</v>
      </c>
      <c r="L178" s="1">
        <v>31755</v>
      </c>
      <c r="M178" s="1">
        <v>0</v>
      </c>
    </row>
    <row r="179" spans="2:13" x14ac:dyDescent="0.25">
      <c r="B179" s="1">
        <v>1</v>
      </c>
      <c r="C179" s="1">
        <v>1</v>
      </c>
      <c r="D179" s="1">
        <v>0.31818181818181818</v>
      </c>
      <c r="E179" s="1">
        <v>0.68181818181818188</v>
      </c>
      <c r="F179" s="1">
        <v>28</v>
      </c>
      <c r="G179" s="1">
        <v>1</v>
      </c>
      <c r="H179" s="1">
        <v>12</v>
      </c>
      <c r="I179" s="1">
        <v>4</v>
      </c>
      <c r="J179" s="1">
        <v>0</v>
      </c>
      <c r="K179" s="1">
        <v>0</v>
      </c>
      <c r="L179" s="1">
        <v>20166</v>
      </c>
      <c r="M179" s="1">
        <v>0</v>
      </c>
    </row>
    <row r="180" spans="2:13" x14ac:dyDescent="0.25">
      <c r="B180" s="1">
        <v>1</v>
      </c>
      <c r="C180" s="1">
        <v>1</v>
      </c>
      <c r="D180" s="1">
        <v>0.31818181818181818</v>
      </c>
      <c r="E180" s="1">
        <v>0.68181818181818188</v>
      </c>
      <c r="F180" s="1">
        <v>28</v>
      </c>
      <c r="G180" s="1">
        <v>0</v>
      </c>
      <c r="H180" s="1">
        <v>9</v>
      </c>
      <c r="I180" s="1">
        <v>3</v>
      </c>
      <c r="J180" s="1">
        <v>0</v>
      </c>
      <c r="K180" s="1">
        <v>0</v>
      </c>
      <c r="L180" s="1">
        <v>50921</v>
      </c>
      <c r="M180" s="1">
        <v>0</v>
      </c>
    </row>
    <row r="181" spans="2:13" x14ac:dyDescent="0.25">
      <c r="B181" s="1">
        <v>1</v>
      </c>
      <c r="C181" s="1">
        <v>1</v>
      </c>
      <c r="D181" s="1">
        <v>0.31818181818181818</v>
      </c>
      <c r="E181" s="1">
        <v>0.68181818181818188</v>
      </c>
      <c r="F181" s="1">
        <v>28</v>
      </c>
      <c r="G181" s="1">
        <v>1</v>
      </c>
      <c r="H181" s="1">
        <v>2</v>
      </c>
      <c r="I181" s="1">
        <v>0</v>
      </c>
      <c r="J181" s="1">
        <v>1</v>
      </c>
      <c r="K181" s="1">
        <v>0</v>
      </c>
      <c r="L181" s="1">
        <v>6741</v>
      </c>
      <c r="M181" s="1">
        <v>0</v>
      </c>
    </row>
    <row r="182" spans="2:13" x14ac:dyDescent="0.25">
      <c r="B182" s="1">
        <v>1</v>
      </c>
      <c r="C182" s="1">
        <v>1</v>
      </c>
      <c r="D182" s="1">
        <v>0.31818181818181818</v>
      </c>
      <c r="E182" s="1">
        <v>0.68181818181818188</v>
      </c>
      <c r="F182" s="1">
        <v>28</v>
      </c>
      <c r="G182" s="1">
        <v>1</v>
      </c>
      <c r="H182" s="1">
        <v>4</v>
      </c>
      <c r="I182" s="1">
        <v>0</v>
      </c>
      <c r="J182" s="1">
        <v>0</v>
      </c>
      <c r="K182" s="1">
        <v>0</v>
      </c>
      <c r="L182" s="1">
        <v>11419</v>
      </c>
      <c r="M182" s="1">
        <v>0</v>
      </c>
    </row>
    <row r="183" spans="2:13" x14ac:dyDescent="0.25">
      <c r="B183" s="1">
        <v>1</v>
      </c>
      <c r="C183" s="1">
        <v>1</v>
      </c>
      <c r="D183" s="1">
        <v>0.31818181818181818</v>
      </c>
      <c r="E183" s="1">
        <v>0.68181818181818188</v>
      </c>
      <c r="F183" s="1">
        <v>28</v>
      </c>
      <c r="G183" s="1">
        <v>1</v>
      </c>
      <c r="H183" s="1">
        <v>4</v>
      </c>
      <c r="I183" s="1">
        <v>0</v>
      </c>
      <c r="J183" s="1">
        <v>0</v>
      </c>
      <c r="K183" s="1">
        <v>0</v>
      </c>
      <c r="L183" s="1">
        <v>8773</v>
      </c>
      <c r="M183" s="1">
        <v>0</v>
      </c>
    </row>
    <row r="184" spans="2:13" x14ac:dyDescent="0.25">
      <c r="B184" s="1">
        <v>1</v>
      </c>
      <c r="C184" s="1">
        <v>1</v>
      </c>
      <c r="D184" s="1">
        <v>0.31818181818181818</v>
      </c>
      <c r="E184" s="1">
        <v>0.68181818181818188</v>
      </c>
      <c r="F184" s="1">
        <v>28</v>
      </c>
      <c r="G184" s="1">
        <v>1</v>
      </c>
      <c r="H184" s="1">
        <v>8</v>
      </c>
      <c r="I184" s="1">
        <v>2</v>
      </c>
      <c r="J184" s="1">
        <v>1</v>
      </c>
      <c r="K184" s="1">
        <v>0</v>
      </c>
      <c r="L184" s="1">
        <v>17600</v>
      </c>
      <c r="M184" s="1">
        <v>0</v>
      </c>
    </row>
    <row r="185" spans="2:13" x14ac:dyDescent="0.25">
      <c r="B185" s="1">
        <v>1</v>
      </c>
      <c r="C185" s="1">
        <v>1</v>
      </c>
      <c r="D185" s="1">
        <v>0.31818181818181818</v>
      </c>
      <c r="E185" s="1">
        <v>0.68181818181818188</v>
      </c>
      <c r="F185" s="1">
        <v>28</v>
      </c>
      <c r="G185" s="1">
        <v>1</v>
      </c>
      <c r="H185" s="1">
        <v>2</v>
      </c>
      <c r="I185" s="1">
        <v>0</v>
      </c>
      <c r="J185" s="1">
        <v>2</v>
      </c>
      <c r="K185" s="1">
        <v>0</v>
      </c>
      <c r="L185" s="1">
        <v>6603</v>
      </c>
      <c r="M185" s="1">
        <v>0</v>
      </c>
    </row>
    <row r="186" spans="2:13" x14ac:dyDescent="0.25">
      <c r="B186" s="1">
        <v>1</v>
      </c>
      <c r="C186" s="1">
        <v>1</v>
      </c>
      <c r="D186" s="1">
        <v>0.31818181818181818</v>
      </c>
      <c r="E186" s="1">
        <v>0.68181818181818188</v>
      </c>
      <c r="F186" s="1">
        <v>28</v>
      </c>
      <c r="G186" s="1">
        <v>1</v>
      </c>
      <c r="H186" s="1">
        <v>3</v>
      </c>
      <c r="I186" s="1">
        <v>1</v>
      </c>
      <c r="J186" s="1">
        <v>3</v>
      </c>
      <c r="K186" s="1">
        <v>0</v>
      </c>
      <c r="L186" s="1">
        <v>11595</v>
      </c>
      <c r="M186" s="1">
        <v>0</v>
      </c>
    </row>
    <row r="187" spans="2:13" x14ac:dyDescent="0.25">
      <c r="B187" s="1">
        <v>1</v>
      </c>
      <c r="C187" s="1">
        <v>1</v>
      </c>
      <c r="D187" s="1">
        <v>0.31818181818181818</v>
      </c>
      <c r="E187" s="1">
        <v>0.68181818181818188</v>
      </c>
      <c r="F187" s="1">
        <v>28</v>
      </c>
      <c r="G187" s="1">
        <v>0</v>
      </c>
      <c r="H187" s="1">
        <v>26</v>
      </c>
      <c r="I187" s="1">
        <v>5</v>
      </c>
      <c r="J187" s="1">
        <v>2</v>
      </c>
      <c r="K187" s="1">
        <v>0</v>
      </c>
      <c r="L187" s="1">
        <v>80483</v>
      </c>
      <c r="M187" s="1">
        <v>1</v>
      </c>
    </row>
    <row r="188" spans="2:13" x14ac:dyDescent="0.25">
      <c r="B188" s="1">
        <v>1</v>
      </c>
      <c r="C188" s="1">
        <v>1</v>
      </c>
      <c r="D188" s="1">
        <v>0</v>
      </c>
      <c r="E188" s="1">
        <v>1</v>
      </c>
      <c r="F188" s="1">
        <v>0</v>
      </c>
      <c r="G188" s="1">
        <v>0</v>
      </c>
      <c r="H188" s="1">
        <v>2</v>
      </c>
      <c r="I188" s="1">
        <v>0</v>
      </c>
      <c r="J188" s="1">
        <v>0</v>
      </c>
      <c r="K188" s="1">
        <v>0</v>
      </c>
      <c r="L188" s="1">
        <v>2133</v>
      </c>
      <c r="M188" s="1">
        <v>0</v>
      </c>
    </row>
    <row r="189" spans="2:13" x14ac:dyDescent="0.25">
      <c r="B189" s="1">
        <v>1</v>
      </c>
      <c r="C189" s="1">
        <v>1</v>
      </c>
      <c r="D189" s="1">
        <v>0.27272727272727276</v>
      </c>
      <c r="E189" s="1">
        <v>0.72727272727272729</v>
      </c>
      <c r="F189" s="1">
        <v>0</v>
      </c>
      <c r="G189" s="1">
        <v>0</v>
      </c>
      <c r="H189" s="1">
        <v>71</v>
      </c>
      <c r="I189" s="1">
        <v>1</v>
      </c>
      <c r="J189" s="1">
        <v>6</v>
      </c>
      <c r="K189" s="1">
        <v>0</v>
      </c>
      <c r="L189" s="1">
        <v>192415</v>
      </c>
      <c r="M189" s="1">
        <v>0</v>
      </c>
    </row>
    <row r="190" spans="2:13" x14ac:dyDescent="0.25">
      <c r="B190" s="1">
        <v>1</v>
      </c>
      <c r="C190" s="1">
        <v>1</v>
      </c>
      <c r="D190" s="1">
        <v>0.27272727272727276</v>
      </c>
      <c r="E190" s="1">
        <v>0.72727272727272729</v>
      </c>
      <c r="F190" s="1">
        <v>0</v>
      </c>
      <c r="G190" s="1">
        <v>0</v>
      </c>
      <c r="H190" s="1">
        <v>99</v>
      </c>
      <c r="I190" s="1">
        <v>0</v>
      </c>
      <c r="J190" s="1">
        <v>6</v>
      </c>
      <c r="K190" s="1">
        <v>0</v>
      </c>
      <c r="L190" s="1">
        <v>231805</v>
      </c>
      <c r="M190" s="1">
        <v>0</v>
      </c>
    </row>
    <row r="191" spans="2:13" x14ac:dyDescent="0.25">
      <c r="B191" s="1">
        <v>1</v>
      </c>
      <c r="C191" s="1">
        <v>1</v>
      </c>
      <c r="D191" s="1">
        <v>0.27272727272727276</v>
      </c>
      <c r="E191" s="1">
        <v>0.72727272727272729</v>
      </c>
      <c r="F191" s="1">
        <v>0</v>
      </c>
      <c r="G191" s="1">
        <v>0</v>
      </c>
      <c r="H191" s="1">
        <v>67</v>
      </c>
      <c r="I191" s="1">
        <v>1</v>
      </c>
      <c r="J191" s="1">
        <v>6</v>
      </c>
      <c r="K191" s="1">
        <v>0</v>
      </c>
      <c r="L191" s="1">
        <v>161951</v>
      </c>
      <c r="M191" s="1">
        <v>0</v>
      </c>
    </row>
    <row r="192" spans="2:13" x14ac:dyDescent="0.25">
      <c r="B192" s="1">
        <v>1</v>
      </c>
      <c r="C192" s="1">
        <v>1</v>
      </c>
      <c r="D192" s="1">
        <v>0.27272727272727276</v>
      </c>
      <c r="E192" s="1">
        <v>0.72727272727272729</v>
      </c>
      <c r="F192" s="1">
        <v>0</v>
      </c>
      <c r="G192" s="1">
        <v>0</v>
      </c>
      <c r="H192" s="1">
        <v>53</v>
      </c>
      <c r="I192" s="1">
        <v>1</v>
      </c>
      <c r="J192" s="1">
        <v>6</v>
      </c>
      <c r="K192" s="1">
        <v>0</v>
      </c>
      <c r="L192" s="1">
        <v>134565</v>
      </c>
      <c r="M192" s="1">
        <v>0</v>
      </c>
    </row>
    <row r="193" spans="2:13" x14ac:dyDescent="0.25">
      <c r="B193" s="1">
        <v>1</v>
      </c>
      <c r="C193" s="1">
        <v>1</v>
      </c>
      <c r="D193" s="1">
        <v>0.27272727272727276</v>
      </c>
      <c r="E193" s="1">
        <v>0.72727272727272729</v>
      </c>
      <c r="F193" s="1">
        <v>0</v>
      </c>
      <c r="G193" s="1">
        <v>1</v>
      </c>
      <c r="H193" s="1">
        <v>99</v>
      </c>
      <c r="I193" s="1">
        <v>1</v>
      </c>
      <c r="J193" s="1">
        <v>6</v>
      </c>
      <c r="K193" s="1">
        <v>0</v>
      </c>
      <c r="L193" s="1">
        <v>295554</v>
      </c>
      <c r="M193" s="1">
        <v>0</v>
      </c>
    </row>
    <row r="194" spans="2:13" x14ac:dyDescent="0.25">
      <c r="B194" s="1">
        <v>1</v>
      </c>
      <c r="C194" s="1">
        <v>1</v>
      </c>
      <c r="D194" s="1">
        <v>0.27272727272727276</v>
      </c>
      <c r="E194" s="1">
        <v>0.72727272727272729</v>
      </c>
      <c r="F194" s="1">
        <v>0</v>
      </c>
      <c r="G194" s="1">
        <v>0</v>
      </c>
      <c r="H194" s="1">
        <v>52</v>
      </c>
      <c r="I194" s="1">
        <v>1</v>
      </c>
      <c r="J194" s="1">
        <v>6</v>
      </c>
      <c r="K194" s="1">
        <v>0</v>
      </c>
      <c r="L194" s="1">
        <v>122003</v>
      </c>
      <c r="M194" s="1">
        <v>0</v>
      </c>
    </row>
    <row r="195" spans="2:13" x14ac:dyDescent="0.25">
      <c r="B195" s="1">
        <v>1</v>
      </c>
      <c r="C195" s="1">
        <v>1</v>
      </c>
      <c r="D195" s="1">
        <v>0.27272727272727276</v>
      </c>
      <c r="E195" s="1">
        <v>0.72727272727272729</v>
      </c>
      <c r="F195" s="1">
        <v>0</v>
      </c>
      <c r="G195" s="1">
        <v>1</v>
      </c>
      <c r="H195" s="1">
        <v>49</v>
      </c>
      <c r="I195" s="1">
        <v>1</v>
      </c>
      <c r="J195" s="1">
        <v>6</v>
      </c>
      <c r="K195" s="1">
        <v>0</v>
      </c>
      <c r="L195" s="1">
        <v>116068</v>
      </c>
      <c r="M195" s="1">
        <v>0</v>
      </c>
    </row>
    <row r="196" spans="2:13" x14ac:dyDescent="0.25">
      <c r="B196" s="1">
        <v>1</v>
      </c>
      <c r="C196" s="1">
        <v>1</v>
      </c>
      <c r="D196" s="1">
        <v>0.16666666666666666</v>
      </c>
      <c r="E196" s="1">
        <v>0.83333333333333326</v>
      </c>
      <c r="F196" s="1">
        <v>0</v>
      </c>
      <c r="G196" s="1">
        <v>1</v>
      </c>
      <c r="H196" s="1">
        <v>29</v>
      </c>
      <c r="I196" s="1">
        <v>0</v>
      </c>
      <c r="J196" s="1">
        <v>1</v>
      </c>
      <c r="K196" s="1">
        <v>0</v>
      </c>
      <c r="L196" s="1">
        <v>67751</v>
      </c>
      <c r="M196" s="1">
        <v>0</v>
      </c>
    </row>
    <row r="197" spans="2:13" x14ac:dyDescent="0.25">
      <c r="B197" s="1">
        <v>1</v>
      </c>
      <c r="C197" s="1">
        <v>1</v>
      </c>
      <c r="D197" s="1">
        <v>0.16666666666666666</v>
      </c>
      <c r="E197" s="1">
        <v>0.83333333333333326</v>
      </c>
      <c r="F197" s="1">
        <v>0</v>
      </c>
      <c r="G197" s="1">
        <v>0</v>
      </c>
      <c r="H197" s="1">
        <v>30</v>
      </c>
      <c r="I197" s="1">
        <v>1</v>
      </c>
      <c r="J197" s="1">
        <v>6</v>
      </c>
      <c r="K197" s="1">
        <v>0</v>
      </c>
      <c r="L197" s="1">
        <v>188257</v>
      </c>
      <c r="M197" s="1">
        <v>0</v>
      </c>
    </row>
    <row r="198" spans="2:13" x14ac:dyDescent="0.25">
      <c r="B198" s="1">
        <v>1</v>
      </c>
      <c r="C198" s="1">
        <v>1</v>
      </c>
      <c r="D198" s="1">
        <v>0.16666666666666666</v>
      </c>
      <c r="E198" s="1">
        <v>0.83333333333333326</v>
      </c>
      <c r="F198" s="1">
        <v>0</v>
      </c>
      <c r="G198" s="1">
        <v>0</v>
      </c>
      <c r="H198" s="1">
        <v>20</v>
      </c>
      <c r="I198" s="1">
        <v>2</v>
      </c>
      <c r="J198" s="1">
        <v>0</v>
      </c>
      <c r="K198" s="1">
        <v>0</v>
      </c>
      <c r="L198" s="1">
        <v>46913</v>
      </c>
      <c r="M198" s="1">
        <v>0</v>
      </c>
    </row>
    <row r="199" spans="2:13" x14ac:dyDescent="0.25">
      <c r="B199" s="17">
        <v>0</v>
      </c>
      <c r="C199" s="17">
        <v>1</v>
      </c>
      <c r="D199" s="17">
        <v>0.7857142857142857</v>
      </c>
      <c r="E199" s="17">
        <v>0.21428571428571427</v>
      </c>
      <c r="F199" s="17">
        <v>0</v>
      </c>
      <c r="G199" s="17">
        <v>1</v>
      </c>
      <c r="H199" s="17">
        <v>2</v>
      </c>
      <c r="I199" s="17">
        <v>0</v>
      </c>
      <c r="J199" s="17">
        <v>0</v>
      </c>
      <c r="K199" s="17">
        <v>0</v>
      </c>
      <c r="L199" s="17">
        <v>1102</v>
      </c>
      <c r="M199" s="17">
        <v>0</v>
      </c>
    </row>
    <row r="200" spans="2:13" x14ac:dyDescent="0.25">
      <c r="B200" s="17">
        <v>0</v>
      </c>
      <c r="C200" s="17">
        <v>1</v>
      </c>
      <c r="D200" s="17">
        <v>0.91666666666666663</v>
      </c>
      <c r="E200" s="17">
        <v>8.3333333333333329E-2</v>
      </c>
      <c r="F200" s="17">
        <v>0</v>
      </c>
      <c r="G200" s="17">
        <v>1</v>
      </c>
      <c r="H200" s="17">
        <v>2</v>
      </c>
      <c r="I200" s="17">
        <v>0</v>
      </c>
      <c r="J200" s="17">
        <v>0</v>
      </c>
      <c r="K200" s="17">
        <v>0</v>
      </c>
      <c r="L200" s="17">
        <v>1266</v>
      </c>
      <c r="M200" s="17">
        <v>0</v>
      </c>
    </row>
    <row r="201" spans="2:13" x14ac:dyDescent="0.25">
      <c r="B201" s="17">
        <v>0</v>
      </c>
      <c r="C201" s="17">
        <v>1</v>
      </c>
      <c r="D201" s="17">
        <v>0.7857142857142857</v>
      </c>
      <c r="E201" s="17">
        <v>0.21428571428571427</v>
      </c>
      <c r="F201" s="17">
        <v>0</v>
      </c>
      <c r="G201" s="17">
        <v>1</v>
      </c>
      <c r="H201" s="17">
        <v>2</v>
      </c>
      <c r="I201" s="17">
        <v>0</v>
      </c>
      <c r="J201" s="17">
        <v>0</v>
      </c>
      <c r="K201" s="17">
        <v>0</v>
      </c>
      <c r="L201" s="17">
        <v>1043</v>
      </c>
      <c r="M201" s="17">
        <v>0</v>
      </c>
    </row>
    <row r="202" spans="2:13" x14ac:dyDescent="0.25">
      <c r="B202" s="17">
        <v>0</v>
      </c>
      <c r="C202" s="17">
        <v>1</v>
      </c>
      <c r="D202" s="17">
        <v>0.91666666666666663</v>
      </c>
      <c r="E202" s="17">
        <v>8.3333333333333329E-2</v>
      </c>
      <c r="F202" s="17">
        <v>0</v>
      </c>
      <c r="G202" s="17">
        <v>1</v>
      </c>
      <c r="H202" s="17">
        <v>2</v>
      </c>
      <c r="I202" s="17">
        <v>0</v>
      </c>
      <c r="J202" s="17">
        <v>0</v>
      </c>
      <c r="K202" s="17">
        <v>0</v>
      </c>
      <c r="L202" s="17">
        <v>1543</v>
      </c>
      <c r="M202" s="17">
        <v>0</v>
      </c>
    </row>
    <row r="203" spans="2:13" x14ac:dyDescent="0.25">
      <c r="B203" s="17">
        <v>0</v>
      </c>
      <c r="C203" s="17">
        <v>1</v>
      </c>
      <c r="D203" s="17">
        <v>0.9285714285714286</v>
      </c>
      <c r="E203" s="17">
        <v>7.1428571428571411E-2</v>
      </c>
      <c r="F203" s="17">
        <v>0</v>
      </c>
      <c r="G203" s="17">
        <v>0</v>
      </c>
      <c r="H203" s="17">
        <v>2</v>
      </c>
      <c r="I203" s="17">
        <v>0</v>
      </c>
      <c r="J203" s="17">
        <v>0</v>
      </c>
      <c r="K203" s="17">
        <v>0</v>
      </c>
      <c r="L203" s="17">
        <v>1296</v>
      </c>
      <c r="M203" s="17">
        <v>0</v>
      </c>
    </row>
    <row r="204" spans="2:13" x14ac:dyDescent="0.25">
      <c r="B204" s="1">
        <v>1</v>
      </c>
      <c r="C204" s="1">
        <v>1</v>
      </c>
      <c r="D204" s="1">
        <v>0.16666666666666666</v>
      </c>
      <c r="E204" s="1">
        <v>0.83333333333333326</v>
      </c>
      <c r="F204" s="1">
        <v>0</v>
      </c>
      <c r="G204" s="1">
        <v>0</v>
      </c>
      <c r="H204" s="1">
        <v>21</v>
      </c>
      <c r="I204" s="1">
        <v>1</v>
      </c>
      <c r="J204" s="1">
        <v>0</v>
      </c>
      <c r="K204" s="1">
        <v>0</v>
      </c>
      <c r="L204" s="1">
        <v>37128</v>
      </c>
      <c r="M204" s="1">
        <v>0</v>
      </c>
    </row>
    <row r="205" spans="2:13" x14ac:dyDescent="0.25">
      <c r="B205" s="1">
        <v>1</v>
      </c>
      <c r="C205" s="1">
        <v>1</v>
      </c>
      <c r="D205" s="1">
        <v>0.16666666666666666</v>
      </c>
      <c r="E205" s="1">
        <v>0.83333333333333326</v>
      </c>
      <c r="F205" s="1">
        <v>0</v>
      </c>
      <c r="G205" s="1">
        <v>0</v>
      </c>
      <c r="H205" s="1">
        <v>21</v>
      </c>
      <c r="I205" s="1">
        <v>1</v>
      </c>
      <c r="J205" s="1">
        <v>0</v>
      </c>
      <c r="K205" s="1">
        <v>0</v>
      </c>
      <c r="L205" s="1">
        <v>37097</v>
      </c>
      <c r="M205" s="1">
        <v>0</v>
      </c>
    </row>
    <row r="206" spans="2:13" x14ac:dyDescent="0.25">
      <c r="B206" s="17">
        <v>0</v>
      </c>
      <c r="C206" s="17">
        <v>1</v>
      </c>
      <c r="D206" s="17">
        <v>0.7857142857142857</v>
      </c>
      <c r="E206" s="17">
        <v>0.21428571428571427</v>
      </c>
      <c r="F206" s="17">
        <v>0</v>
      </c>
      <c r="G206" s="17">
        <v>1</v>
      </c>
      <c r="H206" s="17">
        <v>2</v>
      </c>
      <c r="I206" s="17">
        <v>0</v>
      </c>
      <c r="J206" s="17">
        <v>0</v>
      </c>
      <c r="K206" s="17">
        <v>0</v>
      </c>
      <c r="L206" s="17">
        <v>1189</v>
      </c>
      <c r="M206" s="17">
        <v>0</v>
      </c>
    </row>
    <row r="207" spans="2:13" x14ac:dyDescent="0.25">
      <c r="B207" s="1">
        <v>1</v>
      </c>
      <c r="C207" s="1">
        <v>1</v>
      </c>
      <c r="D207" s="1">
        <v>0</v>
      </c>
      <c r="E207" s="1">
        <v>1</v>
      </c>
      <c r="F207" s="1">
        <v>0</v>
      </c>
      <c r="G207" s="1">
        <v>1</v>
      </c>
      <c r="H207" s="1">
        <v>2</v>
      </c>
      <c r="I207" s="1">
        <v>0</v>
      </c>
      <c r="J207" s="1">
        <v>0</v>
      </c>
      <c r="K207" s="1">
        <v>0</v>
      </c>
      <c r="L207" s="1">
        <v>1663</v>
      </c>
      <c r="M207" s="1">
        <v>0</v>
      </c>
    </row>
    <row r="208" spans="2:13" x14ac:dyDescent="0.25">
      <c r="B208" s="17">
        <v>0</v>
      </c>
      <c r="C208" s="17">
        <v>1</v>
      </c>
      <c r="D208" s="17">
        <v>0.9</v>
      </c>
      <c r="E208" s="17">
        <v>9.9999999999999992E-2</v>
      </c>
      <c r="F208" s="17">
        <v>0</v>
      </c>
      <c r="G208" s="17">
        <v>1</v>
      </c>
      <c r="H208" s="17">
        <v>7</v>
      </c>
      <c r="I208" s="17">
        <v>0</v>
      </c>
      <c r="J208" s="17">
        <v>1</v>
      </c>
      <c r="K208" s="17">
        <v>0</v>
      </c>
      <c r="L208" s="17">
        <v>15447</v>
      </c>
      <c r="M208" s="17">
        <v>0</v>
      </c>
    </row>
    <row r="209" spans="2:13" x14ac:dyDescent="0.25">
      <c r="B209" s="1">
        <v>0</v>
      </c>
      <c r="C209" s="1">
        <v>0</v>
      </c>
      <c r="D209" s="1">
        <v>0.5</v>
      </c>
      <c r="E209" s="1">
        <v>0.5</v>
      </c>
      <c r="F209" s="1">
        <v>98</v>
      </c>
      <c r="G209" s="1">
        <v>1</v>
      </c>
      <c r="H209" s="1">
        <v>2</v>
      </c>
      <c r="I209" s="1">
        <v>1</v>
      </c>
      <c r="J209" s="1">
        <v>0</v>
      </c>
      <c r="K209" s="1">
        <v>0</v>
      </c>
      <c r="L209" s="1">
        <v>8069</v>
      </c>
      <c r="M209" s="1">
        <v>0</v>
      </c>
    </row>
    <row r="210" spans="2:13" x14ac:dyDescent="0.25">
      <c r="B210" s="1">
        <v>0</v>
      </c>
      <c r="C210" s="1">
        <v>0</v>
      </c>
      <c r="D210" s="1">
        <v>0.95652173913043481</v>
      </c>
      <c r="E210" s="1">
        <v>4.3478260869565209E-2</v>
      </c>
      <c r="F210" s="1">
        <v>95</v>
      </c>
      <c r="G210" s="1">
        <v>1</v>
      </c>
      <c r="H210" s="1">
        <v>2</v>
      </c>
      <c r="I210" s="1">
        <v>3</v>
      </c>
      <c r="J210" s="1">
        <v>0</v>
      </c>
      <c r="K210" s="1">
        <v>0</v>
      </c>
      <c r="L210" s="1">
        <v>12495</v>
      </c>
      <c r="M210" s="1">
        <v>0</v>
      </c>
    </row>
    <row r="211" spans="2:13" x14ac:dyDescent="0.25">
      <c r="B211" s="1">
        <v>0</v>
      </c>
      <c r="C211" s="1">
        <v>0</v>
      </c>
      <c r="D211" s="1">
        <v>1</v>
      </c>
      <c r="E211" s="1">
        <v>0</v>
      </c>
      <c r="F211" s="1">
        <v>95</v>
      </c>
      <c r="G211" s="1">
        <v>1</v>
      </c>
      <c r="H211" s="1">
        <v>5</v>
      </c>
      <c r="I211" s="1">
        <v>6</v>
      </c>
      <c r="J211" s="1">
        <v>0</v>
      </c>
      <c r="K211" s="1">
        <v>0</v>
      </c>
      <c r="L211" s="1">
        <v>18097</v>
      </c>
      <c r="M211" s="1">
        <v>0</v>
      </c>
    </row>
    <row r="212" spans="2:13" x14ac:dyDescent="0.25">
      <c r="B212" s="1">
        <v>0</v>
      </c>
      <c r="C212" s="1">
        <v>0</v>
      </c>
      <c r="D212" s="1">
        <v>0.625</v>
      </c>
      <c r="E212" s="1">
        <v>0.37500000000000006</v>
      </c>
      <c r="F212" s="1">
        <v>95</v>
      </c>
      <c r="G212" s="1">
        <v>0</v>
      </c>
      <c r="H212" s="1">
        <v>3</v>
      </c>
      <c r="I212" s="1">
        <v>2</v>
      </c>
      <c r="J212" s="1">
        <v>2</v>
      </c>
      <c r="K212" s="1">
        <v>0</v>
      </c>
      <c r="L212" s="1">
        <v>7791</v>
      </c>
      <c r="M212" s="1">
        <v>0</v>
      </c>
    </row>
    <row r="213" spans="2:13" x14ac:dyDescent="0.25">
      <c r="B213" s="1">
        <v>0</v>
      </c>
      <c r="C213" s="1">
        <v>0</v>
      </c>
      <c r="D213" s="1">
        <v>0.55555555555555547</v>
      </c>
      <c r="E213" s="1">
        <v>0.44444444444444448</v>
      </c>
      <c r="F213" s="1">
        <v>93</v>
      </c>
      <c r="G213" s="1">
        <v>1</v>
      </c>
      <c r="H213" s="1">
        <v>3</v>
      </c>
      <c r="I213" s="1">
        <v>6</v>
      </c>
      <c r="J213" s="1">
        <v>1</v>
      </c>
      <c r="K213" s="1">
        <v>0</v>
      </c>
      <c r="L213" s="1">
        <v>9537</v>
      </c>
      <c r="M213" s="1">
        <v>0</v>
      </c>
    </row>
    <row r="214" spans="2:13" x14ac:dyDescent="0.25">
      <c r="B214" s="1">
        <v>0</v>
      </c>
      <c r="C214" s="1">
        <v>0</v>
      </c>
      <c r="D214" s="1">
        <v>0.95652173913043481</v>
      </c>
      <c r="E214" s="1">
        <v>4.3478260869565209E-2</v>
      </c>
      <c r="F214" s="1">
        <v>93</v>
      </c>
      <c r="G214" s="1">
        <v>1</v>
      </c>
      <c r="H214" s="1">
        <v>2</v>
      </c>
      <c r="I214" s="1">
        <v>4</v>
      </c>
      <c r="J214" s="1">
        <v>0</v>
      </c>
      <c r="K214" s="1">
        <v>0</v>
      </c>
      <c r="L214" s="1">
        <v>10793</v>
      </c>
      <c r="M214" s="1">
        <v>0</v>
      </c>
    </row>
    <row r="215" spans="2:13" x14ac:dyDescent="0.25">
      <c r="B215" s="1">
        <v>0</v>
      </c>
      <c r="C215" s="1">
        <v>0</v>
      </c>
      <c r="D215" s="1">
        <v>0.95652173913043481</v>
      </c>
      <c r="E215" s="1">
        <v>4.3478260869565209E-2</v>
      </c>
      <c r="F215" s="1">
        <v>91</v>
      </c>
      <c r="G215" s="1">
        <v>1</v>
      </c>
      <c r="H215" s="1">
        <v>3</v>
      </c>
      <c r="I215" s="1">
        <v>3</v>
      </c>
      <c r="J215" s="1">
        <v>0</v>
      </c>
      <c r="K215" s="1">
        <v>0</v>
      </c>
      <c r="L215" s="1">
        <v>12458</v>
      </c>
      <c r="M215" s="1">
        <v>0</v>
      </c>
    </row>
    <row r="216" spans="2:13" x14ac:dyDescent="0.25">
      <c r="B216" s="1">
        <v>0</v>
      </c>
      <c r="C216" s="1">
        <v>0</v>
      </c>
      <c r="D216" s="1">
        <v>0.95652173913043481</v>
      </c>
      <c r="E216" s="1">
        <v>4.3478260869565209E-2</v>
      </c>
      <c r="F216" s="1">
        <v>91</v>
      </c>
      <c r="G216" s="1">
        <v>1</v>
      </c>
      <c r="H216" s="1">
        <v>2</v>
      </c>
      <c r="I216" s="1">
        <v>3</v>
      </c>
      <c r="J216" s="1">
        <v>0</v>
      </c>
      <c r="K216" s="1">
        <v>0</v>
      </c>
      <c r="L216" s="1">
        <v>9722</v>
      </c>
      <c r="M216" s="1">
        <v>0</v>
      </c>
    </row>
    <row r="217" spans="2:13" x14ac:dyDescent="0.25">
      <c r="B217" s="1">
        <v>0</v>
      </c>
      <c r="C217" s="1">
        <v>0</v>
      </c>
      <c r="D217" s="1">
        <v>0.95652173913043481</v>
      </c>
      <c r="E217" s="1">
        <v>4.3478260869565209E-2</v>
      </c>
      <c r="F217" s="1">
        <v>91</v>
      </c>
      <c r="G217" s="1">
        <v>1</v>
      </c>
      <c r="H217" s="1">
        <v>7</v>
      </c>
      <c r="I217" s="1">
        <v>4</v>
      </c>
      <c r="J217" s="1">
        <v>0</v>
      </c>
      <c r="K217" s="1">
        <v>0</v>
      </c>
      <c r="L217" s="1">
        <v>12081</v>
      </c>
      <c r="M217" s="1">
        <v>0</v>
      </c>
    </row>
    <row r="218" spans="2:13" x14ac:dyDescent="0.25">
      <c r="B218" s="1">
        <v>0</v>
      </c>
      <c r="C218" s="1">
        <v>0</v>
      </c>
      <c r="D218" s="1">
        <v>0.73913043478260865</v>
      </c>
      <c r="E218" s="1">
        <v>0.2608695652173913</v>
      </c>
      <c r="F218" s="1">
        <v>90</v>
      </c>
      <c r="G218" s="1">
        <v>1</v>
      </c>
      <c r="H218" s="1">
        <v>5</v>
      </c>
      <c r="I218" s="1">
        <v>2</v>
      </c>
      <c r="J218" s="1">
        <v>0</v>
      </c>
      <c r="K218" s="1">
        <v>0</v>
      </c>
      <c r="L218" s="1">
        <v>15571</v>
      </c>
      <c r="M218" s="1">
        <v>0</v>
      </c>
    </row>
    <row r="219" spans="2:13" x14ac:dyDescent="0.25">
      <c r="B219" s="1">
        <v>0</v>
      </c>
      <c r="C219" s="1">
        <v>0</v>
      </c>
      <c r="D219" s="1">
        <v>0.73913043478260865</v>
      </c>
      <c r="E219" s="1">
        <v>0.2608695652173913</v>
      </c>
      <c r="F219" s="1">
        <v>90</v>
      </c>
      <c r="G219" s="1">
        <v>1</v>
      </c>
      <c r="H219" s="1">
        <v>3</v>
      </c>
      <c r="I219" s="1">
        <v>2</v>
      </c>
      <c r="J219" s="1">
        <v>1</v>
      </c>
      <c r="K219" s="1">
        <v>0</v>
      </c>
      <c r="L219" s="1">
        <v>18260</v>
      </c>
      <c r="M219" s="1">
        <v>0</v>
      </c>
    </row>
    <row r="220" spans="2:13" x14ac:dyDescent="0.25">
      <c r="B220" s="1">
        <v>0</v>
      </c>
      <c r="C220" s="1">
        <v>0</v>
      </c>
      <c r="D220" s="1">
        <v>0.73913043478260865</v>
      </c>
      <c r="E220" s="1">
        <v>0.2608695652173913</v>
      </c>
      <c r="F220" s="1">
        <v>90</v>
      </c>
      <c r="G220" s="1">
        <v>1</v>
      </c>
      <c r="H220" s="1">
        <v>7</v>
      </c>
      <c r="I220" s="1">
        <v>1</v>
      </c>
      <c r="J220" s="1">
        <v>0</v>
      </c>
      <c r="K220" s="1">
        <v>0</v>
      </c>
      <c r="L220" s="1">
        <v>17008</v>
      </c>
      <c r="M220" s="1">
        <v>0</v>
      </c>
    </row>
    <row r="221" spans="2:13" x14ac:dyDescent="0.25">
      <c r="B221" s="1">
        <v>0</v>
      </c>
      <c r="C221" s="1">
        <v>0</v>
      </c>
      <c r="D221" s="1">
        <v>0.625</v>
      </c>
      <c r="E221" s="1">
        <v>0.37500000000000006</v>
      </c>
      <c r="F221" s="1">
        <v>90</v>
      </c>
      <c r="G221" s="1">
        <v>1</v>
      </c>
      <c r="H221" s="1">
        <v>1</v>
      </c>
      <c r="I221" s="1">
        <v>1</v>
      </c>
      <c r="J221" s="1">
        <v>0</v>
      </c>
      <c r="K221" s="1">
        <v>0</v>
      </c>
      <c r="L221" s="1">
        <v>7811</v>
      </c>
      <c r="M221" s="1">
        <v>0</v>
      </c>
    </row>
    <row r="222" spans="2:13" x14ac:dyDescent="0.25">
      <c r="B222" s="1">
        <v>0</v>
      </c>
      <c r="C222" s="1">
        <v>0</v>
      </c>
      <c r="D222" s="1">
        <v>0.95652173913043481</v>
      </c>
      <c r="E222" s="1">
        <v>4.3478260869565209E-2</v>
      </c>
      <c r="F222" s="1">
        <v>90</v>
      </c>
      <c r="G222" s="1">
        <v>1</v>
      </c>
      <c r="H222" s="1">
        <v>3</v>
      </c>
      <c r="I222" s="1">
        <v>3</v>
      </c>
      <c r="J222" s="1">
        <v>0</v>
      </c>
      <c r="K222" s="1">
        <v>0</v>
      </c>
      <c r="L222" s="1">
        <v>9888</v>
      </c>
      <c r="M222" s="1">
        <v>0</v>
      </c>
    </row>
    <row r="223" spans="2:13" x14ac:dyDescent="0.25">
      <c r="B223" s="1">
        <v>0</v>
      </c>
      <c r="C223" s="1">
        <v>0</v>
      </c>
      <c r="D223" s="1">
        <v>0.73913043478260865</v>
      </c>
      <c r="E223" s="1">
        <v>0.2608695652173913</v>
      </c>
      <c r="F223" s="1">
        <v>90</v>
      </c>
      <c r="G223" s="1">
        <v>1</v>
      </c>
      <c r="H223" s="1">
        <v>6</v>
      </c>
      <c r="I223" s="1">
        <v>3</v>
      </c>
      <c r="J223" s="1">
        <v>1</v>
      </c>
      <c r="K223" s="1">
        <v>0</v>
      </c>
      <c r="L223" s="1">
        <v>29868</v>
      </c>
      <c r="M223" s="1">
        <v>1</v>
      </c>
    </row>
    <row r="224" spans="2:13" x14ac:dyDescent="0.25">
      <c r="B224" s="1">
        <v>0</v>
      </c>
      <c r="C224" s="1">
        <v>0</v>
      </c>
      <c r="D224" s="1">
        <v>0.95652173913043481</v>
      </c>
      <c r="E224" s="1">
        <v>4.3478260869565209E-2</v>
      </c>
      <c r="F224" s="1">
        <v>89</v>
      </c>
      <c r="G224" s="1">
        <v>0</v>
      </c>
      <c r="H224" s="1">
        <v>6</v>
      </c>
      <c r="I224" s="1">
        <v>4</v>
      </c>
      <c r="J224" s="1">
        <v>0</v>
      </c>
      <c r="K224" s="1">
        <v>0</v>
      </c>
      <c r="L224" s="1">
        <v>10230</v>
      </c>
      <c r="M224" s="1">
        <v>0</v>
      </c>
    </row>
    <row r="225" spans="2:13" x14ac:dyDescent="0.25">
      <c r="B225" s="1">
        <v>0</v>
      </c>
      <c r="C225" s="1">
        <v>0</v>
      </c>
      <c r="D225" s="1">
        <v>0.95652173913043481</v>
      </c>
      <c r="E225" s="1">
        <v>4.3478260869565209E-2</v>
      </c>
      <c r="F225" s="1">
        <v>89</v>
      </c>
      <c r="G225" s="1">
        <v>1</v>
      </c>
      <c r="H225" s="1">
        <v>4</v>
      </c>
      <c r="I225" s="1">
        <v>3</v>
      </c>
      <c r="J225" s="1">
        <v>0</v>
      </c>
      <c r="K225" s="1">
        <v>0</v>
      </c>
      <c r="L225" s="1">
        <v>9662</v>
      </c>
      <c r="M225" s="1">
        <v>0</v>
      </c>
    </row>
    <row r="226" spans="2:13" x14ac:dyDescent="0.25">
      <c r="B226" s="1">
        <v>0</v>
      </c>
      <c r="C226" s="1">
        <v>0</v>
      </c>
      <c r="D226" s="1">
        <v>0.7142857142857143</v>
      </c>
      <c r="E226" s="1">
        <v>0.2857142857142857</v>
      </c>
      <c r="F226" s="1">
        <v>89</v>
      </c>
      <c r="G226" s="1">
        <v>1</v>
      </c>
      <c r="H226" s="1">
        <v>5</v>
      </c>
      <c r="I226" s="1">
        <v>4</v>
      </c>
      <c r="J226" s="1">
        <v>1</v>
      </c>
      <c r="K226" s="1">
        <v>0</v>
      </c>
      <c r="L226" s="1">
        <v>27657</v>
      </c>
      <c r="M226" s="1">
        <v>1</v>
      </c>
    </row>
    <row r="227" spans="2:13" x14ac:dyDescent="0.25">
      <c r="B227" s="1">
        <v>0</v>
      </c>
      <c r="C227" s="1">
        <v>0</v>
      </c>
      <c r="D227" s="1">
        <v>0.55555555555555547</v>
      </c>
      <c r="E227" s="1">
        <v>0.44444444444444448</v>
      </c>
      <c r="F227" s="1">
        <v>87</v>
      </c>
      <c r="G227" s="1">
        <v>1</v>
      </c>
      <c r="H227" s="1">
        <v>5</v>
      </c>
      <c r="I227" s="1">
        <v>7</v>
      </c>
      <c r="J227" s="1">
        <v>1</v>
      </c>
      <c r="K227" s="1">
        <v>0</v>
      </c>
      <c r="L227" s="1">
        <v>9414</v>
      </c>
      <c r="M227" s="1">
        <v>0</v>
      </c>
    </row>
    <row r="228" spans="2:13" x14ac:dyDescent="0.25">
      <c r="B228" s="17">
        <v>1</v>
      </c>
      <c r="C228" s="17">
        <v>0</v>
      </c>
      <c r="D228" s="17">
        <v>0.19999999999999996</v>
      </c>
      <c r="E228" s="17">
        <v>0.79999999999999993</v>
      </c>
      <c r="F228" s="17">
        <v>87</v>
      </c>
      <c r="G228" s="17">
        <v>0</v>
      </c>
      <c r="H228" s="17">
        <v>12</v>
      </c>
      <c r="I228" s="17">
        <v>4</v>
      </c>
      <c r="J228" s="17">
        <v>0</v>
      </c>
      <c r="K228" s="17">
        <v>0</v>
      </c>
      <c r="L228" s="17">
        <v>41764</v>
      </c>
      <c r="M228" s="17">
        <v>0</v>
      </c>
    </row>
    <row r="229" spans="2:13" x14ac:dyDescent="0.25">
      <c r="B229" s="1">
        <v>0</v>
      </c>
      <c r="C229" s="1">
        <v>0</v>
      </c>
      <c r="D229" s="1">
        <v>0.73913043478260865</v>
      </c>
      <c r="E229" s="1">
        <v>0.2608695652173913</v>
      </c>
      <c r="F229" s="1">
        <v>87</v>
      </c>
      <c r="G229" s="1">
        <v>0</v>
      </c>
      <c r="H229" s="1">
        <v>4</v>
      </c>
      <c r="I229" s="1">
        <v>3</v>
      </c>
      <c r="J229" s="1">
        <v>0</v>
      </c>
      <c r="K229" s="1">
        <v>0</v>
      </c>
      <c r="L229" s="1">
        <v>15374</v>
      </c>
      <c r="M229" s="1">
        <v>0</v>
      </c>
    </row>
    <row r="230" spans="2:13" x14ac:dyDescent="0.25">
      <c r="B230" s="17">
        <v>1</v>
      </c>
      <c r="C230" s="17">
        <v>0</v>
      </c>
      <c r="D230" s="17">
        <v>0.36</v>
      </c>
      <c r="E230" s="17">
        <v>0.64</v>
      </c>
      <c r="F230" s="17">
        <v>87</v>
      </c>
      <c r="G230" s="17">
        <v>1</v>
      </c>
      <c r="H230" s="17">
        <v>8</v>
      </c>
      <c r="I230" s="17">
        <v>4</v>
      </c>
      <c r="J230" s="17">
        <v>1</v>
      </c>
      <c r="K230" s="17">
        <v>0</v>
      </c>
      <c r="L230" s="17">
        <v>25348</v>
      </c>
      <c r="M230" s="17">
        <v>0</v>
      </c>
    </row>
    <row r="231" spans="2:13" x14ac:dyDescent="0.25">
      <c r="B231" s="1">
        <v>0</v>
      </c>
      <c r="C231" s="1">
        <v>0</v>
      </c>
      <c r="D231" s="1">
        <v>0.95652173913043481</v>
      </c>
      <c r="E231" s="1">
        <v>4.3478260869565209E-2</v>
      </c>
      <c r="F231" s="1">
        <v>87</v>
      </c>
      <c r="G231" s="1">
        <v>1</v>
      </c>
      <c r="H231" s="1">
        <v>3</v>
      </c>
      <c r="I231" s="1">
        <v>4</v>
      </c>
      <c r="J231" s="1">
        <v>2</v>
      </c>
      <c r="K231" s="1">
        <v>0</v>
      </c>
      <c r="L231" s="1">
        <v>7834</v>
      </c>
      <c r="M231" s="1">
        <v>0</v>
      </c>
    </row>
    <row r="232" spans="2:13" x14ac:dyDescent="0.25">
      <c r="B232" s="1">
        <v>0</v>
      </c>
      <c r="C232" s="1">
        <v>0</v>
      </c>
      <c r="D232" s="1">
        <v>0.55555555555555547</v>
      </c>
      <c r="E232" s="1">
        <v>0.44444444444444448</v>
      </c>
      <c r="F232" s="1">
        <v>87</v>
      </c>
      <c r="G232" s="1">
        <v>0</v>
      </c>
      <c r="H232" s="1">
        <v>5</v>
      </c>
      <c r="I232" s="1">
        <v>8</v>
      </c>
      <c r="J232" s="1">
        <v>1</v>
      </c>
      <c r="K232" s="1">
        <v>0</v>
      </c>
      <c r="L232" s="1">
        <v>10117</v>
      </c>
      <c r="M232" s="1">
        <v>0</v>
      </c>
    </row>
    <row r="233" spans="2:13" x14ac:dyDescent="0.25">
      <c r="B233" s="1">
        <v>0</v>
      </c>
      <c r="C233" s="1">
        <v>0</v>
      </c>
      <c r="D233" s="1">
        <v>0.73913043478260865</v>
      </c>
      <c r="E233" s="1">
        <v>0.2608695652173913</v>
      </c>
      <c r="F233" s="1">
        <v>86</v>
      </c>
      <c r="G233" s="1">
        <v>0</v>
      </c>
      <c r="H233" s="1">
        <v>4</v>
      </c>
      <c r="I233" s="1">
        <v>1</v>
      </c>
      <c r="J233" s="1">
        <v>0</v>
      </c>
      <c r="K233" s="1">
        <v>0</v>
      </c>
      <c r="L233" s="1">
        <v>16769</v>
      </c>
      <c r="M233" s="1">
        <v>0</v>
      </c>
    </row>
    <row r="234" spans="2:13" x14ac:dyDescent="0.25">
      <c r="B234" s="1">
        <v>0</v>
      </c>
      <c r="C234" s="1">
        <v>0</v>
      </c>
      <c r="D234" s="1">
        <v>0.55555555555555547</v>
      </c>
      <c r="E234" s="1">
        <v>0.44444444444444448</v>
      </c>
      <c r="F234" s="1">
        <v>86</v>
      </c>
      <c r="G234" s="1">
        <v>0</v>
      </c>
      <c r="H234" s="1">
        <v>3</v>
      </c>
      <c r="I234" s="1">
        <v>7</v>
      </c>
      <c r="J234" s="1">
        <v>0</v>
      </c>
      <c r="K234" s="1">
        <v>0</v>
      </c>
      <c r="L234" s="1">
        <v>12061</v>
      </c>
      <c r="M234" s="1">
        <v>0</v>
      </c>
    </row>
    <row r="235" spans="2:13" x14ac:dyDescent="0.25">
      <c r="B235" s="17">
        <v>1</v>
      </c>
      <c r="C235" s="17">
        <v>0</v>
      </c>
      <c r="D235" s="17">
        <v>0.36</v>
      </c>
      <c r="E235" s="17">
        <v>0.64</v>
      </c>
      <c r="F235" s="17">
        <v>86</v>
      </c>
      <c r="G235" s="17">
        <v>0</v>
      </c>
      <c r="H235" s="17">
        <v>4</v>
      </c>
      <c r="I235" s="17">
        <v>8</v>
      </c>
      <c r="J235" s="17">
        <v>0</v>
      </c>
      <c r="K235" s="17">
        <v>0</v>
      </c>
      <c r="L235" s="17">
        <v>15271</v>
      </c>
      <c r="M235" s="17">
        <v>0</v>
      </c>
    </row>
    <row r="236" spans="2:13" x14ac:dyDescent="0.25">
      <c r="B236" s="1">
        <v>0</v>
      </c>
      <c r="C236" s="1">
        <v>0</v>
      </c>
      <c r="D236" s="1">
        <v>0.73913043478260865</v>
      </c>
      <c r="E236" s="1">
        <v>0.2608695652173913</v>
      </c>
      <c r="F236" s="1">
        <v>86</v>
      </c>
      <c r="G236" s="1">
        <v>1</v>
      </c>
      <c r="H236" s="1">
        <v>4</v>
      </c>
      <c r="I236" s="1">
        <v>3</v>
      </c>
      <c r="J236" s="1">
        <v>0</v>
      </c>
      <c r="K236" s="1">
        <v>0</v>
      </c>
      <c r="L236" s="1">
        <v>14245</v>
      </c>
      <c r="M236" s="1">
        <v>0</v>
      </c>
    </row>
    <row r="237" spans="2:13" x14ac:dyDescent="0.25">
      <c r="B237" s="1">
        <v>0</v>
      </c>
      <c r="C237" s="1">
        <v>0</v>
      </c>
      <c r="D237" s="1">
        <v>0.95652173913043481</v>
      </c>
      <c r="E237" s="1">
        <v>4.3478260869565209E-2</v>
      </c>
      <c r="F237" s="1">
        <v>86</v>
      </c>
      <c r="G237" s="1">
        <v>1</v>
      </c>
      <c r="H237" s="1">
        <v>2</v>
      </c>
      <c r="I237" s="1">
        <v>4</v>
      </c>
      <c r="J237" s="1">
        <v>0</v>
      </c>
      <c r="K237" s="1">
        <v>0</v>
      </c>
      <c r="L237" s="1">
        <v>8796</v>
      </c>
      <c r="M237" s="1">
        <v>0</v>
      </c>
    </row>
    <row r="238" spans="2:13" x14ac:dyDescent="0.25">
      <c r="B238" s="1">
        <v>0</v>
      </c>
      <c r="C238" s="1">
        <v>0</v>
      </c>
      <c r="D238" s="1">
        <v>0.73913043478260865</v>
      </c>
      <c r="E238" s="1">
        <v>0.2608695652173913</v>
      </c>
      <c r="F238" s="1">
        <v>86</v>
      </c>
      <c r="G238" s="1">
        <v>1</v>
      </c>
      <c r="H238" s="1">
        <v>23</v>
      </c>
      <c r="I238" s="1">
        <v>3</v>
      </c>
      <c r="J238" s="1">
        <v>0</v>
      </c>
      <c r="K238" s="1">
        <v>0</v>
      </c>
      <c r="L238" s="1">
        <v>44801</v>
      </c>
      <c r="M238" s="1">
        <v>0</v>
      </c>
    </row>
    <row r="239" spans="2:13" x14ac:dyDescent="0.25">
      <c r="B239" s="1">
        <v>0</v>
      </c>
      <c r="C239" s="1">
        <v>0</v>
      </c>
      <c r="D239" s="1">
        <v>0.95652173913043481</v>
      </c>
      <c r="E239" s="1">
        <v>4.3478260869565209E-2</v>
      </c>
      <c r="F239" s="1">
        <v>86</v>
      </c>
      <c r="G239" s="1">
        <v>0</v>
      </c>
      <c r="H239" s="1">
        <v>1</v>
      </c>
      <c r="I239" s="1">
        <v>3</v>
      </c>
      <c r="J239" s="1">
        <v>0</v>
      </c>
      <c r="K239" s="1">
        <v>0</v>
      </c>
      <c r="L239" s="1">
        <v>7468</v>
      </c>
      <c r="M239" s="1">
        <v>0</v>
      </c>
    </row>
    <row r="240" spans="2:13" x14ac:dyDescent="0.25">
      <c r="B240" s="1">
        <v>0</v>
      </c>
      <c r="C240" s="1">
        <v>0</v>
      </c>
      <c r="D240" s="1">
        <v>0.95652173913043481</v>
      </c>
      <c r="E240" s="1">
        <v>4.3478260869565209E-2</v>
      </c>
      <c r="F240" s="1">
        <v>86</v>
      </c>
      <c r="G240" s="1">
        <v>1</v>
      </c>
      <c r="H240" s="1">
        <v>2</v>
      </c>
      <c r="I240" s="1">
        <v>4</v>
      </c>
      <c r="J240" s="1">
        <v>0</v>
      </c>
      <c r="K240" s="1">
        <v>0</v>
      </c>
      <c r="L240" s="1">
        <v>7250</v>
      </c>
      <c r="M240" s="1">
        <v>0</v>
      </c>
    </row>
    <row r="241" spans="2:13" x14ac:dyDescent="0.25">
      <c r="B241" s="1">
        <v>0</v>
      </c>
      <c r="C241" s="1">
        <v>0</v>
      </c>
      <c r="D241" s="1">
        <v>0.55555555555555547</v>
      </c>
      <c r="E241" s="1">
        <v>0.44444444444444448</v>
      </c>
      <c r="F241" s="1">
        <v>86</v>
      </c>
      <c r="G241" s="1">
        <v>1</v>
      </c>
      <c r="H241" s="1">
        <v>4</v>
      </c>
      <c r="I241" s="1">
        <v>7</v>
      </c>
      <c r="J241" s="1">
        <v>0</v>
      </c>
      <c r="K241" s="1">
        <v>0</v>
      </c>
      <c r="L241" s="1">
        <v>11727</v>
      </c>
      <c r="M241" s="1">
        <v>0</v>
      </c>
    </row>
    <row r="242" spans="2:13" x14ac:dyDescent="0.25">
      <c r="B242" s="1">
        <v>0</v>
      </c>
      <c r="C242" s="1">
        <v>0</v>
      </c>
      <c r="D242" s="1">
        <v>0.73913043478260865</v>
      </c>
      <c r="E242" s="1">
        <v>0.2608695652173913</v>
      </c>
      <c r="F242" s="1">
        <v>86</v>
      </c>
      <c r="G242" s="1">
        <v>1</v>
      </c>
      <c r="H242" s="1">
        <v>11</v>
      </c>
      <c r="I242" s="1">
        <v>3</v>
      </c>
      <c r="J242" s="1">
        <v>0</v>
      </c>
      <c r="K242" s="1">
        <v>0</v>
      </c>
      <c r="L242" s="1">
        <v>45206</v>
      </c>
      <c r="M242" s="1">
        <v>0</v>
      </c>
    </row>
    <row r="243" spans="2:13" x14ac:dyDescent="0.25">
      <c r="B243" s="1">
        <v>0</v>
      </c>
      <c r="C243" s="1">
        <v>0</v>
      </c>
      <c r="D243" s="1">
        <v>0.55555555555555547</v>
      </c>
      <c r="E243" s="1">
        <v>0.44444444444444448</v>
      </c>
      <c r="F243" s="1">
        <v>85</v>
      </c>
      <c r="G243" s="1">
        <v>0</v>
      </c>
      <c r="H243" s="1">
        <v>3</v>
      </c>
      <c r="I243" s="1">
        <v>6</v>
      </c>
      <c r="J243" s="1">
        <v>0</v>
      </c>
      <c r="K243" s="1">
        <v>0</v>
      </c>
      <c r="L243" s="1">
        <v>11229</v>
      </c>
      <c r="M243" s="1">
        <v>0</v>
      </c>
    </row>
    <row r="244" spans="2:13" x14ac:dyDescent="0.25">
      <c r="B244" s="1">
        <v>0</v>
      </c>
      <c r="C244" s="1">
        <v>0</v>
      </c>
      <c r="D244" s="1">
        <v>0.73913043478260865</v>
      </c>
      <c r="E244" s="1">
        <v>0.2608695652173913</v>
      </c>
      <c r="F244" s="1">
        <v>85</v>
      </c>
      <c r="G244" s="1">
        <v>1</v>
      </c>
      <c r="H244" s="1">
        <v>23</v>
      </c>
      <c r="I244" s="1">
        <v>2</v>
      </c>
      <c r="J244" s="1">
        <v>1</v>
      </c>
      <c r="K244" s="1">
        <v>0</v>
      </c>
      <c r="L244" s="1">
        <v>68282</v>
      </c>
      <c r="M244" s="1">
        <v>0</v>
      </c>
    </row>
    <row r="245" spans="2:13" x14ac:dyDescent="0.25">
      <c r="B245" s="17">
        <v>1</v>
      </c>
      <c r="C245" s="17">
        <v>0</v>
      </c>
      <c r="D245" s="17">
        <v>0.36</v>
      </c>
      <c r="E245" s="17">
        <v>0.64</v>
      </c>
      <c r="F245" s="17">
        <v>85</v>
      </c>
      <c r="G245" s="17">
        <v>1</v>
      </c>
      <c r="H245" s="17">
        <v>3</v>
      </c>
      <c r="I245" s="17">
        <v>4</v>
      </c>
      <c r="J245" s="17">
        <v>1</v>
      </c>
      <c r="K245" s="17">
        <v>0</v>
      </c>
      <c r="L245" s="17">
        <v>20320</v>
      </c>
      <c r="M245" s="17">
        <v>0</v>
      </c>
    </row>
    <row r="246" spans="2:13" x14ac:dyDescent="0.25">
      <c r="B246" s="17">
        <v>1</v>
      </c>
      <c r="C246" s="17">
        <v>0</v>
      </c>
      <c r="D246" s="17">
        <v>0.27272727272727276</v>
      </c>
      <c r="E246" s="17">
        <v>0.72727272727272729</v>
      </c>
      <c r="F246" s="17">
        <v>85</v>
      </c>
      <c r="G246" s="17">
        <v>1</v>
      </c>
      <c r="H246" s="17">
        <v>3</v>
      </c>
      <c r="I246" s="17">
        <v>3</v>
      </c>
      <c r="J246" s="17">
        <v>0</v>
      </c>
      <c r="K246" s="17">
        <v>0</v>
      </c>
      <c r="L246" s="17">
        <v>2808</v>
      </c>
      <c r="M246" s="17">
        <v>0</v>
      </c>
    </row>
    <row r="247" spans="2:13" x14ac:dyDescent="0.25">
      <c r="B247" s="17">
        <v>1</v>
      </c>
      <c r="C247" s="17">
        <v>0</v>
      </c>
      <c r="D247" s="17">
        <v>0.36</v>
      </c>
      <c r="E247" s="17">
        <v>0.64</v>
      </c>
      <c r="F247" s="17">
        <v>85</v>
      </c>
      <c r="G247" s="17">
        <v>0</v>
      </c>
      <c r="H247" s="17">
        <v>3</v>
      </c>
      <c r="I247" s="17">
        <v>4</v>
      </c>
      <c r="J247" s="17">
        <v>2</v>
      </c>
      <c r="K247" s="17">
        <v>0</v>
      </c>
      <c r="L247" s="17">
        <v>25721</v>
      </c>
      <c r="M247" s="17">
        <v>0</v>
      </c>
    </row>
    <row r="248" spans="2:13" x14ac:dyDescent="0.25">
      <c r="B248" s="1">
        <v>0</v>
      </c>
      <c r="C248" s="1">
        <v>0</v>
      </c>
      <c r="D248" s="1">
        <v>0.7142857142857143</v>
      </c>
      <c r="E248" s="1">
        <v>0.2857142857142857</v>
      </c>
      <c r="F248" s="1">
        <v>85</v>
      </c>
      <c r="G248" s="1">
        <v>1</v>
      </c>
      <c r="H248" s="1">
        <v>3</v>
      </c>
      <c r="I248" s="1">
        <v>6</v>
      </c>
      <c r="J248" s="1">
        <v>2</v>
      </c>
      <c r="K248" s="1">
        <v>0</v>
      </c>
      <c r="L248" s="1">
        <v>41734</v>
      </c>
      <c r="M248" s="1">
        <v>1</v>
      </c>
    </row>
    <row r="249" spans="2:13" x14ac:dyDescent="0.25">
      <c r="B249" s="1">
        <v>0</v>
      </c>
      <c r="C249" s="1">
        <v>0</v>
      </c>
      <c r="D249" s="1">
        <v>0.55555555555555547</v>
      </c>
      <c r="E249" s="1">
        <v>0.44444444444444448</v>
      </c>
      <c r="F249" s="1">
        <v>84</v>
      </c>
      <c r="G249" s="1">
        <v>1</v>
      </c>
      <c r="H249" s="1">
        <v>3</v>
      </c>
      <c r="I249" s="1">
        <v>6</v>
      </c>
      <c r="J249" s="1">
        <v>0</v>
      </c>
      <c r="K249" s="1">
        <v>0</v>
      </c>
      <c r="L249" s="1">
        <v>12181</v>
      </c>
      <c r="M249" s="1">
        <v>0</v>
      </c>
    </row>
    <row r="250" spans="2:13" x14ac:dyDescent="0.25">
      <c r="B250" s="1">
        <v>0</v>
      </c>
      <c r="C250" s="1">
        <v>0</v>
      </c>
      <c r="D250" s="1">
        <v>0.73913043478260865</v>
      </c>
      <c r="E250" s="1">
        <v>0.2608695652173913</v>
      </c>
      <c r="F250" s="1">
        <v>84</v>
      </c>
      <c r="G250" s="1">
        <v>1</v>
      </c>
      <c r="H250" s="1">
        <v>5</v>
      </c>
      <c r="I250" s="1">
        <v>2</v>
      </c>
      <c r="J250" s="1">
        <v>0</v>
      </c>
      <c r="K250" s="1">
        <v>0</v>
      </c>
      <c r="L250" s="1">
        <v>28045</v>
      </c>
      <c r="M250" s="1">
        <v>0</v>
      </c>
    </row>
    <row r="251" spans="2:13" x14ac:dyDescent="0.25">
      <c r="B251" s="17">
        <v>1</v>
      </c>
      <c r="C251" s="17">
        <v>0</v>
      </c>
      <c r="D251" s="17">
        <v>0.33333333333333331</v>
      </c>
      <c r="E251" s="17">
        <v>0.66666666666666663</v>
      </c>
      <c r="F251" s="17">
        <v>84</v>
      </c>
      <c r="G251" s="17">
        <v>1</v>
      </c>
      <c r="H251" s="17">
        <v>1</v>
      </c>
      <c r="I251" s="17">
        <v>3</v>
      </c>
      <c r="J251" s="17">
        <v>0</v>
      </c>
      <c r="K251" s="17">
        <v>0</v>
      </c>
      <c r="L251" s="17">
        <v>6217</v>
      </c>
      <c r="M251" s="17">
        <v>0</v>
      </c>
    </row>
    <row r="252" spans="2:13" x14ac:dyDescent="0.25">
      <c r="B252" s="1">
        <v>0</v>
      </c>
      <c r="C252" s="1">
        <v>0</v>
      </c>
      <c r="D252" s="1">
        <v>0.95652173913043481</v>
      </c>
      <c r="E252" s="1">
        <v>4.3478260869565209E-2</v>
      </c>
      <c r="F252" s="1">
        <v>84</v>
      </c>
      <c r="G252" s="1">
        <v>1</v>
      </c>
      <c r="H252" s="1">
        <v>3</v>
      </c>
      <c r="I252" s="1">
        <v>4</v>
      </c>
      <c r="J252" s="1">
        <v>0</v>
      </c>
      <c r="K252" s="1">
        <v>0</v>
      </c>
      <c r="L252" s="1">
        <v>12432</v>
      </c>
      <c r="M252" s="1">
        <v>0</v>
      </c>
    </row>
    <row r="253" spans="2:13" x14ac:dyDescent="0.25">
      <c r="B253" s="17">
        <v>1</v>
      </c>
      <c r="C253" s="17">
        <v>0</v>
      </c>
      <c r="D253" s="17">
        <v>0.19999999999999996</v>
      </c>
      <c r="E253" s="17">
        <v>0.79999999999999993</v>
      </c>
      <c r="F253" s="17">
        <v>84</v>
      </c>
      <c r="G253" s="17">
        <v>0</v>
      </c>
      <c r="H253" s="17">
        <v>11</v>
      </c>
      <c r="I253" s="17">
        <v>6</v>
      </c>
      <c r="J253" s="17">
        <v>6</v>
      </c>
      <c r="K253" s="17">
        <v>0</v>
      </c>
      <c r="L253" s="17">
        <v>47067</v>
      </c>
      <c r="M253" s="17">
        <v>1</v>
      </c>
    </row>
    <row r="254" spans="2:13" x14ac:dyDescent="0.25">
      <c r="B254" s="1">
        <v>0</v>
      </c>
      <c r="C254" s="1">
        <v>0</v>
      </c>
      <c r="D254" s="1">
        <v>0.95652173913043481</v>
      </c>
      <c r="E254" s="1">
        <v>4.3478260869565209E-2</v>
      </c>
      <c r="F254" s="1">
        <v>83</v>
      </c>
      <c r="G254" s="1">
        <v>1</v>
      </c>
      <c r="H254" s="1">
        <v>3</v>
      </c>
      <c r="I254" s="1">
        <v>4</v>
      </c>
      <c r="J254" s="1">
        <v>0</v>
      </c>
      <c r="K254" s="1">
        <v>0</v>
      </c>
      <c r="L254" s="1">
        <v>11860</v>
      </c>
      <c r="M254" s="1">
        <v>0</v>
      </c>
    </row>
    <row r="255" spans="2:13" x14ac:dyDescent="0.25">
      <c r="B255" s="17">
        <v>1</v>
      </c>
      <c r="C255" s="17">
        <v>0</v>
      </c>
      <c r="D255" s="17">
        <v>0.36</v>
      </c>
      <c r="E255" s="17">
        <v>0.64</v>
      </c>
      <c r="F255" s="17">
        <v>83</v>
      </c>
      <c r="G255" s="17">
        <v>0</v>
      </c>
      <c r="H255" s="17">
        <v>8</v>
      </c>
      <c r="I255" s="17">
        <v>7</v>
      </c>
      <c r="J255" s="17">
        <v>1</v>
      </c>
      <c r="K255" s="17">
        <v>0</v>
      </c>
      <c r="L255" s="17">
        <v>15555</v>
      </c>
      <c r="M255" s="17">
        <v>0</v>
      </c>
    </row>
    <row r="256" spans="2:13" x14ac:dyDescent="0.25">
      <c r="B256" s="1">
        <v>0</v>
      </c>
      <c r="C256" s="1">
        <v>0</v>
      </c>
      <c r="D256" s="1">
        <v>0.7142857142857143</v>
      </c>
      <c r="E256" s="1">
        <v>0.2857142857142857</v>
      </c>
      <c r="F256" s="1">
        <v>83</v>
      </c>
      <c r="G256" s="1">
        <v>1</v>
      </c>
      <c r="H256" s="1">
        <v>5</v>
      </c>
      <c r="I256" s="1">
        <v>5</v>
      </c>
      <c r="J256" s="1">
        <v>4</v>
      </c>
      <c r="K256" s="1">
        <v>0</v>
      </c>
      <c r="L256" s="1">
        <v>139243</v>
      </c>
      <c r="M256" s="1">
        <v>0</v>
      </c>
    </row>
    <row r="257" spans="2:13" x14ac:dyDescent="0.25">
      <c r="B257" s="1">
        <v>0</v>
      </c>
      <c r="C257" s="1">
        <v>0</v>
      </c>
      <c r="D257" s="1">
        <v>0.95652173913043481</v>
      </c>
      <c r="E257" s="1">
        <v>4.3478260869565209E-2</v>
      </c>
      <c r="F257" s="1">
        <v>83</v>
      </c>
      <c r="G257" s="1">
        <v>1</v>
      </c>
      <c r="H257" s="1">
        <v>4</v>
      </c>
      <c r="I257" s="1">
        <v>3</v>
      </c>
      <c r="J257" s="1">
        <v>2</v>
      </c>
      <c r="K257" s="1">
        <v>0</v>
      </c>
      <c r="L257" s="1">
        <v>8584</v>
      </c>
      <c r="M257" s="1">
        <v>0</v>
      </c>
    </row>
    <row r="258" spans="2:13" x14ac:dyDescent="0.25">
      <c r="B258" s="17">
        <v>1</v>
      </c>
      <c r="C258" s="17">
        <v>0</v>
      </c>
      <c r="D258" s="17">
        <v>0.27272727272727276</v>
      </c>
      <c r="E258" s="17">
        <v>0.72727272727272729</v>
      </c>
      <c r="F258" s="17">
        <v>83</v>
      </c>
      <c r="G258" s="17">
        <v>0</v>
      </c>
      <c r="H258" s="17">
        <v>1</v>
      </c>
      <c r="I258" s="17">
        <v>4</v>
      </c>
      <c r="J258" s="17">
        <v>0</v>
      </c>
      <c r="K258" s="17">
        <v>0</v>
      </c>
      <c r="L258" s="17">
        <v>3796</v>
      </c>
      <c r="M258" s="17">
        <v>0</v>
      </c>
    </row>
    <row r="259" spans="2:13" x14ac:dyDescent="0.25">
      <c r="B259" s="1">
        <v>0</v>
      </c>
      <c r="C259" s="1">
        <v>0</v>
      </c>
      <c r="D259" s="1">
        <v>0.55555555555555547</v>
      </c>
      <c r="E259" s="1">
        <v>0.44444444444444448</v>
      </c>
      <c r="F259" s="1">
        <v>82</v>
      </c>
      <c r="G259" s="1">
        <v>0</v>
      </c>
      <c r="H259" s="1">
        <v>2</v>
      </c>
      <c r="I259" s="1">
        <v>6</v>
      </c>
      <c r="J259" s="1">
        <v>0</v>
      </c>
      <c r="K259" s="1">
        <v>0</v>
      </c>
      <c r="L259" s="1">
        <v>8217</v>
      </c>
      <c r="M259" s="1">
        <v>0</v>
      </c>
    </row>
    <row r="260" spans="2:13" x14ac:dyDescent="0.25">
      <c r="B260" s="1">
        <v>0</v>
      </c>
      <c r="C260" s="1">
        <v>0</v>
      </c>
      <c r="D260" s="1">
        <v>0.7142857142857143</v>
      </c>
      <c r="E260" s="1">
        <v>0.2857142857142857</v>
      </c>
      <c r="F260" s="1">
        <v>82</v>
      </c>
      <c r="G260" s="1">
        <v>1</v>
      </c>
      <c r="H260" s="1">
        <v>3</v>
      </c>
      <c r="I260" s="1">
        <v>4</v>
      </c>
      <c r="J260" s="1">
        <v>1</v>
      </c>
      <c r="K260" s="1">
        <v>0</v>
      </c>
      <c r="L260" s="1">
        <v>27063</v>
      </c>
      <c r="M260" s="1">
        <v>0</v>
      </c>
    </row>
    <row r="261" spans="2:13" x14ac:dyDescent="0.25">
      <c r="B261" s="17">
        <v>1</v>
      </c>
      <c r="C261" s="17">
        <v>0</v>
      </c>
      <c r="D261" s="17">
        <v>0.47058823529411764</v>
      </c>
      <c r="E261" s="17">
        <v>0.52941176470588236</v>
      </c>
      <c r="F261" s="17">
        <v>82</v>
      </c>
      <c r="G261" s="17">
        <v>1</v>
      </c>
      <c r="H261" s="17">
        <v>6</v>
      </c>
      <c r="I261" s="17">
        <v>2</v>
      </c>
      <c r="J261" s="17">
        <v>0</v>
      </c>
      <c r="K261" s="17">
        <v>0</v>
      </c>
      <c r="L261" s="17">
        <v>13119</v>
      </c>
      <c r="M261" s="17">
        <v>0</v>
      </c>
    </row>
    <row r="262" spans="2:13" x14ac:dyDescent="0.25">
      <c r="B262" s="1">
        <v>0</v>
      </c>
      <c r="C262" s="1">
        <v>0</v>
      </c>
      <c r="D262" s="1">
        <v>0.6</v>
      </c>
      <c r="E262" s="1">
        <v>0.39999999999999997</v>
      </c>
      <c r="F262" s="1">
        <v>81</v>
      </c>
      <c r="G262" s="1">
        <v>1</v>
      </c>
      <c r="H262" s="1">
        <v>6</v>
      </c>
      <c r="I262" s="1">
        <v>2</v>
      </c>
      <c r="J262" s="1">
        <v>0</v>
      </c>
      <c r="K262" s="1">
        <v>0</v>
      </c>
      <c r="L262" s="1">
        <v>10596</v>
      </c>
      <c r="M262" s="1">
        <v>0</v>
      </c>
    </row>
    <row r="263" spans="2:13" x14ac:dyDescent="0.25">
      <c r="B263" s="1">
        <v>0</v>
      </c>
      <c r="C263" s="1">
        <v>0</v>
      </c>
      <c r="D263" s="1">
        <v>1</v>
      </c>
      <c r="E263" s="1">
        <v>0</v>
      </c>
      <c r="F263" s="1">
        <v>81</v>
      </c>
      <c r="G263" s="1">
        <v>1</v>
      </c>
      <c r="H263" s="1">
        <v>7</v>
      </c>
      <c r="I263" s="1">
        <v>5</v>
      </c>
      <c r="J263" s="1">
        <v>0</v>
      </c>
      <c r="K263" s="1">
        <v>0</v>
      </c>
      <c r="L263" s="1">
        <v>14219</v>
      </c>
      <c r="M263" s="1">
        <v>0</v>
      </c>
    </row>
    <row r="264" spans="2:13" x14ac:dyDescent="0.25">
      <c r="B264" s="1">
        <v>0</v>
      </c>
      <c r="C264" s="1">
        <v>0</v>
      </c>
      <c r="D264" s="1">
        <v>0.6</v>
      </c>
      <c r="E264" s="1">
        <v>0.39999999999999997</v>
      </c>
      <c r="F264" s="1">
        <v>81</v>
      </c>
      <c r="G264" s="1">
        <v>1</v>
      </c>
      <c r="H264" s="1">
        <v>4</v>
      </c>
      <c r="I264" s="1">
        <v>4</v>
      </c>
      <c r="J264" s="1">
        <v>0</v>
      </c>
      <c r="K264" s="1">
        <v>0</v>
      </c>
      <c r="L264" s="1">
        <v>7818</v>
      </c>
      <c r="M264" s="1">
        <v>0</v>
      </c>
    </row>
    <row r="265" spans="2:13" x14ac:dyDescent="0.25">
      <c r="B265" s="17">
        <v>1</v>
      </c>
      <c r="C265" s="17">
        <v>0</v>
      </c>
      <c r="D265" s="17">
        <v>0.47058823529411764</v>
      </c>
      <c r="E265" s="17">
        <v>0.52941176470588236</v>
      </c>
      <c r="F265" s="17">
        <v>81</v>
      </c>
      <c r="G265" s="17">
        <v>1</v>
      </c>
      <c r="H265" s="17">
        <v>2</v>
      </c>
      <c r="I265" s="17">
        <v>3</v>
      </c>
      <c r="J265" s="17">
        <v>0</v>
      </c>
      <c r="K265" s="17">
        <v>0</v>
      </c>
      <c r="L265" s="17">
        <v>15877</v>
      </c>
      <c r="M265" s="17">
        <v>0</v>
      </c>
    </row>
    <row r="266" spans="2:13" x14ac:dyDescent="0.25">
      <c r="B266" s="1">
        <v>0</v>
      </c>
      <c r="C266" s="1">
        <v>0</v>
      </c>
      <c r="D266" s="1">
        <v>0.55555555555555547</v>
      </c>
      <c r="E266" s="1">
        <v>0.44444444444444448</v>
      </c>
      <c r="F266" s="1">
        <v>81</v>
      </c>
      <c r="G266" s="1">
        <v>0</v>
      </c>
      <c r="H266" s="1">
        <v>3</v>
      </c>
      <c r="I266" s="1">
        <v>6</v>
      </c>
      <c r="J266" s="1">
        <v>0</v>
      </c>
      <c r="K266" s="1">
        <v>0</v>
      </c>
      <c r="L266" s="1">
        <v>9047</v>
      </c>
      <c r="M266" s="1">
        <v>0</v>
      </c>
    </row>
    <row r="267" spans="2:13" x14ac:dyDescent="0.25">
      <c r="B267" s="1">
        <v>0</v>
      </c>
      <c r="C267" s="1">
        <v>0</v>
      </c>
      <c r="D267" s="1">
        <v>0.55555555555555547</v>
      </c>
      <c r="E267" s="1">
        <v>0.44444444444444448</v>
      </c>
      <c r="F267" s="1">
        <v>81</v>
      </c>
      <c r="G267" s="1">
        <v>1</v>
      </c>
      <c r="H267" s="1">
        <v>2</v>
      </c>
      <c r="I267" s="1">
        <v>5</v>
      </c>
      <c r="J267" s="1">
        <v>0</v>
      </c>
      <c r="K267" s="1">
        <v>0</v>
      </c>
      <c r="L267" s="1">
        <v>7893</v>
      </c>
      <c r="M267" s="1">
        <v>0</v>
      </c>
    </row>
    <row r="268" spans="2:13" x14ac:dyDescent="0.25">
      <c r="B268" s="17">
        <v>1</v>
      </c>
      <c r="C268" s="17">
        <v>0</v>
      </c>
      <c r="D268" s="17">
        <v>0.47058823529411764</v>
      </c>
      <c r="E268" s="17">
        <v>0.52941176470588236</v>
      </c>
      <c r="F268" s="17">
        <v>81</v>
      </c>
      <c r="G268" s="17">
        <v>1</v>
      </c>
      <c r="H268" s="17">
        <v>2</v>
      </c>
      <c r="I268" s="17">
        <v>3</v>
      </c>
      <c r="J268" s="17">
        <v>2</v>
      </c>
      <c r="K268" s="17">
        <v>0</v>
      </c>
      <c r="L268" s="17">
        <v>19811</v>
      </c>
      <c r="M268" s="17">
        <v>0</v>
      </c>
    </row>
    <row r="269" spans="2:13" x14ac:dyDescent="0.25">
      <c r="B269" s="1">
        <v>0</v>
      </c>
      <c r="C269" s="1">
        <v>0</v>
      </c>
      <c r="D269" s="1">
        <v>0.6</v>
      </c>
      <c r="E269" s="1">
        <v>0.39999999999999997</v>
      </c>
      <c r="F269" s="1">
        <v>81</v>
      </c>
      <c r="G269" s="1">
        <v>1</v>
      </c>
      <c r="H269" s="1">
        <v>1</v>
      </c>
      <c r="I269" s="1">
        <v>0</v>
      </c>
      <c r="J269" s="1">
        <v>0</v>
      </c>
      <c r="K269" s="1">
        <v>0</v>
      </c>
      <c r="L269" s="1">
        <v>7805</v>
      </c>
      <c r="M269" s="1">
        <v>0</v>
      </c>
    </row>
    <row r="270" spans="2:13" x14ac:dyDescent="0.25">
      <c r="B270" s="1">
        <v>0</v>
      </c>
      <c r="C270" s="1">
        <v>0</v>
      </c>
      <c r="D270" s="1">
        <v>0.6</v>
      </c>
      <c r="E270" s="1">
        <v>0.39999999999999997</v>
      </c>
      <c r="F270" s="1">
        <v>81</v>
      </c>
      <c r="G270" s="1">
        <v>0</v>
      </c>
      <c r="H270" s="1">
        <v>5</v>
      </c>
      <c r="I270" s="1">
        <v>2</v>
      </c>
      <c r="J270" s="1">
        <v>0</v>
      </c>
      <c r="K270" s="1">
        <v>0</v>
      </c>
      <c r="L270" s="1">
        <v>11223</v>
      </c>
      <c r="M270" s="1">
        <v>0</v>
      </c>
    </row>
    <row r="271" spans="2:13" x14ac:dyDescent="0.25">
      <c r="B271" s="17">
        <v>1</v>
      </c>
      <c r="C271" s="17">
        <v>0</v>
      </c>
      <c r="D271" s="17">
        <v>0.47058823529411764</v>
      </c>
      <c r="E271" s="17">
        <v>0.52941176470588236</v>
      </c>
      <c r="F271" s="17">
        <v>81</v>
      </c>
      <c r="G271" s="17">
        <v>1</v>
      </c>
      <c r="H271" s="17">
        <v>4</v>
      </c>
      <c r="I271" s="17">
        <v>3</v>
      </c>
      <c r="J271" s="17">
        <v>2</v>
      </c>
      <c r="K271" s="17">
        <v>0</v>
      </c>
      <c r="L271" s="17">
        <v>21852</v>
      </c>
      <c r="M271" s="17">
        <v>0</v>
      </c>
    </row>
    <row r="272" spans="2:13" x14ac:dyDescent="0.25">
      <c r="B272" s="17">
        <v>1</v>
      </c>
      <c r="C272" s="17">
        <v>0</v>
      </c>
      <c r="D272" s="17">
        <v>0.36</v>
      </c>
      <c r="E272" s="17">
        <v>0.64</v>
      </c>
      <c r="F272" s="17">
        <v>81</v>
      </c>
      <c r="G272" s="17">
        <v>0</v>
      </c>
      <c r="H272" s="17">
        <v>3</v>
      </c>
      <c r="I272" s="17">
        <v>6</v>
      </c>
      <c r="J272" s="17">
        <v>1</v>
      </c>
      <c r="K272" s="17">
        <v>0</v>
      </c>
      <c r="L272" s="17">
        <v>16093</v>
      </c>
      <c r="M272" s="17">
        <v>0</v>
      </c>
    </row>
    <row r="273" spans="2:13" x14ac:dyDescent="0.25">
      <c r="B273" s="17">
        <v>1</v>
      </c>
      <c r="C273" s="17">
        <v>0</v>
      </c>
      <c r="D273" s="17">
        <v>0.47058823529411764</v>
      </c>
      <c r="E273" s="17">
        <v>0.52941176470588236</v>
      </c>
      <c r="F273" s="17">
        <v>81</v>
      </c>
      <c r="G273" s="17">
        <v>0</v>
      </c>
      <c r="H273" s="17">
        <v>1</v>
      </c>
      <c r="I273" s="17">
        <v>3</v>
      </c>
      <c r="J273" s="17">
        <v>0</v>
      </c>
      <c r="K273" s="17">
        <v>0</v>
      </c>
      <c r="L273" s="17">
        <v>17218</v>
      </c>
      <c r="M273" s="17">
        <v>0</v>
      </c>
    </row>
    <row r="274" spans="2:13" x14ac:dyDescent="0.25">
      <c r="B274" s="1">
        <v>0</v>
      </c>
      <c r="C274" s="1">
        <v>0</v>
      </c>
      <c r="D274" s="1">
        <v>0.6</v>
      </c>
      <c r="E274" s="1">
        <v>0.39999999999999997</v>
      </c>
      <c r="F274" s="1">
        <v>80</v>
      </c>
      <c r="G274" s="1">
        <v>1</v>
      </c>
      <c r="H274" s="1">
        <v>1</v>
      </c>
      <c r="I274" s="1">
        <v>2</v>
      </c>
      <c r="J274" s="1">
        <v>0</v>
      </c>
      <c r="K274" s="1">
        <v>0</v>
      </c>
      <c r="L274" s="1">
        <v>10269</v>
      </c>
      <c r="M274" s="1">
        <v>0</v>
      </c>
    </row>
    <row r="275" spans="2:13" x14ac:dyDescent="0.25">
      <c r="B275" s="17">
        <v>1</v>
      </c>
      <c r="C275" s="17">
        <v>0</v>
      </c>
      <c r="D275" s="17">
        <v>0.47058823529411764</v>
      </c>
      <c r="E275" s="17">
        <v>0.52941176470588236</v>
      </c>
      <c r="F275" s="17">
        <v>80</v>
      </c>
      <c r="G275" s="17">
        <v>0</v>
      </c>
      <c r="H275" s="17">
        <v>4</v>
      </c>
      <c r="I275" s="17">
        <v>3</v>
      </c>
      <c r="J275" s="17">
        <v>0</v>
      </c>
      <c r="K275" s="17">
        <v>0</v>
      </c>
      <c r="L275" s="17">
        <v>15004</v>
      </c>
      <c r="M275" s="17">
        <v>0</v>
      </c>
    </row>
    <row r="276" spans="2:13" x14ac:dyDescent="0.25">
      <c r="B276" s="1">
        <v>0</v>
      </c>
      <c r="C276" s="1">
        <v>0</v>
      </c>
      <c r="D276" s="1">
        <v>0.6</v>
      </c>
      <c r="E276" s="1">
        <v>0.39999999999999997</v>
      </c>
      <c r="F276" s="1">
        <v>80</v>
      </c>
      <c r="G276" s="1">
        <v>0</v>
      </c>
      <c r="H276" s="1">
        <v>2</v>
      </c>
      <c r="I276" s="1">
        <v>3</v>
      </c>
      <c r="J276" s="1">
        <v>0</v>
      </c>
      <c r="K276" s="1">
        <v>0</v>
      </c>
      <c r="L276" s="1">
        <v>9588</v>
      </c>
      <c r="M276" s="1">
        <v>0</v>
      </c>
    </row>
    <row r="277" spans="2:13" x14ac:dyDescent="0.25">
      <c r="B277" s="1">
        <v>0</v>
      </c>
      <c r="C277" s="1">
        <v>0</v>
      </c>
      <c r="D277" s="1">
        <v>0.7142857142857143</v>
      </c>
      <c r="E277" s="1">
        <v>0.2857142857142857</v>
      </c>
      <c r="F277" s="1">
        <v>80</v>
      </c>
      <c r="G277" s="1">
        <v>0</v>
      </c>
      <c r="H277" s="1">
        <v>8</v>
      </c>
      <c r="I277" s="1">
        <v>6</v>
      </c>
      <c r="J277" s="1">
        <v>6</v>
      </c>
      <c r="K277" s="1">
        <v>0</v>
      </c>
      <c r="L277" s="1">
        <v>47185</v>
      </c>
      <c r="M277" s="1">
        <v>1</v>
      </c>
    </row>
    <row r="278" spans="2:13" x14ac:dyDescent="0.25">
      <c r="B278" s="1">
        <v>0</v>
      </c>
      <c r="C278" s="1">
        <v>0</v>
      </c>
      <c r="D278" s="1">
        <v>1</v>
      </c>
      <c r="E278" s="1">
        <v>0</v>
      </c>
      <c r="F278" s="1">
        <v>79</v>
      </c>
      <c r="G278" s="1">
        <v>0</v>
      </c>
      <c r="H278" s="1">
        <v>4</v>
      </c>
      <c r="I278" s="1">
        <v>5</v>
      </c>
      <c r="J278" s="1">
        <v>1</v>
      </c>
      <c r="K278" s="1">
        <v>0</v>
      </c>
      <c r="L278" s="1">
        <v>11127</v>
      </c>
      <c r="M278" s="1">
        <v>0</v>
      </c>
    </row>
    <row r="279" spans="2:13" x14ac:dyDescent="0.25">
      <c r="B279" s="1">
        <v>0</v>
      </c>
      <c r="C279" s="1">
        <v>0</v>
      </c>
      <c r="D279" s="1">
        <v>1</v>
      </c>
      <c r="E279" s="1">
        <v>0</v>
      </c>
      <c r="F279" s="1">
        <v>79</v>
      </c>
      <c r="G279" s="1">
        <v>0</v>
      </c>
      <c r="H279" s="1">
        <v>6</v>
      </c>
      <c r="I279" s="1">
        <v>5</v>
      </c>
      <c r="J279" s="1">
        <v>0</v>
      </c>
      <c r="K279" s="1">
        <v>0</v>
      </c>
      <c r="L279" s="1">
        <v>22764</v>
      </c>
      <c r="M279" s="1">
        <v>0</v>
      </c>
    </row>
    <row r="280" spans="2:13" x14ac:dyDescent="0.25">
      <c r="B280" s="1">
        <v>0</v>
      </c>
      <c r="C280" s="1">
        <v>0</v>
      </c>
      <c r="D280" s="1">
        <v>1</v>
      </c>
      <c r="E280" s="1">
        <v>0</v>
      </c>
      <c r="F280" s="1">
        <v>79</v>
      </c>
      <c r="G280" s="1">
        <v>0</v>
      </c>
      <c r="H280" s="1">
        <v>4</v>
      </c>
      <c r="I280" s="1">
        <v>4</v>
      </c>
      <c r="J280" s="1">
        <v>0</v>
      </c>
      <c r="K280" s="1">
        <v>0</v>
      </c>
      <c r="L280" s="1">
        <v>19477</v>
      </c>
      <c r="M280" s="1">
        <v>0</v>
      </c>
    </row>
    <row r="281" spans="2:13" x14ac:dyDescent="0.25">
      <c r="B281" s="1">
        <v>0</v>
      </c>
      <c r="C281" s="1">
        <v>0</v>
      </c>
      <c r="D281" s="1">
        <v>1</v>
      </c>
      <c r="E281" s="1">
        <v>0</v>
      </c>
      <c r="F281" s="1">
        <v>79</v>
      </c>
      <c r="G281" s="1">
        <v>1</v>
      </c>
      <c r="H281" s="1">
        <v>4</v>
      </c>
      <c r="I281" s="1">
        <v>6</v>
      </c>
      <c r="J281" s="1">
        <v>0</v>
      </c>
      <c r="K281" s="1">
        <v>0</v>
      </c>
      <c r="L281" s="1">
        <v>20903</v>
      </c>
      <c r="M281" s="1">
        <v>0</v>
      </c>
    </row>
    <row r="282" spans="2:13" x14ac:dyDescent="0.25">
      <c r="B282" s="1">
        <v>0</v>
      </c>
      <c r="C282" s="1">
        <v>0</v>
      </c>
      <c r="D282" s="1">
        <v>1</v>
      </c>
      <c r="E282" s="1">
        <v>0</v>
      </c>
      <c r="F282" s="1">
        <v>79</v>
      </c>
      <c r="G282" s="1">
        <v>1</v>
      </c>
      <c r="H282" s="1">
        <v>7</v>
      </c>
      <c r="I282" s="1">
        <v>2</v>
      </c>
      <c r="J282" s="1">
        <v>0</v>
      </c>
      <c r="K282" s="1">
        <v>0</v>
      </c>
      <c r="L282" s="1">
        <v>18562</v>
      </c>
      <c r="M282" s="1">
        <v>0</v>
      </c>
    </row>
    <row r="283" spans="2:13" x14ac:dyDescent="0.25">
      <c r="B283" s="1">
        <v>0</v>
      </c>
      <c r="C283" s="1">
        <v>0</v>
      </c>
      <c r="D283" s="1">
        <v>1</v>
      </c>
      <c r="E283" s="1">
        <v>0</v>
      </c>
      <c r="F283" s="1">
        <v>79</v>
      </c>
      <c r="G283" s="1">
        <v>1</v>
      </c>
      <c r="H283" s="1">
        <v>1</v>
      </c>
      <c r="I283" s="1">
        <v>4</v>
      </c>
      <c r="J283" s="1">
        <v>0</v>
      </c>
      <c r="K283" s="1">
        <v>0</v>
      </c>
      <c r="L283" s="1">
        <v>12885</v>
      </c>
      <c r="M283" s="1">
        <v>0</v>
      </c>
    </row>
    <row r="284" spans="2:13" x14ac:dyDescent="0.25">
      <c r="B284" s="1">
        <v>0</v>
      </c>
      <c r="C284" s="1">
        <v>0</v>
      </c>
      <c r="D284" s="1">
        <v>0.5625</v>
      </c>
      <c r="E284" s="1">
        <v>0.43750000000000006</v>
      </c>
      <c r="F284" s="1">
        <v>78</v>
      </c>
      <c r="G284" s="1">
        <v>0</v>
      </c>
      <c r="H284" s="1">
        <v>12</v>
      </c>
      <c r="I284" s="1">
        <v>4</v>
      </c>
      <c r="J284" s="1">
        <v>2</v>
      </c>
      <c r="K284" s="1">
        <v>0</v>
      </c>
      <c r="L284" s="1">
        <v>69203</v>
      </c>
      <c r="M284" s="1">
        <v>0</v>
      </c>
    </row>
    <row r="285" spans="2:13" x14ac:dyDescent="0.25">
      <c r="B285" s="1">
        <v>0</v>
      </c>
      <c r="C285" s="1">
        <v>0</v>
      </c>
      <c r="D285" s="1">
        <v>0.5625</v>
      </c>
      <c r="E285" s="1">
        <v>0.43750000000000006</v>
      </c>
      <c r="F285" s="1">
        <v>78</v>
      </c>
      <c r="G285" s="1">
        <v>1</v>
      </c>
      <c r="H285" s="1">
        <v>7</v>
      </c>
      <c r="I285" s="1">
        <v>4</v>
      </c>
      <c r="J285" s="1">
        <v>1</v>
      </c>
      <c r="K285" s="1">
        <v>0</v>
      </c>
      <c r="L285" s="1">
        <v>16657</v>
      </c>
      <c r="M285" s="1">
        <v>0</v>
      </c>
    </row>
    <row r="286" spans="2:13" x14ac:dyDescent="0.25">
      <c r="B286" s="1">
        <v>0</v>
      </c>
      <c r="C286" s="1">
        <v>0</v>
      </c>
      <c r="D286" s="1">
        <v>0.5625</v>
      </c>
      <c r="E286" s="1">
        <v>0.43750000000000006</v>
      </c>
      <c r="F286" s="1">
        <v>78</v>
      </c>
      <c r="G286" s="1">
        <v>0</v>
      </c>
      <c r="H286" s="1">
        <v>5</v>
      </c>
      <c r="I286" s="1">
        <v>3</v>
      </c>
      <c r="J286" s="1">
        <v>0</v>
      </c>
      <c r="K286" s="1">
        <v>0</v>
      </c>
      <c r="L286" s="1">
        <v>7211</v>
      </c>
      <c r="M286" s="1">
        <v>0</v>
      </c>
    </row>
    <row r="287" spans="2:13" x14ac:dyDescent="0.25">
      <c r="B287" s="1">
        <v>0</v>
      </c>
      <c r="C287" s="1">
        <v>0</v>
      </c>
      <c r="D287" s="1">
        <v>0.9</v>
      </c>
      <c r="E287" s="1">
        <v>9.9999999999999992E-2</v>
      </c>
      <c r="F287" s="1">
        <v>77</v>
      </c>
      <c r="G287" s="1">
        <v>0</v>
      </c>
      <c r="H287" s="1">
        <v>2</v>
      </c>
      <c r="I287" s="1">
        <v>2</v>
      </c>
      <c r="J287" s="1">
        <v>0</v>
      </c>
      <c r="K287" s="1">
        <v>0</v>
      </c>
      <c r="L287" s="1">
        <v>8420</v>
      </c>
      <c r="M287" s="1">
        <v>0</v>
      </c>
    </row>
    <row r="288" spans="2:13" x14ac:dyDescent="0.25">
      <c r="B288" s="1">
        <v>0</v>
      </c>
      <c r="C288" s="1">
        <v>0</v>
      </c>
      <c r="D288" s="1">
        <v>1</v>
      </c>
      <c r="E288" s="1">
        <v>0</v>
      </c>
      <c r="F288" s="1">
        <v>77</v>
      </c>
      <c r="G288" s="1">
        <v>0</v>
      </c>
      <c r="H288" s="1">
        <v>7</v>
      </c>
      <c r="I288" s="1">
        <v>6</v>
      </c>
      <c r="J288" s="1">
        <v>2</v>
      </c>
      <c r="K288" s="1">
        <v>0</v>
      </c>
      <c r="L288" s="1">
        <v>20784</v>
      </c>
      <c r="M288" s="1">
        <v>0</v>
      </c>
    </row>
    <row r="289" spans="2:13" x14ac:dyDescent="0.25">
      <c r="B289" s="1">
        <v>0</v>
      </c>
      <c r="C289" s="1">
        <v>0</v>
      </c>
      <c r="D289" s="1">
        <v>1</v>
      </c>
      <c r="E289" s="1">
        <v>0</v>
      </c>
      <c r="F289" s="1">
        <v>76</v>
      </c>
      <c r="G289" s="1">
        <v>1</v>
      </c>
      <c r="H289" s="1">
        <v>1</v>
      </c>
      <c r="I289" s="1">
        <v>5</v>
      </c>
      <c r="J289" s="1">
        <v>1</v>
      </c>
      <c r="K289" s="1">
        <v>0</v>
      </c>
      <c r="L289" s="1">
        <v>10168</v>
      </c>
      <c r="M289" s="1">
        <v>0</v>
      </c>
    </row>
    <row r="290" spans="2:13" x14ac:dyDescent="0.25">
      <c r="B290" s="1">
        <v>0</v>
      </c>
      <c r="C290" s="1">
        <v>0</v>
      </c>
      <c r="D290" s="1">
        <v>1</v>
      </c>
      <c r="E290" s="1">
        <v>0</v>
      </c>
      <c r="F290" s="1">
        <v>76</v>
      </c>
      <c r="G290" s="1">
        <v>0</v>
      </c>
      <c r="H290" s="1">
        <v>10</v>
      </c>
      <c r="I290" s="1">
        <v>3</v>
      </c>
      <c r="J290" s="1">
        <v>3</v>
      </c>
      <c r="K290" s="1">
        <v>0</v>
      </c>
      <c r="L290" s="1">
        <v>24976</v>
      </c>
      <c r="M290" s="1">
        <v>0</v>
      </c>
    </row>
    <row r="291" spans="2:13" x14ac:dyDescent="0.25">
      <c r="B291" s="17">
        <v>1</v>
      </c>
      <c r="C291" s="17">
        <v>0</v>
      </c>
      <c r="D291" s="17">
        <v>0.4375</v>
      </c>
      <c r="E291" s="17">
        <v>0.5625</v>
      </c>
      <c r="F291" s="17">
        <v>75</v>
      </c>
      <c r="G291" s="17">
        <v>0</v>
      </c>
      <c r="H291" s="17">
        <v>4</v>
      </c>
      <c r="I291" s="17">
        <v>5</v>
      </c>
      <c r="J291" s="17">
        <v>0</v>
      </c>
      <c r="K291" s="17">
        <v>0</v>
      </c>
      <c r="L291" s="17">
        <v>8339</v>
      </c>
      <c r="M291" s="17">
        <v>0</v>
      </c>
    </row>
    <row r="292" spans="2:13" x14ac:dyDescent="0.25">
      <c r="B292" s="17">
        <v>1</v>
      </c>
      <c r="C292" s="17">
        <v>0</v>
      </c>
      <c r="D292" s="17">
        <v>0.4375</v>
      </c>
      <c r="E292" s="17">
        <v>0.5625</v>
      </c>
      <c r="F292" s="17">
        <v>75</v>
      </c>
      <c r="G292" s="17">
        <v>0</v>
      </c>
      <c r="H292" s="17">
        <v>4</v>
      </c>
      <c r="I292" s="17">
        <v>7</v>
      </c>
      <c r="J292" s="17">
        <v>0</v>
      </c>
      <c r="K292" s="17">
        <v>0</v>
      </c>
      <c r="L292" s="17">
        <v>12836</v>
      </c>
      <c r="M292" s="17">
        <v>0</v>
      </c>
    </row>
    <row r="293" spans="2:13" x14ac:dyDescent="0.25">
      <c r="B293" s="17">
        <v>1</v>
      </c>
      <c r="C293" s="17">
        <v>0</v>
      </c>
      <c r="D293" s="17">
        <v>0.4375</v>
      </c>
      <c r="E293" s="17">
        <v>0.5625</v>
      </c>
      <c r="F293" s="17">
        <v>75</v>
      </c>
      <c r="G293" s="17">
        <v>0</v>
      </c>
      <c r="H293" s="17">
        <v>5</v>
      </c>
      <c r="I293" s="17">
        <v>6</v>
      </c>
      <c r="J293" s="17">
        <v>0</v>
      </c>
      <c r="K293" s="17">
        <v>0</v>
      </c>
      <c r="L293" s="17">
        <v>16623</v>
      </c>
      <c r="M293" s="17">
        <v>0</v>
      </c>
    </row>
    <row r="294" spans="2:13" x14ac:dyDescent="0.25">
      <c r="B294" s="17">
        <v>1</v>
      </c>
      <c r="C294" s="17">
        <v>0</v>
      </c>
      <c r="D294" s="17">
        <v>0.4375</v>
      </c>
      <c r="E294" s="17">
        <v>0.5625</v>
      </c>
      <c r="F294" s="17">
        <v>75</v>
      </c>
      <c r="G294" s="17">
        <v>0</v>
      </c>
      <c r="H294" s="17">
        <v>3</v>
      </c>
      <c r="I294" s="17">
        <v>4</v>
      </c>
      <c r="J294" s="17">
        <v>2</v>
      </c>
      <c r="K294" s="17">
        <v>0</v>
      </c>
      <c r="L294" s="17">
        <v>17305</v>
      </c>
      <c r="M294" s="17">
        <v>0</v>
      </c>
    </row>
    <row r="295" spans="2:13" x14ac:dyDescent="0.25">
      <c r="B295" s="17">
        <v>1</v>
      </c>
      <c r="C295" s="17">
        <v>0</v>
      </c>
      <c r="D295" s="17">
        <v>0.4375</v>
      </c>
      <c r="E295" s="17">
        <v>0.5625</v>
      </c>
      <c r="F295" s="17">
        <v>75</v>
      </c>
      <c r="G295" s="17">
        <v>0</v>
      </c>
      <c r="H295" s="17">
        <v>4</v>
      </c>
      <c r="I295" s="17">
        <v>3</v>
      </c>
      <c r="J295" s="17">
        <v>0</v>
      </c>
      <c r="K295" s="17">
        <v>0</v>
      </c>
      <c r="L295" s="17">
        <v>17115</v>
      </c>
      <c r="M295" s="17">
        <v>0</v>
      </c>
    </row>
    <row r="296" spans="2:13" x14ac:dyDescent="0.25">
      <c r="B296" s="17">
        <v>1</v>
      </c>
      <c r="C296" s="17">
        <v>0</v>
      </c>
      <c r="D296" s="17">
        <v>0.4375</v>
      </c>
      <c r="E296" s="17">
        <v>0.5625</v>
      </c>
      <c r="F296" s="17">
        <v>75</v>
      </c>
      <c r="G296" s="17">
        <v>1</v>
      </c>
      <c r="H296" s="17">
        <v>5</v>
      </c>
      <c r="I296" s="17">
        <v>1</v>
      </c>
      <c r="J296" s="17">
        <v>2</v>
      </c>
      <c r="K296" s="17">
        <v>0</v>
      </c>
      <c r="L296" s="17">
        <v>16085</v>
      </c>
      <c r="M296" s="17">
        <v>0</v>
      </c>
    </row>
    <row r="297" spans="2:13" x14ac:dyDescent="0.25">
      <c r="B297" s="17">
        <v>1</v>
      </c>
      <c r="C297" s="17">
        <v>0</v>
      </c>
      <c r="D297" s="17">
        <v>0.4375</v>
      </c>
      <c r="E297" s="17">
        <v>0.5625</v>
      </c>
      <c r="F297" s="17">
        <v>75</v>
      </c>
      <c r="G297" s="17">
        <v>0</v>
      </c>
      <c r="H297" s="17">
        <v>2</v>
      </c>
      <c r="I297" s="17">
        <v>6</v>
      </c>
      <c r="J297" s="17">
        <v>2</v>
      </c>
      <c r="K297" s="17">
        <v>0</v>
      </c>
      <c r="L297" s="17">
        <v>17244</v>
      </c>
      <c r="M297" s="17">
        <v>0</v>
      </c>
    </row>
    <row r="298" spans="2:13" x14ac:dyDescent="0.25">
      <c r="B298" s="1">
        <v>0</v>
      </c>
      <c r="C298" s="1">
        <v>0</v>
      </c>
      <c r="D298" s="1">
        <v>1</v>
      </c>
      <c r="E298" s="1">
        <v>0</v>
      </c>
      <c r="F298" s="1">
        <v>73</v>
      </c>
      <c r="G298" s="1">
        <v>0</v>
      </c>
      <c r="H298" s="1">
        <v>1</v>
      </c>
      <c r="I298" s="1">
        <v>2</v>
      </c>
      <c r="J298" s="1">
        <v>1</v>
      </c>
      <c r="K298" s="1">
        <v>0</v>
      </c>
      <c r="L298" s="1">
        <v>5021</v>
      </c>
      <c r="M298" s="1">
        <v>0</v>
      </c>
    </row>
    <row r="299" spans="2:13" x14ac:dyDescent="0.25">
      <c r="B299" s="1">
        <v>0</v>
      </c>
      <c r="C299" s="1">
        <v>0</v>
      </c>
      <c r="D299" s="1">
        <v>1</v>
      </c>
      <c r="E299" s="1">
        <v>0</v>
      </c>
      <c r="F299" s="1">
        <v>73</v>
      </c>
      <c r="G299" s="1">
        <v>0</v>
      </c>
      <c r="H299" s="1">
        <v>2</v>
      </c>
      <c r="I299" s="1">
        <v>4</v>
      </c>
      <c r="J299" s="1">
        <v>0</v>
      </c>
      <c r="K299" s="1">
        <v>0</v>
      </c>
      <c r="L299" s="1">
        <v>4297</v>
      </c>
      <c r="M299" s="1">
        <v>0</v>
      </c>
    </row>
    <row r="300" spans="2:13" x14ac:dyDescent="0.25">
      <c r="B300" s="1">
        <v>0</v>
      </c>
      <c r="C300" s="1">
        <v>0</v>
      </c>
      <c r="D300" s="1">
        <v>1</v>
      </c>
      <c r="E300" s="1">
        <v>0</v>
      </c>
      <c r="F300" s="1">
        <v>73</v>
      </c>
      <c r="G300" s="1">
        <v>0</v>
      </c>
      <c r="H300" s="1">
        <v>5</v>
      </c>
      <c r="I300" s="1">
        <v>4</v>
      </c>
      <c r="J300" s="1">
        <v>0</v>
      </c>
      <c r="K300" s="1">
        <v>0</v>
      </c>
      <c r="L300" s="1">
        <v>21821</v>
      </c>
      <c r="M300" s="1">
        <v>0</v>
      </c>
    </row>
    <row r="301" spans="2:13" x14ac:dyDescent="0.25">
      <c r="B301" s="1">
        <v>0</v>
      </c>
      <c r="C301" s="1">
        <v>0</v>
      </c>
      <c r="D301" s="1">
        <v>1</v>
      </c>
      <c r="E301" s="1">
        <v>0</v>
      </c>
      <c r="F301" s="1">
        <v>73</v>
      </c>
      <c r="G301" s="1">
        <v>0</v>
      </c>
      <c r="H301" s="1">
        <v>3</v>
      </c>
      <c r="I301" s="1">
        <v>4</v>
      </c>
      <c r="J301" s="1">
        <v>1</v>
      </c>
      <c r="K301" s="1">
        <v>0</v>
      </c>
      <c r="L301" s="1">
        <v>16203</v>
      </c>
      <c r="M301" s="1">
        <v>0</v>
      </c>
    </row>
    <row r="302" spans="2:13" x14ac:dyDescent="0.25">
      <c r="B302" s="1">
        <v>0</v>
      </c>
      <c r="C302" s="1">
        <v>0</v>
      </c>
      <c r="D302" s="1">
        <v>1</v>
      </c>
      <c r="E302" s="1">
        <v>0</v>
      </c>
      <c r="F302" s="1">
        <v>72</v>
      </c>
      <c r="G302" s="1">
        <v>0</v>
      </c>
      <c r="H302" s="1">
        <v>4</v>
      </c>
      <c r="I302" s="1">
        <v>6</v>
      </c>
      <c r="J302" s="1">
        <v>4</v>
      </c>
      <c r="K302" s="1">
        <v>0</v>
      </c>
      <c r="L302" s="1">
        <v>25964</v>
      </c>
      <c r="M302" s="1">
        <v>0</v>
      </c>
    </row>
    <row r="303" spans="2:13" x14ac:dyDescent="0.25">
      <c r="B303" s="1">
        <v>0</v>
      </c>
      <c r="C303" s="1">
        <v>0</v>
      </c>
      <c r="D303" s="1">
        <v>1</v>
      </c>
      <c r="E303" s="1">
        <v>0</v>
      </c>
      <c r="F303" s="1">
        <v>72</v>
      </c>
      <c r="G303" s="1">
        <v>0</v>
      </c>
      <c r="H303" s="1">
        <v>1</v>
      </c>
      <c r="I303" s="1">
        <v>3</v>
      </c>
      <c r="J303" s="1">
        <v>0</v>
      </c>
      <c r="K303" s="1">
        <v>0</v>
      </c>
      <c r="L303" s="1">
        <v>1277</v>
      </c>
      <c r="M303" s="1">
        <v>0</v>
      </c>
    </row>
    <row r="304" spans="2:13" x14ac:dyDescent="0.25">
      <c r="B304" s="1">
        <v>0</v>
      </c>
      <c r="C304" s="1">
        <v>0</v>
      </c>
      <c r="D304" s="1">
        <v>1</v>
      </c>
      <c r="E304" s="1">
        <v>0</v>
      </c>
      <c r="F304" s="1">
        <v>72</v>
      </c>
      <c r="G304" s="1">
        <v>1</v>
      </c>
      <c r="H304" s="1">
        <v>1</v>
      </c>
      <c r="I304" s="1">
        <v>5</v>
      </c>
      <c r="J304" s="1">
        <v>0</v>
      </c>
      <c r="K304" s="1">
        <v>0</v>
      </c>
      <c r="L304" s="1">
        <v>9324</v>
      </c>
      <c r="M304" s="1">
        <v>0</v>
      </c>
    </row>
    <row r="305" spans="2:13" x14ac:dyDescent="0.25">
      <c r="B305" s="1">
        <v>0</v>
      </c>
      <c r="C305" s="1">
        <v>0</v>
      </c>
      <c r="D305" s="1">
        <v>1</v>
      </c>
      <c r="E305" s="1">
        <v>0</v>
      </c>
      <c r="F305" s="1">
        <v>72</v>
      </c>
      <c r="G305" s="1">
        <v>0</v>
      </c>
      <c r="H305" s="1">
        <v>12</v>
      </c>
      <c r="I305" s="1">
        <v>4</v>
      </c>
      <c r="J305" s="1">
        <v>2</v>
      </c>
      <c r="K305" s="1">
        <v>0</v>
      </c>
      <c r="L305" s="1">
        <v>31485</v>
      </c>
      <c r="M305" s="1">
        <v>0</v>
      </c>
    </row>
    <row r="306" spans="2:13" x14ac:dyDescent="0.25">
      <c r="B306" s="1">
        <v>0</v>
      </c>
      <c r="C306" s="1">
        <v>0</v>
      </c>
      <c r="D306" s="1">
        <v>1</v>
      </c>
      <c r="E306" s="1">
        <v>0</v>
      </c>
      <c r="F306" s="1">
        <v>72</v>
      </c>
      <c r="G306" s="1">
        <v>1</v>
      </c>
      <c r="H306" s="1">
        <v>12</v>
      </c>
      <c r="I306" s="1">
        <v>4</v>
      </c>
      <c r="J306" s="1">
        <v>1</v>
      </c>
      <c r="K306" s="1">
        <v>0</v>
      </c>
      <c r="L306" s="1">
        <v>16332</v>
      </c>
      <c r="M306" s="1">
        <v>0</v>
      </c>
    </row>
    <row r="307" spans="2:13" x14ac:dyDescent="0.25">
      <c r="B307" s="1">
        <v>0</v>
      </c>
      <c r="C307" s="1">
        <v>0</v>
      </c>
      <c r="D307" s="1">
        <v>1</v>
      </c>
      <c r="E307" s="1">
        <v>0</v>
      </c>
      <c r="F307" s="1">
        <v>72</v>
      </c>
      <c r="G307" s="1">
        <v>0</v>
      </c>
      <c r="H307" s="1">
        <v>7</v>
      </c>
      <c r="I307" s="1">
        <v>3</v>
      </c>
      <c r="J307" s="1">
        <v>1</v>
      </c>
      <c r="K307" s="1">
        <v>0</v>
      </c>
      <c r="L307" s="1">
        <v>104214</v>
      </c>
      <c r="M307" s="1">
        <v>1</v>
      </c>
    </row>
    <row r="308" spans="2:13" x14ac:dyDescent="0.25">
      <c r="B308" s="1">
        <v>0</v>
      </c>
      <c r="C308" s="1">
        <v>0</v>
      </c>
      <c r="D308" s="1">
        <v>1</v>
      </c>
      <c r="E308" s="1">
        <v>0</v>
      </c>
      <c r="F308" s="1">
        <v>71</v>
      </c>
      <c r="G308" s="1">
        <v>0</v>
      </c>
      <c r="H308" s="1">
        <v>4</v>
      </c>
      <c r="I308" s="1">
        <v>3</v>
      </c>
      <c r="J308" s="1">
        <v>0</v>
      </c>
      <c r="K308" s="1">
        <v>0</v>
      </c>
      <c r="L308" s="1">
        <v>20049</v>
      </c>
      <c r="M308" s="1">
        <v>0</v>
      </c>
    </row>
    <row r="309" spans="2:13" x14ac:dyDescent="0.25">
      <c r="B309" s="1">
        <v>0</v>
      </c>
      <c r="C309" s="1">
        <v>0</v>
      </c>
      <c r="D309" s="1">
        <v>1</v>
      </c>
      <c r="E309" s="1">
        <v>0</v>
      </c>
      <c r="F309" s="1">
        <v>71</v>
      </c>
      <c r="G309" s="1">
        <v>1</v>
      </c>
      <c r="H309" s="1">
        <v>14</v>
      </c>
      <c r="I309" s="1">
        <v>4</v>
      </c>
      <c r="J309" s="1">
        <v>1</v>
      </c>
      <c r="K309" s="1">
        <v>0</v>
      </c>
      <c r="L309" s="1">
        <v>36938</v>
      </c>
      <c r="M309" s="1">
        <v>0</v>
      </c>
    </row>
    <row r="310" spans="2:13" x14ac:dyDescent="0.25">
      <c r="B310" s="1">
        <v>0</v>
      </c>
      <c r="C310" s="1">
        <v>0</v>
      </c>
      <c r="D310" s="1">
        <v>1</v>
      </c>
      <c r="E310" s="1">
        <v>0</v>
      </c>
      <c r="F310" s="1">
        <v>70</v>
      </c>
      <c r="G310" s="1">
        <v>1</v>
      </c>
      <c r="H310" s="1">
        <v>1</v>
      </c>
      <c r="I310" s="1">
        <v>5</v>
      </c>
      <c r="J310" s="1">
        <v>0</v>
      </c>
      <c r="K310" s="1">
        <v>0</v>
      </c>
      <c r="L310" s="1">
        <v>8927</v>
      </c>
      <c r="M310" s="1">
        <v>0</v>
      </c>
    </row>
    <row r="311" spans="2:13" x14ac:dyDescent="0.25">
      <c r="B311" s="1">
        <v>0</v>
      </c>
      <c r="C311" s="1">
        <v>0</v>
      </c>
      <c r="D311" s="1">
        <v>1</v>
      </c>
      <c r="E311" s="1">
        <v>0</v>
      </c>
      <c r="F311" s="1">
        <v>68</v>
      </c>
      <c r="G311" s="1">
        <v>1</v>
      </c>
      <c r="H311" s="1">
        <v>7</v>
      </c>
      <c r="I311" s="1">
        <v>6</v>
      </c>
      <c r="J311" s="1">
        <v>1</v>
      </c>
      <c r="K311" s="1">
        <v>0</v>
      </c>
      <c r="L311" s="1">
        <v>30534</v>
      </c>
      <c r="M311" s="1">
        <v>0</v>
      </c>
    </row>
    <row r="312" spans="2:13" x14ac:dyDescent="0.25">
      <c r="B312" s="1">
        <v>0</v>
      </c>
      <c r="C312" s="1">
        <v>0</v>
      </c>
      <c r="D312" s="1">
        <v>1</v>
      </c>
      <c r="E312" s="1">
        <v>0</v>
      </c>
      <c r="F312" s="1">
        <v>67</v>
      </c>
      <c r="G312" s="1">
        <v>1</v>
      </c>
      <c r="H312" s="1">
        <v>38</v>
      </c>
      <c r="I312" s="1">
        <v>4</v>
      </c>
      <c r="J312" s="1">
        <v>5</v>
      </c>
      <c r="K312" s="1">
        <v>0</v>
      </c>
      <c r="L312" s="1">
        <v>205029</v>
      </c>
      <c r="M312" s="1">
        <v>1</v>
      </c>
    </row>
    <row r="313" spans="2:13" x14ac:dyDescent="0.25">
      <c r="B313" s="1">
        <v>0</v>
      </c>
      <c r="C313" s="1">
        <v>0</v>
      </c>
      <c r="D313" s="1">
        <v>1</v>
      </c>
      <c r="E313" s="1">
        <v>0</v>
      </c>
      <c r="F313" s="1">
        <v>64</v>
      </c>
      <c r="G313" s="1">
        <v>1</v>
      </c>
      <c r="H313" s="1">
        <v>0</v>
      </c>
      <c r="I313" s="1">
        <v>2</v>
      </c>
      <c r="J313" s="1">
        <v>0</v>
      </c>
      <c r="K313" s="1">
        <v>0</v>
      </c>
      <c r="L313" s="1">
        <v>1934</v>
      </c>
      <c r="M313" s="1">
        <v>0</v>
      </c>
    </row>
    <row r="314" spans="2:13" x14ac:dyDescent="0.25">
      <c r="B314" s="1">
        <v>0</v>
      </c>
      <c r="C314" s="1">
        <v>0</v>
      </c>
      <c r="D314" s="1">
        <v>1</v>
      </c>
      <c r="E314" s="1">
        <v>0</v>
      </c>
      <c r="F314" s="1">
        <v>64</v>
      </c>
      <c r="G314" s="1">
        <v>0</v>
      </c>
      <c r="H314" s="1">
        <v>10</v>
      </c>
      <c r="I314" s="1">
        <v>6</v>
      </c>
      <c r="J314" s="1">
        <v>2</v>
      </c>
      <c r="K314" s="1">
        <v>0</v>
      </c>
      <c r="L314" s="1">
        <v>39150</v>
      </c>
      <c r="M314" s="1">
        <v>0</v>
      </c>
    </row>
    <row r="315" spans="2:13" x14ac:dyDescent="0.25">
      <c r="B315" s="1">
        <v>0</v>
      </c>
      <c r="C315" s="1">
        <v>0</v>
      </c>
      <c r="D315" s="1">
        <v>1</v>
      </c>
      <c r="E315" s="1">
        <v>0</v>
      </c>
      <c r="F315" s="1">
        <v>60</v>
      </c>
      <c r="G315" s="1">
        <v>1</v>
      </c>
      <c r="H315" s="1">
        <v>5</v>
      </c>
      <c r="I315" s="1">
        <v>4</v>
      </c>
      <c r="J315" s="1">
        <v>0</v>
      </c>
      <c r="K315" s="1">
        <v>0</v>
      </c>
      <c r="L315" s="1">
        <v>12711</v>
      </c>
      <c r="M315" s="1">
        <v>0</v>
      </c>
    </row>
    <row r="316" spans="2:13" x14ac:dyDescent="0.25">
      <c r="B316" s="1">
        <v>0</v>
      </c>
      <c r="C316" s="1">
        <v>0</v>
      </c>
      <c r="D316" s="1">
        <v>1</v>
      </c>
      <c r="E316" s="1">
        <v>0</v>
      </c>
      <c r="F316" s="1">
        <v>60</v>
      </c>
      <c r="G316" s="1">
        <v>1</v>
      </c>
      <c r="H316" s="1">
        <v>5</v>
      </c>
      <c r="I316" s="1">
        <v>5</v>
      </c>
      <c r="J316" s="1">
        <v>0</v>
      </c>
      <c r="K316" s="1">
        <v>0</v>
      </c>
      <c r="L316" s="1">
        <v>17161</v>
      </c>
      <c r="M316" s="1">
        <v>0</v>
      </c>
    </row>
    <row r="317" spans="2:13" x14ac:dyDescent="0.25">
      <c r="B317" s="1">
        <v>0</v>
      </c>
      <c r="C317" s="1">
        <v>0</v>
      </c>
      <c r="D317" s="1">
        <v>1</v>
      </c>
      <c r="E317" s="1">
        <v>0</v>
      </c>
      <c r="F317" s="1">
        <v>60</v>
      </c>
      <c r="G317" s="1">
        <v>1</v>
      </c>
      <c r="H317" s="1">
        <v>10</v>
      </c>
      <c r="I317" s="1">
        <v>4</v>
      </c>
      <c r="J317" s="1">
        <v>0</v>
      </c>
      <c r="K317" s="1">
        <v>0</v>
      </c>
      <c r="L317" s="1">
        <v>30204</v>
      </c>
      <c r="M317" s="1">
        <v>0</v>
      </c>
    </row>
    <row r="318" spans="2:13" x14ac:dyDescent="0.25">
      <c r="B318" s="1">
        <v>0</v>
      </c>
      <c r="C318" s="1">
        <v>0</v>
      </c>
      <c r="D318" s="1">
        <v>1</v>
      </c>
      <c r="E318" s="1">
        <v>0</v>
      </c>
      <c r="F318" s="1">
        <v>60</v>
      </c>
      <c r="G318" s="1">
        <v>0</v>
      </c>
      <c r="H318" s="1">
        <v>3</v>
      </c>
      <c r="I318" s="1">
        <v>5</v>
      </c>
      <c r="J318" s="1">
        <v>0</v>
      </c>
      <c r="K318" s="1">
        <v>0</v>
      </c>
      <c r="L318" s="1">
        <v>15613</v>
      </c>
      <c r="M318" s="1">
        <v>0</v>
      </c>
    </row>
    <row r="319" spans="2:13" x14ac:dyDescent="0.25">
      <c r="B319" s="1">
        <v>0</v>
      </c>
      <c r="C319" s="1">
        <v>0</v>
      </c>
      <c r="D319" s="1">
        <v>1</v>
      </c>
      <c r="E319" s="1">
        <v>0</v>
      </c>
      <c r="F319" s="1">
        <v>59</v>
      </c>
      <c r="G319" s="1">
        <v>0</v>
      </c>
      <c r="H319" s="1">
        <v>3</v>
      </c>
      <c r="I319" s="1">
        <v>6</v>
      </c>
      <c r="J319" s="1">
        <v>4</v>
      </c>
      <c r="K319" s="1">
        <v>0</v>
      </c>
      <c r="L319" s="1">
        <v>23455</v>
      </c>
      <c r="M319" s="1">
        <v>1</v>
      </c>
    </row>
    <row r="320" spans="2:13" x14ac:dyDescent="0.25">
      <c r="B320" s="1">
        <v>0</v>
      </c>
      <c r="C320" s="1">
        <v>0</v>
      </c>
      <c r="D320" s="1">
        <v>1</v>
      </c>
      <c r="E320" s="1">
        <v>0</v>
      </c>
      <c r="F320" s="1">
        <v>59</v>
      </c>
      <c r="G320" s="1">
        <v>0</v>
      </c>
      <c r="H320" s="1">
        <v>21</v>
      </c>
      <c r="I320" s="1">
        <v>6</v>
      </c>
      <c r="J320" s="1">
        <v>5</v>
      </c>
      <c r="K320" s="1">
        <v>0</v>
      </c>
      <c r="L320" s="1">
        <v>80304</v>
      </c>
      <c r="M320" s="1">
        <v>1</v>
      </c>
    </row>
    <row r="321" spans="2:13" x14ac:dyDescent="0.25">
      <c r="B321" s="1">
        <v>0</v>
      </c>
      <c r="C321" s="1">
        <v>0</v>
      </c>
      <c r="D321" s="1">
        <v>1</v>
      </c>
      <c r="E321" s="1">
        <v>0</v>
      </c>
      <c r="F321" s="1">
        <v>59</v>
      </c>
      <c r="G321" s="1">
        <v>1</v>
      </c>
      <c r="H321" s="1">
        <v>9</v>
      </c>
      <c r="I321" s="1">
        <v>4</v>
      </c>
      <c r="J321" s="1">
        <v>2</v>
      </c>
      <c r="K321" s="1">
        <v>0</v>
      </c>
      <c r="L321" s="1">
        <v>46213</v>
      </c>
      <c r="M321" s="1">
        <v>1</v>
      </c>
    </row>
    <row r="322" spans="2:13" x14ac:dyDescent="0.25">
      <c r="B322" s="1">
        <v>0</v>
      </c>
      <c r="C322" s="1">
        <v>0</v>
      </c>
      <c r="D322" s="1">
        <v>1</v>
      </c>
      <c r="E322" s="1">
        <v>0</v>
      </c>
      <c r="F322" s="1">
        <v>58</v>
      </c>
      <c r="G322" s="1">
        <v>1</v>
      </c>
      <c r="H322" s="1">
        <v>3</v>
      </c>
      <c r="I322" s="1">
        <v>7</v>
      </c>
      <c r="J322" s="1">
        <v>0</v>
      </c>
      <c r="K322" s="1">
        <v>0</v>
      </c>
      <c r="L322" s="1">
        <v>15738</v>
      </c>
      <c r="M322" s="1">
        <v>0</v>
      </c>
    </row>
    <row r="323" spans="2:13" x14ac:dyDescent="0.25">
      <c r="B323" s="1">
        <v>0</v>
      </c>
      <c r="C323" s="1">
        <v>0</v>
      </c>
      <c r="D323" s="1">
        <v>1</v>
      </c>
      <c r="E323" s="1">
        <v>0</v>
      </c>
      <c r="F323" s="1">
        <v>58</v>
      </c>
      <c r="G323" s="1">
        <v>0</v>
      </c>
      <c r="H323" s="1">
        <v>6</v>
      </c>
      <c r="I323" s="1">
        <v>4</v>
      </c>
      <c r="J323" s="1">
        <v>0</v>
      </c>
      <c r="K323" s="1">
        <v>0</v>
      </c>
      <c r="L323" s="1">
        <v>11722</v>
      </c>
      <c r="M323" s="1">
        <v>0</v>
      </c>
    </row>
    <row r="324" spans="2:13" x14ac:dyDescent="0.25">
      <c r="B324" s="1">
        <v>0</v>
      </c>
      <c r="C324" s="1">
        <v>0</v>
      </c>
      <c r="D324" s="1">
        <v>1</v>
      </c>
      <c r="E324" s="1">
        <v>0</v>
      </c>
      <c r="F324" s="1">
        <v>58</v>
      </c>
      <c r="G324" s="1">
        <v>0</v>
      </c>
      <c r="H324" s="1">
        <v>1</v>
      </c>
      <c r="I324" s="1">
        <v>4</v>
      </c>
      <c r="J324" s="1">
        <v>0</v>
      </c>
      <c r="K324" s="1">
        <v>0</v>
      </c>
      <c r="L324" s="1">
        <v>4463</v>
      </c>
      <c r="M324" s="1">
        <v>0</v>
      </c>
    </row>
    <row r="325" spans="2:13" x14ac:dyDescent="0.25">
      <c r="B325" s="1">
        <v>0</v>
      </c>
      <c r="C325" s="1">
        <v>0</v>
      </c>
      <c r="D325" s="1">
        <v>1</v>
      </c>
      <c r="E325" s="1">
        <v>0</v>
      </c>
      <c r="F325" s="1">
        <v>58</v>
      </c>
      <c r="G325" s="1">
        <v>0</v>
      </c>
      <c r="H325" s="1">
        <v>2</v>
      </c>
      <c r="I325" s="1">
        <v>2</v>
      </c>
      <c r="J325" s="1">
        <v>0</v>
      </c>
      <c r="K325" s="1">
        <v>0</v>
      </c>
      <c r="L325" s="1">
        <v>10124</v>
      </c>
      <c r="M325" s="1">
        <v>0</v>
      </c>
    </row>
    <row r="326" spans="2:13" x14ac:dyDescent="0.25">
      <c r="B326" s="1">
        <v>0</v>
      </c>
      <c r="C326" s="1">
        <v>0</v>
      </c>
      <c r="D326" s="1">
        <v>1</v>
      </c>
      <c r="E326" s="1">
        <v>0</v>
      </c>
      <c r="F326" s="1">
        <v>58</v>
      </c>
      <c r="G326" s="1">
        <v>0</v>
      </c>
      <c r="H326" s="1">
        <v>3</v>
      </c>
      <c r="I326" s="1">
        <v>5</v>
      </c>
      <c r="J326" s="1">
        <v>3</v>
      </c>
      <c r="K326" s="1">
        <v>0</v>
      </c>
      <c r="L326" s="1">
        <v>11285</v>
      </c>
      <c r="M326" s="1">
        <v>0</v>
      </c>
    </row>
    <row r="327" spans="2:13" x14ac:dyDescent="0.25">
      <c r="B327" s="1">
        <v>0</v>
      </c>
      <c r="C327" s="1">
        <v>0</v>
      </c>
      <c r="D327" s="1">
        <v>1</v>
      </c>
      <c r="E327" s="1">
        <v>0</v>
      </c>
      <c r="F327" s="1">
        <v>58</v>
      </c>
      <c r="G327" s="1">
        <v>1</v>
      </c>
      <c r="H327" s="1">
        <v>6</v>
      </c>
      <c r="I327" s="1">
        <v>3</v>
      </c>
      <c r="J327" s="1">
        <v>0</v>
      </c>
      <c r="K327" s="1">
        <v>0</v>
      </c>
      <c r="L327" s="1">
        <v>8086</v>
      </c>
      <c r="M327" s="1">
        <v>0</v>
      </c>
    </row>
    <row r="328" spans="2:13" x14ac:dyDescent="0.25">
      <c r="B328" s="1">
        <v>0</v>
      </c>
      <c r="C328" s="1">
        <v>0</v>
      </c>
      <c r="D328" s="1">
        <v>1</v>
      </c>
      <c r="E328" s="1">
        <v>0</v>
      </c>
      <c r="F328" s="1">
        <v>57</v>
      </c>
      <c r="G328" s="1">
        <v>1</v>
      </c>
      <c r="H328" s="1">
        <v>2</v>
      </c>
      <c r="I328" s="1">
        <v>7</v>
      </c>
      <c r="J328" s="1">
        <v>0</v>
      </c>
      <c r="K328" s="1">
        <v>0</v>
      </c>
      <c r="L328" s="1">
        <v>10167</v>
      </c>
      <c r="M328" s="1">
        <v>0</v>
      </c>
    </row>
    <row r="329" spans="2:13" x14ac:dyDescent="0.25">
      <c r="B329" s="1">
        <v>0</v>
      </c>
      <c r="C329" s="1">
        <v>0</v>
      </c>
      <c r="D329" s="1">
        <v>1</v>
      </c>
      <c r="E329" s="1">
        <v>0</v>
      </c>
      <c r="F329" s="1">
        <v>57</v>
      </c>
      <c r="G329" s="1">
        <v>0</v>
      </c>
      <c r="H329" s="1">
        <v>8</v>
      </c>
      <c r="I329" s="1">
        <v>4</v>
      </c>
      <c r="J329" s="1">
        <v>2</v>
      </c>
      <c r="K329" s="1">
        <v>0</v>
      </c>
      <c r="L329" s="1">
        <v>48549</v>
      </c>
      <c r="M329" s="1">
        <v>0</v>
      </c>
    </row>
    <row r="330" spans="2:13" x14ac:dyDescent="0.25">
      <c r="B330" s="1">
        <v>0</v>
      </c>
      <c r="C330" s="1">
        <v>0</v>
      </c>
      <c r="D330" s="1">
        <v>1</v>
      </c>
      <c r="E330" s="1">
        <v>0</v>
      </c>
      <c r="F330" s="1">
        <v>57</v>
      </c>
      <c r="G330" s="1">
        <v>1</v>
      </c>
      <c r="H330" s="1">
        <v>3</v>
      </c>
      <c r="I330" s="1">
        <v>6</v>
      </c>
      <c r="J330" s="1">
        <v>0</v>
      </c>
      <c r="K330" s="1">
        <v>0</v>
      </c>
      <c r="L330" s="1">
        <v>7908</v>
      </c>
      <c r="M330" s="1">
        <v>0</v>
      </c>
    </row>
    <row r="331" spans="2:13" x14ac:dyDescent="0.25">
      <c r="B331" s="1">
        <v>0</v>
      </c>
      <c r="C331" s="1">
        <v>0</v>
      </c>
      <c r="D331" s="1">
        <v>1</v>
      </c>
      <c r="E331" s="1">
        <v>0</v>
      </c>
      <c r="F331" s="1">
        <v>57</v>
      </c>
      <c r="G331" s="1">
        <v>1</v>
      </c>
      <c r="H331" s="1">
        <v>4</v>
      </c>
      <c r="I331" s="1">
        <v>7</v>
      </c>
      <c r="J331" s="1">
        <v>0</v>
      </c>
      <c r="K331" s="1">
        <v>0</v>
      </c>
      <c r="L331" s="1">
        <v>13460</v>
      </c>
      <c r="M331" s="1">
        <v>0</v>
      </c>
    </row>
    <row r="332" spans="2:13" x14ac:dyDescent="0.25">
      <c r="B332" s="1">
        <v>0</v>
      </c>
      <c r="C332" s="1">
        <v>0</v>
      </c>
      <c r="D332" s="1">
        <v>1</v>
      </c>
      <c r="E332" s="1">
        <v>0</v>
      </c>
      <c r="F332" s="1">
        <v>57</v>
      </c>
      <c r="G332" s="1">
        <v>0</v>
      </c>
      <c r="H332" s="1">
        <v>5</v>
      </c>
      <c r="I332" s="1">
        <v>4</v>
      </c>
      <c r="J332" s="1">
        <v>0</v>
      </c>
      <c r="K332" s="1">
        <v>0</v>
      </c>
      <c r="L332" s="1">
        <v>13004</v>
      </c>
      <c r="M332" s="1">
        <v>0</v>
      </c>
    </row>
    <row r="333" spans="2:13" x14ac:dyDescent="0.25">
      <c r="B333" s="1">
        <v>0</v>
      </c>
      <c r="C333" s="1">
        <v>0</v>
      </c>
      <c r="D333" s="1">
        <v>1</v>
      </c>
      <c r="E333" s="1">
        <v>0</v>
      </c>
      <c r="F333" s="1">
        <v>57</v>
      </c>
      <c r="G333" s="1">
        <v>1</v>
      </c>
      <c r="H333" s="1">
        <v>3</v>
      </c>
      <c r="I333" s="1">
        <v>6</v>
      </c>
      <c r="J333" s="1">
        <v>0</v>
      </c>
      <c r="K333" s="1">
        <v>0</v>
      </c>
      <c r="L333" s="1">
        <v>13180</v>
      </c>
      <c r="M333" s="1">
        <v>0</v>
      </c>
    </row>
    <row r="334" spans="2:13" x14ac:dyDescent="0.25">
      <c r="B334" s="1">
        <v>0</v>
      </c>
      <c r="C334" s="1">
        <v>0</v>
      </c>
      <c r="D334" s="1">
        <v>1</v>
      </c>
      <c r="E334" s="1">
        <v>0</v>
      </c>
      <c r="F334" s="1">
        <v>57</v>
      </c>
      <c r="G334" s="1">
        <v>0</v>
      </c>
      <c r="H334" s="1">
        <v>11</v>
      </c>
      <c r="I334" s="1">
        <v>4</v>
      </c>
      <c r="J334" s="1">
        <v>0</v>
      </c>
      <c r="K334" s="1">
        <v>0</v>
      </c>
      <c r="L334" s="1">
        <v>19291</v>
      </c>
      <c r="M334" s="1">
        <v>0</v>
      </c>
    </row>
    <row r="335" spans="2:13" x14ac:dyDescent="0.25">
      <c r="B335" s="1">
        <v>0</v>
      </c>
      <c r="C335" s="1">
        <v>0</v>
      </c>
      <c r="D335" s="1">
        <v>1</v>
      </c>
      <c r="E335" s="1">
        <v>0</v>
      </c>
      <c r="F335" s="1">
        <v>57</v>
      </c>
      <c r="G335" s="1">
        <v>0</v>
      </c>
      <c r="H335" s="1">
        <v>2</v>
      </c>
      <c r="I335" s="1">
        <v>3</v>
      </c>
      <c r="J335" s="1">
        <v>0</v>
      </c>
      <c r="K335" s="1">
        <v>0</v>
      </c>
      <c r="L335" s="1">
        <v>7370</v>
      </c>
      <c r="M335" s="1">
        <v>0</v>
      </c>
    </row>
    <row r="336" spans="2:13" x14ac:dyDescent="0.25">
      <c r="B336" s="1">
        <v>0</v>
      </c>
      <c r="C336" s="1">
        <v>0</v>
      </c>
      <c r="D336" s="1">
        <v>1</v>
      </c>
      <c r="E336" s="1">
        <v>0</v>
      </c>
      <c r="F336" s="1">
        <v>57</v>
      </c>
      <c r="G336" s="1">
        <v>1</v>
      </c>
      <c r="H336" s="1">
        <v>4</v>
      </c>
      <c r="I336" s="1">
        <v>5</v>
      </c>
      <c r="J336" s="1">
        <v>0</v>
      </c>
      <c r="K336" s="1">
        <v>0</v>
      </c>
      <c r="L336" s="1">
        <v>9022</v>
      </c>
      <c r="M336" s="1">
        <v>0</v>
      </c>
    </row>
    <row r="337" spans="2:13" x14ac:dyDescent="0.25">
      <c r="B337" s="1">
        <v>0</v>
      </c>
      <c r="C337" s="1">
        <v>0</v>
      </c>
      <c r="D337" s="1">
        <v>1</v>
      </c>
      <c r="E337" s="1">
        <v>0</v>
      </c>
      <c r="F337" s="1">
        <v>57</v>
      </c>
      <c r="G337" s="1">
        <v>1</v>
      </c>
      <c r="H337" s="1">
        <v>13</v>
      </c>
      <c r="I337" s="1">
        <v>3</v>
      </c>
      <c r="J337" s="1">
        <v>2</v>
      </c>
      <c r="K337" s="1">
        <v>0</v>
      </c>
      <c r="L337" s="1">
        <v>30164</v>
      </c>
      <c r="M337" s="1">
        <v>0</v>
      </c>
    </row>
    <row r="338" spans="2:13" x14ac:dyDescent="0.25">
      <c r="B338" s="1">
        <v>0</v>
      </c>
      <c r="C338" s="1">
        <v>0</v>
      </c>
      <c r="D338" s="1">
        <v>1</v>
      </c>
      <c r="E338" s="1">
        <v>0</v>
      </c>
      <c r="F338" s="1">
        <v>57</v>
      </c>
      <c r="G338" s="1">
        <v>1</v>
      </c>
      <c r="H338" s="1">
        <v>14</v>
      </c>
      <c r="I338" s="1">
        <v>3</v>
      </c>
      <c r="J338" s="1">
        <v>2</v>
      </c>
      <c r="K338" s="1">
        <v>0</v>
      </c>
      <c r="L338" s="1">
        <v>40580</v>
      </c>
      <c r="M338" s="1">
        <v>0</v>
      </c>
    </row>
    <row r="339" spans="2:13" x14ac:dyDescent="0.25">
      <c r="B339" s="1">
        <v>0</v>
      </c>
      <c r="C339" s="1">
        <v>0</v>
      </c>
      <c r="D339" s="1">
        <v>1</v>
      </c>
      <c r="E339" s="1">
        <v>0</v>
      </c>
      <c r="F339" s="1">
        <v>56</v>
      </c>
      <c r="G339" s="1">
        <v>1</v>
      </c>
      <c r="H339" s="1">
        <v>1</v>
      </c>
      <c r="I339" s="1">
        <v>2</v>
      </c>
      <c r="J339" s="1">
        <v>0</v>
      </c>
      <c r="K339" s="1">
        <v>0</v>
      </c>
      <c r="L339" s="1">
        <v>2107</v>
      </c>
      <c r="M339" s="1">
        <v>0</v>
      </c>
    </row>
    <row r="340" spans="2:13" x14ac:dyDescent="0.25">
      <c r="B340" s="17">
        <v>1</v>
      </c>
      <c r="C340" s="17">
        <v>0</v>
      </c>
      <c r="D340" s="17">
        <v>9.5238095238095233E-2</v>
      </c>
      <c r="E340" s="17">
        <v>0.90476190476190477</v>
      </c>
      <c r="F340" s="17">
        <v>53</v>
      </c>
      <c r="G340" s="17">
        <v>1</v>
      </c>
      <c r="H340" s="17">
        <v>2</v>
      </c>
      <c r="I340" s="17">
        <v>6</v>
      </c>
      <c r="J340" s="17">
        <v>2</v>
      </c>
      <c r="K340" s="17">
        <v>0</v>
      </c>
      <c r="L340" s="17">
        <v>17164</v>
      </c>
      <c r="M340" s="17">
        <v>0</v>
      </c>
    </row>
    <row r="341" spans="2:13" x14ac:dyDescent="0.25">
      <c r="B341" s="1">
        <v>0</v>
      </c>
      <c r="C341" s="1">
        <v>0</v>
      </c>
      <c r="D341" s="1">
        <v>0.61538461538461542</v>
      </c>
      <c r="E341" s="1">
        <v>0.38461538461538464</v>
      </c>
      <c r="F341" s="1">
        <v>52</v>
      </c>
      <c r="G341" s="1">
        <v>0</v>
      </c>
      <c r="H341" s="1">
        <v>17</v>
      </c>
      <c r="I341" s="1">
        <v>4</v>
      </c>
      <c r="J341" s="1">
        <v>3</v>
      </c>
      <c r="K341" s="1">
        <v>0</v>
      </c>
      <c r="L341" s="1">
        <v>81000</v>
      </c>
      <c r="M341" s="1">
        <v>0</v>
      </c>
    </row>
    <row r="342" spans="2:13" x14ac:dyDescent="0.25">
      <c r="B342" s="1">
        <v>0</v>
      </c>
      <c r="C342" s="1">
        <v>0</v>
      </c>
      <c r="D342" s="1">
        <v>1</v>
      </c>
      <c r="E342" s="1">
        <v>0</v>
      </c>
      <c r="F342" s="1">
        <v>49</v>
      </c>
      <c r="G342" s="1">
        <v>0</v>
      </c>
      <c r="H342" s="1">
        <v>0</v>
      </c>
      <c r="I342" s="1">
        <v>1</v>
      </c>
      <c r="J342" s="1">
        <v>0</v>
      </c>
      <c r="K342" s="1">
        <v>0</v>
      </c>
      <c r="L342" s="1">
        <v>4557</v>
      </c>
      <c r="M342" s="1">
        <v>0</v>
      </c>
    </row>
    <row r="343" spans="2:13" x14ac:dyDescent="0.25">
      <c r="B343" s="1">
        <v>0</v>
      </c>
      <c r="C343" s="1">
        <v>0</v>
      </c>
      <c r="D343" s="1">
        <v>1</v>
      </c>
      <c r="E343" s="1">
        <v>0</v>
      </c>
      <c r="F343" s="1">
        <v>49</v>
      </c>
      <c r="G343" s="1">
        <v>0</v>
      </c>
      <c r="H343" s="1">
        <v>1</v>
      </c>
      <c r="I343" s="1">
        <v>3</v>
      </c>
      <c r="J343" s="1">
        <v>2</v>
      </c>
      <c r="K343" s="1">
        <v>0</v>
      </c>
      <c r="L343" s="1">
        <v>13410</v>
      </c>
      <c r="M343" s="1">
        <v>0</v>
      </c>
    </row>
    <row r="344" spans="2:13" x14ac:dyDescent="0.25">
      <c r="B344" s="1">
        <v>0</v>
      </c>
      <c r="C344" s="1">
        <v>0</v>
      </c>
      <c r="D344" s="1">
        <v>1</v>
      </c>
      <c r="E344" s="1">
        <v>0</v>
      </c>
      <c r="F344" s="1">
        <v>48</v>
      </c>
      <c r="G344" s="1">
        <v>0</v>
      </c>
      <c r="H344" s="1">
        <v>2</v>
      </c>
      <c r="I344" s="1">
        <v>3</v>
      </c>
      <c r="J344" s="1">
        <v>5</v>
      </c>
      <c r="K344" s="1">
        <v>0</v>
      </c>
      <c r="L344" s="1">
        <v>19324</v>
      </c>
      <c r="M344" s="1">
        <v>0</v>
      </c>
    </row>
    <row r="345" spans="2:13" x14ac:dyDescent="0.25">
      <c r="B345" s="1">
        <v>0</v>
      </c>
      <c r="C345" s="1">
        <v>0</v>
      </c>
      <c r="D345" s="1">
        <v>1</v>
      </c>
      <c r="E345" s="1">
        <v>0</v>
      </c>
      <c r="F345" s="1">
        <v>30</v>
      </c>
      <c r="G345" s="1">
        <v>1</v>
      </c>
      <c r="H345" s="1">
        <v>2</v>
      </c>
      <c r="I345" s="1">
        <v>4</v>
      </c>
      <c r="J345" s="1">
        <v>0</v>
      </c>
      <c r="K345" s="1">
        <v>0</v>
      </c>
      <c r="L345" s="1">
        <v>4803</v>
      </c>
      <c r="M345" s="1">
        <v>0</v>
      </c>
    </row>
    <row r="346" spans="2:13" x14ac:dyDescent="0.25">
      <c r="B346" s="1">
        <v>0</v>
      </c>
      <c r="C346" s="1">
        <v>0</v>
      </c>
      <c r="D346" s="1">
        <v>1</v>
      </c>
      <c r="E346" s="1">
        <v>0</v>
      </c>
      <c r="F346" s="1">
        <v>30</v>
      </c>
      <c r="G346" s="1">
        <v>0</v>
      </c>
      <c r="H346" s="1">
        <v>3</v>
      </c>
      <c r="I346" s="1">
        <v>3</v>
      </c>
      <c r="J346" s="1">
        <v>1</v>
      </c>
      <c r="K346" s="1">
        <v>0</v>
      </c>
      <c r="L346" s="1">
        <v>8325</v>
      </c>
      <c r="M346" s="1">
        <v>0</v>
      </c>
    </row>
    <row r="347" spans="2:13" x14ac:dyDescent="0.25">
      <c r="B347" s="1">
        <v>0</v>
      </c>
      <c r="C347" s="1">
        <v>0</v>
      </c>
      <c r="D347" s="1">
        <v>0.7</v>
      </c>
      <c r="E347" s="1">
        <v>0.3</v>
      </c>
      <c r="F347" s="1">
        <v>29</v>
      </c>
      <c r="G347" s="1">
        <v>1</v>
      </c>
      <c r="H347" s="1">
        <v>7</v>
      </c>
      <c r="I347" s="1">
        <v>3</v>
      </c>
      <c r="J347" s="1">
        <v>0</v>
      </c>
      <c r="K347" s="1">
        <v>0</v>
      </c>
      <c r="L347" s="1">
        <v>12171</v>
      </c>
      <c r="M347" s="1">
        <v>0</v>
      </c>
    </row>
    <row r="348" spans="2:13" x14ac:dyDescent="0.25">
      <c r="B348" s="1">
        <v>0</v>
      </c>
      <c r="C348" s="1">
        <v>0</v>
      </c>
      <c r="D348" s="1">
        <v>0.7</v>
      </c>
      <c r="E348" s="1">
        <v>0.3</v>
      </c>
      <c r="F348" s="1">
        <v>29</v>
      </c>
      <c r="G348" s="1">
        <v>1</v>
      </c>
      <c r="H348" s="1">
        <v>0</v>
      </c>
      <c r="I348" s="1">
        <v>2</v>
      </c>
      <c r="J348" s="1">
        <v>0</v>
      </c>
      <c r="K348" s="1">
        <v>0</v>
      </c>
      <c r="L348" s="1">
        <v>4253</v>
      </c>
      <c r="M348" s="1">
        <v>0</v>
      </c>
    </row>
    <row r="349" spans="2:13" x14ac:dyDescent="0.25">
      <c r="B349" s="1">
        <v>0</v>
      </c>
      <c r="C349" s="1">
        <v>0</v>
      </c>
      <c r="D349" s="1">
        <v>1</v>
      </c>
      <c r="E349" s="1">
        <v>0</v>
      </c>
      <c r="F349" s="1">
        <v>21</v>
      </c>
      <c r="G349" s="1">
        <v>1</v>
      </c>
      <c r="H349" s="1">
        <v>4</v>
      </c>
      <c r="I349" s="1">
        <v>0</v>
      </c>
      <c r="J349" s="1">
        <v>2</v>
      </c>
      <c r="K349" s="1">
        <v>0</v>
      </c>
      <c r="L349" s="1">
        <v>13604</v>
      </c>
      <c r="M349" s="1">
        <v>1</v>
      </c>
    </row>
    <row r="350" spans="2:13" x14ac:dyDescent="0.25">
      <c r="B350" s="1">
        <v>0</v>
      </c>
      <c r="C350" s="1">
        <v>0</v>
      </c>
      <c r="D350" s="1">
        <v>1</v>
      </c>
      <c r="E350" s="1">
        <v>0</v>
      </c>
      <c r="F350" s="1">
        <v>20</v>
      </c>
      <c r="G350" s="1">
        <v>1</v>
      </c>
      <c r="H350" s="1">
        <v>2</v>
      </c>
      <c r="I350" s="1">
        <v>0</v>
      </c>
      <c r="J350" s="1">
        <v>3</v>
      </c>
      <c r="K350" s="1">
        <v>0</v>
      </c>
      <c r="L350" s="1">
        <v>5476</v>
      </c>
      <c r="M350" s="1">
        <v>0</v>
      </c>
    </row>
    <row r="351" spans="2:13" x14ac:dyDescent="0.25">
      <c r="B351" s="1">
        <v>0</v>
      </c>
      <c r="C351" s="1">
        <v>0</v>
      </c>
      <c r="D351" s="1">
        <v>1</v>
      </c>
      <c r="E351" s="1">
        <v>0</v>
      </c>
      <c r="F351" s="1">
        <v>20</v>
      </c>
      <c r="G351" s="1">
        <v>1</v>
      </c>
      <c r="H351" s="1">
        <v>3</v>
      </c>
      <c r="I351" s="1">
        <v>0</v>
      </c>
      <c r="J351" s="1">
        <v>4</v>
      </c>
      <c r="K351" s="1">
        <v>0</v>
      </c>
      <c r="L351" s="1">
        <v>10686</v>
      </c>
      <c r="M351" s="1">
        <v>0</v>
      </c>
    </row>
    <row r="352" spans="2:13" x14ac:dyDescent="0.25">
      <c r="B352" s="1">
        <v>0</v>
      </c>
      <c r="C352" s="1">
        <v>0</v>
      </c>
      <c r="D352" s="1">
        <v>1</v>
      </c>
      <c r="E352" s="1">
        <v>0</v>
      </c>
      <c r="F352" s="1">
        <v>20</v>
      </c>
      <c r="G352" s="1">
        <v>1</v>
      </c>
      <c r="H352" s="1">
        <v>3</v>
      </c>
      <c r="I352" s="1">
        <v>0</v>
      </c>
      <c r="J352" s="1">
        <v>3</v>
      </c>
      <c r="K352" s="1">
        <v>0</v>
      </c>
      <c r="L352" s="1">
        <v>11933</v>
      </c>
      <c r="M352" s="1">
        <v>0</v>
      </c>
    </row>
    <row r="353" spans="2:13" x14ac:dyDescent="0.25">
      <c r="B353" s="1">
        <v>0</v>
      </c>
      <c r="C353" s="1">
        <v>0</v>
      </c>
      <c r="D353" s="1">
        <v>1</v>
      </c>
      <c r="E353" s="1">
        <v>0</v>
      </c>
      <c r="F353" s="1">
        <v>20</v>
      </c>
      <c r="G353" s="1">
        <v>1</v>
      </c>
      <c r="H353" s="1">
        <v>4</v>
      </c>
      <c r="I353" s="1">
        <v>1</v>
      </c>
      <c r="J353" s="1">
        <v>1</v>
      </c>
      <c r="K353" s="1">
        <v>0</v>
      </c>
      <c r="L353" s="1">
        <v>12742</v>
      </c>
      <c r="M353" s="1">
        <v>1</v>
      </c>
    </row>
    <row r="354" spans="2:13" x14ac:dyDescent="0.25">
      <c r="B354" s="1">
        <v>0</v>
      </c>
      <c r="C354" s="1">
        <v>0</v>
      </c>
      <c r="D354" s="1">
        <v>1</v>
      </c>
      <c r="E354" s="1">
        <v>0</v>
      </c>
      <c r="F354" s="1">
        <v>20</v>
      </c>
      <c r="G354" s="1">
        <v>1</v>
      </c>
      <c r="H354" s="1">
        <v>3</v>
      </c>
      <c r="I354" s="1">
        <v>1</v>
      </c>
      <c r="J354" s="1">
        <v>1</v>
      </c>
      <c r="K354" s="1">
        <v>0</v>
      </c>
      <c r="L354" s="1">
        <v>8330</v>
      </c>
      <c r="M354" s="1">
        <v>1</v>
      </c>
    </row>
    <row r="355" spans="2:13" x14ac:dyDescent="0.25">
      <c r="B355" s="1">
        <v>0</v>
      </c>
      <c r="C355" s="1">
        <v>0</v>
      </c>
      <c r="D355" s="1">
        <v>1</v>
      </c>
      <c r="E355" s="1">
        <v>0</v>
      </c>
      <c r="F355" s="1">
        <v>19</v>
      </c>
      <c r="G355" s="1">
        <v>0</v>
      </c>
      <c r="H355" s="1">
        <v>7</v>
      </c>
      <c r="I355" s="1">
        <v>4</v>
      </c>
      <c r="J355" s="1">
        <v>0</v>
      </c>
      <c r="K355" s="1">
        <v>0</v>
      </c>
      <c r="L355" s="1">
        <v>9629</v>
      </c>
      <c r="M355" s="1">
        <v>0</v>
      </c>
    </row>
    <row r="356" spans="2:13" x14ac:dyDescent="0.25">
      <c r="B356" s="1">
        <v>0</v>
      </c>
      <c r="C356" s="1">
        <v>0</v>
      </c>
      <c r="D356" s="1">
        <v>1</v>
      </c>
      <c r="E356" s="1">
        <v>0</v>
      </c>
      <c r="F356" s="1">
        <v>19</v>
      </c>
      <c r="G356" s="1">
        <v>1</v>
      </c>
      <c r="H356" s="1">
        <v>3</v>
      </c>
      <c r="I356" s="1">
        <v>1</v>
      </c>
      <c r="J356" s="1">
        <v>4</v>
      </c>
      <c r="K356" s="1">
        <v>0</v>
      </c>
      <c r="L356" s="1">
        <v>7965</v>
      </c>
      <c r="M356" s="1">
        <v>0</v>
      </c>
    </row>
    <row r="357" spans="2:13" x14ac:dyDescent="0.25">
      <c r="B357" s="1">
        <v>0</v>
      </c>
      <c r="C357" s="1">
        <v>0</v>
      </c>
      <c r="D357" s="1">
        <v>1</v>
      </c>
      <c r="E357" s="1">
        <v>0</v>
      </c>
      <c r="F357" s="1">
        <v>19</v>
      </c>
      <c r="G357" s="1">
        <v>1</v>
      </c>
      <c r="H357" s="1">
        <v>18</v>
      </c>
      <c r="I357" s="1">
        <v>1</v>
      </c>
      <c r="J357" s="1">
        <v>0</v>
      </c>
      <c r="K357" s="1">
        <v>0</v>
      </c>
      <c r="L357" s="1">
        <v>28996</v>
      </c>
      <c r="M357" s="1">
        <v>0</v>
      </c>
    </row>
    <row r="358" spans="2:13" x14ac:dyDescent="0.25">
      <c r="B358" s="1">
        <v>0</v>
      </c>
      <c r="C358" s="1">
        <v>0</v>
      </c>
      <c r="D358" s="1">
        <v>1</v>
      </c>
      <c r="E358" s="1">
        <v>0</v>
      </c>
      <c r="F358" s="1">
        <v>19</v>
      </c>
      <c r="G358" s="1">
        <v>1</v>
      </c>
      <c r="H358" s="1">
        <v>4</v>
      </c>
      <c r="I358" s="1">
        <v>0</v>
      </c>
      <c r="J358" s="1">
        <v>1</v>
      </c>
      <c r="K358" s="1">
        <v>0</v>
      </c>
      <c r="L358" s="1">
        <v>18616</v>
      </c>
      <c r="M358" s="1">
        <v>1</v>
      </c>
    </row>
    <row r="359" spans="2:13" x14ac:dyDescent="0.25">
      <c r="B359" s="1">
        <v>0</v>
      </c>
      <c r="C359" s="1">
        <v>0</v>
      </c>
      <c r="D359" s="1">
        <v>0.9285714285714286</v>
      </c>
      <c r="E359" s="1">
        <v>7.1428571428571411E-2</v>
      </c>
      <c r="F359" s="1">
        <v>0</v>
      </c>
      <c r="G359" s="1">
        <v>0</v>
      </c>
      <c r="H359" s="1">
        <v>2</v>
      </c>
      <c r="I359" s="1">
        <v>0</v>
      </c>
      <c r="J359" s="1">
        <v>0</v>
      </c>
      <c r="K359" s="1">
        <v>0</v>
      </c>
      <c r="L359" s="1">
        <v>1216</v>
      </c>
      <c r="M359" s="1">
        <v>0</v>
      </c>
    </row>
    <row r="360" spans="2:13" x14ac:dyDescent="0.25">
      <c r="B360" s="1">
        <v>0</v>
      </c>
      <c r="C360" s="1">
        <v>0</v>
      </c>
      <c r="D360" s="1">
        <v>0.91666666666666663</v>
      </c>
      <c r="E360" s="1">
        <v>8.3333333333333329E-2</v>
      </c>
      <c r="F360" s="1">
        <v>0</v>
      </c>
      <c r="G360" s="1">
        <v>1</v>
      </c>
      <c r="H360" s="1">
        <v>2</v>
      </c>
      <c r="I360" s="1">
        <v>0</v>
      </c>
      <c r="J360" s="1">
        <v>0</v>
      </c>
      <c r="K360" s="1">
        <v>0</v>
      </c>
      <c r="L360" s="1">
        <v>1279</v>
      </c>
      <c r="M360" s="1">
        <v>0</v>
      </c>
    </row>
    <row r="361" spans="2:13" x14ac:dyDescent="0.25">
      <c r="B361" s="1">
        <v>0</v>
      </c>
      <c r="C361" s="1">
        <v>0</v>
      </c>
      <c r="D361" s="1">
        <v>0.91666666666666663</v>
      </c>
      <c r="E361" s="1">
        <v>8.3333333333333329E-2</v>
      </c>
      <c r="F361" s="1">
        <v>0</v>
      </c>
      <c r="G361" s="1">
        <v>1</v>
      </c>
      <c r="H361" s="1">
        <v>2</v>
      </c>
      <c r="I361" s="1">
        <v>0</v>
      </c>
      <c r="J361" s="1">
        <v>0</v>
      </c>
      <c r="K361" s="1">
        <v>0</v>
      </c>
      <c r="L361" s="1">
        <v>1434</v>
      </c>
      <c r="M361" s="1">
        <v>0</v>
      </c>
    </row>
    <row r="362" spans="2:13" x14ac:dyDescent="0.25">
      <c r="B362" s="1">
        <v>0</v>
      </c>
      <c r="C362" s="1">
        <v>0</v>
      </c>
      <c r="D362" s="1">
        <v>0.7857142857142857</v>
      </c>
      <c r="E362" s="1">
        <v>0.21428571428571427</v>
      </c>
      <c r="F362" s="1">
        <v>0</v>
      </c>
      <c r="G362" s="1">
        <v>1</v>
      </c>
      <c r="H362" s="1">
        <v>1</v>
      </c>
      <c r="I362" s="1">
        <v>0</v>
      </c>
      <c r="J362" s="1">
        <v>0</v>
      </c>
      <c r="K362" s="1">
        <v>0</v>
      </c>
      <c r="L362" s="1">
        <v>622</v>
      </c>
      <c r="M362" s="1">
        <v>0</v>
      </c>
    </row>
    <row r="363" spans="2:13" x14ac:dyDescent="0.25">
      <c r="B363" s="1">
        <v>0</v>
      </c>
      <c r="C363" s="1">
        <v>0</v>
      </c>
      <c r="D363" s="1">
        <v>1</v>
      </c>
      <c r="E363" s="1">
        <v>0</v>
      </c>
      <c r="F363" s="1">
        <v>0</v>
      </c>
      <c r="G363" s="1">
        <v>1</v>
      </c>
      <c r="H363" s="1">
        <v>3</v>
      </c>
      <c r="I363" s="1">
        <v>0</v>
      </c>
      <c r="J363" s="1">
        <v>0</v>
      </c>
      <c r="K363" s="1">
        <v>0</v>
      </c>
      <c r="L363" s="1">
        <v>1943</v>
      </c>
      <c r="M363" s="1">
        <v>0</v>
      </c>
    </row>
    <row r="364" spans="2:13" x14ac:dyDescent="0.25">
      <c r="B364" s="1">
        <v>0</v>
      </c>
      <c r="C364" s="1">
        <v>0</v>
      </c>
      <c r="D364" s="1">
        <v>1</v>
      </c>
      <c r="E364" s="1">
        <v>0</v>
      </c>
      <c r="F364" s="1">
        <v>0</v>
      </c>
      <c r="G364" s="1">
        <v>0</v>
      </c>
      <c r="H364" s="1">
        <v>1</v>
      </c>
      <c r="I364" s="1">
        <v>0</v>
      </c>
      <c r="J364" s="1">
        <v>0</v>
      </c>
      <c r="K364" s="1">
        <v>0</v>
      </c>
      <c r="L364" s="1">
        <v>1435</v>
      </c>
      <c r="M364" s="1">
        <v>0</v>
      </c>
    </row>
    <row r="365" spans="2:13" x14ac:dyDescent="0.25">
      <c r="B365" s="1">
        <v>0</v>
      </c>
      <c r="C365" s="1">
        <v>0</v>
      </c>
      <c r="D365" s="1">
        <v>0.91666666666666663</v>
      </c>
      <c r="E365" s="1">
        <v>8.3333333333333329E-2</v>
      </c>
      <c r="F365" s="1">
        <v>0</v>
      </c>
      <c r="G365" s="1">
        <v>1</v>
      </c>
      <c r="H365" s="1">
        <v>2</v>
      </c>
      <c r="I365" s="1">
        <v>0</v>
      </c>
      <c r="J365" s="1">
        <v>0</v>
      </c>
      <c r="K365" s="1">
        <v>0</v>
      </c>
      <c r="L365" s="1">
        <v>1191</v>
      </c>
      <c r="M365" s="1">
        <v>0</v>
      </c>
    </row>
    <row r="366" spans="2:13" x14ac:dyDescent="0.25">
      <c r="B366" s="1">
        <v>0</v>
      </c>
      <c r="C366" s="1">
        <v>0</v>
      </c>
      <c r="D366" s="1">
        <v>1</v>
      </c>
      <c r="E366" s="1">
        <v>0</v>
      </c>
      <c r="F366" s="1">
        <v>0</v>
      </c>
      <c r="G366" s="1">
        <v>0</v>
      </c>
      <c r="H366" s="1">
        <v>3</v>
      </c>
      <c r="I366" s="1">
        <v>0</v>
      </c>
      <c r="J366" s="1">
        <v>0</v>
      </c>
      <c r="K366" s="1">
        <v>0</v>
      </c>
      <c r="L366" s="1">
        <v>1468</v>
      </c>
      <c r="M366" s="1">
        <v>0</v>
      </c>
    </row>
    <row r="367" spans="2:13" x14ac:dyDescent="0.25">
      <c r="B367" s="1">
        <v>0</v>
      </c>
      <c r="C367" s="1">
        <v>0</v>
      </c>
      <c r="D367" s="1">
        <v>0.91666666666666663</v>
      </c>
      <c r="E367" s="1">
        <v>8.3333333333333329E-2</v>
      </c>
      <c r="F367" s="1">
        <v>0</v>
      </c>
      <c r="G367" s="1">
        <v>1</v>
      </c>
      <c r="H367" s="1">
        <v>3</v>
      </c>
      <c r="I367" s="1">
        <v>0</v>
      </c>
      <c r="J367" s="1">
        <v>0</v>
      </c>
      <c r="K367" s="1">
        <v>0</v>
      </c>
      <c r="L367" s="1">
        <v>1614</v>
      </c>
      <c r="M367" s="1">
        <v>0</v>
      </c>
    </row>
    <row r="368" spans="2:13" x14ac:dyDescent="0.25">
      <c r="B368" s="1">
        <v>0</v>
      </c>
      <c r="C368" s="1">
        <v>0</v>
      </c>
      <c r="D368" s="1">
        <v>1</v>
      </c>
      <c r="E368" s="1">
        <v>0</v>
      </c>
      <c r="F368" s="1">
        <v>0</v>
      </c>
      <c r="G368" s="1">
        <v>0</v>
      </c>
      <c r="H368" s="1">
        <v>2</v>
      </c>
      <c r="I368" s="1">
        <v>0</v>
      </c>
      <c r="J368" s="1">
        <v>0</v>
      </c>
      <c r="K368" s="1">
        <v>0</v>
      </c>
      <c r="L368" s="1">
        <v>1463</v>
      </c>
      <c r="M368" s="1">
        <v>0</v>
      </c>
    </row>
    <row r="369" spans="2:13" x14ac:dyDescent="0.25">
      <c r="B369" s="1">
        <v>0</v>
      </c>
      <c r="C369" s="1">
        <v>0</v>
      </c>
      <c r="D369" s="1">
        <v>0.7857142857142857</v>
      </c>
      <c r="E369" s="1">
        <v>0.21428571428571427</v>
      </c>
      <c r="F369" s="1">
        <v>0</v>
      </c>
      <c r="G369" s="1">
        <v>1</v>
      </c>
      <c r="H369" s="1">
        <v>2</v>
      </c>
      <c r="I369" s="1">
        <v>0</v>
      </c>
      <c r="J369" s="1">
        <v>0</v>
      </c>
      <c r="K369" s="1">
        <v>0</v>
      </c>
      <c r="L369" s="1">
        <v>1070</v>
      </c>
      <c r="M369" s="1">
        <v>0</v>
      </c>
    </row>
    <row r="370" spans="2:13" x14ac:dyDescent="0.25">
      <c r="B370" s="1">
        <v>0</v>
      </c>
      <c r="C370" s="1">
        <v>0</v>
      </c>
      <c r="D370" s="1">
        <v>0.9285714285714286</v>
      </c>
      <c r="E370" s="1">
        <v>7.1428571428571411E-2</v>
      </c>
      <c r="F370" s="1">
        <v>0</v>
      </c>
      <c r="G370" s="1">
        <v>0</v>
      </c>
      <c r="H370" s="1">
        <v>1</v>
      </c>
      <c r="I370" s="1">
        <v>0</v>
      </c>
      <c r="J370" s="1">
        <v>0</v>
      </c>
      <c r="K370" s="1">
        <v>0</v>
      </c>
      <c r="L370" s="1">
        <v>622</v>
      </c>
      <c r="M370" s="1">
        <v>0</v>
      </c>
    </row>
    <row r="371" spans="2:13" x14ac:dyDescent="0.25">
      <c r="B371" s="1">
        <v>0</v>
      </c>
      <c r="C371" s="1">
        <v>0</v>
      </c>
      <c r="D371" s="1">
        <v>1</v>
      </c>
      <c r="E371" s="1">
        <v>0</v>
      </c>
      <c r="F371" s="1">
        <v>0</v>
      </c>
      <c r="G371" s="1">
        <v>1</v>
      </c>
      <c r="H371" s="1">
        <v>4</v>
      </c>
      <c r="I371" s="1">
        <v>0</v>
      </c>
      <c r="J371" s="1">
        <v>0</v>
      </c>
      <c r="K371" s="1">
        <v>0</v>
      </c>
      <c r="L371" s="1">
        <v>1891</v>
      </c>
      <c r="M371" s="1">
        <v>0</v>
      </c>
    </row>
    <row r="372" spans="2:13" x14ac:dyDescent="0.25">
      <c r="B372" s="1">
        <v>0</v>
      </c>
      <c r="C372" s="1">
        <v>0</v>
      </c>
      <c r="D372" s="1">
        <v>0.91666666666666663</v>
      </c>
      <c r="E372" s="1">
        <v>8.3333333333333329E-2</v>
      </c>
      <c r="F372" s="1">
        <v>0</v>
      </c>
      <c r="G372" s="1">
        <v>1</v>
      </c>
      <c r="H372" s="1">
        <v>2</v>
      </c>
      <c r="I372" s="1">
        <v>0</v>
      </c>
      <c r="J372" s="1">
        <v>0</v>
      </c>
      <c r="K372" s="1">
        <v>0</v>
      </c>
      <c r="L372" s="1">
        <v>1309</v>
      </c>
      <c r="M372" s="1">
        <v>0</v>
      </c>
    </row>
    <row r="373" spans="2:13" x14ac:dyDescent="0.25">
      <c r="B373" s="1">
        <v>0</v>
      </c>
      <c r="C373" s="1">
        <v>0</v>
      </c>
      <c r="D373" s="1">
        <v>1</v>
      </c>
      <c r="E373" s="1">
        <v>0</v>
      </c>
      <c r="F373" s="1">
        <v>0</v>
      </c>
      <c r="G373" s="1">
        <v>0</v>
      </c>
      <c r="H373" s="1">
        <v>3</v>
      </c>
      <c r="I373" s="1">
        <v>0</v>
      </c>
      <c r="J373" s="1">
        <v>1</v>
      </c>
      <c r="K373" s="1">
        <v>0</v>
      </c>
      <c r="L373" s="1">
        <v>2039</v>
      </c>
      <c r="M373" s="1">
        <v>1</v>
      </c>
    </row>
    <row r="374" spans="2:13" x14ac:dyDescent="0.25">
      <c r="B374" s="1">
        <v>0</v>
      </c>
      <c r="C374" s="1">
        <v>0</v>
      </c>
      <c r="D374" s="1">
        <v>1</v>
      </c>
      <c r="E374" s="1">
        <v>0</v>
      </c>
      <c r="F374" s="1">
        <v>0</v>
      </c>
      <c r="G374" s="1">
        <v>0</v>
      </c>
      <c r="H374" s="1">
        <v>2</v>
      </c>
      <c r="I374" s="1">
        <v>0</v>
      </c>
      <c r="J374" s="1">
        <v>1</v>
      </c>
      <c r="K374" s="1">
        <v>0</v>
      </c>
      <c r="L374" s="1">
        <v>1667</v>
      </c>
      <c r="M374" s="1">
        <v>1</v>
      </c>
    </row>
    <row r="375" spans="2:13" x14ac:dyDescent="0.25">
      <c r="B375" s="1">
        <v>0</v>
      </c>
      <c r="C375" s="1">
        <v>0</v>
      </c>
      <c r="D375" s="1">
        <v>1</v>
      </c>
      <c r="E375" s="1">
        <v>0</v>
      </c>
      <c r="F375" s="1">
        <v>0</v>
      </c>
      <c r="G375" s="1">
        <v>0</v>
      </c>
      <c r="H375" s="1">
        <v>3</v>
      </c>
      <c r="I375" s="1">
        <v>0</v>
      </c>
      <c r="J375" s="1">
        <v>1</v>
      </c>
      <c r="K375" s="1">
        <v>0</v>
      </c>
      <c r="L375" s="1">
        <v>1893</v>
      </c>
      <c r="M375" s="1">
        <v>1</v>
      </c>
    </row>
    <row r="376" spans="2:13" x14ac:dyDescent="0.25">
      <c r="B376" s="1">
        <v>0</v>
      </c>
      <c r="C376" s="1">
        <v>0</v>
      </c>
      <c r="D376" s="1">
        <v>1</v>
      </c>
      <c r="E376" s="1">
        <v>0</v>
      </c>
      <c r="F376" s="1">
        <v>0</v>
      </c>
      <c r="G376" s="1">
        <v>0</v>
      </c>
      <c r="H376" s="1">
        <v>2</v>
      </c>
      <c r="I376" s="1">
        <v>0</v>
      </c>
      <c r="J376" s="1">
        <v>1</v>
      </c>
      <c r="K376" s="1">
        <v>0</v>
      </c>
      <c r="L376" s="1">
        <v>1879</v>
      </c>
      <c r="M376" s="1">
        <v>1</v>
      </c>
    </row>
    <row r="377" spans="2:13" x14ac:dyDescent="0.25">
      <c r="B377" s="17">
        <v>1</v>
      </c>
      <c r="C377" s="17">
        <v>0</v>
      </c>
      <c r="D377" s="17">
        <v>0.16666666666666666</v>
      </c>
      <c r="E377" s="17">
        <v>0.83333333333333326</v>
      </c>
      <c r="F377" s="17">
        <v>0</v>
      </c>
      <c r="G377" s="17">
        <v>0</v>
      </c>
      <c r="H377" s="17">
        <v>18</v>
      </c>
      <c r="I377" s="17">
        <v>0</v>
      </c>
      <c r="J377" s="17">
        <v>6</v>
      </c>
      <c r="K377" s="17">
        <v>0</v>
      </c>
      <c r="L377" s="17">
        <v>45924</v>
      </c>
      <c r="M377" s="17">
        <v>1</v>
      </c>
    </row>
    <row r="378" spans="2:13" x14ac:dyDescent="0.25">
      <c r="B378" s="1">
        <v>0</v>
      </c>
      <c r="C378" s="1">
        <v>0</v>
      </c>
      <c r="D378" s="1">
        <v>0.5</v>
      </c>
      <c r="E378" s="1">
        <v>0.5</v>
      </c>
      <c r="F378" s="1">
        <v>101</v>
      </c>
      <c r="G378" s="1">
        <v>1</v>
      </c>
      <c r="H378" s="1">
        <v>3</v>
      </c>
      <c r="I378" s="1">
        <v>3</v>
      </c>
      <c r="J378" s="1">
        <v>0</v>
      </c>
      <c r="K378" s="1">
        <v>0</v>
      </c>
      <c r="L378" s="1">
        <v>8495</v>
      </c>
      <c r="M378" s="1">
        <v>0</v>
      </c>
    </row>
    <row r="379" spans="2:13" x14ac:dyDescent="0.25">
      <c r="B379" s="1">
        <v>0</v>
      </c>
      <c r="C379" s="1">
        <v>0</v>
      </c>
      <c r="D379" s="1">
        <v>0.95652173913043481</v>
      </c>
      <c r="E379" s="1">
        <v>4.3478260869565209E-2</v>
      </c>
      <c r="F379" s="1">
        <v>92</v>
      </c>
      <c r="G379" s="1">
        <v>0</v>
      </c>
      <c r="H379" s="1">
        <v>2</v>
      </c>
      <c r="I379" s="1">
        <v>3</v>
      </c>
      <c r="J379" s="1">
        <v>0</v>
      </c>
      <c r="K379" s="1">
        <v>0</v>
      </c>
      <c r="L379" s="1">
        <v>9689</v>
      </c>
      <c r="M379" s="1">
        <v>0</v>
      </c>
    </row>
    <row r="380" spans="2:13" x14ac:dyDescent="0.25">
      <c r="B380" s="1">
        <v>0</v>
      </c>
      <c r="C380" s="1">
        <v>0</v>
      </c>
      <c r="D380" s="1">
        <v>0.625</v>
      </c>
      <c r="E380" s="1">
        <v>0.37500000000000006</v>
      </c>
      <c r="F380" s="1">
        <v>90</v>
      </c>
      <c r="G380" s="1">
        <v>1</v>
      </c>
      <c r="H380" s="1">
        <v>2</v>
      </c>
      <c r="I380" s="1">
        <v>2</v>
      </c>
      <c r="J380" s="1">
        <v>0</v>
      </c>
      <c r="K380" s="1">
        <v>0</v>
      </c>
      <c r="L380" s="1">
        <v>11094</v>
      </c>
      <c r="M380" s="1">
        <v>0</v>
      </c>
    </row>
    <row r="381" spans="2:13" x14ac:dyDescent="0.25">
      <c r="B381" s="1">
        <v>0</v>
      </c>
      <c r="C381" s="1">
        <v>0</v>
      </c>
      <c r="D381" s="1">
        <v>1</v>
      </c>
      <c r="E381" s="1">
        <v>0</v>
      </c>
      <c r="F381" s="1">
        <v>90</v>
      </c>
      <c r="G381" s="1">
        <v>1</v>
      </c>
      <c r="H381" s="1">
        <v>7</v>
      </c>
      <c r="I381" s="1">
        <v>4</v>
      </c>
      <c r="J381" s="1">
        <v>0</v>
      </c>
      <c r="K381" s="1">
        <v>0</v>
      </c>
      <c r="L381" s="1">
        <v>21768</v>
      </c>
      <c r="M381" s="1">
        <v>0</v>
      </c>
    </row>
    <row r="382" spans="2:13" x14ac:dyDescent="0.25">
      <c r="B382" s="1">
        <v>0</v>
      </c>
      <c r="C382" s="1">
        <v>0</v>
      </c>
      <c r="D382" s="1">
        <v>0.95652173913043481</v>
      </c>
      <c r="E382" s="1">
        <v>4.3478260869565209E-2</v>
      </c>
      <c r="F382" s="1">
        <v>90</v>
      </c>
      <c r="G382" s="1">
        <v>0</v>
      </c>
      <c r="H382" s="1">
        <v>6</v>
      </c>
      <c r="I382" s="1">
        <v>3</v>
      </c>
      <c r="J382" s="1">
        <v>0</v>
      </c>
      <c r="K382" s="1">
        <v>0</v>
      </c>
      <c r="L382" s="1">
        <v>9584</v>
      </c>
      <c r="M382" s="1">
        <v>0</v>
      </c>
    </row>
    <row r="383" spans="2:13" x14ac:dyDescent="0.25">
      <c r="B383" s="17">
        <v>1</v>
      </c>
      <c r="C383" s="17">
        <v>0</v>
      </c>
      <c r="D383" s="17">
        <v>0.36</v>
      </c>
      <c r="E383" s="17">
        <v>0.64</v>
      </c>
      <c r="F383" s="17">
        <v>89</v>
      </c>
      <c r="G383" s="17">
        <v>1</v>
      </c>
      <c r="H383" s="17">
        <v>5</v>
      </c>
      <c r="I383" s="17">
        <v>5</v>
      </c>
      <c r="J383" s="17">
        <v>0</v>
      </c>
      <c r="K383" s="17">
        <v>0</v>
      </c>
      <c r="L383" s="17">
        <v>14966</v>
      </c>
      <c r="M383" s="17">
        <v>0</v>
      </c>
    </row>
    <row r="384" spans="2:13" x14ac:dyDescent="0.25">
      <c r="B384" s="1">
        <v>0</v>
      </c>
      <c r="C384" s="1">
        <v>0</v>
      </c>
      <c r="D384" s="1">
        <v>0.55555555555555547</v>
      </c>
      <c r="E384" s="1">
        <v>0.44444444444444448</v>
      </c>
      <c r="F384" s="1">
        <v>88</v>
      </c>
      <c r="G384" s="1">
        <v>0</v>
      </c>
      <c r="H384" s="1">
        <v>2</v>
      </c>
      <c r="I384" s="1">
        <v>7</v>
      </c>
      <c r="J384" s="1">
        <v>0</v>
      </c>
      <c r="K384" s="1">
        <v>0</v>
      </c>
      <c r="L384" s="1">
        <v>6179</v>
      </c>
      <c r="M384" s="1">
        <v>0</v>
      </c>
    </row>
    <row r="385" spans="2:13" x14ac:dyDescent="0.25">
      <c r="B385" s="1">
        <v>0</v>
      </c>
      <c r="C385" s="1">
        <v>0</v>
      </c>
      <c r="D385" s="1">
        <v>0.73913043478260865</v>
      </c>
      <c r="E385" s="1">
        <v>0.2608695652173913</v>
      </c>
      <c r="F385" s="1">
        <v>88</v>
      </c>
      <c r="G385" s="1">
        <v>1</v>
      </c>
      <c r="H385" s="1">
        <v>3</v>
      </c>
      <c r="I385" s="1">
        <v>3</v>
      </c>
      <c r="J385" s="1">
        <v>3</v>
      </c>
      <c r="K385" s="1">
        <v>0</v>
      </c>
      <c r="L385" s="1">
        <v>41732</v>
      </c>
      <c r="M385" s="1">
        <v>1</v>
      </c>
    </row>
    <row r="386" spans="2:13" x14ac:dyDescent="0.25">
      <c r="B386" s="1">
        <v>0</v>
      </c>
      <c r="C386" s="1">
        <v>0</v>
      </c>
      <c r="D386" s="1">
        <v>0.73913043478260865</v>
      </c>
      <c r="E386" s="1">
        <v>0.2608695652173913</v>
      </c>
      <c r="F386" s="1">
        <v>88</v>
      </c>
      <c r="G386" s="1">
        <v>1</v>
      </c>
      <c r="H386" s="1">
        <v>11</v>
      </c>
      <c r="I386" s="1">
        <v>3</v>
      </c>
      <c r="J386" s="1">
        <v>1</v>
      </c>
      <c r="K386" s="1">
        <v>0</v>
      </c>
      <c r="L386" s="1">
        <v>51005</v>
      </c>
      <c r="M386" s="1">
        <v>1</v>
      </c>
    </row>
    <row r="387" spans="2:13" x14ac:dyDescent="0.25">
      <c r="B387" s="1">
        <v>0</v>
      </c>
      <c r="C387" s="1">
        <v>0</v>
      </c>
      <c r="D387" s="1">
        <v>0.625</v>
      </c>
      <c r="E387" s="1">
        <v>0.37500000000000006</v>
      </c>
      <c r="F387" s="1">
        <v>88</v>
      </c>
      <c r="G387" s="1">
        <v>1</v>
      </c>
      <c r="H387" s="1">
        <v>3</v>
      </c>
      <c r="I387" s="1">
        <v>2</v>
      </c>
      <c r="J387" s="1">
        <v>1</v>
      </c>
      <c r="K387" s="1">
        <v>0</v>
      </c>
      <c r="L387" s="1">
        <v>11656</v>
      </c>
      <c r="M387" s="1">
        <v>1</v>
      </c>
    </row>
    <row r="388" spans="2:13" x14ac:dyDescent="0.25">
      <c r="B388" s="1">
        <v>0</v>
      </c>
      <c r="C388" s="1">
        <v>0</v>
      </c>
      <c r="D388" s="1">
        <v>0.73913043478260865</v>
      </c>
      <c r="E388" s="1">
        <v>0.2608695652173913</v>
      </c>
      <c r="F388" s="1">
        <v>88</v>
      </c>
      <c r="G388" s="1">
        <v>1</v>
      </c>
      <c r="H388" s="1">
        <v>4</v>
      </c>
      <c r="I388" s="1">
        <v>2</v>
      </c>
      <c r="J388" s="1">
        <v>1</v>
      </c>
      <c r="K388" s="1">
        <v>0</v>
      </c>
      <c r="L388" s="1">
        <v>46539</v>
      </c>
      <c r="M388" s="1">
        <v>1</v>
      </c>
    </row>
    <row r="389" spans="2:13" x14ac:dyDescent="0.25">
      <c r="B389" s="1">
        <v>0</v>
      </c>
      <c r="C389" s="1">
        <v>0</v>
      </c>
      <c r="D389" s="1">
        <v>0.55555555555555547</v>
      </c>
      <c r="E389" s="1">
        <v>0.44444444444444448</v>
      </c>
      <c r="F389" s="1">
        <v>87</v>
      </c>
      <c r="G389" s="1">
        <v>0</v>
      </c>
      <c r="H389" s="1">
        <v>3</v>
      </c>
      <c r="I389" s="1">
        <v>5</v>
      </c>
      <c r="J389" s="1">
        <v>0</v>
      </c>
      <c r="K389" s="1">
        <v>0</v>
      </c>
      <c r="L389" s="1">
        <v>10792</v>
      </c>
      <c r="M389" s="1">
        <v>0</v>
      </c>
    </row>
    <row r="390" spans="2:13" x14ac:dyDescent="0.25">
      <c r="B390" s="17">
        <v>1</v>
      </c>
      <c r="C390" s="17">
        <v>0</v>
      </c>
      <c r="D390" s="17">
        <v>0.19999999999999996</v>
      </c>
      <c r="E390" s="17">
        <v>0.79999999999999993</v>
      </c>
      <c r="F390" s="17">
        <v>86</v>
      </c>
      <c r="G390" s="17">
        <v>0</v>
      </c>
      <c r="H390" s="17">
        <v>9</v>
      </c>
      <c r="I390" s="17">
        <v>4</v>
      </c>
      <c r="J390" s="17">
        <v>3</v>
      </c>
      <c r="K390" s="17">
        <v>0</v>
      </c>
      <c r="L390" s="17">
        <v>30686</v>
      </c>
      <c r="M390" s="17">
        <v>0</v>
      </c>
    </row>
    <row r="391" spans="2:13" x14ac:dyDescent="0.25">
      <c r="B391" s="1">
        <v>0</v>
      </c>
      <c r="C391" s="1">
        <v>0</v>
      </c>
      <c r="D391" s="1">
        <v>0.73913043478260865</v>
      </c>
      <c r="E391" s="1">
        <v>0.2608695652173913</v>
      </c>
      <c r="F391" s="1">
        <v>86</v>
      </c>
      <c r="G391" s="1">
        <v>0</v>
      </c>
      <c r="H391" s="1">
        <v>6</v>
      </c>
      <c r="I391" s="1">
        <v>2</v>
      </c>
      <c r="J391" s="1">
        <v>2</v>
      </c>
      <c r="K391" s="1">
        <v>0</v>
      </c>
      <c r="L391" s="1">
        <v>24289</v>
      </c>
      <c r="M391" s="1">
        <v>1</v>
      </c>
    </row>
    <row r="392" spans="2:13" x14ac:dyDescent="0.25">
      <c r="B392" s="1">
        <v>0</v>
      </c>
      <c r="C392" s="1">
        <v>0</v>
      </c>
      <c r="D392" s="1">
        <v>0.95652173913043481</v>
      </c>
      <c r="E392" s="1">
        <v>4.3478260869565209E-2</v>
      </c>
      <c r="F392" s="1">
        <v>85</v>
      </c>
      <c r="G392" s="1">
        <v>1</v>
      </c>
      <c r="H392" s="1">
        <v>3</v>
      </c>
      <c r="I392" s="1">
        <v>4</v>
      </c>
      <c r="J392" s="1">
        <v>0</v>
      </c>
      <c r="K392" s="1">
        <v>0</v>
      </c>
      <c r="L392" s="1">
        <v>8324</v>
      </c>
      <c r="M392" s="1">
        <v>0</v>
      </c>
    </row>
    <row r="393" spans="2:13" x14ac:dyDescent="0.25">
      <c r="B393" s="17">
        <v>1</v>
      </c>
      <c r="C393" s="17">
        <v>0</v>
      </c>
      <c r="D393" s="17">
        <v>0.36</v>
      </c>
      <c r="E393" s="17">
        <v>0.64</v>
      </c>
      <c r="F393" s="17">
        <v>85</v>
      </c>
      <c r="G393" s="17">
        <v>1</v>
      </c>
      <c r="H393" s="17">
        <v>6</v>
      </c>
      <c r="I393" s="17">
        <v>5</v>
      </c>
      <c r="J393" s="17">
        <v>0</v>
      </c>
      <c r="K393" s="17">
        <v>0</v>
      </c>
      <c r="L393" s="17">
        <v>20845</v>
      </c>
      <c r="M393" s="17">
        <v>0</v>
      </c>
    </row>
    <row r="394" spans="2:13" x14ac:dyDescent="0.25">
      <c r="B394" s="1">
        <v>0</v>
      </c>
      <c r="C394" s="1">
        <v>0</v>
      </c>
      <c r="D394" s="1">
        <v>0.73913043478260865</v>
      </c>
      <c r="E394" s="1">
        <v>0.2608695652173913</v>
      </c>
      <c r="F394" s="1">
        <v>85</v>
      </c>
      <c r="G394" s="1">
        <v>1</v>
      </c>
      <c r="H394" s="1">
        <v>17</v>
      </c>
      <c r="I394" s="1">
        <v>1</v>
      </c>
      <c r="J394" s="1">
        <v>1</v>
      </c>
      <c r="K394" s="1">
        <v>0</v>
      </c>
      <c r="L394" s="1">
        <v>84316</v>
      </c>
      <c r="M394" s="1">
        <v>0</v>
      </c>
    </row>
    <row r="395" spans="2:13" x14ac:dyDescent="0.25">
      <c r="B395" s="17">
        <v>1</v>
      </c>
      <c r="C395" s="17">
        <v>0</v>
      </c>
      <c r="D395" s="17">
        <v>0.27272727272727276</v>
      </c>
      <c r="E395" s="17">
        <v>0.72727272727272729</v>
      </c>
      <c r="F395" s="17">
        <v>84</v>
      </c>
      <c r="G395" s="17">
        <v>1</v>
      </c>
      <c r="H395" s="17">
        <v>2</v>
      </c>
      <c r="I395" s="17">
        <v>4</v>
      </c>
      <c r="J395" s="17">
        <v>0</v>
      </c>
      <c r="K395" s="17">
        <v>0</v>
      </c>
      <c r="L395" s="17">
        <v>5641</v>
      </c>
      <c r="M395" s="17">
        <v>0</v>
      </c>
    </row>
    <row r="396" spans="2:13" x14ac:dyDescent="0.25">
      <c r="B396" s="1">
        <v>0</v>
      </c>
      <c r="C396" s="1">
        <v>0</v>
      </c>
      <c r="D396" s="1">
        <v>0.95652173913043481</v>
      </c>
      <c r="E396" s="1">
        <v>4.3478260869565209E-2</v>
      </c>
      <c r="F396" s="1">
        <v>84</v>
      </c>
      <c r="G396" s="1">
        <v>0</v>
      </c>
      <c r="H396" s="1">
        <v>3</v>
      </c>
      <c r="I396" s="1">
        <v>3</v>
      </c>
      <c r="J396" s="1">
        <v>0</v>
      </c>
      <c r="K396" s="1">
        <v>0</v>
      </c>
      <c r="L396" s="1">
        <v>11589</v>
      </c>
      <c r="M396" s="1">
        <v>0</v>
      </c>
    </row>
    <row r="397" spans="2:13" x14ac:dyDescent="0.25">
      <c r="B397" s="1">
        <v>0</v>
      </c>
      <c r="C397" s="1">
        <v>0</v>
      </c>
      <c r="D397" s="1">
        <v>0.95652173913043481</v>
      </c>
      <c r="E397" s="1">
        <v>4.3478260869565209E-2</v>
      </c>
      <c r="F397" s="1">
        <v>84</v>
      </c>
      <c r="G397" s="1">
        <v>1</v>
      </c>
      <c r="H397" s="1">
        <v>2</v>
      </c>
      <c r="I397" s="1">
        <v>4</v>
      </c>
      <c r="J397" s="1">
        <v>0</v>
      </c>
      <c r="K397" s="1">
        <v>0</v>
      </c>
      <c r="L397" s="1">
        <v>9882</v>
      </c>
      <c r="M397" s="1">
        <v>0</v>
      </c>
    </row>
    <row r="398" spans="2:13" x14ac:dyDescent="0.25">
      <c r="B398" s="1">
        <v>0</v>
      </c>
      <c r="C398" s="1">
        <v>0</v>
      </c>
      <c r="D398" s="1">
        <v>0.55555555555555547</v>
      </c>
      <c r="E398" s="1">
        <v>0.44444444444444448</v>
      </c>
      <c r="F398" s="1">
        <v>82</v>
      </c>
      <c r="G398" s="1">
        <v>1</v>
      </c>
      <c r="H398" s="1">
        <v>8</v>
      </c>
      <c r="I398" s="1">
        <v>5</v>
      </c>
      <c r="J398" s="1">
        <v>0</v>
      </c>
      <c r="K398" s="1">
        <v>0</v>
      </c>
      <c r="L398" s="1">
        <v>12709</v>
      </c>
      <c r="M398" s="1">
        <v>0</v>
      </c>
    </row>
    <row r="399" spans="2:13" x14ac:dyDescent="0.25">
      <c r="B399" s="1">
        <v>0</v>
      </c>
      <c r="C399" s="1">
        <v>0</v>
      </c>
      <c r="D399" s="1">
        <v>1</v>
      </c>
      <c r="E399" s="1">
        <v>0</v>
      </c>
      <c r="F399" s="1">
        <v>80</v>
      </c>
      <c r="G399" s="1">
        <v>0</v>
      </c>
      <c r="H399" s="1">
        <v>2</v>
      </c>
      <c r="I399" s="1">
        <v>4</v>
      </c>
      <c r="J399" s="1">
        <v>1</v>
      </c>
      <c r="K399" s="1">
        <v>0</v>
      </c>
      <c r="L399" s="1">
        <v>14422</v>
      </c>
      <c r="M399" s="1">
        <v>1</v>
      </c>
    </row>
    <row r="400" spans="2:13" x14ac:dyDescent="0.25">
      <c r="B400" s="1">
        <v>0</v>
      </c>
      <c r="C400" s="1">
        <v>0</v>
      </c>
      <c r="D400" s="1">
        <v>1</v>
      </c>
      <c r="E400" s="1">
        <v>0</v>
      </c>
      <c r="F400" s="1">
        <v>79</v>
      </c>
      <c r="G400" s="1">
        <v>1</v>
      </c>
      <c r="H400" s="1">
        <v>5</v>
      </c>
      <c r="I400" s="1">
        <v>4</v>
      </c>
      <c r="J400" s="1">
        <v>2</v>
      </c>
      <c r="K400" s="1">
        <v>0</v>
      </c>
      <c r="L400" s="1">
        <v>21164</v>
      </c>
      <c r="M400" s="1">
        <v>0</v>
      </c>
    </row>
    <row r="401" spans="2:13" x14ac:dyDescent="0.25">
      <c r="B401" s="1">
        <v>0</v>
      </c>
      <c r="C401" s="1">
        <v>0</v>
      </c>
      <c r="D401" s="1">
        <v>1</v>
      </c>
      <c r="E401" s="1">
        <v>0</v>
      </c>
      <c r="F401" s="1">
        <v>79</v>
      </c>
      <c r="G401" s="1">
        <v>1</v>
      </c>
      <c r="H401" s="1">
        <v>7</v>
      </c>
      <c r="I401" s="1">
        <v>4</v>
      </c>
      <c r="J401" s="1">
        <v>0</v>
      </c>
      <c r="K401" s="1">
        <v>0</v>
      </c>
      <c r="L401" s="1">
        <v>20960</v>
      </c>
      <c r="M401" s="1">
        <v>0</v>
      </c>
    </row>
    <row r="402" spans="2:13" x14ac:dyDescent="0.25">
      <c r="B402" s="1">
        <v>0</v>
      </c>
      <c r="C402" s="1">
        <v>0</v>
      </c>
      <c r="D402" s="1">
        <v>1</v>
      </c>
      <c r="E402" s="1">
        <v>0</v>
      </c>
      <c r="F402" s="1">
        <v>79</v>
      </c>
      <c r="G402" s="1">
        <v>1</v>
      </c>
      <c r="H402" s="1">
        <v>3</v>
      </c>
      <c r="I402" s="1">
        <v>7</v>
      </c>
      <c r="J402" s="1">
        <v>0</v>
      </c>
      <c r="K402" s="1">
        <v>0</v>
      </c>
      <c r="L402" s="1">
        <v>11992</v>
      </c>
      <c r="M402" s="1">
        <v>0</v>
      </c>
    </row>
    <row r="403" spans="2:13" x14ac:dyDescent="0.25">
      <c r="B403" s="1">
        <v>0</v>
      </c>
      <c r="C403" s="1">
        <v>0</v>
      </c>
      <c r="D403" s="1">
        <v>1</v>
      </c>
      <c r="E403" s="1">
        <v>0</v>
      </c>
      <c r="F403" s="1">
        <v>79</v>
      </c>
      <c r="G403" s="1">
        <v>1</v>
      </c>
      <c r="H403" s="1">
        <v>12</v>
      </c>
      <c r="I403" s="1">
        <v>3</v>
      </c>
      <c r="J403" s="1">
        <v>0</v>
      </c>
      <c r="K403" s="1">
        <v>0</v>
      </c>
      <c r="L403" s="1">
        <v>35775</v>
      </c>
      <c r="M403" s="1">
        <v>0</v>
      </c>
    </row>
    <row r="404" spans="2:13" x14ac:dyDescent="0.25">
      <c r="B404" s="1">
        <v>0</v>
      </c>
      <c r="C404" s="1">
        <v>0</v>
      </c>
      <c r="D404" s="1">
        <v>1</v>
      </c>
      <c r="E404" s="1">
        <v>0</v>
      </c>
      <c r="F404" s="1">
        <v>79</v>
      </c>
      <c r="G404" s="1">
        <v>1</v>
      </c>
      <c r="H404" s="1">
        <v>2</v>
      </c>
      <c r="I404" s="1">
        <v>5</v>
      </c>
      <c r="J404" s="1">
        <v>0</v>
      </c>
      <c r="K404" s="1">
        <v>0</v>
      </c>
      <c r="L404" s="1">
        <v>13586</v>
      </c>
      <c r="M404" s="1">
        <v>0</v>
      </c>
    </row>
    <row r="405" spans="2:13" x14ac:dyDescent="0.25">
      <c r="B405" s="1">
        <v>0</v>
      </c>
      <c r="C405" s="1">
        <v>0</v>
      </c>
      <c r="D405" s="1">
        <v>1</v>
      </c>
      <c r="E405" s="1">
        <v>0</v>
      </c>
      <c r="F405" s="1">
        <v>79</v>
      </c>
      <c r="G405" s="1">
        <v>1</v>
      </c>
      <c r="H405" s="1">
        <v>3</v>
      </c>
      <c r="I405" s="1">
        <v>1</v>
      </c>
      <c r="J405" s="1">
        <v>2</v>
      </c>
      <c r="K405" s="1">
        <v>0</v>
      </c>
      <c r="L405" s="1">
        <v>33935</v>
      </c>
      <c r="M405" s="1">
        <v>1</v>
      </c>
    </row>
    <row r="406" spans="2:13" x14ac:dyDescent="0.25">
      <c r="B406" s="1">
        <v>0</v>
      </c>
      <c r="C406" s="1">
        <v>0</v>
      </c>
      <c r="D406" s="1">
        <v>1</v>
      </c>
      <c r="E406" s="1">
        <v>0</v>
      </c>
      <c r="F406" s="1">
        <v>79</v>
      </c>
      <c r="G406" s="1">
        <v>1</v>
      </c>
      <c r="H406" s="1">
        <v>4</v>
      </c>
      <c r="I406" s="1">
        <v>5</v>
      </c>
      <c r="J406" s="1">
        <v>2</v>
      </c>
      <c r="K406" s="1">
        <v>0</v>
      </c>
      <c r="L406" s="1">
        <v>18390</v>
      </c>
      <c r="M406" s="1">
        <v>1</v>
      </c>
    </row>
    <row r="407" spans="2:13" x14ac:dyDescent="0.25">
      <c r="B407" s="1">
        <v>0</v>
      </c>
      <c r="C407" s="1">
        <v>0</v>
      </c>
      <c r="D407" s="1">
        <v>0.5625</v>
      </c>
      <c r="E407" s="1">
        <v>0.43750000000000006</v>
      </c>
      <c r="F407" s="1">
        <v>78</v>
      </c>
      <c r="G407" s="1">
        <v>1</v>
      </c>
      <c r="H407" s="1">
        <v>2</v>
      </c>
      <c r="I407" s="1">
        <v>6</v>
      </c>
      <c r="J407" s="1">
        <v>0</v>
      </c>
      <c r="K407" s="1">
        <v>0</v>
      </c>
      <c r="L407" s="1">
        <v>5656</v>
      </c>
      <c r="M407" s="1">
        <v>0</v>
      </c>
    </row>
    <row r="408" spans="2:13" x14ac:dyDescent="0.25">
      <c r="B408" s="1">
        <v>0</v>
      </c>
      <c r="C408" s="1">
        <v>0</v>
      </c>
      <c r="D408" s="1">
        <v>0.5625</v>
      </c>
      <c r="E408" s="1">
        <v>0.43750000000000006</v>
      </c>
      <c r="F408" s="1">
        <v>78</v>
      </c>
      <c r="G408" s="1">
        <v>1</v>
      </c>
      <c r="H408" s="1">
        <v>7</v>
      </c>
      <c r="I408" s="1">
        <v>5</v>
      </c>
      <c r="J408" s="1">
        <v>0</v>
      </c>
      <c r="K408" s="1">
        <v>0</v>
      </c>
      <c r="L408" s="1">
        <v>22197</v>
      </c>
      <c r="M408" s="1">
        <v>0</v>
      </c>
    </row>
    <row r="409" spans="2:13" x14ac:dyDescent="0.25">
      <c r="B409" s="1">
        <v>0</v>
      </c>
      <c r="C409" s="1">
        <v>0</v>
      </c>
      <c r="D409" s="1">
        <v>0.5625</v>
      </c>
      <c r="E409" s="1">
        <v>0.43750000000000006</v>
      </c>
      <c r="F409" s="1">
        <v>78</v>
      </c>
      <c r="G409" s="1">
        <v>0</v>
      </c>
      <c r="H409" s="1">
        <v>6</v>
      </c>
      <c r="I409" s="1">
        <v>3</v>
      </c>
      <c r="J409" s="1">
        <v>2</v>
      </c>
      <c r="K409" s="1">
        <v>0</v>
      </c>
      <c r="L409" s="1">
        <v>36058</v>
      </c>
      <c r="M409" s="1">
        <v>1</v>
      </c>
    </row>
    <row r="410" spans="2:13" x14ac:dyDescent="0.25">
      <c r="B410" s="1">
        <v>0</v>
      </c>
      <c r="C410" s="1">
        <v>0</v>
      </c>
      <c r="D410" s="1">
        <v>0.5625</v>
      </c>
      <c r="E410" s="1">
        <v>0.43750000000000006</v>
      </c>
      <c r="F410" s="1">
        <v>78</v>
      </c>
      <c r="G410" s="1">
        <v>1</v>
      </c>
      <c r="H410" s="1">
        <v>2</v>
      </c>
      <c r="I410" s="1">
        <v>4</v>
      </c>
      <c r="J410" s="1">
        <v>2</v>
      </c>
      <c r="K410" s="1">
        <v>0</v>
      </c>
      <c r="L410" s="1">
        <v>13594</v>
      </c>
      <c r="M410" s="1">
        <v>1</v>
      </c>
    </row>
    <row r="411" spans="2:13" x14ac:dyDescent="0.25">
      <c r="B411" s="1">
        <v>0</v>
      </c>
      <c r="C411" s="1">
        <v>0</v>
      </c>
      <c r="D411" s="1">
        <v>1</v>
      </c>
      <c r="E411" s="1">
        <v>0</v>
      </c>
      <c r="F411" s="1">
        <v>77</v>
      </c>
      <c r="G411" s="1">
        <v>0</v>
      </c>
      <c r="H411" s="1">
        <v>5</v>
      </c>
      <c r="I411" s="1">
        <v>8</v>
      </c>
      <c r="J411" s="1">
        <v>0</v>
      </c>
      <c r="K411" s="1">
        <v>0</v>
      </c>
      <c r="L411" s="1">
        <v>9910</v>
      </c>
      <c r="M411" s="1">
        <v>0</v>
      </c>
    </row>
    <row r="412" spans="2:13" x14ac:dyDescent="0.25">
      <c r="B412" s="1">
        <v>0</v>
      </c>
      <c r="C412" s="1">
        <v>0</v>
      </c>
      <c r="D412" s="1">
        <v>0.9</v>
      </c>
      <c r="E412" s="1">
        <v>9.9999999999999992E-2</v>
      </c>
      <c r="F412" s="1">
        <v>77</v>
      </c>
      <c r="G412" s="1">
        <v>0</v>
      </c>
      <c r="H412" s="1">
        <v>3</v>
      </c>
      <c r="I412" s="1">
        <v>3</v>
      </c>
      <c r="J412" s="1">
        <v>0</v>
      </c>
      <c r="K412" s="1">
        <v>0</v>
      </c>
      <c r="L412" s="1">
        <v>8545</v>
      </c>
      <c r="M412" s="1">
        <v>0</v>
      </c>
    </row>
    <row r="413" spans="2:13" x14ac:dyDescent="0.25">
      <c r="B413" s="1">
        <v>0</v>
      </c>
      <c r="C413" s="1">
        <v>0</v>
      </c>
      <c r="D413" s="1">
        <v>0.9</v>
      </c>
      <c r="E413" s="1">
        <v>9.9999999999999992E-2</v>
      </c>
      <c r="F413" s="1">
        <v>77</v>
      </c>
      <c r="G413" s="1">
        <v>0</v>
      </c>
      <c r="H413" s="1">
        <v>2</v>
      </c>
      <c r="I413" s="1">
        <v>5</v>
      </c>
      <c r="J413" s="1">
        <v>0</v>
      </c>
      <c r="K413" s="1">
        <v>0</v>
      </c>
      <c r="L413" s="1">
        <v>8892</v>
      </c>
      <c r="M413" s="1">
        <v>0</v>
      </c>
    </row>
    <row r="414" spans="2:13" x14ac:dyDescent="0.25">
      <c r="B414" s="1">
        <v>0</v>
      </c>
      <c r="C414" s="1">
        <v>0</v>
      </c>
      <c r="D414" s="1">
        <v>1</v>
      </c>
      <c r="E414" s="1">
        <v>0</v>
      </c>
      <c r="F414" s="1">
        <v>77</v>
      </c>
      <c r="G414" s="1">
        <v>1</v>
      </c>
      <c r="H414" s="1">
        <v>2</v>
      </c>
      <c r="I414" s="1">
        <v>3</v>
      </c>
      <c r="J414" s="1">
        <v>2</v>
      </c>
      <c r="K414" s="1">
        <v>0</v>
      </c>
      <c r="L414" s="1">
        <v>10545</v>
      </c>
      <c r="M414" s="1">
        <v>0</v>
      </c>
    </row>
    <row r="415" spans="2:13" x14ac:dyDescent="0.25">
      <c r="B415" s="1">
        <v>0</v>
      </c>
      <c r="C415" s="1">
        <v>0</v>
      </c>
      <c r="D415" s="1">
        <v>0.9</v>
      </c>
      <c r="E415" s="1">
        <v>9.9999999999999992E-2</v>
      </c>
      <c r="F415" s="1">
        <v>77</v>
      </c>
      <c r="G415" s="1">
        <v>1</v>
      </c>
      <c r="H415" s="1">
        <v>1</v>
      </c>
      <c r="I415" s="1">
        <v>3</v>
      </c>
      <c r="J415" s="1">
        <v>0</v>
      </c>
      <c r="K415" s="1">
        <v>0</v>
      </c>
      <c r="L415" s="1">
        <v>7937</v>
      </c>
      <c r="M415" s="1">
        <v>0</v>
      </c>
    </row>
    <row r="416" spans="2:13" x14ac:dyDescent="0.25">
      <c r="B416" s="1">
        <v>0</v>
      </c>
      <c r="C416" s="1">
        <v>0</v>
      </c>
      <c r="D416" s="1">
        <v>1</v>
      </c>
      <c r="E416" s="1">
        <v>0</v>
      </c>
      <c r="F416" s="1">
        <v>77</v>
      </c>
      <c r="G416" s="1">
        <v>1</v>
      </c>
      <c r="H416" s="1">
        <v>3</v>
      </c>
      <c r="I416" s="1">
        <v>7</v>
      </c>
      <c r="J416" s="1">
        <v>0</v>
      </c>
      <c r="K416" s="1">
        <v>0</v>
      </c>
      <c r="L416" s="1">
        <v>10047</v>
      </c>
      <c r="M416" s="1">
        <v>0</v>
      </c>
    </row>
    <row r="417" spans="2:13" x14ac:dyDescent="0.25">
      <c r="B417" s="1">
        <v>0</v>
      </c>
      <c r="C417" s="1">
        <v>0</v>
      </c>
      <c r="D417" s="1">
        <v>1</v>
      </c>
      <c r="E417" s="1">
        <v>0</v>
      </c>
      <c r="F417" s="1">
        <v>77</v>
      </c>
      <c r="G417" s="1">
        <v>1</v>
      </c>
      <c r="H417" s="1">
        <v>4</v>
      </c>
      <c r="I417" s="1">
        <v>6</v>
      </c>
      <c r="J417" s="1">
        <v>0</v>
      </c>
      <c r="K417" s="1">
        <v>0</v>
      </c>
      <c r="L417" s="1">
        <v>19128</v>
      </c>
      <c r="M417" s="1">
        <v>0</v>
      </c>
    </row>
    <row r="418" spans="2:13" x14ac:dyDescent="0.25">
      <c r="B418" s="1">
        <v>0</v>
      </c>
      <c r="C418" s="1">
        <v>0</v>
      </c>
      <c r="D418" s="1">
        <v>1</v>
      </c>
      <c r="E418" s="1">
        <v>0</v>
      </c>
      <c r="F418" s="1">
        <v>77</v>
      </c>
      <c r="G418" s="1">
        <v>0</v>
      </c>
      <c r="H418" s="1">
        <v>12</v>
      </c>
      <c r="I418" s="1">
        <v>5</v>
      </c>
      <c r="J418" s="1">
        <v>1</v>
      </c>
      <c r="K418" s="1">
        <v>0</v>
      </c>
      <c r="L418" s="1">
        <v>43257</v>
      </c>
      <c r="M418" s="1">
        <v>0</v>
      </c>
    </row>
    <row r="419" spans="2:13" x14ac:dyDescent="0.25">
      <c r="B419" s="1">
        <v>0</v>
      </c>
      <c r="C419" s="1">
        <v>0</v>
      </c>
      <c r="D419" s="1">
        <v>0.9</v>
      </c>
      <c r="E419" s="1">
        <v>9.9999999999999992E-2</v>
      </c>
      <c r="F419" s="1">
        <v>77</v>
      </c>
      <c r="G419" s="1">
        <v>1</v>
      </c>
      <c r="H419" s="1">
        <v>3</v>
      </c>
      <c r="I419" s="1">
        <v>3</v>
      </c>
      <c r="J419" s="1">
        <v>0</v>
      </c>
      <c r="K419" s="1">
        <v>0</v>
      </c>
      <c r="L419" s="1">
        <v>8568</v>
      </c>
      <c r="M419" s="1">
        <v>0</v>
      </c>
    </row>
    <row r="420" spans="2:13" x14ac:dyDescent="0.25">
      <c r="B420" s="1">
        <v>0</v>
      </c>
      <c r="C420" s="1">
        <v>0</v>
      </c>
      <c r="D420" s="1">
        <v>1</v>
      </c>
      <c r="E420" s="1">
        <v>0</v>
      </c>
      <c r="F420" s="1">
        <v>77</v>
      </c>
      <c r="G420" s="1">
        <v>1</v>
      </c>
      <c r="H420" s="1">
        <v>6</v>
      </c>
      <c r="I420" s="1">
        <v>3</v>
      </c>
      <c r="J420" s="1">
        <v>0</v>
      </c>
      <c r="K420" s="1">
        <v>0</v>
      </c>
      <c r="L420" s="1">
        <v>26835</v>
      </c>
      <c r="M420" s="1">
        <v>0</v>
      </c>
    </row>
    <row r="421" spans="2:13" x14ac:dyDescent="0.25">
      <c r="B421" s="1">
        <v>0</v>
      </c>
      <c r="C421" s="1">
        <v>0</v>
      </c>
      <c r="D421" s="1">
        <v>0.9</v>
      </c>
      <c r="E421" s="1">
        <v>9.9999999999999992E-2</v>
      </c>
      <c r="F421" s="1">
        <v>77</v>
      </c>
      <c r="G421" s="1">
        <v>1</v>
      </c>
      <c r="H421" s="1">
        <v>2</v>
      </c>
      <c r="I421" s="1">
        <v>5</v>
      </c>
      <c r="J421" s="1">
        <v>1</v>
      </c>
      <c r="K421" s="1">
        <v>0</v>
      </c>
      <c r="L421" s="1">
        <v>6947</v>
      </c>
      <c r="M421" s="1">
        <v>0</v>
      </c>
    </row>
    <row r="422" spans="2:13" x14ac:dyDescent="0.25">
      <c r="B422" s="17">
        <v>1</v>
      </c>
      <c r="C422" s="17">
        <v>0</v>
      </c>
      <c r="D422" s="17">
        <v>0.33333333333333331</v>
      </c>
      <c r="E422" s="17">
        <v>0.66666666666666663</v>
      </c>
      <c r="F422" s="17">
        <v>77</v>
      </c>
      <c r="G422" s="17">
        <v>0</v>
      </c>
      <c r="H422" s="17">
        <v>4</v>
      </c>
      <c r="I422" s="17">
        <v>2</v>
      </c>
      <c r="J422" s="17">
        <v>1</v>
      </c>
      <c r="K422" s="17">
        <v>0</v>
      </c>
      <c r="L422" s="17">
        <v>24261</v>
      </c>
      <c r="M422" s="17">
        <v>1</v>
      </c>
    </row>
    <row r="423" spans="2:13" x14ac:dyDescent="0.25">
      <c r="B423" s="1">
        <v>0</v>
      </c>
      <c r="C423" s="1">
        <v>0</v>
      </c>
      <c r="D423" s="1">
        <v>0.9</v>
      </c>
      <c r="E423" s="1">
        <v>9.9999999999999992E-2</v>
      </c>
      <c r="F423" s="1">
        <v>76</v>
      </c>
      <c r="G423" s="1">
        <v>1</v>
      </c>
      <c r="H423" s="1">
        <v>2</v>
      </c>
      <c r="I423" s="1">
        <v>5</v>
      </c>
      <c r="J423" s="1">
        <v>0</v>
      </c>
      <c r="K423" s="1">
        <v>0</v>
      </c>
      <c r="L423" s="1">
        <v>7476</v>
      </c>
      <c r="M423" s="1">
        <v>0</v>
      </c>
    </row>
    <row r="424" spans="2:13" x14ac:dyDescent="0.25">
      <c r="B424" s="1">
        <v>0</v>
      </c>
      <c r="C424" s="1">
        <v>0</v>
      </c>
      <c r="D424" s="1">
        <v>1</v>
      </c>
      <c r="E424" s="1">
        <v>0</v>
      </c>
      <c r="F424" s="1">
        <v>76</v>
      </c>
      <c r="G424" s="1">
        <v>1</v>
      </c>
      <c r="H424" s="1">
        <v>2</v>
      </c>
      <c r="I424" s="1">
        <v>0</v>
      </c>
      <c r="J424" s="1">
        <v>0</v>
      </c>
      <c r="K424" s="1">
        <v>0</v>
      </c>
      <c r="L424" s="1">
        <v>9983</v>
      </c>
      <c r="M424" s="1">
        <v>0</v>
      </c>
    </row>
    <row r="425" spans="2:13" x14ac:dyDescent="0.25">
      <c r="B425" s="1">
        <v>0</v>
      </c>
      <c r="C425" s="1">
        <v>0</v>
      </c>
      <c r="D425" s="1">
        <v>1</v>
      </c>
      <c r="E425" s="1">
        <v>0</v>
      </c>
      <c r="F425" s="1">
        <v>76</v>
      </c>
      <c r="G425" s="1">
        <v>1</v>
      </c>
      <c r="H425" s="1">
        <v>4</v>
      </c>
      <c r="I425" s="1">
        <v>4</v>
      </c>
      <c r="J425" s="1">
        <v>0</v>
      </c>
      <c r="K425" s="1">
        <v>0</v>
      </c>
      <c r="L425" s="1">
        <v>11929</v>
      </c>
      <c r="M425" s="1">
        <v>0</v>
      </c>
    </row>
    <row r="426" spans="2:13" x14ac:dyDescent="0.25">
      <c r="B426" s="1">
        <v>0</v>
      </c>
      <c r="C426" s="1">
        <v>0</v>
      </c>
      <c r="D426" s="1">
        <v>1</v>
      </c>
      <c r="E426" s="1">
        <v>0</v>
      </c>
      <c r="F426" s="1">
        <v>76</v>
      </c>
      <c r="G426" s="1">
        <v>0</v>
      </c>
      <c r="H426" s="1">
        <v>6</v>
      </c>
      <c r="I426" s="1">
        <v>6</v>
      </c>
      <c r="J426" s="1">
        <v>0</v>
      </c>
      <c r="K426" s="1">
        <v>0</v>
      </c>
      <c r="L426" s="1">
        <v>31270</v>
      </c>
      <c r="M426" s="1">
        <v>0</v>
      </c>
    </row>
    <row r="427" spans="2:13" x14ac:dyDescent="0.25">
      <c r="B427" s="1">
        <v>0</v>
      </c>
      <c r="C427" s="1">
        <v>0</v>
      </c>
      <c r="D427" s="1">
        <v>1</v>
      </c>
      <c r="E427" s="1">
        <v>0</v>
      </c>
      <c r="F427" s="1">
        <v>76</v>
      </c>
      <c r="G427" s="1">
        <v>0</v>
      </c>
      <c r="H427" s="1">
        <v>5</v>
      </c>
      <c r="I427" s="1">
        <v>8</v>
      </c>
      <c r="J427" s="1">
        <v>0</v>
      </c>
      <c r="K427" s="1">
        <v>0</v>
      </c>
      <c r="L427" s="1">
        <v>11997</v>
      </c>
      <c r="M427" s="1">
        <v>0</v>
      </c>
    </row>
    <row r="428" spans="2:13" x14ac:dyDescent="0.25">
      <c r="B428" s="1">
        <v>0</v>
      </c>
      <c r="C428" s="1">
        <v>0</v>
      </c>
      <c r="D428" s="1">
        <v>1</v>
      </c>
      <c r="E428" s="1">
        <v>0</v>
      </c>
      <c r="F428" s="1">
        <v>76</v>
      </c>
      <c r="G428" s="1">
        <v>1</v>
      </c>
      <c r="H428" s="1">
        <v>5</v>
      </c>
      <c r="I428" s="1">
        <v>5</v>
      </c>
      <c r="J428" s="1">
        <v>0</v>
      </c>
      <c r="K428" s="1">
        <v>0</v>
      </c>
      <c r="L428" s="1">
        <v>23201</v>
      </c>
      <c r="M428" s="1">
        <v>0</v>
      </c>
    </row>
    <row r="429" spans="2:13" x14ac:dyDescent="0.25">
      <c r="B429" s="1">
        <v>0</v>
      </c>
      <c r="C429" s="1">
        <v>0</v>
      </c>
      <c r="D429" s="1">
        <v>1</v>
      </c>
      <c r="E429" s="1">
        <v>0</v>
      </c>
      <c r="F429" s="1">
        <v>76</v>
      </c>
      <c r="G429" s="1">
        <v>1</v>
      </c>
      <c r="H429" s="1">
        <v>7</v>
      </c>
      <c r="I429" s="1">
        <v>6</v>
      </c>
      <c r="J429" s="1">
        <v>2</v>
      </c>
      <c r="K429" s="1">
        <v>0</v>
      </c>
      <c r="L429" s="1">
        <v>27767</v>
      </c>
      <c r="M429" s="1">
        <v>0</v>
      </c>
    </row>
    <row r="430" spans="2:13" x14ac:dyDescent="0.25">
      <c r="B430" s="1">
        <v>0</v>
      </c>
      <c r="C430" s="1">
        <v>0</v>
      </c>
      <c r="D430" s="1">
        <v>0.9</v>
      </c>
      <c r="E430" s="1">
        <v>9.9999999999999992E-2</v>
      </c>
      <c r="F430" s="1">
        <v>76</v>
      </c>
      <c r="G430" s="1">
        <v>1</v>
      </c>
      <c r="H430" s="1">
        <v>1</v>
      </c>
      <c r="I430" s="1">
        <v>5</v>
      </c>
      <c r="J430" s="1">
        <v>0</v>
      </c>
      <c r="K430" s="1">
        <v>0</v>
      </c>
      <c r="L430" s="1">
        <v>8102</v>
      </c>
      <c r="M430" s="1">
        <v>0</v>
      </c>
    </row>
    <row r="431" spans="2:13" x14ac:dyDescent="0.25">
      <c r="B431" s="1">
        <v>0</v>
      </c>
      <c r="C431" s="1">
        <v>0</v>
      </c>
      <c r="D431" s="1">
        <v>1</v>
      </c>
      <c r="E431" s="1">
        <v>0</v>
      </c>
      <c r="F431" s="1">
        <v>76</v>
      </c>
      <c r="G431" s="1">
        <v>1</v>
      </c>
      <c r="H431" s="1">
        <v>3</v>
      </c>
      <c r="I431" s="1">
        <v>4</v>
      </c>
      <c r="J431" s="1">
        <v>0</v>
      </c>
      <c r="K431" s="1">
        <v>0</v>
      </c>
      <c r="L431" s="1">
        <v>12497</v>
      </c>
      <c r="M431" s="1">
        <v>0</v>
      </c>
    </row>
    <row r="432" spans="2:13" x14ac:dyDescent="0.25">
      <c r="B432" s="1">
        <v>0</v>
      </c>
      <c r="C432" s="1">
        <v>0</v>
      </c>
      <c r="D432" s="1">
        <v>1</v>
      </c>
      <c r="E432" s="1">
        <v>0</v>
      </c>
      <c r="F432" s="1">
        <v>76</v>
      </c>
      <c r="G432" s="1">
        <v>1</v>
      </c>
      <c r="H432" s="1">
        <v>1</v>
      </c>
      <c r="I432" s="1">
        <v>6</v>
      </c>
      <c r="J432" s="1">
        <v>0</v>
      </c>
      <c r="K432" s="1">
        <v>0</v>
      </c>
      <c r="L432" s="1">
        <v>10104</v>
      </c>
      <c r="M432" s="1">
        <v>0</v>
      </c>
    </row>
    <row r="433" spans="2:13" x14ac:dyDescent="0.25">
      <c r="B433" s="1">
        <v>0</v>
      </c>
      <c r="C433" s="1">
        <v>0</v>
      </c>
      <c r="D433" s="1">
        <v>1</v>
      </c>
      <c r="E433" s="1">
        <v>0</v>
      </c>
      <c r="F433" s="1">
        <v>76</v>
      </c>
      <c r="G433" s="1">
        <v>1</v>
      </c>
      <c r="H433" s="1">
        <v>10</v>
      </c>
      <c r="I433" s="1">
        <v>4</v>
      </c>
      <c r="J433" s="1">
        <v>0</v>
      </c>
      <c r="K433" s="1">
        <v>0</v>
      </c>
      <c r="L433" s="1">
        <v>36704</v>
      </c>
      <c r="M433" s="1">
        <v>0</v>
      </c>
    </row>
    <row r="434" spans="2:13" x14ac:dyDescent="0.25">
      <c r="B434" s="1">
        <v>0</v>
      </c>
      <c r="C434" s="1">
        <v>0</v>
      </c>
      <c r="D434" s="1">
        <v>1</v>
      </c>
      <c r="E434" s="1">
        <v>0</v>
      </c>
      <c r="F434" s="1">
        <v>76</v>
      </c>
      <c r="G434" s="1">
        <v>0</v>
      </c>
      <c r="H434" s="1">
        <v>11</v>
      </c>
      <c r="I434" s="1">
        <v>5</v>
      </c>
      <c r="J434" s="1">
        <v>1</v>
      </c>
      <c r="K434" s="1">
        <v>0</v>
      </c>
      <c r="L434" s="1">
        <v>53230</v>
      </c>
      <c r="M434" s="1">
        <v>0</v>
      </c>
    </row>
    <row r="435" spans="2:13" x14ac:dyDescent="0.25">
      <c r="B435" s="1">
        <v>0</v>
      </c>
      <c r="C435" s="1">
        <v>0</v>
      </c>
      <c r="D435" s="1">
        <v>1</v>
      </c>
      <c r="E435" s="1">
        <v>0</v>
      </c>
      <c r="F435" s="1">
        <v>76</v>
      </c>
      <c r="G435" s="1">
        <v>0</v>
      </c>
      <c r="H435" s="1">
        <v>14</v>
      </c>
      <c r="I435" s="1">
        <v>5</v>
      </c>
      <c r="J435" s="1">
        <v>1</v>
      </c>
      <c r="K435" s="1">
        <v>0</v>
      </c>
      <c r="L435" s="1">
        <v>24123</v>
      </c>
      <c r="M435" s="1">
        <v>0</v>
      </c>
    </row>
    <row r="436" spans="2:13" x14ac:dyDescent="0.25">
      <c r="B436" s="17">
        <v>1</v>
      </c>
      <c r="C436" s="17">
        <v>0</v>
      </c>
      <c r="D436" s="17">
        <v>9.9999999999999992E-2</v>
      </c>
      <c r="E436" s="17">
        <v>0.9</v>
      </c>
      <c r="F436" s="17">
        <v>74</v>
      </c>
      <c r="G436" s="17">
        <v>0</v>
      </c>
      <c r="H436" s="17">
        <v>5</v>
      </c>
      <c r="I436" s="17">
        <v>5</v>
      </c>
      <c r="J436" s="17">
        <v>0</v>
      </c>
      <c r="K436" s="17">
        <v>0</v>
      </c>
      <c r="L436" s="17">
        <v>8688</v>
      </c>
      <c r="M436" s="17">
        <v>0</v>
      </c>
    </row>
    <row r="437" spans="2:13" x14ac:dyDescent="0.25">
      <c r="B437" s="1">
        <v>0</v>
      </c>
      <c r="C437" s="1">
        <v>0</v>
      </c>
      <c r="D437" s="1">
        <v>1</v>
      </c>
      <c r="E437" s="1">
        <v>0</v>
      </c>
      <c r="F437" s="1">
        <v>73</v>
      </c>
      <c r="G437" s="1">
        <v>0</v>
      </c>
      <c r="H437" s="1">
        <v>4</v>
      </c>
      <c r="I437" s="1">
        <v>4</v>
      </c>
      <c r="J437" s="1">
        <v>0</v>
      </c>
      <c r="K437" s="1">
        <v>0</v>
      </c>
      <c r="L437" s="1">
        <v>18348</v>
      </c>
      <c r="M437" s="1">
        <v>0</v>
      </c>
    </row>
    <row r="438" spans="2:13" x14ac:dyDescent="0.25">
      <c r="B438" s="1">
        <v>0</v>
      </c>
      <c r="C438" s="1">
        <v>0</v>
      </c>
      <c r="D438" s="1">
        <v>1</v>
      </c>
      <c r="E438" s="1">
        <v>0</v>
      </c>
      <c r="F438" s="1">
        <v>73</v>
      </c>
      <c r="G438" s="1">
        <v>0</v>
      </c>
      <c r="H438" s="1">
        <v>2</v>
      </c>
      <c r="I438" s="1">
        <v>1</v>
      </c>
      <c r="J438" s="1">
        <v>0</v>
      </c>
      <c r="K438" s="1">
        <v>0</v>
      </c>
      <c r="L438" s="1">
        <v>6480</v>
      </c>
      <c r="M438" s="1">
        <v>0</v>
      </c>
    </row>
    <row r="439" spans="2:13" x14ac:dyDescent="0.25">
      <c r="B439" s="1">
        <v>0</v>
      </c>
      <c r="C439" s="1">
        <v>0</v>
      </c>
      <c r="D439" s="1">
        <v>1</v>
      </c>
      <c r="E439" s="1">
        <v>0</v>
      </c>
      <c r="F439" s="1">
        <v>73</v>
      </c>
      <c r="G439" s="1">
        <v>1</v>
      </c>
      <c r="H439" s="1">
        <v>3</v>
      </c>
      <c r="I439" s="1">
        <v>3</v>
      </c>
      <c r="J439" s="1">
        <v>0</v>
      </c>
      <c r="K439" s="1">
        <v>0</v>
      </c>
      <c r="L439" s="1">
        <v>8502</v>
      </c>
      <c r="M439" s="1">
        <v>0</v>
      </c>
    </row>
    <row r="440" spans="2:13" x14ac:dyDescent="0.25">
      <c r="B440" s="1">
        <v>0</v>
      </c>
      <c r="C440" s="1">
        <v>0</v>
      </c>
      <c r="D440" s="1">
        <v>1</v>
      </c>
      <c r="E440" s="1">
        <v>0</v>
      </c>
      <c r="F440" s="1">
        <v>73</v>
      </c>
      <c r="G440" s="1">
        <v>1</v>
      </c>
      <c r="H440" s="1">
        <v>4</v>
      </c>
      <c r="I440" s="1">
        <v>5</v>
      </c>
      <c r="J440" s="1">
        <v>0</v>
      </c>
      <c r="K440" s="1">
        <v>0</v>
      </c>
      <c r="L440" s="1">
        <v>7039</v>
      </c>
      <c r="M440" s="1">
        <v>0</v>
      </c>
    </row>
    <row r="441" spans="2:13" x14ac:dyDescent="0.25">
      <c r="B441" s="1">
        <v>0</v>
      </c>
      <c r="C441" s="1">
        <v>0</v>
      </c>
      <c r="D441" s="1">
        <v>1</v>
      </c>
      <c r="E441" s="1">
        <v>0</v>
      </c>
      <c r="F441" s="1">
        <v>73</v>
      </c>
      <c r="G441" s="1">
        <v>1</v>
      </c>
      <c r="H441" s="1">
        <v>7</v>
      </c>
      <c r="I441" s="1">
        <v>2</v>
      </c>
      <c r="J441" s="1">
        <v>6</v>
      </c>
      <c r="K441" s="1">
        <v>0</v>
      </c>
      <c r="L441" s="1">
        <v>74209</v>
      </c>
      <c r="M441" s="1">
        <v>1</v>
      </c>
    </row>
    <row r="442" spans="2:13" x14ac:dyDescent="0.25">
      <c r="B442" s="1">
        <v>0</v>
      </c>
      <c r="C442" s="1">
        <v>0</v>
      </c>
      <c r="D442" s="1">
        <v>1</v>
      </c>
      <c r="E442" s="1">
        <v>0</v>
      </c>
      <c r="F442" s="1">
        <v>72</v>
      </c>
      <c r="G442" s="1">
        <v>0</v>
      </c>
      <c r="H442" s="1">
        <v>2</v>
      </c>
      <c r="I442" s="1">
        <v>2</v>
      </c>
      <c r="J442" s="1">
        <v>0</v>
      </c>
      <c r="K442" s="1">
        <v>0</v>
      </c>
      <c r="L442" s="1">
        <v>8389</v>
      </c>
      <c r="M442" s="1">
        <v>0</v>
      </c>
    </row>
    <row r="443" spans="2:13" x14ac:dyDescent="0.25">
      <c r="B443" s="1">
        <v>0</v>
      </c>
      <c r="C443" s="1">
        <v>0</v>
      </c>
      <c r="D443" s="1">
        <v>1</v>
      </c>
      <c r="E443" s="1">
        <v>0</v>
      </c>
      <c r="F443" s="1">
        <v>72</v>
      </c>
      <c r="G443" s="1">
        <v>0</v>
      </c>
      <c r="H443" s="1">
        <v>6</v>
      </c>
      <c r="I443" s="1">
        <v>4</v>
      </c>
      <c r="J443" s="1">
        <v>0</v>
      </c>
      <c r="K443" s="1">
        <v>0</v>
      </c>
      <c r="L443" s="1">
        <v>13946</v>
      </c>
      <c r="M443" s="1">
        <v>0</v>
      </c>
    </row>
    <row r="444" spans="2:13" x14ac:dyDescent="0.25">
      <c r="B444" s="1">
        <v>0</v>
      </c>
      <c r="C444" s="1">
        <v>0</v>
      </c>
      <c r="D444" s="1">
        <v>1</v>
      </c>
      <c r="E444" s="1">
        <v>0</v>
      </c>
      <c r="F444" s="1">
        <v>72</v>
      </c>
      <c r="G444" s="1">
        <v>1</v>
      </c>
      <c r="H444" s="1">
        <v>2</v>
      </c>
      <c r="I444" s="1">
        <v>7</v>
      </c>
      <c r="J444" s="1">
        <v>0</v>
      </c>
      <c r="K444" s="1">
        <v>0</v>
      </c>
      <c r="L444" s="1">
        <v>13150</v>
      </c>
      <c r="M444" s="1">
        <v>0</v>
      </c>
    </row>
    <row r="445" spans="2:13" x14ac:dyDescent="0.25">
      <c r="B445" s="1">
        <v>0</v>
      </c>
      <c r="C445" s="1">
        <v>0</v>
      </c>
      <c r="D445" s="1">
        <v>1</v>
      </c>
      <c r="E445" s="1">
        <v>0</v>
      </c>
      <c r="F445" s="1">
        <v>72</v>
      </c>
      <c r="G445" s="1">
        <v>0</v>
      </c>
      <c r="H445" s="1">
        <v>7</v>
      </c>
      <c r="I445" s="1">
        <v>3</v>
      </c>
      <c r="J445" s="1">
        <v>1</v>
      </c>
      <c r="K445" s="1">
        <v>0</v>
      </c>
      <c r="L445" s="1">
        <v>34644</v>
      </c>
      <c r="M445" s="1">
        <v>0</v>
      </c>
    </row>
    <row r="446" spans="2:13" x14ac:dyDescent="0.25">
      <c r="B446" s="1">
        <v>0</v>
      </c>
      <c r="C446" s="1">
        <v>0</v>
      </c>
      <c r="D446" s="1">
        <v>1</v>
      </c>
      <c r="E446" s="1">
        <v>0</v>
      </c>
      <c r="F446" s="1">
        <v>72</v>
      </c>
      <c r="G446" s="1">
        <v>1</v>
      </c>
      <c r="H446" s="1">
        <v>2</v>
      </c>
      <c r="I446" s="1">
        <v>5</v>
      </c>
      <c r="J446" s="1">
        <v>0</v>
      </c>
      <c r="K446" s="1">
        <v>0</v>
      </c>
      <c r="L446" s="1">
        <v>8040</v>
      </c>
      <c r="M446" s="1">
        <v>0</v>
      </c>
    </row>
    <row r="447" spans="2:13" x14ac:dyDescent="0.25">
      <c r="B447" s="1">
        <v>0</v>
      </c>
      <c r="C447" s="1">
        <v>0</v>
      </c>
      <c r="D447" s="1">
        <v>1</v>
      </c>
      <c r="E447" s="1">
        <v>0</v>
      </c>
      <c r="F447" s="1">
        <v>72</v>
      </c>
      <c r="G447" s="1">
        <v>1</v>
      </c>
      <c r="H447" s="1">
        <v>2</v>
      </c>
      <c r="I447" s="1">
        <v>3</v>
      </c>
      <c r="J447" s="1">
        <v>0</v>
      </c>
      <c r="K447" s="1">
        <v>0</v>
      </c>
      <c r="L447" s="1">
        <v>8721</v>
      </c>
      <c r="M447" s="1">
        <v>0</v>
      </c>
    </row>
    <row r="448" spans="2:13" x14ac:dyDescent="0.25">
      <c r="B448" s="1">
        <v>0</v>
      </c>
      <c r="C448" s="1">
        <v>0</v>
      </c>
      <c r="D448" s="1">
        <v>1</v>
      </c>
      <c r="E448" s="1">
        <v>0</v>
      </c>
      <c r="F448" s="1">
        <v>72</v>
      </c>
      <c r="G448" s="1">
        <v>1</v>
      </c>
      <c r="H448" s="1">
        <v>7</v>
      </c>
      <c r="I448" s="1">
        <v>6</v>
      </c>
      <c r="J448" s="1">
        <v>0</v>
      </c>
      <c r="K448" s="1">
        <v>0</v>
      </c>
      <c r="L448" s="1">
        <v>35819</v>
      </c>
      <c r="M448" s="1">
        <v>0</v>
      </c>
    </row>
    <row r="449" spans="2:13" x14ac:dyDescent="0.25">
      <c r="B449" s="1">
        <v>0</v>
      </c>
      <c r="C449" s="1">
        <v>0</v>
      </c>
      <c r="D449" s="1">
        <v>1</v>
      </c>
      <c r="E449" s="1">
        <v>0</v>
      </c>
      <c r="F449" s="1">
        <v>72</v>
      </c>
      <c r="G449" s="1">
        <v>1</v>
      </c>
      <c r="H449" s="1">
        <v>4</v>
      </c>
      <c r="I449" s="1">
        <v>3</v>
      </c>
      <c r="J449" s="1">
        <v>0</v>
      </c>
      <c r="K449" s="1">
        <v>0</v>
      </c>
      <c r="L449" s="1">
        <v>9541</v>
      </c>
      <c r="M449" s="1">
        <v>0</v>
      </c>
    </row>
    <row r="450" spans="2:13" x14ac:dyDescent="0.25">
      <c r="B450" s="1">
        <v>0</v>
      </c>
      <c r="C450" s="1">
        <v>0</v>
      </c>
      <c r="D450" s="1">
        <v>1</v>
      </c>
      <c r="E450" s="1">
        <v>0</v>
      </c>
      <c r="F450" s="1">
        <v>72</v>
      </c>
      <c r="G450" s="1">
        <v>1</v>
      </c>
      <c r="H450" s="1">
        <v>17</v>
      </c>
      <c r="I450" s="1">
        <v>2</v>
      </c>
      <c r="J450" s="1">
        <v>0</v>
      </c>
      <c r="K450" s="1">
        <v>0</v>
      </c>
      <c r="L450" s="1">
        <v>33915</v>
      </c>
      <c r="M450" s="1">
        <v>0</v>
      </c>
    </row>
    <row r="451" spans="2:13" x14ac:dyDescent="0.25">
      <c r="B451" s="1">
        <v>0</v>
      </c>
      <c r="C451" s="1">
        <v>0</v>
      </c>
      <c r="D451" s="1">
        <v>1</v>
      </c>
      <c r="E451" s="1">
        <v>0</v>
      </c>
      <c r="F451" s="1">
        <v>72</v>
      </c>
      <c r="G451" s="1">
        <v>0</v>
      </c>
      <c r="H451" s="1">
        <v>3</v>
      </c>
      <c r="I451" s="1">
        <v>2</v>
      </c>
      <c r="J451" s="1">
        <v>5</v>
      </c>
      <c r="K451" s="1">
        <v>0</v>
      </c>
      <c r="L451" s="1">
        <v>14199</v>
      </c>
      <c r="M451" s="1">
        <v>1</v>
      </c>
    </row>
    <row r="452" spans="2:13" x14ac:dyDescent="0.25">
      <c r="B452" s="1">
        <v>0</v>
      </c>
      <c r="C452" s="1">
        <v>0</v>
      </c>
      <c r="D452" s="1">
        <v>1</v>
      </c>
      <c r="E452" s="1">
        <v>0</v>
      </c>
      <c r="F452" s="1">
        <v>71</v>
      </c>
      <c r="G452" s="1">
        <v>0</v>
      </c>
      <c r="H452" s="1">
        <v>11</v>
      </c>
      <c r="I452" s="1">
        <v>1</v>
      </c>
      <c r="J452" s="1">
        <v>0</v>
      </c>
      <c r="K452" s="1">
        <v>0</v>
      </c>
      <c r="L452" s="1">
        <v>16679</v>
      </c>
      <c r="M452" s="1">
        <v>0</v>
      </c>
    </row>
    <row r="453" spans="2:13" x14ac:dyDescent="0.25">
      <c r="B453" s="1">
        <v>0</v>
      </c>
      <c r="C453" s="1">
        <v>0</v>
      </c>
      <c r="D453" s="1">
        <v>1</v>
      </c>
      <c r="E453" s="1">
        <v>0</v>
      </c>
      <c r="F453" s="1">
        <v>71</v>
      </c>
      <c r="G453" s="1">
        <v>0</v>
      </c>
      <c r="H453" s="1">
        <v>6</v>
      </c>
      <c r="I453" s="1">
        <v>4</v>
      </c>
      <c r="J453" s="1">
        <v>0</v>
      </c>
      <c r="K453" s="1">
        <v>0</v>
      </c>
      <c r="L453" s="1">
        <v>16731</v>
      </c>
      <c r="M453" s="1">
        <v>0</v>
      </c>
    </row>
    <row r="454" spans="2:13" x14ac:dyDescent="0.25">
      <c r="B454" s="1">
        <v>0</v>
      </c>
      <c r="C454" s="1">
        <v>0</v>
      </c>
      <c r="D454" s="1">
        <v>1</v>
      </c>
      <c r="E454" s="1">
        <v>0</v>
      </c>
      <c r="F454" s="1">
        <v>71</v>
      </c>
      <c r="G454" s="1">
        <v>1</v>
      </c>
      <c r="H454" s="1">
        <v>5</v>
      </c>
      <c r="I454" s="1">
        <v>2</v>
      </c>
      <c r="J454" s="1">
        <v>0</v>
      </c>
      <c r="K454" s="1">
        <v>0</v>
      </c>
      <c r="L454" s="1">
        <v>13579</v>
      </c>
      <c r="M454" s="1">
        <v>0</v>
      </c>
    </row>
    <row r="455" spans="2:13" x14ac:dyDescent="0.25">
      <c r="B455" s="1">
        <v>0</v>
      </c>
      <c r="C455" s="1">
        <v>0</v>
      </c>
      <c r="D455" s="1">
        <v>1</v>
      </c>
      <c r="E455" s="1">
        <v>0</v>
      </c>
      <c r="F455" s="1">
        <v>71</v>
      </c>
      <c r="G455" s="1">
        <v>1</v>
      </c>
      <c r="H455" s="1">
        <v>10</v>
      </c>
      <c r="I455" s="1">
        <v>6</v>
      </c>
      <c r="J455" s="1">
        <v>0</v>
      </c>
      <c r="K455" s="1">
        <v>0</v>
      </c>
      <c r="L455" s="1">
        <v>37382</v>
      </c>
      <c r="M455" s="1">
        <v>0</v>
      </c>
    </row>
    <row r="456" spans="2:13" x14ac:dyDescent="0.25">
      <c r="B456" s="1">
        <v>0</v>
      </c>
      <c r="C456" s="1">
        <v>0</v>
      </c>
      <c r="D456" s="1">
        <v>1</v>
      </c>
      <c r="E456" s="1">
        <v>0</v>
      </c>
      <c r="F456" s="1">
        <v>71</v>
      </c>
      <c r="G456" s="1">
        <v>0</v>
      </c>
      <c r="H456" s="1">
        <v>1</v>
      </c>
      <c r="I456" s="1">
        <v>4</v>
      </c>
      <c r="J456" s="1">
        <v>0</v>
      </c>
      <c r="K456" s="1">
        <v>0</v>
      </c>
      <c r="L456" s="1">
        <v>5683</v>
      </c>
      <c r="M456" s="1">
        <v>0</v>
      </c>
    </row>
    <row r="457" spans="2:13" x14ac:dyDescent="0.25">
      <c r="B457" s="1">
        <v>0</v>
      </c>
      <c r="C457" s="1">
        <v>0</v>
      </c>
      <c r="D457" s="1">
        <v>1</v>
      </c>
      <c r="E457" s="1">
        <v>0</v>
      </c>
      <c r="F457" s="1">
        <v>71</v>
      </c>
      <c r="G457" s="1">
        <v>1</v>
      </c>
      <c r="H457" s="1">
        <v>3</v>
      </c>
      <c r="I457" s="1">
        <v>4</v>
      </c>
      <c r="J457" s="1">
        <v>0</v>
      </c>
      <c r="K457" s="1">
        <v>0</v>
      </c>
      <c r="L457" s="1">
        <v>11365</v>
      </c>
      <c r="M457" s="1">
        <v>0</v>
      </c>
    </row>
    <row r="458" spans="2:13" x14ac:dyDescent="0.25">
      <c r="B458" s="1">
        <v>0</v>
      </c>
      <c r="C458" s="1">
        <v>0</v>
      </c>
      <c r="D458" s="1">
        <v>1</v>
      </c>
      <c r="E458" s="1">
        <v>0</v>
      </c>
      <c r="F458" s="1">
        <v>71</v>
      </c>
      <c r="G458" s="1">
        <v>0</v>
      </c>
      <c r="H458" s="1">
        <v>0</v>
      </c>
      <c r="I458" s="1">
        <v>3</v>
      </c>
      <c r="J458" s="1">
        <v>0</v>
      </c>
      <c r="K458" s="1">
        <v>0</v>
      </c>
      <c r="L458" s="1">
        <v>5602</v>
      </c>
      <c r="M458" s="1">
        <v>0</v>
      </c>
    </row>
    <row r="459" spans="2:13" x14ac:dyDescent="0.25">
      <c r="B459" s="1">
        <v>0</v>
      </c>
      <c r="C459" s="1">
        <v>0</v>
      </c>
      <c r="D459" s="1">
        <v>1</v>
      </c>
      <c r="E459" s="1">
        <v>0</v>
      </c>
      <c r="F459" s="1">
        <v>71</v>
      </c>
      <c r="G459" s="1">
        <v>1</v>
      </c>
      <c r="H459" s="1">
        <v>7</v>
      </c>
      <c r="I459" s="1">
        <v>6</v>
      </c>
      <c r="J459" s="1">
        <v>0</v>
      </c>
      <c r="K459" s="1">
        <v>0</v>
      </c>
      <c r="L459" s="1">
        <v>19621</v>
      </c>
      <c r="M459" s="1">
        <v>0</v>
      </c>
    </row>
    <row r="460" spans="2:13" x14ac:dyDescent="0.25">
      <c r="B460" s="1">
        <v>0</v>
      </c>
      <c r="C460" s="1">
        <v>0</v>
      </c>
      <c r="D460" s="1">
        <v>1</v>
      </c>
      <c r="E460" s="1">
        <v>0</v>
      </c>
      <c r="F460" s="1">
        <v>71</v>
      </c>
      <c r="G460" s="1">
        <v>0</v>
      </c>
      <c r="H460" s="1">
        <v>3</v>
      </c>
      <c r="I460" s="1">
        <v>4</v>
      </c>
      <c r="J460" s="1">
        <v>0</v>
      </c>
      <c r="K460" s="1">
        <v>0</v>
      </c>
      <c r="L460" s="1">
        <v>15871</v>
      </c>
      <c r="M460" s="1">
        <v>0</v>
      </c>
    </row>
    <row r="461" spans="2:13" x14ac:dyDescent="0.25">
      <c r="B461" s="1">
        <v>0</v>
      </c>
      <c r="C461" s="1">
        <v>0</v>
      </c>
      <c r="D461" s="1">
        <v>1</v>
      </c>
      <c r="E461" s="1">
        <v>0</v>
      </c>
      <c r="F461" s="1">
        <v>71</v>
      </c>
      <c r="G461" s="1">
        <v>0</v>
      </c>
      <c r="H461" s="1">
        <v>13</v>
      </c>
      <c r="I461" s="1">
        <v>3</v>
      </c>
      <c r="J461" s="1">
        <v>0</v>
      </c>
      <c r="K461" s="1">
        <v>0</v>
      </c>
      <c r="L461" s="1">
        <v>22876</v>
      </c>
      <c r="M461" s="1">
        <v>0</v>
      </c>
    </row>
    <row r="462" spans="2:13" x14ac:dyDescent="0.25">
      <c r="B462" s="1">
        <v>0</v>
      </c>
      <c r="C462" s="1">
        <v>0</v>
      </c>
      <c r="D462" s="1">
        <v>1</v>
      </c>
      <c r="E462" s="1">
        <v>0</v>
      </c>
      <c r="F462" s="1">
        <v>71</v>
      </c>
      <c r="G462" s="1">
        <v>0</v>
      </c>
      <c r="H462" s="1">
        <v>4</v>
      </c>
      <c r="I462" s="1">
        <v>5</v>
      </c>
      <c r="J462" s="1">
        <v>0</v>
      </c>
      <c r="K462" s="1">
        <v>0</v>
      </c>
      <c r="L462" s="1">
        <v>24199</v>
      </c>
      <c r="M462" s="1">
        <v>0</v>
      </c>
    </row>
    <row r="463" spans="2:13" x14ac:dyDescent="0.25">
      <c r="B463" s="1">
        <v>0</v>
      </c>
      <c r="C463" s="1">
        <v>0</v>
      </c>
      <c r="D463" s="1">
        <v>1</v>
      </c>
      <c r="E463" s="1">
        <v>0</v>
      </c>
      <c r="F463" s="1">
        <v>71</v>
      </c>
      <c r="G463" s="1">
        <v>0</v>
      </c>
      <c r="H463" s="1">
        <v>7</v>
      </c>
      <c r="I463" s="1">
        <v>6</v>
      </c>
      <c r="J463" s="1">
        <v>0</v>
      </c>
      <c r="K463" s="1">
        <v>0</v>
      </c>
      <c r="L463" s="1">
        <v>23678</v>
      </c>
      <c r="M463" s="1">
        <v>0</v>
      </c>
    </row>
    <row r="464" spans="2:13" x14ac:dyDescent="0.25">
      <c r="B464" s="1">
        <v>0</v>
      </c>
      <c r="C464" s="1">
        <v>0</v>
      </c>
      <c r="D464" s="1">
        <v>1</v>
      </c>
      <c r="E464" s="1">
        <v>0</v>
      </c>
      <c r="F464" s="1">
        <v>71</v>
      </c>
      <c r="G464" s="1">
        <v>1</v>
      </c>
      <c r="H464" s="1">
        <v>5</v>
      </c>
      <c r="I464" s="1">
        <v>4</v>
      </c>
      <c r="J464" s="1">
        <v>0</v>
      </c>
      <c r="K464" s="1">
        <v>0</v>
      </c>
      <c r="L464" s="1">
        <v>14591</v>
      </c>
      <c r="M464" s="1">
        <v>0</v>
      </c>
    </row>
    <row r="465" spans="2:13" x14ac:dyDescent="0.25">
      <c r="B465" s="1">
        <v>0</v>
      </c>
      <c r="C465" s="1">
        <v>0</v>
      </c>
      <c r="D465" s="1">
        <v>1</v>
      </c>
      <c r="E465" s="1">
        <v>0</v>
      </c>
      <c r="F465" s="1">
        <v>71</v>
      </c>
      <c r="G465" s="1">
        <v>0</v>
      </c>
      <c r="H465" s="1">
        <v>3</v>
      </c>
      <c r="I465" s="1">
        <v>2</v>
      </c>
      <c r="J465" s="1">
        <v>0</v>
      </c>
      <c r="K465" s="1">
        <v>0</v>
      </c>
      <c r="L465" s="1">
        <v>9460</v>
      </c>
      <c r="M465" s="1">
        <v>0</v>
      </c>
    </row>
    <row r="466" spans="2:13" x14ac:dyDescent="0.25">
      <c r="B466" s="1">
        <v>0</v>
      </c>
      <c r="C466" s="1">
        <v>0</v>
      </c>
      <c r="D466" s="1">
        <v>1</v>
      </c>
      <c r="E466" s="1">
        <v>0</v>
      </c>
      <c r="F466" s="1">
        <v>71</v>
      </c>
      <c r="G466" s="1">
        <v>1</v>
      </c>
      <c r="H466" s="1">
        <v>2</v>
      </c>
      <c r="I466" s="1">
        <v>5</v>
      </c>
      <c r="J466" s="1">
        <v>0</v>
      </c>
      <c r="K466" s="1">
        <v>0</v>
      </c>
      <c r="L466" s="1">
        <v>12730</v>
      </c>
      <c r="M466" s="1">
        <v>0</v>
      </c>
    </row>
    <row r="467" spans="2:13" x14ac:dyDescent="0.25">
      <c r="B467" s="1">
        <v>0</v>
      </c>
      <c r="C467" s="1">
        <v>0</v>
      </c>
      <c r="D467" s="1">
        <v>1</v>
      </c>
      <c r="E467" s="1">
        <v>0</v>
      </c>
      <c r="F467" s="1">
        <v>71</v>
      </c>
      <c r="G467" s="1">
        <v>1</v>
      </c>
      <c r="H467" s="1">
        <v>7</v>
      </c>
      <c r="I467" s="1">
        <v>6</v>
      </c>
      <c r="J467" s="1">
        <v>3</v>
      </c>
      <c r="K467" s="1">
        <v>0</v>
      </c>
      <c r="L467" s="1">
        <v>35246</v>
      </c>
      <c r="M467" s="1">
        <v>0</v>
      </c>
    </row>
    <row r="468" spans="2:13" x14ac:dyDescent="0.25">
      <c r="B468" s="1">
        <v>0</v>
      </c>
      <c r="C468" s="1">
        <v>0</v>
      </c>
      <c r="D468" s="1">
        <v>1</v>
      </c>
      <c r="E468" s="1">
        <v>0</v>
      </c>
      <c r="F468" s="1">
        <v>71</v>
      </c>
      <c r="G468" s="1">
        <v>1</v>
      </c>
      <c r="H468" s="1">
        <v>3</v>
      </c>
      <c r="I468" s="1">
        <v>3</v>
      </c>
      <c r="J468" s="1">
        <v>1</v>
      </c>
      <c r="K468" s="1">
        <v>0</v>
      </c>
      <c r="L468" s="1">
        <v>16061</v>
      </c>
      <c r="M468" s="1">
        <v>0</v>
      </c>
    </row>
    <row r="469" spans="2:13" x14ac:dyDescent="0.25">
      <c r="B469" s="1">
        <v>0</v>
      </c>
      <c r="C469" s="1">
        <v>0</v>
      </c>
      <c r="D469" s="1">
        <v>1</v>
      </c>
      <c r="E469" s="1">
        <v>0</v>
      </c>
      <c r="F469" s="1">
        <v>71</v>
      </c>
      <c r="G469" s="1">
        <v>0</v>
      </c>
      <c r="H469" s="1">
        <v>2</v>
      </c>
      <c r="I469" s="1">
        <v>7</v>
      </c>
      <c r="J469" s="1">
        <v>0</v>
      </c>
      <c r="K469" s="1">
        <v>0</v>
      </c>
      <c r="L469" s="1">
        <v>6509</v>
      </c>
      <c r="M469" s="1">
        <v>0</v>
      </c>
    </row>
    <row r="470" spans="2:13" x14ac:dyDescent="0.25">
      <c r="B470" s="1">
        <v>0</v>
      </c>
      <c r="C470" s="1">
        <v>0</v>
      </c>
      <c r="D470" s="1">
        <v>1</v>
      </c>
      <c r="E470" s="1">
        <v>0</v>
      </c>
      <c r="F470" s="1">
        <v>71</v>
      </c>
      <c r="G470" s="1">
        <v>1</v>
      </c>
      <c r="H470" s="1">
        <v>3</v>
      </c>
      <c r="I470" s="1">
        <v>4</v>
      </c>
      <c r="J470" s="1">
        <v>1</v>
      </c>
      <c r="K470" s="1">
        <v>0</v>
      </c>
      <c r="L470" s="1">
        <v>24784</v>
      </c>
      <c r="M470" s="1">
        <v>1</v>
      </c>
    </row>
    <row r="471" spans="2:13" x14ac:dyDescent="0.25">
      <c r="B471" s="1">
        <v>0</v>
      </c>
      <c r="C471" s="1">
        <v>0</v>
      </c>
      <c r="D471" s="1">
        <v>1</v>
      </c>
      <c r="E471" s="1">
        <v>0</v>
      </c>
      <c r="F471" s="1">
        <v>71</v>
      </c>
      <c r="G471" s="1">
        <v>1</v>
      </c>
      <c r="H471" s="1">
        <v>2</v>
      </c>
      <c r="I471" s="1">
        <v>4</v>
      </c>
      <c r="J471" s="1">
        <v>1</v>
      </c>
      <c r="K471" s="1">
        <v>0</v>
      </c>
      <c r="L471" s="1">
        <v>20619</v>
      </c>
      <c r="M471" s="1">
        <v>1</v>
      </c>
    </row>
    <row r="472" spans="2:13" x14ac:dyDescent="0.25">
      <c r="B472" s="1">
        <v>0</v>
      </c>
      <c r="C472" s="1">
        <v>0</v>
      </c>
      <c r="D472" s="1">
        <v>1</v>
      </c>
      <c r="E472" s="1">
        <v>0</v>
      </c>
      <c r="F472" s="1">
        <v>70</v>
      </c>
      <c r="G472" s="1">
        <v>1</v>
      </c>
      <c r="H472" s="1">
        <v>3</v>
      </c>
      <c r="I472" s="1">
        <v>7</v>
      </c>
      <c r="J472" s="1">
        <v>0</v>
      </c>
      <c r="K472" s="1">
        <v>0</v>
      </c>
      <c r="L472" s="1">
        <v>7504</v>
      </c>
      <c r="M472" s="1">
        <v>0</v>
      </c>
    </row>
    <row r="473" spans="2:13" x14ac:dyDescent="0.25">
      <c r="B473" s="1">
        <v>0</v>
      </c>
      <c r="C473" s="1">
        <v>0</v>
      </c>
      <c r="D473" s="1">
        <v>1</v>
      </c>
      <c r="E473" s="1">
        <v>0</v>
      </c>
      <c r="F473" s="1">
        <v>70</v>
      </c>
      <c r="G473" s="1">
        <v>0</v>
      </c>
      <c r="H473" s="1">
        <v>1</v>
      </c>
      <c r="I473" s="1">
        <v>5</v>
      </c>
      <c r="J473" s="1">
        <v>0</v>
      </c>
      <c r="K473" s="1">
        <v>0</v>
      </c>
      <c r="L473" s="1">
        <v>5743</v>
      </c>
      <c r="M473" s="1">
        <v>0</v>
      </c>
    </row>
    <row r="474" spans="2:13" x14ac:dyDescent="0.25">
      <c r="B474" s="1">
        <v>0</v>
      </c>
      <c r="C474" s="1">
        <v>0</v>
      </c>
      <c r="D474" s="1">
        <v>1</v>
      </c>
      <c r="E474" s="1">
        <v>0</v>
      </c>
      <c r="F474" s="1">
        <v>70</v>
      </c>
      <c r="G474" s="1">
        <v>1</v>
      </c>
      <c r="H474" s="1">
        <v>3</v>
      </c>
      <c r="I474" s="1">
        <v>2</v>
      </c>
      <c r="J474" s="1">
        <v>0</v>
      </c>
      <c r="K474" s="1">
        <v>0</v>
      </c>
      <c r="L474" s="1">
        <v>6786</v>
      </c>
      <c r="M474" s="1">
        <v>0</v>
      </c>
    </row>
    <row r="475" spans="2:13" x14ac:dyDescent="0.25">
      <c r="B475" s="1">
        <v>0</v>
      </c>
      <c r="C475" s="1">
        <v>0</v>
      </c>
      <c r="D475" s="1">
        <v>1</v>
      </c>
      <c r="E475" s="1">
        <v>0</v>
      </c>
      <c r="F475" s="1">
        <v>70</v>
      </c>
      <c r="G475" s="1">
        <v>1</v>
      </c>
      <c r="H475" s="1">
        <v>3</v>
      </c>
      <c r="I475" s="1">
        <v>4</v>
      </c>
      <c r="J475" s="1">
        <v>0</v>
      </c>
      <c r="K475" s="1">
        <v>0</v>
      </c>
      <c r="L475" s="1">
        <v>10869</v>
      </c>
      <c r="M475" s="1">
        <v>0</v>
      </c>
    </row>
    <row r="476" spans="2:13" x14ac:dyDescent="0.25">
      <c r="B476" s="1">
        <v>0</v>
      </c>
      <c r="C476" s="1">
        <v>0</v>
      </c>
      <c r="D476" s="1">
        <v>1</v>
      </c>
      <c r="E476" s="1">
        <v>0</v>
      </c>
      <c r="F476" s="1">
        <v>70</v>
      </c>
      <c r="G476" s="1">
        <v>1</v>
      </c>
      <c r="H476" s="1">
        <v>5</v>
      </c>
      <c r="I476" s="1">
        <v>5</v>
      </c>
      <c r="J476" s="1">
        <v>0</v>
      </c>
      <c r="K476" s="1">
        <v>0</v>
      </c>
      <c r="L476" s="1">
        <v>15999</v>
      </c>
      <c r="M476" s="1">
        <v>0</v>
      </c>
    </row>
    <row r="477" spans="2:13" x14ac:dyDescent="0.25">
      <c r="B477" s="1">
        <v>0</v>
      </c>
      <c r="C477" s="1">
        <v>0</v>
      </c>
      <c r="D477" s="1">
        <v>1</v>
      </c>
      <c r="E477" s="1">
        <v>0</v>
      </c>
      <c r="F477" s="1">
        <v>70</v>
      </c>
      <c r="G477" s="1">
        <v>1</v>
      </c>
      <c r="H477" s="1">
        <v>4</v>
      </c>
      <c r="I477" s="1">
        <v>7</v>
      </c>
      <c r="J477" s="1">
        <v>0</v>
      </c>
      <c r="K477" s="1">
        <v>0</v>
      </c>
      <c r="L477" s="1">
        <v>17099</v>
      </c>
      <c r="M477" s="1">
        <v>0</v>
      </c>
    </row>
    <row r="478" spans="2:13" x14ac:dyDescent="0.25">
      <c r="B478" s="1">
        <v>0</v>
      </c>
      <c r="C478" s="1">
        <v>0</v>
      </c>
      <c r="D478" s="1">
        <v>1</v>
      </c>
      <c r="E478" s="1">
        <v>0</v>
      </c>
      <c r="F478" s="1">
        <v>70</v>
      </c>
      <c r="G478" s="1">
        <v>1</v>
      </c>
      <c r="H478" s="1">
        <v>1</v>
      </c>
      <c r="I478" s="1">
        <v>7</v>
      </c>
      <c r="J478" s="1">
        <v>0</v>
      </c>
      <c r="K478" s="1">
        <v>0</v>
      </c>
      <c r="L478" s="1">
        <v>6545</v>
      </c>
      <c r="M478" s="1">
        <v>0</v>
      </c>
    </row>
    <row r="479" spans="2:13" x14ac:dyDescent="0.25">
      <c r="B479" s="1">
        <v>0</v>
      </c>
      <c r="C479" s="1">
        <v>0</v>
      </c>
      <c r="D479" s="1">
        <v>1</v>
      </c>
      <c r="E479" s="1">
        <v>0</v>
      </c>
      <c r="F479" s="1">
        <v>70</v>
      </c>
      <c r="G479" s="1">
        <v>1</v>
      </c>
      <c r="H479" s="1">
        <v>4</v>
      </c>
      <c r="I479" s="1">
        <v>7</v>
      </c>
      <c r="J479" s="1">
        <v>0</v>
      </c>
      <c r="K479" s="1">
        <v>0</v>
      </c>
      <c r="L479" s="1">
        <v>7398</v>
      </c>
      <c r="M479" s="1">
        <v>0</v>
      </c>
    </row>
    <row r="480" spans="2:13" x14ac:dyDescent="0.25">
      <c r="B480" s="1">
        <v>0</v>
      </c>
      <c r="C480" s="1">
        <v>0</v>
      </c>
      <c r="D480" s="1">
        <v>1</v>
      </c>
      <c r="E480" s="1">
        <v>0</v>
      </c>
      <c r="F480" s="1">
        <v>70</v>
      </c>
      <c r="G480" s="1">
        <v>1</v>
      </c>
      <c r="H480" s="1">
        <v>3</v>
      </c>
      <c r="I480" s="1">
        <v>6</v>
      </c>
      <c r="J480" s="1">
        <v>0</v>
      </c>
      <c r="K480" s="1">
        <v>0</v>
      </c>
      <c r="L480" s="1">
        <v>11879</v>
      </c>
      <c r="M480" s="1">
        <v>0</v>
      </c>
    </row>
    <row r="481" spans="2:13" x14ac:dyDescent="0.25">
      <c r="B481" s="1">
        <v>0</v>
      </c>
      <c r="C481" s="1">
        <v>0</v>
      </c>
      <c r="D481" s="1">
        <v>1</v>
      </c>
      <c r="E481" s="1">
        <v>0</v>
      </c>
      <c r="F481" s="1">
        <v>70</v>
      </c>
      <c r="G481" s="1">
        <v>1</v>
      </c>
      <c r="H481" s="1">
        <v>20</v>
      </c>
      <c r="I481" s="1">
        <v>5</v>
      </c>
      <c r="J481" s="1">
        <v>0</v>
      </c>
      <c r="K481" s="1">
        <v>0</v>
      </c>
      <c r="L481" s="1">
        <v>39475</v>
      </c>
      <c r="M481" s="1">
        <v>0</v>
      </c>
    </row>
    <row r="482" spans="2:13" x14ac:dyDescent="0.25">
      <c r="B482" s="1">
        <v>0</v>
      </c>
      <c r="C482" s="1">
        <v>0</v>
      </c>
      <c r="D482" s="1">
        <v>1</v>
      </c>
      <c r="E482" s="1">
        <v>0</v>
      </c>
      <c r="F482" s="1">
        <v>70</v>
      </c>
      <c r="G482" s="1">
        <v>1</v>
      </c>
      <c r="H482" s="1">
        <v>4</v>
      </c>
      <c r="I482" s="1">
        <v>1</v>
      </c>
      <c r="J482" s="1">
        <v>0</v>
      </c>
      <c r="K482" s="1">
        <v>0</v>
      </c>
      <c r="L482" s="1">
        <v>12713</v>
      </c>
      <c r="M482" s="1">
        <v>0</v>
      </c>
    </row>
    <row r="483" spans="2:13" x14ac:dyDescent="0.25">
      <c r="B483" s="1">
        <v>0</v>
      </c>
      <c r="C483" s="1">
        <v>0</v>
      </c>
      <c r="D483" s="1">
        <v>1</v>
      </c>
      <c r="E483" s="1">
        <v>0</v>
      </c>
      <c r="F483" s="1">
        <v>70</v>
      </c>
      <c r="G483" s="1">
        <v>1</v>
      </c>
      <c r="H483" s="1">
        <v>2</v>
      </c>
      <c r="I483" s="1">
        <v>4</v>
      </c>
      <c r="J483" s="1">
        <v>0</v>
      </c>
      <c r="K483" s="1">
        <v>0</v>
      </c>
      <c r="L483" s="1">
        <v>13708</v>
      </c>
      <c r="M483" s="1">
        <v>0</v>
      </c>
    </row>
    <row r="484" spans="2:13" x14ac:dyDescent="0.25">
      <c r="B484" s="1">
        <v>0</v>
      </c>
      <c r="C484" s="1">
        <v>0</v>
      </c>
      <c r="D484" s="1">
        <v>1</v>
      </c>
      <c r="E484" s="1">
        <v>0</v>
      </c>
      <c r="F484" s="1">
        <v>70</v>
      </c>
      <c r="G484" s="1">
        <v>1</v>
      </c>
      <c r="H484" s="1">
        <v>3</v>
      </c>
      <c r="I484" s="1">
        <v>6</v>
      </c>
      <c r="J484" s="1">
        <v>0</v>
      </c>
      <c r="K484" s="1">
        <v>0</v>
      </c>
      <c r="L484" s="1">
        <v>20494</v>
      </c>
      <c r="M484" s="1">
        <v>0</v>
      </c>
    </row>
    <row r="485" spans="2:13" x14ac:dyDescent="0.25">
      <c r="B485" s="1">
        <v>0</v>
      </c>
      <c r="C485" s="1">
        <v>0</v>
      </c>
      <c r="D485" s="1">
        <v>1</v>
      </c>
      <c r="E485" s="1">
        <v>0</v>
      </c>
      <c r="F485" s="1">
        <v>70</v>
      </c>
      <c r="G485" s="1">
        <v>1</v>
      </c>
      <c r="H485" s="1">
        <v>1</v>
      </c>
      <c r="I485" s="1">
        <v>5</v>
      </c>
      <c r="J485" s="1">
        <v>0</v>
      </c>
      <c r="K485" s="1">
        <v>0</v>
      </c>
      <c r="L485" s="1">
        <v>5002</v>
      </c>
      <c r="M485" s="1">
        <v>0</v>
      </c>
    </row>
    <row r="486" spans="2:13" x14ac:dyDescent="0.25">
      <c r="B486" s="1">
        <v>0</v>
      </c>
      <c r="C486" s="1">
        <v>0</v>
      </c>
      <c r="D486" s="1">
        <v>1</v>
      </c>
      <c r="E486" s="1">
        <v>0</v>
      </c>
      <c r="F486" s="1">
        <v>70</v>
      </c>
      <c r="G486" s="1">
        <v>1</v>
      </c>
      <c r="H486" s="1">
        <v>5</v>
      </c>
      <c r="I486" s="1">
        <v>4</v>
      </c>
      <c r="J486" s="1">
        <v>1</v>
      </c>
      <c r="K486" s="1">
        <v>0</v>
      </c>
      <c r="L486" s="1">
        <v>15113</v>
      </c>
      <c r="M486" s="1">
        <v>0</v>
      </c>
    </row>
    <row r="487" spans="2:13" x14ac:dyDescent="0.25">
      <c r="B487" s="1">
        <v>0</v>
      </c>
      <c r="C487" s="1">
        <v>0</v>
      </c>
      <c r="D487" s="1">
        <v>1</v>
      </c>
      <c r="E487" s="1">
        <v>0</v>
      </c>
      <c r="F487" s="1">
        <v>70</v>
      </c>
      <c r="G487" s="1">
        <v>0</v>
      </c>
      <c r="H487" s="1">
        <v>3</v>
      </c>
      <c r="I487" s="1">
        <v>5</v>
      </c>
      <c r="J487" s="1">
        <v>1</v>
      </c>
      <c r="K487" s="1">
        <v>0</v>
      </c>
      <c r="L487" s="1">
        <v>9822</v>
      </c>
      <c r="M487" s="1">
        <v>0</v>
      </c>
    </row>
    <row r="488" spans="2:13" x14ac:dyDescent="0.25">
      <c r="B488" s="1">
        <v>0</v>
      </c>
      <c r="C488" s="1">
        <v>0</v>
      </c>
      <c r="D488" s="1">
        <v>1</v>
      </c>
      <c r="E488" s="1">
        <v>0</v>
      </c>
      <c r="F488" s="1">
        <v>70</v>
      </c>
      <c r="G488" s="1">
        <v>0</v>
      </c>
      <c r="H488" s="1">
        <v>4</v>
      </c>
      <c r="I488" s="1">
        <v>4</v>
      </c>
      <c r="J488" s="1">
        <v>2</v>
      </c>
      <c r="K488" s="1">
        <v>0</v>
      </c>
      <c r="L488" s="1">
        <v>20309</v>
      </c>
      <c r="M488" s="1">
        <v>1</v>
      </c>
    </row>
    <row r="489" spans="2:13" x14ac:dyDescent="0.25">
      <c r="B489" s="1">
        <v>0</v>
      </c>
      <c r="C489" s="1">
        <v>0</v>
      </c>
      <c r="D489" s="1">
        <v>1</v>
      </c>
      <c r="E489" s="1">
        <v>0</v>
      </c>
      <c r="F489" s="1">
        <v>70</v>
      </c>
      <c r="G489" s="1">
        <v>1</v>
      </c>
      <c r="H489" s="1">
        <v>1</v>
      </c>
      <c r="I489" s="1">
        <v>1</v>
      </c>
      <c r="J489" s="1">
        <v>1</v>
      </c>
      <c r="K489" s="1">
        <v>0</v>
      </c>
      <c r="L489" s="1">
        <v>21501</v>
      </c>
      <c r="M489" s="1">
        <v>1</v>
      </c>
    </row>
    <row r="490" spans="2:13" x14ac:dyDescent="0.25">
      <c r="B490" s="1">
        <v>0</v>
      </c>
      <c r="C490" s="1">
        <v>0</v>
      </c>
      <c r="D490" s="1">
        <v>1</v>
      </c>
      <c r="E490" s="1">
        <v>0</v>
      </c>
      <c r="F490" s="1">
        <v>70</v>
      </c>
      <c r="G490" s="1">
        <v>1</v>
      </c>
      <c r="H490" s="1">
        <v>4</v>
      </c>
      <c r="I490" s="1">
        <v>6</v>
      </c>
      <c r="J490" s="1">
        <v>2</v>
      </c>
      <c r="K490" s="1">
        <v>0</v>
      </c>
      <c r="L490" s="1">
        <v>23411</v>
      </c>
      <c r="M490" s="1">
        <v>1</v>
      </c>
    </row>
    <row r="491" spans="2:13" x14ac:dyDescent="0.25">
      <c r="B491" s="1">
        <v>0</v>
      </c>
      <c r="C491" s="1">
        <v>0</v>
      </c>
      <c r="D491" s="1">
        <v>1</v>
      </c>
      <c r="E491" s="1">
        <v>0</v>
      </c>
      <c r="F491" s="1">
        <v>70</v>
      </c>
      <c r="G491" s="1">
        <v>0</v>
      </c>
      <c r="H491" s="1">
        <v>4</v>
      </c>
      <c r="I491" s="1">
        <v>4</v>
      </c>
      <c r="J491" s="1">
        <v>1</v>
      </c>
      <c r="K491" s="1">
        <v>0</v>
      </c>
      <c r="L491" s="1">
        <v>35968</v>
      </c>
      <c r="M491" s="1">
        <v>1</v>
      </c>
    </row>
    <row r="492" spans="2:13" x14ac:dyDescent="0.25">
      <c r="B492" s="17">
        <v>1</v>
      </c>
      <c r="C492" s="17">
        <v>0</v>
      </c>
      <c r="D492" s="17">
        <v>0.27272727272727276</v>
      </c>
      <c r="E492" s="17">
        <v>0.72727272727272729</v>
      </c>
      <c r="F492" s="17">
        <v>70</v>
      </c>
      <c r="G492" s="17">
        <v>1</v>
      </c>
      <c r="H492" s="17">
        <v>57</v>
      </c>
      <c r="I492" s="17">
        <v>3</v>
      </c>
      <c r="J492" s="17">
        <v>6</v>
      </c>
      <c r="K492" s="17">
        <v>0</v>
      </c>
      <c r="L492" s="17">
        <v>340226</v>
      </c>
      <c r="M492" s="17">
        <v>1</v>
      </c>
    </row>
    <row r="493" spans="2:13" x14ac:dyDescent="0.25">
      <c r="B493" s="1">
        <v>0</v>
      </c>
      <c r="C493" s="1">
        <v>0</v>
      </c>
      <c r="D493" s="1">
        <v>1</v>
      </c>
      <c r="E493" s="1">
        <v>0</v>
      </c>
      <c r="F493" s="1">
        <v>70</v>
      </c>
      <c r="G493" s="1">
        <v>1</v>
      </c>
      <c r="H493" s="1">
        <v>14</v>
      </c>
      <c r="I493" s="1">
        <v>3</v>
      </c>
      <c r="J493" s="1">
        <v>6</v>
      </c>
      <c r="K493" s="1">
        <v>0</v>
      </c>
      <c r="L493" s="1">
        <v>65357</v>
      </c>
      <c r="M493" s="1">
        <v>1</v>
      </c>
    </row>
    <row r="494" spans="2:13" x14ac:dyDescent="0.25">
      <c r="B494" s="1">
        <v>0</v>
      </c>
      <c r="C494" s="1">
        <v>0</v>
      </c>
      <c r="D494" s="1">
        <v>1</v>
      </c>
      <c r="E494" s="1">
        <v>0</v>
      </c>
      <c r="F494" s="1">
        <v>69</v>
      </c>
      <c r="G494" s="1">
        <v>0</v>
      </c>
      <c r="H494" s="1">
        <v>2</v>
      </c>
      <c r="I494" s="1">
        <v>1</v>
      </c>
      <c r="J494" s="1">
        <v>1</v>
      </c>
      <c r="K494" s="1">
        <v>0</v>
      </c>
      <c r="L494" s="1">
        <v>8744</v>
      </c>
      <c r="M494" s="1">
        <v>0</v>
      </c>
    </row>
    <row r="495" spans="2:13" x14ac:dyDescent="0.25">
      <c r="B495" s="1">
        <v>0</v>
      </c>
      <c r="C495" s="1">
        <v>0</v>
      </c>
      <c r="D495" s="1">
        <v>1</v>
      </c>
      <c r="E495" s="1">
        <v>0</v>
      </c>
      <c r="F495" s="1">
        <v>69</v>
      </c>
      <c r="G495" s="1">
        <v>0</v>
      </c>
      <c r="H495" s="1">
        <v>10</v>
      </c>
      <c r="I495" s="1">
        <v>2</v>
      </c>
      <c r="J495" s="1">
        <v>0</v>
      </c>
      <c r="K495" s="1">
        <v>0</v>
      </c>
      <c r="L495" s="1">
        <v>14044</v>
      </c>
      <c r="M495" s="1">
        <v>0</v>
      </c>
    </row>
    <row r="496" spans="2:13" x14ac:dyDescent="0.25">
      <c r="B496" s="1">
        <v>0</v>
      </c>
      <c r="C496" s="1">
        <v>0</v>
      </c>
      <c r="D496" s="1">
        <v>1</v>
      </c>
      <c r="E496" s="1">
        <v>0</v>
      </c>
      <c r="F496" s="1">
        <v>69</v>
      </c>
      <c r="G496" s="1">
        <v>0</v>
      </c>
      <c r="H496" s="1">
        <v>2</v>
      </c>
      <c r="I496" s="1">
        <v>6</v>
      </c>
      <c r="J496" s="1">
        <v>0</v>
      </c>
      <c r="K496" s="1">
        <v>0</v>
      </c>
      <c r="L496" s="1">
        <v>5123</v>
      </c>
      <c r="M496" s="1">
        <v>0</v>
      </c>
    </row>
    <row r="497" spans="2:13" x14ac:dyDescent="0.25">
      <c r="B497" s="1">
        <v>0</v>
      </c>
      <c r="C497" s="1">
        <v>0</v>
      </c>
      <c r="D497" s="1">
        <v>1</v>
      </c>
      <c r="E497" s="1">
        <v>0</v>
      </c>
      <c r="F497" s="1">
        <v>69</v>
      </c>
      <c r="G497" s="1">
        <v>0</v>
      </c>
      <c r="H497" s="1">
        <v>5</v>
      </c>
      <c r="I497" s="1">
        <v>5</v>
      </c>
      <c r="J497" s="1">
        <v>0</v>
      </c>
      <c r="K497" s="1">
        <v>0</v>
      </c>
      <c r="L497" s="1">
        <v>15027</v>
      </c>
      <c r="M497" s="1">
        <v>0</v>
      </c>
    </row>
    <row r="498" spans="2:13" x14ac:dyDescent="0.25">
      <c r="B498" s="1">
        <v>0</v>
      </c>
      <c r="C498" s="1">
        <v>0</v>
      </c>
      <c r="D498" s="1">
        <v>1</v>
      </c>
      <c r="E498" s="1">
        <v>0</v>
      </c>
      <c r="F498" s="1">
        <v>69</v>
      </c>
      <c r="G498" s="1">
        <v>1</v>
      </c>
      <c r="H498" s="1">
        <v>4</v>
      </c>
      <c r="I498" s="1">
        <v>6</v>
      </c>
      <c r="J498" s="1">
        <v>0</v>
      </c>
      <c r="K498" s="1">
        <v>0</v>
      </c>
      <c r="L498" s="1">
        <v>13350</v>
      </c>
      <c r="M498" s="1">
        <v>0</v>
      </c>
    </row>
    <row r="499" spans="2:13" x14ac:dyDescent="0.25">
      <c r="B499" s="1">
        <v>0</v>
      </c>
      <c r="C499" s="1">
        <v>0</v>
      </c>
      <c r="D499" s="1">
        <v>1</v>
      </c>
      <c r="E499" s="1">
        <v>0</v>
      </c>
      <c r="F499" s="1">
        <v>69</v>
      </c>
      <c r="G499" s="1">
        <v>1</v>
      </c>
      <c r="H499" s="1">
        <v>6</v>
      </c>
      <c r="I499" s="1">
        <v>5</v>
      </c>
      <c r="J499" s="1">
        <v>0</v>
      </c>
      <c r="K499" s="1">
        <v>0</v>
      </c>
      <c r="L499" s="1">
        <v>12131</v>
      </c>
      <c r="M499" s="1">
        <v>0</v>
      </c>
    </row>
    <row r="500" spans="2:13" x14ac:dyDescent="0.25">
      <c r="B500" s="1">
        <v>0</v>
      </c>
      <c r="C500" s="1">
        <v>0</v>
      </c>
      <c r="D500" s="1">
        <v>1</v>
      </c>
      <c r="E500" s="1">
        <v>0</v>
      </c>
      <c r="F500" s="1">
        <v>69</v>
      </c>
      <c r="G500" s="1">
        <v>0</v>
      </c>
      <c r="H500" s="1">
        <v>4</v>
      </c>
      <c r="I500" s="1">
        <v>7</v>
      </c>
      <c r="J500" s="1">
        <v>0</v>
      </c>
      <c r="K500" s="1">
        <v>0</v>
      </c>
      <c r="L500" s="1">
        <v>21983</v>
      </c>
      <c r="M500" s="1">
        <v>0</v>
      </c>
    </row>
    <row r="501" spans="2:13" x14ac:dyDescent="0.25">
      <c r="B501" s="1">
        <v>0</v>
      </c>
      <c r="C501" s="1">
        <v>0</v>
      </c>
      <c r="D501" s="1">
        <v>1</v>
      </c>
      <c r="E501" s="1">
        <v>0</v>
      </c>
      <c r="F501" s="1">
        <v>69</v>
      </c>
      <c r="G501" s="1">
        <v>0</v>
      </c>
      <c r="H501" s="1">
        <v>8</v>
      </c>
      <c r="I501" s="1">
        <v>5</v>
      </c>
      <c r="J501" s="1">
        <v>0</v>
      </c>
      <c r="K501" s="1">
        <v>0</v>
      </c>
      <c r="L501" s="1">
        <v>19576</v>
      </c>
      <c r="M501" s="1">
        <v>0</v>
      </c>
    </row>
    <row r="502" spans="2:13" x14ac:dyDescent="0.25">
      <c r="B502" s="1">
        <v>0</v>
      </c>
      <c r="C502" s="1">
        <v>0</v>
      </c>
      <c r="D502" s="1">
        <v>1</v>
      </c>
      <c r="E502" s="1">
        <v>0</v>
      </c>
      <c r="F502" s="1">
        <v>69</v>
      </c>
      <c r="G502" s="1">
        <v>1</v>
      </c>
      <c r="H502" s="1">
        <v>10</v>
      </c>
      <c r="I502" s="1">
        <v>2</v>
      </c>
      <c r="J502" s="1">
        <v>0</v>
      </c>
      <c r="K502" s="1">
        <v>0</v>
      </c>
      <c r="L502" s="1">
        <v>18681</v>
      </c>
      <c r="M502" s="1">
        <v>0</v>
      </c>
    </row>
    <row r="503" spans="2:13" x14ac:dyDescent="0.25">
      <c r="B503" s="17">
        <v>1</v>
      </c>
      <c r="C503" s="17">
        <v>0</v>
      </c>
      <c r="D503" s="17">
        <v>0.27272727272727276</v>
      </c>
      <c r="E503" s="17">
        <v>0.72727272727272729</v>
      </c>
      <c r="F503" s="17">
        <v>69</v>
      </c>
      <c r="G503" s="17">
        <v>0</v>
      </c>
      <c r="H503" s="17">
        <v>70</v>
      </c>
      <c r="I503" s="17">
        <v>3</v>
      </c>
      <c r="J503" s="17">
        <v>6</v>
      </c>
      <c r="K503" s="17">
        <v>0</v>
      </c>
      <c r="L503" s="17">
        <v>103402</v>
      </c>
      <c r="M503" s="17">
        <v>0</v>
      </c>
    </row>
    <row r="504" spans="2:13" x14ac:dyDescent="0.25">
      <c r="B504" s="1">
        <v>0</v>
      </c>
      <c r="C504" s="1">
        <v>0</v>
      </c>
      <c r="D504" s="1">
        <v>1</v>
      </c>
      <c r="E504" s="1">
        <v>0</v>
      </c>
      <c r="F504" s="1">
        <v>69</v>
      </c>
      <c r="G504" s="1">
        <v>1</v>
      </c>
      <c r="H504" s="1">
        <v>8</v>
      </c>
      <c r="I504" s="1">
        <v>3</v>
      </c>
      <c r="J504" s="1">
        <v>0</v>
      </c>
      <c r="K504" s="1">
        <v>0</v>
      </c>
      <c r="L504" s="1">
        <v>13598</v>
      </c>
      <c r="M504" s="1">
        <v>0</v>
      </c>
    </row>
    <row r="505" spans="2:13" x14ac:dyDescent="0.25">
      <c r="B505" s="1">
        <v>0</v>
      </c>
      <c r="C505" s="1">
        <v>0</v>
      </c>
      <c r="D505" s="1">
        <v>1</v>
      </c>
      <c r="E505" s="1">
        <v>0</v>
      </c>
      <c r="F505" s="1">
        <v>69</v>
      </c>
      <c r="G505" s="1">
        <v>1</v>
      </c>
      <c r="H505" s="1">
        <v>2</v>
      </c>
      <c r="I505" s="1">
        <v>3</v>
      </c>
      <c r="J505" s="1">
        <v>1</v>
      </c>
      <c r="K505" s="1">
        <v>0</v>
      </c>
      <c r="L505" s="1">
        <v>10714</v>
      </c>
      <c r="M505" s="1">
        <v>0</v>
      </c>
    </row>
    <row r="506" spans="2:13" x14ac:dyDescent="0.25">
      <c r="B506" s="1">
        <v>0</v>
      </c>
      <c r="C506" s="1">
        <v>0</v>
      </c>
      <c r="D506" s="1">
        <v>1</v>
      </c>
      <c r="E506" s="1">
        <v>0</v>
      </c>
      <c r="F506" s="1">
        <v>69</v>
      </c>
      <c r="G506" s="1">
        <v>0</v>
      </c>
      <c r="H506" s="1">
        <v>8</v>
      </c>
      <c r="I506" s="1">
        <v>5</v>
      </c>
      <c r="J506" s="1">
        <v>2</v>
      </c>
      <c r="K506" s="1">
        <v>0</v>
      </c>
      <c r="L506" s="1">
        <v>34495</v>
      </c>
      <c r="M506" s="1">
        <v>1</v>
      </c>
    </row>
    <row r="507" spans="2:13" x14ac:dyDescent="0.25">
      <c r="B507" s="1">
        <v>0</v>
      </c>
      <c r="C507" s="1">
        <v>0</v>
      </c>
      <c r="D507" s="1">
        <v>1</v>
      </c>
      <c r="E507" s="1">
        <v>0</v>
      </c>
      <c r="F507" s="1">
        <v>69</v>
      </c>
      <c r="G507" s="1">
        <v>0</v>
      </c>
      <c r="H507" s="1">
        <v>2</v>
      </c>
      <c r="I507" s="1">
        <v>3</v>
      </c>
      <c r="J507" s="1">
        <v>4</v>
      </c>
      <c r="K507" s="1">
        <v>0</v>
      </c>
      <c r="L507" s="1">
        <v>34189</v>
      </c>
      <c r="M507" s="1">
        <v>1</v>
      </c>
    </row>
    <row r="508" spans="2:13" x14ac:dyDescent="0.25">
      <c r="B508" s="1">
        <v>0</v>
      </c>
      <c r="C508" s="1">
        <v>0</v>
      </c>
      <c r="D508" s="1">
        <v>1</v>
      </c>
      <c r="E508" s="1">
        <v>0</v>
      </c>
      <c r="F508" s="1">
        <v>69</v>
      </c>
      <c r="G508" s="1">
        <v>1</v>
      </c>
      <c r="H508" s="1">
        <v>3</v>
      </c>
      <c r="I508" s="1">
        <v>4</v>
      </c>
      <c r="J508" s="1">
        <v>1</v>
      </c>
      <c r="K508" s="1">
        <v>0</v>
      </c>
      <c r="L508" s="1">
        <v>32936</v>
      </c>
      <c r="M508" s="1">
        <v>1</v>
      </c>
    </row>
    <row r="509" spans="2:13" x14ac:dyDescent="0.25">
      <c r="B509" s="1">
        <v>0</v>
      </c>
      <c r="C509" s="1">
        <v>0</v>
      </c>
      <c r="D509" s="1">
        <v>1</v>
      </c>
      <c r="E509" s="1">
        <v>0</v>
      </c>
      <c r="F509" s="1">
        <v>68</v>
      </c>
      <c r="G509" s="1">
        <v>1</v>
      </c>
      <c r="H509" s="1">
        <v>3</v>
      </c>
      <c r="I509" s="1">
        <v>6</v>
      </c>
      <c r="J509" s="1">
        <v>0</v>
      </c>
      <c r="K509" s="1">
        <v>0</v>
      </c>
      <c r="L509" s="1">
        <v>16502</v>
      </c>
      <c r="M509" s="1">
        <v>0</v>
      </c>
    </row>
    <row r="510" spans="2:13" x14ac:dyDescent="0.25">
      <c r="B510" s="1">
        <v>0</v>
      </c>
      <c r="C510" s="1">
        <v>0</v>
      </c>
      <c r="D510" s="1">
        <v>1</v>
      </c>
      <c r="E510" s="1">
        <v>0</v>
      </c>
      <c r="F510" s="1">
        <v>68</v>
      </c>
      <c r="G510" s="1">
        <v>1</v>
      </c>
      <c r="H510" s="1">
        <v>2</v>
      </c>
      <c r="I510" s="1">
        <v>1</v>
      </c>
      <c r="J510" s="1">
        <v>1</v>
      </c>
      <c r="K510" s="1">
        <v>0</v>
      </c>
      <c r="L510" s="1">
        <v>12432</v>
      </c>
      <c r="M510" s="1">
        <v>0</v>
      </c>
    </row>
    <row r="511" spans="2:13" x14ac:dyDescent="0.25">
      <c r="B511" s="1">
        <v>0</v>
      </c>
      <c r="C511" s="1">
        <v>0</v>
      </c>
      <c r="D511" s="1">
        <v>1</v>
      </c>
      <c r="E511" s="1">
        <v>0</v>
      </c>
      <c r="F511" s="1">
        <v>68</v>
      </c>
      <c r="G511" s="1">
        <v>0</v>
      </c>
      <c r="H511" s="1">
        <v>3</v>
      </c>
      <c r="I511" s="1">
        <v>3</v>
      </c>
      <c r="J511" s="1">
        <v>0</v>
      </c>
      <c r="K511" s="1">
        <v>0</v>
      </c>
      <c r="L511" s="1">
        <v>13521</v>
      </c>
      <c r="M511" s="1">
        <v>0</v>
      </c>
    </row>
    <row r="512" spans="2:13" x14ac:dyDescent="0.25">
      <c r="B512" s="1">
        <v>0</v>
      </c>
      <c r="C512" s="1">
        <v>0</v>
      </c>
      <c r="D512" s="1">
        <v>1</v>
      </c>
      <c r="E512" s="1">
        <v>0</v>
      </c>
      <c r="F512" s="1">
        <v>68</v>
      </c>
      <c r="G512" s="1">
        <v>0</v>
      </c>
      <c r="H512" s="1">
        <v>4</v>
      </c>
      <c r="I512" s="1">
        <v>5</v>
      </c>
      <c r="J512" s="1">
        <v>0</v>
      </c>
      <c r="K512" s="1">
        <v>0</v>
      </c>
      <c r="L512" s="1">
        <v>13413</v>
      </c>
      <c r="M512" s="1">
        <v>0</v>
      </c>
    </row>
    <row r="513" spans="2:13" x14ac:dyDescent="0.25">
      <c r="B513" s="1">
        <v>0</v>
      </c>
      <c r="C513" s="1">
        <v>0</v>
      </c>
      <c r="D513" s="1">
        <v>1</v>
      </c>
      <c r="E513" s="1">
        <v>0</v>
      </c>
      <c r="F513" s="1">
        <v>68</v>
      </c>
      <c r="G513" s="1">
        <v>0</v>
      </c>
      <c r="H513" s="1">
        <v>5</v>
      </c>
      <c r="I513" s="1">
        <v>4</v>
      </c>
      <c r="J513" s="1">
        <v>0</v>
      </c>
      <c r="K513" s="1">
        <v>0</v>
      </c>
      <c r="L513" s="1">
        <v>15029</v>
      </c>
      <c r="M513" s="1">
        <v>0</v>
      </c>
    </row>
    <row r="514" spans="2:13" x14ac:dyDescent="0.25">
      <c r="B514" s="1">
        <v>0</v>
      </c>
      <c r="C514" s="1">
        <v>0</v>
      </c>
      <c r="D514" s="1">
        <v>1</v>
      </c>
      <c r="E514" s="1">
        <v>0</v>
      </c>
      <c r="F514" s="1">
        <v>68</v>
      </c>
      <c r="G514" s="1">
        <v>1</v>
      </c>
      <c r="H514" s="1">
        <v>3</v>
      </c>
      <c r="I514" s="1">
        <v>4</v>
      </c>
      <c r="J514" s="1">
        <v>0</v>
      </c>
      <c r="K514" s="1">
        <v>0</v>
      </c>
      <c r="L514" s="1">
        <v>8572</v>
      </c>
      <c r="M514" s="1">
        <v>0</v>
      </c>
    </row>
    <row r="515" spans="2:13" x14ac:dyDescent="0.25">
      <c r="B515" s="1">
        <v>0</v>
      </c>
      <c r="C515" s="1">
        <v>0</v>
      </c>
      <c r="D515" s="1">
        <v>1</v>
      </c>
      <c r="E515" s="1">
        <v>0</v>
      </c>
      <c r="F515" s="1">
        <v>68</v>
      </c>
      <c r="G515" s="1">
        <v>0</v>
      </c>
      <c r="H515" s="1">
        <v>6</v>
      </c>
      <c r="I515" s="1">
        <v>2</v>
      </c>
      <c r="J515" s="1">
        <v>1</v>
      </c>
      <c r="K515" s="1">
        <v>0</v>
      </c>
      <c r="L515" s="1">
        <v>15223</v>
      </c>
      <c r="M515" s="1">
        <v>0</v>
      </c>
    </row>
    <row r="516" spans="2:13" x14ac:dyDescent="0.25">
      <c r="B516" s="1">
        <v>0</v>
      </c>
      <c r="C516" s="1">
        <v>0</v>
      </c>
      <c r="D516" s="1">
        <v>1</v>
      </c>
      <c r="E516" s="1">
        <v>0</v>
      </c>
      <c r="F516" s="1">
        <v>68</v>
      </c>
      <c r="G516" s="1">
        <v>1</v>
      </c>
      <c r="H516" s="1">
        <v>3</v>
      </c>
      <c r="I516" s="1">
        <v>4</v>
      </c>
      <c r="J516" s="1">
        <v>0</v>
      </c>
      <c r="K516" s="1">
        <v>0</v>
      </c>
      <c r="L516" s="1">
        <v>12152</v>
      </c>
      <c r="M516" s="1">
        <v>0</v>
      </c>
    </row>
    <row r="517" spans="2:13" x14ac:dyDescent="0.25">
      <c r="B517" s="1">
        <v>0</v>
      </c>
      <c r="C517" s="1">
        <v>0</v>
      </c>
      <c r="D517" s="1">
        <v>1</v>
      </c>
      <c r="E517" s="1">
        <v>0</v>
      </c>
      <c r="F517" s="1">
        <v>68</v>
      </c>
      <c r="G517" s="1">
        <v>0</v>
      </c>
      <c r="H517" s="1">
        <v>2</v>
      </c>
      <c r="I517" s="1">
        <v>3</v>
      </c>
      <c r="J517" s="1">
        <v>0</v>
      </c>
      <c r="K517" s="1">
        <v>0</v>
      </c>
      <c r="L517" s="1">
        <v>8616</v>
      </c>
      <c r="M517" s="1">
        <v>0</v>
      </c>
    </row>
    <row r="518" spans="2:13" x14ac:dyDescent="0.25">
      <c r="B518" s="1">
        <v>0</v>
      </c>
      <c r="C518" s="1">
        <v>0</v>
      </c>
      <c r="D518" s="1">
        <v>1</v>
      </c>
      <c r="E518" s="1">
        <v>0</v>
      </c>
      <c r="F518" s="1">
        <v>68</v>
      </c>
      <c r="G518" s="1">
        <v>0</v>
      </c>
      <c r="H518" s="1">
        <v>6</v>
      </c>
      <c r="I518" s="1">
        <v>5</v>
      </c>
      <c r="J518" s="1">
        <v>1</v>
      </c>
      <c r="K518" s="1">
        <v>0</v>
      </c>
      <c r="L518" s="1">
        <v>19982</v>
      </c>
      <c r="M518" s="1">
        <v>0</v>
      </c>
    </row>
    <row r="519" spans="2:13" x14ac:dyDescent="0.25">
      <c r="B519" s="1">
        <v>0</v>
      </c>
      <c r="C519" s="1">
        <v>0</v>
      </c>
      <c r="D519" s="1">
        <v>1</v>
      </c>
      <c r="E519" s="1">
        <v>0</v>
      </c>
      <c r="F519" s="1">
        <v>68</v>
      </c>
      <c r="G519" s="1">
        <v>1</v>
      </c>
      <c r="H519" s="1">
        <v>4</v>
      </c>
      <c r="I519" s="1">
        <v>4</v>
      </c>
      <c r="J519" s="1">
        <v>0</v>
      </c>
      <c r="K519" s="1">
        <v>0</v>
      </c>
      <c r="L519" s="1">
        <v>14543</v>
      </c>
      <c r="M519" s="1">
        <v>0</v>
      </c>
    </row>
    <row r="520" spans="2:13" x14ac:dyDescent="0.25">
      <c r="B520" s="1">
        <v>0</v>
      </c>
      <c r="C520" s="1">
        <v>0</v>
      </c>
      <c r="D520" s="1">
        <v>1</v>
      </c>
      <c r="E520" s="1">
        <v>0</v>
      </c>
      <c r="F520" s="1">
        <v>68</v>
      </c>
      <c r="G520" s="1">
        <v>1</v>
      </c>
      <c r="H520" s="1">
        <v>9</v>
      </c>
      <c r="I520" s="1">
        <v>5</v>
      </c>
      <c r="J520" s="1">
        <v>1</v>
      </c>
      <c r="K520" s="1">
        <v>0</v>
      </c>
      <c r="L520" s="1">
        <v>26646</v>
      </c>
      <c r="M520" s="1">
        <v>1</v>
      </c>
    </row>
    <row r="521" spans="2:13" x14ac:dyDescent="0.25">
      <c r="B521" s="1">
        <v>0</v>
      </c>
      <c r="C521" s="1">
        <v>0</v>
      </c>
      <c r="D521" s="1">
        <v>1</v>
      </c>
      <c r="E521" s="1">
        <v>0</v>
      </c>
      <c r="F521" s="1">
        <v>68</v>
      </c>
      <c r="G521" s="1">
        <v>0</v>
      </c>
      <c r="H521" s="1">
        <v>3</v>
      </c>
      <c r="I521" s="1">
        <v>7</v>
      </c>
      <c r="J521" s="1">
        <v>2</v>
      </c>
      <c r="K521" s="1">
        <v>0</v>
      </c>
      <c r="L521" s="1">
        <v>30314</v>
      </c>
      <c r="M521" s="1">
        <v>1</v>
      </c>
    </row>
    <row r="522" spans="2:13" x14ac:dyDescent="0.25">
      <c r="B522" s="1">
        <v>0</v>
      </c>
      <c r="C522" s="1">
        <v>0</v>
      </c>
      <c r="D522" s="1">
        <v>1</v>
      </c>
      <c r="E522" s="1">
        <v>0</v>
      </c>
      <c r="F522" s="1">
        <v>68</v>
      </c>
      <c r="G522" s="1">
        <v>1</v>
      </c>
      <c r="H522" s="1">
        <v>10</v>
      </c>
      <c r="I522" s="1">
        <v>5</v>
      </c>
      <c r="J522" s="1">
        <v>1</v>
      </c>
      <c r="K522" s="1">
        <v>0</v>
      </c>
      <c r="L522" s="1">
        <v>44133</v>
      </c>
      <c r="M522" s="1">
        <v>1</v>
      </c>
    </row>
    <row r="523" spans="2:13" x14ac:dyDescent="0.25">
      <c r="B523" s="1">
        <v>0</v>
      </c>
      <c r="C523" s="1">
        <v>0</v>
      </c>
      <c r="D523" s="1">
        <v>1</v>
      </c>
      <c r="E523" s="1">
        <v>0</v>
      </c>
      <c r="F523" s="1">
        <v>67</v>
      </c>
      <c r="G523" s="1">
        <v>0</v>
      </c>
      <c r="H523" s="1">
        <v>2</v>
      </c>
      <c r="I523" s="1">
        <v>5</v>
      </c>
      <c r="J523" s="1">
        <v>0</v>
      </c>
      <c r="K523" s="1">
        <v>0</v>
      </c>
      <c r="L523" s="1">
        <v>7973</v>
      </c>
      <c r="M523" s="1">
        <v>0</v>
      </c>
    </row>
    <row r="524" spans="2:13" x14ac:dyDescent="0.25">
      <c r="B524" s="1">
        <v>0</v>
      </c>
      <c r="C524" s="1">
        <v>0</v>
      </c>
      <c r="D524" s="1">
        <v>1</v>
      </c>
      <c r="E524" s="1">
        <v>0</v>
      </c>
      <c r="F524" s="1">
        <v>67</v>
      </c>
      <c r="G524" s="1">
        <v>0</v>
      </c>
      <c r="H524" s="1">
        <v>13</v>
      </c>
      <c r="I524" s="1">
        <v>3</v>
      </c>
      <c r="J524" s="1">
        <v>0</v>
      </c>
      <c r="K524" s="1">
        <v>0</v>
      </c>
      <c r="L524" s="1">
        <v>29118</v>
      </c>
      <c r="M524" s="1">
        <v>0</v>
      </c>
    </row>
    <row r="525" spans="2:13" x14ac:dyDescent="0.25">
      <c r="B525" s="1">
        <v>0</v>
      </c>
      <c r="C525" s="1">
        <v>0</v>
      </c>
      <c r="D525" s="1">
        <v>1</v>
      </c>
      <c r="E525" s="1">
        <v>0</v>
      </c>
      <c r="F525" s="1">
        <v>67</v>
      </c>
      <c r="G525" s="1">
        <v>0</v>
      </c>
      <c r="H525" s="1">
        <v>2</v>
      </c>
      <c r="I525" s="1">
        <v>4</v>
      </c>
      <c r="J525" s="1">
        <v>2</v>
      </c>
      <c r="K525" s="1">
        <v>0</v>
      </c>
      <c r="L525" s="1">
        <v>8592</v>
      </c>
      <c r="M525" s="1">
        <v>0</v>
      </c>
    </row>
    <row r="526" spans="2:13" x14ac:dyDescent="0.25">
      <c r="B526" s="1">
        <v>0</v>
      </c>
      <c r="C526" s="1">
        <v>0</v>
      </c>
      <c r="D526" s="1">
        <v>1</v>
      </c>
      <c r="E526" s="1">
        <v>0</v>
      </c>
      <c r="F526" s="1">
        <v>67</v>
      </c>
      <c r="G526" s="1">
        <v>1</v>
      </c>
      <c r="H526" s="1">
        <v>4</v>
      </c>
      <c r="I526" s="1">
        <v>5</v>
      </c>
      <c r="J526" s="1">
        <v>0</v>
      </c>
      <c r="K526" s="1">
        <v>0</v>
      </c>
      <c r="L526" s="1">
        <v>12386</v>
      </c>
      <c r="M526" s="1">
        <v>0</v>
      </c>
    </row>
    <row r="527" spans="2:13" x14ac:dyDescent="0.25">
      <c r="B527" s="1">
        <v>0</v>
      </c>
      <c r="C527" s="1">
        <v>0</v>
      </c>
      <c r="D527" s="1">
        <v>1</v>
      </c>
      <c r="E527" s="1">
        <v>0</v>
      </c>
      <c r="F527" s="1">
        <v>67</v>
      </c>
      <c r="G527" s="1">
        <v>0</v>
      </c>
      <c r="H527" s="1">
        <v>1</v>
      </c>
      <c r="I527" s="1">
        <v>6</v>
      </c>
      <c r="J527" s="1">
        <v>0</v>
      </c>
      <c r="K527" s="1">
        <v>0</v>
      </c>
      <c r="L527" s="1">
        <v>8695</v>
      </c>
      <c r="M527" s="1">
        <v>0</v>
      </c>
    </row>
    <row r="528" spans="2:13" x14ac:dyDescent="0.25">
      <c r="B528" s="1">
        <v>0</v>
      </c>
      <c r="C528" s="1">
        <v>0</v>
      </c>
      <c r="D528" s="1">
        <v>1</v>
      </c>
      <c r="E528" s="1">
        <v>0</v>
      </c>
      <c r="F528" s="1">
        <v>67</v>
      </c>
      <c r="G528" s="1">
        <v>1</v>
      </c>
      <c r="H528" s="1">
        <v>11</v>
      </c>
      <c r="I528" s="1">
        <v>3</v>
      </c>
      <c r="J528" s="1">
        <v>0</v>
      </c>
      <c r="K528" s="1">
        <v>0</v>
      </c>
      <c r="L528" s="1">
        <v>21869</v>
      </c>
      <c r="M528" s="1">
        <v>0</v>
      </c>
    </row>
    <row r="529" spans="2:13" x14ac:dyDescent="0.25">
      <c r="B529" s="1">
        <v>0</v>
      </c>
      <c r="C529" s="1">
        <v>0</v>
      </c>
      <c r="D529" s="1">
        <v>1</v>
      </c>
      <c r="E529" s="1">
        <v>0</v>
      </c>
      <c r="F529" s="1">
        <v>67</v>
      </c>
      <c r="G529" s="1">
        <v>1</v>
      </c>
      <c r="H529" s="1">
        <v>5</v>
      </c>
      <c r="I529" s="1">
        <v>4</v>
      </c>
      <c r="J529" s="1">
        <v>0</v>
      </c>
      <c r="K529" s="1">
        <v>0</v>
      </c>
      <c r="L529" s="1">
        <v>16332</v>
      </c>
      <c r="M529" s="1">
        <v>0</v>
      </c>
    </row>
    <row r="530" spans="2:13" x14ac:dyDescent="0.25">
      <c r="B530" s="1">
        <v>0</v>
      </c>
      <c r="C530" s="1">
        <v>0</v>
      </c>
      <c r="D530" s="1">
        <v>1</v>
      </c>
      <c r="E530" s="1">
        <v>0</v>
      </c>
      <c r="F530" s="1">
        <v>67</v>
      </c>
      <c r="G530" s="1">
        <v>0</v>
      </c>
      <c r="H530" s="1">
        <v>8</v>
      </c>
      <c r="I530" s="1">
        <v>4</v>
      </c>
      <c r="J530" s="1">
        <v>0</v>
      </c>
      <c r="K530" s="1">
        <v>0</v>
      </c>
      <c r="L530" s="1">
        <v>21163</v>
      </c>
      <c r="M530" s="1">
        <v>0</v>
      </c>
    </row>
    <row r="531" spans="2:13" x14ac:dyDescent="0.25">
      <c r="B531" s="1">
        <v>0</v>
      </c>
      <c r="C531" s="1">
        <v>0</v>
      </c>
      <c r="D531" s="1">
        <v>1</v>
      </c>
      <c r="E531" s="1">
        <v>0</v>
      </c>
      <c r="F531" s="1">
        <v>67</v>
      </c>
      <c r="G531" s="1">
        <v>1</v>
      </c>
      <c r="H531" s="1">
        <v>7</v>
      </c>
      <c r="I531" s="1">
        <v>5</v>
      </c>
      <c r="J531" s="1">
        <v>1</v>
      </c>
      <c r="K531" s="1">
        <v>0</v>
      </c>
      <c r="L531" s="1">
        <v>27030</v>
      </c>
      <c r="M531" s="1">
        <v>0</v>
      </c>
    </row>
    <row r="532" spans="2:13" x14ac:dyDescent="0.25">
      <c r="B532" s="1">
        <v>0</v>
      </c>
      <c r="C532" s="1">
        <v>0</v>
      </c>
      <c r="D532" s="1">
        <v>1</v>
      </c>
      <c r="E532" s="1">
        <v>0</v>
      </c>
      <c r="F532" s="1">
        <v>67</v>
      </c>
      <c r="G532" s="1">
        <v>1</v>
      </c>
      <c r="H532" s="1">
        <v>5</v>
      </c>
      <c r="I532" s="1">
        <v>5</v>
      </c>
      <c r="J532" s="1">
        <v>0</v>
      </c>
      <c r="K532" s="1">
        <v>0</v>
      </c>
      <c r="L532" s="1">
        <v>13537</v>
      </c>
      <c r="M532" s="1">
        <v>0</v>
      </c>
    </row>
    <row r="533" spans="2:13" x14ac:dyDescent="0.25">
      <c r="B533" s="1">
        <v>0</v>
      </c>
      <c r="C533" s="1">
        <v>0</v>
      </c>
      <c r="D533" s="1">
        <v>1</v>
      </c>
      <c r="E533" s="1">
        <v>0</v>
      </c>
      <c r="F533" s="1">
        <v>67</v>
      </c>
      <c r="G533" s="1">
        <v>1</v>
      </c>
      <c r="H533" s="1">
        <v>11</v>
      </c>
      <c r="I533" s="1">
        <v>4</v>
      </c>
      <c r="J533" s="1">
        <v>1</v>
      </c>
      <c r="K533" s="1">
        <v>0</v>
      </c>
      <c r="L533" s="1">
        <v>40940</v>
      </c>
      <c r="M533" s="1">
        <v>0</v>
      </c>
    </row>
    <row r="534" spans="2:13" x14ac:dyDescent="0.25">
      <c r="B534" s="1">
        <v>0</v>
      </c>
      <c r="C534" s="1">
        <v>0</v>
      </c>
      <c r="D534" s="1">
        <v>1</v>
      </c>
      <c r="E534" s="1">
        <v>0</v>
      </c>
      <c r="F534" s="1">
        <v>67</v>
      </c>
      <c r="G534" s="1">
        <v>0</v>
      </c>
      <c r="H534" s="1">
        <v>2</v>
      </c>
      <c r="I534" s="1">
        <v>4</v>
      </c>
      <c r="J534" s="1">
        <v>0</v>
      </c>
      <c r="K534" s="1">
        <v>0</v>
      </c>
      <c r="L534" s="1">
        <v>8804</v>
      </c>
      <c r="M534" s="1">
        <v>0</v>
      </c>
    </row>
    <row r="535" spans="2:13" x14ac:dyDescent="0.25">
      <c r="B535" s="1">
        <v>0</v>
      </c>
      <c r="C535" s="1">
        <v>0</v>
      </c>
      <c r="D535" s="1">
        <v>1</v>
      </c>
      <c r="E535" s="1">
        <v>0</v>
      </c>
      <c r="F535" s="1">
        <v>67</v>
      </c>
      <c r="G535" s="1">
        <v>0</v>
      </c>
      <c r="H535" s="1">
        <v>4</v>
      </c>
      <c r="I535" s="1">
        <v>4</v>
      </c>
      <c r="J535" s="1">
        <v>0</v>
      </c>
      <c r="K535" s="1">
        <v>0</v>
      </c>
      <c r="L535" s="1">
        <v>11840</v>
      </c>
      <c r="M535" s="1">
        <v>0</v>
      </c>
    </row>
    <row r="536" spans="2:13" x14ac:dyDescent="0.25">
      <c r="B536" s="1">
        <v>0</v>
      </c>
      <c r="C536" s="1">
        <v>0</v>
      </c>
      <c r="D536" s="1">
        <v>1</v>
      </c>
      <c r="E536" s="1">
        <v>0</v>
      </c>
      <c r="F536" s="1">
        <v>67</v>
      </c>
      <c r="G536" s="1">
        <v>1</v>
      </c>
      <c r="H536" s="1">
        <v>7</v>
      </c>
      <c r="I536" s="1">
        <v>3</v>
      </c>
      <c r="J536" s="1">
        <v>0</v>
      </c>
      <c r="K536" s="1">
        <v>0</v>
      </c>
      <c r="L536" s="1">
        <v>21080</v>
      </c>
      <c r="M536" s="1">
        <v>0</v>
      </c>
    </row>
    <row r="537" spans="2:13" x14ac:dyDescent="0.25">
      <c r="B537" s="1">
        <v>0</v>
      </c>
      <c r="C537" s="1">
        <v>0</v>
      </c>
      <c r="D537" s="1">
        <v>1</v>
      </c>
      <c r="E537" s="1">
        <v>0</v>
      </c>
      <c r="F537" s="1">
        <v>67</v>
      </c>
      <c r="G537" s="1">
        <v>1</v>
      </c>
      <c r="H537" s="1">
        <v>4</v>
      </c>
      <c r="I537" s="1">
        <v>3</v>
      </c>
      <c r="J537" s="1">
        <v>0</v>
      </c>
      <c r="K537" s="1">
        <v>0</v>
      </c>
      <c r="L537" s="1">
        <v>8067</v>
      </c>
      <c r="M537" s="1">
        <v>0</v>
      </c>
    </row>
    <row r="538" spans="2:13" x14ac:dyDescent="0.25">
      <c r="B538" s="1">
        <v>0</v>
      </c>
      <c r="C538" s="1">
        <v>0</v>
      </c>
      <c r="D538" s="1">
        <v>1</v>
      </c>
      <c r="E538" s="1">
        <v>0</v>
      </c>
      <c r="F538" s="1">
        <v>67</v>
      </c>
      <c r="G538" s="1">
        <v>0</v>
      </c>
      <c r="H538" s="1">
        <v>2</v>
      </c>
      <c r="I538" s="1">
        <v>5</v>
      </c>
      <c r="J538" s="1">
        <v>1</v>
      </c>
      <c r="K538" s="1">
        <v>0</v>
      </c>
      <c r="L538" s="1">
        <v>7445</v>
      </c>
      <c r="M538" s="1">
        <v>0</v>
      </c>
    </row>
    <row r="539" spans="2:13" x14ac:dyDescent="0.25">
      <c r="B539" s="1">
        <v>0</v>
      </c>
      <c r="C539" s="1">
        <v>0</v>
      </c>
      <c r="D539" s="1">
        <v>1</v>
      </c>
      <c r="E539" s="1">
        <v>0</v>
      </c>
      <c r="F539" s="1">
        <v>67</v>
      </c>
      <c r="G539" s="1">
        <v>1</v>
      </c>
      <c r="H539" s="1">
        <v>13</v>
      </c>
      <c r="I539" s="1">
        <v>1</v>
      </c>
      <c r="J539" s="1">
        <v>3</v>
      </c>
      <c r="K539" s="1">
        <v>0</v>
      </c>
      <c r="L539" s="1">
        <v>58859</v>
      </c>
      <c r="M539" s="1">
        <v>1</v>
      </c>
    </row>
    <row r="540" spans="2:13" x14ac:dyDescent="0.25">
      <c r="B540" s="1">
        <v>0</v>
      </c>
      <c r="C540" s="1">
        <v>0</v>
      </c>
      <c r="D540" s="1">
        <v>1</v>
      </c>
      <c r="E540" s="1">
        <v>0</v>
      </c>
      <c r="F540" s="1">
        <v>67</v>
      </c>
      <c r="G540" s="1">
        <v>1</v>
      </c>
      <c r="H540" s="1">
        <v>1</v>
      </c>
      <c r="I540" s="1">
        <v>3</v>
      </c>
      <c r="J540" s="1">
        <v>2</v>
      </c>
      <c r="K540" s="1">
        <v>0</v>
      </c>
      <c r="L540" s="1">
        <v>14358</v>
      </c>
      <c r="M540" s="1">
        <v>1</v>
      </c>
    </row>
    <row r="541" spans="2:13" x14ac:dyDescent="0.25">
      <c r="B541" s="1">
        <v>0</v>
      </c>
      <c r="C541" s="1">
        <v>0</v>
      </c>
      <c r="D541" s="1">
        <v>1</v>
      </c>
      <c r="E541" s="1">
        <v>0</v>
      </c>
      <c r="F541" s="1">
        <v>67</v>
      </c>
      <c r="G541" s="1">
        <v>1</v>
      </c>
      <c r="H541" s="1">
        <v>6</v>
      </c>
      <c r="I541" s="1">
        <v>5</v>
      </c>
      <c r="J541" s="1">
        <v>3</v>
      </c>
      <c r="K541" s="1">
        <v>0</v>
      </c>
      <c r="L541" s="1">
        <v>29712</v>
      </c>
      <c r="M541" s="1">
        <v>1</v>
      </c>
    </row>
    <row r="542" spans="2:13" x14ac:dyDescent="0.25">
      <c r="B542" s="1">
        <v>0</v>
      </c>
      <c r="C542" s="1">
        <v>0</v>
      </c>
      <c r="D542" s="1">
        <v>1</v>
      </c>
      <c r="E542" s="1">
        <v>0</v>
      </c>
      <c r="F542" s="1">
        <v>67</v>
      </c>
      <c r="G542" s="1">
        <v>1</v>
      </c>
      <c r="H542" s="1">
        <v>4</v>
      </c>
      <c r="I542" s="1">
        <v>2</v>
      </c>
      <c r="J542" s="1">
        <v>3</v>
      </c>
      <c r="K542" s="1">
        <v>0</v>
      </c>
      <c r="L542" s="1">
        <v>41186</v>
      </c>
      <c r="M542" s="1">
        <v>1</v>
      </c>
    </row>
    <row r="543" spans="2:13" x14ac:dyDescent="0.25">
      <c r="B543" s="1">
        <v>0</v>
      </c>
      <c r="C543" s="1">
        <v>0</v>
      </c>
      <c r="D543" s="1">
        <v>1</v>
      </c>
      <c r="E543" s="1">
        <v>0</v>
      </c>
      <c r="F543" s="1">
        <v>67</v>
      </c>
      <c r="G543" s="1">
        <v>1</v>
      </c>
      <c r="H543" s="1">
        <v>6</v>
      </c>
      <c r="I543" s="1">
        <v>5</v>
      </c>
      <c r="J543" s="1">
        <v>2</v>
      </c>
      <c r="K543" s="1">
        <v>0</v>
      </c>
      <c r="L543" s="1">
        <v>35451</v>
      </c>
      <c r="M543" s="1">
        <v>1</v>
      </c>
    </row>
    <row r="544" spans="2:13" x14ac:dyDescent="0.25">
      <c r="B544" s="1">
        <v>0</v>
      </c>
      <c r="C544" s="1">
        <v>0</v>
      </c>
      <c r="D544" s="1">
        <v>1</v>
      </c>
      <c r="E544" s="1">
        <v>0</v>
      </c>
      <c r="F544" s="1">
        <v>67</v>
      </c>
      <c r="G544" s="1">
        <v>1</v>
      </c>
      <c r="H544" s="1">
        <v>8</v>
      </c>
      <c r="I544" s="1">
        <v>5</v>
      </c>
      <c r="J544" s="1">
        <v>6</v>
      </c>
      <c r="K544" s="1">
        <v>0</v>
      </c>
      <c r="L544" s="1">
        <v>35765</v>
      </c>
      <c r="M544" s="1">
        <v>1</v>
      </c>
    </row>
    <row r="545" spans="2:13" x14ac:dyDescent="0.25">
      <c r="B545" s="1">
        <v>0</v>
      </c>
      <c r="C545" s="1">
        <v>0</v>
      </c>
      <c r="D545" s="1">
        <v>1</v>
      </c>
      <c r="E545" s="1">
        <v>0</v>
      </c>
      <c r="F545" s="1">
        <v>66</v>
      </c>
      <c r="G545" s="1">
        <v>0</v>
      </c>
      <c r="H545" s="1">
        <v>13</v>
      </c>
      <c r="I545" s="1">
        <v>3</v>
      </c>
      <c r="J545" s="1">
        <v>0</v>
      </c>
      <c r="K545" s="1">
        <v>0</v>
      </c>
      <c r="L545" s="1">
        <v>20579</v>
      </c>
      <c r="M545" s="1">
        <v>0</v>
      </c>
    </row>
    <row r="546" spans="2:13" x14ac:dyDescent="0.25">
      <c r="B546" s="1">
        <v>0</v>
      </c>
      <c r="C546" s="1">
        <v>0</v>
      </c>
      <c r="D546" s="1">
        <v>1</v>
      </c>
      <c r="E546" s="1">
        <v>0</v>
      </c>
      <c r="F546" s="1">
        <v>66</v>
      </c>
      <c r="G546" s="1">
        <v>0</v>
      </c>
      <c r="H546" s="1">
        <v>5</v>
      </c>
      <c r="I546" s="1">
        <v>6</v>
      </c>
      <c r="J546" s="1">
        <v>0</v>
      </c>
      <c r="K546" s="1">
        <v>0</v>
      </c>
      <c r="L546" s="1">
        <v>14163</v>
      </c>
      <c r="M546" s="1">
        <v>0</v>
      </c>
    </row>
    <row r="547" spans="2:13" x14ac:dyDescent="0.25">
      <c r="B547" s="1">
        <v>0</v>
      </c>
      <c r="C547" s="1">
        <v>0</v>
      </c>
      <c r="D547" s="1">
        <v>1</v>
      </c>
      <c r="E547" s="1">
        <v>0</v>
      </c>
      <c r="F547" s="1">
        <v>66</v>
      </c>
      <c r="G547" s="1">
        <v>1</v>
      </c>
      <c r="H547" s="1">
        <v>6</v>
      </c>
      <c r="I547" s="1">
        <v>5</v>
      </c>
      <c r="J547" s="1">
        <v>0</v>
      </c>
      <c r="K547" s="1">
        <v>0</v>
      </c>
      <c r="L547" s="1">
        <v>24685</v>
      </c>
      <c r="M547" s="1">
        <v>0</v>
      </c>
    </row>
    <row r="548" spans="2:13" x14ac:dyDescent="0.25">
      <c r="B548" s="1">
        <v>0</v>
      </c>
      <c r="C548" s="1">
        <v>0</v>
      </c>
      <c r="D548" s="1">
        <v>1</v>
      </c>
      <c r="E548" s="1">
        <v>0</v>
      </c>
      <c r="F548" s="1">
        <v>66</v>
      </c>
      <c r="G548" s="1">
        <v>0</v>
      </c>
      <c r="H548" s="1">
        <v>8</v>
      </c>
      <c r="I548" s="1">
        <v>4</v>
      </c>
      <c r="J548" s="1">
        <v>0</v>
      </c>
      <c r="K548" s="1">
        <v>0</v>
      </c>
      <c r="L548" s="1">
        <v>15639</v>
      </c>
      <c r="M548" s="1">
        <v>0</v>
      </c>
    </row>
    <row r="549" spans="2:13" x14ac:dyDescent="0.25">
      <c r="B549" s="1">
        <v>0</v>
      </c>
      <c r="C549" s="1">
        <v>0</v>
      </c>
      <c r="D549" s="1">
        <v>1</v>
      </c>
      <c r="E549" s="1">
        <v>0</v>
      </c>
      <c r="F549" s="1">
        <v>66</v>
      </c>
      <c r="G549" s="1">
        <v>0</v>
      </c>
      <c r="H549" s="1">
        <v>1</v>
      </c>
      <c r="I549" s="1">
        <v>3</v>
      </c>
      <c r="J549" s="1">
        <v>3</v>
      </c>
      <c r="K549" s="1">
        <v>0</v>
      </c>
      <c r="L549" s="1">
        <v>17720</v>
      </c>
      <c r="M549" s="1">
        <v>0</v>
      </c>
    </row>
    <row r="550" spans="2:13" x14ac:dyDescent="0.25">
      <c r="B550" s="1">
        <v>0</v>
      </c>
      <c r="C550" s="1">
        <v>0</v>
      </c>
      <c r="D550" s="1">
        <v>1</v>
      </c>
      <c r="E550" s="1">
        <v>0</v>
      </c>
      <c r="F550" s="1">
        <v>66</v>
      </c>
      <c r="G550" s="1">
        <v>0</v>
      </c>
      <c r="H550" s="1">
        <v>8</v>
      </c>
      <c r="I550" s="1">
        <v>4</v>
      </c>
      <c r="J550" s="1">
        <v>3</v>
      </c>
      <c r="K550" s="1">
        <v>0</v>
      </c>
      <c r="L550" s="1">
        <v>47588</v>
      </c>
      <c r="M550" s="1">
        <v>0</v>
      </c>
    </row>
    <row r="551" spans="2:13" x14ac:dyDescent="0.25">
      <c r="B551" s="1">
        <v>0</v>
      </c>
      <c r="C551" s="1">
        <v>0</v>
      </c>
      <c r="D551" s="1">
        <v>1</v>
      </c>
      <c r="E551" s="1">
        <v>0</v>
      </c>
      <c r="F551" s="1">
        <v>66</v>
      </c>
      <c r="G551" s="1">
        <v>1</v>
      </c>
      <c r="H551" s="1">
        <v>5</v>
      </c>
      <c r="I551" s="1">
        <v>5</v>
      </c>
      <c r="J551" s="1">
        <v>0</v>
      </c>
      <c r="K551" s="1">
        <v>0</v>
      </c>
      <c r="L551" s="1">
        <v>24868</v>
      </c>
      <c r="M551" s="1">
        <v>0</v>
      </c>
    </row>
    <row r="552" spans="2:13" x14ac:dyDescent="0.25">
      <c r="B552" s="1">
        <v>0</v>
      </c>
      <c r="C552" s="1">
        <v>0</v>
      </c>
      <c r="D552" s="1">
        <v>1</v>
      </c>
      <c r="E552" s="1">
        <v>0</v>
      </c>
      <c r="F552" s="1">
        <v>66</v>
      </c>
      <c r="G552" s="1">
        <v>0</v>
      </c>
      <c r="H552" s="1">
        <v>3</v>
      </c>
      <c r="I552" s="1">
        <v>4</v>
      </c>
      <c r="J552" s="1">
        <v>0</v>
      </c>
      <c r="K552" s="1">
        <v>0</v>
      </c>
      <c r="L552" s="1">
        <v>12929</v>
      </c>
      <c r="M552" s="1">
        <v>0</v>
      </c>
    </row>
    <row r="553" spans="2:13" x14ac:dyDescent="0.25">
      <c r="B553" s="1">
        <v>0</v>
      </c>
      <c r="C553" s="1">
        <v>0</v>
      </c>
      <c r="D553" s="1">
        <v>1</v>
      </c>
      <c r="E553" s="1">
        <v>0</v>
      </c>
      <c r="F553" s="1">
        <v>66</v>
      </c>
      <c r="G553" s="1">
        <v>0</v>
      </c>
      <c r="H553" s="1">
        <v>9</v>
      </c>
      <c r="I553" s="1">
        <v>4</v>
      </c>
      <c r="J553" s="1">
        <v>0</v>
      </c>
      <c r="K553" s="1">
        <v>0</v>
      </c>
      <c r="L553" s="1">
        <v>29021</v>
      </c>
      <c r="M553" s="1">
        <v>0</v>
      </c>
    </row>
    <row r="554" spans="2:13" x14ac:dyDescent="0.25">
      <c r="B554" s="1">
        <v>0</v>
      </c>
      <c r="C554" s="1">
        <v>0</v>
      </c>
      <c r="D554" s="1">
        <v>1</v>
      </c>
      <c r="E554" s="1">
        <v>0</v>
      </c>
      <c r="F554" s="1">
        <v>66</v>
      </c>
      <c r="G554" s="1">
        <v>0</v>
      </c>
      <c r="H554" s="1">
        <v>3</v>
      </c>
      <c r="I554" s="1">
        <v>4</v>
      </c>
      <c r="J554" s="1">
        <v>0</v>
      </c>
      <c r="K554" s="1">
        <v>0</v>
      </c>
      <c r="L554" s="1">
        <v>7224</v>
      </c>
      <c r="M554" s="1">
        <v>0</v>
      </c>
    </row>
    <row r="555" spans="2:13" x14ac:dyDescent="0.25">
      <c r="B555" s="1">
        <v>0</v>
      </c>
      <c r="C555" s="1">
        <v>0</v>
      </c>
      <c r="D555" s="1">
        <v>1</v>
      </c>
      <c r="E555" s="1">
        <v>0</v>
      </c>
      <c r="F555" s="1">
        <v>66</v>
      </c>
      <c r="G555" s="1">
        <v>1</v>
      </c>
      <c r="H555" s="1">
        <v>15</v>
      </c>
      <c r="I555" s="1">
        <v>6</v>
      </c>
      <c r="J555" s="1">
        <v>0</v>
      </c>
      <c r="K555" s="1">
        <v>0</v>
      </c>
      <c r="L555" s="1">
        <v>27468</v>
      </c>
      <c r="M555" s="1">
        <v>0</v>
      </c>
    </row>
    <row r="556" spans="2:13" x14ac:dyDescent="0.25">
      <c r="B556" s="1">
        <v>0</v>
      </c>
      <c r="C556" s="1">
        <v>0</v>
      </c>
      <c r="D556" s="1">
        <v>1</v>
      </c>
      <c r="E556" s="1">
        <v>0</v>
      </c>
      <c r="F556" s="1">
        <v>66</v>
      </c>
      <c r="G556" s="1">
        <v>1</v>
      </c>
      <c r="H556" s="1">
        <v>1</v>
      </c>
      <c r="I556" s="1">
        <v>8</v>
      </c>
      <c r="J556" s="1">
        <v>0</v>
      </c>
      <c r="K556" s="1">
        <v>0</v>
      </c>
      <c r="L556" s="1">
        <v>8750</v>
      </c>
      <c r="M556" s="1">
        <v>0</v>
      </c>
    </row>
    <row r="557" spans="2:13" x14ac:dyDescent="0.25">
      <c r="B557" s="1">
        <v>0</v>
      </c>
      <c r="C557" s="1">
        <v>0</v>
      </c>
      <c r="D557" s="1">
        <v>1</v>
      </c>
      <c r="E557" s="1">
        <v>0</v>
      </c>
      <c r="F557" s="1">
        <v>66</v>
      </c>
      <c r="G557" s="1">
        <v>1</v>
      </c>
      <c r="H557" s="1">
        <v>3</v>
      </c>
      <c r="I557" s="1">
        <v>2</v>
      </c>
      <c r="J557" s="1">
        <v>0</v>
      </c>
      <c r="K557" s="1">
        <v>0</v>
      </c>
      <c r="L557" s="1">
        <v>12583</v>
      </c>
      <c r="M557" s="1">
        <v>0</v>
      </c>
    </row>
    <row r="558" spans="2:13" x14ac:dyDescent="0.25">
      <c r="B558" s="1">
        <v>0</v>
      </c>
      <c r="C558" s="1">
        <v>0</v>
      </c>
      <c r="D558" s="1">
        <v>1</v>
      </c>
      <c r="E558" s="1">
        <v>0</v>
      </c>
      <c r="F558" s="1">
        <v>66</v>
      </c>
      <c r="G558" s="1">
        <v>0</v>
      </c>
      <c r="H558" s="1">
        <v>20</v>
      </c>
      <c r="I558" s="1">
        <v>1</v>
      </c>
      <c r="J558" s="1">
        <v>1</v>
      </c>
      <c r="K558" s="1">
        <v>0</v>
      </c>
      <c r="L558" s="1">
        <v>69928</v>
      </c>
      <c r="M558" s="1">
        <v>0</v>
      </c>
    </row>
    <row r="559" spans="2:13" x14ac:dyDescent="0.25">
      <c r="B559" s="1">
        <v>0</v>
      </c>
      <c r="C559" s="1">
        <v>0</v>
      </c>
      <c r="D559" s="1">
        <v>1</v>
      </c>
      <c r="E559" s="1">
        <v>0</v>
      </c>
      <c r="F559" s="1">
        <v>66</v>
      </c>
      <c r="G559" s="1">
        <v>0</v>
      </c>
      <c r="H559" s="1">
        <v>7</v>
      </c>
      <c r="I559" s="1">
        <v>5</v>
      </c>
      <c r="J559" s="1">
        <v>5</v>
      </c>
      <c r="K559" s="1">
        <v>0</v>
      </c>
      <c r="L559" s="1">
        <v>35684</v>
      </c>
      <c r="M559" s="1">
        <v>0</v>
      </c>
    </row>
    <row r="560" spans="2:13" x14ac:dyDescent="0.25">
      <c r="B560" s="1">
        <v>0</v>
      </c>
      <c r="C560" s="1">
        <v>0</v>
      </c>
      <c r="D560" s="1">
        <v>1</v>
      </c>
      <c r="E560" s="1">
        <v>0</v>
      </c>
      <c r="F560" s="1">
        <v>66</v>
      </c>
      <c r="G560" s="1">
        <v>0</v>
      </c>
      <c r="H560" s="1">
        <v>1</v>
      </c>
      <c r="I560" s="1">
        <v>5</v>
      </c>
      <c r="J560" s="1">
        <v>1</v>
      </c>
      <c r="K560" s="1">
        <v>0</v>
      </c>
      <c r="L560" s="1">
        <v>5649</v>
      </c>
      <c r="M560" s="1">
        <v>0</v>
      </c>
    </row>
    <row r="561" spans="2:13" x14ac:dyDescent="0.25">
      <c r="B561" s="1">
        <v>0</v>
      </c>
      <c r="C561" s="1">
        <v>0</v>
      </c>
      <c r="D561" s="1">
        <v>1</v>
      </c>
      <c r="E561" s="1">
        <v>0</v>
      </c>
      <c r="F561" s="1">
        <v>66</v>
      </c>
      <c r="G561" s="1">
        <v>1</v>
      </c>
      <c r="H561" s="1">
        <v>3</v>
      </c>
      <c r="I561" s="1">
        <v>4</v>
      </c>
      <c r="J561" s="1">
        <v>0</v>
      </c>
      <c r="K561" s="1">
        <v>0</v>
      </c>
      <c r="L561" s="1">
        <v>7191</v>
      </c>
      <c r="M561" s="1">
        <v>0</v>
      </c>
    </row>
    <row r="562" spans="2:13" x14ac:dyDescent="0.25">
      <c r="B562" s="1">
        <v>0</v>
      </c>
      <c r="C562" s="1">
        <v>0</v>
      </c>
      <c r="D562" s="1">
        <v>1</v>
      </c>
      <c r="E562" s="1">
        <v>0</v>
      </c>
      <c r="F562" s="1">
        <v>66</v>
      </c>
      <c r="G562" s="1">
        <v>0</v>
      </c>
      <c r="H562" s="1">
        <v>6</v>
      </c>
      <c r="I562" s="1">
        <v>3</v>
      </c>
      <c r="J562" s="1">
        <v>5</v>
      </c>
      <c r="K562" s="1">
        <v>0</v>
      </c>
      <c r="L562" s="1">
        <v>26513</v>
      </c>
      <c r="M562" s="1">
        <v>0</v>
      </c>
    </row>
    <row r="563" spans="2:13" x14ac:dyDescent="0.25">
      <c r="B563" s="1">
        <v>0</v>
      </c>
      <c r="C563" s="1">
        <v>0</v>
      </c>
      <c r="D563" s="1">
        <v>1</v>
      </c>
      <c r="E563" s="1">
        <v>0</v>
      </c>
      <c r="F563" s="1">
        <v>66</v>
      </c>
      <c r="G563" s="1">
        <v>1</v>
      </c>
      <c r="H563" s="1">
        <v>3</v>
      </c>
      <c r="I563" s="1">
        <v>4</v>
      </c>
      <c r="J563" s="1">
        <v>2</v>
      </c>
      <c r="K563" s="1">
        <v>0</v>
      </c>
      <c r="L563" s="1">
        <v>16981</v>
      </c>
      <c r="M563" s="1">
        <v>0</v>
      </c>
    </row>
    <row r="564" spans="2:13" x14ac:dyDescent="0.25">
      <c r="B564" s="1">
        <v>0</v>
      </c>
      <c r="C564" s="1">
        <v>0</v>
      </c>
      <c r="D564" s="1">
        <v>1</v>
      </c>
      <c r="E564" s="1">
        <v>0</v>
      </c>
      <c r="F564" s="1">
        <v>66</v>
      </c>
      <c r="G564" s="1">
        <v>0</v>
      </c>
      <c r="H564" s="1">
        <v>3</v>
      </c>
      <c r="I564" s="1">
        <v>3</v>
      </c>
      <c r="J564" s="1">
        <v>4</v>
      </c>
      <c r="K564" s="1">
        <v>0</v>
      </c>
      <c r="L564" s="1">
        <v>21237</v>
      </c>
      <c r="M564" s="1">
        <v>1</v>
      </c>
    </row>
    <row r="565" spans="2:13" x14ac:dyDescent="0.25">
      <c r="B565" s="1">
        <v>0</v>
      </c>
      <c r="C565" s="1">
        <v>0</v>
      </c>
      <c r="D565" s="1">
        <v>1</v>
      </c>
      <c r="E565" s="1">
        <v>0</v>
      </c>
      <c r="F565" s="1">
        <v>66</v>
      </c>
      <c r="G565" s="1">
        <v>0</v>
      </c>
      <c r="H565" s="1">
        <v>7</v>
      </c>
      <c r="I565" s="1">
        <v>6</v>
      </c>
      <c r="J565" s="1">
        <v>1</v>
      </c>
      <c r="K565" s="1">
        <v>0</v>
      </c>
      <c r="L565" s="1">
        <v>22679</v>
      </c>
      <c r="M565" s="1">
        <v>1</v>
      </c>
    </row>
    <row r="566" spans="2:13" x14ac:dyDescent="0.25">
      <c r="B566" s="1">
        <v>0</v>
      </c>
      <c r="C566" s="1">
        <v>0</v>
      </c>
      <c r="D566" s="1">
        <v>1</v>
      </c>
      <c r="E566" s="1">
        <v>0</v>
      </c>
      <c r="F566" s="1">
        <v>66</v>
      </c>
      <c r="G566" s="1">
        <v>0</v>
      </c>
      <c r="H566" s="1">
        <v>8</v>
      </c>
      <c r="I566" s="1">
        <v>3</v>
      </c>
      <c r="J566" s="1">
        <v>2</v>
      </c>
      <c r="K566" s="1">
        <v>0</v>
      </c>
      <c r="L566" s="1">
        <v>39927</v>
      </c>
      <c r="M566" s="1">
        <v>1</v>
      </c>
    </row>
    <row r="567" spans="2:13" x14ac:dyDescent="0.25">
      <c r="B567" s="1">
        <v>0</v>
      </c>
      <c r="C567" s="1">
        <v>0</v>
      </c>
      <c r="D567" s="1">
        <v>1</v>
      </c>
      <c r="E567" s="1">
        <v>0</v>
      </c>
      <c r="F567" s="1">
        <v>66</v>
      </c>
      <c r="G567" s="1">
        <v>1</v>
      </c>
      <c r="H567" s="1">
        <v>8</v>
      </c>
      <c r="I567" s="1">
        <v>5</v>
      </c>
      <c r="J567" s="1">
        <v>4</v>
      </c>
      <c r="K567" s="1">
        <v>0</v>
      </c>
      <c r="L567" s="1">
        <v>42359</v>
      </c>
      <c r="M567" s="1">
        <v>1</v>
      </c>
    </row>
    <row r="568" spans="2:13" x14ac:dyDescent="0.25">
      <c r="B568" s="1">
        <v>0</v>
      </c>
      <c r="C568" s="1">
        <v>0</v>
      </c>
      <c r="D568" s="1">
        <v>1</v>
      </c>
      <c r="E568" s="1">
        <v>0</v>
      </c>
      <c r="F568" s="1">
        <v>65</v>
      </c>
      <c r="G568" s="1">
        <v>0</v>
      </c>
      <c r="H568" s="1">
        <v>6</v>
      </c>
      <c r="I568" s="1">
        <v>6</v>
      </c>
      <c r="J568" s="1">
        <v>0</v>
      </c>
      <c r="K568" s="1">
        <v>0</v>
      </c>
      <c r="L568" s="1">
        <v>22442</v>
      </c>
      <c r="M568" s="1">
        <v>0</v>
      </c>
    </row>
    <row r="569" spans="2:13" x14ac:dyDescent="0.25">
      <c r="B569" s="1">
        <v>0</v>
      </c>
      <c r="C569" s="1">
        <v>0</v>
      </c>
      <c r="D569" s="1">
        <v>1</v>
      </c>
      <c r="E569" s="1">
        <v>0</v>
      </c>
      <c r="F569" s="1">
        <v>65</v>
      </c>
      <c r="G569" s="1">
        <v>0</v>
      </c>
      <c r="H569" s="1">
        <v>3</v>
      </c>
      <c r="I569" s="1">
        <v>6</v>
      </c>
      <c r="J569" s="1">
        <v>0</v>
      </c>
      <c r="K569" s="1">
        <v>0</v>
      </c>
      <c r="L569" s="1">
        <v>13842</v>
      </c>
      <c r="M569" s="1">
        <v>0</v>
      </c>
    </row>
    <row r="570" spans="2:13" x14ac:dyDescent="0.25">
      <c r="B570" s="1">
        <v>0</v>
      </c>
      <c r="C570" s="1">
        <v>0</v>
      </c>
      <c r="D570" s="1">
        <v>1</v>
      </c>
      <c r="E570" s="1">
        <v>0</v>
      </c>
      <c r="F570" s="1">
        <v>65</v>
      </c>
      <c r="G570" s="1">
        <v>0</v>
      </c>
      <c r="H570" s="1">
        <v>4</v>
      </c>
      <c r="I570" s="1">
        <v>7</v>
      </c>
      <c r="J570" s="1">
        <v>0</v>
      </c>
      <c r="K570" s="1">
        <v>0</v>
      </c>
      <c r="L570" s="1">
        <v>13285</v>
      </c>
      <c r="M570" s="1">
        <v>0</v>
      </c>
    </row>
    <row r="571" spans="2:13" x14ac:dyDescent="0.25">
      <c r="B571" s="1">
        <v>0</v>
      </c>
      <c r="C571" s="1">
        <v>0</v>
      </c>
      <c r="D571" s="1">
        <v>1</v>
      </c>
      <c r="E571" s="1">
        <v>0</v>
      </c>
      <c r="F571" s="1">
        <v>65</v>
      </c>
      <c r="G571" s="1">
        <v>1</v>
      </c>
      <c r="H571" s="1">
        <v>8</v>
      </c>
      <c r="I571" s="1">
        <v>6</v>
      </c>
      <c r="J571" s="1">
        <v>0</v>
      </c>
      <c r="K571" s="1">
        <v>0</v>
      </c>
      <c r="L571" s="1">
        <v>13482</v>
      </c>
      <c r="M571" s="1">
        <v>0</v>
      </c>
    </row>
    <row r="572" spans="2:13" x14ac:dyDescent="0.25">
      <c r="B572" s="1">
        <v>0</v>
      </c>
      <c r="C572" s="1">
        <v>0</v>
      </c>
      <c r="D572" s="1">
        <v>1</v>
      </c>
      <c r="E572" s="1">
        <v>0</v>
      </c>
      <c r="F572" s="1">
        <v>65</v>
      </c>
      <c r="G572" s="1">
        <v>1</v>
      </c>
      <c r="H572" s="1">
        <v>9</v>
      </c>
      <c r="I572" s="1">
        <v>7</v>
      </c>
      <c r="J572" s="1">
        <v>2</v>
      </c>
      <c r="K572" s="1">
        <v>0</v>
      </c>
      <c r="L572" s="1">
        <v>25468</v>
      </c>
      <c r="M572" s="1">
        <v>0</v>
      </c>
    </row>
    <row r="573" spans="2:13" x14ac:dyDescent="0.25">
      <c r="B573" s="1">
        <v>0</v>
      </c>
      <c r="C573" s="1">
        <v>0</v>
      </c>
      <c r="D573" s="1">
        <v>1</v>
      </c>
      <c r="E573" s="1">
        <v>0</v>
      </c>
      <c r="F573" s="1">
        <v>65</v>
      </c>
      <c r="G573" s="1">
        <v>1</v>
      </c>
      <c r="H573" s="1">
        <v>6</v>
      </c>
      <c r="I573" s="1">
        <v>4</v>
      </c>
      <c r="J573" s="1">
        <v>0</v>
      </c>
      <c r="K573" s="1">
        <v>0</v>
      </c>
      <c r="L573" s="1">
        <v>14610</v>
      </c>
      <c r="M573" s="1">
        <v>0</v>
      </c>
    </row>
    <row r="574" spans="2:13" x14ac:dyDescent="0.25">
      <c r="B574" s="1">
        <v>0</v>
      </c>
      <c r="C574" s="1">
        <v>0</v>
      </c>
      <c r="D574" s="1">
        <v>1</v>
      </c>
      <c r="E574" s="1">
        <v>0</v>
      </c>
      <c r="F574" s="1">
        <v>65</v>
      </c>
      <c r="G574" s="1">
        <v>1</v>
      </c>
      <c r="H574" s="1">
        <v>4</v>
      </c>
      <c r="I574" s="1">
        <v>2</v>
      </c>
      <c r="J574" s="1">
        <v>1</v>
      </c>
      <c r="K574" s="1">
        <v>0</v>
      </c>
      <c r="L574" s="1">
        <v>44224</v>
      </c>
      <c r="M574" s="1">
        <v>1</v>
      </c>
    </row>
    <row r="575" spans="2:13" x14ac:dyDescent="0.25">
      <c r="B575" s="1">
        <v>0</v>
      </c>
      <c r="C575" s="1">
        <v>0</v>
      </c>
      <c r="D575" s="1">
        <v>1</v>
      </c>
      <c r="E575" s="1">
        <v>0</v>
      </c>
      <c r="F575" s="1">
        <v>65</v>
      </c>
      <c r="G575" s="1">
        <v>1</v>
      </c>
      <c r="H575" s="1">
        <v>18</v>
      </c>
      <c r="I575" s="1">
        <v>6</v>
      </c>
      <c r="J575" s="1">
        <v>2</v>
      </c>
      <c r="K575" s="1">
        <v>0</v>
      </c>
      <c r="L575" s="1">
        <v>57267</v>
      </c>
      <c r="M575" s="1">
        <v>1</v>
      </c>
    </row>
    <row r="576" spans="2:13" x14ac:dyDescent="0.25">
      <c r="B576" s="1">
        <v>0</v>
      </c>
      <c r="C576" s="1">
        <v>0</v>
      </c>
      <c r="D576" s="1">
        <v>1</v>
      </c>
      <c r="E576" s="1">
        <v>0</v>
      </c>
      <c r="F576" s="1">
        <v>64</v>
      </c>
      <c r="G576" s="1">
        <v>1</v>
      </c>
      <c r="H576" s="1">
        <v>3</v>
      </c>
      <c r="I576" s="1">
        <v>1</v>
      </c>
      <c r="J576" s="1">
        <v>0</v>
      </c>
      <c r="K576" s="1">
        <v>0</v>
      </c>
      <c r="L576" s="1">
        <v>9804</v>
      </c>
      <c r="M576" s="1">
        <v>0</v>
      </c>
    </row>
    <row r="577" spans="2:13" x14ac:dyDescent="0.25">
      <c r="B577" s="1">
        <v>0</v>
      </c>
      <c r="C577" s="1">
        <v>0</v>
      </c>
      <c r="D577" s="1">
        <v>1</v>
      </c>
      <c r="E577" s="1">
        <v>0</v>
      </c>
      <c r="F577" s="1">
        <v>64</v>
      </c>
      <c r="G577" s="1">
        <v>1</v>
      </c>
      <c r="H577" s="1">
        <v>4</v>
      </c>
      <c r="I577" s="1">
        <v>4</v>
      </c>
      <c r="J577" s="1">
        <v>0</v>
      </c>
      <c r="K577" s="1">
        <v>0</v>
      </c>
      <c r="L577" s="1">
        <v>9092</v>
      </c>
      <c r="M577" s="1">
        <v>0</v>
      </c>
    </row>
    <row r="578" spans="2:13" x14ac:dyDescent="0.25">
      <c r="B578" s="1">
        <v>0</v>
      </c>
      <c r="C578" s="1">
        <v>0</v>
      </c>
      <c r="D578" s="1">
        <v>1</v>
      </c>
      <c r="E578" s="1">
        <v>0</v>
      </c>
      <c r="F578" s="1">
        <v>64</v>
      </c>
      <c r="G578" s="1">
        <v>1</v>
      </c>
      <c r="H578" s="1">
        <v>27</v>
      </c>
      <c r="I578" s="1">
        <v>4</v>
      </c>
      <c r="J578" s="1">
        <v>0</v>
      </c>
      <c r="K578" s="1">
        <v>0</v>
      </c>
      <c r="L578" s="1">
        <v>40093</v>
      </c>
      <c r="M578" s="1">
        <v>0</v>
      </c>
    </row>
    <row r="579" spans="2:13" x14ac:dyDescent="0.25">
      <c r="B579" s="1">
        <v>0</v>
      </c>
      <c r="C579" s="1">
        <v>0</v>
      </c>
      <c r="D579" s="1">
        <v>1</v>
      </c>
      <c r="E579" s="1">
        <v>0</v>
      </c>
      <c r="F579" s="1">
        <v>64</v>
      </c>
      <c r="G579" s="1">
        <v>0</v>
      </c>
      <c r="H579" s="1">
        <v>3</v>
      </c>
      <c r="I579" s="1">
        <v>4</v>
      </c>
      <c r="J579" s="1">
        <v>0</v>
      </c>
      <c r="K579" s="1">
        <v>0</v>
      </c>
      <c r="L579" s="1">
        <v>10173</v>
      </c>
      <c r="M579" s="1">
        <v>0</v>
      </c>
    </row>
    <row r="580" spans="2:13" x14ac:dyDescent="0.25">
      <c r="B580" s="1">
        <v>0</v>
      </c>
      <c r="C580" s="1">
        <v>0</v>
      </c>
      <c r="D580" s="1">
        <v>1</v>
      </c>
      <c r="E580" s="1">
        <v>0</v>
      </c>
      <c r="F580" s="1">
        <v>64</v>
      </c>
      <c r="G580" s="1">
        <v>0</v>
      </c>
      <c r="H580" s="1">
        <v>3</v>
      </c>
      <c r="I580" s="1">
        <v>5</v>
      </c>
      <c r="J580" s="1">
        <v>0</v>
      </c>
      <c r="K580" s="1">
        <v>0</v>
      </c>
      <c r="L580" s="1">
        <v>13784</v>
      </c>
      <c r="M580" s="1">
        <v>0</v>
      </c>
    </row>
    <row r="581" spans="2:13" x14ac:dyDescent="0.25">
      <c r="B581" s="1">
        <v>0</v>
      </c>
      <c r="C581" s="1">
        <v>0</v>
      </c>
      <c r="D581" s="1">
        <v>1</v>
      </c>
      <c r="E581" s="1">
        <v>0</v>
      </c>
      <c r="F581" s="1">
        <v>64</v>
      </c>
      <c r="G581" s="1">
        <v>0</v>
      </c>
      <c r="H581" s="1">
        <v>1</v>
      </c>
      <c r="I581" s="1">
        <v>2</v>
      </c>
      <c r="J581" s="1">
        <v>0</v>
      </c>
      <c r="K581" s="1">
        <v>0</v>
      </c>
      <c r="L581" s="1">
        <v>8441</v>
      </c>
      <c r="M581" s="1">
        <v>0</v>
      </c>
    </row>
    <row r="582" spans="2:13" x14ac:dyDescent="0.25">
      <c r="B582" s="1">
        <v>0</v>
      </c>
      <c r="C582" s="1">
        <v>0</v>
      </c>
      <c r="D582" s="1">
        <v>1</v>
      </c>
      <c r="E582" s="1">
        <v>0</v>
      </c>
      <c r="F582" s="1">
        <v>64</v>
      </c>
      <c r="G582" s="1">
        <v>0</v>
      </c>
      <c r="H582" s="1">
        <v>3</v>
      </c>
      <c r="I582" s="1">
        <v>6</v>
      </c>
      <c r="J582" s="1">
        <v>0</v>
      </c>
      <c r="K582" s="1">
        <v>0</v>
      </c>
      <c r="L582" s="1">
        <v>10534</v>
      </c>
      <c r="M582" s="1">
        <v>0</v>
      </c>
    </row>
    <row r="583" spans="2:13" x14ac:dyDescent="0.25">
      <c r="B583" s="1">
        <v>0</v>
      </c>
      <c r="C583" s="1">
        <v>0</v>
      </c>
      <c r="D583" s="1">
        <v>1</v>
      </c>
      <c r="E583" s="1">
        <v>0</v>
      </c>
      <c r="F583" s="1">
        <v>64</v>
      </c>
      <c r="G583" s="1">
        <v>1</v>
      </c>
      <c r="H583" s="1">
        <v>1</v>
      </c>
      <c r="I583" s="1">
        <v>0</v>
      </c>
      <c r="J583" s="1">
        <v>0</v>
      </c>
      <c r="K583" s="1">
        <v>0</v>
      </c>
      <c r="L583" s="1">
        <v>9905</v>
      </c>
      <c r="M583" s="1">
        <v>0</v>
      </c>
    </row>
    <row r="584" spans="2:13" x14ac:dyDescent="0.25">
      <c r="B584" s="1">
        <v>0</v>
      </c>
      <c r="C584" s="1">
        <v>0</v>
      </c>
      <c r="D584" s="1">
        <v>1</v>
      </c>
      <c r="E584" s="1">
        <v>0</v>
      </c>
      <c r="F584" s="1">
        <v>64</v>
      </c>
      <c r="G584" s="1">
        <v>0</v>
      </c>
      <c r="H584" s="1">
        <v>1</v>
      </c>
      <c r="I584" s="1">
        <v>3</v>
      </c>
      <c r="J584" s="1">
        <v>0</v>
      </c>
      <c r="K584" s="1">
        <v>0</v>
      </c>
      <c r="L584" s="1">
        <v>11806</v>
      </c>
      <c r="M584" s="1">
        <v>0</v>
      </c>
    </row>
    <row r="585" spans="2:13" x14ac:dyDescent="0.25">
      <c r="B585" s="17">
        <v>1</v>
      </c>
      <c r="C585" s="17">
        <v>0</v>
      </c>
      <c r="D585" s="17">
        <v>0.27272727272727276</v>
      </c>
      <c r="E585" s="17">
        <v>0.72727272727272729</v>
      </c>
      <c r="F585" s="17">
        <v>64</v>
      </c>
      <c r="G585" s="17">
        <v>0</v>
      </c>
      <c r="H585" s="17">
        <v>71</v>
      </c>
      <c r="I585" s="17">
        <v>4</v>
      </c>
      <c r="J585" s="17">
        <v>3</v>
      </c>
      <c r="K585" s="17">
        <v>0</v>
      </c>
      <c r="L585" s="17">
        <v>300172</v>
      </c>
      <c r="M585" s="17">
        <v>0</v>
      </c>
    </row>
    <row r="586" spans="2:13" x14ac:dyDescent="0.25">
      <c r="B586" s="1">
        <v>0</v>
      </c>
      <c r="C586" s="1">
        <v>0</v>
      </c>
      <c r="D586" s="1">
        <v>1</v>
      </c>
      <c r="E586" s="1">
        <v>0</v>
      </c>
      <c r="F586" s="1">
        <v>64</v>
      </c>
      <c r="G586" s="1">
        <v>0</v>
      </c>
      <c r="H586" s="1">
        <v>3</v>
      </c>
      <c r="I586" s="1">
        <v>2</v>
      </c>
      <c r="J586" s="1">
        <v>0</v>
      </c>
      <c r="K586" s="1">
        <v>0</v>
      </c>
      <c r="L586" s="1">
        <v>5411</v>
      </c>
      <c r="M586" s="1">
        <v>0</v>
      </c>
    </row>
    <row r="587" spans="2:13" x14ac:dyDescent="0.25">
      <c r="B587" s="1">
        <v>0</v>
      </c>
      <c r="C587" s="1">
        <v>0</v>
      </c>
      <c r="D587" s="1">
        <v>1</v>
      </c>
      <c r="E587" s="1">
        <v>0</v>
      </c>
      <c r="F587" s="1">
        <v>64</v>
      </c>
      <c r="G587" s="1">
        <v>1</v>
      </c>
      <c r="H587" s="1">
        <v>4</v>
      </c>
      <c r="I587" s="1">
        <v>6</v>
      </c>
      <c r="J587" s="1">
        <v>2</v>
      </c>
      <c r="K587" s="1">
        <v>0</v>
      </c>
      <c r="L587" s="1">
        <v>44834</v>
      </c>
      <c r="M587" s="1">
        <v>1</v>
      </c>
    </row>
    <row r="588" spans="2:13" x14ac:dyDescent="0.25">
      <c r="B588" s="1">
        <v>0</v>
      </c>
      <c r="C588" s="1">
        <v>0</v>
      </c>
      <c r="D588" s="1">
        <v>1</v>
      </c>
      <c r="E588" s="1">
        <v>0</v>
      </c>
      <c r="F588" s="1">
        <v>64</v>
      </c>
      <c r="G588" s="1">
        <v>1</v>
      </c>
      <c r="H588" s="1">
        <v>4</v>
      </c>
      <c r="I588" s="1">
        <v>6</v>
      </c>
      <c r="J588" s="1">
        <v>1</v>
      </c>
      <c r="K588" s="1">
        <v>0</v>
      </c>
      <c r="L588" s="1">
        <v>22738</v>
      </c>
      <c r="M588" s="1">
        <v>1</v>
      </c>
    </row>
    <row r="589" spans="2:13" x14ac:dyDescent="0.25">
      <c r="B589" s="1">
        <v>0</v>
      </c>
      <c r="C589" s="1">
        <v>0</v>
      </c>
      <c r="D589" s="1">
        <v>1</v>
      </c>
      <c r="E589" s="1">
        <v>0</v>
      </c>
      <c r="F589" s="1">
        <v>63</v>
      </c>
      <c r="G589" s="1">
        <v>1</v>
      </c>
      <c r="H589" s="1">
        <v>1</v>
      </c>
      <c r="I589" s="1">
        <v>4</v>
      </c>
      <c r="J589" s="1">
        <v>0</v>
      </c>
      <c r="K589" s="1">
        <v>0</v>
      </c>
      <c r="L589" s="1">
        <v>3819</v>
      </c>
      <c r="M589" s="1">
        <v>0</v>
      </c>
    </row>
    <row r="590" spans="2:13" x14ac:dyDescent="0.25">
      <c r="B590" s="1">
        <v>0</v>
      </c>
      <c r="C590" s="1">
        <v>0</v>
      </c>
      <c r="D590" s="1">
        <v>1</v>
      </c>
      <c r="E590" s="1">
        <v>0</v>
      </c>
      <c r="F590" s="1">
        <v>63</v>
      </c>
      <c r="G590" s="1">
        <v>1</v>
      </c>
      <c r="H590" s="1">
        <v>13</v>
      </c>
      <c r="I590" s="1">
        <v>5</v>
      </c>
      <c r="J590" s="1">
        <v>0</v>
      </c>
      <c r="K590" s="1">
        <v>0</v>
      </c>
      <c r="L590" s="1">
        <v>35084</v>
      </c>
      <c r="M590" s="1">
        <v>0</v>
      </c>
    </row>
    <row r="591" spans="2:13" x14ac:dyDescent="0.25">
      <c r="B591" s="1">
        <v>0</v>
      </c>
      <c r="C591" s="1">
        <v>0</v>
      </c>
      <c r="D591" s="1">
        <v>1</v>
      </c>
      <c r="E591" s="1">
        <v>0</v>
      </c>
      <c r="F591" s="1">
        <v>63</v>
      </c>
      <c r="G591" s="1">
        <v>1</v>
      </c>
      <c r="H591" s="1">
        <v>2</v>
      </c>
      <c r="I591" s="1">
        <v>5</v>
      </c>
      <c r="J591" s="1">
        <v>0</v>
      </c>
      <c r="K591" s="1">
        <v>0</v>
      </c>
      <c r="L591" s="1">
        <v>6505</v>
      </c>
      <c r="M591" s="1">
        <v>0</v>
      </c>
    </row>
    <row r="592" spans="2:13" x14ac:dyDescent="0.25">
      <c r="B592" s="1">
        <v>0</v>
      </c>
      <c r="C592" s="1">
        <v>0</v>
      </c>
      <c r="D592" s="1">
        <v>1</v>
      </c>
      <c r="E592" s="1">
        <v>0</v>
      </c>
      <c r="F592" s="1">
        <v>63</v>
      </c>
      <c r="G592" s="1">
        <v>1</v>
      </c>
      <c r="H592" s="1">
        <v>6</v>
      </c>
      <c r="I592" s="1">
        <v>4</v>
      </c>
      <c r="J592" s="1">
        <v>0</v>
      </c>
      <c r="K592" s="1">
        <v>0</v>
      </c>
      <c r="L592" s="1">
        <v>19461</v>
      </c>
      <c r="M592" s="1">
        <v>0</v>
      </c>
    </row>
    <row r="593" spans="2:13" x14ac:dyDescent="0.25">
      <c r="B593" s="1">
        <v>0</v>
      </c>
      <c r="C593" s="1">
        <v>0</v>
      </c>
      <c r="D593" s="1">
        <v>1</v>
      </c>
      <c r="E593" s="1">
        <v>0</v>
      </c>
      <c r="F593" s="1">
        <v>63</v>
      </c>
      <c r="G593" s="1">
        <v>1</v>
      </c>
      <c r="H593" s="1">
        <v>2</v>
      </c>
      <c r="I593" s="1">
        <v>3</v>
      </c>
      <c r="J593" s="1">
        <v>0</v>
      </c>
      <c r="K593" s="1">
        <v>0</v>
      </c>
      <c r="L593" s="1">
        <v>11680</v>
      </c>
      <c r="M593" s="1">
        <v>0</v>
      </c>
    </row>
    <row r="594" spans="2:13" x14ac:dyDescent="0.25">
      <c r="B594" s="1">
        <v>0</v>
      </c>
      <c r="C594" s="1">
        <v>0</v>
      </c>
      <c r="D594" s="1">
        <v>1</v>
      </c>
      <c r="E594" s="1">
        <v>0</v>
      </c>
      <c r="F594" s="1">
        <v>63</v>
      </c>
      <c r="G594" s="1">
        <v>0</v>
      </c>
      <c r="H594" s="1">
        <v>22</v>
      </c>
      <c r="I594" s="1">
        <v>4</v>
      </c>
      <c r="J594" s="1">
        <v>1</v>
      </c>
      <c r="K594" s="1">
        <v>0</v>
      </c>
      <c r="L594" s="1">
        <v>54499</v>
      </c>
      <c r="M594" s="1">
        <v>0</v>
      </c>
    </row>
    <row r="595" spans="2:13" x14ac:dyDescent="0.25">
      <c r="B595" s="1">
        <v>0</v>
      </c>
      <c r="C595" s="1">
        <v>0</v>
      </c>
      <c r="D595" s="1">
        <v>1</v>
      </c>
      <c r="E595" s="1">
        <v>0</v>
      </c>
      <c r="F595" s="1">
        <v>63</v>
      </c>
      <c r="G595" s="1">
        <v>1</v>
      </c>
      <c r="H595" s="1">
        <v>2</v>
      </c>
      <c r="I595" s="1">
        <v>3</v>
      </c>
      <c r="J595" s="1">
        <v>0</v>
      </c>
      <c r="K595" s="1">
        <v>0</v>
      </c>
      <c r="L595" s="1">
        <v>15664</v>
      </c>
      <c r="M595" s="1">
        <v>0</v>
      </c>
    </row>
    <row r="596" spans="2:13" x14ac:dyDescent="0.25">
      <c r="B596" s="1">
        <v>0</v>
      </c>
      <c r="C596" s="1">
        <v>0</v>
      </c>
      <c r="D596" s="1">
        <v>1</v>
      </c>
      <c r="E596" s="1">
        <v>0</v>
      </c>
      <c r="F596" s="1">
        <v>63</v>
      </c>
      <c r="G596" s="1">
        <v>1</v>
      </c>
      <c r="H596" s="1">
        <v>5</v>
      </c>
      <c r="I596" s="1">
        <v>3</v>
      </c>
      <c r="J596" s="1">
        <v>0</v>
      </c>
      <c r="K596" s="1">
        <v>0</v>
      </c>
      <c r="L596" s="1">
        <v>16840</v>
      </c>
      <c r="M596" s="1">
        <v>0</v>
      </c>
    </row>
    <row r="597" spans="2:13" x14ac:dyDescent="0.25">
      <c r="B597" s="1">
        <v>0</v>
      </c>
      <c r="C597" s="1">
        <v>0</v>
      </c>
      <c r="D597" s="1">
        <v>1</v>
      </c>
      <c r="E597" s="1">
        <v>0</v>
      </c>
      <c r="F597" s="1">
        <v>63</v>
      </c>
      <c r="G597" s="1">
        <v>1</v>
      </c>
      <c r="H597" s="1">
        <v>1</v>
      </c>
      <c r="I597" s="1">
        <v>4</v>
      </c>
      <c r="J597" s="1">
        <v>2</v>
      </c>
      <c r="K597" s="1">
        <v>0</v>
      </c>
      <c r="L597" s="1">
        <v>8341</v>
      </c>
      <c r="M597" s="1">
        <v>0</v>
      </c>
    </row>
    <row r="598" spans="2:13" x14ac:dyDescent="0.25">
      <c r="B598" s="1">
        <v>0</v>
      </c>
      <c r="C598" s="1">
        <v>0</v>
      </c>
      <c r="D598" s="1">
        <v>1</v>
      </c>
      <c r="E598" s="1">
        <v>0</v>
      </c>
      <c r="F598" s="1">
        <v>63</v>
      </c>
      <c r="G598" s="1">
        <v>0</v>
      </c>
      <c r="H598" s="1">
        <v>3</v>
      </c>
      <c r="I598" s="1">
        <v>1</v>
      </c>
      <c r="J598" s="1">
        <v>2</v>
      </c>
      <c r="K598" s="1">
        <v>0</v>
      </c>
      <c r="L598" s="1">
        <v>19209</v>
      </c>
      <c r="M598" s="1">
        <v>0</v>
      </c>
    </row>
    <row r="599" spans="2:13" x14ac:dyDescent="0.25">
      <c r="B599" s="1">
        <v>0</v>
      </c>
      <c r="C599" s="1">
        <v>0</v>
      </c>
      <c r="D599" s="1">
        <v>1</v>
      </c>
      <c r="E599" s="1">
        <v>0</v>
      </c>
      <c r="F599" s="1">
        <v>63</v>
      </c>
      <c r="G599" s="1">
        <v>1</v>
      </c>
      <c r="H599" s="1">
        <v>2</v>
      </c>
      <c r="I599" s="1">
        <v>0</v>
      </c>
      <c r="J599" s="1">
        <v>0</v>
      </c>
      <c r="K599" s="1">
        <v>0</v>
      </c>
      <c r="L599" s="1">
        <v>12190</v>
      </c>
      <c r="M599" s="1">
        <v>0</v>
      </c>
    </row>
    <row r="600" spans="2:13" x14ac:dyDescent="0.25">
      <c r="B600" s="1">
        <v>0</v>
      </c>
      <c r="C600" s="1">
        <v>0</v>
      </c>
      <c r="D600" s="1">
        <v>1</v>
      </c>
      <c r="E600" s="1">
        <v>0</v>
      </c>
      <c r="F600" s="1">
        <v>63</v>
      </c>
      <c r="G600" s="1">
        <v>0</v>
      </c>
      <c r="H600" s="1">
        <v>1</v>
      </c>
      <c r="I600" s="1">
        <v>8</v>
      </c>
      <c r="J600" s="1">
        <v>0</v>
      </c>
      <c r="K600" s="1">
        <v>0</v>
      </c>
      <c r="L600" s="1">
        <v>4647</v>
      </c>
      <c r="M600" s="1">
        <v>0</v>
      </c>
    </row>
    <row r="601" spans="2:13" x14ac:dyDescent="0.25">
      <c r="B601" s="1">
        <v>0</v>
      </c>
      <c r="C601" s="1">
        <v>0</v>
      </c>
      <c r="D601" s="1">
        <v>1</v>
      </c>
      <c r="E601" s="1">
        <v>0</v>
      </c>
      <c r="F601" s="1">
        <v>63</v>
      </c>
      <c r="G601" s="1">
        <v>0</v>
      </c>
      <c r="H601" s="1">
        <v>4</v>
      </c>
      <c r="I601" s="1">
        <v>4</v>
      </c>
      <c r="J601" s="1">
        <v>0</v>
      </c>
      <c r="K601" s="1">
        <v>0</v>
      </c>
      <c r="L601" s="1">
        <v>10601</v>
      </c>
      <c r="M601" s="1">
        <v>0</v>
      </c>
    </row>
    <row r="602" spans="2:13" x14ac:dyDescent="0.25">
      <c r="B602" s="1">
        <v>0</v>
      </c>
      <c r="C602" s="1">
        <v>0</v>
      </c>
      <c r="D602" s="1">
        <v>1</v>
      </c>
      <c r="E602" s="1">
        <v>0</v>
      </c>
      <c r="F602" s="1">
        <v>63</v>
      </c>
      <c r="G602" s="1">
        <v>0</v>
      </c>
      <c r="H602" s="1">
        <v>13</v>
      </c>
      <c r="I602" s="1">
        <v>5</v>
      </c>
      <c r="J602" s="1">
        <v>0</v>
      </c>
      <c r="K602" s="1">
        <v>0</v>
      </c>
      <c r="L602" s="1">
        <v>24555</v>
      </c>
      <c r="M602" s="1">
        <v>0</v>
      </c>
    </row>
    <row r="603" spans="2:13" x14ac:dyDescent="0.25">
      <c r="B603" s="1">
        <v>0</v>
      </c>
      <c r="C603" s="1">
        <v>0</v>
      </c>
      <c r="D603" s="1">
        <v>1</v>
      </c>
      <c r="E603" s="1">
        <v>0</v>
      </c>
      <c r="F603" s="1">
        <v>63</v>
      </c>
      <c r="G603" s="1">
        <v>1</v>
      </c>
      <c r="H603" s="1">
        <v>25</v>
      </c>
      <c r="I603" s="1">
        <v>3</v>
      </c>
      <c r="J603" s="1">
        <v>1</v>
      </c>
      <c r="K603" s="1">
        <v>0</v>
      </c>
      <c r="L603" s="1">
        <v>84498</v>
      </c>
      <c r="M603" s="1">
        <v>0</v>
      </c>
    </row>
    <row r="604" spans="2:13" x14ac:dyDescent="0.25">
      <c r="B604" s="1">
        <v>0</v>
      </c>
      <c r="C604" s="1">
        <v>0</v>
      </c>
      <c r="D604" s="1">
        <v>1</v>
      </c>
      <c r="E604" s="1">
        <v>0</v>
      </c>
      <c r="F604" s="1">
        <v>63</v>
      </c>
      <c r="G604" s="1">
        <v>1</v>
      </c>
      <c r="H604" s="1">
        <v>11</v>
      </c>
      <c r="I604" s="1">
        <v>3</v>
      </c>
      <c r="J604" s="1">
        <v>3</v>
      </c>
      <c r="K604" s="1">
        <v>0</v>
      </c>
      <c r="L604" s="1">
        <v>56151</v>
      </c>
      <c r="M604" s="1">
        <v>1</v>
      </c>
    </row>
    <row r="605" spans="2:13" x14ac:dyDescent="0.25">
      <c r="B605" s="1">
        <v>0</v>
      </c>
      <c r="C605" s="1">
        <v>0</v>
      </c>
      <c r="D605" s="1">
        <v>1</v>
      </c>
      <c r="E605" s="1">
        <v>0</v>
      </c>
      <c r="F605" s="1">
        <v>63</v>
      </c>
      <c r="G605" s="1">
        <v>1</v>
      </c>
      <c r="H605" s="1">
        <v>16</v>
      </c>
      <c r="I605" s="1">
        <v>6</v>
      </c>
      <c r="J605" s="1">
        <v>6</v>
      </c>
      <c r="K605" s="1">
        <v>0</v>
      </c>
      <c r="L605" s="1">
        <v>85120</v>
      </c>
      <c r="M605" s="1">
        <v>1</v>
      </c>
    </row>
    <row r="606" spans="2:13" x14ac:dyDescent="0.25">
      <c r="B606" s="1">
        <v>0</v>
      </c>
      <c r="C606" s="1">
        <v>0</v>
      </c>
      <c r="D606" s="1">
        <v>1</v>
      </c>
      <c r="E606" s="1">
        <v>0</v>
      </c>
      <c r="F606" s="1">
        <v>62</v>
      </c>
      <c r="G606" s="1">
        <v>1</v>
      </c>
      <c r="H606" s="1">
        <v>1</v>
      </c>
      <c r="I606" s="1">
        <v>8</v>
      </c>
      <c r="J606" s="1">
        <v>0</v>
      </c>
      <c r="K606" s="1">
        <v>0</v>
      </c>
      <c r="L606" s="1">
        <v>5177</v>
      </c>
      <c r="M606" s="1">
        <v>0</v>
      </c>
    </row>
    <row r="607" spans="2:13" x14ac:dyDescent="0.25">
      <c r="B607" s="1">
        <v>0</v>
      </c>
      <c r="C607" s="1">
        <v>0</v>
      </c>
      <c r="D607" s="1">
        <v>1</v>
      </c>
      <c r="E607" s="1">
        <v>0</v>
      </c>
      <c r="F607" s="1">
        <v>62</v>
      </c>
      <c r="G607" s="1">
        <v>1</v>
      </c>
      <c r="H607" s="1">
        <v>5</v>
      </c>
      <c r="I607" s="1">
        <v>6</v>
      </c>
      <c r="J607" s="1">
        <v>0</v>
      </c>
      <c r="K607" s="1">
        <v>0</v>
      </c>
      <c r="L607" s="1">
        <v>26834</v>
      </c>
      <c r="M607" s="1">
        <v>0</v>
      </c>
    </row>
    <row r="608" spans="2:13" x14ac:dyDescent="0.25">
      <c r="B608" s="1">
        <v>0</v>
      </c>
      <c r="C608" s="1">
        <v>0</v>
      </c>
      <c r="D608" s="1">
        <v>1</v>
      </c>
      <c r="E608" s="1">
        <v>0</v>
      </c>
      <c r="F608" s="1">
        <v>62</v>
      </c>
      <c r="G608" s="1">
        <v>0</v>
      </c>
      <c r="H608" s="1">
        <v>2</v>
      </c>
      <c r="I608" s="1">
        <v>4</v>
      </c>
      <c r="J608" s="1">
        <v>0</v>
      </c>
      <c r="K608" s="1">
        <v>0</v>
      </c>
      <c r="L608" s="1">
        <v>9789</v>
      </c>
      <c r="M608" s="1">
        <v>0</v>
      </c>
    </row>
    <row r="609" spans="2:13" x14ac:dyDescent="0.25">
      <c r="B609" s="1">
        <v>0</v>
      </c>
      <c r="C609" s="1">
        <v>0</v>
      </c>
      <c r="D609" s="1">
        <v>1</v>
      </c>
      <c r="E609" s="1">
        <v>0</v>
      </c>
      <c r="F609" s="1">
        <v>62</v>
      </c>
      <c r="G609" s="1">
        <v>0</v>
      </c>
      <c r="H609" s="1">
        <v>1</v>
      </c>
      <c r="I609" s="1">
        <v>5</v>
      </c>
      <c r="J609" s="1">
        <v>0</v>
      </c>
      <c r="K609" s="1">
        <v>0</v>
      </c>
      <c r="L609" s="1">
        <v>6416</v>
      </c>
      <c r="M609" s="1">
        <v>0</v>
      </c>
    </row>
    <row r="610" spans="2:13" x14ac:dyDescent="0.25">
      <c r="B610" s="1">
        <v>0</v>
      </c>
      <c r="C610" s="1">
        <v>0</v>
      </c>
      <c r="D610" s="1">
        <v>1</v>
      </c>
      <c r="E610" s="1">
        <v>0</v>
      </c>
      <c r="F610" s="1">
        <v>62</v>
      </c>
      <c r="G610" s="1">
        <v>0</v>
      </c>
      <c r="H610" s="1">
        <v>2</v>
      </c>
      <c r="I610" s="1">
        <v>2</v>
      </c>
      <c r="J610" s="1">
        <v>0</v>
      </c>
      <c r="K610" s="1">
        <v>0</v>
      </c>
      <c r="L610" s="1">
        <v>11094</v>
      </c>
      <c r="M610" s="1">
        <v>0</v>
      </c>
    </row>
    <row r="611" spans="2:13" x14ac:dyDescent="0.25">
      <c r="B611" s="1">
        <v>0</v>
      </c>
      <c r="C611" s="1">
        <v>0</v>
      </c>
      <c r="D611" s="1">
        <v>1</v>
      </c>
      <c r="E611" s="1">
        <v>0</v>
      </c>
      <c r="F611" s="1">
        <v>62</v>
      </c>
      <c r="G611" s="1">
        <v>1</v>
      </c>
      <c r="H611" s="1">
        <v>3</v>
      </c>
      <c r="I611" s="1">
        <v>2</v>
      </c>
      <c r="J611" s="1">
        <v>0</v>
      </c>
      <c r="K611" s="1">
        <v>0</v>
      </c>
      <c r="L611" s="1">
        <v>16731</v>
      </c>
      <c r="M611" s="1">
        <v>0</v>
      </c>
    </row>
    <row r="612" spans="2:13" x14ac:dyDescent="0.25">
      <c r="B612" s="1">
        <v>0</v>
      </c>
      <c r="C612" s="1">
        <v>0</v>
      </c>
      <c r="D612" s="1">
        <v>1</v>
      </c>
      <c r="E612" s="1">
        <v>0</v>
      </c>
      <c r="F612" s="1">
        <v>62</v>
      </c>
      <c r="G612" s="1">
        <v>0</v>
      </c>
      <c r="H612" s="1">
        <v>3</v>
      </c>
      <c r="I612" s="1">
        <v>2</v>
      </c>
      <c r="J612" s="1">
        <v>0</v>
      </c>
      <c r="K612" s="1">
        <v>0</v>
      </c>
      <c r="L612" s="1">
        <v>8902</v>
      </c>
      <c r="M612" s="1">
        <v>0</v>
      </c>
    </row>
    <row r="613" spans="2:13" x14ac:dyDescent="0.25">
      <c r="B613" s="1">
        <v>0</v>
      </c>
      <c r="C613" s="1">
        <v>0</v>
      </c>
      <c r="D613" s="1">
        <v>1</v>
      </c>
      <c r="E613" s="1">
        <v>0</v>
      </c>
      <c r="F613" s="1">
        <v>62</v>
      </c>
      <c r="G613" s="1">
        <v>0</v>
      </c>
      <c r="H613" s="1">
        <v>6</v>
      </c>
      <c r="I613" s="1">
        <v>6</v>
      </c>
      <c r="J613" s="1">
        <v>1</v>
      </c>
      <c r="K613" s="1">
        <v>0</v>
      </c>
      <c r="L613" s="1">
        <v>21070</v>
      </c>
      <c r="M613" s="1">
        <v>0</v>
      </c>
    </row>
    <row r="614" spans="2:13" x14ac:dyDescent="0.25">
      <c r="B614" s="1">
        <v>0</v>
      </c>
      <c r="C614" s="1">
        <v>0</v>
      </c>
      <c r="D614" s="1">
        <v>1</v>
      </c>
      <c r="E614" s="1">
        <v>0</v>
      </c>
      <c r="F614" s="1">
        <v>62</v>
      </c>
      <c r="G614" s="1">
        <v>1</v>
      </c>
      <c r="H614" s="1">
        <v>2</v>
      </c>
      <c r="I614" s="1">
        <v>4</v>
      </c>
      <c r="J614" s="1">
        <v>2</v>
      </c>
      <c r="K614" s="1">
        <v>0</v>
      </c>
      <c r="L614" s="1">
        <v>8256</v>
      </c>
      <c r="M614" s="1">
        <v>0</v>
      </c>
    </row>
    <row r="615" spans="2:13" x14ac:dyDescent="0.25">
      <c r="B615" s="1">
        <v>0</v>
      </c>
      <c r="C615" s="1">
        <v>0</v>
      </c>
      <c r="D615" s="1">
        <v>1</v>
      </c>
      <c r="E615" s="1">
        <v>0</v>
      </c>
      <c r="F615" s="1">
        <v>62</v>
      </c>
      <c r="G615" s="1">
        <v>0</v>
      </c>
      <c r="H615" s="1">
        <v>10</v>
      </c>
      <c r="I615" s="1">
        <v>5</v>
      </c>
      <c r="J615" s="1">
        <v>3</v>
      </c>
      <c r="K615" s="1">
        <v>0</v>
      </c>
      <c r="L615" s="1">
        <v>23127</v>
      </c>
      <c r="M615" s="1">
        <v>0</v>
      </c>
    </row>
    <row r="616" spans="2:13" x14ac:dyDescent="0.25">
      <c r="B616" s="1">
        <v>0</v>
      </c>
      <c r="C616" s="1">
        <v>0</v>
      </c>
      <c r="D616" s="1">
        <v>1</v>
      </c>
      <c r="E616" s="1">
        <v>0</v>
      </c>
      <c r="F616" s="1">
        <v>62</v>
      </c>
      <c r="G616" s="1">
        <v>0</v>
      </c>
      <c r="H616" s="1">
        <v>4</v>
      </c>
      <c r="I616" s="1">
        <v>4</v>
      </c>
      <c r="J616" s="1">
        <v>1</v>
      </c>
      <c r="K616" s="1">
        <v>0</v>
      </c>
      <c r="L616" s="1">
        <v>46930</v>
      </c>
      <c r="M616" s="1">
        <v>1</v>
      </c>
    </row>
    <row r="617" spans="2:13" x14ac:dyDescent="0.25">
      <c r="B617" s="1">
        <v>0</v>
      </c>
      <c r="C617" s="1">
        <v>0</v>
      </c>
      <c r="D617" s="1">
        <v>1</v>
      </c>
      <c r="E617" s="1">
        <v>0</v>
      </c>
      <c r="F617" s="1">
        <v>62</v>
      </c>
      <c r="G617" s="1">
        <v>0</v>
      </c>
      <c r="H617" s="1">
        <v>5</v>
      </c>
      <c r="I617" s="1">
        <v>0</v>
      </c>
      <c r="J617" s="1">
        <v>1</v>
      </c>
      <c r="K617" s="1">
        <v>0</v>
      </c>
      <c r="L617" s="1">
        <v>19593</v>
      </c>
      <c r="M617" s="1">
        <v>1</v>
      </c>
    </row>
    <row r="618" spans="2:13" x14ac:dyDescent="0.25">
      <c r="B618" s="1">
        <v>0</v>
      </c>
      <c r="C618" s="1">
        <v>0</v>
      </c>
      <c r="D618" s="1">
        <v>1</v>
      </c>
      <c r="E618" s="1">
        <v>0</v>
      </c>
      <c r="F618" s="1">
        <v>62</v>
      </c>
      <c r="G618" s="1">
        <v>1</v>
      </c>
      <c r="H618" s="1">
        <v>1</v>
      </c>
      <c r="I618" s="1">
        <v>0</v>
      </c>
      <c r="J618" s="1">
        <v>1</v>
      </c>
      <c r="K618" s="1">
        <v>0</v>
      </c>
      <c r="L618" s="1">
        <v>9665</v>
      </c>
      <c r="M618" s="1">
        <v>1</v>
      </c>
    </row>
    <row r="619" spans="2:13" x14ac:dyDescent="0.25">
      <c r="B619" s="1">
        <v>0</v>
      </c>
      <c r="C619" s="1">
        <v>0</v>
      </c>
      <c r="D619" s="1">
        <v>1</v>
      </c>
      <c r="E619" s="1">
        <v>0</v>
      </c>
      <c r="F619" s="1">
        <v>62</v>
      </c>
      <c r="G619" s="1">
        <v>0</v>
      </c>
      <c r="H619" s="1">
        <v>3</v>
      </c>
      <c r="I619" s="1">
        <v>3</v>
      </c>
      <c r="J619" s="1">
        <v>1</v>
      </c>
      <c r="K619" s="1">
        <v>0</v>
      </c>
      <c r="L619" s="1">
        <v>36493</v>
      </c>
      <c r="M619" s="1">
        <v>1</v>
      </c>
    </row>
    <row r="620" spans="2:13" x14ac:dyDescent="0.25">
      <c r="B620" s="1">
        <v>0</v>
      </c>
      <c r="C620" s="1">
        <v>0</v>
      </c>
      <c r="D620" s="1">
        <v>1</v>
      </c>
      <c r="E620" s="1">
        <v>0</v>
      </c>
      <c r="F620" s="1">
        <v>61</v>
      </c>
      <c r="G620" s="1">
        <v>1</v>
      </c>
      <c r="H620" s="1">
        <v>16</v>
      </c>
      <c r="I620" s="1">
        <v>5</v>
      </c>
      <c r="J620" s="1">
        <v>0</v>
      </c>
      <c r="K620" s="1">
        <v>0</v>
      </c>
      <c r="L620" s="1">
        <v>31937</v>
      </c>
      <c r="M620" s="1">
        <v>0</v>
      </c>
    </row>
    <row r="621" spans="2:13" x14ac:dyDescent="0.25">
      <c r="B621" s="1">
        <v>0</v>
      </c>
      <c r="C621" s="1">
        <v>0</v>
      </c>
      <c r="D621" s="1">
        <v>1</v>
      </c>
      <c r="E621" s="1">
        <v>0</v>
      </c>
      <c r="F621" s="1">
        <v>61</v>
      </c>
      <c r="G621" s="1">
        <v>0</v>
      </c>
      <c r="H621" s="1">
        <v>1</v>
      </c>
      <c r="I621" s="1">
        <v>5</v>
      </c>
      <c r="J621" s="1">
        <v>0</v>
      </c>
      <c r="K621" s="1">
        <v>0</v>
      </c>
      <c r="L621" s="1">
        <v>5079</v>
      </c>
      <c r="M621" s="1">
        <v>0</v>
      </c>
    </row>
    <row r="622" spans="2:13" x14ac:dyDescent="0.25">
      <c r="B622" s="1">
        <v>0</v>
      </c>
      <c r="C622" s="1">
        <v>0</v>
      </c>
      <c r="D622" s="1">
        <v>1</v>
      </c>
      <c r="E622" s="1">
        <v>0</v>
      </c>
      <c r="F622" s="1">
        <v>61</v>
      </c>
      <c r="G622" s="1">
        <v>0</v>
      </c>
      <c r="H622" s="1">
        <v>4</v>
      </c>
      <c r="I622" s="1">
        <v>4</v>
      </c>
      <c r="J622" s="1">
        <v>0</v>
      </c>
      <c r="K622" s="1">
        <v>0</v>
      </c>
      <c r="L622" s="1">
        <v>22888</v>
      </c>
      <c r="M622" s="1">
        <v>0</v>
      </c>
    </row>
    <row r="623" spans="2:13" x14ac:dyDescent="0.25">
      <c r="B623" s="1">
        <v>0</v>
      </c>
      <c r="C623" s="1">
        <v>0</v>
      </c>
      <c r="D623" s="1">
        <v>1</v>
      </c>
      <c r="E623" s="1">
        <v>0</v>
      </c>
      <c r="F623" s="1">
        <v>61</v>
      </c>
      <c r="G623" s="1">
        <v>1</v>
      </c>
      <c r="H623" s="1">
        <v>6</v>
      </c>
      <c r="I623" s="1">
        <v>6</v>
      </c>
      <c r="J623" s="1">
        <v>0</v>
      </c>
      <c r="K623" s="1">
        <v>0</v>
      </c>
      <c r="L623" s="1">
        <v>20017</v>
      </c>
      <c r="M623" s="1">
        <v>0</v>
      </c>
    </row>
    <row r="624" spans="2:13" x14ac:dyDescent="0.25">
      <c r="B624" s="1">
        <v>0</v>
      </c>
      <c r="C624" s="1">
        <v>0</v>
      </c>
      <c r="D624" s="1">
        <v>1</v>
      </c>
      <c r="E624" s="1">
        <v>0</v>
      </c>
      <c r="F624" s="1">
        <v>61</v>
      </c>
      <c r="G624" s="1">
        <v>0</v>
      </c>
      <c r="H624" s="1">
        <v>1</v>
      </c>
      <c r="I624" s="1">
        <v>7</v>
      </c>
      <c r="J624" s="1">
        <v>0</v>
      </c>
      <c r="K624" s="1">
        <v>0</v>
      </c>
      <c r="L624" s="1">
        <v>4373</v>
      </c>
      <c r="M624" s="1">
        <v>0</v>
      </c>
    </row>
    <row r="625" spans="2:13" x14ac:dyDescent="0.25">
      <c r="B625" s="1">
        <v>0</v>
      </c>
      <c r="C625" s="1">
        <v>0</v>
      </c>
      <c r="D625" s="1">
        <v>1</v>
      </c>
      <c r="E625" s="1">
        <v>0</v>
      </c>
      <c r="F625" s="1">
        <v>61</v>
      </c>
      <c r="G625" s="1">
        <v>1</v>
      </c>
      <c r="H625" s="1">
        <v>3</v>
      </c>
      <c r="I625" s="1">
        <v>5</v>
      </c>
      <c r="J625" s="1">
        <v>0</v>
      </c>
      <c r="K625" s="1">
        <v>0</v>
      </c>
      <c r="L625" s="1">
        <v>7835</v>
      </c>
      <c r="M625" s="1">
        <v>0</v>
      </c>
    </row>
    <row r="626" spans="2:13" x14ac:dyDescent="0.25">
      <c r="B626" s="1">
        <v>0</v>
      </c>
      <c r="C626" s="1">
        <v>0</v>
      </c>
      <c r="D626" s="1">
        <v>1</v>
      </c>
      <c r="E626" s="1">
        <v>0</v>
      </c>
      <c r="F626" s="1">
        <v>61</v>
      </c>
      <c r="G626" s="1">
        <v>1</v>
      </c>
      <c r="H626" s="1">
        <v>7</v>
      </c>
      <c r="I626" s="1">
        <v>4</v>
      </c>
      <c r="J626" s="1">
        <v>0</v>
      </c>
      <c r="K626" s="1">
        <v>0</v>
      </c>
      <c r="L626" s="1">
        <v>14139</v>
      </c>
      <c r="M626" s="1">
        <v>0</v>
      </c>
    </row>
    <row r="627" spans="2:13" x14ac:dyDescent="0.25">
      <c r="B627" s="1">
        <v>0</v>
      </c>
      <c r="C627" s="1">
        <v>0</v>
      </c>
      <c r="D627" s="1">
        <v>1</v>
      </c>
      <c r="E627" s="1">
        <v>0</v>
      </c>
      <c r="F627" s="1">
        <v>61</v>
      </c>
      <c r="G627" s="1">
        <v>1</v>
      </c>
      <c r="H627" s="1">
        <v>2</v>
      </c>
      <c r="I627" s="1">
        <v>3</v>
      </c>
      <c r="J627" s="1">
        <v>1</v>
      </c>
      <c r="K627" s="1">
        <v>0</v>
      </c>
      <c r="L627" s="1">
        <v>16174</v>
      </c>
      <c r="M627" s="1">
        <v>0</v>
      </c>
    </row>
    <row r="628" spans="2:13" x14ac:dyDescent="0.25">
      <c r="B628" s="1">
        <v>0</v>
      </c>
      <c r="C628" s="1">
        <v>0</v>
      </c>
      <c r="D628" s="1">
        <v>1</v>
      </c>
      <c r="E628" s="1">
        <v>0</v>
      </c>
      <c r="F628" s="1">
        <v>61</v>
      </c>
      <c r="G628" s="1">
        <v>0</v>
      </c>
      <c r="H628" s="1">
        <v>1</v>
      </c>
      <c r="I628" s="1">
        <v>2</v>
      </c>
      <c r="J628" s="1">
        <v>0</v>
      </c>
      <c r="K628" s="1">
        <v>0</v>
      </c>
      <c r="L628" s="1">
        <v>13984</v>
      </c>
      <c r="M628" s="1">
        <v>0</v>
      </c>
    </row>
    <row r="629" spans="2:13" x14ac:dyDescent="0.25">
      <c r="B629" s="1">
        <v>0</v>
      </c>
      <c r="C629" s="1">
        <v>0</v>
      </c>
      <c r="D629" s="1">
        <v>1</v>
      </c>
      <c r="E629" s="1">
        <v>0</v>
      </c>
      <c r="F629" s="1">
        <v>61</v>
      </c>
      <c r="G629" s="1">
        <v>0</v>
      </c>
      <c r="H629" s="1">
        <v>2</v>
      </c>
      <c r="I629" s="1">
        <v>6</v>
      </c>
      <c r="J629" s="1">
        <v>1</v>
      </c>
      <c r="K629" s="1">
        <v>0</v>
      </c>
      <c r="L629" s="1">
        <v>9427</v>
      </c>
      <c r="M629" s="1">
        <v>0</v>
      </c>
    </row>
    <row r="630" spans="2:13" x14ac:dyDescent="0.25">
      <c r="B630" s="1">
        <v>0</v>
      </c>
      <c r="C630" s="1">
        <v>0</v>
      </c>
      <c r="D630" s="1">
        <v>1</v>
      </c>
      <c r="E630" s="1">
        <v>0</v>
      </c>
      <c r="F630" s="1">
        <v>61</v>
      </c>
      <c r="G630" s="1">
        <v>0</v>
      </c>
      <c r="H630" s="1">
        <v>5</v>
      </c>
      <c r="I630" s="1">
        <v>3</v>
      </c>
      <c r="J630" s="1">
        <v>0</v>
      </c>
      <c r="K630" s="1">
        <v>0</v>
      </c>
      <c r="L630" s="1">
        <v>15213</v>
      </c>
      <c r="M630" s="1">
        <v>0</v>
      </c>
    </row>
    <row r="631" spans="2:13" x14ac:dyDescent="0.25">
      <c r="B631" s="1">
        <v>0</v>
      </c>
      <c r="C631" s="1">
        <v>0</v>
      </c>
      <c r="D631" s="1">
        <v>1</v>
      </c>
      <c r="E631" s="1">
        <v>0</v>
      </c>
      <c r="F631" s="1">
        <v>61</v>
      </c>
      <c r="G631" s="1">
        <v>1</v>
      </c>
      <c r="H631" s="1">
        <v>3</v>
      </c>
      <c r="I631" s="1">
        <v>1</v>
      </c>
      <c r="J631" s="1">
        <v>1</v>
      </c>
      <c r="K631" s="1">
        <v>0</v>
      </c>
      <c r="L631" s="1">
        <v>39222</v>
      </c>
      <c r="M631" s="1">
        <v>1</v>
      </c>
    </row>
    <row r="632" spans="2:13" x14ac:dyDescent="0.25">
      <c r="B632" s="1">
        <v>0</v>
      </c>
      <c r="C632" s="1">
        <v>0</v>
      </c>
      <c r="D632" s="1">
        <v>1</v>
      </c>
      <c r="E632" s="1">
        <v>0</v>
      </c>
      <c r="F632" s="1">
        <v>61</v>
      </c>
      <c r="G632" s="1">
        <v>0</v>
      </c>
      <c r="H632" s="1">
        <v>2</v>
      </c>
      <c r="I632" s="1">
        <v>2</v>
      </c>
      <c r="J632" s="1">
        <v>2</v>
      </c>
      <c r="K632" s="1">
        <v>0</v>
      </c>
      <c r="L632" s="1">
        <v>10862</v>
      </c>
      <c r="M632" s="1">
        <v>1</v>
      </c>
    </row>
    <row r="633" spans="2:13" x14ac:dyDescent="0.25">
      <c r="B633" s="1">
        <v>0</v>
      </c>
      <c r="C633" s="1">
        <v>0</v>
      </c>
      <c r="D633" s="1">
        <v>1</v>
      </c>
      <c r="E633" s="1">
        <v>0</v>
      </c>
      <c r="F633" s="1">
        <v>61</v>
      </c>
      <c r="G633" s="1">
        <v>0</v>
      </c>
      <c r="H633" s="1">
        <v>6</v>
      </c>
      <c r="I633" s="1">
        <v>6</v>
      </c>
      <c r="J633" s="1">
        <v>4</v>
      </c>
      <c r="K633" s="1">
        <v>0</v>
      </c>
      <c r="L633" s="1">
        <v>23054</v>
      </c>
      <c r="M633" s="1">
        <v>1</v>
      </c>
    </row>
    <row r="634" spans="2:13" x14ac:dyDescent="0.25">
      <c r="B634" s="1">
        <v>0</v>
      </c>
      <c r="C634" s="1">
        <v>0</v>
      </c>
      <c r="D634" s="1">
        <v>1</v>
      </c>
      <c r="E634" s="1">
        <v>0</v>
      </c>
      <c r="F634" s="1">
        <v>61</v>
      </c>
      <c r="G634" s="1">
        <v>1</v>
      </c>
      <c r="H634" s="1">
        <v>8</v>
      </c>
      <c r="I634" s="1">
        <v>4</v>
      </c>
      <c r="J634" s="1">
        <v>6</v>
      </c>
      <c r="K634" s="1">
        <v>0</v>
      </c>
      <c r="L634" s="1">
        <v>41552</v>
      </c>
      <c r="M634" s="1">
        <v>1</v>
      </c>
    </row>
    <row r="635" spans="2:13" x14ac:dyDescent="0.25">
      <c r="B635" s="1">
        <v>0</v>
      </c>
      <c r="C635" s="1">
        <v>0</v>
      </c>
      <c r="D635" s="1">
        <v>1</v>
      </c>
      <c r="E635" s="1">
        <v>0</v>
      </c>
      <c r="F635" s="1">
        <v>60</v>
      </c>
      <c r="G635" s="1">
        <v>1</v>
      </c>
      <c r="H635" s="1">
        <v>9</v>
      </c>
      <c r="I635" s="1">
        <v>7</v>
      </c>
      <c r="J635" s="1">
        <v>0</v>
      </c>
      <c r="K635" s="1">
        <v>0</v>
      </c>
      <c r="L635" s="1">
        <v>22091</v>
      </c>
      <c r="M635" s="1">
        <v>0</v>
      </c>
    </row>
    <row r="636" spans="2:13" x14ac:dyDescent="0.25">
      <c r="B636" s="1">
        <v>0</v>
      </c>
      <c r="C636" s="1">
        <v>0</v>
      </c>
      <c r="D636" s="1">
        <v>1</v>
      </c>
      <c r="E636" s="1">
        <v>0</v>
      </c>
      <c r="F636" s="1">
        <v>60</v>
      </c>
      <c r="G636" s="1">
        <v>1</v>
      </c>
      <c r="H636" s="1">
        <v>5</v>
      </c>
      <c r="I636" s="1">
        <v>7</v>
      </c>
      <c r="J636" s="1">
        <v>0</v>
      </c>
      <c r="K636" s="1">
        <v>0</v>
      </c>
      <c r="L636" s="1">
        <v>11111</v>
      </c>
      <c r="M636" s="1">
        <v>0</v>
      </c>
    </row>
    <row r="637" spans="2:13" x14ac:dyDescent="0.25">
      <c r="B637" s="1">
        <v>0</v>
      </c>
      <c r="C637" s="1">
        <v>0</v>
      </c>
      <c r="D637" s="1">
        <v>1</v>
      </c>
      <c r="E637" s="1">
        <v>0</v>
      </c>
      <c r="F637" s="1">
        <v>60</v>
      </c>
      <c r="G637" s="1">
        <v>0</v>
      </c>
      <c r="H637" s="1">
        <v>8</v>
      </c>
      <c r="I637" s="1">
        <v>2</v>
      </c>
      <c r="J637" s="1">
        <v>0</v>
      </c>
      <c r="K637" s="1">
        <v>0</v>
      </c>
      <c r="L637" s="1">
        <v>36215</v>
      </c>
      <c r="M637" s="1">
        <v>0</v>
      </c>
    </row>
    <row r="638" spans="2:13" x14ac:dyDescent="0.25">
      <c r="B638" s="1">
        <v>0</v>
      </c>
      <c r="C638" s="1">
        <v>0</v>
      </c>
      <c r="D638" s="1">
        <v>1</v>
      </c>
      <c r="E638" s="1">
        <v>0</v>
      </c>
      <c r="F638" s="1">
        <v>60</v>
      </c>
      <c r="G638" s="1">
        <v>1</v>
      </c>
      <c r="H638" s="1">
        <v>3</v>
      </c>
      <c r="I638" s="1">
        <v>7</v>
      </c>
      <c r="J638" s="1">
        <v>0</v>
      </c>
      <c r="K638" s="1">
        <v>0</v>
      </c>
      <c r="L638" s="1">
        <v>12606</v>
      </c>
      <c r="M638" s="1">
        <v>0</v>
      </c>
    </row>
    <row r="639" spans="2:13" x14ac:dyDescent="0.25">
      <c r="B639" s="1">
        <v>0</v>
      </c>
      <c r="C639" s="1">
        <v>0</v>
      </c>
      <c r="D639" s="1">
        <v>1</v>
      </c>
      <c r="E639" s="1">
        <v>0</v>
      </c>
      <c r="F639" s="1">
        <v>60</v>
      </c>
      <c r="G639" s="1">
        <v>0</v>
      </c>
      <c r="H639" s="1">
        <v>2</v>
      </c>
      <c r="I639" s="1">
        <v>4</v>
      </c>
      <c r="J639" s="1">
        <v>0</v>
      </c>
      <c r="K639" s="1">
        <v>0</v>
      </c>
      <c r="L639" s="1">
        <v>17066</v>
      </c>
      <c r="M639" s="1">
        <v>0</v>
      </c>
    </row>
    <row r="640" spans="2:13" x14ac:dyDescent="0.25">
      <c r="B640" s="1">
        <v>0</v>
      </c>
      <c r="C640" s="1">
        <v>0</v>
      </c>
      <c r="D640" s="1">
        <v>1</v>
      </c>
      <c r="E640" s="1">
        <v>0</v>
      </c>
      <c r="F640" s="1">
        <v>60</v>
      </c>
      <c r="G640" s="1">
        <v>1</v>
      </c>
      <c r="H640" s="1">
        <v>4</v>
      </c>
      <c r="I640" s="1">
        <v>7</v>
      </c>
      <c r="J640" s="1">
        <v>0</v>
      </c>
      <c r="K640" s="1">
        <v>0</v>
      </c>
      <c r="L640" s="1">
        <v>7485</v>
      </c>
      <c r="M640" s="1">
        <v>0</v>
      </c>
    </row>
    <row r="641" spans="2:13" x14ac:dyDescent="0.25">
      <c r="B641" s="1">
        <v>0</v>
      </c>
      <c r="C641" s="1">
        <v>0</v>
      </c>
      <c r="D641" s="1">
        <v>1</v>
      </c>
      <c r="E641" s="1">
        <v>0</v>
      </c>
      <c r="F641" s="1">
        <v>60</v>
      </c>
      <c r="G641" s="1">
        <v>0</v>
      </c>
      <c r="H641" s="1">
        <v>5</v>
      </c>
      <c r="I641" s="1">
        <v>2</v>
      </c>
      <c r="J641" s="1">
        <v>0</v>
      </c>
      <c r="K641" s="1">
        <v>0</v>
      </c>
      <c r="L641" s="1">
        <v>14503</v>
      </c>
      <c r="M641" s="1">
        <v>0</v>
      </c>
    </row>
    <row r="642" spans="2:13" x14ac:dyDescent="0.25">
      <c r="B642" s="1">
        <v>0</v>
      </c>
      <c r="C642" s="1">
        <v>0</v>
      </c>
      <c r="D642" s="1">
        <v>1</v>
      </c>
      <c r="E642" s="1">
        <v>0</v>
      </c>
      <c r="F642" s="1">
        <v>60</v>
      </c>
      <c r="G642" s="1">
        <v>0</v>
      </c>
      <c r="H642" s="1">
        <v>2</v>
      </c>
      <c r="I642" s="1">
        <v>5</v>
      </c>
      <c r="J642" s="1">
        <v>0</v>
      </c>
      <c r="K642" s="1">
        <v>0</v>
      </c>
      <c r="L642" s="1">
        <v>9634</v>
      </c>
      <c r="M642" s="1">
        <v>0</v>
      </c>
    </row>
    <row r="643" spans="2:13" x14ac:dyDescent="0.25">
      <c r="B643" s="1">
        <v>0</v>
      </c>
      <c r="C643" s="1">
        <v>0</v>
      </c>
      <c r="D643" s="1">
        <v>1</v>
      </c>
      <c r="E643" s="1">
        <v>0</v>
      </c>
      <c r="F643" s="1">
        <v>60</v>
      </c>
      <c r="G643" s="1">
        <v>1</v>
      </c>
      <c r="H643" s="1">
        <v>5</v>
      </c>
      <c r="I643" s="1">
        <v>4</v>
      </c>
      <c r="J643" s="1">
        <v>0</v>
      </c>
      <c r="K643" s="1">
        <v>0</v>
      </c>
      <c r="L643" s="1">
        <v>9075</v>
      </c>
      <c r="M643" s="1">
        <v>0</v>
      </c>
    </row>
    <row r="644" spans="2:13" x14ac:dyDescent="0.25">
      <c r="B644" s="1">
        <v>0</v>
      </c>
      <c r="C644" s="1">
        <v>0</v>
      </c>
      <c r="D644" s="1">
        <v>1</v>
      </c>
      <c r="E644" s="1">
        <v>0</v>
      </c>
      <c r="F644" s="1">
        <v>60</v>
      </c>
      <c r="G644" s="1">
        <v>0</v>
      </c>
      <c r="H644" s="1">
        <v>9</v>
      </c>
      <c r="I644" s="1">
        <v>4</v>
      </c>
      <c r="J644" s="1">
        <v>0</v>
      </c>
      <c r="K644" s="1">
        <v>0</v>
      </c>
      <c r="L644" s="1">
        <v>18842</v>
      </c>
      <c r="M644" s="1">
        <v>0</v>
      </c>
    </row>
    <row r="645" spans="2:13" x14ac:dyDescent="0.25">
      <c r="B645" s="1">
        <v>0</v>
      </c>
      <c r="C645" s="1">
        <v>0</v>
      </c>
      <c r="D645" s="1">
        <v>1</v>
      </c>
      <c r="E645" s="1">
        <v>0</v>
      </c>
      <c r="F645" s="1">
        <v>60</v>
      </c>
      <c r="G645" s="1">
        <v>1</v>
      </c>
      <c r="H645" s="1">
        <v>7</v>
      </c>
      <c r="I645" s="1">
        <v>2</v>
      </c>
      <c r="J645" s="1">
        <v>1</v>
      </c>
      <c r="K645" s="1">
        <v>0</v>
      </c>
      <c r="L645" s="1">
        <v>10358</v>
      </c>
      <c r="M645" s="1">
        <v>0</v>
      </c>
    </row>
    <row r="646" spans="2:13" x14ac:dyDescent="0.25">
      <c r="B646" s="1">
        <v>0</v>
      </c>
      <c r="C646" s="1">
        <v>0</v>
      </c>
      <c r="D646" s="1">
        <v>1</v>
      </c>
      <c r="E646" s="1">
        <v>0</v>
      </c>
      <c r="F646" s="1">
        <v>59</v>
      </c>
      <c r="G646" s="1">
        <v>0</v>
      </c>
      <c r="H646" s="1">
        <v>3</v>
      </c>
      <c r="I646" s="1">
        <v>2</v>
      </c>
      <c r="J646" s="1">
        <v>0</v>
      </c>
      <c r="K646" s="1">
        <v>0</v>
      </c>
      <c r="L646" s="1">
        <v>13816</v>
      </c>
      <c r="M646" s="1">
        <v>0</v>
      </c>
    </row>
    <row r="647" spans="2:13" x14ac:dyDescent="0.25">
      <c r="B647" s="1">
        <v>0</v>
      </c>
      <c r="C647" s="1">
        <v>0</v>
      </c>
      <c r="D647" s="1">
        <v>1</v>
      </c>
      <c r="E647" s="1">
        <v>0</v>
      </c>
      <c r="F647" s="1">
        <v>59</v>
      </c>
      <c r="G647" s="1">
        <v>0</v>
      </c>
      <c r="H647" s="1">
        <v>2</v>
      </c>
      <c r="I647" s="1">
        <v>5</v>
      </c>
      <c r="J647" s="1">
        <v>0</v>
      </c>
      <c r="K647" s="1">
        <v>0</v>
      </c>
      <c r="L647" s="1">
        <v>22107</v>
      </c>
      <c r="M647" s="1">
        <v>0</v>
      </c>
    </row>
    <row r="648" spans="2:13" x14ac:dyDescent="0.25">
      <c r="B648" s="1">
        <v>0</v>
      </c>
      <c r="C648" s="1">
        <v>0</v>
      </c>
      <c r="D648" s="1">
        <v>1</v>
      </c>
      <c r="E648" s="1">
        <v>0</v>
      </c>
      <c r="F648" s="1">
        <v>59</v>
      </c>
      <c r="G648" s="1">
        <v>0</v>
      </c>
      <c r="H648" s="1">
        <v>8</v>
      </c>
      <c r="I648" s="1">
        <v>5</v>
      </c>
      <c r="J648" s="1">
        <v>0</v>
      </c>
      <c r="K648" s="1">
        <v>0</v>
      </c>
      <c r="L648" s="1">
        <v>17427</v>
      </c>
      <c r="M648" s="1">
        <v>0</v>
      </c>
    </row>
    <row r="649" spans="2:13" x14ac:dyDescent="0.25">
      <c r="B649" s="1">
        <v>0</v>
      </c>
      <c r="C649" s="1">
        <v>0</v>
      </c>
      <c r="D649" s="1">
        <v>1</v>
      </c>
      <c r="E649" s="1">
        <v>0</v>
      </c>
      <c r="F649" s="1">
        <v>59</v>
      </c>
      <c r="G649" s="1">
        <v>0</v>
      </c>
      <c r="H649" s="1">
        <v>9</v>
      </c>
      <c r="I649" s="1">
        <v>6</v>
      </c>
      <c r="J649" s="1">
        <v>2</v>
      </c>
      <c r="K649" s="1">
        <v>0</v>
      </c>
      <c r="L649" s="1">
        <v>21992</v>
      </c>
      <c r="M649" s="1">
        <v>0</v>
      </c>
    </row>
    <row r="650" spans="2:13" x14ac:dyDescent="0.25">
      <c r="B650" s="1">
        <v>0</v>
      </c>
      <c r="C650" s="1">
        <v>0</v>
      </c>
      <c r="D650" s="1">
        <v>1</v>
      </c>
      <c r="E650" s="1">
        <v>0</v>
      </c>
      <c r="F650" s="1">
        <v>59</v>
      </c>
      <c r="G650" s="1">
        <v>1</v>
      </c>
      <c r="H650" s="1">
        <v>8</v>
      </c>
      <c r="I650" s="1">
        <v>3</v>
      </c>
      <c r="J650" s="1">
        <v>0</v>
      </c>
      <c r="K650" s="1">
        <v>0</v>
      </c>
      <c r="L650" s="1">
        <v>14997</v>
      </c>
      <c r="M650" s="1">
        <v>0</v>
      </c>
    </row>
    <row r="651" spans="2:13" x14ac:dyDescent="0.25">
      <c r="B651" s="1">
        <v>0</v>
      </c>
      <c r="C651" s="1">
        <v>0</v>
      </c>
      <c r="D651" s="1">
        <v>1</v>
      </c>
      <c r="E651" s="1">
        <v>0</v>
      </c>
      <c r="F651" s="1">
        <v>59</v>
      </c>
      <c r="G651" s="1">
        <v>1</v>
      </c>
      <c r="H651" s="1">
        <v>7</v>
      </c>
      <c r="I651" s="1">
        <v>4</v>
      </c>
      <c r="J651" s="1">
        <v>0</v>
      </c>
      <c r="K651" s="1">
        <v>0</v>
      </c>
      <c r="L651" s="1">
        <v>18298</v>
      </c>
      <c r="M651" s="1">
        <v>0</v>
      </c>
    </row>
    <row r="652" spans="2:13" x14ac:dyDescent="0.25">
      <c r="B652" s="1">
        <v>0</v>
      </c>
      <c r="C652" s="1">
        <v>0</v>
      </c>
      <c r="D652" s="1">
        <v>1</v>
      </c>
      <c r="E652" s="1">
        <v>0</v>
      </c>
      <c r="F652" s="1">
        <v>59</v>
      </c>
      <c r="G652" s="1">
        <v>1</v>
      </c>
      <c r="H652" s="1">
        <v>7</v>
      </c>
      <c r="I652" s="1">
        <v>3</v>
      </c>
      <c r="J652" s="1">
        <v>0</v>
      </c>
      <c r="K652" s="1">
        <v>0</v>
      </c>
      <c r="L652" s="1">
        <v>11909</v>
      </c>
      <c r="M652" s="1">
        <v>0</v>
      </c>
    </row>
    <row r="653" spans="2:13" x14ac:dyDescent="0.25">
      <c r="B653" s="1">
        <v>0</v>
      </c>
      <c r="C653" s="1">
        <v>0</v>
      </c>
      <c r="D653" s="1">
        <v>1</v>
      </c>
      <c r="E653" s="1">
        <v>0</v>
      </c>
      <c r="F653" s="1">
        <v>59</v>
      </c>
      <c r="G653" s="1">
        <v>0</v>
      </c>
      <c r="H653" s="1">
        <v>4</v>
      </c>
      <c r="I653" s="1">
        <v>5</v>
      </c>
      <c r="J653" s="1">
        <v>1</v>
      </c>
      <c r="K653" s="1">
        <v>0</v>
      </c>
      <c r="L653" s="1">
        <v>11326</v>
      </c>
      <c r="M653" s="1">
        <v>0</v>
      </c>
    </row>
    <row r="654" spans="2:13" x14ac:dyDescent="0.25">
      <c r="B654" s="1">
        <v>0</v>
      </c>
      <c r="C654" s="1">
        <v>0</v>
      </c>
      <c r="D654" s="1">
        <v>1</v>
      </c>
      <c r="E654" s="1">
        <v>0</v>
      </c>
      <c r="F654" s="1">
        <v>59</v>
      </c>
      <c r="G654" s="1">
        <v>0</v>
      </c>
      <c r="H654" s="1">
        <v>3</v>
      </c>
      <c r="I654" s="1">
        <v>5</v>
      </c>
      <c r="J654" s="1">
        <v>0</v>
      </c>
      <c r="K654" s="1">
        <v>0</v>
      </c>
      <c r="L654" s="1">
        <v>10714</v>
      </c>
      <c r="M654" s="1">
        <v>0</v>
      </c>
    </row>
    <row r="655" spans="2:13" x14ac:dyDescent="0.25">
      <c r="B655" s="1">
        <v>0</v>
      </c>
      <c r="C655" s="1">
        <v>0</v>
      </c>
      <c r="D655" s="1">
        <v>1</v>
      </c>
      <c r="E655" s="1">
        <v>0</v>
      </c>
      <c r="F655" s="1">
        <v>59</v>
      </c>
      <c r="G655" s="1">
        <v>1</v>
      </c>
      <c r="H655" s="1">
        <v>2</v>
      </c>
      <c r="I655" s="1">
        <v>4</v>
      </c>
      <c r="J655" s="1">
        <v>0</v>
      </c>
      <c r="K655" s="1">
        <v>0</v>
      </c>
      <c r="L655" s="1">
        <v>8520</v>
      </c>
      <c r="M655" s="1">
        <v>0</v>
      </c>
    </row>
    <row r="656" spans="2:13" x14ac:dyDescent="0.25">
      <c r="B656" s="1">
        <v>0</v>
      </c>
      <c r="C656" s="1">
        <v>0</v>
      </c>
      <c r="D656" s="1">
        <v>1</v>
      </c>
      <c r="E656" s="1">
        <v>0</v>
      </c>
      <c r="F656" s="1">
        <v>59</v>
      </c>
      <c r="G656" s="1">
        <v>1</v>
      </c>
      <c r="H656" s="1">
        <v>27</v>
      </c>
      <c r="I656" s="1">
        <v>5</v>
      </c>
      <c r="J656" s="1">
        <v>1</v>
      </c>
      <c r="K656" s="1">
        <v>0</v>
      </c>
      <c r="L656" s="1">
        <v>52867</v>
      </c>
      <c r="M656" s="1">
        <v>0</v>
      </c>
    </row>
    <row r="657" spans="2:13" x14ac:dyDescent="0.25">
      <c r="B657" s="1">
        <v>0</v>
      </c>
      <c r="C657" s="1">
        <v>0</v>
      </c>
      <c r="D657" s="1">
        <v>1</v>
      </c>
      <c r="E657" s="1">
        <v>0</v>
      </c>
      <c r="F657" s="1">
        <v>59</v>
      </c>
      <c r="G657" s="1">
        <v>0</v>
      </c>
      <c r="H657" s="1">
        <v>3</v>
      </c>
      <c r="I657" s="1">
        <v>4</v>
      </c>
      <c r="J657" s="1">
        <v>0</v>
      </c>
      <c r="K657" s="1">
        <v>0</v>
      </c>
      <c r="L657" s="1">
        <v>6247</v>
      </c>
      <c r="M657" s="1">
        <v>0</v>
      </c>
    </row>
    <row r="658" spans="2:13" x14ac:dyDescent="0.25">
      <c r="B658" s="1">
        <v>0</v>
      </c>
      <c r="C658" s="1">
        <v>0</v>
      </c>
      <c r="D658" s="1">
        <v>1</v>
      </c>
      <c r="E658" s="1">
        <v>0</v>
      </c>
      <c r="F658" s="1">
        <v>59</v>
      </c>
      <c r="G658" s="1">
        <v>0</v>
      </c>
      <c r="H658" s="1">
        <v>8</v>
      </c>
      <c r="I658" s="1">
        <v>4</v>
      </c>
      <c r="J658" s="1">
        <v>1</v>
      </c>
      <c r="K658" s="1">
        <v>0</v>
      </c>
      <c r="L658" s="1">
        <v>14942</v>
      </c>
      <c r="M658" s="1">
        <v>0</v>
      </c>
    </row>
    <row r="659" spans="2:13" x14ac:dyDescent="0.25">
      <c r="B659" s="1">
        <v>0</v>
      </c>
      <c r="C659" s="1">
        <v>0</v>
      </c>
      <c r="D659" s="1">
        <v>1</v>
      </c>
      <c r="E659" s="1">
        <v>0</v>
      </c>
      <c r="F659" s="1">
        <v>59</v>
      </c>
      <c r="G659" s="1">
        <v>0</v>
      </c>
      <c r="H659" s="1">
        <v>5</v>
      </c>
      <c r="I659" s="1">
        <v>3</v>
      </c>
      <c r="J659" s="1">
        <v>1</v>
      </c>
      <c r="K659" s="1">
        <v>0</v>
      </c>
      <c r="L659" s="1">
        <v>11315</v>
      </c>
      <c r="M659" s="1">
        <v>0</v>
      </c>
    </row>
    <row r="660" spans="2:13" x14ac:dyDescent="0.25">
      <c r="B660" s="1">
        <v>0</v>
      </c>
      <c r="C660" s="1">
        <v>0</v>
      </c>
      <c r="D660" s="1">
        <v>1</v>
      </c>
      <c r="E660" s="1">
        <v>0</v>
      </c>
      <c r="F660" s="1">
        <v>59</v>
      </c>
      <c r="G660" s="1">
        <v>0</v>
      </c>
      <c r="H660" s="1">
        <v>2</v>
      </c>
      <c r="I660" s="1">
        <v>3</v>
      </c>
      <c r="J660" s="1">
        <v>3</v>
      </c>
      <c r="K660" s="1">
        <v>0</v>
      </c>
      <c r="L660" s="1">
        <v>9451</v>
      </c>
      <c r="M660" s="1">
        <v>0</v>
      </c>
    </row>
    <row r="661" spans="2:13" x14ac:dyDescent="0.25">
      <c r="B661" s="1">
        <v>0</v>
      </c>
      <c r="C661" s="1">
        <v>0</v>
      </c>
      <c r="D661" s="1">
        <v>1</v>
      </c>
      <c r="E661" s="1">
        <v>0</v>
      </c>
      <c r="F661" s="1">
        <v>59</v>
      </c>
      <c r="G661" s="1">
        <v>0</v>
      </c>
      <c r="H661" s="1">
        <v>4</v>
      </c>
      <c r="I661" s="1">
        <v>6</v>
      </c>
      <c r="J661" s="1">
        <v>2</v>
      </c>
      <c r="K661" s="1">
        <v>0</v>
      </c>
      <c r="L661" s="1">
        <v>18185</v>
      </c>
      <c r="M661" s="1">
        <v>0</v>
      </c>
    </row>
    <row r="662" spans="2:13" x14ac:dyDescent="0.25">
      <c r="B662" s="1">
        <v>0</v>
      </c>
      <c r="C662" s="1">
        <v>0</v>
      </c>
      <c r="D662" s="1">
        <v>1</v>
      </c>
      <c r="E662" s="1">
        <v>0</v>
      </c>
      <c r="F662" s="1">
        <v>59</v>
      </c>
      <c r="G662" s="1">
        <v>0</v>
      </c>
      <c r="H662" s="1">
        <v>6</v>
      </c>
      <c r="I662" s="1">
        <v>4</v>
      </c>
      <c r="J662" s="1">
        <v>2</v>
      </c>
      <c r="K662" s="1">
        <v>0</v>
      </c>
      <c r="L662" s="1">
        <v>34784</v>
      </c>
      <c r="M662" s="1">
        <v>1</v>
      </c>
    </row>
    <row r="663" spans="2:13" x14ac:dyDescent="0.25">
      <c r="B663" s="1">
        <v>0</v>
      </c>
      <c r="C663" s="1">
        <v>0</v>
      </c>
      <c r="D663" s="1">
        <v>1</v>
      </c>
      <c r="E663" s="1">
        <v>0</v>
      </c>
      <c r="F663" s="1">
        <v>59</v>
      </c>
      <c r="G663" s="1">
        <v>0</v>
      </c>
      <c r="H663" s="1">
        <v>3</v>
      </c>
      <c r="I663" s="1">
        <v>2</v>
      </c>
      <c r="J663" s="1">
        <v>1</v>
      </c>
      <c r="K663" s="1">
        <v>0</v>
      </c>
      <c r="L663" s="1">
        <v>43886</v>
      </c>
      <c r="M663" s="1">
        <v>1</v>
      </c>
    </row>
    <row r="664" spans="2:13" x14ac:dyDescent="0.25">
      <c r="B664" s="1">
        <v>0</v>
      </c>
      <c r="C664" s="1">
        <v>0</v>
      </c>
      <c r="D664" s="1">
        <v>1</v>
      </c>
      <c r="E664" s="1">
        <v>0</v>
      </c>
      <c r="F664" s="1">
        <v>58</v>
      </c>
      <c r="G664" s="1">
        <v>0</v>
      </c>
      <c r="H664" s="1">
        <v>2</v>
      </c>
      <c r="I664" s="1">
        <v>4</v>
      </c>
      <c r="J664" s="1">
        <v>0</v>
      </c>
      <c r="K664" s="1">
        <v>0</v>
      </c>
      <c r="L664" s="1">
        <v>9719</v>
      </c>
      <c r="M664" s="1">
        <v>0</v>
      </c>
    </row>
    <row r="665" spans="2:13" x14ac:dyDescent="0.25">
      <c r="B665" s="1">
        <v>0</v>
      </c>
      <c r="C665" s="1">
        <v>0</v>
      </c>
      <c r="D665" s="1">
        <v>1</v>
      </c>
      <c r="E665" s="1">
        <v>0</v>
      </c>
      <c r="F665" s="1">
        <v>58</v>
      </c>
      <c r="G665" s="1">
        <v>0</v>
      </c>
      <c r="H665" s="1">
        <v>4</v>
      </c>
      <c r="I665" s="1">
        <v>6</v>
      </c>
      <c r="J665" s="1">
        <v>0</v>
      </c>
      <c r="K665" s="1">
        <v>0</v>
      </c>
      <c r="L665" s="1">
        <v>8309</v>
      </c>
      <c r="M665" s="1">
        <v>0</v>
      </c>
    </row>
    <row r="666" spans="2:13" x14ac:dyDescent="0.25">
      <c r="B666" s="1">
        <v>0</v>
      </c>
      <c r="C666" s="1">
        <v>0</v>
      </c>
      <c r="D666" s="1">
        <v>1</v>
      </c>
      <c r="E666" s="1">
        <v>0</v>
      </c>
      <c r="F666" s="1">
        <v>58</v>
      </c>
      <c r="G666" s="1">
        <v>0</v>
      </c>
      <c r="H666" s="1">
        <v>4</v>
      </c>
      <c r="I666" s="1">
        <v>2</v>
      </c>
      <c r="J666" s="1">
        <v>0</v>
      </c>
      <c r="K666" s="1">
        <v>0</v>
      </c>
      <c r="L666" s="1">
        <v>20858</v>
      </c>
      <c r="M666" s="1">
        <v>0</v>
      </c>
    </row>
    <row r="667" spans="2:13" x14ac:dyDescent="0.25">
      <c r="B667" s="1">
        <v>0</v>
      </c>
      <c r="C667" s="1">
        <v>0</v>
      </c>
      <c r="D667" s="1">
        <v>1</v>
      </c>
      <c r="E667" s="1">
        <v>0</v>
      </c>
      <c r="F667" s="1">
        <v>58</v>
      </c>
      <c r="G667" s="1">
        <v>0</v>
      </c>
      <c r="H667" s="1">
        <v>4</v>
      </c>
      <c r="I667" s="1">
        <v>6</v>
      </c>
      <c r="J667" s="1">
        <v>0</v>
      </c>
      <c r="K667" s="1">
        <v>0</v>
      </c>
      <c r="L667" s="1">
        <v>10260</v>
      </c>
      <c r="M667" s="1">
        <v>0</v>
      </c>
    </row>
    <row r="668" spans="2:13" x14ac:dyDescent="0.25">
      <c r="B668" s="1">
        <v>0</v>
      </c>
      <c r="C668" s="1">
        <v>0</v>
      </c>
      <c r="D668" s="1">
        <v>1</v>
      </c>
      <c r="E668" s="1">
        <v>0</v>
      </c>
      <c r="F668" s="1">
        <v>58</v>
      </c>
      <c r="G668" s="1">
        <v>0</v>
      </c>
      <c r="H668" s="1">
        <v>9</v>
      </c>
      <c r="I668" s="1">
        <v>5</v>
      </c>
      <c r="J668" s="1">
        <v>1</v>
      </c>
      <c r="K668" s="1">
        <v>0</v>
      </c>
      <c r="L668" s="1">
        <v>26455</v>
      </c>
      <c r="M668" s="1">
        <v>0</v>
      </c>
    </row>
    <row r="669" spans="2:13" x14ac:dyDescent="0.25">
      <c r="B669" s="1">
        <v>0</v>
      </c>
      <c r="C669" s="1">
        <v>0</v>
      </c>
      <c r="D669" s="1">
        <v>1</v>
      </c>
      <c r="E669" s="1">
        <v>0</v>
      </c>
      <c r="F669" s="1">
        <v>58</v>
      </c>
      <c r="G669" s="1">
        <v>0</v>
      </c>
      <c r="H669" s="1">
        <v>2</v>
      </c>
      <c r="I669" s="1">
        <v>1</v>
      </c>
      <c r="J669" s="1">
        <v>0</v>
      </c>
      <c r="K669" s="1">
        <v>0</v>
      </c>
      <c r="L669" s="1">
        <v>8058</v>
      </c>
      <c r="M669" s="1">
        <v>0</v>
      </c>
    </row>
    <row r="670" spans="2:13" x14ac:dyDescent="0.25">
      <c r="B670" s="1">
        <v>0</v>
      </c>
      <c r="C670" s="1">
        <v>0</v>
      </c>
      <c r="D670" s="1">
        <v>1</v>
      </c>
      <c r="E670" s="1">
        <v>0</v>
      </c>
      <c r="F670" s="1">
        <v>58</v>
      </c>
      <c r="G670" s="1">
        <v>1</v>
      </c>
      <c r="H670" s="1">
        <v>3</v>
      </c>
      <c r="I670" s="1">
        <v>3</v>
      </c>
      <c r="J670" s="1">
        <v>0</v>
      </c>
      <c r="K670" s="1">
        <v>0</v>
      </c>
      <c r="L670" s="1">
        <v>13137</v>
      </c>
      <c r="M670" s="1">
        <v>0</v>
      </c>
    </row>
    <row r="671" spans="2:13" x14ac:dyDescent="0.25">
      <c r="B671" s="1">
        <v>0</v>
      </c>
      <c r="C671" s="1">
        <v>0</v>
      </c>
      <c r="D671" s="1">
        <v>1</v>
      </c>
      <c r="E671" s="1">
        <v>0</v>
      </c>
      <c r="F671" s="1">
        <v>58</v>
      </c>
      <c r="G671" s="1">
        <v>0</v>
      </c>
      <c r="H671" s="1">
        <v>1</v>
      </c>
      <c r="I671" s="1">
        <v>6</v>
      </c>
      <c r="J671" s="1">
        <v>0</v>
      </c>
      <c r="K671" s="1">
        <v>0</v>
      </c>
      <c r="L671" s="1">
        <v>7783</v>
      </c>
      <c r="M671" s="1">
        <v>0</v>
      </c>
    </row>
    <row r="672" spans="2:13" x14ac:dyDescent="0.25">
      <c r="B672" s="1">
        <v>0</v>
      </c>
      <c r="C672" s="1">
        <v>0</v>
      </c>
      <c r="D672" s="1">
        <v>1</v>
      </c>
      <c r="E672" s="1">
        <v>0</v>
      </c>
      <c r="F672" s="1">
        <v>58</v>
      </c>
      <c r="G672" s="1">
        <v>1</v>
      </c>
      <c r="H672" s="1">
        <v>3</v>
      </c>
      <c r="I672" s="1">
        <v>5</v>
      </c>
      <c r="J672" s="1">
        <v>1</v>
      </c>
      <c r="K672" s="1">
        <v>0</v>
      </c>
      <c r="L672" s="1">
        <v>9690</v>
      </c>
      <c r="M672" s="1">
        <v>0</v>
      </c>
    </row>
    <row r="673" spans="2:13" x14ac:dyDescent="0.25">
      <c r="B673" s="1">
        <v>0</v>
      </c>
      <c r="C673" s="1">
        <v>0</v>
      </c>
      <c r="D673" s="1">
        <v>1</v>
      </c>
      <c r="E673" s="1">
        <v>0</v>
      </c>
      <c r="F673" s="1">
        <v>58</v>
      </c>
      <c r="G673" s="1">
        <v>1</v>
      </c>
      <c r="H673" s="1">
        <v>3</v>
      </c>
      <c r="I673" s="1">
        <v>7</v>
      </c>
      <c r="J673" s="1">
        <v>3</v>
      </c>
      <c r="K673" s="1">
        <v>0</v>
      </c>
      <c r="L673" s="1">
        <v>18860</v>
      </c>
      <c r="M673" s="1">
        <v>0</v>
      </c>
    </row>
    <row r="674" spans="2:13" x14ac:dyDescent="0.25">
      <c r="B674" s="1">
        <v>0</v>
      </c>
      <c r="C674" s="1">
        <v>0</v>
      </c>
      <c r="D674" s="1">
        <v>1</v>
      </c>
      <c r="E674" s="1">
        <v>0</v>
      </c>
      <c r="F674" s="1">
        <v>57</v>
      </c>
      <c r="G674" s="1">
        <v>1</v>
      </c>
      <c r="H674" s="1">
        <v>3</v>
      </c>
      <c r="I674" s="1">
        <v>3</v>
      </c>
      <c r="J674" s="1">
        <v>0</v>
      </c>
      <c r="K674" s="1">
        <v>0</v>
      </c>
      <c r="L674" s="1">
        <v>10231</v>
      </c>
      <c r="M674" s="1">
        <v>0</v>
      </c>
    </row>
    <row r="675" spans="2:13" x14ac:dyDescent="0.25">
      <c r="B675" s="1">
        <v>0</v>
      </c>
      <c r="C675" s="1">
        <v>0</v>
      </c>
      <c r="D675" s="1">
        <v>1</v>
      </c>
      <c r="E675" s="1">
        <v>0</v>
      </c>
      <c r="F675" s="1">
        <v>57</v>
      </c>
      <c r="G675" s="1">
        <v>1</v>
      </c>
      <c r="H675" s="1">
        <v>3</v>
      </c>
      <c r="I675" s="1">
        <v>6</v>
      </c>
      <c r="J675" s="1">
        <v>0</v>
      </c>
      <c r="K675" s="1">
        <v>0</v>
      </c>
      <c r="L675" s="1">
        <v>12920</v>
      </c>
      <c r="M675" s="1">
        <v>0</v>
      </c>
    </row>
    <row r="676" spans="2:13" x14ac:dyDescent="0.25">
      <c r="B676" s="1">
        <v>0</v>
      </c>
      <c r="C676" s="1">
        <v>0</v>
      </c>
      <c r="D676" s="1">
        <v>1</v>
      </c>
      <c r="E676" s="1">
        <v>0</v>
      </c>
      <c r="F676" s="1">
        <v>57</v>
      </c>
      <c r="G676" s="1">
        <v>0</v>
      </c>
      <c r="H676" s="1">
        <v>2</v>
      </c>
      <c r="I676" s="1">
        <v>5</v>
      </c>
      <c r="J676" s="1">
        <v>0</v>
      </c>
      <c r="K676" s="1">
        <v>0</v>
      </c>
      <c r="L676" s="1">
        <v>6914</v>
      </c>
      <c r="M676" s="1">
        <v>0</v>
      </c>
    </row>
    <row r="677" spans="2:13" x14ac:dyDescent="0.25">
      <c r="B677" s="1">
        <v>0</v>
      </c>
      <c r="C677" s="1">
        <v>0</v>
      </c>
      <c r="D677" s="1">
        <v>1</v>
      </c>
      <c r="E677" s="1">
        <v>0</v>
      </c>
      <c r="F677" s="1">
        <v>57</v>
      </c>
      <c r="G677" s="1">
        <v>0</v>
      </c>
      <c r="H677" s="1">
        <v>4</v>
      </c>
      <c r="I677" s="1">
        <v>3</v>
      </c>
      <c r="J677" s="1">
        <v>0</v>
      </c>
      <c r="K677" s="1">
        <v>0</v>
      </c>
      <c r="L677" s="1">
        <v>16994</v>
      </c>
      <c r="M677" s="1">
        <v>0</v>
      </c>
    </row>
    <row r="678" spans="2:13" x14ac:dyDescent="0.25">
      <c r="B678" s="1">
        <v>0</v>
      </c>
      <c r="C678" s="1">
        <v>0</v>
      </c>
      <c r="D678" s="1">
        <v>1</v>
      </c>
      <c r="E678" s="1">
        <v>0</v>
      </c>
      <c r="F678" s="1">
        <v>57</v>
      </c>
      <c r="G678" s="1">
        <v>1</v>
      </c>
      <c r="H678" s="1">
        <v>2</v>
      </c>
      <c r="I678" s="1">
        <v>5</v>
      </c>
      <c r="J678" s="1">
        <v>1</v>
      </c>
      <c r="K678" s="1">
        <v>0</v>
      </c>
      <c r="L678" s="1">
        <v>30154</v>
      </c>
      <c r="M678" s="1">
        <v>0</v>
      </c>
    </row>
    <row r="679" spans="2:13" x14ac:dyDescent="0.25">
      <c r="B679" s="1">
        <v>0</v>
      </c>
      <c r="C679" s="1">
        <v>0</v>
      </c>
      <c r="D679" s="1">
        <v>1</v>
      </c>
      <c r="E679" s="1">
        <v>0</v>
      </c>
      <c r="F679" s="1">
        <v>57</v>
      </c>
      <c r="G679" s="1">
        <v>1</v>
      </c>
      <c r="H679" s="1">
        <v>4</v>
      </c>
      <c r="I679" s="1">
        <v>2</v>
      </c>
      <c r="J679" s="1">
        <v>0</v>
      </c>
      <c r="K679" s="1">
        <v>0</v>
      </c>
      <c r="L679" s="1">
        <v>14499</v>
      </c>
      <c r="M679" s="1">
        <v>0</v>
      </c>
    </row>
    <row r="680" spans="2:13" x14ac:dyDescent="0.25">
      <c r="B680" s="1">
        <v>0</v>
      </c>
      <c r="C680" s="1">
        <v>0</v>
      </c>
      <c r="D680" s="1">
        <v>1</v>
      </c>
      <c r="E680" s="1">
        <v>0</v>
      </c>
      <c r="F680" s="1">
        <v>57</v>
      </c>
      <c r="G680" s="1">
        <v>0</v>
      </c>
      <c r="H680" s="1">
        <v>3</v>
      </c>
      <c r="I680" s="1">
        <v>6</v>
      </c>
      <c r="J680" s="1">
        <v>0</v>
      </c>
      <c r="K680" s="1">
        <v>0</v>
      </c>
      <c r="L680" s="1">
        <v>19050</v>
      </c>
      <c r="M680" s="1">
        <v>0</v>
      </c>
    </row>
    <row r="681" spans="2:13" x14ac:dyDescent="0.25">
      <c r="B681" s="1">
        <v>0</v>
      </c>
      <c r="C681" s="1">
        <v>0</v>
      </c>
      <c r="D681" s="1">
        <v>1</v>
      </c>
      <c r="E681" s="1">
        <v>0</v>
      </c>
      <c r="F681" s="1">
        <v>57</v>
      </c>
      <c r="G681" s="1">
        <v>0</v>
      </c>
      <c r="H681" s="1">
        <v>6</v>
      </c>
      <c r="I681" s="1">
        <v>1</v>
      </c>
      <c r="J681" s="1">
        <v>0</v>
      </c>
      <c r="K681" s="1">
        <v>0</v>
      </c>
      <c r="L681" s="1">
        <v>29912</v>
      </c>
      <c r="M681" s="1">
        <v>0</v>
      </c>
    </row>
    <row r="682" spans="2:13" x14ac:dyDescent="0.25">
      <c r="B682" s="1">
        <v>0</v>
      </c>
      <c r="C682" s="1">
        <v>0</v>
      </c>
      <c r="D682" s="1">
        <v>1</v>
      </c>
      <c r="E682" s="1">
        <v>0</v>
      </c>
      <c r="F682" s="1">
        <v>57</v>
      </c>
      <c r="G682" s="1">
        <v>0</v>
      </c>
      <c r="H682" s="1">
        <v>4</v>
      </c>
      <c r="I682" s="1">
        <v>4</v>
      </c>
      <c r="J682" s="1">
        <v>0</v>
      </c>
      <c r="K682" s="1">
        <v>0</v>
      </c>
      <c r="L682" s="1">
        <v>10568</v>
      </c>
      <c r="M682" s="1">
        <v>0</v>
      </c>
    </row>
    <row r="683" spans="2:13" x14ac:dyDescent="0.25">
      <c r="B683" s="1">
        <v>0</v>
      </c>
      <c r="C683" s="1">
        <v>0</v>
      </c>
      <c r="D683" s="1">
        <v>1</v>
      </c>
      <c r="E683" s="1">
        <v>0</v>
      </c>
      <c r="F683" s="1">
        <v>57</v>
      </c>
      <c r="G683" s="1">
        <v>1</v>
      </c>
      <c r="H683" s="1">
        <v>6</v>
      </c>
      <c r="I683" s="1">
        <v>1</v>
      </c>
      <c r="J683" s="1">
        <v>0</v>
      </c>
      <c r="K683" s="1">
        <v>0</v>
      </c>
      <c r="L683" s="1">
        <v>13449</v>
      </c>
      <c r="M683" s="1">
        <v>0</v>
      </c>
    </row>
    <row r="684" spans="2:13" x14ac:dyDescent="0.25">
      <c r="B684" s="1">
        <v>0</v>
      </c>
      <c r="C684" s="1">
        <v>0</v>
      </c>
      <c r="D684" s="1">
        <v>1</v>
      </c>
      <c r="E684" s="1">
        <v>0</v>
      </c>
      <c r="F684" s="1">
        <v>57</v>
      </c>
      <c r="G684" s="1">
        <v>0</v>
      </c>
      <c r="H684" s="1">
        <v>3</v>
      </c>
      <c r="I684" s="1">
        <v>3</v>
      </c>
      <c r="J684" s="1">
        <v>1</v>
      </c>
      <c r="K684" s="1">
        <v>0</v>
      </c>
      <c r="L684" s="1">
        <v>21703</v>
      </c>
      <c r="M684" s="1">
        <v>1</v>
      </c>
    </row>
    <row r="685" spans="2:13" x14ac:dyDescent="0.25">
      <c r="B685" s="1">
        <v>0</v>
      </c>
      <c r="C685" s="1">
        <v>0</v>
      </c>
      <c r="D685" s="1">
        <v>1</v>
      </c>
      <c r="E685" s="1">
        <v>0</v>
      </c>
      <c r="F685" s="1">
        <v>57</v>
      </c>
      <c r="G685" s="1">
        <v>1</v>
      </c>
      <c r="H685" s="1">
        <v>10</v>
      </c>
      <c r="I685" s="1">
        <v>2</v>
      </c>
      <c r="J685" s="1">
        <v>1</v>
      </c>
      <c r="K685" s="1">
        <v>0</v>
      </c>
      <c r="L685" s="1">
        <v>22897</v>
      </c>
      <c r="M685" s="1">
        <v>1</v>
      </c>
    </row>
    <row r="686" spans="2:13" x14ac:dyDescent="0.25">
      <c r="B686" s="1">
        <v>0</v>
      </c>
      <c r="C686" s="1">
        <v>0</v>
      </c>
      <c r="D686" s="1">
        <v>1</v>
      </c>
      <c r="E686" s="1">
        <v>0</v>
      </c>
      <c r="F686" s="1">
        <v>57</v>
      </c>
      <c r="G686" s="1">
        <v>1</v>
      </c>
      <c r="H686" s="1">
        <v>4</v>
      </c>
      <c r="I686" s="1">
        <v>1</v>
      </c>
      <c r="J686" s="1">
        <v>2</v>
      </c>
      <c r="K686" s="1">
        <v>0</v>
      </c>
      <c r="L686" s="1">
        <v>11390</v>
      </c>
      <c r="M686" s="1">
        <v>1</v>
      </c>
    </row>
    <row r="687" spans="2:13" x14ac:dyDescent="0.25">
      <c r="B687" s="1">
        <v>0</v>
      </c>
      <c r="C687" s="1">
        <v>0</v>
      </c>
      <c r="D687" s="1">
        <v>1</v>
      </c>
      <c r="E687" s="1">
        <v>0</v>
      </c>
      <c r="F687" s="1">
        <v>57</v>
      </c>
      <c r="G687" s="1">
        <v>0</v>
      </c>
      <c r="H687" s="1">
        <v>1</v>
      </c>
      <c r="I687" s="1">
        <v>3</v>
      </c>
      <c r="J687" s="1">
        <v>1</v>
      </c>
      <c r="K687" s="1">
        <v>0</v>
      </c>
      <c r="L687" s="1">
        <v>8603</v>
      </c>
      <c r="M687" s="1">
        <v>1</v>
      </c>
    </row>
    <row r="688" spans="2:13" x14ac:dyDescent="0.25">
      <c r="B688" s="1">
        <v>0</v>
      </c>
      <c r="C688" s="1">
        <v>0</v>
      </c>
      <c r="D688" s="1">
        <v>1</v>
      </c>
      <c r="E688" s="1">
        <v>0</v>
      </c>
      <c r="F688" s="1">
        <v>57</v>
      </c>
      <c r="G688" s="1">
        <v>0</v>
      </c>
      <c r="H688" s="1">
        <v>6</v>
      </c>
      <c r="I688" s="1">
        <v>3</v>
      </c>
      <c r="J688" s="1">
        <v>2</v>
      </c>
      <c r="K688" s="1">
        <v>0</v>
      </c>
      <c r="L688" s="1">
        <v>29654</v>
      </c>
      <c r="M688" s="1">
        <v>1</v>
      </c>
    </row>
    <row r="689" spans="2:13" x14ac:dyDescent="0.25">
      <c r="B689" s="1">
        <v>0</v>
      </c>
      <c r="C689" s="1">
        <v>0</v>
      </c>
      <c r="D689" s="1">
        <v>1</v>
      </c>
      <c r="E689" s="1">
        <v>0</v>
      </c>
      <c r="F689" s="1">
        <v>57</v>
      </c>
      <c r="G689" s="1">
        <v>0</v>
      </c>
      <c r="H689" s="1">
        <v>5</v>
      </c>
      <c r="I689" s="1">
        <v>0</v>
      </c>
      <c r="J689" s="1">
        <v>2</v>
      </c>
      <c r="K689" s="1">
        <v>0</v>
      </c>
      <c r="L689" s="1">
        <v>28785</v>
      </c>
      <c r="M689" s="1">
        <v>1</v>
      </c>
    </row>
    <row r="690" spans="2:13" x14ac:dyDescent="0.25">
      <c r="B690" s="1">
        <v>0</v>
      </c>
      <c r="C690" s="1">
        <v>0</v>
      </c>
      <c r="D690" s="1">
        <v>1</v>
      </c>
      <c r="E690" s="1">
        <v>0</v>
      </c>
      <c r="F690" s="1">
        <v>57</v>
      </c>
      <c r="G690" s="1">
        <v>1</v>
      </c>
      <c r="H690" s="1">
        <v>11</v>
      </c>
      <c r="I690" s="1">
        <v>2</v>
      </c>
      <c r="J690" s="1">
        <v>6</v>
      </c>
      <c r="K690" s="1">
        <v>0</v>
      </c>
      <c r="L690" s="1">
        <v>64496</v>
      </c>
      <c r="M690" s="1">
        <v>1</v>
      </c>
    </row>
    <row r="691" spans="2:13" x14ac:dyDescent="0.25">
      <c r="B691" s="1">
        <v>0</v>
      </c>
      <c r="C691" s="1">
        <v>0</v>
      </c>
      <c r="D691" s="1">
        <v>1</v>
      </c>
      <c r="E691" s="1">
        <v>0</v>
      </c>
      <c r="F691" s="1">
        <v>56</v>
      </c>
      <c r="G691" s="1">
        <v>0</v>
      </c>
      <c r="H691" s="1">
        <v>2</v>
      </c>
      <c r="I691" s="1">
        <v>3</v>
      </c>
      <c r="J691" s="1">
        <v>0</v>
      </c>
      <c r="K691" s="1">
        <v>0</v>
      </c>
      <c r="L691" s="1">
        <v>13535</v>
      </c>
      <c r="M691" s="1">
        <v>0</v>
      </c>
    </row>
    <row r="692" spans="2:13" x14ac:dyDescent="0.25">
      <c r="B692" s="1">
        <v>0</v>
      </c>
      <c r="C692" s="1">
        <v>0</v>
      </c>
      <c r="D692" s="1">
        <v>1</v>
      </c>
      <c r="E692" s="1">
        <v>0</v>
      </c>
      <c r="F692" s="1">
        <v>56</v>
      </c>
      <c r="G692" s="1">
        <v>0</v>
      </c>
      <c r="H692" s="1">
        <v>2</v>
      </c>
      <c r="I692" s="1">
        <v>3</v>
      </c>
      <c r="J692" s="1">
        <v>0</v>
      </c>
      <c r="K692" s="1">
        <v>0</v>
      </c>
      <c r="L692" s="1">
        <v>8444</v>
      </c>
      <c r="M692" s="1">
        <v>0</v>
      </c>
    </row>
    <row r="693" spans="2:13" x14ac:dyDescent="0.25">
      <c r="B693" s="1">
        <v>0</v>
      </c>
      <c r="C693" s="1">
        <v>0</v>
      </c>
      <c r="D693" s="1">
        <v>1</v>
      </c>
      <c r="E693" s="1">
        <v>0</v>
      </c>
      <c r="F693" s="1">
        <v>56</v>
      </c>
      <c r="G693" s="1">
        <v>0</v>
      </c>
      <c r="H693" s="1">
        <v>2</v>
      </c>
      <c r="I693" s="1">
        <v>4</v>
      </c>
      <c r="J693" s="1">
        <v>0</v>
      </c>
      <c r="K693" s="1">
        <v>0</v>
      </c>
      <c r="L693" s="1">
        <v>9966</v>
      </c>
      <c r="M693" s="1">
        <v>0</v>
      </c>
    </row>
    <row r="694" spans="2:13" x14ac:dyDescent="0.25">
      <c r="B694" s="1">
        <v>0</v>
      </c>
      <c r="C694" s="1">
        <v>0</v>
      </c>
      <c r="D694" s="1">
        <v>1</v>
      </c>
      <c r="E694" s="1">
        <v>0</v>
      </c>
      <c r="F694" s="1">
        <v>56</v>
      </c>
      <c r="G694" s="1">
        <v>1</v>
      </c>
      <c r="H694" s="1">
        <v>4</v>
      </c>
      <c r="I694" s="1">
        <v>4</v>
      </c>
      <c r="J694" s="1">
        <v>1</v>
      </c>
      <c r="K694" s="1">
        <v>0</v>
      </c>
      <c r="L694" s="1">
        <v>28563</v>
      </c>
      <c r="M694" s="1">
        <v>0</v>
      </c>
    </row>
    <row r="695" spans="2:13" x14ac:dyDescent="0.25">
      <c r="B695" s="1">
        <v>0</v>
      </c>
      <c r="C695" s="1">
        <v>0</v>
      </c>
      <c r="D695" s="1">
        <v>1</v>
      </c>
      <c r="E695" s="1">
        <v>0</v>
      </c>
      <c r="F695" s="1">
        <v>56</v>
      </c>
      <c r="G695" s="1">
        <v>1</v>
      </c>
      <c r="H695" s="1">
        <v>7</v>
      </c>
      <c r="I695" s="1">
        <v>3</v>
      </c>
      <c r="J695" s="1">
        <v>0</v>
      </c>
      <c r="K695" s="1">
        <v>0</v>
      </c>
      <c r="L695" s="1">
        <v>14227</v>
      </c>
      <c r="M695" s="1">
        <v>0</v>
      </c>
    </row>
    <row r="696" spans="2:13" x14ac:dyDescent="0.25">
      <c r="B696" s="1">
        <v>0</v>
      </c>
      <c r="C696" s="1">
        <v>0</v>
      </c>
      <c r="D696" s="1">
        <v>1</v>
      </c>
      <c r="E696" s="1">
        <v>0</v>
      </c>
      <c r="F696" s="1">
        <v>56</v>
      </c>
      <c r="G696" s="1">
        <v>0</v>
      </c>
      <c r="H696" s="1">
        <v>2</v>
      </c>
      <c r="I696" s="1">
        <v>4</v>
      </c>
      <c r="J696" s="1">
        <v>2</v>
      </c>
      <c r="K696" s="1">
        <v>0</v>
      </c>
      <c r="L696" s="1">
        <v>24451</v>
      </c>
      <c r="M696" s="1">
        <v>0</v>
      </c>
    </row>
    <row r="697" spans="2:13" x14ac:dyDescent="0.25">
      <c r="B697" s="1">
        <v>0</v>
      </c>
      <c r="C697" s="1">
        <v>0</v>
      </c>
      <c r="D697" s="1">
        <v>1</v>
      </c>
      <c r="E697" s="1">
        <v>0</v>
      </c>
      <c r="F697" s="1">
        <v>56</v>
      </c>
      <c r="G697" s="1">
        <v>0</v>
      </c>
      <c r="H697" s="1">
        <v>2</v>
      </c>
      <c r="I697" s="1">
        <v>6</v>
      </c>
      <c r="J697" s="1">
        <v>0</v>
      </c>
      <c r="K697" s="1">
        <v>0</v>
      </c>
      <c r="L697" s="1">
        <v>8184</v>
      </c>
      <c r="M697" s="1">
        <v>0</v>
      </c>
    </row>
    <row r="698" spans="2:13" x14ac:dyDescent="0.25">
      <c r="B698" s="1">
        <v>0</v>
      </c>
      <c r="C698" s="1">
        <v>0</v>
      </c>
      <c r="D698" s="1">
        <v>1</v>
      </c>
      <c r="E698" s="1">
        <v>0</v>
      </c>
      <c r="F698" s="1">
        <v>56</v>
      </c>
      <c r="G698" s="1">
        <v>0</v>
      </c>
      <c r="H698" s="1">
        <v>2</v>
      </c>
      <c r="I698" s="1">
        <v>4</v>
      </c>
      <c r="J698" s="1">
        <v>0</v>
      </c>
      <c r="K698" s="1">
        <v>0</v>
      </c>
      <c r="L698" s="1">
        <v>13231</v>
      </c>
      <c r="M698" s="1">
        <v>0</v>
      </c>
    </row>
    <row r="699" spans="2:13" x14ac:dyDescent="0.25">
      <c r="B699" s="1">
        <v>0</v>
      </c>
      <c r="C699" s="1">
        <v>0</v>
      </c>
      <c r="D699" s="1">
        <v>1</v>
      </c>
      <c r="E699" s="1">
        <v>0</v>
      </c>
      <c r="F699" s="1">
        <v>56</v>
      </c>
      <c r="G699" s="1">
        <v>1</v>
      </c>
      <c r="H699" s="1">
        <v>1</v>
      </c>
      <c r="I699" s="1">
        <v>7</v>
      </c>
      <c r="J699" s="1">
        <v>0</v>
      </c>
      <c r="K699" s="1">
        <v>0</v>
      </c>
      <c r="L699" s="1">
        <v>11350</v>
      </c>
      <c r="M699" s="1">
        <v>0</v>
      </c>
    </row>
    <row r="700" spans="2:13" x14ac:dyDescent="0.25">
      <c r="B700" s="1">
        <v>0</v>
      </c>
      <c r="C700" s="1">
        <v>0</v>
      </c>
      <c r="D700" s="1">
        <v>1</v>
      </c>
      <c r="E700" s="1">
        <v>0</v>
      </c>
      <c r="F700" s="1">
        <v>56</v>
      </c>
      <c r="G700" s="1">
        <v>0</v>
      </c>
      <c r="H700" s="1">
        <v>4</v>
      </c>
      <c r="I700" s="1">
        <v>4</v>
      </c>
      <c r="J700" s="1">
        <v>0</v>
      </c>
      <c r="K700" s="1">
        <v>0</v>
      </c>
      <c r="L700" s="1">
        <v>11982</v>
      </c>
      <c r="M700" s="1">
        <v>0</v>
      </c>
    </row>
    <row r="701" spans="2:13" x14ac:dyDescent="0.25">
      <c r="B701" s="1">
        <v>0</v>
      </c>
      <c r="C701" s="1">
        <v>0</v>
      </c>
      <c r="D701" s="1">
        <v>1</v>
      </c>
      <c r="E701" s="1">
        <v>0</v>
      </c>
      <c r="F701" s="1">
        <v>56</v>
      </c>
      <c r="G701" s="1">
        <v>0</v>
      </c>
      <c r="H701" s="1">
        <v>18</v>
      </c>
      <c r="I701" s="1">
        <v>5</v>
      </c>
      <c r="J701" s="1">
        <v>1</v>
      </c>
      <c r="K701" s="1">
        <v>0</v>
      </c>
      <c r="L701" s="1">
        <v>55904</v>
      </c>
      <c r="M701" s="1">
        <v>0</v>
      </c>
    </row>
    <row r="702" spans="2:13" x14ac:dyDescent="0.25">
      <c r="B702" s="1">
        <v>0</v>
      </c>
      <c r="C702" s="1">
        <v>0</v>
      </c>
      <c r="D702" s="1">
        <v>1</v>
      </c>
      <c r="E702" s="1">
        <v>0</v>
      </c>
      <c r="F702" s="1">
        <v>56</v>
      </c>
      <c r="G702" s="1">
        <v>1</v>
      </c>
      <c r="H702" s="1">
        <v>3</v>
      </c>
      <c r="I702" s="1">
        <v>5</v>
      </c>
      <c r="J702" s="1">
        <v>0</v>
      </c>
      <c r="K702" s="1">
        <v>0</v>
      </c>
      <c r="L702" s="1">
        <v>7932</v>
      </c>
      <c r="M702" s="1">
        <v>0</v>
      </c>
    </row>
    <row r="703" spans="2:13" x14ac:dyDescent="0.25">
      <c r="B703" s="1">
        <v>0</v>
      </c>
      <c r="C703" s="1">
        <v>0</v>
      </c>
      <c r="D703" s="1">
        <v>1</v>
      </c>
      <c r="E703" s="1">
        <v>0</v>
      </c>
      <c r="F703" s="1">
        <v>56</v>
      </c>
      <c r="G703" s="1">
        <v>0</v>
      </c>
      <c r="H703" s="1">
        <v>1</v>
      </c>
      <c r="I703" s="1">
        <v>2</v>
      </c>
      <c r="J703" s="1">
        <v>0</v>
      </c>
      <c r="K703" s="1">
        <v>0</v>
      </c>
      <c r="L703" s="1">
        <v>9047</v>
      </c>
      <c r="M703" s="1">
        <v>0</v>
      </c>
    </row>
    <row r="704" spans="2:13" x14ac:dyDescent="0.25">
      <c r="B704" s="1">
        <v>0</v>
      </c>
      <c r="C704" s="1">
        <v>0</v>
      </c>
      <c r="D704" s="1">
        <v>1</v>
      </c>
      <c r="E704" s="1">
        <v>0</v>
      </c>
      <c r="F704" s="1">
        <v>56</v>
      </c>
      <c r="G704" s="1">
        <v>0</v>
      </c>
      <c r="H704" s="1">
        <v>0</v>
      </c>
      <c r="I704" s="1">
        <v>6</v>
      </c>
      <c r="J704" s="1">
        <v>0</v>
      </c>
      <c r="K704" s="1">
        <v>0</v>
      </c>
      <c r="L704" s="1">
        <v>11307</v>
      </c>
      <c r="M704" s="1">
        <v>0</v>
      </c>
    </row>
    <row r="705" spans="2:13" x14ac:dyDescent="0.25">
      <c r="B705" s="1">
        <v>0</v>
      </c>
      <c r="C705" s="1">
        <v>0</v>
      </c>
      <c r="D705" s="1">
        <v>1</v>
      </c>
      <c r="E705" s="1">
        <v>0</v>
      </c>
      <c r="F705" s="1">
        <v>56</v>
      </c>
      <c r="G705" s="1">
        <v>0</v>
      </c>
      <c r="H705" s="1">
        <v>3</v>
      </c>
      <c r="I705" s="1">
        <v>4</v>
      </c>
      <c r="J705" s="1">
        <v>0</v>
      </c>
      <c r="K705" s="1">
        <v>0</v>
      </c>
      <c r="L705" s="1">
        <v>12033</v>
      </c>
      <c r="M705" s="1">
        <v>0</v>
      </c>
    </row>
    <row r="706" spans="2:13" x14ac:dyDescent="0.25">
      <c r="B706" s="1">
        <v>0</v>
      </c>
      <c r="C706" s="1">
        <v>0</v>
      </c>
      <c r="D706" s="1">
        <v>1</v>
      </c>
      <c r="E706" s="1">
        <v>0</v>
      </c>
      <c r="F706" s="1">
        <v>56</v>
      </c>
      <c r="G706" s="1">
        <v>0</v>
      </c>
      <c r="H706" s="1">
        <v>2</v>
      </c>
      <c r="I706" s="1">
        <v>3</v>
      </c>
      <c r="J706" s="1">
        <v>1</v>
      </c>
      <c r="K706" s="1">
        <v>0</v>
      </c>
      <c r="L706" s="1">
        <v>6248</v>
      </c>
      <c r="M706" s="1">
        <v>0</v>
      </c>
    </row>
    <row r="707" spans="2:13" x14ac:dyDescent="0.25">
      <c r="B707" s="1">
        <v>0</v>
      </c>
      <c r="C707" s="1">
        <v>0</v>
      </c>
      <c r="D707" s="1">
        <v>1</v>
      </c>
      <c r="E707" s="1">
        <v>0</v>
      </c>
      <c r="F707" s="1">
        <v>56</v>
      </c>
      <c r="G707" s="1">
        <v>0</v>
      </c>
      <c r="H707" s="1">
        <v>2</v>
      </c>
      <c r="I707" s="1">
        <v>1</v>
      </c>
      <c r="J707" s="1">
        <v>0</v>
      </c>
      <c r="K707" s="1">
        <v>0</v>
      </c>
      <c r="L707" s="1">
        <v>8739</v>
      </c>
      <c r="M707" s="1">
        <v>0</v>
      </c>
    </row>
    <row r="708" spans="2:13" x14ac:dyDescent="0.25">
      <c r="B708" s="1">
        <v>0</v>
      </c>
      <c r="C708" s="1">
        <v>0</v>
      </c>
      <c r="D708" s="1">
        <v>1</v>
      </c>
      <c r="E708" s="1">
        <v>0</v>
      </c>
      <c r="F708" s="1">
        <v>56</v>
      </c>
      <c r="G708" s="1">
        <v>0</v>
      </c>
      <c r="H708" s="1">
        <v>3</v>
      </c>
      <c r="I708" s="1">
        <v>5</v>
      </c>
      <c r="J708" s="1">
        <v>0</v>
      </c>
      <c r="K708" s="1">
        <v>0</v>
      </c>
      <c r="L708" s="1">
        <v>12749</v>
      </c>
      <c r="M708" s="1">
        <v>0</v>
      </c>
    </row>
    <row r="709" spans="2:13" x14ac:dyDescent="0.25">
      <c r="B709" s="1">
        <v>0</v>
      </c>
      <c r="C709" s="1">
        <v>0</v>
      </c>
      <c r="D709" s="1">
        <v>1</v>
      </c>
      <c r="E709" s="1">
        <v>0</v>
      </c>
      <c r="F709" s="1">
        <v>56</v>
      </c>
      <c r="G709" s="1">
        <v>1</v>
      </c>
      <c r="H709" s="1">
        <v>6</v>
      </c>
      <c r="I709" s="1">
        <v>6</v>
      </c>
      <c r="J709" s="1">
        <v>5</v>
      </c>
      <c r="K709" s="1">
        <v>0</v>
      </c>
      <c r="L709" s="1">
        <v>16595</v>
      </c>
      <c r="M709" s="1">
        <v>0</v>
      </c>
    </row>
    <row r="710" spans="2:13" x14ac:dyDescent="0.25">
      <c r="B710" s="1">
        <v>0</v>
      </c>
      <c r="C710" s="1">
        <v>0</v>
      </c>
      <c r="D710" s="1">
        <v>1</v>
      </c>
      <c r="E710" s="1">
        <v>0</v>
      </c>
      <c r="F710" s="1">
        <v>56</v>
      </c>
      <c r="G710" s="1">
        <v>1</v>
      </c>
      <c r="H710" s="1">
        <v>5</v>
      </c>
      <c r="I710" s="1">
        <v>4</v>
      </c>
      <c r="J710" s="1">
        <v>0</v>
      </c>
      <c r="K710" s="1">
        <v>0</v>
      </c>
      <c r="L710" s="1">
        <v>17744</v>
      </c>
      <c r="M710" s="1">
        <v>0</v>
      </c>
    </row>
    <row r="711" spans="2:13" x14ac:dyDescent="0.25">
      <c r="B711" s="1">
        <v>0</v>
      </c>
      <c r="C711" s="1">
        <v>0</v>
      </c>
      <c r="D711" s="1">
        <v>1</v>
      </c>
      <c r="E711" s="1">
        <v>0</v>
      </c>
      <c r="F711" s="1">
        <v>56</v>
      </c>
      <c r="G711" s="1">
        <v>0</v>
      </c>
      <c r="H711" s="1">
        <v>3</v>
      </c>
      <c r="I711" s="1">
        <v>3</v>
      </c>
      <c r="J711" s="1">
        <v>1</v>
      </c>
      <c r="K711" s="1">
        <v>0</v>
      </c>
      <c r="L711" s="1">
        <v>13887</v>
      </c>
      <c r="M711" s="1">
        <v>1</v>
      </c>
    </row>
    <row r="712" spans="2:13" x14ac:dyDescent="0.25">
      <c r="B712" s="1">
        <v>0</v>
      </c>
      <c r="C712" s="1">
        <v>0</v>
      </c>
      <c r="D712" s="1">
        <v>1</v>
      </c>
      <c r="E712" s="1">
        <v>0</v>
      </c>
      <c r="F712" s="1">
        <v>56</v>
      </c>
      <c r="G712" s="1">
        <v>0</v>
      </c>
      <c r="H712" s="1">
        <v>27</v>
      </c>
      <c r="I712" s="1">
        <v>4</v>
      </c>
      <c r="J712" s="1">
        <v>6</v>
      </c>
      <c r="K712" s="1">
        <v>0</v>
      </c>
      <c r="L712" s="1">
        <v>111626</v>
      </c>
      <c r="M712" s="1">
        <v>1</v>
      </c>
    </row>
    <row r="713" spans="2:13" x14ac:dyDescent="0.25">
      <c r="B713" s="1">
        <v>0</v>
      </c>
      <c r="C713" s="1">
        <v>0</v>
      </c>
      <c r="D713" s="1">
        <v>1</v>
      </c>
      <c r="E713" s="1">
        <v>0</v>
      </c>
      <c r="F713" s="1">
        <v>56</v>
      </c>
      <c r="G713" s="1">
        <v>1</v>
      </c>
      <c r="H713" s="1">
        <v>5</v>
      </c>
      <c r="I713" s="1">
        <v>5</v>
      </c>
      <c r="J713" s="1">
        <v>6</v>
      </c>
      <c r="K713" s="1">
        <v>0</v>
      </c>
      <c r="L713" s="1">
        <v>40733</v>
      </c>
      <c r="M713" s="1">
        <v>1</v>
      </c>
    </row>
    <row r="714" spans="2:13" x14ac:dyDescent="0.25">
      <c r="B714" s="1">
        <v>0</v>
      </c>
      <c r="C714" s="1">
        <v>0</v>
      </c>
      <c r="D714" s="1">
        <v>1</v>
      </c>
      <c r="E714" s="1">
        <v>0</v>
      </c>
      <c r="F714" s="1">
        <v>55</v>
      </c>
      <c r="G714" s="1">
        <v>1</v>
      </c>
      <c r="H714" s="1">
        <v>2</v>
      </c>
      <c r="I714" s="1">
        <v>4</v>
      </c>
      <c r="J714" s="1">
        <v>0</v>
      </c>
      <c r="K714" s="1">
        <v>0</v>
      </c>
      <c r="L714" s="1">
        <v>11091</v>
      </c>
      <c r="M714" s="1">
        <v>0</v>
      </c>
    </row>
    <row r="715" spans="2:13" x14ac:dyDescent="0.25">
      <c r="B715" s="1">
        <v>0</v>
      </c>
      <c r="C715" s="1">
        <v>0</v>
      </c>
      <c r="D715" s="1">
        <v>1</v>
      </c>
      <c r="E715" s="1">
        <v>0</v>
      </c>
      <c r="F715" s="1">
        <v>55</v>
      </c>
      <c r="G715" s="1">
        <v>1</v>
      </c>
      <c r="H715" s="1">
        <v>2</v>
      </c>
      <c r="I715" s="1">
        <v>2</v>
      </c>
      <c r="J715" s="1">
        <v>0</v>
      </c>
      <c r="K715" s="1">
        <v>0</v>
      </c>
      <c r="L715" s="1">
        <v>4217</v>
      </c>
      <c r="M715" s="1">
        <v>0</v>
      </c>
    </row>
    <row r="716" spans="2:13" x14ac:dyDescent="0.25">
      <c r="B716" s="1">
        <v>0</v>
      </c>
      <c r="C716" s="1">
        <v>0</v>
      </c>
      <c r="D716" s="1">
        <v>1</v>
      </c>
      <c r="E716" s="1">
        <v>0</v>
      </c>
      <c r="F716" s="1">
        <v>55</v>
      </c>
      <c r="G716" s="1">
        <v>1</v>
      </c>
      <c r="H716" s="1">
        <v>6</v>
      </c>
      <c r="I716" s="1">
        <v>3</v>
      </c>
      <c r="J716" s="1">
        <v>0</v>
      </c>
      <c r="K716" s="1">
        <v>0</v>
      </c>
      <c r="L716" s="1">
        <v>12099</v>
      </c>
      <c r="M716" s="1">
        <v>0</v>
      </c>
    </row>
    <row r="717" spans="2:13" x14ac:dyDescent="0.25">
      <c r="B717" s="1">
        <v>0</v>
      </c>
      <c r="C717" s="1">
        <v>0</v>
      </c>
      <c r="D717" s="1">
        <v>1</v>
      </c>
      <c r="E717" s="1">
        <v>0</v>
      </c>
      <c r="F717" s="1">
        <v>55</v>
      </c>
      <c r="G717" s="1">
        <v>1</v>
      </c>
      <c r="H717" s="1">
        <v>1</v>
      </c>
      <c r="I717" s="1">
        <v>5</v>
      </c>
      <c r="J717" s="1">
        <v>0</v>
      </c>
      <c r="K717" s="1">
        <v>0</v>
      </c>
      <c r="L717" s="1">
        <v>7634</v>
      </c>
      <c r="M717" s="1">
        <v>0</v>
      </c>
    </row>
    <row r="718" spans="2:13" x14ac:dyDescent="0.25">
      <c r="B718" s="1">
        <v>0</v>
      </c>
      <c r="C718" s="1">
        <v>0</v>
      </c>
      <c r="D718" s="1">
        <v>1</v>
      </c>
      <c r="E718" s="1">
        <v>0</v>
      </c>
      <c r="F718" s="1">
        <v>55</v>
      </c>
      <c r="G718" s="1">
        <v>1</v>
      </c>
      <c r="H718" s="1">
        <v>2</v>
      </c>
      <c r="I718" s="1">
        <v>6</v>
      </c>
      <c r="J718" s="1">
        <v>0</v>
      </c>
      <c r="K718" s="1">
        <v>0</v>
      </c>
      <c r="L718" s="1">
        <v>6237</v>
      </c>
      <c r="M718" s="1">
        <v>0</v>
      </c>
    </row>
    <row r="719" spans="2:13" x14ac:dyDescent="0.25">
      <c r="B719" s="1">
        <v>0</v>
      </c>
      <c r="C719" s="1">
        <v>0</v>
      </c>
      <c r="D719" s="1">
        <v>1</v>
      </c>
      <c r="E719" s="1">
        <v>0</v>
      </c>
      <c r="F719" s="1">
        <v>55</v>
      </c>
      <c r="G719" s="1">
        <v>1</v>
      </c>
      <c r="H719" s="1">
        <v>6</v>
      </c>
      <c r="I719" s="1">
        <v>4</v>
      </c>
      <c r="J719" s="1">
        <v>0</v>
      </c>
      <c r="K719" s="1">
        <v>0</v>
      </c>
      <c r="L719" s="1">
        <v>10907</v>
      </c>
      <c r="M719" s="1">
        <v>0</v>
      </c>
    </row>
    <row r="720" spans="2:13" x14ac:dyDescent="0.25">
      <c r="B720" s="1">
        <v>0</v>
      </c>
      <c r="C720" s="1">
        <v>0</v>
      </c>
      <c r="D720" s="1">
        <v>1</v>
      </c>
      <c r="E720" s="1">
        <v>0</v>
      </c>
      <c r="F720" s="1">
        <v>55</v>
      </c>
      <c r="G720" s="1">
        <v>0</v>
      </c>
      <c r="H720" s="1">
        <v>5</v>
      </c>
      <c r="I720" s="1">
        <v>5</v>
      </c>
      <c r="J720" s="1">
        <v>1</v>
      </c>
      <c r="K720" s="1">
        <v>0</v>
      </c>
      <c r="L720" s="1">
        <v>13962</v>
      </c>
      <c r="M720" s="1">
        <v>0</v>
      </c>
    </row>
    <row r="721" spans="2:13" x14ac:dyDescent="0.25">
      <c r="B721" s="1">
        <v>0</v>
      </c>
      <c r="C721" s="1">
        <v>0</v>
      </c>
      <c r="D721" s="1">
        <v>1</v>
      </c>
      <c r="E721" s="1">
        <v>0</v>
      </c>
      <c r="F721" s="1">
        <v>55</v>
      </c>
      <c r="G721" s="1">
        <v>0</v>
      </c>
      <c r="H721" s="1">
        <v>2</v>
      </c>
      <c r="I721" s="1">
        <v>6</v>
      </c>
      <c r="J721" s="1">
        <v>0</v>
      </c>
      <c r="K721" s="1">
        <v>0</v>
      </c>
      <c r="L721" s="1">
        <v>11955</v>
      </c>
      <c r="M721" s="1">
        <v>0</v>
      </c>
    </row>
    <row r="722" spans="2:13" x14ac:dyDescent="0.25">
      <c r="B722" s="1">
        <v>0</v>
      </c>
      <c r="C722" s="1">
        <v>0</v>
      </c>
      <c r="D722" s="1">
        <v>1</v>
      </c>
      <c r="E722" s="1">
        <v>0</v>
      </c>
      <c r="F722" s="1">
        <v>55</v>
      </c>
      <c r="G722" s="1">
        <v>0</v>
      </c>
      <c r="H722" s="1">
        <v>2</v>
      </c>
      <c r="I722" s="1">
        <v>8</v>
      </c>
      <c r="J722" s="1">
        <v>0</v>
      </c>
      <c r="K722" s="1">
        <v>0</v>
      </c>
      <c r="L722" s="1">
        <v>12056</v>
      </c>
      <c r="M722" s="1">
        <v>0</v>
      </c>
    </row>
    <row r="723" spans="2:13" x14ac:dyDescent="0.25">
      <c r="B723" s="1">
        <v>0</v>
      </c>
      <c r="C723" s="1">
        <v>0</v>
      </c>
      <c r="D723" s="1">
        <v>1</v>
      </c>
      <c r="E723" s="1">
        <v>0</v>
      </c>
      <c r="F723" s="1">
        <v>55</v>
      </c>
      <c r="G723" s="1">
        <v>0</v>
      </c>
      <c r="H723" s="1">
        <v>12</v>
      </c>
      <c r="I723" s="1">
        <v>5</v>
      </c>
      <c r="J723" s="1">
        <v>1</v>
      </c>
      <c r="K723" s="1">
        <v>0</v>
      </c>
      <c r="L723" s="1">
        <v>33055</v>
      </c>
      <c r="M723" s="1">
        <v>0</v>
      </c>
    </row>
    <row r="724" spans="2:13" x14ac:dyDescent="0.25">
      <c r="B724" s="1">
        <v>0</v>
      </c>
      <c r="C724" s="1">
        <v>0</v>
      </c>
      <c r="D724" s="1">
        <v>1</v>
      </c>
      <c r="E724" s="1">
        <v>0</v>
      </c>
      <c r="F724" s="1">
        <v>55</v>
      </c>
      <c r="G724" s="1">
        <v>1</v>
      </c>
      <c r="H724" s="1">
        <v>7</v>
      </c>
      <c r="I724" s="1">
        <v>6</v>
      </c>
      <c r="J724" s="1">
        <v>0</v>
      </c>
      <c r="K724" s="1">
        <v>0</v>
      </c>
      <c r="L724" s="1">
        <v>26683</v>
      </c>
      <c r="M724" s="1">
        <v>0</v>
      </c>
    </row>
    <row r="725" spans="2:13" x14ac:dyDescent="0.25">
      <c r="B725" s="1">
        <v>0</v>
      </c>
      <c r="C725" s="1">
        <v>0</v>
      </c>
      <c r="D725" s="1">
        <v>1</v>
      </c>
      <c r="E725" s="1">
        <v>0</v>
      </c>
      <c r="F725" s="1">
        <v>55</v>
      </c>
      <c r="G725" s="1">
        <v>0</v>
      </c>
      <c r="H725" s="1">
        <v>15</v>
      </c>
      <c r="I725" s="1">
        <v>4</v>
      </c>
      <c r="J725" s="1">
        <v>0</v>
      </c>
      <c r="K725" s="1">
        <v>0</v>
      </c>
      <c r="L725" s="1">
        <v>30483</v>
      </c>
      <c r="M725" s="1">
        <v>0</v>
      </c>
    </row>
    <row r="726" spans="2:13" x14ac:dyDescent="0.25">
      <c r="B726" s="1">
        <v>0</v>
      </c>
      <c r="C726" s="1">
        <v>0</v>
      </c>
      <c r="D726" s="1">
        <v>1</v>
      </c>
      <c r="E726" s="1">
        <v>0</v>
      </c>
      <c r="F726" s="1">
        <v>55</v>
      </c>
      <c r="G726" s="1">
        <v>0</v>
      </c>
      <c r="H726" s="1">
        <v>2</v>
      </c>
      <c r="I726" s="1">
        <v>4</v>
      </c>
      <c r="J726" s="1">
        <v>0</v>
      </c>
      <c r="K726" s="1">
        <v>0</v>
      </c>
      <c r="L726" s="1">
        <v>7557</v>
      </c>
      <c r="M726" s="1">
        <v>0</v>
      </c>
    </row>
    <row r="727" spans="2:13" x14ac:dyDescent="0.25">
      <c r="B727" s="1">
        <v>0</v>
      </c>
      <c r="C727" s="1">
        <v>0</v>
      </c>
      <c r="D727" s="1">
        <v>1</v>
      </c>
      <c r="E727" s="1">
        <v>0</v>
      </c>
      <c r="F727" s="1">
        <v>55</v>
      </c>
      <c r="G727" s="1">
        <v>1</v>
      </c>
      <c r="H727" s="1">
        <v>8</v>
      </c>
      <c r="I727" s="1">
        <v>5</v>
      </c>
      <c r="J727" s="1">
        <v>0</v>
      </c>
      <c r="K727" s="1">
        <v>0</v>
      </c>
      <c r="L727" s="1">
        <v>14093</v>
      </c>
      <c r="M727" s="1">
        <v>0</v>
      </c>
    </row>
    <row r="728" spans="2:13" x14ac:dyDescent="0.25">
      <c r="B728" s="1">
        <v>0</v>
      </c>
      <c r="C728" s="1">
        <v>0</v>
      </c>
      <c r="D728" s="1">
        <v>1</v>
      </c>
      <c r="E728" s="1">
        <v>0</v>
      </c>
      <c r="F728" s="1">
        <v>55</v>
      </c>
      <c r="G728" s="1">
        <v>1</v>
      </c>
      <c r="H728" s="1">
        <v>9</v>
      </c>
      <c r="I728" s="1">
        <v>3</v>
      </c>
      <c r="J728" s="1">
        <v>1</v>
      </c>
      <c r="K728" s="1">
        <v>0</v>
      </c>
      <c r="L728" s="1">
        <v>21921</v>
      </c>
      <c r="M728" s="1">
        <v>0</v>
      </c>
    </row>
    <row r="729" spans="2:13" x14ac:dyDescent="0.25">
      <c r="B729" s="1">
        <v>0</v>
      </c>
      <c r="C729" s="1">
        <v>0</v>
      </c>
      <c r="D729" s="1">
        <v>1</v>
      </c>
      <c r="E729" s="1">
        <v>0</v>
      </c>
      <c r="F729" s="1">
        <v>55</v>
      </c>
      <c r="G729" s="1">
        <v>0</v>
      </c>
      <c r="H729" s="1">
        <v>2</v>
      </c>
      <c r="I729" s="1">
        <v>3</v>
      </c>
      <c r="J729" s="1">
        <v>0</v>
      </c>
      <c r="K729" s="1">
        <v>0</v>
      </c>
      <c r="L729" s="1">
        <v>10337</v>
      </c>
      <c r="M729" s="1">
        <v>0</v>
      </c>
    </row>
    <row r="730" spans="2:13" x14ac:dyDescent="0.25">
      <c r="B730" s="1">
        <v>0</v>
      </c>
      <c r="C730" s="1">
        <v>0</v>
      </c>
      <c r="D730" s="1">
        <v>1</v>
      </c>
      <c r="E730" s="1">
        <v>0</v>
      </c>
      <c r="F730" s="1">
        <v>55</v>
      </c>
      <c r="G730" s="1">
        <v>0</v>
      </c>
      <c r="H730" s="1">
        <v>3</v>
      </c>
      <c r="I730" s="1">
        <v>3</v>
      </c>
      <c r="J730" s="1">
        <v>3</v>
      </c>
      <c r="K730" s="1">
        <v>0</v>
      </c>
      <c r="L730" s="1">
        <v>27009</v>
      </c>
      <c r="M730" s="1">
        <v>0</v>
      </c>
    </row>
    <row r="731" spans="2:13" x14ac:dyDescent="0.25">
      <c r="B731" s="1">
        <v>0</v>
      </c>
      <c r="C731" s="1">
        <v>0</v>
      </c>
      <c r="D731" s="1">
        <v>1</v>
      </c>
      <c r="E731" s="1">
        <v>0</v>
      </c>
      <c r="F731" s="1">
        <v>55</v>
      </c>
      <c r="G731" s="1">
        <v>1</v>
      </c>
      <c r="H731" s="1">
        <v>8</v>
      </c>
      <c r="I731" s="1">
        <v>3</v>
      </c>
      <c r="J731" s="1">
        <v>0</v>
      </c>
      <c r="K731" s="1">
        <v>0</v>
      </c>
      <c r="L731" s="1">
        <v>15750</v>
      </c>
      <c r="M731" s="1">
        <v>0</v>
      </c>
    </row>
    <row r="732" spans="2:13" x14ac:dyDescent="0.25">
      <c r="B732" s="1">
        <v>0</v>
      </c>
      <c r="C732" s="1">
        <v>0</v>
      </c>
      <c r="D732" s="1">
        <v>1</v>
      </c>
      <c r="E732" s="1">
        <v>0</v>
      </c>
      <c r="F732" s="1">
        <v>55</v>
      </c>
      <c r="G732" s="1">
        <v>0</v>
      </c>
      <c r="H732" s="1">
        <v>7</v>
      </c>
      <c r="I732" s="1">
        <v>2</v>
      </c>
      <c r="J732" s="1">
        <v>0</v>
      </c>
      <c r="K732" s="1">
        <v>0</v>
      </c>
      <c r="L732" s="1">
        <v>15806</v>
      </c>
      <c r="M732" s="1">
        <v>0</v>
      </c>
    </row>
    <row r="733" spans="2:13" x14ac:dyDescent="0.25">
      <c r="B733" s="1">
        <v>0</v>
      </c>
      <c r="C733" s="1">
        <v>0</v>
      </c>
      <c r="D733" s="1">
        <v>1</v>
      </c>
      <c r="E733" s="1">
        <v>0</v>
      </c>
      <c r="F733" s="1">
        <v>55</v>
      </c>
      <c r="G733" s="1">
        <v>1</v>
      </c>
      <c r="H733" s="1">
        <v>4</v>
      </c>
      <c r="I733" s="1">
        <v>1</v>
      </c>
      <c r="J733" s="1">
        <v>0</v>
      </c>
      <c r="K733" s="1">
        <v>0</v>
      </c>
      <c r="L733" s="1">
        <v>5993</v>
      </c>
      <c r="M733" s="1">
        <v>0</v>
      </c>
    </row>
    <row r="734" spans="2:13" x14ac:dyDescent="0.25">
      <c r="B734" s="1">
        <v>0</v>
      </c>
      <c r="C734" s="1">
        <v>0</v>
      </c>
      <c r="D734" s="1">
        <v>1</v>
      </c>
      <c r="E734" s="1">
        <v>0</v>
      </c>
      <c r="F734" s="1">
        <v>55</v>
      </c>
      <c r="G734" s="1">
        <v>1</v>
      </c>
      <c r="H734" s="1">
        <v>4</v>
      </c>
      <c r="I734" s="1">
        <v>2</v>
      </c>
      <c r="J734" s="1">
        <v>0</v>
      </c>
      <c r="K734" s="1">
        <v>0</v>
      </c>
      <c r="L734" s="1">
        <v>6826</v>
      </c>
      <c r="M734" s="1">
        <v>0</v>
      </c>
    </row>
    <row r="735" spans="2:13" x14ac:dyDescent="0.25">
      <c r="B735" s="1">
        <v>0</v>
      </c>
      <c r="C735" s="1">
        <v>0</v>
      </c>
      <c r="D735" s="1">
        <v>1</v>
      </c>
      <c r="E735" s="1">
        <v>0</v>
      </c>
      <c r="F735" s="1">
        <v>55</v>
      </c>
      <c r="G735" s="1">
        <v>0</v>
      </c>
      <c r="H735" s="1">
        <v>4</v>
      </c>
      <c r="I735" s="1">
        <v>7</v>
      </c>
      <c r="J735" s="1">
        <v>1</v>
      </c>
      <c r="K735" s="1">
        <v>0</v>
      </c>
      <c r="L735" s="1">
        <v>27987</v>
      </c>
      <c r="M735" s="1">
        <v>0</v>
      </c>
    </row>
    <row r="736" spans="2:13" x14ac:dyDescent="0.25">
      <c r="B736" s="1">
        <v>0</v>
      </c>
      <c r="C736" s="1">
        <v>0</v>
      </c>
      <c r="D736" s="1">
        <v>1</v>
      </c>
      <c r="E736" s="1">
        <v>0</v>
      </c>
      <c r="F736" s="1">
        <v>55</v>
      </c>
      <c r="G736" s="1">
        <v>1</v>
      </c>
      <c r="H736" s="1">
        <v>5</v>
      </c>
      <c r="I736" s="1">
        <v>8</v>
      </c>
      <c r="J736" s="1">
        <v>1</v>
      </c>
      <c r="K736" s="1">
        <v>0</v>
      </c>
      <c r="L736" s="1">
        <v>31171</v>
      </c>
      <c r="M736" s="1">
        <v>0</v>
      </c>
    </row>
    <row r="737" spans="2:13" x14ac:dyDescent="0.25">
      <c r="B737" s="1">
        <v>0</v>
      </c>
      <c r="C737" s="1">
        <v>0</v>
      </c>
      <c r="D737" s="1">
        <v>1</v>
      </c>
      <c r="E737" s="1">
        <v>0</v>
      </c>
      <c r="F737" s="1">
        <v>55</v>
      </c>
      <c r="G737" s="1">
        <v>1</v>
      </c>
      <c r="H737" s="1">
        <v>1</v>
      </c>
      <c r="I737" s="1">
        <v>0</v>
      </c>
      <c r="J737" s="1">
        <v>0</v>
      </c>
      <c r="K737" s="1">
        <v>0</v>
      </c>
      <c r="L737" s="1">
        <v>4595</v>
      </c>
      <c r="M737" s="1">
        <v>0</v>
      </c>
    </row>
    <row r="738" spans="2:13" x14ac:dyDescent="0.25">
      <c r="B738" s="1">
        <v>0</v>
      </c>
      <c r="C738" s="1">
        <v>0</v>
      </c>
      <c r="D738" s="1">
        <v>1</v>
      </c>
      <c r="E738" s="1">
        <v>0</v>
      </c>
      <c r="F738" s="1">
        <v>55</v>
      </c>
      <c r="G738" s="1">
        <v>0</v>
      </c>
      <c r="H738" s="1">
        <v>4</v>
      </c>
      <c r="I738" s="1">
        <v>6</v>
      </c>
      <c r="J738" s="1">
        <v>3</v>
      </c>
      <c r="K738" s="1">
        <v>0</v>
      </c>
      <c r="L738" s="1">
        <v>40123</v>
      </c>
      <c r="M738" s="1">
        <v>1</v>
      </c>
    </row>
    <row r="739" spans="2:13" x14ac:dyDescent="0.25">
      <c r="B739" s="1">
        <v>0</v>
      </c>
      <c r="C739" s="1">
        <v>0</v>
      </c>
      <c r="D739" s="1">
        <v>1</v>
      </c>
      <c r="E739" s="1">
        <v>0</v>
      </c>
      <c r="F739" s="1">
        <v>55</v>
      </c>
      <c r="G739" s="1">
        <v>1</v>
      </c>
      <c r="H739" s="1">
        <v>6</v>
      </c>
      <c r="I739" s="1">
        <v>1</v>
      </c>
      <c r="J739" s="1">
        <v>1</v>
      </c>
      <c r="K739" s="1">
        <v>0</v>
      </c>
      <c r="L739" s="1">
        <v>28208</v>
      </c>
      <c r="M739" s="1">
        <v>1</v>
      </c>
    </row>
    <row r="740" spans="2:13" x14ac:dyDescent="0.25">
      <c r="B740" s="1">
        <v>0</v>
      </c>
      <c r="C740" s="1">
        <v>0</v>
      </c>
      <c r="D740" s="1">
        <v>1</v>
      </c>
      <c r="E740" s="1">
        <v>0</v>
      </c>
      <c r="F740" s="1">
        <v>55</v>
      </c>
      <c r="G740" s="1">
        <v>1</v>
      </c>
      <c r="H740" s="1">
        <v>2</v>
      </c>
      <c r="I740" s="1">
        <v>7</v>
      </c>
      <c r="J740" s="1">
        <v>3</v>
      </c>
      <c r="K740" s="1">
        <v>0</v>
      </c>
      <c r="L740" s="1">
        <v>14389</v>
      </c>
      <c r="M740" s="1">
        <v>1</v>
      </c>
    </row>
    <row r="741" spans="2:13" x14ac:dyDescent="0.25">
      <c r="B741" s="1">
        <v>0</v>
      </c>
      <c r="C741" s="1">
        <v>0</v>
      </c>
      <c r="D741" s="1">
        <v>1</v>
      </c>
      <c r="E741" s="1">
        <v>0</v>
      </c>
      <c r="F741" s="1">
        <v>55</v>
      </c>
      <c r="G741" s="1">
        <v>0</v>
      </c>
      <c r="H741" s="1">
        <v>10</v>
      </c>
      <c r="I741" s="1">
        <v>1</v>
      </c>
      <c r="J741" s="1">
        <v>6</v>
      </c>
      <c r="K741" s="1">
        <v>0</v>
      </c>
      <c r="L741" s="1">
        <v>52955</v>
      </c>
      <c r="M741" s="1">
        <v>1</v>
      </c>
    </row>
    <row r="742" spans="2:13" x14ac:dyDescent="0.25">
      <c r="B742" s="1">
        <v>0</v>
      </c>
      <c r="C742" s="1">
        <v>0</v>
      </c>
      <c r="D742" s="1">
        <v>0.96</v>
      </c>
      <c r="E742" s="1">
        <v>0.04</v>
      </c>
      <c r="F742" s="1">
        <v>54</v>
      </c>
      <c r="G742" s="1">
        <v>1</v>
      </c>
      <c r="H742" s="1">
        <v>2</v>
      </c>
      <c r="I742" s="1">
        <v>2</v>
      </c>
      <c r="J742" s="1">
        <v>0</v>
      </c>
      <c r="K742" s="1">
        <v>0</v>
      </c>
      <c r="L742" s="1">
        <v>6786</v>
      </c>
      <c r="M742" s="1">
        <v>0</v>
      </c>
    </row>
    <row r="743" spans="2:13" x14ac:dyDescent="0.25">
      <c r="B743" s="1">
        <v>0</v>
      </c>
      <c r="C743" s="1">
        <v>0</v>
      </c>
      <c r="D743" s="1">
        <v>0.96</v>
      </c>
      <c r="E743" s="1">
        <v>0.04</v>
      </c>
      <c r="F743" s="1">
        <v>54</v>
      </c>
      <c r="G743" s="1">
        <v>0</v>
      </c>
      <c r="H743" s="1">
        <v>4</v>
      </c>
      <c r="I743" s="1">
        <v>2</v>
      </c>
      <c r="J743" s="1">
        <v>0</v>
      </c>
      <c r="K743" s="1">
        <v>0</v>
      </c>
      <c r="L743" s="1">
        <v>13111</v>
      </c>
      <c r="M743" s="1">
        <v>0</v>
      </c>
    </row>
    <row r="744" spans="2:13" x14ac:dyDescent="0.25">
      <c r="B744" s="1">
        <v>0</v>
      </c>
      <c r="C744" s="1">
        <v>0</v>
      </c>
      <c r="D744" s="1">
        <v>0.96</v>
      </c>
      <c r="E744" s="1">
        <v>0.04</v>
      </c>
      <c r="F744" s="1">
        <v>54</v>
      </c>
      <c r="G744" s="1">
        <v>0</v>
      </c>
      <c r="H744" s="1">
        <v>6</v>
      </c>
      <c r="I744" s="1">
        <v>5</v>
      </c>
      <c r="J744" s="1">
        <v>0</v>
      </c>
      <c r="K744" s="1">
        <v>0</v>
      </c>
      <c r="L744" s="1">
        <v>15625</v>
      </c>
      <c r="M744" s="1">
        <v>0</v>
      </c>
    </row>
    <row r="745" spans="2:13" x14ac:dyDescent="0.25">
      <c r="B745" s="1">
        <v>0</v>
      </c>
      <c r="C745" s="1">
        <v>0</v>
      </c>
      <c r="D745" s="1">
        <v>0.96</v>
      </c>
      <c r="E745" s="1">
        <v>0.04</v>
      </c>
      <c r="F745" s="1">
        <v>54</v>
      </c>
      <c r="G745" s="1">
        <v>0</v>
      </c>
      <c r="H745" s="1">
        <v>10</v>
      </c>
      <c r="I745" s="1">
        <v>4</v>
      </c>
      <c r="J745" s="1">
        <v>0</v>
      </c>
      <c r="K745" s="1">
        <v>0</v>
      </c>
      <c r="L745" s="1">
        <v>17218</v>
      </c>
      <c r="M745" s="1">
        <v>0</v>
      </c>
    </row>
    <row r="746" spans="2:13" x14ac:dyDescent="0.25">
      <c r="B746" s="1">
        <v>0</v>
      </c>
      <c r="C746" s="1">
        <v>0</v>
      </c>
      <c r="D746" s="1">
        <v>0.96</v>
      </c>
      <c r="E746" s="1">
        <v>0.04</v>
      </c>
      <c r="F746" s="1">
        <v>54</v>
      </c>
      <c r="G746" s="1">
        <v>1</v>
      </c>
      <c r="H746" s="1">
        <v>2</v>
      </c>
      <c r="I746" s="1">
        <v>3</v>
      </c>
      <c r="J746" s="1">
        <v>0</v>
      </c>
      <c r="K746" s="1">
        <v>0</v>
      </c>
      <c r="L746" s="1">
        <v>6632</v>
      </c>
      <c r="M746" s="1">
        <v>0</v>
      </c>
    </row>
    <row r="747" spans="2:13" x14ac:dyDescent="0.25">
      <c r="B747" s="1">
        <v>0</v>
      </c>
      <c r="C747" s="1">
        <v>0</v>
      </c>
      <c r="D747" s="1">
        <v>0.96</v>
      </c>
      <c r="E747" s="1">
        <v>0.04</v>
      </c>
      <c r="F747" s="1">
        <v>54</v>
      </c>
      <c r="G747" s="1">
        <v>0</v>
      </c>
      <c r="H747" s="1">
        <v>11</v>
      </c>
      <c r="I747" s="1">
        <v>3</v>
      </c>
      <c r="J747" s="1">
        <v>0</v>
      </c>
      <c r="K747" s="1">
        <v>0</v>
      </c>
      <c r="L747" s="1">
        <v>21628</v>
      </c>
      <c r="M747" s="1">
        <v>0</v>
      </c>
    </row>
    <row r="748" spans="2:13" x14ac:dyDescent="0.25">
      <c r="B748" s="1">
        <v>0</v>
      </c>
      <c r="C748" s="1">
        <v>0</v>
      </c>
      <c r="D748" s="1">
        <v>0.96</v>
      </c>
      <c r="E748" s="1">
        <v>0.04</v>
      </c>
      <c r="F748" s="1">
        <v>54</v>
      </c>
      <c r="G748" s="1">
        <v>0</v>
      </c>
      <c r="H748" s="1">
        <v>3</v>
      </c>
      <c r="I748" s="1">
        <v>3</v>
      </c>
      <c r="J748" s="1">
        <v>0</v>
      </c>
      <c r="K748" s="1">
        <v>0</v>
      </c>
      <c r="L748" s="1">
        <v>4486</v>
      </c>
      <c r="M748" s="1">
        <v>0</v>
      </c>
    </row>
    <row r="749" spans="2:13" x14ac:dyDescent="0.25">
      <c r="B749" s="1">
        <v>0</v>
      </c>
      <c r="C749" s="1">
        <v>0</v>
      </c>
      <c r="D749" s="1">
        <v>0.96</v>
      </c>
      <c r="E749" s="1">
        <v>0.04</v>
      </c>
      <c r="F749" s="1">
        <v>54</v>
      </c>
      <c r="G749" s="1">
        <v>0</v>
      </c>
      <c r="H749" s="1">
        <v>2</v>
      </c>
      <c r="I749" s="1">
        <v>4</v>
      </c>
      <c r="J749" s="1">
        <v>0</v>
      </c>
      <c r="K749" s="1">
        <v>0</v>
      </c>
      <c r="L749" s="1">
        <v>13381</v>
      </c>
      <c r="M749" s="1">
        <v>0</v>
      </c>
    </row>
    <row r="750" spans="2:13" x14ac:dyDescent="0.25">
      <c r="B750" s="1">
        <v>0</v>
      </c>
      <c r="C750" s="1">
        <v>0</v>
      </c>
      <c r="D750" s="1">
        <v>0.96</v>
      </c>
      <c r="E750" s="1">
        <v>0.04</v>
      </c>
      <c r="F750" s="1">
        <v>54</v>
      </c>
      <c r="G750" s="1">
        <v>0</v>
      </c>
      <c r="H750" s="1">
        <v>15</v>
      </c>
      <c r="I750" s="1">
        <v>3</v>
      </c>
      <c r="J750" s="1">
        <v>0</v>
      </c>
      <c r="K750" s="1">
        <v>0</v>
      </c>
      <c r="L750" s="1">
        <v>27533</v>
      </c>
      <c r="M750" s="1">
        <v>0</v>
      </c>
    </row>
    <row r="751" spans="2:13" x14ac:dyDescent="0.25">
      <c r="B751" s="1">
        <v>0</v>
      </c>
      <c r="C751" s="1">
        <v>0</v>
      </c>
      <c r="D751" s="1">
        <v>0.96</v>
      </c>
      <c r="E751" s="1">
        <v>0.04</v>
      </c>
      <c r="F751" s="1">
        <v>54</v>
      </c>
      <c r="G751" s="1">
        <v>1</v>
      </c>
      <c r="H751" s="1">
        <v>2</v>
      </c>
      <c r="I751" s="1">
        <v>5</v>
      </c>
      <c r="J751" s="1">
        <v>0</v>
      </c>
      <c r="K751" s="1">
        <v>0</v>
      </c>
      <c r="L751" s="1">
        <v>12039</v>
      </c>
      <c r="M751" s="1">
        <v>0</v>
      </c>
    </row>
    <row r="752" spans="2:13" x14ac:dyDescent="0.25">
      <c r="B752" s="1">
        <v>0</v>
      </c>
      <c r="C752" s="1">
        <v>0</v>
      </c>
      <c r="D752" s="1">
        <v>0.96</v>
      </c>
      <c r="E752" s="1">
        <v>0.04</v>
      </c>
      <c r="F752" s="1">
        <v>54</v>
      </c>
      <c r="G752" s="1">
        <v>0</v>
      </c>
      <c r="H752" s="1">
        <v>2</v>
      </c>
      <c r="I752" s="1">
        <v>2</v>
      </c>
      <c r="J752" s="1">
        <v>0</v>
      </c>
      <c r="K752" s="1">
        <v>0</v>
      </c>
      <c r="L752" s="1">
        <v>7182</v>
      </c>
      <c r="M752" s="1">
        <v>0</v>
      </c>
    </row>
    <row r="753" spans="2:13" x14ac:dyDescent="0.25">
      <c r="B753" s="1">
        <v>0</v>
      </c>
      <c r="C753" s="1">
        <v>0</v>
      </c>
      <c r="D753" s="1">
        <v>0.96</v>
      </c>
      <c r="E753" s="1">
        <v>0.04</v>
      </c>
      <c r="F753" s="1">
        <v>54</v>
      </c>
      <c r="G753" s="1">
        <v>1</v>
      </c>
      <c r="H753" s="1">
        <v>1</v>
      </c>
      <c r="I753" s="1">
        <v>2</v>
      </c>
      <c r="J753" s="1">
        <v>2</v>
      </c>
      <c r="K753" s="1">
        <v>0</v>
      </c>
      <c r="L753" s="1">
        <v>17202</v>
      </c>
      <c r="M753" s="1">
        <v>0</v>
      </c>
    </row>
    <row r="754" spans="2:13" x14ac:dyDescent="0.25">
      <c r="B754" s="1">
        <v>0</v>
      </c>
      <c r="C754" s="1">
        <v>0</v>
      </c>
      <c r="D754" s="1">
        <v>0.96</v>
      </c>
      <c r="E754" s="1">
        <v>0.04</v>
      </c>
      <c r="F754" s="1">
        <v>54</v>
      </c>
      <c r="G754" s="1">
        <v>1</v>
      </c>
      <c r="H754" s="1">
        <v>1</v>
      </c>
      <c r="I754" s="1">
        <v>7</v>
      </c>
      <c r="J754" s="1">
        <v>0</v>
      </c>
      <c r="K754" s="1">
        <v>0</v>
      </c>
      <c r="L754" s="1">
        <v>12165</v>
      </c>
      <c r="M754" s="1">
        <v>0</v>
      </c>
    </row>
    <row r="755" spans="2:13" x14ac:dyDescent="0.25">
      <c r="B755" s="1">
        <v>0</v>
      </c>
      <c r="C755" s="1">
        <v>0</v>
      </c>
      <c r="D755" s="1">
        <v>0.96</v>
      </c>
      <c r="E755" s="1">
        <v>0.04</v>
      </c>
      <c r="F755" s="1">
        <v>54</v>
      </c>
      <c r="G755" s="1">
        <v>1</v>
      </c>
      <c r="H755" s="1">
        <v>4</v>
      </c>
      <c r="I755" s="1">
        <v>3</v>
      </c>
      <c r="J755" s="1">
        <v>0</v>
      </c>
      <c r="K755" s="1">
        <v>0</v>
      </c>
      <c r="L755" s="1">
        <v>13649</v>
      </c>
      <c r="M755" s="1">
        <v>0</v>
      </c>
    </row>
    <row r="756" spans="2:13" x14ac:dyDescent="0.25">
      <c r="B756" s="1">
        <v>0</v>
      </c>
      <c r="C756" s="1">
        <v>0</v>
      </c>
      <c r="D756" s="1">
        <v>0.96</v>
      </c>
      <c r="E756" s="1">
        <v>0.04</v>
      </c>
      <c r="F756" s="1">
        <v>54</v>
      </c>
      <c r="G756" s="1">
        <v>1</v>
      </c>
      <c r="H756" s="1">
        <v>3</v>
      </c>
      <c r="I756" s="1">
        <v>0</v>
      </c>
      <c r="J756" s="1">
        <v>2</v>
      </c>
      <c r="K756" s="1">
        <v>0</v>
      </c>
      <c r="L756" s="1">
        <v>37250</v>
      </c>
      <c r="M756" s="1">
        <v>1</v>
      </c>
    </row>
    <row r="757" spans="2:13" x14ac:dyDescent="0.25">
      <c r="B757" s="1">
        <v>0</v>
      </c>
      <c r="C757" s="1">
        <v>0</v>
      </c>
      <c r="D757" s="1">
        <v>0.96</v>
      </c>
      <c r="E757" s="1">
        <v>0.04</v>
      </c>
      <c r="F757" s="1">
        <v>54</v>
      </c>
      <c r="G757" s="1">
        <v>1</v>
      </c>
      <c r="H757" s="1">
        <v>3</v>
      </c>
      <c r="I757" s="1">
        <v>0</v>
      </c>
      <c r="J757" s="1">
        <v>1</v>
      </c>
      <c r="K757" s="1">
        <v>0</v>
      </c>
      <c r="L757" s="1">
        <v>16774</v>
      </c>
      <c r="M757" s="1">
        <v>1</v>
      </c>
    </row>
    <row r="758" spans="2:13" x14ac:dyDescent="0.25">
      <c r="B758" s="1">
        <v>0</v>
      </c>
      <c r="C758" s="1">
        <v>0</v>
      </c>
      <c r="D758" s="1">
        <v>0.96</v>
      </c>
      <c r="E758" s="1">
        <v>0.04</v>
      </c>
      <c r="F758" s="1">
        <v>54</v>
      </c>
      <c r="G758" s="1">
        <v>1</v>
      </c>
      <c r="H758" s="1">
        <v>4</v>
      </c>
      <c r="I758" s="1">
        <v>5</v>
      </c>
      <c r="J758" s="1">
        <v>3</v>
      </c>
      <c r="K758" s="1">
        <v>0</v>
      </c>
      <c r="L758" s="1">
        <v>29217</v>
      </c>
      <c r="M758" s="1">
        <v>1</v>
      </c>
    </row>
    <row r="759" spans="2:13" x14ac:dyDescent="0.25">
      <c r="B759" s="1">
        <v>0</v>
      </c>
      <c r="C759" s="1">
        <v>0</v>
      </c>
      <c r="D759" s="1">
        <v>0.96</v>
      </c>
      <c r="E759" s="1">
        <v>0.04</v>
      </c>
      <c r="F759" s="1">
        <v>54</v>
      </c>
      <c r="G759" s="1">
        <v>0</v>
      </c>
      <c r="H759" s="1">
        <v>6</v>
      </c>
      <c r="I759" s="1">
        <v>3</v>
      </c>
      <c r="J759" s="1">
        <v>2</v>
      </c>
      <c r="K759" s="1">
        <v>0</v>
      </c>
      <c r="L759" s="1">
        <v>19138</v>
      </c>
      <c r="M759" s="1">
        <v>1</v>
      </c>
    </row>
    <row r="760" spans="2:13" x14ac:dyDescent="0.25">
      <c r="B760" s="1">
        <v>0</v>
      </c>
      <c r="C760" s="1">
        <v>0</v>
      </c>
      <c r="D760" s="1">
        <v>0.96</v>
      </c>
      <c r="E760" s="1">
        <v>0.04</v>
      </c>
      <c r="F760" s="1">
        <v>54</v>
      </c>
      <c r="G760" s="1">
        <v>1</v>
      </c>
      <c r="H760" s="1">
        <v>2</v>
      </c>
      <c r="I760" s="1">
        <v>0</v>
      </c>
      <c r="J760" s="1">
        <v>1</v>
      </c>
      <c r="K760" s="1">
        <v>0</v>
      </c>
      <c r="L760" s="1">
        <v>10349</v>
      </c>
      <c r="M760" s="1">
        <v>1</v>
      </c>
    </row>
    <row r="761" spans="2:13" x14ac:dyDescent="0.25">
      <c r="B761" s="1">
        <v>0</v>
      </c>
      <c r="C761" s="1">
        <v>0</v>
      </c>
      <c r="D761" s="1">
        <v>0.96</v>
      </c>
      <c r="E761" s="1">
        <v>0.04</v>
      </c>
      <c r="F761" s="1">
        <v>54</v>
      </c>
      <c r="G761" s="1">
        <v>0</v>
      </c>
      <c r="H761" s="1">
        <v>4</v>
      </c>
      <c r="I761" s="1">
        <v>2</v>
      </c>
      <c r="J761" s="1">
        <v>1</v>
      </c>
      <c r="K761" s="1">
        <v>0</v>
      </c>
      <c r="L761" s="1">
        <v>37703</v>
      </c>
      <c r="M761" s="1">
        <v>1</v>
      </c>
    </row>
    <row r="762" spans="2:13" x14ac:dyDescent="0.25">
      <c r="B762" s="17">
        <v>1</v>
      </c>
      <c r="C762" s="17">
        <v>0</v>
      </c>
      <c r="D762" s="17">
        <v>9.5238095238095233E-2</v>
      </c>
      <c r="E762" s="17">
        <v>0.90476190476190477</v>
      </c>
      <c r="F762" s="17">
        <v>53</v>
      </c>
      <c r="G762" s="17">
        <v>1</v>
      </c>
      <c r="H762" s="17">
        <v>2</v>
      </c>
      <c r="I762" s="17">
        <v>1</v>
      </c>
      <c r="J762" s="17">
        <v>2</v>
      </c>
      <c r="K762" s="17">
        <v>0</v>
      </c>
      <c r="L762" s="17">
        <v>24048</v>
      </c>
      <c r="M762" s="17">
        <v>1</v>
      </c>
    </row>
    <row r="763" spans="2:13" x14ac:dyDescent="0.25">
      <c r="B763" s="1">
        <v>0</v>
      </c>
      <c r="C763" s="1">
        <v>0</v>
      </c>
      <c r="D763" s="1">
        <v>0.96551724137931039</v>
      </c>
      <c r="E763" s="1">
        <v>3.4482758620689655E-2</v>
      </c>
      <c r="F763" s="1">
        <v>52</v>
      </c>
      <c r="G763" s="1">
        <v>1</v>
      </c>
      <c r="H763" s="1">
        <v>7</v>
      </c>
      <c r="I763" s="1">
        <v>2</v>
      </c>
      <c r="J763" s="1">
        <v>0</v>
      </c>
      <c r="K763" s="1">
        <v>0</v>
      </c>
      <c r="L763" s="1">
        <v>10809</v>
      </c>
      <c r="M763" s="1">
        <v>0</v>
      </c>
    </row>
    <row r="764" spans="2:13" x14ac:dyDescent="0.25">
      <c r="B764" s="1">
        <v>0</v>
      </c>
      <c r="C764" s="1">
        <v>0</v>
      </c>
      <c r="D764" s="1">
        <v>0.96551724137931039</v>
      </c>
      <c r="E764" s="1">
        <v>3.4482758620689655E-2</v>
      </c>
      <c r="F764" s="1">
        <v>52</v>
      </c>
      <c r="G764" s="1">
        <v>0</v>
      </c>
      <c r="H764" s="1">
        <v>2</v>
      </c>
      <c r="I764" s="1">
        <v>4</v>
      </c>
      <c r="J764" s="1">
        <v>0</v>
      </c>
      <c r="K764" s="1">
        <v>0</v>
      </c>
      <c r="L764" s="1">
        <v>5819</v>
      </c>
      <c r="M764" s="1">
        <v>0</v>
      </c>
    </row>
    <row r="765" spans="2:13" x14ac:dyDescent="0.25">
      <c r="B765" s="1">
        <v>0</v>
      </c>
      <c r="C765" s="1">
        <v>0</v>
      </c>
      <c r="D765" s="1">
        <v>0.96551724137931039</v>
      </c>
      <c r="E765" s="1">
        <v>3.4482758620689655E-2</v>
      </c>
      <c r="F765" s="1">
        <v>52</v>
      </c>
      <c r="G765" s="1">
        <v>0</v>
      </c>
      <c r="H765" s="1">
        <v>9</v>
      </c>
      <c r="I765" s="1">
        <v>4</v>
      </c>
      <c r="J765" s="1">
        <v>0</v>
      </c>
      <c r="K765" s="1">
        <v>0</v>
      </c>
      <c r="L765" s="1">
        <v>17727</v>
      </c>
      <c r="M765" s="1">
        <v>0</v>
      </c>
    </row>
    <row r="766" spans="2:13" x14ac:dyDescent="0.25">
      <c r="B766" s="1">
        <v>0</v>
      </c>
      <c r="C766" s="1">
        <v>0</v>
      </c>
      <c r="D766" s="1">
        <v>0.96551724137931039</v>
      </c>
      <c r="E766" s="1">
        <v>3.4482758620689655E-2</v>
      </c>
      <c r="F766" s="1">
        <v>52</v>
      </c>
      <c r="G766" s="1">
        <v>0</v>
      </c>
      <c r="H766" s="1">
        <v>2</v>
      </c>
      <c r="I766" s="1">
        <v>3</v>
      </c>
      <c r="J766" s="1">
        <v>0</v>
      </c>
      <c r="K766" s="1">
        <v>0</v>
      </c>
      <c r="L766" s="1">
        <v>10113</v>
      </c>
      <c r="M766" s="1">
        <v>0</v>
      </c>
    </row>
    <row r="767" spans="2:13" x14ac:dyDescent="0.25">
      <c r="B767" s="1">
        <v>0</v>
      </c>
      <c r="C767" s="1">
        <v>0</v>
      </c>
      <c r="D767" s="1">
        <v>0.96551724137931039</v>
      </c>
      <c r="E767" s="1">
        <v>3.4482758620689655E-2</v>
      </c>
      <c r="F767" s="1">
        <v>52</v>
      </c>
      <c r="G767" s="1">
        <v>1</v>
      </c>
      <c r="H767" s="1">
        <v>3</v>
      </c>
      <c r="I767" s="1">
        <v>3</v>
      </c>
      <c r="J767" s="1">
        <v>0</v>
      </c>
      <c r="K767" s="1">
        <v>0</v>
      </c>
      <c r="L767" s="1">
        <v>20713</v>
      </c>
      <c r="M767" s="1">
        <v>0</v>
      </c>
    </row>
    <row r="768" spans="2:13" x14ac:dyDescent="0.25">
      <c r="B768" s="1">
        <v>0</v>
      </c>
      <c r="C768" s="1">
        <v>0</v>
      </c>
      <c r="D768" s="1">
        <v>0.61538461538461542</v>
      </c>
      <c r="E768" s="1">
        <v>0.38461538461538464</v>
      </c>
      <c r="F768" s="1">
        <v>52</v>
      </c>
      <c r="G768" s="1">
        <v>0</v>
      </c>
      <c r="H768" s="1">
        <v>4</v>
      </c>
      <c r="I768" s="1">
        <v>4</v>
      </c>
      <c r="J768" s="1">
        <v>1</v>
      </c>
      <c r="K768" s="1">
        <v>0</v>
      </c>
      <c r="L768" s="1">
        <v>24285</v>
      </c>
      <c r="M768" s="1">
        <v>0</v>
      </c>
    </row>
    <row r="769" spans="2:13" x14ac:dyDescent="0.25">
      <c r="B769" s="1">
        <v>0</v>
      </c>
      <c r="C769" s="1">
        <v>0</v>
      </c>
      <c r="D769" s="1">
        <v>0.96551724137931039</v>
      </c>
      <c r="E769" s="1">
        <v>3.4482758620689655E-2</v>
      </c>
      <c r="F769" s="1">
        <v>52</v>
      </c>
      <c r="G769" s="1">
        <v>0</v>
      </c>
      <c r="H769" s="1">
        <v>2</v>
      </c>
      <c r="I769" s="1">
        <v>4</v>
      </c>
      <c r="J769" s="1">
        <v>0</v>
      </c>
      <c r="K769" s="1">
        <v>0</v>
      </c>
      <c r="L769" s="1">
        <v>9177</v>
      </c>
      <c r="M769" s="1">
        <v>0</v>
      </c>
    </row>
    <row r="770" spans="2:13" x14ac:dyDescent="0.25">
      <c r="B770" s="1">
        <v>0</v>
      </c>
      <c r="C770" s="1">
        <v>0</v>
      </c>
      <c r="D770" s="1">
        <v>0.96551724137931039</v>
      </c>
      <c r="E770" s="1">
        <v>3.4482758620689655E-2</v>
      </c>
      <c r="F770" s="1">
        <v>52</v>
      </c>
      <c r="G770" s="1">
        <v>0</v>
      </c>
      <c r="H770" s="1">
        <v>5</v>
      </c>
      <c r="I770" s="1">
        <v>4</v>
      </c>
      <c r="J770" s="1">
        <v>0</v>
      </c>
      <c r="K770" s="1">
        <v>0</v>
      </c>
      <c r="L770" s="1">
        <v>20726</v>
      </c>
      <c r="M770" s="1">
        <v>0</v>
      </c>
    </row>
    <row r="771" spans="2:13" x14ac:dyDescent="0.25">
      <c r="B771" s="1">
        <v>0</v>
      </c>
      <c r="C771" s="1">
        <v>0</v>
      </c>
      <c r="D771" s="1">
        <v>0.96551724137931039</v>
      </c>
      <c r="E771" s="1">
        <v>3.4482758620689655E-2</v>
      </c>
      <c r="F771" s="1">
        <v>52</v>
      </c>
      <c r="G771" s="1">
        <v>0</v>
      </c>
      <c r="H771" s="1">
        <v>4</v>
      </c>
      <c r="I771" s="1">
        <v>3</v>
      </c>
      <c r="J771" s="1">
        <v>0</v>
      </c>
      <c r="K771" s="1">
        <v>0</v>
      </c>
      <c r="L771" s="1">
        <v>16284</v>
      </c>
      <c r="M771" s="1">
        <v>0</v>
      </c>
    </row>
    <row r="772" spans="2:13" x14ac:dyDescent="0.25">
      <c r="B772" s="1">
        <v>0</v>
      </c>
      <c r="C772" s="1">
        <v>0</v>
      </c>
      <c r="D772" s="1">
        <v>0.96551724137931039</v>
      </c>
      <c r="E772" s="1">
        <v>3.4482758620689655E-2</v>
      </c>
      <c r="F772" s="1">
        <v>52</v>
      </c>
      <c r="G772" s="1">
        <v>1</v>
      </c>
      <c r="H772" s="1">
        <v>9</v>
      </c>
      <c r="I772" s="1">
        <v>3</v>
      </c>
      <c r="J772" s="1">
        <v>0</v>
      </c>
      <c r="K772" s="1">
        <v>0</v>
      </c>
      <c r="L772" s="1">
        <v>33955</v>
      </c>
      <c r="M772" s="1">
        <v>0</v>
      </c>
    </row>
    <row r="773" spans="2:13" x14ac:dyDescent="0.25">
      <c r="B773" s="1">
        <v>0</v>
      </c>
      <c r="C773" s="1">
        <v>0</v>
      </c>
      <c r="D773" s="1">
        <v>0.96551724137931039</v>
      </c>
      <c r="E773" s="1">
        <v>3.4482758620689655E-2</v>
      </c>
      <c r="F773" s="1">
        <v>52</v>
      </c>
      <c r="G773" s="1">
        <v>0</v>
      </c>
      <c r="H773" s="1">
        <v>2</v>
      </c>
      <c r="I773" s="1">
        <v>7</v>
      </c>
      <c r="J773" s="1">
        <v>0</v>
      </c>
      <c r="K773" s="1">
        <v>0</v>
      </c>
      <c r="L773" s="1">
        <v>11200</v>
      </c>
      <c r="M773" s="1">
        <v>0</v>
      </c>
    </row>
    <row r="774" spans="2:13" x14ac:dyDescent="0.25">
      <c r="B774" s="1">
        <v>0</v>
      </c>
      <c r="C774" s="1">
        <v>0</v>
      </c>
      <c r="D774" s="1">
        <v>0.96551724137931039</v>
      </c>
      <c r="E774" s="1">
        <v>3.4482758620689655E-2</v>
      </c>
      <c r="F774" s="1">
        <v>52</v>
      </c>
      <c r="G774" s="1">
        <v>0</v>
      </c>
      <c r="H774" s="1">
        <v>4</v>
      </c>
      <c r="I774" s="1">
        <v>3</v>
      </c>
      <c r="J774" s="1">
        <v>0</v>
      </c>
      <c r="K774" s="1">
        <v>0</v>
      </c>
      <c r="L774" s="1">
        <v>7854</v>
      </c>
      <c r="M774" s="1">
        <v>0</v>
      </c>
    </row>
    <row r="775" spans="2:13" x14ac:dyDescent="0.25">
      <c r="B775" s="1">
        <v>0</v>
      </c>
      <c r="C775" s="1">
        <v>0</v>
      </c>
      <c r="D775" s="1">
        <v>0.61538461538461542</v>
      </c>
      <c r="E775" s="1">
        <v>0.38461538461538464</v>
      </c>
      <c r="F775" s="1">
        <v>52</v>
      </c>
      <c r="G775" s="1">
        <v>1</v>
      </c>
      <c r="H775" s="1">
        <v>5</v>
      </c>
      <c r="I775" s="1">
        <v>8</v>
      </c>
      <c r="J775" s="1">
        <v>2</v>
      </c>
      <c r="K775" s="1">
        <v>0</v>
      </c>
      <c r="L775" s="1">
        <v>17174</v>
      </c>
      <c r="M775" s="1">
        <v>0</v>
      </c>
    </row>
    <row r="776" spans="2:13" x14ac:dyDescent="0.25">
      <c r="B776" s="1">
        <v>0</v>
      </c>
      <c r="C776" s="1">
        <v>0</v>
      </c>
      <c r="D776" s="1">
        <v>0.96551724137931039</v>
      </c>
      <c r="E776" s="1">
        <v>3.4482758620689655E-2</v>
      </c>
      <c r="F776" s="1">
        <v>52</v>
      </c>
      <c r="G776" s="1">
        <v>0</v>
      </c>
      <c r="H776" s="1">
        <v>1</v>
      </c>
      <c r="I776" s="1">
        <v>2</v>
      </c>
      <c r="J776" s="1">
        <v>0</v>
      </c>
      <c r="K776" s="1">
        <v>0</v>
      </c>
      <c r="L776" s="1">
        <v>4140</v>
      </c>
      <c r="M776" s="1">
        <v>0</v>
      </c>
    </row>
    <row r="777" spans="2:13" x14ac:dyDescent="0.25">
      <c r="B777" s="1">
        <v>0</v>
      </c>
      <c r="C777" s="1">
        <v>0</v>
      </c>
      <c r="D777" s="1">
        <v>0.96551724137931039</v>
      </c>
      <c r="E777" s="1">
        <v>3.4482758620689655E-2</v>
      </c>
      <c r="F777" s="1">
        <v>52</v>
      </c>
      <c r="G777" s="1">
        <v>1</v>
      </c>
      <c r="H777" s="1">
        <v>7</v>
      </c>
      <c r="I777" s="1">
        <v>6</v>
      </c>
      <c r="J777" s="1">
        <v>0</v>
      </c>
      <c r="K777" s="1">
        <v>0</v>
      </c>
      <c r="L777" s="1">
        <v>18355</v>
      </c>
      <c r="M777" s="1">
        <v>0</v>
      </c>
    </row>
    <row r="778" spans="2:13" x14ac:dyDescent="0.25">
      <c r="B778" s="1">
        <v>0</v>
      </c>
      <c r="C778" s="1">
        <v>0</v>
      </c>
      <c r="D778" s="1">
        <v>0.96551724137931039</v>
      </c>
      <c r="E778" s="1">
        <v>3.4482758620689655E-2</v>
      </c>
      <c r="F778" s="1">
        <v>52</v>
      </c>
      <c r="G778" s="1">
        <v>1</v>
      </c>
      <c r="H778" s="1">
        <v>5</v>
      </c>
      <c r="I778" s="1">
        <v>3</v>
      </c>
      <c r="J778" s="1">
        <v>0</v>
      </c>
      <c r="K778" s="1">
        <v>0</v>
      </c>
      <c r="L778" s="1">
        <v>11223</v>
      </c>
      <c r="M778" s="1">
        <v>0</v>
      </c>
    </row>
    <row r="779" spans="2:13" x14ac:dyDescent="0.25">
      <c r="B779" s="1">
        <v>0</v>
      </c>
      <c r="C779" s="1">
        <v>0</v>
      </c>
      <c r="D779" s="1">
        <v>0.61538461538461542</v>
      </c>
      <c r="E779" s="1">
        <v>0.38461538461538464</v>
      </c>
      <c r="F779" s="1">
        <v>52</v>
      </c>
      <c r="G779" s="1">
        <v>0</v>
      </c>
      <c r="H779" s="1">
        <v>2</v>
      </c>
      <c r="I779" s="1">
        <v>3</v>
      </c>
      <c r="J779" s="1">
        <v>2</v>
      </c>
      <c r="K779" s="1">
        <v>0</v>
      </c>
      <c r="L779" s="1">
        <v>16922</v>
      </c>
      <c r="M779" s="1">
        <v>1</v>
      </c>
    </row>
    <row r="780" spans="2:13" x14ac:dyDescent="0.25">
      <c r="B780" s="1">
        <v>0</v>
      </c>
      <c r="C780" s="1">
        <v>0</v>
      </c>
      <c r="D780" s="1">
        <v>0.61538461538461542</v>
      </c>
      <c r="E780" s="1">
        <v>0.38461538461538464</v>
      </c>
      <c r="F780" s="1">
        <v>52</v>
      </c>
      <c r="G780" s="1">
        <v>0</v>
      </c>
      <c r="H780" s="1">
        <v>11</v>
      </c>
      <c r="I780" s="1">
        <v>0</v>
      </c>
      <c r="J780" s="1">
        <v>1</v>
      </c>
      <c r="K780" s="1">
        <v>0</v>
      </c>
      <c r="L780" s="1">
        <v>138981</v>
      </c>
      <c r="M780" s="1">
        <v>1</v>
      </c>
    </row>
    <row r="781" spans="2:13" x14ac:dyDescent="0.25">
      <c r="B781" s="1">
        <v>0</v>
      </c>
      <c r="C781" s="1">
        <v>0</v>
      </c>
      <c r="D781" s="1">
        <v>0.96551724137931039</v>
      </c>
      <c r="E781" s="1">
        <v>3.4482758620689655E-2</v>
      </c>
      <c r="F781" s="1">
        <v>51</v>
      </c>
      <c r="G781" s="1">
        <v>1</v>
      </c>
      <c r="H781" s="1">
        <v>26</v>
      </c>
      <c r="I781" s="1">
        <v>7</v>
      </c>
      <c r="J781" s="1">
        <v>0</v>
      </c>
      <c r="K781" s="1">
        <v>0</v>
      </c>
      <c r="L781" s="1">
        <v>43360</v>
      </c>
      <c r="M781" s="1">
        <v>0</v>
      </c>
    </row>
    <row r="782" spans="2:13" x14ac:dyDescent="0.25">
      <c r="B782" s="1">
        <v>0</v>
      </c>
      <c r="C782" s="1">
        <v>0</v>
      </c>
      <c r="D782" s="1">
        <v>0.96551724137931039</v>
      </c>
      <c r="E782" s="1">
        <v>3.4482758620689655E-2</v>
      </c>
      <c r="F782" s="1">
        <v>51</v>
      </c>
      <c r="G782" s="1">
        <v>1</v>
      </c>
      <c r="H782" s="1">
        <v>6</v>
      </c>
      <c r="I782" s="1">
        <v>2</v>
      </c>
      <c r="J782" s="1">
        <v>0</v>
      </c>
      <c r="K782" s="1">
        <v>0</v>
      </c>
      <c r="L782" s="1">
        <v>29239</v>
      </c>
      <c r="M782" s="1">
        <v>0</v>
      </c>
    </row>
    <row r="783" spans="2:13" x14ac:dyDescent="0.25">
      <c r="B783" s="1">
        <v>0</v>
      </c>
      <c r="C783" s="1">
        <v>0</v>
      </c>
      <c r="D783" s="1">
        <v>0.96551724137931039</v>
      </c>
      <c r="E783" s="1">
        <v>3.4482758620689655E-2</v>
      </c>
      <c r="F783" s="1">
        <v>51</v>
      </c>
      <c r="G783" s="1">
        <v>1</v>
      </c>
      <c r="H783" s="1">
        <v>5</v>
      </c>
      <c r="I783" s="1">
        <v>5</v>
      </c>
      <c r="J783" s="1">
        <v>0</v>
      </c>
      <c r="K783" s="1">
        <v>0</v>
      </c>
      <c r="L783" s="1">
        <v>6838</v>
      </c>
      <c r="M783" s="1">
        <v>0</v>
      </c>
    </row>
    <row r="784" spans="2:13" x14ac:dyDescent="0.25">
      <c r="B784" s="1">
        <v>0</v>
      </c>
      <c r="C784" s="1">
        <v>0</v>
      </c>
      <c r="D784" s="1">
        <v>0.96551724137931039</v>
      </c>
      <c r="E784" s="1">
        <v>3.4482758620689655E-2</v>
      </c>
      <c r="F784" s="1">
        <v>51</v>
      </c>
      <c r="G784" s="1">
        <v>0</v>
      </c>
      <c r="H784" s="1">
        <v>2</v>
      </c>
      <c r="I784" s="1">
        <v>7</v>
      </c>
      <c r="J784" s="1">
        <v>0</v>
      </c>
      <c r="K784" s="1">
        <v>0</v>
      </c>
      <c r="L784" s="1">
        <v>14492</v>
      </c>
      <c r="M784" s="1">
        <v>0</v>
      </c>
    </row>
    <row r="785" spans="2:13" x14ac:dyDescent="0.25">
      <c r="B785" s="1">
        <v>0</v>
      </c>
      <c r="C785" s="1">
        <v>0</v>
      </c>
      <c r="D785" s="1">
        <v>0.96551724137931039</v>
      </c>
      <c r="E785" s="1">
        <v>3.4482758620689655E-2</v>
      </c>
      <c r="F785" s="1">
        <v>51</v>
      </c>
      <c r="G785" s="1">
        <v>0</v>
      </c>
      <c r="H785" s="1">
        <v>5</v>
      </c>
      <c r="I785" s="1">
        <v>4</v>
      </c>
      <c r="J785" s="1">
        <v>0</v>
      </c>
      <c r="K785" s="1">
        <v>0</v>
      </c>
      <c r="L785" s="1">
        <v>22349</v>
      </c>
      <c r="M785" s="1">
        <v>0</v>
      </c>
    </row>
    <row r="786" spans="2:13" x14ac:dyDescent="0.25">
      <c r="B786" s="1">
        <v>0</v>
      </c>
      <c r="C786" s="1">
        <v>0</v>
      </c>
      <c r="D786" s="1">
        <v>0.96551724137931039</v>
      </c>
      <c r="E786" s="1">
        <v>3.4482758620689655E-2</v>
      </c>
      <c r="F786" s="1">
        <v>51</v>
      </c>
      <c r="G786" s="1">
        <v>0</v>
      </c>
      <c r="H786" s="1">
        <v>4</v>
      </c>
      <c r="I786" s="1">
        <v>4</v>
      </c>
      <c r="J786" s="1">
        <v>0</v>
      </c>
      <c r="K786" s="1">
        <v>0</v>
      </c>
      <c r="L786" s="1">
        <v>8995</v>
      </c>
      <c r="M786" s="1">
        <v>0</v>
      </c>
    </row>
    <row r="787" spans="2:13" x14ac:dyDescent="0.25">
      <c r="B787" s="1">
        <v>0</v>
      </c>
      <c r="C787" s="1">
        <v>0</v>
      </c>
      <c r="D787" s="1">
        <v>0.61538461538461542</v>
      </c>
      <c r="E787" s="1">
        <v>0.38461538461538464</v>
      </c>
      <c r="F787" s="1">
        <v>51</v>
      </c>
      <c r="G787" s="1">
        <v>0</v>
      </c>
      <c r="H787" s="1">
        <v>9</v>
      </c>
      <c r="I787" s="1">
        <v>2</v>
      </c>
      <c r="J787" s="1">
        <v>1</v>
      </c>
      <c r="K787" s="1">
        <v>0</v>
      </c>
      <c r="L787" s="1">
        <v>31721</v>
      </c>
      <c r="M787" s="1">
        <v>0</v>
      </c>
    </row>
    <row r="788" spans="2:13" x14ac:dyDescent="0.25">
      <c r="B788" s="1">
        <v>0</v>
      </c>
      <c r="C788" s="1">
        <v>0</v>
      </c>
      <c r="D788" s="1">
        <v>0.96551724137931039</v>
      </c>
      <c r="E788" s="1">
        <v>3.4482758620689655E-2</v>
      </c>
      <c r="F788" s="1">
        <v>51</v>
      </c>
      <c r="G788" s="1">
        <v>0</v>
      </c>
      <c r="H788" s="1">
        <v>10</v>
      </c>
      <c r="I788" s="1">
        <v>5</v>
      </c>
      <c r="J788" s="1">
        <v>0</v>
      </c>
      <c r="K788" s="1">
        <v>0</v>
      </c>
      <c r="L788" s="1">
        <v>13553</v>
      </c>
      <c r="M788" s="1">
        <v>0</v>
      </c>
    </row>
    <row r="789" spans="2:13" x14ac:dyDescent="0.25">
      <c r="B789" s="1">
        <v>0</v>
      </c>
      <c r="C789" s="1">
        <v>0</v>
      </c>
      <c r="D789" s="1">
        <v>0.96551724137931039</v>
      </c>
      <c r="E789" s="1">
        <v>3.4482758620689655E-2</v>
      </c>
      <c r="F789" s="1">
        <v>51</v>
      </c>
      <c r="G789" s="1">
        <v>0</v>
      </c>
      <c r="H789" s="1">
        <v>5</v>
      </c>
      <c r="I789" s="1">
        <v>2</v>
      </c>
      <c r="J789" s="1">
        <v>0</v>
      </c>
      <c r="K789" s="1">
        <v>0</v>
      </c>
      <c r="L789" s="1">
        <v>16399</v>
      </c>
      <c r="M789" s="1">
        <v>0</v>
      </c>
    </row>
    <row r="790" spans="2:13" x14ac:dyDescent="0.25">
      <c r="B790" s="1">
        <v>0</v>
      </c>
      <c r="C790" s="1">
        <v>0</v>
      </c>
      <c r="D790" s="1">
        <v>0.96551724137931039</v>
      </c>
      <c r="E790" s="1">
        <v>3.4482758620689655E-2</v>
      </c>
      <c r="F790" s="1">
        <v>51</v>
      </c>
      <c r="G790" s="1">
        <v>0</v>
      </c>
      <c r="H790" s="1">
        <v>3</v>
      </c>
      <c r="I790" s="1">
        <v>4</v>
      </c>
      <c r="J790" s="1">
        <v>0</v>
      </c>
      <c r="K790" s="1">
        <v>0</v>
      </c>
      <c r="L790" s="1">
        <v>13770</v>
      </c>
      <c r="M790" s="1">
        <v>0</v>
      </c>
    </row>
    <row r="791" spans="2:13" x14ac:dyDescent="0.25">
      <c r="B791" s="1">
        <v>0</v>
      </c>
      <c r="C791" s="1">
        <v>0</v>
      </c>
      <c r="D791" s="1">
        <v>0.96551724137931039</v>
      </c>
      <c r="E791" s="1">
        <v>3.4482758620689655E-2</v>
      </c>
      <c r="F791" s="1">
        <v>51</v>
      </c>
      <c r="G791" s="1">
        <v>0</v>
      </c>
      <c r="H791" s="1">
        <v>4</v>
      </c>
      <c r="I791" s="1">
        <v>1</v>
      </c>
      <c r="J791" s="1">
        <v>0</v>
      </c>
      <c r="K791" s="1">
        <v>0</v>
      </c>
      <c r="L791" s="1">
        <v>13082</v>
      </c>
      <c r="M791" s="1">
        <v>0</v>
      </c>
    </row>
    <row r="792" spans="2:13" x14ac:dyDescent="0.25">
      <c r="B792" s="1">
        <v>0</v>
      </c>
      <c r="C792" s="1">
        <v>0</v>
      </c>
      <c r="D792" s="1">
        <v>0.96551724137931039</v>
      </c>
      <c r="E792" s="1">
        <v>3.4482758620689655E-2</v>
      </c>
      <c r="F792" s="1">
        <v>51</v>
      </c>
      <c r="G792" s="1">
        <v>1</v>
      </c>
      <c r="H792" s="1">
        <v>1</v>
      </c>
      <c r="I792" s="1">
        <v>3</v>
      </c>
      <c r="J792" s="1">
        <v>0</v>
      </c>
      <c r="K792" s="1">
        <v>0</v>
      </c>
      <c r="L792" s="1">
        <v>13045</v>
      </c>
      <c r="M792" s="1">
        <v>0</v>
      </c>
    </row>
    <row r="793" spans="2:13" x14ac:dyDescent="0.25">
      <c r="B793" s="1">
        <v>0</v>
      </c>
      <c r="C793" s="1">
        <v>0</v>
      </c>
      <c r="D793" s="1">
        <v>0.96551724137931039</v>
      </c>
      <c r="E793" s="1">
        <v>3.4482758620689655E-2</v>
      </c>
      <c r="F793" s="1">
        <v>51</v>
      </c>
      <c r="G793" s="1">
        <v>0</v>
      </c>
      <c r="H793" s="1">
        <v>2</v>
      </c>
      <c r="I793" s="1">
        <v>1</v>
      </c>
      <c r="J793" s="1">
        <v>0</v>
      </c>
      <c r="K793" s="1">
        <v>0</v>
      </c>
      <c r="L793" s="1">
        <v>4153</v>
      </c>
      <c r="M793" s="1">
        <v>0</v>
      </c>
    </row>
    <row r="794" spans="2:13" x14ac:dyDescent="0.25">
      <c r="B794" s="1">
        <v>0</v>
      </c>
      <c r="C794" s="1">
        <v>0</v>
      </c>
      <c r="D794" s="1">
        <v>0.61538461538461542</v>
      </c>
      <c r="E794" s="1">
        <v>0.38461538461538464</v>
      </c>
      <c r="F794" s="1">
        <v>51</v>
      </c>
      <c r="G794" s="1">
        <v>0</v>
      </c>
      <c r="H794" s="1">
        <v>4</v>
      </c>
      <c r="I794" s="1">
        <v>7</v>
      </c>
      <c r="J794" s="1">
        <v>1</v>
      </c>
      <c r="K794" s="1">
        <v>0</v>
      </c>
      <c r="L794" s="1">
        <v>19368</v>
      </c>
      <c r="M794" s="1">
        <v>0</v>
      </c>
    </row>
    <row r="795" spans="2:13" x14ac:dyDescent="0.25">
      <c r="B795" s="17">
        <v>1</v>
      </c>
      <c r="C795" s="17">
        <v>0</v>
      </c>
      <c r="D795" s="17">
        <v>0.30769230769230771</v>
      </c>
      <c r="E795" s="17">
        <v>0.69230769230769229</v>
      </c>
      <c r="F795" s="17">
        <v>50</v>
      </c>
      <c r="G795" s="17">
        <v>0</v>
      </c>
      <c r="H795" s="17">
        <v>4</v>
      </c>
      <c r="I795" s="17">
        <v>2</v>
      </c>
      <c r="J795" s="17">
        <v>1</v>
      </c>
      <c r="K795" s="17">
        <v>0</v>
      </c>
      <c r="L795" s="17">
        <v>20143</v>
      </c>
      <c r="M795" s="17">
        <v>1</v>
      </c>
    </row>
    <row r="796" spans="2:13" x14ac:dyDescent="0.25">
      <c r="B796" s="17">
        <v>1</v>
      </c>
      <c r="C796" s="17">
        <v>0</v>
      </c>
      <c r="D796" s="17">
        <v>0.30769230769230771</v>
      </c>
      <c r="E796" s="17">
        <v>0.69230769230769229</v>
      </c>
      <c r="F796" s="17">
        <v>50</v>
      </c>
      <c r="G796" s="17">
        <v>1</v>
      </c>
      <c r="H796" s="17">
        <v>3</v>
      </c>
      <c r="I796" s="17">
        <v>7</v>
      </c>
      <c r="J796" s="17">
        <v>2</v>
      </c>
      <c r="K796" s="17">
        <v>0</v>
      </c>
      <c r="L796" s="17">
        <v>22250</v>
      </c>
      <c r="M796" s="17">
        <v>1</v>
      </c>
    </row>
    <row r="797" spans="2:13" x14ac:dyDescent="0.25">
      <c r="B797" s="17">
        <v>1</v>
      </c>
      <c r="C797" s="17">
        <v>0</v>
      </c>
      <c r="D797" s="17">
        <v>0.30769230769230771</v>
      </c>
      <c r="E797" s="17">
        <v>0.69230769230769229</v>
      </c>
      <c r="F797" s="17">
        <v>50</v>
      </c>
      <c r="G797" s="17">
        <v>1</v>
      </c>
      <c r="H797" s="17">
        <v>2</v>
      </c>
      <c r="I797" s="17">
        <v>2</v>
      </c>
      <c r="J797" s="17">
        <v>1</v>
      </c>
      <c r="K797" s="17">
        <v>0</v>
      </c>
      <c r="L797" s="17">
        <v>11400</v>
      </c>
      <c r="M797" s="17">
        <v>1</v>
      </c>
    </row>
    <row r="798" spans="2:13" x14ac:dyDescent="0.25">
      <c r="B798" s="17">
        <v>1</v>
      </c>
      <c r="C798" s="17">
        <v>0</v>
      </c>
      <c r="D798" s="17">
        <v>0.30769230769230771</v>
      </c>
      <c r="E798" s="17">
        <v>0.69230769230769229</v>
      </c>
      <c r="F798" s="17">
        <v>50</v>
      </c>
      <c r="G798" s="17">
        <v>1</v>
      </c>
      <c r="H798" s="17">
        <v>5</v>
      </c>
      <c r="I798" s="17">
        <v>8</v>
      </c>
      <c r="J798" s="17">
        <v>1</v>
      </c>
      <c r="K798" s="17">
        <v>0</v>
      </c>
      <c r="L798" s="17">
        <v>31154</v>
      </c>
      <c r="M798" s="17">
        <v>1</v>
      </c>
    </row>
    <row r="799" spans="2:13" x14ac:dyDescent="0.25">
      <c r="B799" s="1">
        <v>0</v>
      </c>
      <c r="C799" s="1">
        <v>0</v>
      </c>
      <c r="D799" s="1">
        <v>1</v>
      </c>
      <c r="E799" s="1">
        <v>0</v>
      </c>
      <c r="F799" s="1">
        <v>49</v>
      </c>
      <c r="G799" s="1">
        <v>1</v>
      </c>
      <c r="H799" s="1">
        <v>2</v>
      </c>
      <c r="I799" s="1">
        <v>2</v>
      </c>
      <c r="J799" s="1">
        <v>0</v>
      </c>
      <c r="K799" s="1">
        <v>0</v>
      </c>
      <c r="L799" s="1">
        <v>11257</v>
      </c>
      <c r="M799" s="1">
        <v>0</v>
      </c>
    </row>
    <row r="800" spans="2:13" x14ac:dyDescent="0.25">
      <c r="B800" s="1">
        <v>0</v>
      </c>
      <c r="C800" s="1">
        <v>0</v>
      </c>
      <c r="D800" s="1">
        <v>1</v>
      </c>
      <c r="E800" s="1">
        <v>0</v>
      </c>
      <c r="F800" s="1">
        <v>49</v>
      </c>
      <c r="G800" s="1">
        <v>0</v>
      </c>
      <c r="H800" s="1">
        <v>7</v>
      </c>
      <c r="I800" s="1">
        <v>4</v>
      </c>
      <c r="J800" s="1">
        <v>0</v>
      </c>
      <c r="K800" s="1">
        <v>0</v>
      </c>
      <c r="L800" s="1">
        <v>10253</v>
      </c>
      <c r="M800" s="1">
        <v>0</v>
      </c>
    </row>
    <row r="801" spans="2:13" x14ac:dyDescent="0.25">
      <c r="B801" s="1">
        <v>0</v>
      </c>
      <c r="C801" s="1">
        <v>0</v>
      </c>
      <c r="D801" s="1">
        <v>1</v>
      </c>
      <c r="E801" s="1">
        <v>0</v>
      </c>
      <c r="F801" s="1">
        <v>49</v>
      </c>
      <c r="G801" s="1">
        <v>0</v>
      </c>
      <c r="H801" s="1">
        <v>1</v>
      </c>
      <c r="I801" s="1">
        <v>4</v>
      </c>
      <c r="J801" s="1">
        <v>0</v>
      </c>
      <c r="K801" s="1">
        <v>0</v>
      </c>
      <c r="L801" s="1">
        <v>5401</v>
      </c>
      <c r="M801" s="1">
        <v>0</v>
      </c>
    </row>
    <row r="802" spans="2:13" x14ac:dyDescent="0.25">
      <c r="B802" s="1">
        <v>0</v>
      </c>
      <c r="C802" s="1">
        <v>0</v>
      </c>
      <c r="D802" s="1">
        <v>1</v>
      </c>
      <c r="E802" s="1">
        <v>0</v>
      </c>
      <c r="F802" s="1">
        <v>49</v>
      </c>
      <c r="G802" s="1">
        <v>1</v>
      </c>
      <c r="H802" s="1">
        <v>7</v>
      </c>
      <c r="I802" s="1">
        <v>5</v>
      </c>
      <c r="J802" s="1">
        <v>0</v>
      </c>
      <c r="K802" s="1">
        <v>0</v>
      </c>
      <c r="L802" s="1">
        <v>10942</v>
      </c>
      <c r="M802" s="1">
        <v>0</v>
      </c>
    </row>
    <row r="803" spans="2:13" x14ac:dyDescent="0.25">
      <c r="B803" s="1">
        <v>0</v>
      </c>
      <c r="C803" s="1">
        <v>0</v>
      </c>
      <c r="D803" s="1">
        <v>1</v>
      </c>
      <c r="E803" s="1">
        <v>0</v>
      </c>
      <c r="F803" s="1">
        <v>49</v>
      </c>
      <c r="G803" s="1">
        <v>0</v>
      </c>
      <c r="H803" s="1">
        <v>7</v>
      </c>
      <c r="I803" s="1">
        <v>5</v>
      </c>
      <c r="J803" s="1">
        <v>0</v>
      </c>
      <c r="K803" s="1">
        <v>0</v>
      </c>
      <c r="L803" s="1">
        <v>9984</v>
      </c>
      <c r="M803" s="1">
        <v>0</v>
      </c>
    </row>
    <row r="804" spans="2:13" x14ac:dyDescent="0.25">
      <c r="B804" s="1">
        <v>0</v>
      </c>
      <c r="C804" s="1">
        <v>0</v>
      </c>
      <c r="D804" s="1">
        <v>1</v>
      </c>
      <c r="E804" s="1">
        <v>0</v>
      </c>
      <c r="F804" s="1">
        <v>49</v>
      </c>
      <c r="G804" s="1">
        <v>0</v>
      </c>
      <c r="H804" s="1">
        <v>9</v>
      </c>
      <c r="I804" s="1">
        <v>2</v>
      </c>
      <c r="J804" s="1">
        <v>0</v>
      </c>
      <c r="K804" s="1">
        <v>0</v>
      </c>
      <c r="L804" s="1">
        <v>16132</v>
      </c>
      <c r="M804" s="1">
        <v>0</v>
      </c>
    </row>
    <row r="805" spans="2:13" x14ac:dyDescent="0.25">
      <c r="B805" s="1">
        <v>0</v>
      </c>
      <c r="C805" s="1">
        <v>0</v>
      </c>
      <c r="D805" s="1">
        <v>1</v>
      </c>
      <c r="E805" s="1">
        <v>0</v>
      </c>
      <c r="F805" s="1">
        <v>49</v>
      </c>
      <c r="G805" s="1">
        <v>1</v>
      </c>
      <c r="H805" s="1">
        <v>8</v>
      </c>
      <c r="I805" s="1">
        <v>4</v>
      </c>
      <c r="J805" s="1">
        <v>0</v>
      </c>
      <c r="K805" s="1">
        <v>0</v>
      </c>
      <c r="L805" s="1">
        <v>14336</v>
      </c>
      <c r="M805" s="1">
        <v>0</v>
      </c>
    </row>
    <row r="806" spans="2:13" x14ac:dyDescent="0.25">
      <c r="B806" s="1">
        <v>0</v>
      </c>
      <c r="C806" s="1">
        <v>0</v>
      </c>
      <c r="D806" s="1">
        <v>1</v>
      </c>
      <c r="E806" s="1">
        <v>0</v>
      </c>
      <c r="F806" s="1">
        <v>49</v>
      </c>
      <c r="G806" s="1">
        <v>1</v>
      </c>
      <c r="H806" s="1">
        <v>2</v>
      </c>
      <c r="I806" s="1">
        <v>3</v>
      </c>
      <c r="J806" s="1">
        <v>0</v>
      </c>
      <c r="K806" s="1">
        <v>0</v>
      </c>
      <c r="L806" s="1">
        <v>8797</v>
      </c>
      <c r="M806" s="1">
        <v>0</v>
      </c>
    </row>
    <row r="807" spans="2:13" x14ac:dyDescent="0.25">
      <c r="B807" s="1">
        <v>0</v>
      </c>
      <c r="C807" s="1">
        <v>0</v>
      </c>
      <c r="D807" s="1">
        <v>1</v>
      </c>
      <c r="E807" s="1">
        <v>0</v>
      </c>
      <c r="F807" s="1">
        <v>49</v>
      </c>
      <c r="G807" s="1">
        <v>0</v>
      </c>
      <c r="H807" s="1">
        <v>2</v>
      </c>
      <c r="I807" s="1">
        <v>3</v>
      </c>
      <c r="J807" s="1">
        <v>0</v>
      </c>
      <c r="K807" s="1">
        <v>0</v>
      </c>
      <c r="L807" s="1">
        <v>6971</v>
      </c>
      <c r="M807" s="1">
        <v>0</v>
      </c>
    </row>
    <row r="808" spans="2:13" x14ac:dyDescent="0.25">
      <c r="B808" s="1">
        <v>0</v>
      </c>
      <c r="C808" s="1">
        <v>0</v>
      </c>
      <c r="D808" s="1">
        <v>1</v>
      </c>
      <c r="E808" s="1">
        <v>0</v>
      </c>
      <c r="F808" s="1">
        <v>49</v>
      </c>
      <c r="G808" s="1">
        <v>1</v>
      </c>
      <c r="H808" s="1">
        <v>7</v>
      </c>
      <c r="I808" s="1">
        <v>5</v>
      </c>
      <c r="J808" s="1">
        <v>0</v>
      </c>
      <c r="K808" s="1">
        <v>0</v>
      </c>
      <c r="L808" s="1">
        <v>10793</v>
      </c>
      <c r="M808" s="1">
        <v>0</v>
      </c>
    </row>
    <row r="809" spans="2:13" x14ac:dyDescent="0.25">
      <c r="B809" s="1">
        <v>0</v>
      </c>
      <c r="C809" s="1">
        <v>0</v>
      </c>
      <c r="D809" s="1">
        <v>1</v>
      </c>
      <c r="E809" s="1">
        <v>0</v>
      </c>
      <c r="F809" s="1">
        <v>49</v>
      </c>
      <c r="G809" s="1">
        <v>1</v>
      </c>
      <c r="H809" s="1">
        <v>7</v>
      </c>
      <c r="I809" s="1">
        <v>3</v>
      </c>
      <c r="J809" s="1">
        <v>0</v>
      </c>
      <c r="K809" s="1">
        <v>0</v>
      </c>
      <c r="L809" s="1">
        <v>15824</v>
      </c>
      <c r="M809" s="1">
        <v>0</v>
      </c>
    </row>
    <row r="810" spans="2:13" x14ac:dyDescent="0.25">
      <c r="B810" s="1">
        <v>0</v>
      </c>
      <c r="C810" s="1">
        <v>0</v>
      </c>
      <c r="D810" s="1">
        <v>1</v>
      </c>
      <c r="E810" s="1">
        <v>0</v>
      </c>
      <c r="F810" s="1">
        <v>49</v>
      </c>
      <c r="G810" s="1">
        <v>1</v>
      </c>
      <c r="H810" s="1">
        <v>11</v>
      </c>
      <c r="I810" s="1">
        <v>3</v>
      </c>
      <c r="J810" s="1">
        <v>0</v>
      </c>
      <c r="K810" s="1">
        <v>0</v>
      </c>
      <c r="L810" s="1">
        <v>18787</v>
      </c>
      <c r="M810" s="1">
        <v>0</v>
      </c>
    </row>
    <row r="811" spans="2:13" x14ac:dyDescent="0.25">
      <c r="B811" s="1">
        <v>0</v>
      </c>
      <c r="C811" s="1">
        <v>0</v>
      </c>
      <c r="D811" s="1">
        <v>1</v>
      </c>
      <c r="E811" s="1">
        <v>0</v>
      </c>
      <c r="F811" s="1">
        <v>49</v>
      </c>
      <c r="G811" s="1">
        <v>1</v>
      </c>
      <c r="H811" s="1">
        <v>9</v>
      </c>
      <c r="I811" s="1">
        <v>4</v>
      </c>
      <c r="J811" s="1">
        <v>0</v>
      </c>
      <c r="K811" s="1">
        <v>0</v>
      </c>
      <c r="L811" s="1">
        <v>14917</v>
      </c>
      <c r="M811" s="1">
        <v>0</v>
      </c>
    </row>
    <row r="812" spans="2:13" x14ac:dyDescent="0.25">
      <c r="B812" s="1">
        <v>0</v>
      </c>
      <c r="C812" s="1">
        <v>0</v>
      </c>
      <c r="D812" s="1">
        <v>1</v>
      </c>
      <c r="E812" s="1">
        <v>0</v>
      </c>
      <c r="F812" s="1">
        <v>49</v>
      </c>
      <c r="G812" s="1">
        <v>1</v>
      </c>
      <c r="H812" s="1">
        <v>31</v>
      </c>
      <c r="I812" s="1">
        <v>6</v>
      </c>
      <c r="J812" s="1">
        <v>0</v>
      </c>
      <c r="K812" s="1">
        <v>0</v>
      </c>
      <c r="L812" s="1">
        <v>57042</v>
      </c>
      <c r="M812" s="1">
        <v>0</v>
      </c>
    </row>
    <row r="813" spans="2:13" x14ac:dyDescent="0.25">
      <c r="B813" s="1">
        <v>0</v>
      </c>
      <c r="C813" s="1">
        <v>0</v>
      </c>
      <c r="D813" s="1">
        <v>1</v>
      </c>
      <c r="E813" s="1">
        <v>0</v>
      </c>
      <c r="F813" s="1">
        <v>49</v>
      </c>
      <c r="G813" s="1">
        <v>0</v>
      </c>
      <c r="H813" s="1">
        <v>3</v>
      </c>
      <c r="I813" s="1">
        <v>4</v>
      </c>
      <c r="J813" s="1">
        <v>0</v>
      </c>
      <c r="K813" s="1">
        <v>0</v>
      </c>
      <c r="L813" s="1">
        <v>10621</v>
      </c>
      <c r="M813" s="1">
        <v>0</v>
      </c>
    </row>
    <row r="814" spans="2:13" x14ac:dyDescent="0.25">
      <c r="B814" s="1">
        <v>0</v>
      </c>
      <c r="C814" s="1">
        <v>0</v>
      </c>
      <c r="D814" s="1">
        <v>1</v>
      </c>
      <c r="E814" s="1">
        <v>0</v>
      </c>
      <c r="F814" s="1">
        <v>49</v>
      </c>
      <c r="G814" s="1">
        <v>1</v>
      </c>
      <c r="H814" s="1">
        <v>3</v>
      </c>
      <c r="I814" s="1">
        <v>5</v>
      </c>
      <c r="J814" s="1">
        <v>3</v>
      </c>
      <c r="K814" s="1">
        <v>0</v>
      </c>
      <c r="L814" s="1">
        <v>15862</v>
      </c>
      <c r="M814" s="1">
        <v>0</v>
      </c>
    </row>
    <row r="815" spans="2:13" x14ac:dyDescent="0.25">
      <c r="B815" s="1">
        <v>0</v>
      </c>
      <c r="C815" s="1">
        <v>0</v>
      </c>
      <c r="D815" s="1">
        <v>1</v>
      </c>
      <c r="E815" s="1">
        <v>0</v>
      </c>
      <c r="F815" s="1">
        <v>49</v>
      </c>
      <c r="G815" s="1">
        <v>1</v>
      </c>
      <c r="H815" s="1">
        <v>2</v>
      </c>
      <c r="I815" s="1">
        <v>4</v>
      </c>
      <c r="J815" s="1">
        <v>1</v>
      </c>
      <c r="K815" s="1">
        <v>0</v>
      </c>
      <c r="L815" s="1">
        <v>17560</v>
      </c>
      <c r="M815" s="1">
        <v>1</v>
      </c>
    </row>
    <row r="816" spans="2:13" x14ac:dyDescent="0.25">
      <c r="B816" s="1">
        <v>0</v>
      </c>
      <c r="C816" s="1">
        <v>0</v>
      </c>
      <c r="D816" s="1">
        <v>1</v>
      </c>
      <c r="E816" s="1">
        <v>0</v>
      </c>
      <c r="F816" s="1">
        <v>49</v>
      </c>
      <c r="G816" s="1">
        <v>0</v>
      </c>
      <c r="H816" s="1">
        <v>8</v>
      </c>
      <c r="I816" s="1">
        <v>2</v>
      </c>
      <c r="J816" s="1">
        <v>2</v>
      </c>
      <c r="K816" s="1">
        <v>0</v>
      </c>
      <c r="L816" s="1">
        <v>53041</v>
      </c>
      <c r="M816" s="1">
        <v>1</v>
      </c>
    </row>
    <row r="817" spans="2:13" x14ac:dyDescent="0.25">
      <c r="B817" s="1">
        <v>0</v>
      </c>
      <c r="C817" s="1">
        <v>0</v>
      </c>
      <c r="D817" s="1">
        <v>1</v>
      </c>
      <c r="E817" s="1">
        <v>0</v>
      </c>
      <c r="F817" s="1">
        <v>49</v>
      </c>
      <c r="G817" s="1">
        <v>0</v>
      </c>
      <c r="H817" s="1">
        <v>3</v>
      </c>
      <c r="I817" s="1">
        <v>2</v>
      </c>
      <c r="J817" s="1">
        <v>1</v>
      </c>
      <c r="K817" s="1">
        <v>0</v>
      </c>
      <c r="L817" s="1">
        <v>29842</v>
      </c>
      <c r="M817" s="1">
        <v>1</v>
      </c>
    </row>
    <row r="818" spans="2:13" x14ac:dyDescent="0.25">
      <c r="B818" s="1">
        <v>0</v>
      </c>
      <c r="C818" s="1">
        <v>0</v>
      </c>
      <c r="D818" s="1">
        <v>1</v>
      </c>
      <c r="E818" s="1">
        <v>0</v>
      </c>
      <c r="F818" s="1">
        <v>49</v>
      </c>
      <c r="G818" s="1">
        <v>0</v>
      </c>
      <c r="H818" s="1">
        <v>3</v>
      </c>
      <c r="I818" s="1">
        <v>2</v>
      </c>
      <c r="J818" s="1">
        <v>2</v>
      </c>
      <c r="K818" s="1">
        <v>0</v>
      </c>
      <c r="L818" s="1">
        <v>23730</v>
      </c>
      <c r="M818" s="1">
        <v>1</v>
      </c>
    </row>
    <row r="819" spans="2:13" x14ac:dyDescent="0.25">
      <c r="B819" s="1">
        <v>0</v>
      </c>
      <c r="C819" s="1">
        <v>0</v>
      </c>
      <c r="D819" s="1">
        <v>1</v>
      </c>
      <c r="E819" s="1">
        <v>0</v>
      </c>
      <c r="F819" s="1">
        <v>48</v>
      </c>
      <c r="G819" s="1">
        <v>0</v>
      </c>
      <c r="H819" s="1">
        <v>7</v>
      </c>
      <c r="I819" s="1">
        <v>3</v>
      </c>
      <c r="J819" s="1">
        <v>0</v>
      </c>
      <c r="K819" s="1">
        <v>0</v>
      </c>
      <c r="L819" s="1">
        <v>9244</v>
      </c>
      <c r="M819" s="1">
        <v>0</v>
      </c>
    </row>
    <row r="820" spans="2:13" x14ac:dyDescent="0.25">
      <c r="B820" s="1">
        <v>0</v>
      </c>
      <c r="C820" s="1">
        <v>0</v>
      </c>
      <c r="D820" s="1">
        <v>1</v>
      </c>
      <c r="E820" s="1">
        <v>0</v>
      </c>
      <c r="F820" s="1">
        <v>48</v>
      </c>
      <c r="G820" s="1">
        <v>1</v>
      </c>
      <c r="H820" s="1">
        <v>7</v>
      </c>
      <c r="I820" s="1">
        <v>4</v>
      </c>
      <c r="J820" s="1">
        <v>0</v>
      </c>
      <c r="K820" s="1">
        <v>0</v>
      </c>
      <c r="L820" s="1">
        <v>9417</v>
      </c>
      <c r="M820" s="1">
        <v>0</v>
      </c>
    </row>
    <row r="821" spans="2:13" x14ac:dyDescent="0.25">
      <c r="B821" s="1">
        <v>0</v>
      </c>
      <c r="C821" s="1">
        <v>0</v>
      </c>
      <c r="D821" s="1">
        <v>1</v>
      </c>
      <c r="E821" s="1">
        <v>0</v>
      </c>
      <c r="F821" s="1">
        <v>48</v>
      </c>
      <c r="G821" s="1">
        <v>1</v>
      </c>
      <c r="H821" s="1">
        <v>2</v>
      </c>
      <c r="I821" s="1">
        <v>5</v>
      </c>
      <c r="J821" s="1">
        <v>0</v>
      </c>
      <c r="K821" s="1">
        <v>0</v>
      </c>
      <c r="L821" s="1">
        <v>7044</v>
      </c>
      <c r="M821" s="1">
        <v>0</v>
      </c>
    </row>
    <row r="822" spans="2:13" x14ac:dyDescent="0.25">
      <c r="B822" s="1">
        <v>0</v>
      </c>
      <c r="C822" s="1">
        <v>0</v>
      </c>
      <c r="D822" s="1">
        <v>1</v>
      </c>
      <c r="E822" s="1">
        <v>0</v>
      </c>
      <c r="F822" s="1">
        <v>48</v>
      </c>
      <c r="G822" s="1">
        <v>1</v>
      </c>
      <c r="H822" s="1">
        <v>2</v>
      </c>
      <c r="I822" s="1">
        <v>3</v>
      </c>
      <c r="J822" s="1">
        <v>0</v>
      </c>
      <c r="K822" s="1">
        <v>0</v>
      </c>
      <c r="L822" s="1">
        <v>10621</v>
      </c>
      <c r="M822" s="1">
        <v>0</v>
      </c>
    </row>
    <row r="823" spans="2:13" x14ac:dyDescent="0.25">
      <c r="B823" s="1">
        <v>0</v>
      </c>
      <c r="C823" s="1">
        <v>0</v>
      </c>
      <c r="D823" s="1">
        <v>1</v>
      </c>
      <c r="E823" s="1">
        <v>0</v>
      </c>
      <c r="F823" s="1">
        <v>48</v>
      </c>
      <c r="G823" s="1">
        <v>1</v>
      </c>
      <c r="H823" s="1">
        <v>0</v>
      </c>
      <c r="I823" s="1">
        <v>7</v>
      </c>
      <c r="J823" s="1">
        <v>0</v>
      </c>
      <c r="K823" s="1">
        <v>0</v>
      </c>
      <c r="L823" s="1">
        <v>8490</v>
      </c>
      <c r="M823" s="1">
        <v>0</v>
      </c>
    </row>
    <row r="824" spans="2:13" x14ac:dyDescent="0.25">
      <c r="B824" s="1">
        <v>0</v>
      </c>
      <c r="C824" s="1">
        <v>0</v>
      </c>
      <c r="D824" s="1">
        <v>1</v>
      </c>
      <c r="E824" s="1">
        <v>0</v>
      </c>
      <c r="F824" s="1">
        <v>48</v>
      </c>
      <c r="G824" s="1">
        <v>1</v>
      </c>
      <c r="H824" s="1">
        <v>2</v>
      </c>
      <c r="I824" s="1">
        <v>1</v>
      </c>
      <c r="J824" s="1">
        <v>0</v>
      </c>
      <c r="K824" s="1">
        <v>0</v>
      </c>
      <c r="L824" s="1">
        <v>6609</v>
      </c>
      <c r="M824" s="1">
        <v>0</v>
      </c>
    </row>
    <row r="825" spans="2:13" x14ac:dyDescent="0.25">
      <c r="B825" s="1">
        <v>0</v>
      </c>
      <c r="C825" s="1">
        <v>0</v>
      </c>
      <c r="D825" s="1">
        <v>1</v>
      </c>
      <c r="E825" s="1">
        <v>0</v>
      </c>
      <c r="F825" s="1">
        <v>48</v>
      </c>
      <c r="G825" s="1">
        <v>1</v>
      </c>
      <c r="H825" s="1">
        <v>2</v>
      </c>
      <c r="I825" s="1">
        <v>3</v>
      </c>
      <c r="J825" s="1">
        <v>0</v>
      </c>
      <c r="K825" s="1">
        <v>0</v>
      </c>
      <c r="L825" s="1">
        <v>20409</v>
      </c>
      <c r="M825" s="1">
        <v>0</v>
      </c>
    </row>
    <row r="826" spans="2:13" x14ac:dyDescent="0.25">
      <c r="B826" s="1">
        <v>0</v>
      </c>
      <c r="C826" s="1">
        <v>0</v>
      </c>
      <c r="D826" s="1">
        <v>1</v>
      </c>
      <c r="E826" s="1">
        <v>0</v>
      </c>
      <c r="F826" s="1">
        <v>48</v>
      </c>
      <c r="G826" s="1">
        <v>1</v>
      </c>
      <c r="H826" s="1">
        <v>1</v>
      </c>
      <c r="I826" s="1">
        <v>2</v>
      </c>
      <c r="J826" s="1">
        <v>0</v>
      </c>
      <c r="K826" s="1">
        <v>0</v>
      </c>
      <c r="L826" s="1">
        <v>8722</v>
      </c>
      <c r="M826" s="1">
        <v>0</v>
      </c>
    </row>
    <row r="827" spans="2:13" x14ac:dyDescent="0.25">
      <c r="B827" s="1">
        <v>0</v>
      </c>
      <c r="C827" s="1">
        <v>0</v>
      </c>
      <c r="D827" s="1">
        <v>1</v>
      </c>
      <c r="E827" s="1">
        <v>0</v>
      </c>
      <c r="F827" s="1">
        <v>48</v>
      </c>
      <c r="G827" s="1">
        <v>0</v>
      </c>
      <c r="H827" s="1">
        <v>5</v>
      </c>
      <c r="I827" s="1">
        <v>3</v>
      </c>
      <c r="J827" s="1">
        <v>0</v>
      </c>
      <c r="K827" s="1">
        <v>0</v>
      </c>
      <c r="L827" s="1">
        <v>16371</v>
      </c>
      <c r="M827" s="1">
        <v>0</v>
      </c>
    </row>
    <row r="828" spans="2:13" x14ac:dyDescent="0.25">
      <c r="B828" s="1">
        <v>0</v>
      </c>
      <c r="C828" s="1">
        <v>0</v>
      </c>
      <c r="D828" s="1">
        <v>1</v>
      </c>
      <c r="E828" s="1">
        <v>0</v>
      </c>
      <c r="F828" s="1">
        <v>48</v>
      </c>
      <c r="G828" s="1">
        <v>1</v>
      </c>
      <c r="H828" s="1">
        <v>3</v>
      </c>
      <c r="I828" s="1">
        <v>5</v>
      </c>
      <c r="J828" s="1">
        <v>0</v>
      </c>
      <c r="K828" s="1">
        <v>0</v>
      </c>
      <c r="L828" s="1">
        <v>6031</v>
      </c>
      <c r="M828" s="1">
        <v>0</v>
      </c>
    </row>
    <row r="829" spans="2:13" x14ac:dyDescent="0.25">
      <c r="B829" s="1">
        <v>0</v>
      </c>
      <c r="C829" s="1">
        <v>0</v>
      </c>
      <c r="D829" s="1">
        <v>1</v>
      </c>
      <c r="E829" s="1">
        <v>0</v>
      </c>
      <c r="F829" s="1">
        <v>48</v>
      </c>
      <c r="G829" s="1">
        <v>0</v>
      </c>
      <c r="H829" s="1">
        <v>10</v>
      </c>
      <c r="I829" s="1">
        <v>4</v>
      </c>
      <c r="J829" s="1">
        <v>3</v>
      </c>
      <c r="K829" s="1">
        <v>0</v>
      </c>
      <c r="L829" s="1">
        <v>36024</v>
      </c>
      <c r="M829" s="1">
        <v>0</v>
      </c>
    </row>
    <row r="830" spans="2:13" x14ac:dyDescent="0.25">
      <c r="B830" s="1">
        <v>0</v>
      </c>
      <c r="C830" s="1">
        <v>0</v>
      </c>
      <c r="D830" s="1">
        <v>1</v>
      </c>
      <c r="E830" s="1">
        <v>0</v>
      </c>
      <c r="F830" s="1">
        <v>48</v>
      </c>
      <c r="G830" s="1">
        <v>1</v>
      </c>
      <c r="H830" s="1">
        <v>5</v>
      </c>
      <c r="I830" s="1">
        <v>6</v>
      </c>
      <c r="J830" s="1">
        <v>6</v>
      </c>
      <c r="K830" s="1">
        <v>0</v>
      </c>
      <c r="L830" s="1">
        <v>38309</v>
      </c>
      <c r="M830" s="1">
        <v>1</v>
      </c>
    </row>
    <row r="831" spans="2:13" x14ac:dyDescent="0.25">
      <c r="B831" s="1">
        <v>0</v>
      </c>
      <c r="C831" s="1">
        <v>0</v>
      </c>
      <c r="D831" s="1">
        <v>1</v>
      </c>
      <c r="E831" s="1">
        <v>0</v>
      </c>
      <c r="F831" s="1">
        <v>47</v>
      </c>
      <c r="G831" s="1">
        <v>0</v>
      </c>
      <c r="H831" s="1">
        <v>0</v>
      </c>
      <c r="I831" s="1">
        <v>1</v>
      </c>
      <c r="J831" s="1">
        <v>0</v>
      </c>
      <c r="K831" s="1">
        <v>0</v>
      </c>
      <c r="L831" s="1">
        <v>3903</v>
      </c>
      <c r="M831" s="1">
        <v>0</v>
      </c>
    </row>
    <row r="832" spans="2:13" x14ac:dyDescent="0.25">
      <c r="B832" s="1">
        <v>0</v>
      </c>
      <c r="C832" s="1">
        <v>0</v>
      </c>
      <c r="D832" s="1">
        <v>1</v>
      </c>
      <c r="E832" s="1">
        <v>0</v>
      </c>
      <c r="F832" s="1">
        <v>47</v>
      </c>
      <c r="G832" s="1">
        <v>0</v>
      </c>
      <c r="H832" s="1">
        <v>3</v>
      </c>
      <c r="I832" s="1">
        <v>1</v>
      </c>
      <c r="J832" s="1">
        <v>1</v>
      </c>
      <c r="K832" s="1">
        <v>0</v>
      </c>
      <c r="L832" s="1">
        <v>20138</v>
      </c>
      <c r="M832" s="1">
        <v>0</v>
      </c>
    </row>
    <row r="833" spans="2:13" x14ac:dyDescent="0.25">
      <c r="B833" s="1">
        <v>0</v>
      </c>
      <c r="C833" s="1">
        <v>0</v>
      </c>
      <c r="D833" s="1">
        <v>1</v>
      </c>
      <c r="E833" s="1">
        <v>0</v>
      </c>
      <c r="F833" s="1">
        <v>47</v>
      </c>
      <c r="G833" s="1">
        <v>0</v>
      </c>
      <c r="H833" s="1">
        <v>6</v>
      </c>
      <c r="I833" s="1">
        <v>1</v>
      </c>
      <c r="J833" s="1">
        <v>0</v>
      </c>
      <c r="K833" s="1">
        <v>0</v>
      </c>
      <c r="L833" s="1">
        <v>8452</v>
      </c>
      <c r="M833" s="1">
        <v>0</v>
      </c>
    </row>
    <row r="834" spans="2:13" x14ac:dyDescent="0.25">
      <c r="B834" s="1">
        <v>0</v>
      </c>
      <c r="C834" s="1">
        <v>0</v>
      </c>
      <c r="D834" s="1">
        <v>1</v>
      </c>
      <c r="E834" s="1">
        <v>0</v>
      </c>
      <c r="F834" s="1">
        <v>47</v>
      </c>
      <c r="G834" s="1">
        <v>1</v>
      </c>
      <c r="H834" s="1">
        <v>6</v>
      </c>
      <c r="I834" s="1">
        <v>5</v>
      </c>
      <c r="J834" s="1">
        <v>0</v>
      </c>
      <c r="K834" s="1">
        <v>0</v>
      </c>
      <c r="L834" s="1">
        <v>14028</v>
      </c>
      <c r="M834" s="1">
        <v>0</v>
      </c>
    </row>
    <row r="835" spans="2:13" x14ac:dyDescent="0.25">
      <c r="B835" s="1">
        <v>0</v>
      </c>
      <c r="C835" s="1">
        <v>0</v>
      </c>
      <c r="D835" s="1">
        <v>1</v>
      </c>
      <c r="E835" s="1">
        <v>0</v>
      </c>
      <c r="F835" s="1">
        <v>47</v>
      </c>
      <c r="G835" s="1">
        <v>1</v>
      </c>
      <c r="H835" s="1">
        <v>8</v>
      </c>
      <c r="I835" s="1">
        <v>4</v>
      </c>
      <c r="J835" s="1">
        <v>0</v>
      </c>
      <c r="K835" s="1">
        <v>0</v>
      </c>
      <c r="L835" s="1">
        <v>10845</v>
      </c>
      <c r="M835" s="1">
        <v>0</v>
      </c>
    </row>
    <row r="836" spans="2:13" x14ac:dyDescent="0.25">
      <c r="B836" s="1">
        <v>0</v>
      </c>
      <c r="C836" s="1">
        <v>0</v>
      </c>
      <c r="D836" s="1">
        <v>1</v>
      </c>
      <c r="E836" s="1">
        <v>0</v>
      </c>
      <c r="F836" s="1">
        <v>47</v>
      </c>
      <c r="G836" s="1">
        <v>1</v>
      </c>
      <c r="H836" s="1">
        <v>9</v>
      </c>
      <c r="I836" s="1">
        <v>1</v>
      </c>
      <c r="J836" s="1">
        <v>0</v>
      </c>
      <c r="K836" s="1">
        <v>0</v>
      </c>
      <c r="L836" s="1">
        <v>15464</v>
      </c>
      <c r="M836" s="1">
        <v>0</v>
      </c>
    </row>
    <row r="837" spans="2:13" x14ac:dyDescent="0.25">
      <c r="B837" s="1">
        <v>0</v>
      </c>
      <c r="C837" s="1">
        <v>0</v>
      </c>
      <c r="D837" s="1">
        <v>1</v>
      </c>
      <c r="E837" s="1">
        <v>0</v>
      </c>
      <c r="F837" s="1">
        <v>47</v>
      </c>
      <c r="G837" s="1">
        <v>1</v>
      </c>
      <c r="H837" s="1">
        <v>3</v>
      </c>
      <c r="I837" s="1">
        <v>4</v>
      </c>
      <c r="J837" s="1">
        <v>0</v>
      </c>
      <c r="K837" s="1">
        <v>0</v>
      </c>
      <c r="L837" s="1">
        <v>16952</v>
      </c>
      <c r="M837" s="1">
        <v>0</v>
      </c>
    </row>
    <row r="838" spans="2:13" x14ac:dyDescent="0.25">
      <c r="B838" s="1">
        <v>0</v>
      </c>
      <c r="C838" s="1">
        <v>0</v>
      </c>
      <c r="D838" s="1">
        <v>1</v>
      </c>
      <c r="E838" s="1">
        <v>0</v>
      </c>
      <c r="F838" s="1">
        <v>47</v>
      </c>
      <c r="G838" s="1">
        <v>1</v>
      </c>
      <c r="H838" s="1">
        <v>7</v>
      </c>
      <c r="I838" s="1">
        <v>2</v>
      </c>
      <c r="J838" s="1">
        <v>1</v>
      </c>
      <c r="K838" s="1">
        <v>0</v>
      </c>
      <c r="L838" s="1">
        <v>18656</v>
      </c>
      <c r="M838" s="1">
        <v>0</v>
      </c>
    </row>
    <row r="839" spans="2:13" x14ac:dyDescent="0.25">
      <c r="B839" s="1">
        <v>0</v>
      </c>
      <c r="C839" s="1">
        <v>0</v>
      </c>
      <c r="D839" s="1">
        <v>1</v>
      </c>
      <c r="E839" s="1">
        <v>0</v>
      </c>
      <c r="F839" s="1">
        <v>47</v>
      </c>
      <c r="G839" s="1">
        <v>0</v>
      </c>
      <c r="H839" s="1">
        <v>21</v>
      </c>
      <c r="I839" s="1">
        <v>4</v>
      </c>
      <c r="J839" s="1">
        <v>4</v>
      </c>
      <c r="K839" s="1">
        <v>0</v>
      </c>
      <c r="L839" s="1">
        <v>48721</v>
      </c>
      <c r="M839" s="1">
        <v>0</v>
      </c>
    </row>
    <row r="840" spans="2:13" x14ac:dyDescent="0.25">
      <c r="B840" s="1">
        <v>0</v>
      </c>
      <c r="C840" s="1">
        <v>0</v>
      </c>
      <c r="D840" s="1">
        <v>1</v>
      </c>
      <c r="E840" s="1">
        <v>0</v>
      </c>
      <c r="F840" s="1">
        <v>47</v>
      </c>
      <c r="G840" s="1">
        <v>0</v>
      </c>
      <c r="H840" s="1">
        <v>4</v>
      </c>
      <c r="I840" s="1">
        <v>4</v>
      </c>
      <c r="J840" s="1">
        <v>1</v>
      </c>
      <c r="K840" s="1">
        <v>0</v>
      </c>
      <c r="L840" s="1">
        <v>9548</v>
      </c>
      <c r="M840" s="1">
        <v>0</v>
      </c>
    </row>
    <row r="841" spans="2:13" x14ac:dyDescent="0.25">
      <c r="B841" s="1">
        <v>0</v>
      </c>
      <c r="C841" s="1">
        <v>0</v>
      </c>
      <c r="D841" s="1">
        <v>1</v>
      </c>
      <c r="E841" s="1">
        <v>0</v>
      </c>
      <c r="F841" s="1">
        <v>47</v>
      </c>
      <c r="G841" s="1">
        <v>1</v>
      </c>
      <c r="H841" s="1">
        <v>2</v>
      </c>
      <c r="I841" s="1">
        <v>3</v>
      </c>
      <c r="J841" s="1">
        <v>0</v>
      </c>
      <c r="K841" s="1">
        <v>0</v>
      </c>
      <c r="L841" s="1">
        <v>5706</v>
      </c>
      <c r="M841" s="1">
        <v>0</v>
      </c>
    </row>
    <row r="842" spans="2:13" x14ac:dyDescent="0.25">
      <c r="B842" s="1">
        <v>0</v>
      </c>
      <c r="C842" s="1">
        <v>0</v>
      </c>
      <c r="D842" s="1">
        <v>1</v>
      </c>
      <c r="E842" s="1">
        <v>0</v>
      </c>
      <c r="F842" s="1">
        <v>47</v>
      </c>
      <c r="G842" s="1">
        <v>1</v>
      </c>
      <c r="H842" s="1">
        <v>2</v>
      </c>
      <c r="I842" s="1">
        <v>0</v>
      </c>
      <c r="J842" s="1">
        <v>1</v>
      </c>
      <c r="K842" s="1">
        <v>0</v>
      </c>
      <c r="L842" s="1">
        <v>25862</v>
      </c>
      <c r="M842" s="1">
        <v>1</v>
      </c>
    </row>
    <row r="843" spans="2:13" x14ac:dyDescent="0.25">
      <c r="B843" s="1">
        <v>0</v>
      </c>
      <c r="C843" s="1">
        <v>0</v>
      </c>
      <c r="D843" s="1">
        <v>1</v>
      </c>
      <c r="E843" s="1">
        <v>0</v>
      </c>
      <c r="F843" s="1">
        <v>46</v>
      </c>
      <c r="G843" s="1">
        <v>0</v>
      </c>
      <c r="H843" s="1">
        <v>9</v>
      </c>
      <c r="I843" s="1">
        <v>7</v>
      </c>
      <c r="J843" s="1">
        <v>0</v>
      </c>
      <c r="K843" s="1">
        <v>0</v>
      </c>
      <c r="L843" s="1">
        <v>17883</v>
      </c>
      <c r="M843" s="1">
        <v>0</v>
      </c>
    </row>
    <row r="844" spans="2:13" x14ac:dyDescent="0.25">
      <c r="B844" s="1">
        <v>0</v>
      </c>
      <c r="C844" s="1">
        <v>0</v>
      </c>
      <c r="D844" s="1">
        <v>1</v>
      </c>
      <c r="E844" s="1">
        <v>0</v>
      </c>
      <c r="F844" s="1">
        <v>46</v>
      </c>
      <c r="G844" s="1">
        <v>0</v>
      </c>
      <c r="H844" s="1">
        <v>3</v>
      </c>
      <c r="I844" s="1">
        <v>3</v>
      </c>
      <c r="J844" s="1">
        <v>0</v>
      </c>
      <c r="K844" s="1">
        <v>0</v>
      </c>
      <c r="L844" s="1">
        <v>4844</v>
      </c>
      <c r="M844" s="1">
        <v>0</v>
      </c>
    </row>
    <row r="845" spans="2:13" x14ac:dyDescent="0.25">
      <c r="B845" s="1">
        <v>0</v>
      </c>
      <c r="C845" s="1">
        <v>0</v>
      </c>
      <c r="D845" s="1">
        <v>1</v>
      </c>
      <c r="E845" s="1">
        <v>0</v>
      </c>
      <c r="F845" s="1">
        <v>46</v>
      </c>
      <c r="G845" s="1">
        <v>0</v>
      </c>
      <c r="H845" s="1">
        <v>8</v>
      </c>
      <c r="I845" s="1">
        <v>5</v>
      </c>
      <c r="J845" s="1">
        <v>2</v>
      </c>
      <c r="K845" s="1">
        <v>0</v>
      </c>
      <c r="L845" s="1">
        <v>42394</v>
      </c>
      <c r="M845" s="1">
        <v>0</v>
      </c>
    </row>
    <row r="846" spans="2:13" x14ac:dyDescent="0.25">
      <c r="B846" s="1">
        <v>0</v>
      </c>
      <c r="C846" s="1">
        <v>0</v>
      </c>
      <c r="D846" s="1">
        <v>1</v>
      </c>
      <c r="E846" s="1">
        <v>0</v>
      </c>
      <c r="F846" s="1">
        <v>46</v>
      </c>
      <c r="G846" s="1">
        <v>0</v>
      </c>
      <c r="H846" s="1">
        <v>5</v>
      </c>
      <c r="I846" s="1">
        <v>6</v>
      </c>
      <c r="J846" s="1">
        <v>0</v>
      </c>
      <c r="K846" s="1">
        <v>0</v>
      </c>
      <c r="L846" s="1">
        <v>15025</v>
      </c>
      <c r="M846" s="1">
        <v>0</v>
      </c>
    </row>
    <row r="847" spans="2:13" x14ac:dyDescent="0.25">
      <c r="B847" s="1">
        <v>0</v>
      </c>
      <c r="C847" s="1">
        <v>0</v>
      </c>
      <c r="D847" s="1">
        <v>1</v>
      </c>
      <c r="E847" s="1">
        <v>0</v>
      </c>
      <c r="F847" s="1">
        <v>46</v>
      </c>
      <c r="G847" s="1">
        <v>1</v>
      </c>
      <c r="H847" s="1">
        <v>40</v>
      </c>
      <c r="I847" s="1">
        <v>4</v>
      </c>
      <c r="J847" s="1">
        <v>4</v>
      </c>
      <c r="K847" s="1">
        <v>0</v>
      </c>
      <c r="L847" s="1">
        <v>92788</v>
      </c>
      <c r="M847" s="1">
        <v>0</v>
      </c>
    </row>
    <row r="848" spans="2:13" x14ac:dyDescent="0.25">
      <c r="B848" s="1">
        <v>0</v>
      </c>
      <c r="C848" s="1">
        <v>0</v>
      </c>
      <c r="D848" s="1">
        <v>1</v>
      </c>
      <c r="E848" s="1">
        <v>0</v>
      </c>
      <c r="F848" s="1">
        <v>46</v>
      </c>
      <c r="G848" s="1">
        <v>0</v>
      </c>
      <c r="H848" s="1">
        <v>2</v>
      </c>
      <c r="I848" s="1">
        <v>0</v>
      </c>
      <c r="J848" s="1">
        <v>0</v>
      </c>
      <c r="K848" s="1">
        <v>0</v>
      </c>
      <c r="L848" s="1">
        <v>10925</v>
      </c>
      <c r="M848" s="1">
        <v>0</v>
      </c>
    </row>
    <row r="849" spans="2:13" x14ac:dyDescent="0.25">
      <c r="B849" s="1">
        <v>0</v>
      </c>
      <c r="C849" s="1">
        <v>0</v>
      </c>
      <c r="D849" s="1">
        <v>1</v>
      </c>
      <c r="E849" s="1">
        <v>0</v>
      </c>
      <c r="F849" s="1">
        <v>46</v>
      </c>
      <c r="G849" s="1">
        <v>0</v>
      </c>
      <c r="H849" s="1">
        <v>10</v>
      </c>
      <c r="I849" s="1">
        <v>2</v>
      </c>
      <c r="J849" s="1">
        <v>3</v>
      </c>
      <c r="K849" s="1">
        <v>0</v>
      </c>
      <c r="L849" s="1">
        <v>28399</v>
      </c>
      <c r="M849" s="1">
        <v>0</v>
      </c>
    </row>
    <row r="850" spans="2:13" x14ac:dyDescent="0.25">
      <c r="B850" s="1">
        <v>0</v>
      </c>
      <c r="C850" s="1">
        <v>0</v>
      </c>
      <c r="D850" s="1">
        <v>1</v>
      </c>
      <c r="E850" s="1">
        <v>0</v>
      </c>
      <c r="F850" s="1">
        <v>46</v>
      </c>
      <c r="G850" s="1">
        <v>1</v>
      </c>
      <c r="H850" s="1">
        <v>3</v>
      </c>
      <c r="I850" s="1">
        <v>5</v>
      </c>
      <c r="J850" s="1">
        <v>0</v>
      </c>
      <c r="K850" s="1">
        <v>0</v>
      </c>
      <c r="L850" s="1">
        <v>5527</v>
      </c>
      <c r="M850" s="1">
        <v>0</v>
      </c>
    </row>
    <row r="851" spans="2:13" x14ac:dyDescent="0.25">
      <c r="B851" s="1">
        <v>0</v>
      </c>
      <c r="C851" s="1">
        <v>0</v>
      </c>
      <c r="D851" s="1">
        <v>1</v>
      </c>
      <c r="E851" s="1">
        <v>0</v>
      </c>
      <c r="F851" s="1">
        <v>45</v>
      </c>
      <c r="G851" s="1">
        <v>1</v>
      </c>
      <c r="H851" s="1">
        <v>5</v>
      </c>
      <c r="I851" s="1">
        <v>4</v>
      </c>
      <c r="J851" s="1">
        <v>1</v>
      </c>
      <c r="K851" s="1">
        <v>0</v>
      </c>
      <c r="L851" s="1">
        <v>15214</v>
      </c>
      <c r="M851" s="1">
        <v>0</v>
      </c>
    </row>
    <row r="852" spans="2:13" x14ac:dyDescent="0.25">
      <c r="B852" s="1">
        <v>0</v>
      </c>
      <c r="C852" s="1">
        <v>0</v>
      </c>
      <c r="D852" s="1">
        <v>1</v>
      </c>
      <c r="E852" s="1">
        <v>0</v>
      </c>
      <c r="F852" s="1">
        <v>45</v>
      </c>
      <c r="G852" s="1">
        <v>0</v>
      </c>
      <c r="H852" s="1">
        <v>7</v>
      </c>
      <c r="I852" s="1">
        <v>4</v>
      </c>
      <c r="J852" s="1">
        <v>0</v>
      </c>
      <c r="K852" s="1">
        <v>0</v>
      </c>
      <c r="L852" s="1">
        <v>11877</v>
      </c>
      <c r="M852" s="1">
        <v>0</v>
      </c>
    </row>
    <row r="853" spans="2:13" x14ac:dyDescent="0.25">
      <c r="B853" s="1">
        <v>0</v>
      </c>
      <c r="C853" s="1">
        <v>0</v>
      </c>
      <c r="D853" s="1">
        <v>1</v>
      </c>
      <c r="E853" s="1">
        <v>0</v>
      </c>
      <c r="F853" s="1">
        <v>45</v>
      </c>
      <c r="G853" s="1">
        <v>1</v>
      </c>
      <c r="H853" s="1">
        <v>4</v>
      </c>
      <c r="I853" s="1">
        <v>4</v>
      </c>
      <c r="J853" s="1">
        <v>0</v>
      </c>
      <c r="K853" s="1">
        <v>0</v>
      </c>
      <c r="L853" s="1">
        <v>27689</v>
      </c>
      <c r="M853" s="1">
        <v>0</v>
      </c>
    </row>
    <row r="854" spans="2:13" x14ac:dyDescent="0.25">
      <c r="B854" s="1">
        <v>0</v>
      </c>
      <c r="C854" s="1">
        <v>0</v>
      </c>
      <c r="D854" s="1">
        <v>1</v>
      </c>
      <c r="E854" s="1">
        <v>0</v>
      </c>
      <c r="F854" s="1">
        <v>45</v>
      </c>
      <c r="G854" s="1">
        <v>1</v>
      </c>
      <c r="H854" s="1">
        <v>10</v>
      </c>
      <c r="I854" s="1">
        <v>3</v>
      </c>
      <c r="J854" s="1">
        <v>0</v>
      </c>
      <c r="K854" s="1">
        <v>0</v>
      </c>
      <c r="L854" s="1">
        <v>17868</v>
      </c>
      <c r="M854" s="1">
        <v>0</v>
      </c>
    </row>
    <row r="855" spans="2:13" x14ac:dyDescent="0.25">
      <c r="B855" s="1">
        <v>0</v>
      </c>
      <c r="C855" s="1">
        <v>0</v>
      </c>
      <c r="D855" s="1">
        <v>1</v>
      </c>
      <c r="E855" s="1">
        <v>0</v>
      </c>
      <c r="F855" s="1">
        <v>45</v>
      </c>
      <c r="G855" s="1">
        <v>0</v>
      </c>
      <c r="H855" s="1">
        <v>3</v>
      </c>
      <c r="I855" s="1">
        <v>3</v>
      </c>
      <c r="J855" s="1">
        <v>2</v>
      </c>
      <c r="K855" s="1">
        <v>0</v>
      </c>
      <c r="L855" s="1">
        <v>22498</v>
      </c>
      <c r="M855" s="1">
        <v>0</v>
      </c>
    </row>
    <row r="856" spans="2:13" x14ac:dyDescent="0.25">
      <c r="B856" s="1">
        <v>0</v>
      </c>
      <c r="C856" s="1">
        <v>0</v>
      </c>
      <c r="D856" s="1">
        <v>1</v>
      </c>
      <c r="E856" s="1">
        <v>0</v>
      </c>
      <c r="F856" s="1">
        <v>45</v>
      </c>
      <c r="G856" s="1">
        <v>0</v>
      </c>
      <c r="H856" s="1">
        <v>4</v>
      </c>
      <c r="I856" s="1">
        <v>2</v>
      </c>
      <c r="J856" s="1">
        <v>0</v>
      </c>
      <c r="K856" s="1">
        <v>0</v>
      </c>
      <c r="L856" s="1">
        <v>8890</v>
      </c>
      <c r="M856" s="1">
        <v>0</v>
      </c>
    </row>
    <row r="857" spans="2:13" x14ac:dyDescent="0.25">
      <c r="B857" s="1">
        <v>0</v>
      </c>
      <c r="C857" s="1">
        <v>0</v>
      </c>
      <c r="D857" s="1">
        <v>1</v>
      </c>
      <c r="E857" s="1">
        <v>0</v>
      </c>
      <c r="F857" s="1">
        <v>45</v>
      </c>
      <c r="G857" s="1">
        <v>1</v>
      </c>
      <c r="H857" s="1">
        <v>16</v>
      </c>
      <c r="I857" s="1">
        <v>5</v>
      </c>
      <c r="J857" s="1">
        <v>1</v>
      </c>
      <c r="K857" s="1">
        <v>0</v>
      </c>
      <c r="L857" s="1">
        <v>38789</v>
      </c>
      <c r="M857" s="1">
        <v>0</v>
      </c>
    </row>
    <row r="858" spans="2:13" x14ac:dyDescent="0.25">
      <c r="B858" s="1">
        <v>0</v>
      </c>
      <c r="C858" s="1">
        <v>0</v>
      </c>
      <c r="D858" s="1">
        <v>1</v>
      </c>
      <c r="E858" s="1">
        <v>0</v>
      </c>
      <c r="F858" s="1">
        <v>45</v>
      </c>
      <c r="G858" s="1">
        <v>0</v>
      </c>
      <c r="H858" s="1">
        <v>4</v>
      </c>
      <c r="I858" s="1">
        <v>2</v>
      </c>
      <c r="J858" s="1">
        <v>0</v>
      </c>
      <c r="K858" s="1">
        <v>0</v>
      </c>
      <c r="L858" s="1">
        <v>15202</v>
      </c>
      <c r="M858" s="1">
        <v>0</v>
      </c>
    </row>
    <row r="859" spans="2:13" x14ac:dyDescent="0.25">
      <c r="B859" s="1">
        <v>0</v>
      </c>
      <c r="C859" s="1">
        <v>0</v>
      </c>
      <c r="D859" s="1">
        <v>1</v>
      </c>
      <c r="E859" s="1">
        <v>0</v>
      </c>
      <c r="F859" s="1">
        <v>45</v>
      </c>
      <c r="G859" s="1">
        <v>0</v>
      </c>
      <c r="H859" s="1">
        <v>11</v>
      </c>
      <c r="I859" s="1">
        <v>2</v>
      </c>
      <c r="J859" s="1">
        <v>2</v>
      </c>
      <c r="K859" s="1">
        <v>0</v>
      </c>
      <c r="L859" s="1">
        <v>29697</v>
      </c>
      <c r="M859" s="1">
        <v>1</v>
      </c>
    </row>
    <row r="860" spans="2:13" x14ac:dyDescent="0.25">
      <c r="B860" s="1">
        <v>0</v>
      </c>
      <c r="C860" s="1">
        <v>0</v>
      </c>
      <c r="D860" s="1">
        <v>1</v>
      </c>
      <c r="E860" s="1">
        <v>0</v>
      </c>
      <c r="F860" s="1">
        <v>44</v>
      </c>
      <c r="G860" s="1">
        <v>1</v>
      </c>
      <c r="H860" s="1">
        <v>1</v>
      </c>
      <c r="I860" s="1">
        <v>3</v>
      </c>
      <c r="J860" s="1">
        <v>0</v>
      </c>
      <c r="K860" s="1">
        <v>0</v>
      </c>
      <c r="L860" s="1">
        <v>7930</v>
      </c>
      <c r="M860" s="1">
        <v>0</v>
      </c>
    </row>
    <row r="861" spans="2:13" x14ac:dyDescent="0.25">
      <c r="B861" s="1">
        <v>0</v>
      </c>
      <c r="C861" s="1">
        <v>0</v>
      </c>
      <c r="D861" s="1">
        <v>1</v>
      </c>
      <c r="E861" s="1">
        <v>0</v>
      </c>
      <c r="F861" s="1">
        <v>44</v>
      </c>
      <c r="G861" s="1">
        <v>0</v>
      </c>
      <c r="H861" s="1">
        <v>7</v>
      </c>
      <c r="I861" s="1">
        <v>4</v>
      </c>
      <c r="J861" s="1">
        <v>0</v>
      </c>
      <c r="K861" s="1">
        <v>0</v>
      </c>
      <c r="L861" s="1">
        <v>27532</v>
      </c>
      <c r="M861" s="1">
        <v>0</v>
      </c>
    </row>
    <row r="862" spans="2:13" x14ac:dyDescent="0.25">
      <c r="B862" s="1">
        <v>0</v>
      </c>
      <c r="C862" s="1">
        <v>0</v>
      </c>
      <c r="D862" s="1">
        <v>1</v>
      </c>
      <c r="E862" s="1">
        <v>0</v>
      </c>
      <c r="F862" s="1">
        <v>44</v>
      </c>
      <c r="G862" s="1">
        <v>1</v>
      </c>
      <c r="H862" s="1">
        <v>7</v>
      </c>
      <c r="I862" s="1">
        <v>4</v>
      </c>
      <c r="J862" s="1">
        <v>0</v>
      </c>
      <c r="K862" s="1">
        <v>0</v>
      </c>
      <c r="L862" s="1">
        <v>11546</v>
      </c>
      <c r="M862" s="1">
        <v>0</v>
      </c>
    </row>
    <row r="863" spans="2:13" x14ac:dyDescent="0.25">
      <c r="B863" s="1">
        <v>0</v>
      </c>
      <c r="C863" s="1">
        <v>0</v>
      </c>
      <c r="D863" s="1">
        <v>1</v>
      </c>
      <c r="E863" s="1">
        <v>0</v>
      </c>
      <c r="F863" s="1">
        <v>44</v>
      </c>
      <c r="G863" s="1">
        <v>1</v>
      </c>
      <c r="H863" s="1">
        <v>5</v>
      </c>
      <c r="I863" s="1">
        <v>5</v>
      </c>
      <c r="J863" s="1">
        <v>0</v>
      </c>
      <c r="K863" s="1">
        <v>0</v>
      </c>
      <c r="L863" s="1">
        <v>6808</v>
      </c>
      <c r="M863" s="1">
        <v>0</v>
      </c>
    </row>
    <row r="864" spans="2:13" x14ac:dyDescent="0.25">
      <c r="B864" s="1">
        <v>0</v>
      </c>
      <c r="C864" s="1">
        <v>0</v>
      </c>
      <c r="D864" s="1">
        <v>1</v>
      </c>
      <c r="E864" s="1">
        <v>0</v>
      </c>
      <c r="F864" s="1">
        <v>44</v>
      </c>
      <c r="G864" s="1">
        <v>1</v>
      </c>
      <c r="H864" s="1">
        <v>2</v>
      </c>
      <c r="I864" s="1">
        <v>3</v>
      </c>
      <c r="J864" s="1">
        <v>0</v>
      </c>
      <c r="K864" s="1">
        <v>0</v>
      </c>
      <c r="L864" s="1">
        <v>15085</v>
      </c>
      <c r="M864" s="1">
        <v>0</v>
      </c>
    </row>
    <row r="865" spans="2:13" x14ac:dyDescent="0.25">
      <c r="B865" s="1">
        <v>0</v>
      </c>
      <c r="C865" s="1">
        <v>0</v>
      </c>
      <c r="D865" s="1">
        <v>1</v>
      </c>
      <c r="E865" s="1">
        <v>0</v>
      </c>
      <c r="F865" s="1">
        <v>44</v>
      </c>
      <c r="G865" s="1">
        <v>0</v>
      </c>
      <c r="H865" s="1">
        <v>7</v>
      </c>
      <c r="I865" s="1">
        <v>4</v>
      </c>
      <c r="J865" s="1">
        <v>0</v>
      </c>
      <c r="K865" s="1">
        <v>0</v>
      </c>
      <c r="L865" s="1">
        <v>12376</v>
      </c>
      <c r="M865" s="1">
        <v>0</v>
      </c>
    </row>
    <row r="866" spans="2:13" x14ac:dyDescent="0.25">
      <c r="B866" s="1">
        <v>0</v>
      </c>
      <c r="C866" s="1">
        <v>0</v>
      </c>
      <c r="D866" s="1">
        <v>1</v>
      </c>
      <c r="E866" s="1">
        <v>0</v>
      </c>
      <c r="F866" s="1">
        <v>44</v>
      </c>
      <c r="G866" s="1">
        <v>1</v>
      </c>
      <c r="H866" s="1">
        <v>1</v>
      </c>
      <c r="I866" s="1">
        <v>5</v>
      </c>
      <c r="J866" s="1">
        <v>0</v>
      </c>
      <c r="K866" s="1">
        <v>0</v>
      </c>
      <c r="L866" s="1">
        <v>8397</v>
      </c>
      <c r="M866" s="1">
        <v>0</v>
      </c>
    </row>
    <row r="867" spans="2:13" x14ac:dyDescent="0.25">
      <c r="B867" s="1">
        <v>0</v>
      </c>
      <c r="C867" s="1">
        <v>0</v>
      </c>
      <c r="D867" s="1">
        <v>1</v>
      </c>
      <c r="E867" s="1">
        <v>0</v>
      </c>
      <c r="F867" s="1">
        <v>44</v>
      </c>
      <c r="G867" s="1">
        <v>0</v>
      </c>
      <c r="H867" s="1">
        <v>4</v>
      </c>
      <c r="I867" s="1">
        <v>2</v>
      </c>
      <c r="J867" s="1">
        <v>1</v>
      </c>
      <c r="K867" s="1">
        <v>0</v>
      </c>
      <c r="L867" s="1">
        <v>26980</v>
      </c>
      <c r="M867" s="1">
        <v>0</v>
      </c>
    </row>
    <row r="868" spans="2:13" x14ac:dyDescent="0.25">
      <c r="B868" s="1">
        <v>0</v>
      </c>
      <c r="C868" s="1">
        <v>0</v>
      </c>
      <c r="D868" s="1">
        <v>1</v>
      </c>
      <c r="E868" s="1">
        <v>0</v>
      </c>
      <c r="F868" s="1">
        <v>44</v>
      </c>
      <c r="G868" s="1">
        <v>1</v>
      </c>
      <c r="H868" s="1">
        <v>2</v>
      </c>
      <c r="I868" s="1">
        <v>5</v>
      </c>
      <c r="J868" s="1">
        <v>0</v>
      </c>
      <c r="K868" s="1">
        <v>0</v>
      </c>
      <c r="L868" s="1">
        <v>6439</v>
      </c>
      <c r="M868" s="1">
        <v>0</v>
      </c>
    </row>
    <row r="869" spans="2:13" x14ac:dyDescent="0.25">
      <c r="B869" s="1">
        <v>0</v>
      </c>
      <c r="C869" s="1">
        <v>0</v>
      </c>
      <c r="D869" s="1">
        <v>1</v>
      </c>
      <c r="E869" s="1">
        <v>0</v>
      </c>
      <c r="F869" s="1">
        <v>44</v>
      </c>
      <c r="G869" s="1">
        <v>0</v>
      </c>
      <c r="H869" s="1">
        <v>3</v>
      </c>
      <c r="I869" s="1">
        <v>2</v>
      </c>
      <c r="J869" s="1">
        <v>1</v>
      </c>
      <c r="K869" s="1">
        <v>0</v>
      </c>
      <c r="L869" s="1">
        <v>9100</v>
      </c>
      <c r="M869" s="1">
        <v>0</v>
      </c>
    </row>
    <row r="870" spans="2:13" x14ac:dyDescent="0.25">
      <c r="B870" s="1">
        <v>0</v>
      </c>
      <c r="C870" s="1">
        <v>0</v>
      </c>
      <c r="D870" s="1">
        <v>1</v>
      </c>
      <c r="E870" s="1">
        <v>0</v>
      </c>
      <c r="F870" s="1">
        <v>44</v>
      </c>
      <c r="G870" s="1">
        <v>1</v>
      </c>
      <c r="H870" s="1">
        <v>4</v>
      </c>
      <c r="I870" s="1">
        <v>0</v>
      </c>
      <c r="J870" s="1">
        <v>0</v>
      </c>
      <c r="K870" s="1">
        <v>0</v>
      </c>
      <c r="L870" s="1">
        <v>10841</v>
      </c>
      <c r="M870" s="1">
        <v>0</v>
      </c>
    </row>
    <row r="871" spans="2:13" x14ac:dyDescent="0.25">
      <c r="B871" s="1">
        <v>0</v>
      </c>
      <c r="C871" s="1">
        <v>0</v>
      </c>
      <c r="D871" s="1">
        <v>1</v>
      </c>
      <c r="E871" s="1">
        <v>0</v>
      </c>
      <c r="F871" s="1">
        <v>44</v>
      </c>
      <c r="G871" s="1">
        <v>1</v>
      </c>
      <c r="H871" s="1">
        <v>3</v>
      </c>
      <c r="I871" s="1">
        <v>1</v>
      </c>
      <c r="J871" s="1">
        <v>1</v>
      </c>
      <c r="K871" s="1">
        <v>0</v>
      </c>
      <c r="L871" s="1">
        <v>21235</v>
      </c>
      <c r="M871" s="1">
        <v>1</v>
      </c>
    </row>
    <row r="872" spans="2:13" x14ac:dyDescent="0.25">
      <c r="B872" s="1">
        <v>0</v>
      </c>
      <c r="C872" s="1">
        <v>0</v>
      </c>
      <c r="D872" s="1">
        <v>1</v>
      </c>
      <c r="E872" s="1">
        <v>0</v>
      </c>
      <c r="F872" s="1">
        <v>44</v>
      </c>
      <c r="G872" s="1">
        <v>1</v>
      </c>
      <c r="H872" s="1">
        <v>43</v>
      </c>
      <c r="I872" s="1">
        <v>5</v>
      </c>
      <c r="J872" s="1">
        <v>6</v>
      </c>
      <c r="K872" s="1">
        <v>0</v>
      </c>
      <c r="L872" s="1">
        <v>196938</v>
      </c>
      <c r="M872" s="1">
        <v>1</v>
      </c>
    </row>
    <row r="873" spans="2:13" x14ac:dyDescent="0.25">
      <c r="B873" s="1">
        <v>0</v>
      </c>
      <c r="C873" s="1">
        <v>0</v>
      </c>
      <c r="D873" s="1">
        <v>1</v>
      </c>
      <c r="E873" s="1">
        <v>0</v>
      </c>
      <c r="F873" s="1">
        <v>43</v>
      </c>
      <c r="G873" s="1">
        <v>1</v>
      </c>
      <c r="H873" s="1">
        <v>9</v>
      </c>
      <c r="I873" s="1">
        <v>5</v>
      </c>
      <c r="J873" s="1">
        <v>0</v>
      </c>
      <c r="K873" s="1">
        <v>0</v>
      </c>
      <c r="L873" s="1">
        <v>13508</v>
      </c>
      <c r="M873" s="1">
        <v>0</v>
      </c>
    </row>
    <row r="874" spans="2:13" x14ac:dyDescent="0.25">
      <c r="B874" s="1">
        <v>0</v>
      </c>
      <c r="C874" s="1">
        <v>0</v>
      </c>
      <c r="D874" s="1">
        <v>1</v>
      </c>
      <c r="E874" s="1">
        <v>0</v>
      </c>
      <c r="F874" s="1">
        <v>43</v>
      </c>
      <c r="G874" s="1">
        <v>1</v>
      </c>
      <c r="H874" s="1">
        <v>11</v>
      </c>
      <c r="I874" s="1">
        <v>6</v>
      </c>
      <c r="J874" s="1">
        <v>0</v>
      </c>
      <c r="K874" s="1">
        <v>0</v>
      </c>
      <c r="L874" s="1">
        <v>20623</v>
      </c>
      <c r="M874" s="1">
        <v>0</v>
      </c>
    </row>
    <row r="875" spans="2:13" x14ac:dyDescent="0.25">
      <c r="B875" s="1">
        <v>0</v>
      </c>
      <c r="C875" s="1">
        <v>0</v>
      </c>
      <c r="D875" s="1">
        <v>1</v>
      </c>
      <c r="E875" s="1">
        <v>0</v>
      </c>
      <c r="F875" s="1">
        <v>43</v>
      </c>
      <c r="G875" s="1">
        <v>1</v>
      </c>
      <c r="H875" s="1">
        <v>4</v>
      </c>
      <c r="I875" s="1">
        <v>4</v>
      </c>
      <c r="J875" s="1">
        <v>0</v>
      </c>
      <c r="K875" s="1">
        <v>0</v>
      </c>
      <c r="L875" s="1">
        <v>5673</v>
      </c>
      <c r="M875" s="1">
        <v>0</v>
      </c>
    </row>
    <row r="876" spans="2:13" x14ac:dyDescent="0.25">
      <c r="B876" s="1">
        <v>0</v>
      </c>
      <c r="C876" s="1">
        <v>0</v>
      </c>
      <c r="D876" s="1">
        <v>1</v>
      </c>
      <c r="E876" s="1">
        <v>0</v>
      </c>
      <c r="F876" s="1">
        <v>43</v>
      </c>
      <c r="G876" s="1">
        <v>0</v>
      </c>
      <c r="H876" s="1">
        <v>4</v>
      </c>
      <c r="I876" s="1">
        <v>3</v>
      </c>
      <c r="J876" s="1">
        <v>0</v>
      </c>
      <c r="K876" s="1">
        <v>0</v>
      </c>
      <c r="L876" s="1">
        <v>12953</v>
      </c>
      <c r="M876" s="1">
        <v>0</v>
      </c>
    </row>
    <row r="877" spans="2:13" x14ac:dyDescent="0.25">
      <c r="B877" s="1">
        <v>0</v>
      </c>
      <c r="C877" s="1">
        <v>0</v>
      </c>
      <c r="D877" s="1">
        <v>1</v>
      </c>
      <c r="E877" s="1">
        <v>0</v>
      </c>
      <c r="F877" s="1">
        <v>43</v>
      </c>
      <c r="G877" s="1">
        <v>0</v>
      </c>
      <c r="H877" s="1">
        <v>2</v>
      </c>
      <c r="I877" s="1">
        <v>4</v>
      </c>
      <c r="J877" s="1">
        <v>0</v>
      </c>
      <c r="K877" s="1">
        <v>0</v>
      </c>
      <c r="L877" s="1">
        <v>9198</v>
      </c>
      <c r="M877" s="1">
        <v>0</v>
      </c>
    </row>
    <row r="878" spans="2:13" x14ac:dyDescent="0.25">
      <c r="B878" s="1">
        <v>0</v>
      </c>
      <c r="C878" s="1">
        <v>0</v>
      </c>
      <c r="D878" s="1">
        <v>1</v>
      </c>
      <c r="E878" s="1">
        <v>0</v>
      </c>
      <c r="F878" s="1">
        <v>43</v>
      </c>
      <c r="G878" s="1">
        <v>1</v>
      </c>
      <c r="H878" s="1">
        <v>2</v>
      </c>
      <c r="I878" s="1">
        <v>4</v>
      </c>
      <c r="J878" s="1">
        <v>0</v>
      </c>
      <c r="K878" s="1">
        <v>0</v>
      </c>
      <c r="L878" s="1">
        <v>10503</v>
      </c>
      <c r="M878" s="1">
        <v>0</v>
      </c>
    </row>
    <row r="879" spans="2:13" x14ac:dyDescent="0.25">
      <c r="B879" s="1">
        <v>0</v>
      </c>
      <c r="C879" s="1">
        <v>0</v>
      </c>
      <c r="D879" s="1">
        <v>1</v>
      </c>
      <c r="E879" s="1">
        <v>0</v>
      </c>
      <c r="F879" s="1">
        <v>43</v>
      </c>
      <c r="G879" s="1">
        <v>1</v>
      </c>
      <c r="H879" s="1">
        <v>6</v>
      </c>
      <c r="I879" s="1">
        <v>3</v>
      </c>
      <c r="J879" s="1">
        <v>0</v>
      </c>
      <c r="K879" s="1">
        <v>0</v>
      </c>
      <c r="L879" s="1">
        <v>19540</v>
      </c>
      <c r="M879" s="1">
        <v>0</v>
      </c>
    </row>
    <row r="880" spans="2:13" x14ac:dyDescent="0.25">
      <c r="B880" s="1">
        <v>0</v>
      </c>
      <c r="C880" s="1">
        <v>0</v>
      </c>
      <c r="D880" s="1">
        <v>1</v>
      </c>
      <c r="E880" s="1">
        <v>0</v>
      </c>
      <c r="F880" s="1">
        <v>43</v>
      </c>
      <c r="G880" s="1">
        <v>0</v>
      </c>
      <c r="H880" s="1">
        <v>0</v>
      </c>
      <c r="I880" s="1">
        <v>6</v>
      </c>
      <c r="J880" s="1">
        <v>0</v>
      </c>
      <c r="K880" s="1">
        <v>0</v>
      </c>
      <c r="L880" s="1">
        <v>9831</v>
      </c>
      <c r="M880" s="1">
        <v>0</v>
      </c>
    </row>
    <row r="881" spans="2:13" x14ac:dyDescent="0.25">
      <c r="B881" s="1">
        <v>0</v>
      </c>
      <c r="C881" s="1">
        <v>0</v>
      </c>
      <c r="D881" s="1">
        <v>1</v>
      </c>
      <c r="E881" s="1">
        <v>0</v>
      </c>
      <c r="F881" s="1">
        <v>43</v>
      </c>
      <c r="G881" s="1">
        <v>0</v>
      </c>
      <c r="H881" s="1">
        <v>6</v>
      </c>
      <c r="I881" s="1">
        <v>3</v>
      </c>
      <c r="J881" s="1">
        <v>0</v>
      </c>
      <c r="K881" s="1">
        <v>0</v>
      </c>
      <c r="L881" s="1">
        <v>8566</v>
      </c>
      <c r="M881" s="1">
        <v>0</v>
      </c>
    </row>
    <row r="882" spans="2:13" x14ac:dyDescent="0.25">
      <c r="B882" s="1">
        <v>0</v>
      </c>
      <c r="C882" s="1">
        <v>0</v>
      </c>
      <c r="D882" s="1">
        <v>1</v>
      </c>
      <c r="E882" s="1">
        <v>0</v>
      </c>
      <c r="F882" s="1">
        <v>43</v>
      </c>
      <c r="G882" s="1">
        <v>0</v>
      </c>
      <c r="H882" s="1">
        <v>0</v>
      </c>
      <c r="I882" s="1">
        <v>3</v>
      </c>
      <c r="J882" s="1">
        <v>0</v>
      </c>
      <c r="K882" s="1">
        <v>0</v>
      </c>
      <c r="L882" s="1">
        <v>9652</v>
      </c>
      <c r="M882" s="1">
        <v>0</v>
      </c>
    </row>
    <row r="883" spans="2:13" x14ac:dyDescent="0.25">
      <c r="B883" s="1">
        <v>0</v>
      </c>
      <c r="C883" s="1">
        <v>0</v>
      </c>
      <c r="D883" s="1">
        <v>1</v>
      </c>
      <c r="E883" s="1">
        <v>0</v>
      </c>
      <c r="F883" s="1">
        <v>43</v>
      </c>
      <c r="G883" s="1">
        <v>0</v>
      </c>
      <c r="H883" s="1">
        <v>9</v>
      </c>
      <c r="I883" s="1">
        <v>2</v>
      </c>
      <c r="J883" s="1">
        <v>0</v>
      </c>
      <c r="K883" s="1">
        <v>0</v>
      </c>
      <c r="L883" s="1">
        <v>18029</v>
      </c>
      <c r="M883" s="1">
        <v>0</v>
      </c>
    </row>
    <row r="884" spans="2:13" x14ac:dyDescent="0.25">
      <c r="B884" s="1">
        <v>0</v>
      </c>
      <c r="C884" s="1">
        <v>0</v>
      </c>
      <c r="D884" s="1">
        <v>1</v>
      </c>
      <c r="E884" s="1">
        <v>0</v>
      </c>
      <c r="F884" s="1">
        <v>43</v>
      </c>
      <c r="G884" s="1">
        <v>1</v>
      </c>
      <c r="H884" s="1">
        <v>2</v>
      </c>
      <c r="I884" s="1">
        <v>2</v>
      </c>
      <c r="J884" s="1">
        <v>0</v>
      </c>
      <c r="K884" s="1">
        <v>0</v>
      </c>
      <c r="L884" s="1">
        <v>5202</v>
      </c>
      <c r="M884" s="1">
        <v>0</v>
      </c>
    </row>
    <row r="885" spans="2:13" x14ac:dyDescent="0.25">
      <c r="B885" s="1">
        <v>0</v>
      </c>
      <c r="C885" s="1">
        <v>0</v>
      </c>
      <c r="D885" s="1">
        <v>1</v>
      </c>
      <c r="E885" s="1">
        <v>0</v>
      </c>
      <c r="F885" s="1">
        <v>43</v>
      </c>
      <c r="G885" s="1">
        <v>0</v>
      </c>
      <c r="H885" s="1">
        <v>7</v>
      </c>
      <c r="I885" s="1">
        <v>4</v>
      </c>
      <c r="J885" s="1">
        <v>0</v>
      </c>
      <c r="K885" s="1">
        <v>0</v>
      </c>
      <c r="L885" s="1">
        <v>13145</v>
      </c>
      <c r="M885" s="1">
        <v>0</v>
      </c>
    </row>
    <row r="886" spans="2:13" x14ac:dyDescent="0.25">
      <c r="B886" s="1">
        <v>0</v>
      </c>
      <c r="C886" s="1">
        <v>0</v>
      </c>
      <c r="D886" s="1">
        <v>1</v>
      </c>
      <c r="E886" s="1">
        <v>0</v>
      </c>
      <c r="F886" s="1">
        <v>43</v>
      </c>
      <c r="G886" s="1">
        <v>1</v>
      </c>
      <c r="H886" s="1">
        <v>6</v>
      </c>
      <c r="I886" s="1">
        <v>2</v>
      </c>
      <c r="J886" s="1">
        <v>2</v>
      </c>
      <c r="K886" s="1">
        <v>0</v>
      </c>
      <c r="L886" s="1">
        <v>22504</v>
      </c>
      <c r="M886" s="1">
        <v>1</v>
      </c>
    </row>
    <row r="887" spans="2:13" x14ac:dyDescent="0.25">
      <c r="B887" s="1">
        <v>0</v>
      </c>
      <c r="C887" s="1">
        <v>0</v>
      </c>
      <c r="D887" s="1">
        <v>1</v>
      </c>
      <c r="E887" s="1">
        <v>0</v>
      </c>
      <c r="F887" s="1">
        <v>43</v>
      </c>
      <c r="G887" s="1">
        <v>1</v>
      </c>
      <c r="H887" s="1">
        <v>3</v>
      </c>
      <c r="I887" s="1">
        <v>1</v>
      </c>
      <c r="J887" s="1">
        <v>1</v>
      </c>
      <c r="K887" s="1">
        <v>0</v>
      </c>
      <c r="L887" s="1">
        <v>42228</v>
      </c>
      <c r="M887" s="1">
        <v>1</v>
      </c>
    </row>
    <row r="888" spans="2:13" x14ac:dyDescent="0.25">
      <c r="B888" s="1">
        <v>0</v>
      </c>
      <c r="C888" s="1">
        <v>0</v>
      </c>
      <c r="D888" s="1">
        <v>1</v>
      </c>
      <c r="E888" s="1">
        <v>0</v>
      </c>
      <c r="F888" s="1">
        <v>43</v>
      </c>
      <c r="G888" s="1">
        <v>1</v>
      </c>
      <c r="H888" s="1">
        <v>5</v>
      </c>
      <c r="I888" s="1">
        <v>5</v>
      </c>
      <c r="J888" s="1">
        <v>1</v>
      </c>
      <c r="K888" s="1">
        <v>0</v>
      </c>
      <c r="L888" s="1">
        <v>25545</v>
      </c>
      <c r="M888" s="1">
        <v>1</v>
      </c>
    </row>
    <row r="889" spans="2:13" x14ac:dyDescent="0.25">
      <c r="B889" s="1">
        <v>0</v>
      </c>
      <c r="C889" s="1">
        <v>0</v>
      </c>
      <c r="D889" s="1">
        <v>1</v>
      </c>
      <c r="E889" s="1">
        <v>0</v>
      </c>
      <c r="F889" s="1">
        <v>43</v>
      </c>
      <c r="G889" s="1">
        <v>1</v>
      </c>
      <c r="H889" s="1">
        <v>5</v>
      </c>
      <c r="I889" s="1">
        <v>0</v>
      </c>
      <c r="J889" s="1">
        <v>1</v>
      </c>
      <c r="K889" s="1">
        <v>0</v>
      </c>
      <c r="L889" s="1">
        <v>79450</v>
      </c>
      <c r="M889" s="1">
        <v>1</v>
      </c>
    </row>
    <row r="890" spans="2:13" x14ac:dyDescent="0.25">
      <c r="B890" s="1">
        <v>0</v>
      </c>
      <c r="C890" s="1">
        <v>0</v>
      </c>
      <c r="D890" s="1">
        <v>1</v>
      </c>
      <c r="E890" s="1">
        <v>0</v>
      </c>
      <c r="F890" s="1">
        <v>42</v>
      </c>
      <c r="G890" s="1">
        <v>0</v>
      </c>
      <c r="H890" s="1">
        <v>6</v>
      </c>
      <c r="I890" s="1">
        <v>1</v>
      </c>
      <c r="J890" s="1">
        <v>1</v>
      </c>
      <c r="K890" s="1">
        <v>0</v>
      </c>
      <c r="L890" s="1">
        <v>14522</v>
      </c>
      <c r="M890" s="1">
        <v>0</v>
      </c>
    </row>
    <row r="891" spans="2:13" x14ac:dyDescent="0.25">
      <c r="B891" s="1">
        <v>0</v>
      </c>
      <c r="C891" s="1">
        <v>0</v>
      </c>
      <c r="D891" s="1">
        <v>1</v>
      </c>
      <c r="E891" s="1">
        <v>0</v>
      </c>
      <c r="F891" s="1">
        <v>42</v>
      </c>
      <c r="G891" s="1">
        <v>0</v>
      </c>
      <c r="H891" s="1">
        <v>2</v>
      </c>
      <c r="I891" s="1">
        <v>3</v>
      </c>
      <c r="J891" s="1">
        <v>0</v>
      </c>
      <c r="K891" s="1">
        <v>0</v>
      </c>
      <c r="L891" s="1">
        <v>14546</v>
      </c>
      <c r="M891" s="1">
        <v>0</v>
      </c>
    </row>
    <row r="892" spans="2:13" x14ac:dyDescent="0.25">
      <c r="B892" s="1">
        <v>0</v>
      </c>
      <c r="C892" s="1">
        <v>0</v>
      </c>
      <c r="D892" s="1">
        <v>1</v>
      </c>
      <c r="E892" s="1">
        <v>0</v>
      </c>
      <c r="F892" s="1">
        <v>42</v>
      </c>
      <c r="G892" s="1">
        <v>0</v>
      </c>
      <c r="H892" s="1">
        <v>6</v>
      </c>
      <c r="I892" s="1">
        <v>2</v>
      </c>
      <c r="J892" s="1">
        <v>0</v>
      </c>
      <c r="K892" s="1">
        <v>0</v>
      </c>
      <c r="L892" s="1">
        <v>9855</v>
      </c>
      <c r="M892" s="1">
        <v>0</v>
      </c>
    </row>
    <row r="893" spans="2:13" x14ac:dyDescent="0.25">
      <c r="B893" s="1">
        <v>0</v>
      </c>
      <c r="C893" s="1">
        <v>0</v>
      </c>
      <c r="D893" s="1">
        <v>1</v>
      </c>
      <c r="E893" s="1">
        <v>0</v>
      </c>
      <c r="F893" s="1">
        <v>42</v>
      </c>
      <c r="G893" s="1">
        <v>1</v>
      </c>
      <c r="H893" s="1">
        <v>10</v>
      </c>
      <c r="I893" s="1">
        <v>5</v>
      </c>
      <c r="J893" s="1">
        <v>0</v>
      </c>
      <c r="K893" s="1">
        <v>0</v>
      </c>
      <c r="L893" s="1">
        <v>14231</v>
      </c>
      <c r="M893" s="1">
        <v>0</v>
      </c>
    </row>
    <row r="894" spans="2:13" x14ac:dyDescent="0.25">
      <c r="B894" s="1">
        <v>0</v>
      </c>
      <c r="C894" s="1">
        <v>0</v>
      </c>
      <c r="D894" s="1">
        <v>1</v>
      </c>
      <c r="E894" s="1">
        <v>0</v>
      </c>
      <c r="F894" s="1">
        <v>42</v>
      </c>
      <c r="G894" s="1">
        <v>1</v>
      </c>
      <c r="H894" s="1">
        <v>5</v>
      </c>
      <c r="I894" s="1">
        <v>2</v>
      </c>
      <c r="J894" s="1">
        <v>1</v>
      </c>
      <c r="K894" s="1">
        <v>0</v>
      </c>
      <c r="L894" s="1">
        <v>17534</v>
      </c>
      <c r="M894" s="1">
        <v>0</v>
      </c>
    </row>
    <row r="895" spans="2:13" x14ac:dyDescent="0.25">
      <c r="B895" s="1">
        <v>0</v>
      </c>
      <c r="C895" s="1">
        <v>0</v>
      </c>
      <c r="D895" s="1">
        <v>1</v>
      </c>
      <c r="E895" s="1">
        <v>0</v>
      </c>
      <c r="F895" s="1">
        <v>42</v>
      </c>
      <c r="G895" s="1">
        <v>0</v>
      </c>
      <c r="H895" s="1">
        <v>0</v>
      </c>
      <c r="I895" s="1">
        <v>0</v>
      </c>
      <c r="J895" s="1">
        <v>0</v>
      </c>
      <c r="K895" s="1">
        <v>0</v>
      </c>
      <c r="L895" s="1">
        <v>4762</v>
      </c>
      <c r="M895" s="1">
        <v>0</v>
      </c>
    </row>
    <row r="896" spans="2:13" x14ac:dyDescent="0.25">
      <c r="B896" s="1">
        <v>0</v>
      </c>
      <c r="C896" s="1">
        <v>0</v>
      </c>
      <c r="D896" s="1">
        <v>1</v>
      </c>
      <c r="E896" s="1">
        <v>0</v>
      </c>
      <c r="F896" s="1">
        <v>42</v>
      </c>
      <c r="G896" s="1">
        <v>0</v>
      </c>
      <c r="H896" s="1">
        <v>3</v>
      </c>
      <c r="I896" s="1">
        <v>3</v>
      </c>
      <c r="J896" s="1">
        <v>0</v>
      </c>
      <c r="K896" s="1">
        <v>0</v>
      </c>
      <c r="L896" s="1">
        <v>15235</v>
      </c>
      <c r="M896" s="1">
        <v>0</v>
      </c>
    </row>
    <row r="897" spans="2:13" x14ac:dyDescent="0.25">
      <c r="B897" s="1">
        <v>0</v>
      </c>
      <c r="C897" s="1">
        <v>0</v>
      </c>
      <c r="D897" s="1">
        <v>1</v>
      </c>
      <c r="E897" s="1">
        <v>0</v>
      </c>
      <c r="F897" s="1">
        <v>42</v>
      </c>
      <c r="G897" s="1">
        <v>0</v>
      </c>
      <c r="H897" s="1">
        <v>4</v>
      </c>
      <c r="I897" s="1">
        <v>2</v>
      </c>
      <c r="J897" s="1">
        <v>0</v>
      </c>
      <c r="K897" s="1">
        <v>0</v>
      </c>
      <c r="L897" s="1">
        <v>9160</v>
      </c>
      <c r="M897" s="1">
        <v>0</v>
      </c>
    </row>
    <row r="898" spans="2:13" x14ac:dyDescent="0.25">
      <c r="B898" s="1">
        <v>0</v>
      </c>
      <c r="C898" s="1">
        <v>0</v>
      </c>
      <c r="D898" s="1">
        <v>1</v>
      </c>
      <c r="E898" s="1">
        <v>0</v>
      </c>
      <c r="F898" s="1">
        <v>42</v>
      </c>
      <c r="G898" s="1">
        <v>0</v>
      </c>
      <c r="H898" s="1">
        <v>3</v>
      </c>
      <c r="I898" s="1">
        <v>6</v>
      </c>
      <c r="J898" s="1">
        <v>1</v>
      </c>
      <c r="K898" s="1">
        <v>0</v>
      </c>
      <c r="L898" s="1">
        <v>12983</v>
      </c>
      <c r="M898" s="1">
        <v>0</v>
      </c>
    </row>
    <row r="899" spans="2:13" x14ac:dyDescent="0.25">
      <c r="B899" s="1">
        <v>0</v>
      </c>
      <c r="C899" s="1">
        <v>0</v>
      </c>
      <c r="D899" s="1">
        <v>1</v>
      </c>
      <c r="E899" s="1">
        <v>0</v>
      </c>
      <c r="F899" s="1">
        <v>42</v>
      </c>
      <c r="G899" s="1">
        <v>1</v>
      </c>
      <c r="H899" s="1">
        <v>41</v>
      </c>
      <c r="I899" s="1">
        <v>3</v>
      </c>
      <c r="J899" s="1">
        <v>2</v>
      </c>
      <c r="K899" s="1">
        <v>0</v>
      </c>
      <c r="L899" s="1">
        <v>85552</v>
      </c>
      <c r="M899" s="1">
        <v>0</v>
      </c>
    </row>
    <row r="900" spans="2:13" x14ac:dyDescent="0.25">
      <c r="B900" s="1">
        <v>0</v>
      </c>
      <c r="C900" s="1">
        <v>0</v>
      </c>
      <c r="D900" s="1">
        <v>1</v>
      </c>
      <c r="E900" s="1">
        <v>0</v>
      </c>
      <c r="F900" s="1">
        <v>42</v>
      </c>
      <c r="G900" s="1">
        <v>1</v>
      </c>
      <c r="H900" s="1">
        <v>4</v>
      </c>
      <c r="I900" s="1">
        <v>6</v>
      </c>
      <c r="J900" s="1">
        <v>1</v>
      </c>
      <c r="K900" s="1">
        <v>0</v>
      </c>
      <c r="L900" s="1">
        <v>21601</v>
      </c>
      <c r="M900" s="1">
        <v>1</v>
      </c>
    </row>
    <row r="901" spans="2:13" x14ac:dyDescent="0.25">
      <c r="B901" s="1">
        <v>0</v>
      </c>
      <c r="C901" s="1">
        <v>0</v>
      </c>
      <c r="D901" s="1">
        <v>1</v>
      </c>
      <c r="E901" s="1">
        <v>0</v>
      </c>
      <c r="F901" s="1">
        <v>42</v>
      </c>
      <c r="G901" s="1">
        <v>1</v>
      </c>
      <c r="H901" s="1">
        <v>5</v>
      </c>
      <c r="I901" s="1">
        <v>0</v>
      </c>
      <c r="J901" s="1">
        <v>1</v>
      </c>
      <c r="K901" s="1">
        <v>0</v>
      </c>
      <c r="L901" s="1">
        <v>29187</v>
      </c>
      <c r="M901" s="1">
        <v>1</v>
      </c>
    </row>
    <row r="902" spans="2:13" x14ac:dyDescent="0.25">
      <c r="B902" s="1">
        <v>0</v>
      </c>
      <c r="C902" s="1">
        <v>0</v>
      </c>
      <c r="D902" s="1">
        <v>1</v>
      </c>
      <c r="E902" s="1">
        <v>0</v>
      </c>
      <c r="F902" s="1">
        <v>42</v>
      </c>
      <c r="G902" s="1">
        <v>0</v>
      </c>
      <c r="H902" s="1">
        <v>6</v>
      </c>
      <c r="I902" s="1">
        <v>0</v>
      </c>
      <c r="J902" s="1">
        <v>2</v>
      </c>
      <c r="K902" s="1">
        <v>0</v>
      </c>
      <c r="L902" s="1">
        <v>28006</v>
      </c>
      <c r="M902" s="1">
        <v>1</v>
      </c>
    </row>
    <row r="903" spans="2:13" x14ac:dyDescent="0.25">
      <c r="B903" s="1">
        <v>0</v>
      </c>
      <c r="C903" s="1">
        <v>0</v>
      </c>
      <c r="D903" s="1">
        <v>1</v>
      </c>
      <c r="E903" s="1">
        <v>0</v>
      </c>
      <c r="F903" s="1">
        <v>42</v>
      </c>
      <c r="G903" s="1">
        <v>0</v>
      </c>
      <c r="H903" s="1">
        <v>4</v>
      </c>
      <c r="I903" s="1">
        <v>4</v>
      </c>
      <c r="J903" s="1">
        <v>1</v>
      </c>
      <c r="K903" s="1">
        <v>0</v>
      </c>
      <c r="L903" s="1">
        <v>40867</v>
      </c>
      <c r="M903" s="1">
        <v>1</v>
      </c>
    </row>
    <row r="904" spans="2:13" x14ac:dyDescent="0.25">
      <c r="B904" s="1">
        <v>0</v>
      </c>
      <c r="C904" s="1">
        <v>0</v>
      </c>
      <c r="D904" s="1">
        <v>1</v>
      </c>
      <c r="E904" s="1">
        <v>0</v>
      </c>
      <c r="F904" s="1">
        <v>42</v>
      </c>
      <c r="G904" s="1">
        <v>1</v>
      </c>
      <c r="H904" s="1">
        <v>3</v>
      </c>
      <c r="I904" s="1">
        <v>0</v>
      </c>
      <c r="J904" s="1">
        <v>2</v>
      </c>
      <c r="K904" s="1">
        <v>0</v>
      </c>
      <c r="L904" s="1">
        <v>9593</v>
      </c>
      <c r="M904" s="1">
        <v>1</v>
      </c>
    </row>
    <row r="905" spans="2:13" x14ac:dyDescent="0.25">
      <c r="B905" s="1">
        <v>0</v>
      </c>
      <c r="C905" s="1">
        <v>0</v>
      </c>
      <c r="D905" s="1">
        <v>1</v>
      </c>
      <c r="E905" s="1">
        <v>0</v>
      </c>
      <c r="F905" s="1">
        <v>41</v>
      </c>
      <c r="G905" s="1">
        <v>0</v>
      </c>
      <c r="H905" s="1">
        <v>3</v>
      </c>
      <c r="I905" s="1">
        <v>3</v>
      </c>
      <c r="J905" s="1">
        <v>0</v>
      </c>
      <c r="K905" s="1">
        <v>0</v>
      </c>
      <c r="L905" s="1">
        <v>5681</v>
      </c>
      <c r="M905" s="1">
        <v>0</v>
      </c>
    </row>
    <row r="906" spans="2:13" x14ac:dyDescent="0.25">
      <c r="B906" s="1">
        <v>0</v>
      </c>
      <c r="C906" s="1">
        <v>0</v>
      </c>
      <c r="D906" s="1">
        <v>1</v>
      </c>
      <c r="E906" s="1">
        <v>0</v>
      </c>
      <c r="F906" s="1">
        <v>41</v>
      </c>
      <c r="G906" s="1">
        <v>0</v>
      </c>
      <c r="H906" s="1">
        <v>9</v>
      </c>
      <c r="I906" s="1">
        <v>3</v>
      </c>
      <c r="J906" s="1">
        <v>0</v>
      </c>
      <c r="K906" s="1">
        <v>0</v>
      </c>
      <c r="L906" s="1">
        <v>12023</v>
      </c>
      <c r="M906" s="1">
        <v>0</v>
      </c>
    </row>
    <row r="907" spans="2:13" x14ac:dyDescent="0.25">
      <c r="B907" s="1">
        <v>0</v>
      </c>
      <c r="C907" s="1">
        <v>0</v>
      </c>
      <c r="D907" s="1">
        <v>1</v>
      </c>
      <c r="E907" s="1">
        <v>0</v>
      </c>
      <c r="F907" s="1">
        <v>41</v>
      </c>
      <c r="G907" s="1">
        <v>1</v>
      </c>
      <c r="H907" s="1">
        <v>7</v>
      </c>
      <c r="I907" s="1">
        <v>4</v>
      </c>
      <c r="J907" s="1">
        <v>0</v>
      </c>
      <c r="K907" s="1">
        <v>0</v>
      </c>
      <c r="L907" s="1">
        <v>15402</v>
      </c>
      <c r="M907" s="1">
        <v>0</v>
      </c>
    </row>
    <row r="908" spans="2:13" x14ac:dyDescent="0.25">
      <c r="B908" s="1">
        <v>0</v>
      </c>
      <c r="C908" s="1">
        <v>0</v>
      </c>
      <c r="D908" s="1">
        <v>1</v>
      </c>
      <c r="E908" s="1">
        <v>0</v>
      </c>
      <c r="F908" s="1">
        <v>41</v>
      </c>
      <c r="G908" s="1">
        <v>0</v>
      </c>
      <c r="H908" s="1">
        <v>2</v>
      </c>
      <c r="I908" s="1">
        <v>0</v>
      </c>
      <c r="J908" s="1">
        <v>0</v>
      </c>
      <c r="K908" s="1">
        <v>0</v>
      </c>
      <c r="L908" s="1">
        <v>10323</v>
      </c>
      <c r="M908" s="1">
        <v>0</v>
      </c>
    </row>
    <row r="909" spans="2:13" x14ac:dyDescent="0.25">
      <c r="B909" s="1">
        <v>0</v>
      </c>
      <c r="C909" s="1">
        <v>0</v>
      </c>
      <c r="D909" s="1">
        <v>1</v>
      </c>
      <c r="E909" s="1">
        <v>0</v>
      </c>
      <c r="F909" s="1">
        <v>41</v>
      </c>
      <c r="G909" s="1">
        <v>1</v>
      </c>
      <c r="H909" s="1">
        <v>7</v>
      </c>
      <c r="I909" s="1">
        <v>4</v>
      </c>
      <c r="J909" s="1">
        <v>0</v>
      </c>
      <c r="K909" s="1">
        <v>0</v>
      </c>
      <c r="L909" s="1">
        <v>12165</v>
      </c>
      <c r="M909" s="1">
        <v>0</v>
      </c>
    </row>
    <row r="910" spans="2:13" x14ac:dyDescent="0.25">
      <c r="B910" s="1">
        <v>0</v>
      </c>
      <c r="C910" s="1">
        <v>0</v>
      </c>
      <c r="D910" s="1">
        <v>1</v>
      </c>
      <c r="E910" s="1">
        <v>0</v>
      </c>
      <c r="F910" s="1">
        <v>41</v>
      </c>
      <c r="G910" s="1">
        <v>1</v>
      </c>
      <c r="H910" s="1">
        <v>6</v>
      </c>
      <c r="I910" s="1">
        <v>3</v>
      </c>
      <c r="J910" s="1">
        <v>0</v>
      </c>
      <c r="K910" s="1">
        <v>0</v>
      </c>
      <c r="L910" s="1">
        <v>15116</v>
      </c>
      <c r="M910" s="1">
        <v>0</v>
      </c>
    </row>
    <row r="911" spans="2:13" x14ac:dyDescent="0.25">
      <c r="B911" s="1">
        <v>0</v>
      </c>
      <c r="C911" s="1">
        <v>0</v>
      </c>
      <c r="D911" s="1">
        <v>1</v>
      </c>
      <c r="E911" s="1">
        <v>0</v>
      </c>
      <c r="F911" s="1">
        <v>41</v>
      </c>
      <c r="G911" s="1">
        <v>1</v>
      </c>
      <c r="H911" s="1">
        <v>2</v>
      </c>
      <c r="I911" s="1">
        <v>1</v>
      </c>
      <c r="J911" s="1">
        <v>1</v>
      </c>
      <c r="K911" s="1">
        <v>0</v>
      </c>
      <c r="L911" s="1">
        <v>26873</v>
      </c>
      <c r="M911" s="1">
        <v>1</v>
      </c>
    </row>
    <row r="912" spans="2:13" x14ac:dyDescent="0.25">
      <c r="B912" s="1">
        <v>0</v>
      </c>
      <c r="C912" s="1">
        <v>0</v>
      </c>
      <c r="D912" s="1">
        <v>1</v>
      </c>
      <c r="E912" s="1">
        <v>0</v>
      </c>
      <c r="F912" s="1">
        <v>41</v>
      </c>
      <c r="G912" s="1">
        <v>0</v>
      </c>
      <c r="H912" s="1">
        <v>6</v>
      </c>
      <c r="I912" s="1">
        <v>1</v>
      </c>
      <c r="J912" s="1">
        <v>3</v>
      </c>
      <c r="K912" s="1">
        <v>0</v>
      </c>
      <c r="L912" s="1">
        <v>44014</v>
      </c>
      <c r="M912" s="1">
        <v>1</v>
      </c>
    </row>
    <row r="913" spans="2:13" x14ac:dyDescent="0.25">
      <c r="B913" s="1">
        <v>0</v>
      </c>
      <c r="C913" s="1">
        <v>0</v>
      </c>
      <c r="D913" s="1">
        <v>1</v>
      </c>
      <c r="E913" s="1">
        <v>0</v>
      </c>
      <c r="F913" s="1">
        <v>40</v>
      </c>
      <c r="G913" s="1">
        <v>0</v>
      </c>
      <c r="H913" s="1">
        <v>9</v>
      </c>
      <c r="I913" s="1">
        <v>4</v>
      </c>
      <c r="J913" s="1">
        <v>0</v>
      </c>
      <c r="K913" s="1">
        <v>0</v>
      </c>
      <c r="L913" s="1">
        <v>14137</v>
      </c>
      <c r="M913" s="1">
        <v>0</v>
      </c>
    </row>
    <row r="914" spans="2:13" x14ac:dyDescent="0.25">
      <c r="B914" s="1">
        <v>0</v>
      </c>
      <c r="C914" s="1">
        <v>0</v>
      </c>
      <c r="D914" s="1">
        <v>1</v>
      </c>
      <c r="E914" s="1">
        <v>0</v>
      </c>
      <c r="F914" s="1">
        <v>40</v>
      </c>
      <c r="G914" s="1">
        <v>0</v>
      </c>
      <c r="H914" s="1">
        <v>2</v>
      </c>
      <c r="I914" s="1">
        <v>4</v>
      </c>
      <c r="J914" s="1">
        <v>0</v>
      </c>
      <c r="K914" s="1">
        <v>0</v>
      </c>
      <c r="L914" s="1">
        <v>13853</v>
      </c>
      <c r="M914" s="1">
        <v>0</v>
      </c>
    </row>
    <row r="915" spans="2:13" x14ac:dyDescent="0.25">
      <c r="B915" s="1">
        <v>0</v>
      </c>
      <c r="C915" s="1">
        <v>0</v>
      </c>
      <c r="D915" s="1">
        <v>1</v>
      </c>
      <c r="E915" s="1">
        <v>0</v>
      </c>
      <c r="F915" s="1">
        <v>40</v>
      </c>
      <c r="G915" s="1">
        <v>0</v>
      </c>
      <c r="H915" s="1">
        <v>2</v>
      </c>
      <c r="I915" s="1">
        <v>1</v>
      </c>
      <c r="J915" s="1">
        <v>0</v>
      </c>
      <c r="K915" s="1">
        <v>0</v>
      </c>
      <c r="L915" s="1">
        <v>8739</v>
      </c>
      <c r="M915" s="1">
        <v>0</v>
      </c>
    </row>
    <row r="916" spans="2:13" x14ac:dyDescent="0.25">
      <c r="B916" s="1">
        <v>0</v>
      </c>
      <c r="C916" s="1">
        <v>0</v>
      </c>
      <c r="D916" s="1">
        <v>1</v>
      </c>
      <c r="E916" s="1">
        <v>0</v>
      </c>
      <c r="F916" s="1">
        <v>40</v>
      </c>
      <c r="G916" s="1">
        <v>1</v>
      </c>
      <c r="H916" s="1">
        <v>12</v>
      </c>
      <c r="I916" s="1">
        <v>1</v>
      </c>
      <c r="J916" s="1">
        <v>0</v>
      </c>
      <c r="K916" s="1">
        <v>0</v>
      </c>
      <c r="L916" s="1">
        <v>19196</v>
      </c>
      <c r="M916" s="1">
        <v>0</v>
      </c>
    </row>
    <row r="917" spans="2:13" x14ac:dyDescent="0.25">
      <c r="B917" s="1">
        <v>0</v>
      </c>
      <c r="C917" s="1">
        <v>0</v>
      </c>
      <c r="D917" s="1">
        <v>1</v>
      </c>
      <c r="E917" s="1">
        <v>0</v>
      </c>
      <c r="F917" s="1">
        <v>40</v>
      </c>
      <c r="G917" s="1">
        <v>1</v>
      </c>
      <c r="H917" s="1">
        <v>1</v>
      </c>
      <c r="I917" s="1">
        <v>1</v>
      </c>
      <c r="J917" s="1">
        <v>0</v>
      </c>
      <c r="K917" s="1">
        <v>0</v>
      </c>
      <c r="L917" s="1">
        <v>1883</v>
      </c>
      <c r="M917" s="1">
        <v>0</v>
      </c>
    </row>
    <row r="918" spans="2:13" x14ac:dyDescent="0.25">
      <c r="B918" s="1">
        <v>0</v>
      </c>
      <c r="C918" s="1">
        <v>0</v>
      </c>
      <c r="D918" s="1">
        <v>1</v>
      </c>
      <c r="E918" s="1">
        <v>0</v>
      </c>
      <c r="F918" s="1">
        <v>40</v>
      </c>
      <c r="G918" s="1">
        <v>0</v>
      </c>
      <c r="H918" s="1">
        <v>1</v>
      </c>
      <c r="I918" s="1">
        <v>3</v>
      </c>
      <c r="J918" s="1">
        <v>0</v>
      </c>
      <c r="K918" s="1">
        <v>0</v>
      </c>
      <c r="L918" s="1">
        <v>4097</v>
      </c>
      <c r="M918" s="1">
        <v>0</v>
      </c>
    </row>
    <row r="919" spans="2:13" x14ac:dyDescent="0.25">
      <c r="B919" s="1">
        <v>0</v>
      </c>
      <c r="C919" s="1">
        <v>0</v>
      </c>
      <c r="D919" s="1">
        <v>1</v>
      </c>
      <c r="E919" s="1">
        <v>0</v>
      </c>
      <c r="F919" s="1">
        <v>40</v>
      </c>
      <c r="G919" s="1">
        <v>1</v>
      </c>
      <c r="H919" s="1">
        <v>5</v>
      </c>
      <c r="I919" s="1">
        <v>0</v>
      </c>
      <c r="J919" s="1">
        <v>2</v>
      </c>
      <c r="K919" s="1">
        <v>0</v>
      </c>
      <c r="L919" s="1">
        <v>17779</v>
      </c>
      <c r="M919" s="1">
        <v>0</v>
      </c>
    </row>
    <row r="920" spans="2:13" x14ac:dyDescent="0.25">
      <c r="B920" s="1">
        <v>0</v>
      </c>
      <c r="C920" s="1">
        <v>0</v>
      </c>
      <c r="D920" s="1">
        <v>1</v>
      </c>
      <c r="E920" s="1">
        <v>0</v>
      </c>
      <c r="F920" s="1">
        <v>40</v>
      </c>
      <c r="G920" s="1">
        <v>1</v>
      </c>
      <c r="H920" s="1">
        <v>6</v>
      </c>
      <c r="I920" s="1">
        <v>0</v>
      </c>
      <c r="J920" s="1">
        <v>0</v>
      </c>
      <c r="K920" s="1">
        <v>0</v>
      </c>
      <c r="L920" s="1">
        <v>11927</v>
      </c>
      <c r="M920" s="1">
        <v>0</v>
      </c>
    </row>
    <row r="921" spans="2:13" x14ac:dyDescent="0.25">
      <c r="B921" s="1">
        <v>0</v>
      </c>
      <c r="C921" s="1">
        <v>0</v>
      </c>
      <c r="D921" s="1">
        <v>1</v>
      </c>
      <c r="E921" s="1">
        <v>0</v>
      </c>
      <c r="F921" s="1">
        <v>40</v>
      </c>
      <c r="G921" s="1">
        <v>0</v>
      </c>
      <c r="H921" s="1">
        <v>5</v>
      </c>
      <c r="I921" s="1">
        <v>3</v>
      </c>
      <c r="J921" s="1">
        <v>1</v>
      </c>
      <c r="K921" s="1">
        <v>0</v>
      </c>
      <c r="L921" s="1">
        <v>22218</v>
      </c>
      <c r="M921" s="1">
        <v>1</v>
      </c>
    </row>
    <row r="922" spans="2:13" x14ac:dyDescent="0.25">
      <c r="B922" s="1">
        <v>0</v>
      </c>
      <c r="C922" s="1">
        <v>0</v>
      </c>
      <c r="D922" s="1">
        <v>1</v>
      </c>
      <c r="E922" s="1">
        <v>0</v>
      </c>
      <c r="F922" s="1">
        <v>39</v>
      </c>
      <c r="G922" s="1">
        <v>1</v>
      </c>
      <c r="H922" s="1">
        <v>1</v>
      </c>
      <c r="I922" s="1">
        <v>5</v>
      </c>
      <c r="J922" s="1">
        <v>0</v>
      </c>
      <c r="K922" s="1">
        <v>0</v>
      </c>
      <c r="L922" s="1">
        <v>7777</v>
      </c>
      <c r="M922" s="1">
        <v>0</v>
      </c>
    </row>
    <row r="923" spans="2:13" x14ac:dyDescent="0.25">
      <c r="B923" s="1">
        <v>0</v>
      </c>
      <c r="C923" s="1">
        <v>0</v>
      </c>
      <c r="D923" s="1">
        <v>1</v>
      </c>
      <c r="E923" s="1">
        <v>0</v>
      </c>
      <c r="F923" s="1">
        <v>39</v>
      </c>
      <c r="G923" s="1">
        <v>1</v>
      </c>
      <c r="H923" s="1">
        <v>12</v>
      </c>
      <c r="I923" s="1">
        <v>3</v>
      </c>
      <c r="J923" s="1">
        <v>0</v>
      </c>
      <c r="K923" s="1">
        <v>0</v>
      </c>
      <c r="L923" s="1">
        <v>18955</v>
      </c>
      <c r="M923" s="1">
        <v>0</v>
      </c>
    </row>
    <row r="924" spans="2:13" x14ac:dyDescent="0.25">
      <c r="B924" s="1">
        <v>0</v>
      </c>
      <c r="C924" s="1">
        <v>0</v>
      </c>
      <c r="D924" s="1">
        <v>1</v>
      </c>
      <c r="E924" s="1">
        <v>0</v>
      </c>
      <c r="F924" s="1">
        <v>39</v>
      </c>
      <c r="G924" s="1">
        <v>1</v>
      </c>
      <c r="H924" s="1">
        <v>5</v>
      </c>
      <c r="I924" s="1">
        <v>2</v>
      </c>
      <c r="J924" s="1">
        <v>0</v>
      </c>
      <c r="K924" s="1">
        <v>0</v>
      </c>
      <c r="L924" s="1">
        <v>17966</v>
      </c>
      <c r="M924" s="1">
        <v>0</v>
      </c>
    </row>
    <row r="925" spans="2:13" x14ac:dyDescent="0.25">
      <c r="B925" s="1">
        <v>0</v>
      </c>
      <c r="C925" s="1">
        <v>0</v>
      </c>
      <c r="D925" s="1">
        <v>1</v>
      </c>
      <c r="E925" s="1">
        <v>0</v>
      </c>
      <c r="F925" s="1">
        <v>39</v>
      </c>
      <c r="G925" s="1">
        <v>0</v>
      </c>
      <c r="H925" s="1">
        <v>9</v>
      </c>
      <c r="I925" s="1">
        <v>4</v>
      </c>
      <c r="J925" s="1">
        <v>0</v>
      </c>
      <c r="K925" s="1">
        <v>0</v>
      </c>
      <c r="L925" s="1">
        <v>18965</v>
      </c>
      <c r="M925" s="1">
        <v>0</v>
      </c>
    </row>
    <row r="926" spans="2:13" x14ac:dyDescent="0.25">
      <c r="B926" s="1">
        <v>0</v>
      </c>
      <c r="C926" s="1">
        <v>0</v>
      </c>
      <c r="D926" s="1">
        <v>1</v>
      </c>
      <c r="E926" s="1">
        <v>0</v>
      </c>
      <c r="F926" s="1">
        <v>39</v>
      </c>
      <c r="G926" s="1">
        <v>1</v>
      </c>
      <c r="H926" s="1">
        <v>1</v>
      </c>
      <c r="I926" s="1">
        <v>5</v>
      </c>
      <c r="J926" s="1">
        <v>0</v>
      </c>
      <c r="K926" s="1">
        <v>0</v>
      </c>
      <c r="L926" s="1">
        <v>6279</v>
      </c>
      <c r="M926" s="1">
        <v>0</v>
      </c>
    </row>
    <row r="927" spans="2:13" x14ac:dyDescent="0.25">
      <c r="B927" s="1">
        <v>0</v>
      </c>
      <c r="C927" s="1">
        <v>0</v>
      </c>
      <c r="D927" s="1">
        <v>1</v>
      </c>
      <c r="E927" s="1">
        <v>0</v>
      </c>
      <c r="F927" s="1">
        <v>39</v>
      </c>
      <c r="G927" s="1">
        <v>1</v>
      </c>
      <c r="H927" s="1">
        <v>2</v>
      </c>
      <c r="I927" s="1">
        <v>2</v>
      </c>
      <c r="J927" s="1">
        <v>0</v>
      </c>
      <c r="K927" s="1">
        <v>0</v>
      </c>
      <c r="L927" s="1">
        <v>12552</v>
      </c>
      <c r="M927" s="1">
        <v>0</v>
      </c>
    </row>
    <row r="928" spans="2:13" x14ac:dyDescent="0.25">
      <c r="B928" s="1">
        <v>0</v>
      </c>
      <c r="C928" s="1">
        <v>0</v>
      </c>
      <c r="D928" s="1">
        <v>1</v>
      </c>
      <c r="E928" s="1">
        <v>0</v>
      </c>
      <c r="F928" s="1">
        <v>39</v>
      </c>
      <c r="G928" s="1">
        <v>1</v>
      </c>
      <c r="H928" s="1">
        <v>8</v>
      </c>
      <c r="I928" s="1">
        <v>2</v>
      </c>
      <c r="J928" s="1">
        <v>0</v>
      </c>
      <c r="K928" s="1">
        <v>0</v>
      </c>
      <c r="L928" s="1">
        <v>15864</v>
      </c>
      <c r="M928" s="1">
        <v>0</v>
      </c>
    </row>
    <row r="929" spans="2:13" x14ac:dyDescent="0.25">
      <c r="B929" s="1">
        <v>0</v>
      </c>
      <c r="C929" s="1">
        <v>0</v>
      </c>
      <c r="D929" s="1">
        <v>1</v>
      </c>
      <c r="E929" s="1">
        <v>0</v>
      </c>
      <c r="F929" s="1">
        <v>39</v>
      </c>
      <c r="G929" s="1">
        <v>1</v>
      </c>
      <c r="H929" s="1">
        <v>3</v>
      </c>
      <c r="I929" s="1">
        <v>3</v>
      </c>
      <c r="J929" s="1">
        <v>0</v>
      </c>
      <c r="K929" s="1">
        <v>0</v>
      </c>
      <c r="L929" s="1">
        <v>7747</v>
      </c>
      <c r="M929" s="1">
        <v>0</v>
      </c>
    </row>
    <row r="930" spans="2:13" x14ac:dyDescent="0.25">
      <c r="B930" s="1">
        <v>0</v>
      </c>
      <c r="C930" s="1">
        <v>0</v>
      </c>
      <c r="D930" s="1">
        <v>1</v>
      </c>
      <c r="E930" s="1">
        <v>0</v>
      </c>
      <c r="F930" s="1">
        <v>39</v>
      </c>
      <c r="G930" s="1">
        <v>0</v>
      </c>
      <c r="H930" s="1">
        <v>2</v>
      </c>
      <c r="I930" s="1">
        <v>8</v>
      </c>
      <c r="J930" s="1">
        <v>3</v>
      </c>
      <c r="K930" s="1">
        <v>0</v>
      </c>
      <c r="L930" s="1">
        <v>16182</v>
      </c>
      <c r="M930" s="1">
        <v>0</v>
      </c>
    </row>
    <row r="931" spans="2:13" x14ac:dyDescent="0.25">
      <c r="B931" s="1">
        <v>0</v>
      </c>
      <c r="C931" s="1">
        <v>0</v>
      </c>
      <c r="D931" s="1">
        <v>1</v>
      </c>
      <c r="E931" s="1">
        <v>0</v>
      </c>
      <c r="F931" s="1">
        <v>39</v>
      </c>
      <c r="G931" s="1">
        <v>1</v>
      </c>
      <c r="H931" s="1">
        <v>2</v>
      </c>
      <c r="I931" s="1">
        <v>1</v>
      </c>
      <c r="J931" s="1">
        <v>1</v>
      </c>
      <c r="K931" s="1">
        <v>0</v>
      </c>
      <c r="L931" s="1">
        <v>7021</v>
      </c>
      <c r="M931" s="1">
        <v>0</v>
      </c>
    </row>
    <row r="932" spans="2:13" x14ac:dyDescent="0.25">
      <c r="B932" s="1">
        <v>0</v>
      </c>
      <c r="C932" s="1">
        <v>0</v>
      </c>
      <c r="D932" s="1">
        <v>1</v>
      </c>
      <c r="E932" s="1">
        <v>0</v>
      </c>
      <c r="F932" s="1">
        <v>39</v>
      </c>
      <c r="G932" s="1">
        <v>1</v>
      </c>
      <c r="H932" s="1">
        <v>3</v>
      </c>
      <c r="I932" s="1">
        <v>0</v>
      </c>
      <c r="J932" s="1">
        <v>1</v>
      </c>
      <c r="K932" s="1">
        <v>0</v>
      </c>
      <c r="L932" s="1">
        <v>15871</v>
      </c>
      <c r="M932" s="1">
        <v>1</v>
      </c>
    </row>
    <row r="933" spans="2:13" x14ac:dyDescent="0.25">
      <c r="B933" s="1">
        <v>0</v>
      </c>
      <c r="C933" s="1">
        <v>0</v>
      </c>
      <c r="D933" s="1">
        <v>1</v>
      </c>
      <c r="E933" s="1">
        <v>0</v>
      </c>
      <c r="F933" s="1">
        <v>38</v>
      </c>
      <c r="G933" s="1">
        <v>1</v>
      </c>
      <c r="H933" s="1">
        <v>5</v>
      </c>
      <c r="I933" s="1">
        <v>3</v>
      </c>
      <c r="J933" s="1">
        <v>0</v>
      </c>
      <c r="K933" s="1">
        <v>0</v>
      </c>
      <c r="L933" s="1">
        <v>9992</v>
      </c>
      <c r="M933" s="1">
        <v>0</v>
      </c>
    </row>
    <row r="934" spans="2:13" x14ac:dyDescent="0.25">
      <c r="B934" s="1">
        <v>0</v>
      </c>
      <c r="C934" s="1">
        <v>0</v>
      </c>
      <c r="D934" s="1">
        <v>1</v>
      </c>
      <c r="E934" s="1">
        <v>0</v>
      </c>
      <c r="F934" s="1">
        <v>38</v>
      </c>
      <c r="G934" s="1">
        <v>1</v>
      </c>
      <c r="H934" s="1">
        <v>6</v>
      </c>
      <c r="I934" s="1">
        <v>4</v>
      </c>
      <c r="J934" s="1">
        <v>0</v>
      </c>
      <c r="K934" s="1">
        <v>0</v>
      </c>
      <c r="L934" s="1">
        <v>10790</v>
      </c>
      <c r="M934" s="1">
        <v>0</v>
      </c>
    </row>
    <row r="935" spans="2:13" x14ac:dyDescent="0.25">
      <c r="B935" s="1">
        <v>0</v>
      </c>
      <c r="C935" s="1">
        <v>0</v>
      </c>
      <c r="D935" s="1">
        <v>1</v>
      </c>
      <c r="E935" s="1">
        <v>0</v>
      </c>
      <c r="F935" s="1">
        <v>38</v>
      </c>
      <c r="G935" s="1">
        <v>1</v>
      </c>
      <c r="H935" s="1">
        <v>5</v>
      </c>
      <c r="I935" s="1">
        <v>6</v>
      </c>
      <c r="J935" s="1">
        <v>0</v>
      </c>
      <c r="K935" s="1">
        <v>0</v>
      </c>
      <c r="L935" s="1">
        <v>9871</v>
      </c>
      <c r="M935" s="1">
        <v>0</v>
      </c>
    </row>
    <row r="936" spans="2:13" x14ac:dyDescent="0.25">
      <c r="B936" s="1">
        <v>0</v>
      </c>
      <c r="C936" s="1">
        <v>0</v>
      </c>
      <c r="D936" s="1">
        <v>1</v>
      </c>
      <c r="E936" s="1">
        <v>0</v>
      </c>
      <c r="F936" s="1">
        <v>38</v>
      </c>
      <c r="G936" s="1">
        <v>1</v>
      </c>
      <c r="H936" s="1">
        <v>2</v>
      </c>
      <c r="I936" s="1">
        <v>0</v>
      </c>
      <c r="J936" s="1">
        <v>0</v>
      </c>
      <c r="K936" s="1">
        <v>0</v>
      </c>
      <c r="L936" s="1">
        <v>1898</v>
      </c>
      <c r="M936" s="1">
        <v>0</v>
      </c>
    </row>
    <row r="937" spans="2:13" x14ac:dyDescent="0.25">
      <c r="B937" s="1">
        <v>0</v>
      </c>
      <c r="C937" s="1">
        <v>0</v>
      </c>
      <c r="D937" s="1">
        <v>1</v>
      </c>
      <c r="E937" s="1">
        <v>0</v>
      </c>
      <c r="F937" s="1">
        <v>38</v>
      </c>
      <c r="G937" s="1">
        <v>1</v>
      </c>
      <c r="H937" s="1">
        <v>3</v>
      </c>
      <c r="I937" s="1">
        <v>0</v>
      </c>
      <c r="J937" s="1">
        <v>2</v>
      </c>
      <c r="K937" s="1">
        <v>0</v>
      </c>
      <c r="L937" s="1">
        <v>25444</v>
      </c>
      <c r="M937" s="1">
        <v>1</v>
      </c>
    </row>
    <row r="938" spans="2:13" x14ac:dyDescent="0.25">
      <c r="B938" s="1">
        <v>0</v>
      </c>
      <c r="C938" s="1">
        <v>0</v>
      </c>
      <c r="D938" s="1">
        <v>1</v>
      </c>
      <c r="E938" s="1">
        <v>0</v>
      </c>
      <c r="F938" s="1">
        <v>38</v>
      </c>
      <c r="G938" s="1">
        <v>1</v>
      </c>
      <c r="H938" s="1">
        <v>6</v>
      </c>
      <c r="I938" s="1">
        <v>3</v>
      </c>
      <c r="J938" s="1">
        <v>1</v>
      </c>
      <c r="K938" s="1">
        <v>0</v>
      </c>
      <c r="L938" s="1">
        <v>31284</v>
      </c>
      <c r="M938" s="1">
        <v>1</v>
      </c>
    </row>
    <row r="939" spans="2:13" x14ac:dyDescent="0.25">
      <c r="B939" s="1">
        <v>0</v>
      </c>
      <c r="C939" s="1">
        <v>0</v>
      </c>
      <c r="D939" s="1">
        <v>1</v>
      </c>
      <c r="E939" s="1">
        <v>0</v>
      </c>
      <c r="F939" s="1">
        <v>38</v>
      </c>
      <c r="G939" s="1">
        <v>1</v>
      </c>
      <c r="H939" s="1">
        <v>7</v>
      </c>
      <c r="I939" s="1">
        <v>3</v>
      </c>
      <c r="J939" s="1">
        <v>6</v>
      </c>
      <c r="K939" s="1">
        <v>0</v>
      </c>
      <c r="L939" s="1">
        <v>75666</v>
      </c>
      <c r="M939" s="1">
        <v>1</v>
      </c>
    </row>
    <row r="940" spans="2:13" x14ac:dyDescent="0.25">
      <c r="B940" s="1">
        <v>0</v>
      </c>
      <c r="C940" s="1">
        <v>0</v>
      </c>
      <c r="D940" s="1">
        <v>1</v>
      </c>
      <c r="E940" s="1">
        <v>0</v>
      </c>
      <c r="F940" s="1">
        <v>38</v>
      </c>
      <c r="G940" s="1">
        <v>1</v>
      </c>
      <c r="H940" s="1">
        <v>3</v>
      </c>
      <c r="I940" s="1">
        <v>0</v>
      </c>
      <c r="J940" s="1">
        <v>2</v>
      </c>
      <c r="K940" s="1">
        <v>0</v>
      </c>
      <c r="L940" s="1">
        <v>8144</v>
      </c>
      <c r="M940" s="1">
        <v>1</v>
      </c>
    </row>
    <row r="941" spans="2:13" x14ac:dyDescent="0.25">
      <c r="B941" s="1">
        <v>0</v>
      </c>
      <c r="C941" s="1">
        <v>0</v>
      </c>
      <c r="D941" s="1">
        <v>1</v>
      </c>
      <c r="E941" s="1">
        <v>0</v>
      </c>
      <c r="F941" s="1">
        <v>38</v>
      </c>
      <c r="G941" s="1">
        <v>1</v>
      </c>
      <c r="H941" s="1">
        <v>8</v>
      </c>
      <c r="I941" s="1">
        <v>1</v>
      </c>
      <c r="J941" s="1">
        <v>1</v>
      </c>
      <c r="K941" s="1">
        <v>0</v>
      </c>
      <c r="L941" s="1">
        <v>25568</v>
      </c>
      <c r="M941" s="1">
        <v>1</v>
      </c>
    </row>
    <row r="942" spans="2:13" x14ac:dyDescent="0.25">
      <c r="B942" s="17">
        <v>1</v>
      </c>
      <c r="C942" s="17">
        <v>0</v>
      </c>
      <c r="D942" s="17">
        <v>0.19999999999999998</v>
      </c>
      <c r="E942" s="17">
        <v>0.79999999999999993</v>
      </c>
      <c r="F942" s="17">
        <v>37</v>
      </c>
      <c r="G942" s="17">
        <v>1</v>
      </c>
      <c r="H942" s="17">
        <v>2</v>
      </c>
      <c r="I942" s="17">
        <v>4</v>
      </c>
      <c r="J942" s="17">
        <v>1</v>
      </c>
      <c r="K942" s="17">
        <v>0</v>
      </c>
      <c r="L942" s="17">
        <v>5272</v>
      </c>
      <c r="M942" s="17">
        <v>0</v>
      </c>
    </row>
    <row r="943" spans="2:13" x14ac:dyDescent="0.25">
      <c r="B943" s="17">
        <v>1</v>
      </c>
      <c r="C943" s="17">
        <v>0</v>
      </c>
      <c r="D943" s="17">
        <v>0.19999999999999998</v>
      </c>
      <c r="E943" s="17">
        <v>0.79999999999999993</v>
      </c>
      <c r="F943" s="17">
        <v>37</v>
      </c>
      <c r="G943" s="17">
        <v>1</v>
      </c>
      <c r="H943" s="17">
        <v>4</v>
      </c>
      <c r="I943" s="17">
        <v>3</v>
      </c>
      <c r="J943" s="17">
        <v>2</v>
      </c>
      <c r="K943" s="17">
        <v>0</v>
      </c>
      <c r="L943" s="17">
        <v>23740</v>
      </c>
      <c r="M943" s="17">
        <v>0</v>
      </c>
    </row>
    <row r="944" spans="2:13" x14ac:dyDescent="0.25">
      <c r="B944" s="17">
        <v>1</v>
      </c>
      <c r="C944" s="17">
        <v>0</v>
      </c>
      <c r="D944" s="17">
        <v>0.19999999999999998</v>
      </c>
      <c r="E944" s="17">
        <v>0.79999999999999993</v>
      </c>
      <c r="F944" s="17">
        <v>37</v>
      </c>
      <c r="G944" s="17">
        <v>1</v>
      </c>
      <c r="H944" s="17">
        <v>9</v>
      </c>
      <c r="I944" s="17">
        <v>4</v>
      </c>
      <c r="J944" s="17">
        <v>0</v>
      </c>
      <c r="K944" s="17">
        <v>0</v>
      </c>
      <c r="L944" s="17">
        <v>16999</v>
      </c>
      <c r="M944" s="17">
        <v>0</v>
      </c>
    </row>
    <row r="945" spans="2:13" x14ac:dyDescent="0.25">
      <c r="B945" s="17">
        <v>1</v>
      </c>
      <c r="C945" s="17">
        <v>0</v>
      </c>
      <c r="D945" s="17">
        <v>0.19999999999999998</v>
      </c>
      <c r="E945" s="17">
        <v>0.79999999999999993</v>
      </c>
      <c r="F945" s="17">
        <v>37</v>
      </c>
      <c r="G945" s="17">
        <v>0</v>
      </c>
      <c r="H945" s="17">
        <v>6</v>
      </c>
      <c r="I945" s="17">
        <v>4</v>
      </c>
      <c r="J945" s="17">
        <v>0</v>
      </c>
      <c r="K945" s="17">
        <v>0</v>
      </c>
      <c r="L945" s="17">
        <v>12172</v>
      </c>
      <c r="M945" s="17">
        <v>0</v>
      </c>
    </row>
    <row r="946" spans="2:13" x14ac:dyDescent="0.25">
      <c r="B946" s="17">
        <v>1</v>
      </c>
      <c r="C946" s="17">
        <v>0</v>
      </c>
      <c r="D946" s="17">
        <v>0.19999999999999998</v>
      </c>
      <c r="E946" s="17">
        <v>0.79999999999999993</v>
      </c>
      <c r="F946" s="17">
        <v>37</v>
      </c>
      <c r="G946" s="17">
        <v>1</v>
      </c>
      <c r="H946" s="17">
        <v>7</v>
      </c>
      <c r="I946" s="17">
        <v>8</v>
      </c>
      <c r="J946" s="17">
        <v>0</v>
      </c>
      <c r="K946" s="17">
        <v>0</v>
      </c>
      <c r="L946" s="17">
        <v>13078</v>
      </c>
      <c r="M946" s="17">
        <v>0</v>
      </c>
    </row>
    <row r="947" spans="2:13" x14ac:dyDescent="0.25">
      <c r="B947" s="1">
        <v>0</v>
      </c>
      <c r="C947" s="1">
        <v>0</v>
      </c>
      <c r="D947" s="1">
        <v>1</v>
      </c>
      <c r="E947" s="1">
        <v>0</v>
      </c>
      <c r="F947" s="1">
        <v>35</v>
      </c>
      <c r="G947" s="1">
        <v>0</v>
      </c>
      <c r="H947" s="1">
        <v>5</v>
      </c>
      <c r="I947" s="1">
        <v>3</v>
      </c>
      <c r="J947" s="1">
        <v>0</v>
      </c>
      <c r="K947" s="1">
        <v>0</v>
      </c>
      <c r="L947" s="1">
        <v>10505</v>
      </c>
      <c r="M947" s="1">
        <v>0</v>
      </c>
    </row>
    <row r="948" spans="2:13" x14ac:dyDescent="0.25">
      <c r="B948" s="1">
        <v>0</v>
      </c>
      <c r="C948" s="1">
        <v>0</v>
      </c>
      <c r="D948" s="1">
        <v>1</v>
      </c>
      <c r="E948" s="1">
        <v>0</v>
      </c>
      <c r="F948" s="1">
        <v>35</v>
      </c>
      <c r="G948" s="1">
        <v>1</v>
      </c>
      <c r="H948" s="1">
        <v>7</v>
      </c>
      <c r="I948" s="1">
        <v>2</v>
      </c>
      <c r="J948" s="1">
        <v>0</v>
      </c>
      <c r="K948" s="1">
        <v>0</v>
      </c>
      <c r="L948" s="1">
        <v>10254</v>
      </c>
      <c r="M948" s="1">
        <v>0</v>
      </c>
    </row>
    <row r="949" spans="2:13" x14ac:dyDescent="0.25">
      <c r="B949" s="1">
        <v>0</v>
      </c>
      <c r="C949" s="1">
        <v>0</v>
      </c>
      <c r="D949" s="1">
        <v>1</v>
      </c>
      <c r="E949" s="1">
        <v>0</v>
      </c>
      <c r="F949" s="1">
        <v>35</v>
      </c>
      <c r="G949" s="1">
        <v>1</v>
      </c>
      <c r="H949" s="1">
        <v>2</v>
      </c>
      <c r="I949" s="1">
        <v>3</v>
      </c>
      <c r="J949" s="1">
        <v>0</v>
      </c>
      <c r="K949" s="1">
        <v>0</v>
      </c>
      <c r="L949" s="1">
        <v>5659</v>
      </c>
      <c r="M949" s="1">
        <v>0</v>
      </c>
    </row>
    <row r="950" spans="2:13" x14ac:dyDescent="0.25">
      <c r="B950" s="1">
        <v>0</v>
      </c>
      <c r="C950" s="1">
        <v>0</v>
      </c>
      <c r="D950" s="1">
        <v>1</v>
      </c>
      <c r="E950" s="1">
        <v>0</v>
      </c>
      <c r="F950" s="1">
        <v>35</v>
      </c>
      <c r="G950" s="1">
        <v>0</v>
      </c>
      <c r="H950" s="1">
        <v>3</v>
      </c>
      <c r="I950" s="1">
        <v>3</v>
      </c>
      <c r="J950" s="1">
        <v>0</v>
      </c>
      <c r="K950" s="1">
        <v>0</v>
      </c>
      <c r="L950" s="1">
        <v>4886</v>
      </c>
      <c r="M950" s="1">
        <v>0</v>
      </c>
    </row>
    <row r="951" spans="2:13" x14ac:dyDescent="0.25">
      <c r="B951" s="1">
        <v>0</v>
      </c>
      <c r="C951" s="1">
        <v>0</v>
      </c>
      <c r="D951" s="1">
        <v>1</v>
      </c>
      <c r="E951" s="1">
        <v>0</v>
      </c>
      <c r="F951" s="1">
        <v>35</v>
      </c>
      <c r="G951" s="1">
        <v>1</v>
      </c>
      <c r="H951" s="1">
        <v>2</v>
      </c>
      <c r="I951" s="1">
        <v>1</v>
      </c>
      <c r="J951" s="1">
        <v>2</v>
      </c>
      <c r="K951" s="1">
        <v>0</v>
      </c>
      <c r="L951" s="1">
        <v>8557</v>
      </c>
      <c r="M951" s="1">
        <v>0</v>
      </c>
    </row>
    <row r="952" spans="2:13" x14ac:dyDescent="0.25">
      <c r="B952" s="1">
        <v>0</v>
      </c>
      <c r="C952" s="1">
        <v>0</v>
      </c>
      <c r="D952" s="1">
        <v>1</v>
      </c>
      <c r="E952" s="1">
        <v>0</v>
      </c>
      <c r="F952" s="1">
        <v>35</v>
      </c>
      <c r="G952" s="1">
        <v>1</v>
      </c>
      <c r="H952" s="1">
        <v>2</v>
      </c>
      <c r="I952" s="1">
        <v>3</v>
      </c>
      <c r="J952" s="1">
        <v>2</v>
      </c>
      <c r="K952" s="1">
        <v>0</v>
      </c>
      <c r="L952" s="1">
        <v>18051</v>
      </c>
      <c r="M952" s="1">
        <v>1</v>
      </c>
    </row>
    <row r="953" spans="2:13" x14ac:dyDescent="0.25">
      <c r="B953" s="1">
        <v>0</v>
      </c>
      <c r="C953" s="1">
        <v>0</v>
      </c>
      <c r="D953" s="1">
        <v>1</v>
      </c>
      <c r="E953" s="1">
        <v>0</v>
      </c>
      <c r="F953" s="1">
        <v>35</v>
      </c>
      <c r="G953" s="1">
        <v>1</v>
      </c>
      <c r="H953" s="1">
        <v>4</v>
      </c>
      <c r="I953" s="1">
        <v>0</v>
      </c>
      <c r="J953" s="1">
        <v>2</v>
      </c>
      <c r="K953" s="1">
        <v>0</v>
      </c>
      <c r="L953" s="1">
        <v>18239</v>
      </c>
      <c r="M953" s="1">
        <v>1</v>
      </c>
    </row>
    <row r="954" spans="2:13" x14ac:dyDescent="0.25">
      <c r="B954" s="1">
        <v>0</v>
      </c>
      <c r="C954" s="1">
        <v>0</v>
      </c>
      <c r="D954" s="1">
        <v>1</v>
      </c>
      <c r="E954" s="1">
        <v>0</v>
      </c>
      <c r="F954" s="1">
        <v>35</v>
      </c>
      <c r="G954" s="1">
        <v>1</v>
      </c>
      <c r="H954" s="1">
        <v>3</v>
      </c>
      <c r="I954" s="1">
        <v>0</v>
      </c>
      <c r="J954" s="1">
        <v>1</v>
      </c>
      <c r="K954" s="1">
        <v>0</v>
      </c>
      <c r="L954" s="1">
        <v>16308</v>
      </c>
      <c r="M954" s="1">
        <v>1</v>
      </c>
    </row>
    <row r="955" spans="2:13" x14ac:dyDescent="0.25">
      <c r="B955" s="1">
        <v>0</v>
      </c>
      <c r="C955" s="1">
        <v>0</v>
      </c>
      <c r="D955" s="1">
        <v>1</v>
      </c>
      <c r="E955" s="1">
        <v>0</v>
      </c>
      <c r="F955" s="1">
        <v>35</v>
      </c>
      <c r="G955" s="1">
        <v>1</v>
      </c>
      <c r="H955" s="1">
        <v>4</v>
      </c>
      <c r="I955" s="1">
        <v>0</v>
      </c>
      <c r="J955" s="1">
        <v>3</v>
      </c>
      <c r="K955" s="1">
        <v>0</v>
      </c>
      <c r="L955" s="1">
        <v>13624</v>
      </c>
      <c r="M955" s="1">
        <v>1</v>
      </c>
    </row>
    <row r="956" spans="2:13" x14ac:dyDescent="0.25">
      <c r="B956" s="1">
        <v>0</v>
      </c>
      <c r="C956" s="1">
        <v>0</v>
      </c>
      <c r="D956" s="1">
        <v>1</v>
      </c>
      <c r="E956" s="1">
        <v>0</v>
      </c>
      <c r="F956" s="1">
        <v>34</v>
      </c>
      <c r="G956" s="1">
        <v>0</v>
      </c>
      <c r="H956" s="1">
        <v>4</v>
      </c>
      <c r="I956" s="1">
        <v>2</v>
      </c>
      <c r="J956" s="1">
        <v>0</v>
      </c>
      <c r="K956" s="1">
        <v>0</v>
      </c>
      <c r="L956" s="1">
        <v>13522</v>
      </c>
      <c r="M956" s="1">
        <v>0</v>
      </c>
    </row>
    <row r="957" spans="2:13" x14ac:dyDescent="0.25">
      <c r="B957" s="1">
        <v>0</v>
      </c>
      <c r="C957" s="1">
        <v>0</v>
      </c>
      <c r="D957" s="1">
        <v>1</v>
      </c>
      <c r="E957" s="1">
        <v>0</v>
      </c>
      <c r="F957" s="1">
        <v>34</v>
      </c>
      <c r="G957" s="1">
        <v>1</v>
      </c>
      <c r="H957" s="1">
        <v>8</v>
      </c>
      <c r="I957" s="1">
        <v>6</v>
      </c>
      <c r="J957" s="1">
        <v>0</v>
      </c>
      <c r="K957" s="1">
        <v>0</v>
      </c>
      <c r="L957" s="1">
        <v>17714</v>
      </c>
      <c r="M957" s="1">
        <v>0</v>
      </c>
    </row>
    <row r="958" spans="2:13" x14ac:dyDescent="0.25">
      <c r="B958" s="1">
        <v>0</v>
      </c>
      <c r="C958" s="1">
        <v>0</v>
      </c>
      <c r="D958" s="1">
        <v>1</v>
      </c>
      <c r="E958" s="1">
        <v>0</v>
      </c>
      <c r="F958" s="1">
        <v>34</v>
      </c>
      <c r="G958" s="1">
        <v>1</v>
      </c>
      <c r="H958" s="1">
        <v>3</v>
      </c>
      <c r="I958" s="1">
        <v>7</v>
      </c>
      <c r="J958" s="1">
        <v>0</v>
      </c>
      <c r="K958" s="1">
        <v>0</v>
      </c>
      <c r="L958" s="1">
        <v>15722</v>
      </c>
      <c r="M958" s="1">
        <v>0</v>
      </c>
    </row>
    <row r="959" spans="2:13" x14ac:dyDescent="0.25">
      <c r="B959" s="1">
        <v>0</v>
      </c>
      <c r="C959" s="1">
        <v>0</v>
      </c>
      <c r="D959" s="1">
        <v>1</v>
      </c>
      <c r="E959" s="1">
        <v>0</v>
      </c>
      <c r="F959" s="1">
        <v>34</v>
      </c>
      <c r="G959" s="1">
        <v>1</v>
      </c>
      <c r="H959" s="1">
        <v>3</v>
      </c>
      <c r="I959" s="1">
        <v>2</v>
      </c>
      <c r="J959" s="1">
        <v>0</v>
      </c>
      <c r="K959" s="1">
        <v>0</v>
      </c>
      <c r="L959" s="1">
        <v>9159</v>
      </c>
      <c r="M959" s="1">
        <v>0</v>
      </c>
    </row>
    <row r="960" spans="2:13" x14ac:dyDescent="0.25">
      <c r="B960" s="1">
        <v>0</v>
      </c>
      <c r="C960" s="1">
        <v>0</v>
      </c>
      <c r="D960" s="1">
        <v>1</v>
      </c>
      <c r="E960" s="1">
        <v>0</v>
      </c>
      <c r="F960" s="1">
        <v>34</v>
      </c>
      <c r="G960" s="1">
        <v>1</v>
      </c>
      <c r="H960" s="1">
        <v>4</v>
      </c>
      <c r="I960" s="1">
        <v>1</v>
      </c>
      <c r="J960" s="1">
        <v>0</v>
      </c>
      <c r="K960" s="1">
        <v>0</v>
      </c>
      <c r="L960" s="1">
        <v>8781</v>
      </c>
      <c r="M960" s="1">
        <v>0</v>
      </c>
    </row>
    <row r="961" spans="2:13" x14ac:dyDescent="0.25">
      <c r="B961" s="1">
        <v>0</v>
      </c>
      <c r="C961" s="1">
        <v>0</v>
      </c>
      <c r="D961" s="1">
        <v>1</v>
      </c>
      <c r="E961" s="1">
        <v>0</v>
      </c>
      <c r="F961" s="1">
        <v>34</v>
      </c>
      <c r="G961" s="1">
        <v>1</v>
      </c>
      <c r="H961" s="1">
        <v>2</v>
      </c>
      <c r="I961" s="1">
        <v>0</v>
      </c>
      <c r="J961" s="1">
        <v>0</v>
      </c>
      <c r="K961" s="1">
        <v>0</v>
      </c>
      <c r="L961" s="1">
        <v>5707</v>
      </c>
      <c r="M961" s="1">
        <v>0</v>
      </c>
    </row>
    <row r="962" spans="2:13" x14ac:dyDescent="0.25">
      <c r="B962" s="1">
        <v>0</v>
      </c>
      <c r="C962" s="1">
        <v>0</v>
      </c>
      <c r="D962" s="1">
        <v>1</v>
      </c>
      <c r="E962" s="1">
        <v>0</v>
      </c>
      <c r="F962" s="1">
        <v>34</v>
      </c>
      <c r="G962" s="1">
        <v>1</v>
      </c>
      <c r="H962" s="1">
        <v>3</v>
      </c>
      <c r="I962" s="1">
        <v>0</v>
      </c>
      <c r="J962" s="1">
        <v>0</v>
      </c>
      <c r="K962" s="1">
        <v>0</v>
      </c>
      <c r="L962" s="1">
        <v>7811</v>
      </c>
      <c r="M962" s="1">
        <v>0</v>
      </c>
    </row>
    <row r="963" spans="2:13" x14ac:dyDescent="0.25">
      <c r="B963" s="1">
        <v>0</v>
      </c>
      <c r="C963" s="1">
        <v>0</v>
      </c>
      <c r="D963" s="1">
        <v>1</v>
      </c>
      <c r="E963" s="1">
        <v>0</v>
      </c>
      <c r="F963" s="1">
        <v>34</v>
      </c>
      <c r="G963" s="1">
        <v>1</v>
      </c>
      <c r="H963" s="1">
        <v>10</v>
      </c>
      <c r="I963" s="1">
        <v>1</v>
      </c>
      <c r="J963" s="1">
        <v>2</v>
      </c>
      <c r="K963" s="1">
        <v>0</v>
      </c>
      <c r="L963" s="1">
        <v>43056</v>
      </c>
      <c r="M963" s="1">
        <v>1</v>
      </c>
    </row>
    <row r="964" spans="2:13" x14ac:dyDescent="0.25">
      <c r="B964" s="1">
        <v>0</v>
      </c>
      <c r="C964" s="1">
        <v>0</v>
      </c>
      <c r="D964" s="1">
        <v>1</v>
      </c>
      <c r="E964" s="1">
        <v>0</v>
      </c>
      <c r="F964" s="1">
        <v>34</v>
      </c>
      <c r="G964" s="1">
        <v>1</v>
      </c>
      <c r="H964" s="1">
        <v>4</v>
      </c>
      <c r="I964" s="1">
        <v>0</v>
      </c>
      <c r="J964" s="1">
        <v>1</v>
      </c>
      <c r="K964" s="1">
        <v>0</v>
      </c>
      <c r="L964" s="1">
        <v>9757</v>
      </c>
      <c r="M964" s="1">
        <v>1</v>
      </c>
    </row>
    <row r="965" spans="2:13" x14ac:dyDescent="0.25">
      <c r="B965" s="1">
        <v>0</v>
      </c>
      <c r="C965" s="1">
        <v>0</v>
      </c>
      <c r="D965" s="1">
        <v>1</v>
      </c>
      <c r="E965" s="1">
        <v>0</v>
      </c>
      <c r="F965" s="1">
        <v>33</v>
      </c>
      <c r="G965" s="1">
        <v>0</v>
      </c>
      <c r="H965" s="1">
        <v>7</v>
      </c>
      <c r="I965" s="1">
        <v>3</v>
      </c>
      <c r="J965" s="1">
        <v>0</v>
      </c>
      <c r="K965" s="1">
        <v>0</v>
      </c>
      <c r="L965" s="1">
        <v>11029</v>
      </c>
      <c r="M965" s="1">
        <v>0</v>
      </c>
    </row>
    <row r="966" spans="2:13" x14ac:dyDescent="0.25">
      <c r="B966" s="1">
        <v>0</v>
      </c>
      <c r="C966" s="1">
        <v>0</v>
      </c>
      <c r="D966" s="1">
        <v>1</v>
      </c>
      <c r="E966" s="1">
        <v>0</v>
      </c>
      <c r="F966" s="1">
        <v>33</v>
      </c>
      <c r="G966" s="1">
        <v>0</v>
      </c>
      <c r="H966" s="1">
        <v>7</v>
      </c>
      <c r="I966" s="1">
        <v>3</v>
      </c>
      <c r="J966" s="1">
        <v>0</v>
      </c>
      <c r="K966" s="1">
        <v>0</v>
      </c>
      <c r="L966" s="1">
        <v>10092</v>
      </c>
      <c r="M966" s="1">
        <v>0</v>
      </c>
    </row>
    <row r="967" spans="2:13" x14ac:dyDescent="0.25">
      <c r="B967" s="1">
        <v>0</v>
      </c>
      <c r="C967" s="1">
        <v>0</v>
      </c>
      <c r="D967" s="1">
        <v>1</v>
      </c>
      <c r="E967" s="1">
        <v>0</v>
      </c>
      <c r="F967" s="1">
        <v>33</v>
      </c>
      <c r="G967" s="1">
        <v>1</v>
      </c>
      <c r="H967" s="1">
        <v>2</v>
      </c>
      <c r="I967" s="1">
        <v>0</v>
      </c>
      <c r="J967" s="1">
        <v>2</v>
      </c>
      <c r="K967" s="1">
        <v>0</v>
      </c>
      <c r="L967" s="1">
        <v>7011</v>
      </c>
      <c r="M967" s="1">
        <v>0</v>
      </c>
    </row>
    <row r="968" spans="2:13" x14ac:dyDescent="0.25">
      <c r="B968" s="1">
        <v>0</v>
      </c>
      <c r="C968" s="1">
        <v>0</v>
      </c>
      <c r="D968" s="1">
        <v>1</v>
      </c>
      <c r="E968" s="1">
        <v>0</v>
      </c>
      <c r="F968" s="1">
        <v>33</v>
      </c>
      <c r="G968" s="1">
        <v>1</v>
      </c>
      <c r="H968" s="1">
        <v>2</v>
      </c>
      <c r="I968" s="1">
        <v>0</v>
      </c>
      <c r="J968" s="1">
        <v>1</v>
      </c>
      <c r="K968" s="1">
        <v>0</v>
      </c>
      <c r="L968" s="1">
        <v>10818</v>
      </c>
      <c r="M968" s="1">
        <v>0</v>
      </c>
    </row>
    <row r="969" spans="2:13" x14ac:dyDescent="0.25">
      <c r="B969" s="1">
        <v>0</v>
      </c>
      <c r="C969" s="1">
        <v>0</v>
      </c>
      <c r="D969" s="1">
        <v>1</v>
      </c>
      <c r="E969" s="1">
        <v>0</v>
      </c>
      <c r="F969" s="1">
        <v>33</v>
      </c>
      <c r="G969" s="1">
        <v>0</v>
      </c>
      <c r="H969" s="1">
        <v>2</v>
      </c>
      <c r="I969" s="1">
        <v>4</v>
      </c>
      <c r="J969" s="1">
        <v>0</v>
      </c>
      <c r="K969" s="1">
        <v>0</v>
      </c>
      <c r="L969" s="1">
        <v>8713</v>
      </c>
      <c r="M969" s="1">
        <v>0</v>
      </c>
    </row>
    <row r="970" spans="2:13" x14ac:dyDescent="0.25">
      <c r="B970" s="1">
        <v>0</v>
      </c>
      <c r="C970" s="1">
        <v>0</v>
      </c>
      <c r="D970" s="1">
        <v>1</v>
      </c>
      <c r="E970" s="1">
        <v>0</v>
      </c>
      <c r="F970" s="1">
        <v>33</v>
      </c>
      <c r="G970" s="1">
        <v>1</v>
      </c>
      <c r="H970" s="1">
        <v>3</v>
      </c>
      <c r="I970" s="1">
        <v>1</v>
      </c>
      <c r="J970" s="1">
        <v>2</v>
      </c>
      <c r="K970" s="1">
        <v>0</v>
      </c>
      <c r="L970" s="1">
        <v>9183</v>
      </c>
      <c r="M970" s="1">
        <v>0</v>
      </c>
    </row>
    <row r="971" spans="2:13" x14ac:dyDescent="0.25">
      <c r="B971" s="1">
        <v>0</v>
      </c>
      <c r="C971" s="1">
        <v>0</v>
      </c>
      <c r="D971" s="1">
        <v>1</v>
      </c>
      <c r="E971" s="1">
        <v>0</v>
      </c>
      <c r="F971" s="1">
        <v>33</v>
      </c>
      <c r="G971" s="1">
        <v>1</v>
      </c>
      <c r="H971" s="1">
        <v>2</v>
      </c>
      <c r="I971" s="1">
        <v>0</v>
      </c>
      <c r="J971" s="1">
        <v>3</v>
      </c>
      <c r="K971" s="1">
        <v>0</v>
      </c>
      <c r="L971" s="1">
        <v>11949</v>
      </c>
      <c r="M971" s="1">
        <v>1</v>
      </c>
    </row>
    <row r="972" spans="2:13" x14ac:dyDescent="0.25">
      <c r="B972" s="1">
        <v>0</v>
      </c>
      <c r="C972" s="1">
        <v>0</v>
      </c>
      <c r="D972" s="1">
        <v>1</v>
      </c>
      <c r="E972" s="1">
        <v>0</v>
      </c>
      <c r="F972" s="1">
        <v>33</v>
      </c>
      <c r="G972" s="1">
        <v>0</v>
      </c>
      <c r="H972" s="1">
        <v>3</v>
      </c>
      <c r="I972" s="1">
        <v>0</v>
      </c>
      <c r="J972" s="1">
        <v>6</v>
      </c>
      <c r="K972" s="1">
        <v>0</v>
      </c>
      <c r="L972" s="1">
        <v>15608</v>
      </c>
      <c r="M972" s="1">
        <v>1</v>
      </c>
    </row>
    <row r="973" spans="2:13" x14ac:dyDescent="0.25">
      <c r="B973" s="1">
        <v>0</v>
      </c>
      <c r="C973" s="1">
        <v>0</v>
      </c>
      <c r="D973" s="1">
        <v>1</v>
      </c>
      <c r="E973" s="1">
        <v>0</v>
      </c>
      <c r="F973" s="1">
        <v>33</v>
      </c>
      <c r="G973" s="1">
        <v>1</v>
      </c>
      <c r="H973" s="1">
        <v>2</v>
      </c>
      <c r="I973" s="1">
        <v>1</v>
      </c>
      <c r="J973" s="1">
        <v>1</v>
      </c>
      <c r="K973" s="1">
        <v>0</v>
      </c>
      <c r="L973" s="1">
        <v>6267</v>
      </c>
      <c r="M973" s="1">
        <v>1</v>
      </c>
    </row>
    <row r="974" spans="2:13" x14ac:dyDescent="0.25">
      <c r="B974" s="1">
        <v>0</v>
      </c>
      <c r="C974" s="1">
        <v>0</v>
      </c>
      <c r="D974" s="1">
        <v>1</v>
      </c>
      <c r="E974" s="1">
        <v>0</v>
      </c>
      <c r="F974" s="1">
        <v>33</v>
      </c>
      <c r="G974" s="1">
        <v>1</v>
      </c>
      <c r="H974" s="1">
        <v>3</v>
      </c>
      <c r="I974" s="1">
        <v>0</v>
      </c>
      <c r="J974" s="1">
        <v>2</v>
      </c>
      <c r="K974" s="1">
        <v>0</v>
      </c>
      <c r="L974" s="1">
        <v>10037</v>
      </c>
      <c r="M974" s="1">
        <v>1</v>
      </c>
    </row>
    <row r="975" spans="2:13" x14ac:dyDescent="0.25">
      <c r="B975" s="1">
        <v>0</v>
      </c>
      <c r="C975" s="1">
        <v>0</v>
      </c>
      <c r="D975" s="1">
        <v>1</v>
      </c>
      <c r="E975" s="1">
        <v>0</v>
      </c>
      <c r="F975" s="1">
        <v>32</v>
      </c>
      <c r="G975" s="1">
        <v>0</v>
      </c>
      <c r="H975" s="1">
        <v>3</v>
      </c>
      <c r="I975" s="1">
        <v>5</v>
      </c>
      <c r="J975" s="1">
        <v>0</v>
      </c>
      <c r="K975" s="1">
        <v>0</v>
      </c>
      <c r="L975" s="1">
        <v>6514</v>
      </c>
      <c r="M975" s="1">
        <v>0</v>
      </c>
    </row>
    <row r="976" spans="2:13" x14ac:dyDescent="0.25">
      <c r="B976" s="1">
        <v>0</v>
      </c>
      <c r="C976" s="1">
        <v>0</v>
      </c>
      <c r="D976" s="1">
        <v>1</v>
      </c>
      <c r="E976" s="1">
        <v>0</v>
      </c>
      <c r="F976" s="1">
        <v>32</v>
      </c>
      <c r="G976" s="1">
        <v>1</v>
      </c>
      <c r="H976" s="1">
        <v>2</v>
      </c>
      <c r="I976" s="1">
        <v>1</v>
      </c>
      <c r="J976" s="1">
        <v>1</v>
      </c>
      <c r="K976" s="1">
        <v>0</v>
      </c>
      <c r="L976" s="1">
        <v>6990</v>
      </c>
      <c r="M976" s="1">
        <v>0</v>
      </c>
    </row>
    <row r="977" spans="2:13" x14ac:dyDescent="0.25">
      <c r="B977" s="1">
        <v>0</v>
      </c>
      <c r="C977" s="1">
        <v>0</v>
      </c>
      <c r="D977" s="1">
        <v>1</v>
      </c>
      <c r="E977" s="1">
        <v>0</v>
      </c>
      <c r="F977" s="1">
        <v>32</v>
      </c>
      <c r="G977" s="1">
        <v>0</v>
      </c>
      <c r="H977" s="1">
        <v>4</v>
      </c>
      <c r="I977" s="1">
        <v>2</v>
      </c>
      <c r="J977" s="1">
        <v>0</v>
      </c>
      <c r="K977" s="1">
        <v>0</v>
      </c>
      <c r="L977" s="1">
        <v>5821</v>
      </c>
      <c r="M977" s="1">
        <v>0</v>
      </c>
    </row>
    <row r="978" spans="2:13" x14ac:dyDescent="0.25">
      <c r="B978" s="1">
        <v>0</v>
      </c>
      <c r="C978" s="1">
        <v>0</v>
      </c>
      <c r="D978" s="1">
        <v>1</v>
      </c>
      <c r="E978" s="1">
        <v>0</v>
      </c>
      <c r="F978" s="1">
        <v>32</v>
      </c>
      <c r="G978" s="1">
        <v>1</v>
      </c>
      <c r="H978" s="1">
        <v>6</v>
      </c>
      <c r="I978" s="1">
        <v>2</v>
      </c>
      <c r="J978" s="1">
        <v>0</v>
      </c>
      <c r="K978" s="1">
        <v>0</v>
      </c>
      <c r="L978" s="1">
        <v>39237</v>
      </c>
      <c r="M978" s="1">
        <v>0</v>
      </c>
    </row>
    <row r="979" spans="2:13" x14ac:dyDescent="0.25">
      <c r="B979" s="1">
        <v>0</v>
      </c>
      <c r="C979" s="1">
        <v>0</v>
      </c>
      <c r="D979" s="1">
        <v>1</v>
      </c>
      <c r="E979" s="1">
        <v>0</v>
      </c>
      <c r="F979" s="1">
        <v>32</v>
      </c>
      <c r="G979" s="1">
        <v>1</v>
      </c>
      <c r="H979" s="1">
        <v>4</v>
      </c>
      <c r="I979" s="1">
        <v>2</v>
      </c>
      <c r="J979" s="1">
        <v>0</v>
      </c>
      <c r="K979" s="1">
        <v>0</v>
      </c>
      <c r="L979" s="1">
        <v>9698</v>
      </c>
      <c r="M979" s="1">
        <v>0</v>
      </c>
    </row>
    <row r="980" spans="2:13" x14ac:dyDescent="0.25">
      <c r="B980" s="1">
        <v>0</v>
      </c>
      <c r="C980" s="1">
        <v>0</v>
      </c>
      <c r="D980" s="1">
        <v>1</v>
      </c>
      <c r="E980" s="1">
        <v>0</v>
      </c>
      <c r="F980" s="1">
        <v>32</v>
      </c>
      <c r="G980" s="1">
        <v>0</v>
      </c>
      <c r="H980" s="1">
        <v>1</v>
      </c>
      <c r="I980" s="1">
        <v>2</v>
      </c>
      <c r="J980" s="1">
        <v>2</v>
      </c>
      <c r="K980" s="1">
        <v>0</v>
      </c>
      <c r="L980" s="1">
        <v>15560</v>
      </c>
      <c r="M980" s="1">
        <v>0</v>
      </c>
    </row>
    <row r="981" spans="2:13" x14ac:dyDescent="0.25">
      <c r="B981" s="1">
        <v>0</v>
      </c>
      <c r="C981" s="1">
        <v>0</v>
      </c>
      <c r="D981" s="1">
        <v>1</v>
      </c>
      <c r="E981" s="1">
        <v>0</v>
      </c>
      <c r="F981" s="1">
        <v>32</v>
      </c>
      <c r="G981" s="1">
        <v>0</v>
      </c>
      <c r="H981" s="1">
        <v>7</v>
      </c>
      <c r="I981" s="1">
        <v>3</v>
      </c>
      <c r="J981" s="1">
        <v>0</v>
      </c>
      <c r="K981" s="1">
        <v>0</v>
      </c>
      <c r="L981" s="1">
        <v>12889</v>
      </c>
      <c r="M981" s="1">
        <v>0</v>
      </c>
    </row>
    <row r="982" spans="2:13" x14ac:dyDescent="0.25">
      <c r="B982" s="1">
        <v>0</v>
      </c>
      <c r="C982" s="1">
        <v>0</v>
      </c>
      <c r="D982" s="1">
        <v>1</v>
      </c>
      <c r="E982" s="1">
        <v>0</v>
      </c>
      <c r="F982" s="1">
        <v>32</v>
      </c>
      <c r="G982" s="1">
        <v>1</v>
      </c>
      <c r="H982" s="1">
        <v>8</v>
      </c>
      <c r="I982" s="1">
        <v>6</v>
      </c>
      <c r="J982" s="1">
        <v>1</v>
      </c>
      <c r="K982" s="1">
        <v>0</v>
      </c>
      <c r="L982" s="1">
        <v>24530</v>
      </c>
      <c r="M982" s="1">
        <v>0</v>
      </c>
    </row>
    <row r="983" spans="2:13" x14ac:dyDescent="0.25">
      <c r="B983" s="1">
        <v>0</v>
      </c>
      <c r="C983" s="1">
        <v>0</v>
      </c>
      <c r="D983" s="1">
        <v>1</v>
      </c>
      <c r="E983" s="1">
        <v>0</v>
      </c>
      <c r="F983" s="1">
        <v>32</v>
      </c>
      <c r="G983" s="1">
        <v>1</v>
      </c>
      <c r="H983" s="1">
        <v>4</v>
      </c>
      <c r="I983" s="1">
        <v>0</v>
      </c>
      <c r="J983" s="1">
        <v>2</v>
      </c>
      <c r="K983" s="1">
        <v>0</v>
      </c>
      <c r="L983" s="1">
        <v>9803</v>
      </c>
      <c r="M983" s="1">
        <v>1</v>
      </c>
    </row>
    <row r="984" spans="2:13" x14ac:dyDescent="0.25">
      <c r="B984" s="1">
        <v>0</v>
      </c>
      <c r="C984" s="1">
        <v>0</v>
      </c>
      <c r="D984" s="1">
        <v>1</v>
      </c>
      <c r="E984" s="1">
        <v>0</v>
      </c>
      <c r="F984" s="1">
        <v>31</v>
      </c>
      <c r="G984" s="1">
        <v>0</v>
      </c>
      <c r="H984" s="1">
        <v>3</v>
      </c>
      <c r="I984" s="1">
        <v>4</v>
      </c>
      <c r="J984" s="1">
        <v>0</v>
      </c>
      <c r="K984" s="1">
        <v>0</v>
      </c>
      <c r="L984" s="1">
        <v>9892</v>
      </c>
      <c r="M984" s="1">
        <v>0</v>
      </c>
    </row>
    <row r="985" spans="2:13" x14ac:dyDescent="0.25">
      <c r="B985" s="1">
        <v>0</v>
      </c>
      <c r="C985" s="1">
        <v>0</v>
      </c>
      <c r="D985" s="1">
        <v>1</v>
      </c>
      <c r="E985" s="1">
        <v>0</v>
      </c>
      <c r="F985" s="1">
        <v>31</v>
      </c>
      <c r="G985" s="1">
        <v>1</v>
      </c>
      <c r="H985" s="1">
        <v>2</v>
      </c>
      <c r="I985" s="1">
        <v>0</v>
      </c>
      <c r="J985" s="1">
        <v>1</v>
      </c>
      <c r="K985" s="1">
        <v>0</v>
      </c>
      <c r="L985" s="1">
        <v>5106</v>
      </c>
      <c r="M985" s="1">
        <v>0</v>
      </c>
    </row>
    <row r="986" spans="2:13" x14ac:dyDescent="0.25">
      <c r="B986" s="1">
        <v>0</v>
      </c>
      <c r="C986" s="1">
        <v>0</v>
      </c>
      <c r="D986" s="1">
        <v>1</v>
      </c>
      <c r="E986" s="1">
        <v>0</v>
      </c>
      <c r="F986" s="1">
        <v>31</v>
      </c>
      <c r="G986" s="1">
        <v>1</v>
      </c>
      <c r="H986" s="1">
        <v>12</v>
      </c>
      <c r="I986" s="1">
        <v>6</v>
      </c>
      <c r="J986" s="1">
        <v>0</v>
      </c>
      <c r="K986" s="1">
        <v>0</v>
      </c>
      <c r="L986" s="1">
        <v>23613</v>
      </c>
      <c r="M986" s="1">
        <v>0</v>
      </c>
    </row>
    <row r="987" spans="2:13" x14ac:dyDescent="0.25">
      <c r="B987" s="1">
        <v>0</v>
      </c>
      <c r="C987" s="1">
        <v>0</v>
      </c>
      <c r="D987" s="1">
        <v>1</v>
      </c>
      <c r="E987" s="1">
        <v>0</v>
      </c>
      <c r="F987" s="1">
        <v>31</v>
      </c>
      <c r="G987" s="1">
        <v>1</v>
      </c>
      <c r="H987" s="1">
        <v>2</v>
      </c>
      <c r="I987" s="1">
        <v>0</v>
      </c>
      <c r="J987" s="1">
        <v>2</v>
      </c>
      <c r="K987" s="1">
        <v>0</v>
      </c>
      <c r="L987" s="1">
        <v>12550</v>
      </c>
      <c r="M987" s="1">
        <v>0</v>
      </c>
    </row>
    <row r="988" spans="2:13" x14ac:dyDescent="0.25">
      <c r="B988" s="1">
        <v>0</v>
      </c>
      <c r="C988" s="1">
        <v>0</v>
      </c>
      <c r="D988" s="1">
        <v>1</v>
      </c>
      <c r="E988" s="1">
        <v>0</v>
      </c>
      <c r="F988" s="1">
        <v>31</v>
      </c>
      <c r="G988" s="1">
        <v>1</v>
      </c>
      <c r="H988" s="1">
        <v>3</v>
      </c>
      <c r="I988" s="1">
        <v>2</v>
      </c>
      <c r="J988" s="1">
        <v>0</v>
      </c>
      <c r="K988" s="1">
        <v>0</v>
      </c>
      <c r="L988" s="1">
        <v>8842</v>
      </c>
      <c r="M988" s="1">
        <v>0</v>
      </c>
    </row>
    <row r="989" spans="2:13" x14ac:dyDescent="0.25">
      <c r="B989" s="1">
        <v>0</v>
      </c>
      <c r="C989" s="1">
        <v>0</v>
      </c>
      <c r="D989" s="1">
        <v>1</v>
      </c>
      <c r="E989" s="1">
        <v>0</v>
      </c>
      <c r="F989" s="1">
        <v>31</v>
      </c>
      <c r="G989" s="1">
        <v>0</v>
      </c>
      <c r="H989" s="1">
        <v>11</v>
      </c>
      <c r="I989" s="1">
        <v>3</v>
      </c>
      <c r="J989" s="1">
        <v>0</v>
      </c>
      <c r="K989" s="1">
        <v>0</v>
      </c>
      <c r="L989" s="1">
        <v>16531</v>
      </c>
      <c r="M989" s="1">
        <v>0</v>
      </c>
    </row>
    <row r="990" spans="2:13" x14ac:dyDescent="0.25">
      <c r="B990" s="1">
        <v>0</v>
      </c>
      <c r="C990" s="1">
        <v>0</v>
      </c>
      <c r="D990" s="1">
        <v>1</v>
      </c>
      <c r="E990" s="1">
        <v>0</v>
      </c>
      <c r="F990" s="1">
        <v>31</v>
      </c>
      <c r="G990" s="1">
        <v>1</v>
      </c>
      <c r="H990" s="1">
        <v>3</v>
      </c>
      <c r="I990" s="1">
        <v>2</v>
      </c>
      <c r="J990" s="1">
        <v>0</v>
      </c>
      <c r="K990" s="1">
        <v>0</v>
      </c>
      <c r="L990" s="1">
        <v>6179</v>
      </c>
      <c r="M990" s="1">
        <v>0</v>
      </c>
    </row>
    <row r="991" spans="2:13" x14ac:dyDescent="0.25">
      <c r="B991" s="1">
        <v>0</v>
      </c>
      <c r="C991" s="1">
        <v>0</v>
      </c>
      <c r="D991" s="1">
        <v>1</v>
      </c>
      <c r="E991" s="1">
        <v>0</v>
      </c>
      <c r="F991" s="1">
        <v>31</v>
      </c>
      <c r="G991" s="1">
        <v>1</v>
      </c>
      <c r="H991" s="1">
        <v>2</v>
      </c>
      <c r="I991" s="1">
        <v>0</v>
      </c>
      <c r="J991" s="1">
        <v>2</v>
      </c>
      <c r="K991" s="1">
        <v>0</v>
      </c>
      <c r="L991" s="1">
        <v>13858</v>
      </c>
      <c r="M991" s="1">
        <v>0</v>
      </c>
    </row>
    <row r="992" spans="2:13" x14ac:dyDescent="0.25">
      <c r="B992" s="1">
        <v>0</v>
      </c>
      <c r="C992" s="1">
        <v>0</v>
      </c>
      <c r="D992" s="1">
        <v>1</v>
      </c>
      <c r="E992" s="1">
        <v>0</v>
      </c>
      <c r="F992" s="1">
        <v>31</v>
      </c>
      <c r="G992" s="1">
        <v>1</v>
      </c>
      <c r="H992" s="1">
        <v>2</v>
      </c>
      <c r="I992" s="1">
        <v>0</v>
      </c>
      <c r="J992" s="1">
        <v>0</v>
      </c>
      <c r="K992" s="1">
        <v>0</v>
      </c>
      <c r="L992" s="1">
        <v>3361</v>
      </c>
      <c r="M992" s="1">
        <v>0</v>
      </c>
    </row>
    <row r="993" spans="2:13" x14ac:dyDescent="0.25">
      <c r="B993" s="1">
        <v>0</v>
      </c>
      <c r="C993" s="1">
        <v>0</v>
      </c>
      <c r="D993" s="1">
        <v>1</v>
      </c>
      <c r="E993" s="1">
        <v>0</v>
      </c>
      <c r="F993" s="1">
        <v>31</v>
      </c>
      <c r="G993" s="1">
        <v>1</v>
      </c>
      <c r="H993" s="1">
        <v>2</v>
      </c>
      <c r="I993" s="1">
        <v>0</v>
      </c>
      <c r="J993" s="1">
        <v>1</v>
      </c>
      <c r="K993" s="1">
        <v>0</v>
      </c>
      <c r="L993" s="1">
        <v>7787</v>
      </c>
      <c r="M993" s="1">
        <v>0</v>
      </c>
    </row>
    <row r="994" spans="2:13" x14ac:dyDescent="0.25">
      <c r="B994" s="1">
        <v>0</v>
      </c>
      <c r="C994" s="1">
        <v>0</v>
      </c>
      <c r="D994" s="1">
        <v>1</v>
      </c>
      <c r="E994" s="1">
        <v>0</v>
      </c>
      <c r="F994" s="1">
        <v>31</v>
      </c>
      <c r="G994" s="1">
        <v>0</v>
      </c>
      <c r="H994" s="1">
        <v>5</v>
      </c>
      <c r="I994" s="1">
        <v>2</v>
      </c>
      <c r="J994" s="1">
        <v>0</v>
      </c>
      <c r="K994" s="1">
        <v>0</v>
      </c>
      <c r="L994" s="1">
        <v>7057</v>
      </c>
      <c r="M994" s="1">
        <v>0</v>
      </c>
    </row>
    <row r="995" spans="2:13" x14ac:dyDescent="0.25">
      <c r="B995" s="1">
        <v>0</v>
      </c>
      <c r="C995" s="1">
        <v>0</v>
      </c>
      <c r="D995" s="1">
        <v>1</v>
      </c>
      <c r="E995" s="1">
        <v>0</v>
      </c>
      <c r="F995" s="1">
        <v>31</v>
      </c>
      <c r="G995" s="1">
        <v>1</v>
      </c>
      <c r="H995" s="1">
        <v>3</v>
      </c>
      <c r="I995" s="1">
        <v>0</v>
      </c>
      <c r="J995" s="1">
        <v>3</v>
      </c>
      <c r="K995" s="1">
        <v>0</v>
      </c>
      <c r="L995" s="1">
        <v>11124</v>
      </c>
      <c r="M995" s="1">
        <v>0</v>
      </c>
    </row>
    <row r="996" spans="2:13" x14ac:dyDescent="0.25">
      <c r="B996" s="1">
        <v>0</v>
      </c>
      <c r="C996" s="1">
        <v>0</v>
      </c>
      <c r="D996" s="1">
        <v>1</v>
      </c>
      <c r="E996" s="1">
        <v>0</v>
      </c>
      <c r="F996" s="1">
        <v>31</v>
      </c>
      <c r="G996" s="1">
        <v>0</v>
      </c>
      <c r="H996" s="1">
        <v>15</v>
      </c>
      <c r="I996" s="1">
        <v>5</v>
      </c>
      <c r="J996" s="1">
        <v>1</v>
      </c>
      <c r="K996" s="1">
        <v>0</v>
      </c>
      <c r="L996" s="1">
        <v>30182</v>
      </c>
      <c r="M996" s="1">
        <v>0</v>
      </c>
    </row>
    <row r="997" spans="2:13" x14ac:dyDescent="0.25">
      <c r="B997" s="1">
        <v>0</v>
      </c>
      <c r="C997" s="1">
        <v>0</v>
      </c>
      <c r="D997" s="1">
        <v>1</v>
      </c>
      <c r="E997" s="1">
        <v>0</v>
      </c>
      <c r="F997" s="1">
        <v>31</v>
      </c>
      <c r="G997" s="1">
        <v>0</v>
      </c>
      <c r="H997" s="1">
        <v>8</v>
      </c>
      <c r="I997" s="1">
        <v>2</v>
      </c>
      <c r="J997" s="1">
        <v>0</v>
      </c>
      <c r="K997" s="1">
        <v>0</v>
      </c>
      <c r="L997" s="1">
        <v>12396</v>
      </c>
      <c r="M997" s="1">
        <v>0</v>
      </c>
    </row>
    <row r="998" spans="2:13" x14ac:dyDescent="0.25">
      <c r="B998" s="1">
        <v>0</v>
      </c>
      <c r="C998" s="1">
        <v>0</v>
      </c>
      <c r="D998" s="1">
        <v>1</v>
      </c>
      <c r="E998" s="1">
        <v>0</v>
      </c>
      <c r="F998" s="1">
        <v>31</v>
      </c>
      <c r="G998" s="1">
        <v>1</v>
      </c>
      <c r="H998" s="1">
        <v>2</v>
      </c>
      <c r="I998" s="1">
        <v>0</v>
      </c>
      <c r="J998" s="1">
        <v>4</v>
      </c>
      <c r="K998" s="1">
        <v>0</v>
      </c>
      <c r="L998" s="1">
        <v>7956</v>
      </c>
      <c r="M998" s="1">
        <v>0</v>
      </c>
    </row>
    <row r="999" spans="2:13" x14ac:dyDescent="0.25">
      <c r="B999" s="1">
        <v>0</v>
      </c>
      <c r="C999" s="1">
        <v>0</v>
      </c>
      <c r="D999" s="1">
        <v>1</v>
      </c>
      <c r="E999" s="1">
        <v>0</v>
      </c>
      <c r="F999" s="1">
        <v>31</v>
      </c>
      <c r="G999" s="1">
        <v>1</v>
      </c>
      <c r="H999" s="1">
        <v>3</v>
      </c>
      <c r="I999" s="1">
        <v>0</v>
      </c>
      <c r="J999" s="1">
        <v>3</v>
      </c>
      <c r="K999" s="1">
        <v>0</v>
      </c>
      <c r="L999" s="1">
        <v>12004</v>
      </c>
      <c r="M999" s="1">
        <v>1</v>
      </c>
    </row>
    <row r="1000" spans="2:13" x14ac:dyDescent="0.25">
      <c r="B1000" s="1">
        <v>0</v>
      </c>
      <c r="C1000" s="1">
        <v>0</v>
      </c>
      <c r="D1000" s="1">
        <v>1</v>
      </c>
      <c r="E1000" s="1">
        <v>0</v>
      </c>
      <c r="F1000" s="1">
        <v>30</v>
      </c>
      <c r="G1000" s="1">
        <v>0</v>
      </c>
      <c r="H1000" s="1">
        <v>14</v>
      </c>
      <c r="I1000" s="1">
        <v>2</v>
      </c>
      <c r="J1000" s="1">
        <v>0</v>
      </c>
      <c r="K1000" s="1">
        <v>0</v>
      </c>
      <c r="L1000" s="1">
        <v>21229</v>
      </c>
      <c r="M1000" s="1">
        <v>0</v>
      </c>
    </row>
    <row r="1001" spans="2:13" x14ac:dyDescent="0.25">
      <c r="B1001" s="1">
        <v>0</v>
      </c>
      <c r="C1001" s="1">
        <v>0</v>
      </c>
      <c r="D1001" s="1">
        <v>1</v>
      </c>
      <c r="E1001" s="1">
        <v>0</v>
      </c>
      <c r="F1001" s="1">
        <v>30</v>
      </c>
      <c r="G1001" s="1">
        <v>0</v>
      </c>
      <c r="H1001" s="1">
        <v>8</v>
      </c>
      <c r="I1001" s="1">
        <v>6</v>
      </c>
      <c r="J1001" s="1">
        <v>0</v>
      </c>
      <c r="K1001" s="1">
        <v>0</v>
      </c>
      <c r="L1001" s="1">
        <v>13254</v>
      </c>
      <c r="M1001" s="1">
        <v>0</v>
      </c>
    </row>
    <row r="1002" spans="2:13" x14ac:dyDescent="0.25">
      <c r="B1002" s="1">
        <v>0</v>
      </c>
      <c r="C1002" s="1">
        <v>0</v>
      </c>
      <c r="D1002" s="1">
        <v>1</v>
      </c>
      <c r="E1002" s="1">
        <v>0</v>
      </c>
      <c r="F1002" s="1">
        <v>30</v>
      </c>
      <c r="G1002" s="1">
        <v>0</v>
      </c>
      <c r="H1002" s="1">
        <v>3</v>
      </c>
      <c r="I1002" s="1">
        <v>4</v>
      </c>
      <c r="J1002" s="1">
        <v>0</v>
      </c>
      <c r="K1002" s="1">
        <v>0</v>
      </c>
      <c r="L1002" s="1">
        <v>4050</v>
      </c>
      <c r="M1002" s="1">
        <v>0</v>
      </c>
    </row>
    <row r="1003" spans="2:13" x14ac:dyDescent="0.25">
      <c r="B1003" s="1">
        <v>0</v>
      </c>
      <c r="C1003" s="1">
        <v>0</v>
      </c>
      <c r="D1003" s="1">
        <v>1</v>
      </c>
      <c r="E1003" s="1">
        <v>0</v>
      </c>
      <c r="F1003" s="1">
        <v>30</v>
      </c>
      <c r="G1003" s="1">
        <v>0</v>
      </c>
      <c r="H1003" s="1">
        <v>7</v>
      </c>
      <c r="I1003" s="1">
        <v>3</v>
      </c>
      <c r="J1003" s="1">
        <v>0</v>
      </c>
      <c r="K1003" s="1">
        <v>0</v>
      </c>
      <c r="L1003" s="1">
        <v>9912</v>
      </c>
      <c r="M1003" s="1">
        <v>0</v>
      </c>
    </row>
    <row r="1004" spans="2:13" x14ac:dyDescent="0.25">
      <c r="B1004" s="1">
        <v>0</v>
      </c>
      <c r="C1004" s="1">
        <v>0</v>
      </c>
      <c r="D1004" s="1">
        <v>1</v>
      </c>
      <c r="E1004" s="1">
        <v>0</v>
      </c>
      <c r="F1004" s="1">
        <v>30</v>
      </c>
      <c r="G1004" s="1">
        <v>0</v>
      </c>
      <c r="H1004" s="1">
        <v>7</v>
      </c>
      <c r="I1004" s="1">
        <v>2</v>
      </c>
      <c r="J1004" s="1">
        <v>0</v>
      </c>
      <c r="K1004" s="1">
        <v>0</v>
      </c>
      <c r="L1004" s="1">
        <v>9637</v>
      </c>
      <c r="M1004" s="1">
        <v>0</v>
      </c>
    </row>
    <row r="1005" spans="2:13" x14ac:dyDescent="0.25">
      <c r="B1005" s="1">
        <v>0</v>
      </c>
      <c r="C1005" s="1">
        <v>0</v>
      </c>
      <c r="D1005" s="1">
        <v>1</v>
      </c>
      <c r="E1005" s="1">
        <v>0</v>
      </c>
      <c r="F1005" s="1">
        <v>30</v>
      </c>
      <c r="G1005" s="1">
        <v>1</v>
      </c>
      <c r="H1005" s="1">
        <v>7</v>
      </c>
      <c r="I1005" s="1">
        <v>2</v>
      </c>
      <c r="J1005" s="1">
        <v>0</v>
      </c>
      <c r="K1005" s="1">
        <v>0</v>
      </c>
      <c r="L1005" s="1">
        <v>10687</v>
      </c>
      <c r="M1005" s="1">
        <v>0</v>
      </c>
    </row>
    <row r="1006" spans="2:13" x14ac:dyDescent="0.25">
      <c r="B1006" s="1">
        <v>0</v>
      </c>
      <c r="C1006" s="1">
        <v>0</v>
      </c>
      <c r="D1006" s="1">
        <v>1</v>
      </c>
      <c r="E1006" s="1">
        <v>0</v>
      </c>
      <c r="F1006" s="1">
        <v>30</v>
      </c>
      <c r="G1006" s="1">
        <v>1</v>
      </c>
      <c r="H1006" s="1">
        <v>2</v>
      </c>
      <c r="I1006" s="1">
        <v>0</v>
      </c>
      <c r="J1006" s="1">
        <v>0</v>
      </c>
      <c r="K1006" s="1">
        <v>0</v>
      </c>
      <c r="L1006" s="1">
        <v>7575</v>
      </c>
      <c r="M1006" s="1">
        <v>0</v>
      </c>
    </row>
    <row r="1007" spans="2:13" x14ac:dyDescent="0.25">
      <c r="B1007" s="1">
        <v>0</v>
      </c>
      <c r="C1007" s="1">
        <v>0</v>
      </c>
      <c r="D1007" s="1">
        <v>1</v>
      </c>
      <c r="E1007" s="1">
        <v>0</v>
      </c>
      <c r="F1007" s="1">
        <v>30</v>
      </c>
      <c r="G1007" s="1">
        <v>1</v>
      </c>
      <c r="H1007" s="1">
        <v>2</v>
      </c>
      <c r="I1007" s="1">
        <v>0</v>
      </c>
      <c r="J1007" s="1">
        <v>1</v>
      </c>
      <c r="K1007" s="1">
        <v>0</v>
      </c>
      <c r="L1007" s="1">
        <v>6597</v>
      </c>
      <c r="M1007" s="1">
        <v>0</v>
      </c>
    </row>
    <row r="1008" spans="2:13" x14ac:dyDescent="0.25">
      <c r="B1008" s="1">
        <v>0</v>
      </c>
      <c r="C1008" s="1">
        <v>0</v>
      </c>
      <c r="D1008" s="1">
        <v>1</v>
      </c>
      <c r="E1008" s="1">
        <v>0</v>
      </c>
      <c r="F1008" s="1">
        <v>30</v>
      </c>
      <c r="G1008" s="1">
        <v>0</v>
      </c>
      <c r="H1008" s="1">
        <v>8</v>
      </c>
      <c r="I1008" s="1">
        <v>3</v>
      </c>
      <c r="J1008" s="1">
        <v>0</v>
      </c>
      <c r="K1008" s="1">
        <v>0</v>
      </c>
      <c r="L1008" s="1">
        <v>12855</v>
      </c>
      <c r="M1008" s="1">
        <v>0</v>
      </c>
    </row>
    <row r="1009" spans="2:13" x14ac:dyDescent="0.25">
      <c r="B1009" s="1">
        <v>0</v>
      </c>
      <c r="C1009" s="1">
        <v>0</v>
      </c>
      <c r="D1009" s="1">
        <v>1</v>
      </c>
      <c r="E1009" s="1">
        <v>0</v>
      </c>
      <c r="F1009" s="1">
        <v>30</v>
      </c>
      <c r="G1009" s="1">
        <v>1</v>
      </c>
      <c r="H1009" s="1">
        <v>2</v>
      </c>
      <c r="I1009" s="1">
        <v>0</v>
      </c>
      <c r="J1009" s="1">
        <v>1</v>
      </c>
      <c r="K1009" s="1">
        <v>0</v>
      </c>
      <c r="L1009" s="1">
        <v>7440</v>
      </c>
      <c r="M1009" s="1">
        <v>0</v>
      </c>
    </row>
    <row r="1010" spans="2:13" x14ac:dyDescent="0.25">
      <c r="B1010" s="1">
        <v>0</v>
      </c>
      <c r="C1010" s="1">
        <v>0</v>
      </c>
      <c r="D1010" s="1">
        <v>1</v>
      </c>
      <c r="E1010" s="1">
        <v>0</v>
      </c>
      <c r="F1010" s="1">
        <v>30</v>
      </c>
      <c r="G1010" s="1">
        <v>1</v>
      </c>
      <c r="H1010" s="1">
        <v>2</v>
      </c>
      <c r="I1010" s="1">
        <v>0</v>
      </c>
      <c r="J1010" s="1">
        <v>1</v>
      </c>
      <c r="K1010" s="1">
        <v>0</v>
      </c>
      <c r="L1010" s="1">
        <v>4733</v>
      </c>
      <c r="M1010" s="1">
        <v>0</v>
      </c>
    </row>
    <row r="1011" spans="2:13" x14ac:dyDescent="0.25">
      <c r="B1011" s="1">
        <v>0</v>
      </c>
      <c r="C1011" s="1">
        <v>0</v>
      </c>
      <c r="D1011" s="1">
        <v>1</v>
      </c>
      <c r="E1011" s="1">
        <v>0</v>
      </c>
      <c r="F1011" s="1">
        <v>30</v>
      </c>
      <c r="G1011" s="1">
        <v>1</v>
      </c>
      <c r="H1011" s="1">
        <v>3</v>
      </c>
      <c r="I1011" s="1">
        <v>0</v>
      </c>
      <c r="J1011" s="1">
        <v>2</v>
      </c>
      <c r="K1011" s="1">
        <v>0</v>
      </c>
      <c r="L1011" s="1">
        <v>11301</v>
      </c>
      <c r="M1011" s="1">
        <v>0</v>
      </c>
    </row>
    <row r="1012" spans="2:13" x14ac:dyDescent="0.25">
      <c r="B1012" s="1">
        <v>0</v>
      </c>
      <c r="C1012" s="1">
        <v>0</v>
      </c>
      <c r="D1012" s="1">
        <v>1</v>
      </c>
      <c r="E1012" s="1">
        <v>0</v>
      </c>
      <c r="F1012" s="1">
        <v>30</v>
      </c>
      <c r="G1012" s="1">
        <v>1</v>
      </c>
      <c r="H1012" s="1">
        <v>6</v>
      </c>
      <c r="I1012" s="1">
        <v>3</v>
      </c>
      <c r="J1012" s="1">
        <v>0</v>
      </c>
      <c r="K1012" s="1">
        <v>0</v>
      </c>
      <c r="L1012" s="1">
        <v>18906</v>
      </c>
      <c r="M1012" s="1">
        <v>0</v>
      </c>
    </row>
    <row r="1013" spans="2:13" x14ac:dyDescent="0.25">
      <c r="B1013" s="1">
        <v>0</v>
      </c>
      <c r="C1013" s="1">
        <v>0</v>
      </c>
      <c r="D1013" s="1">
        <v>1</v>
      </c>
      <c r="E1013" s="1">
        <v>0</v>
      </c>
      <c r="F1013" s="1">
        <v>30</v>
      </c>
      <c r="G1013" s="1">
        <v>1</v>
      </c>
      <c r="H1013" s="1">
        <v>5</v>
      </c>
      <c r="I1013" s="1">
        <v>2</v>
      </c>
      <c r="J1013" s="1">
        <v>2</v>
      </c>
      <c r="K1013" s="1">
        <v>0</v>
      </c>
      <c r="L1013" s="1">
        <v>22499</v>
      </c>
      <c r="M1013" s="1">
        <v>1</v>
      </c>
    </row>
    <row r="1014" spans="2:13" x14ac:dyDescent="0.25">
      <c r="B1014" s="1">
        <v>0</v>
      </c>
      <c r="C1014" s="1">
        <v>0</v>
      </c>
      <c r="D1014" s="1">
        <v>1</v>
      </c>
      <c r="E1014" s="1">
        <v>0</v>
      </c>
      <c r="F1014" s="1">
        <v>30</v>
      </c>
      <c r="G1014" s="1">
        <v>1</v>
      </c>
      <c r="H1014" s="1">
        <v>2</v>
      </c>
      <c r="I1014" s="1">
        <v>0</v>
      </c>
      <c r="J1014" s="1">
        <v>1</v>
      </c>
      <c r="K1014" s="1">
        <v>0</v>
      </c>
      <c r="L1014" s="1">
        <v>7835</v>
      </c>
      <c r="M1014" s="1">
        <v>1</v>
      </c>
    </row>
    <row r="1015" spans="2:13" x14ac:dyDescent="0.25">
      <c r="B1015" s="1">
        <v>0</v>
      </c>
      <c r="C1015" s="1">
        <v>0</v>
      </c>
      <c r="D1015" s="1">
        <v>1</v>
      </c>
      <c r="E1015" s="1">
        <v>0</v>
      </c>
      <c r="F1015" s="1">
        <v>30</v>
      </c>
      <c r="G1015" s="1">
        <v>1</v>
      </c>
      <c r="H1015" s="1">
        <v>2</v>
      </c>
      <c r="I1015" s="1">
        <v>2</v>
      </c>
      <c r="J1015" s="1">
        <v>1</v>
      </c>
      <c r="K1015" s="1">
        <v>0</v>
      </c>
      <c r="L1015" s="1">
        <v>14703</v>
      </c>
      <c r="M1015" s="1">
        <v>1</v>
      </c>
    </row>
    <row r="1016" spans="2:13" x14ac:dyDescent="0.25">
      <c r="B1016" s="1">
        <v>0</v>
      </c>
      <c r="C1016" s="1">
        <v>0</v>
      </c>
      <c r="D1016" s="1">
        <v>0.7</v>
      </c>
      <c r="E1016" s="1">
        <v>0.3</v>
      </c>
      <c r="F1016" s="1">
        <v>29</v>
      </c>
      <c r="G1016" s="1">
        <v>1</v>
      </c>
      <c r="H1016" s="1">
        <v>3</v>
      </c>
      <c r="I1016" s="1">
        <v>3</v>
      </c>
      <c r="J1016" s="1">
        <v>0</v>
      </c>
      <c r="K1016" s="1">
        <v>0</v>
      </c>
      <c r="L1016" s="1">
        <v>12423</v>
      </c>
      <c r="M1016" s="1">
        <v>0</v>
      </c>
    </row>
    <row r="1017" spans="2:13" x14ac:dyDescent="0.25">
      <c r="B1017" s="1">
        <v>0</v>
      </c>
      <c r="C1017" s="1">
        <v>0</v>
      </c>
      <c r="D1017" s="1">
        <v>0.7</v>
      </c>
      <c r="E1017" s="1">
        <v>0.3</v>
      </c>
      <c r="F1017" s="1">
        <v>29</v>
      </c>
      <c r="G1017" s="1">
        <v>0</v>
      </c>
      <c r="H1017" s="1">
        <v>6</v>
      </c>
      <c r="I1017" s="1">
        <v>1</v>
      </c>
      <c r="J1017" s="1">
        <v>0</v>
      </c>
      <c r="K1017" s="1">
        <v>0</v>
      </c>
      <c r="L1017" s="1">
        <v>11268</v>
      </c>
      <c r="M1017" s="1">
        <v>0</v>
      </c>
    </row>
    <row r="1018" spans="2:13" x14ac:dyDescent="0.25">
      <c r="B1018" s="1">
        <v>0</v>
      </c>
      <c r="C1018" s="1">
        <v>0</v>
      </c>
      <c r="D1018" s="1">
        <v>0.7</v>
      </c>
      <c r="E1018" s="1">
        <v>0.3</v>
      </c>
      <c r="F1018" s="1">
        <v>29</v>
      </c>
      <c r="G1018" s="1">
        <v>0</v>
      </c>
      <c r="H1018" s="1">
        <v>3</v>
      </c>
      <c r="I1018" s="1">
        <v>4</v>
      </c>
      <c r="J1018" s="1">
        <v>1</v>
      </c>
      <c r="K1018" s="1">
        <v>0</v>
      </c>
      <c r="L1018" s="1">
        <v>13930</v>
      </c>
      <c r="M1018" s="1">
        <v>0</v>
      </c>
    </row>
    <row r="1019" spans="2:13" x14ac:dyDescent="0.25">
      <c r="B1019" s="1">
        <v>0</v>
      </c>
      <c r="C1019" s="1">
        <v>0</v>
      </c>
      <c r="D1019" s="1">
        <v>0.7</v>
      </c>
      <c r="E1019" s="1">
        <v>0.3</v>
      </c>
      <c r="F1019" s="1">
        <v>29</v>
      </c>
      <c r="G1019" s="1">
        <v>1</v>
      </c>
      <c r="H1019" s="1">
        <v>2</v>
      </c>
      <c r="I1019" s="1">
        <v>0</v>
      </c>
      <c r="J1019" s="1">
        <v>1</v>
      </c>
      <c r="K1019" s="1">
        <v>0</v>
      </c>
      <c r="L1019" s="1">
        <v>6658</v>
      </c>
      <c r="M1019" s="1">
        <v>0</v>
      </c>
    </row>
    <row r="1020" spans="2:13" x14ac:dyDescent="0.25">
      <c r="B1020" s="17">
        <v>1</v>
      </c>
      <c r="C1020" s="17">
        <v>0</v>
      </c>
      <c r="D1020" s="17">
        <v>0.31818181818181818</v>
      </c>
      <c r="E1020" s="17">
        <v>0.68181818181818188</v>
      </c>
      <c r="F1020" s="17">
        <v>28</v>
      </c>
      <c r="G1020" s="17">
        <v>0</v>
      </c>
      <c r="H1020" s="17">
        <v>5</v>
      </c>
      <c r="I1020" s="17">
        <v>5</v>
      </c>
      <c r="J1020" s="17">
        <v>2</v>
      </c>
      <c r="K1020" s="17">
        <v>0</v>
      </c>
      <c r="L1020" s="17">
        <v>27686</v>
      </c>
      <c r="M1020" s="17">
        <v>1</v>
      </c>
    </row>
    <row r="1021" spans="2:13" x14ac:dyDescent="0.25">
      <c r="B1021" s="17">
        <v>1</v>
      </c>
      <c r="C1021" s="17">
        <v>0</v>
      </c>
      <c r="D1021" s="17">
        <v>0.31818181818181818</v>
      </c>
      <c r="E1021" s="17">
        <v>0.68181818181818188</v>
      </c>
      <c r="F1021" s="17">
        <v>28</v>
      </c>
      <c r="G1021" s="17">
        <v>1</v>
      </c>
      <c r="H1021" s="17">
        <v>8</v>
      </c>
      <c r="I1021" s="17">
        <v>1</v>
      </c>
      <c r="J1021" s="17">
        <v>1</v>
      </c>
      <c r="K1021" s="17">
        <v>0</v>
      </c>
      <c r="L1021" s="17">
        <v>37435</v>
      </c>
      <c r="M1021" s="17">
        <v>1</v>
      </c>
    </row>
    <row r="1022" spans="2:13" x14ac:dyDescent="0.25">
      <c r="B1022" s="17">
        <v>1</v>
      </c>
      <c r="C1022" s="17">
        <v>0</v>
      </c>
      <c r="D1022" s="17">
        <v>0.31818181818181818</v>
      </c>
      <c r="E1022" s="17">
        <v>0.68181818181818188</v>
      </c>
      <c r="F1022" s="17">
        <v>28</v>
      </c>
      <c r="G1022" s="17">
        <v>1</v>
      </c>
      <c r="H1022" s="17">
        <v>3</v>
      </c>
      <c r="I1022" s="17">
        <v>0</v>
      </c>
      <c r="J1022" s="17">
        <v>1</v>
      </c>
      <c r="K1022" s="17">
        <v>0</v>
      </c>
      <c r="L1022" s="17">
        <v>14468</v>
      </c>
      <c r="M1022" s="17">
        <v>1</v>
      </c>
    </row>
    <row r="1023" spans="2:13" x14ac:dyDescent="0.25">
      <c r="B1023" s="17">
        <v>1</v>
      </c>
      <c r="C1023" s="17">
        <v>0</v>
      </c>
      <c r="D1023" s="17">
        <v>0.31818181818181818</v>
      </c>
      <c r="E1023" s="17">
        <v>0.68181818181818188</v>
      </c>
      <c r="F1023" s="17">
        <v>28</v>
      </c>
      <c r="G1023" s="17">
        <v>1</v>
      </c>
      <c r="H1023" s="17">
        <v>2</v>
      </c>
      <c r="I1023" s="17">
        <v>1</v>
      </c>
      <c r="J1023" s="17">
        <v>1</v>
      </c>
      <c r="K1023" s="17">
        <v>0</v>
      </c>
      <c r="L1023" s="17">
        <v>15304</v>
      </c>
      <c r="M1023" s="17">
        <v>1</v>
      </c>
    </row>
    <row r="1024" spans="2:13" x14ac:dyDescent="0.25">
      <c r="B1024" s="17">
        <v>1</v>
      </c>
      <c r="C1024" s="17">
        <v>0</v>
      </c>
      <c r="D1024" s="17">
        <v>0.31818181818181818</v>
      </c>
      <c r="E1024" s="17">
        <v>0.68181818181818188</v>
      </c>
      <c r="F1024" s="17">
        <v>28</v>
      </c>
      <c r="G1024" s="17">
        <v>1</v>
      </c>
      <c r="H1024" s="17">
        <v>3</v>
      </c>
      <c r="I1024" s="17">
        <v>0</v>
      </c>
      <c r="J1024" s="17">
        <v>1</v>
      </c>
      <c r="K1024" s="17">
        <v>0</v>
      </c>
      <c r="L1024" s="17">
        <v>16944</v>
      </c>
      <c r="M1024" s="17">
        <v>1</v>
      </c>
    </row>
    <row r="1025" spans="2:13" x14ac:dyDescent="0.25">
      <c r="B1025" s="17">
        <v>1</v>
      </c>
      <c r="C1025" s="17">
        <v>0</v>
      </c>
      <c r="D1025" s="17">
        <v>0.31818181818181818</v>
      </c>
      <c r="E1025" s="17">
        <v>0.68181818181818188</v>
      </c>
      <c r="F1025" s="17">
        <v>28</v>
      </c>
      <c r="G1025" s="17">
        <v>1</v>
      </c>
      <c r="H1025" s="17">
        <v>1</v>
      </c>
      <c r="I1025" s="17">
        <v>0</v>
      </c>
      <c r="J1025" s="17">
        <v>1</v>
      </c>
      <c r="K1025" s="17">
        <v>0</v>
      </c>
      <c r="L1025" s="17">
        <v>14248</v>
      </c>
      <c r="M1025" s="17">
        <v>1</v>
      </c>
    </row>
    <row r="1026" spans="2:13" x14ac:dyDescent="0.25">
      <c r="B1026" s="17">
        <v>1</v>
      </c>
      <c r="C1026" s="17">
        <v>0</v>
      </c>
      <c r="D1026" s="17">
        <v>0.31818181818181818</v>
      </c>
      <c r="E1026" s="17">
        <v>0.68181818181818188</v>
      </c>
      <c r="F1026" s="17">
        <v>28</v>
      </c>
      <c r="G1026" s="17">
        <v>1</v>
      </c>
      <c r="H1026" s="17">
        <v>3</v>
      </c>
      <c r="I1026" s="17">
        <v>0</v>
      </c>
      <c r="J1026" s="17">
        <v>2</v>
      </c>
      <c r="K1026" s="17">
        <v>0</v>
      </c>
      <c r="L1026" s="17">
        <v>10480</v>
      </c>
      <c r="M1026" s="17">
        <v>1</v>
      </c>
    </row>
    <row r="1027" spans="2:13" x14ac:dyDescent="0.25">
      <c r="B1027" s="1">
        <v>0</v>
      </c>
      <c r="C1027" s="1">
        <v>0</v>
      </c>
      <c r="D1027" s="1">
        <v>1</v>
      </c>
      <c r="E1027" s="1">
        <v>0</v>
      </c>
      <c r="F1027" s="1">
        <v>27</v>
      </c>
      <c r="G1027" s="1">
        <v>0</v>
      </c>
      <c r="H1027" s="1">
        <v>4</v>
      </c>
      <c r="I1027" s="1">
        <v>1</v>
      </c>
      <c r="J1027" s="1">
        <v>0</v>
      </c>
      <c r="K1027" s="1">
        <v>0</v>
      </c>
      <c r="L1027" s="1">
        <v>17384</v>
      </c>
      <c r="M1027" s="1">
        <v>0</v>
      </c>
    </row>
    <row r="1028" spans="2:13" x14ac:dyDescent="0.25">
      <c r="B1028" s="1">
        <v>0</v>
      </c>
      <c r="C1028" s="1">
        <v>0</v>
      </c>
      <c r="D1028" s="1">
        <v>1</v>
      </c>
      <c r="E1028" s="1">
        <v>0</v>
      </c>
      <c r="F1028" s="1">
        <v>27</v>
      </c>
      <c r="G1028" s="1">
        <v>1</v>
      </c>
      <c r="H1028" s="1">
        <v>5</v>
      </c>
      <c r="I1028" s="1">
        <v>4</v>
      </c>
      <c r="J1028" s="1">
        <v>0</v>
      </c>
      <c r="K1028" s="1">
        <v>0</v>
      </c>
      <c r="L1028" s="1">
        <v>7399</v>
      </c>
      <c r="M1028" s="1">
        <v>0</v>
      </c>
    </row>
    <row r="1029" spans="2:13" x14ac:dyDescent="0.25">
      <c r="B1029" s="1">
        <v>0</v>
      </c>
      <c r="C1029" s="1">
        <v>0</v>
      </c>
      <c r="D1029" s="1">
        <v>1</v>
      </c>
      <c r="E1029" s="1">
        <v>0</v>
      </c>
      <c r="F1029" s="1">
        <v>27</v>
      </c>
      <c r="G1029" s="1">
        <v>0</v>
      </c>
      <c r="H1029" s="1">
        <v>3</v>
      </c>
      <c r="I1029" s="1">
        <v>4</v>
      </c>
      <c r="J1029" s="1">
        <v>0</v>
      </c>
      <c r="K1029" s="1">
        <v>0</v>
      </c>
      <c r="L1029" s="1">
        <v>10379</v>
      </c>
      <c r="M1029" s="1">
        <v>0</v>
      </c>
    </row>
    <row r="1030" spans="2:13" x14ac:dyDescent="0.25">
      <c r="B1030" s="1">
        <v>0</v>
      </c>
      <c r="C1030" s="1">
        <v>0</v>
      </c>
      <c r="D1030" s="1">
        <v>1</v>
      </c>
      <c r="E1030" s="1">
        <v>0</v>
      </c>
      <c r="F1030" s="1">
        <v>27</v>
      </c>
      <c r="G1030" s="1">
        <v>1</v>
      </c>
      <c r="H1030" s="1">
        <v>2</v>
      </c>
      <c r="I1030" s="1">
        <v>0</v>
      </c>
      <c r="J1030" s="1">
        <v>2</v>
      </c>
      <c r="K1030" s="1">
        <v>0</v>
      </c>
      <c r="L1030" s="1">
        <v>5720</v>
      </c>
      <c r="M1030" s="1">
        <v>0</v>
      </c>
    </row>
    <row r="1031" spans="2:13" x14ac:dyDescent="0.25">
      <c r="B1031" s="1">
        <v>0</v>
      </c>
      <c r="C1031" s="1">
        <v>0</v>
      </c>
      <c r="D1031" s="1">
        <v>1</v>
      </c>
      <c r="E1031" s="1">
        <v>0</v>
      </c>
      <c r="F1031" s="1">
        <v>27</v>
      </c>
      <c r="G1031" s="1">
        <v>0</v>
      </c>
      <c r="H1031" s="1">
        <v>7</v>
      </c>
      <c r="I1031" s="1">
        <v>2</v>
      </c>
      <c r="J1031" s="1">
        <v>0</v>
      </c>
      <c r="K1031" s="1">
        <v>0</v>
      </c>
      <c r="L1031" s="1">
        <v>10160</v>
      </c>
      <c r="M1031" s="1">
        <v>0</v>
      </c>
    </row>
    <row r="1032" spans="2:13" x14ac:dyDescent="0.25">
      <c r="B1032" s="1">
        <v>0</v>
      </c>
      <c r="C1032" s="1">
        <v>0</v>
      </c>
      <c r="D1032" s="1">
        <v>1</v>
      </c>
      <c r="E1032" s="1">
        <v>0</v>
      </c>
      <c r="F1032" s="1">
        <v>27</v>
      </c>
      <c r="G1032" s="1">
        <v>1</v>
      </c>
      <c r="H1032" s="1">
        <v>6</v>
      </c>
      <c r="I1032" s="1">
        <v>6</v>
      </c>
      <c r="J1032" s="1">
        <v>0</v>
      </c>
      <c r="K1032" s="1">
        <v>0</v>
      </c>
      <c r="L1032" s="1">
        <v>12014</v>
      </c>
      <c r="M1032" s="1">
        <v>0</v>
      </c>
    </row>
    <row r="1033" spans="2:13" x14ac:dyDescent="0.25">
      <c r="B1033" s="1">
        <v>0</v>
      </c>
      <c r="C1033" s="1">
        <v>0</v>
      </c>
      <c r="D1033" s="1">
        <v>1</v>
      </c>
      <c r="E1033" s="1">
        <v>0</v>
      </c>
      <c r="F1033" s="1">
        <v>27</v>
      </c>
      <c r="G1033" s="1">
        <v>0</v>
      </c>
      <c r="H1033" s="1">
        <v>2</v>
      </c>
      <c r="I1033" s="1">
        <v>1</v>
      </c>
      <c r="J1033" s="1">
        <v>0</v>
      </c>
      <c r="K1033" s="1">
        <v>0</v>
      </c>
      <c r="L1033" s="1">
        <v>2840</v>
      </c>
      <c r="M1033" s="1">
        <v>0</v>
      </c>
    </row>
    <row r="1034" spans="2:13" x14ac:dyDescent="0.25">
      <c r="B1034" s="1">
        <v>0</v>
      </c>
      <c r="C1034" s="1">
        <v>0</v>
      </c>
      <c r="D1034" s="1">
        <v>1</v>
      </c>
      <c r="E1034" s="1">
        <v>0</v>
      </c>
      <c r="F1034" s="1">
        <v>27</v>
      </c>
      <c r="G1034" s="1">
        <v>1</v>
      </c>
      <c r="H1034" s="1">
        <v>3</v>
      </c>
      <c r="I1034" s="1">
        <v>0</v>
      </c>
      <c r="J1034" s="1">
        <v>1</v>
      </c>
      <c r="K1034" s="1">
        <v>0</v>
      </c>
      <c r="L1034" s="1">
        <v>11237</v>
      </c>
      <c r="M1034" s="1">
        <v>0</v>
      </c>
    </row>
    <row r="1035" spans="2:13" x14ac:dyDescent="0.25">
      <c r="B1035" s="1">
        <v>0</v>
      </c>
      <c r="C1035" s="1">
        <v>0</v>
      </c>
      <c r="D1035" s="1">
        <v>1</v>
      </c>
      <c r="E1035" s="1">
        <v>0</v>
      </c>
      <c r="F1035" s="1">
        <v>27</v>
      </c>
      <c r="G1035" s="1">
        <v>1</v>
      </c>
      <c r="H1035" s="1">
        <v>2</v>
      </c>
      <c r="I1035" s="1">
        <v>0</v>
      </c>
      <c r="J1035" s="1">
        <v>1</v>
      </c>
      <c r="K1035" s="1">
        <v>0</v>
      </c>
      <c r="L1035" s="1">
        <v>6411</v>
      </c>
      <c r="M1035" s="1">
        <v>0</v>
      </c>
    </row>
    <row r="1036" spans="2:13" x14ac:dyDescent="0.25">
      <c r="B1036" s="1">
        <v>0</v>
      </c>
      <c r="C1036" s="1">
        <v>0</v>
      </c>
      <c r="D1036" s="1">
        <v>1</v>
      </c>
      <c r="E1036" s="1">
        <v>0</v>
      </c>
      <c r="F1036" s="1">
        <v>27</v>
      </c>
      <c r="G1036" s="1">
        <v>1</v>
      </c>
      <c r="H1036" s="1">
        <v>3</v>
      </c>
      <c r="I1036" s="1">
        <v>0</v>
      </c>
      <c r="J1036" s="1">
        <v>1</v>
      </c>
      <c r="K1036" s="1">
        <v>0</v>
      </c>
      <c r="L1036" s="1">
        <v>8673</v>
      </c>
      <c r="M1036" s="1">
        <v>0</v>
      </c>
    </row>
    <row r="1037" spans="2:13" x14ac:dyDescent="0.25">
      <c r="B1037" s="1">
        <v>0</v>
      </c>
      <c r="C1037" s="1">
        <v>0</v>
      </c>
      <c r="D1037" s="1">
        <v>1</v>
      </c>
      <c r="E1037" s="1">
        <v>0</v>
      </c>
      <c r="F1037" s="1">
        <v>27</v>
      </c>
      <c r="G1037" s="1">
        <v>1</v>
      </c>
      <c r="H1037" s="1">
        <v>2</v>
      </c>
      <c r="I1037" s="1">
        <v>0</v>
      </c>
      <c r="J1037" s="1">
        <v>2</v>
      </c>
      <c r="K1037" s="1">
        <v>0</v>
      </c>
      <c r="L1037" s="1">
        <v>9124</v>
      </c>
      <c r="M1037" s="1">
        <v>0</v>
      </c>
    </row>
    <row r="1038" spans="2:13" x14ac:dyDescent="0.25">
      <c r="B1038" s="1">
        <v>0</v>
      </c>
      <c r="C1038" s="1">
        <v>0</v>
      </c>
      <c r="D1038" s="1">
        <v>1</v>
      </c>
      <c r="E1038" s="1">
        <v>0</v>
      </c>
      <c r="F1038" s="1">
        <v>27</v>
      </c>
      <c r="G1038" s="1">
        <v>0</v>
      </c>
      <c r="H1038" s="1">
        <v>3</v>
      </c>
      <c r="I1038" s="1">
        <v>1</v>
      </c>
      <c r="J1038" s="1">
        <v>2</v>
      </c>
      <c r="K1038" s="1">
        <v>0</v>
      </c>
      <c r="L1038" s="1">
        <v>16526</v>
      </c>
      <c r="M1038" s="1">
        <v>0</v>
      </c>
    </row>
    <row r="1039" spans="2:13" x14ac:dyDescent="0.25">
      <c r="B1039" s="1">
        <v>0</v>
      </c>
      <c r="C1039" s="1">
        <v>0</v>
      </c>
      <c r="D1039" s="1">
        <v>1</v>
      </c>
      <c r="E1039" s="1">
        <v>0</v>
      </c>
      <c r="F1039" s="1">
        <v>27</v>
      </c>
      <c r="G1039" s="1">
        <v>1</v>
      </c>
      <c r="H1039" s="1">
        <v>4</v>
      </c>
      <c r="I1039" s="1">
        <v>2</v>
      </c>
      <c r="J1039" s="1">
        <v>0</v>
      </c>
      <c r="K1039" s="1">
        <v>0</v>
      </c>
      <c r="L1039" s="1">
        <v>7159</v>
      </c>
      <c r="M1039" s="1">
        <v>0</v>
      </c>
    </row>
    <row r="1040" spans="2:13" x14ac:dyDescent="0.25">
      <c r="B1040" s="1">
        <v>0</v>
      </c>
      <c r="C1040" s="1">
        <v>0</v>
      </c>
      <c r="D1040" s="1">
        <v>1</v>
      </c>
      <c r="E1040" s="1">
        <v>0</v>
      </c>
      <c r="F1040" s="1">
        <v>27</v>
      </c>
      <c r="G1040" s="1">
        <v>1</v>
      </c>
      <c r="H1040" s="1">
        <v>3</v>
      </c>
      <c r="I1040" s="1">
        <v>0</v>
      </c>
      <c r="J1040" s="1">
        <v>3</v>
      </c>
      <c r="K1040" s="1">
        <v>0</v>
      </c>
      <c r="L1040" s="1">
        <v>12126</v>
      </c>
      <c r="M1040" s="1">
        <v>1</v>
      </c>
    </row>
    <row r="1041" spans="2:13" x14ac:dyDescent="0.25">
      <c r="B1041" s="1">
        <v>0</v>
      </c>
      <c r="C1041" s="1">
        <v>0</v>
      </c>
      <c r="D1041" s="1">
        <v>1</v>
      </c>
      <c r="E1041" s="1">
        <v>0</v>
      </c>
      <c r="F1041" s="1">
        <v>26</v>
      </c>
      <c r="G1041" s="1">
        <v>1</v>
      </c>
      <c r="H1041" s="1">
        <v>8</v>
      </c>
      <c r="I1041" s="1">
        <v>7</v>
      </c>
      <c r="J1041" s="1">
        <v>0</v>
      </c>
      <c r="K1041" s="1">
        <v>0</v>
      </c>
      <c r="L1041" s="1">
        <v>12332</v>
      </c>
      <c r="M1041" s="1">
        <v>0</v>
      </c>
    </row>
    <row r="1042" spans="2:13" x14ac:dyDescent="0.25">
      <c r="B1042" s="1">
        <v>0</v>
      </c>
      <c r="C1042" s="1">
        <v>0</v>
      </c>
      <c r="D1042" s="1">
        <v>1</v>
      </c>
      <c r="E1042" s="1">
        <v>0</v>
      </c>
      <c r="F1042" s="1">
        <v>26</v>
      </c>
      <c r="G1042" s="1">
        <v>1</v>
      </c>
      <c r="H1042" s="1">
        <v>3</v>
      </c>
      <c r="I1042" s="1">
        <v>0</v>
      </c>
      <c r="J1042" s="1">
        <v>1</v>
      </c>
      <c r="K1042" s="1">
        <v>0</v>
      </c>
      <c r="L1042" s="1">
        <v>7329</v>
      </c>
      <c r="M1042" s="1">
        <v>0</v>
      </c>
    </row>
    <row r="1043" spans="2:13" x14ac:dyDescent="0.25">
      <c r="B1043" s="1">
        <v>0</v>
      </c>
      <c r="C1043" s="1">
        <v>0</v>
      </c>
      <c r="D1043" s="1">
        <v>1</v>
      </c>
      <c r="E1043" s="1">
        <v>0</v>
      </c>
      <c r="F1043" s="1">
        <v>26</v>
      </c>
      <c r="G1043" s="1">
        <v>1</v>
      </c>
      <c r="H1043" s="1">
        <v>2</v>
      </c>
      <c r="I1043" s="1">
        <v>0</v>
      </c>
      <c r="J1043" s="1">
        <v>1</v>
      </c>
      <c r="K1043" s="1">
        <v>0</v>
      </c>
      <c r="L1043" s="1">
        <v>6750</v>
      </c>
      <c r="M1043" s="1">
        <v>0</v>
      </c>
    </row>
    <row r="1044" spans="2:13" x14ac:dyDescent="0.25">
      <c r="B1044" s="1">
        <v>0</v>
      </c>
      <c r="C1044" s="1">
        <v>0</v>
      </c>
      <c r="D1044" s="1">
        <v>1</v>
      </c>
      <c r="E1044" s="1">
        <v>0</v>
      </c>
      <c r="F1044" s="1">
        <v>26</v>
      </c>
      <c r="G1044" s="1">
        <v>0</v>
      </c>
      <c r="H1044" s="1">
        <v>4</v>
      </c>
      <c r="I1044" s="1">
        <v>3</v>
      </c>
      <c r="J1044" s="1">
        <v>0</v>
      </c>
      <c r="K1044" s="1">
        <v>0</v>
      </c>
      <c r="L1044" s="1">
        <v>5688</v>
      </c>
      <c r="M1044" s="1">
        <v>0</v>
      </c>
    </row>
    <row r="1045" spans="2:13" x14ac:dyDescent="0.25">
      <c r="B1045" s="1">
        <v>0</v>
      </c>
      <c r="C1045" s="1">
        <v>0</v>
      </c>
      <c r="D1045" s="1">
        <v>1</v>
      </c>
      <c r="E1045" s="1">
        <v>0</v>
      </c>
      <c r="F1045" s="1">
        <v>26</v>
      </c>
      <c r="G1045" s="1">
        <v>0</v>
      </c>
      <c r="H1045" s="1">
        <v>2</v>
      </c>
      <c r="I1045" s="1">
        <v>3</v>
      </c>
      <c r="J1045" s="1">
        <v>0</v>
      </c>
      <c r="K1045" s="1">
        <v>0</v>
      </c>
      <c r="L1045" s="1">
        <v>9704</v>
      </c>
      <c r="M1045" s="1">
        <v>0</v>
      </c>
    </row>
    <row r="1046" spans="2:13" x14ac:dyDescent="0.25">
      <c r="B1046" s="1">
        <v>0</v>
      </c>
      <c r="C1046" s="1">
        <v>0</v>
      </c>
      <c r="D1046" s="1">
        <v>1</v>
      </c>
      <c r="E1046" s="1">
        <v>0</v>
      </c>
      <c r="F1046" s="1">
        <v>26</v>
      </c>
      <c r="G1046" s="1">
        <v>1</v>
      </c>
      <c r="H1046" s="1">
        <v>2</v>
      </c>
      <c r="I1046" s="1">
        <v>0</v>
      </c>
      <c r="J1046" s="1">
        <v>1</v>
      </c>
      <c r="K1046" s="1">
        <v>0</v>
      </c>
      <c r="L1046" s="1">
        <v>12019</v>
      </c>
      <c r="M1046" s="1">
        <v>0</v>
      </c>
    </row>
    <row r="1047" spans="2:13" x14ac:dyDescent="0.25">
      <c r="B1047" s="1">
        <v>0</v>
      </c>
      <c r="C1047" s="1">
        <v>0</v>
      </c>
      <c r="D1047" s="1">
        <v>1</v>
      </c>
      <c r="E1047" s="1">
        <v>0</v>
      </c>
      <c r="F1047" s="1">
        <v>26</v>
      </c>
      <c r="G1047" s="1">
        <v>0</v>
      </c>
      <c r="H1047" s="1">
        <v>6</v>
      </c>
      <c r="I1047" s="1">
        <v>1</v>
      </c>
      <c r="J1047" s="1">
        <v>0</v>
      </c>
      <c r="K1047" s="1">
        <v>0</v>
      </c>
      <c r="L1047" s="1">
        <v>8478</v>
      </c>
      <c r="M1047" s="1">
        <v>0</v>
      </c>
    </row>
    <row r="1048" spans="2:13" x14ac:dyDescent="0.25">
      <c r="B1048" s="1">
        <v>0</v>
      </c>
      <c r="C1048" s="1">
        <v>0</v>
      </c>
      <c r="D1048" s="1">
        <v>1</v>
      </c>
      <c r="E1048" s="1">
        <v>0</v>
      </c>
      <c r="F1048" s="1">
        <v>26</v>
      </c>
      <c r="G1048" s="1">
        <v>1</v>
      </c>
      <c r="H1048" s="1">
        <v>2</v>
      </c>
      <c r="I1048" s="1">
        <v>4</v>
      </c>
      <c r="J1048" s="1">
        <v>0</v>
      </c>
      <c r="K1048" s="1">
        <v>0</v>
      </c>
      <c r="L1048" s="1">
        <v>11134</v>
      </c>
      <c r="M1048" s="1">
        <v>0</v>
      </c>
    </row>
    <row r="1049" spans="2:13" x14ac:dyDescent="0.25">
      <c r="B1049" s="1">
        <v>0</v>
      </c>
      <c r="C1049" s="1">
        <v>0</v>
      </c>
      <c r="D1049" s="1">
        <v>1</v>
      </c>
      <c r="E1049" s="1">
        <v>0</v>
      </c>
      <c r="F1049" s="1">
        <v>26</v>
      </c>
      <c r="G1049" s="1">
        <v>0</v>
      </c>
      <c r="H1049" s="1">
        <v>3</v>
      </c>
      <c r="I1049" s="1">
        <v>0</v>
      </c>
      <c r="J1049" s="1">
        <v>0</v>
      </c>
      <c r="K1049" s="1">
        <v>0</v>
      </c>
      <c r="L1049" s="1">
        <v>15543</v>
      </c>
      <c r="M1049" s="1">
        <v>0</v>
      </c>
    </row>
    <row r="1050" spans="2:13" x14ac:dyDescent="0.25">
      <c r="B1050" s="1">
        <v>0</v>
      </c>
      <c r="C1050" s="1">
        <v>0</v>
      </c>
      <c r="D1050" s="1">
        <v>1</v>
      </c>
      <c r="E1050" s="1">
        <v>0</v>
      </c>
      <c r="F1050" s="1">
        <v>26</v>
      </c>
      <c r="G1050" s="1">
        <v>0</v>
      </c>
      <c r="H1050" s="1">
        <v>3</v>
      </c>
      <c r="I1050" s="1">
        <v>2</v>
      </c>
      <c r="J1050" s="1">
        <v>1</v>
      </c>
      <c r="K1050" s="1">
        <v>0</v>
      </c>
      <c r="L1050" s="1">
        <v>6228</v>
      </c>
      <c r="M1050" s="1">
        <v>0</v>
      </c>
    </row>
    <row r="1051" spans="2:13" x14ac:dyDescent="0.25">
      <c r="B1051" s="1">
        <v>0</v>
      </c>
      <c r="C1051" s="1">
        <v>0</v>
      </c>
      <c r="D1051" s="1">
        <v>1</v>
      </c>
      <c r="E1051" s="1">
        <v>0</v>
      </c>
      <c r="F1051" s="1">
        <v>26</v>
      </c>
      <c r="G1051" s="1">
        <v>1</v>
      </c>
      <c r="H1051" s="1">
        <v>1</v>
      </c>
      <c r="I1051" s="1">
        <v>0</v>
      </c>
      <c r="J1051" s="1">
        <v>2</v>
      </c>
      <c r="K1051" s="1">
        <v>0</v>
      </c>
      <c r="L1051" s="1">
        <v>4375</v>
      </c>
      <c r="M1051" s="1">
        <v>0</v>
      </c>
    </row>
    <row r="1052" spans="2:13" x14ac:dyDescent="0.25">
      <c r="B1052" s="1">
        <v>0</v>
      </c>
      <c r="C1052" s="1">
        <v>0</v>
      </c>
      <c r="D1052" s="1">
        <v>1</v>
      </c>
      <c r="E1052" s="1">
        <v>0</v>
      </c>
      <c r="F1052" s="1">
        <v>26</v>
      </c>
      <c r="G1052" s="1">
        <v>1</v>
      </c>
      <c r="H1052" s="1">
        <v>2</v>
      </c>
      <c r="I1052" s="1">
        <v>0</v>
      </c>
      <c r="J1052" s="1">
        <v>2</v>
      </c>
      <c r="K1052" s="1">
        <v>0</v>
      </c>
      <c r="L1052" s="1">
        <v>7064</v>
      </c>
      <c r="M1052" s="1">
        <v>0</v>
      </c>
    </row>
    <row r="1053" spans="2:13" x14ac:dyDescent="0.25">
      <c r="B1053" s="1">
        <v>0</v>
      </c>
      <c r="C1053" s="1">
        <v>0</v>
      </c>
      <c r="D1053" s="1">
        <v>1</v>
      </c>
      <c r="E1053" s="1">
        <v>0</v>
      </c>
      <c r="F1053" s="1">
        <v>26</v>
      </c>
      <c r="G1053" s="1">
        <v>0</v>
      </c>
      <c r="H1053" s="1">
        <v>2</v>
      </c>
      <c r="I1053" s="1">
        <v>1</v>
      </c>
      <c r="J1053" s="1">
        <v>0</v>
      </c>
      <c r="K1053" s="1">
        <v>0</v>
      </c>
      <c r="L1053" s="1">
        <v>6748</v>
      </c>
      <c r="M1053" s="1">
        <v>0</v>
      </c>
    </row>
    <row r="1054" spans="2:13" x14ac:dyDescent="0.25">
      <c r="B1054" s="1">
        <v>0</v>
      </c>
      <c r="C1054" s="1">
        <v>0</v>
      </c>
      <c r="D1054" s="1">
        <v>1</v>
      </c>
      <c r="E1054" s="1">
        <v>0</v>
      </c>
      <c r="F1054" s="1">
        <v>26</v>
      </c>
      <c r="G1054" s="1">
        <v>0</v>
      </c>
      <c r="H1054" s="1">
        <v>2</v>
      </c>
      <c r="I1054" s="1">
        <v>0</v>
      </c>
      <c r="J1054" s="1">
        <v>2</v>
      </c>
      <c r="K1054" s="1">
        <v>0</v>
      </c>
      <c r="L1054" s="1">
        <v>13292</v>
      </c>
      <c r="M1054" s="1">
        <v>0</v>
      </c>
    </row>
    <row r="1055" spans="2:13" x14ac:dyDescent="0.25">
      <c r="B1055" s="1">
        <v>0</v>
      </c>
      <c r="C1055" s="1">
        <v>0</v>
      </c>
      <c r="D1055" s="1">
        <v>1</v>
      </c>
      <c r="E1055" s="1">
        <v>0</v>
      </c>
      <c r="F1055" s="1">
        <v>26</v>
      </c>
      <c r="G1055" s="1">
        <v>1</v>
      </c>
      <c r="H1055" s="1">
        <v>3</v>
      </c>
      <c r="I1055" s="1">
        <v>0</v>
      </c>
      <c r="J1055" s="1">
        <v>4</v>
      </c>
      <c r="K1055" s="1">
        <v>0</v>
      </c>
      <c r="L1055" s="1">
        <v>7121</v>
      </c>
      <c r="M1055" s="1">
        <v>0</v>
      </c>
    </row>
    <row r="1056" spans="2:13" x14ac:dyDescent="0.25">
      <c r="B1056" s="1">
        <v>0</v>
      </c>
      <c r="C1056" s="1">
        <v>0</v>
      </c>
      <c r="D1056" s="1">
        <v>1</v>
      </c>
      <c r="E1056" s="1">
        <v>0</v>
      </c>
      <c r="F1056" s="1">
        <v>26</v>
      </c>
      <c r="G1056" s="1">
        <v>1</v>
      </c>
      <c r="H1056" s="1">
        <v>3</v>
      </c>
      <c r="I1056" s="1">
        <v>0</v>
      </c>
      <c r="J1056" s="1">
        <v>3</v>
      </c>
      <c r="K1056" s="1">
        <v>0</v>
      </c>
      <c r="L1056" s="1">
        <v>8834</v>
      </c>
      <c r="M1056" s="1">
        <v>0</v>
      </c>
    </row>
    <row r="1057" spans="2:13" x14ac:dyDescent="0.25">
      <c r="B1057" s="1">
        <v>0</v>
      </c>
      <c r="C1057" s="1">
        <v>0</v>
      </c>
      <c r="D1057" s="1">
        <v>1</v>
      </c>
      <c r="E1057" s="1">
        <v>0</v>
      </c>
      <c r="F1057" s="1">
        <v>26</v>
      </c>
      <c r="G1057" s="1">
        <v>1</v>
      </c>
      <c r="H1057" s="1">
        <v>3</v>
      </c>
      <c r="I1057" s="1">
        <v>0</v>
      </c>
      <c r="J1057" s="1">
        <v>1</v>
      </c>
      <c r="K1057" s="1">
        <v>0</v>
      </c>
      <c r="L1057" s="1">
        <v>18039</v>
      </c>
      <c r="M1057" s="1">
        <v>1</v>
      </c>
    </row>
    <row r="1058" spans="2:13" x14ac:dyDescent="0.25">
      <c r="B1058" s="1">
        <v>0</v>
      </c>
      <c r="C1058" s="1">
        <v>0</v>
      </c>
      <c r="D1058" s="1">
        <v>1</v>
      </c>
      <c r="E1058" s="1">
        <v>0</v>
      </c>
      <c r="F1058" s="1">
        <v>26</v>
      </c>
      <c r="G1058" s="1">
        <v>1</v>
      </c>
      <c r="H1058" s="1">
        <v>2</v>
      </c>
      <c r="I1058" s="1">
        <v>0</v>
      </c>
      <c r="J1058" s="1">
        <v>2</v>
      </c>
      <c r="K1058" s="1">
        <v>0</v>
      </c>
      <c r="L1058" s="1">
        <v>11141</v>
      </c>
      <c r="M1058" s="1">
        <v>1</v>
      </c>
    </row>
    <row r="1059" spans="2:13" x14ac:dyDescent="0.25">
      <c r="B1059" s="1">
        <v>0</v>
      </c>
      <c r="C1059" s="1">
        <v>0</v>
      </c>
      <c r="D1059" s="1">
        <v>1</v>
      </c>
      <c r="E1059" s="1">
        <v>0</v>
      </c>
      <c r="F1059" s="1">
        <v>26</v>
      </c>
      <c r="G1059" s="1">
        <v>1</v>
      </c>
      <c r="H1059" s="1">
        <v>2</v>
      </c>
      <c r="I1059" s="1">
        <v>0</v>
      </c>
      <c r="J1059" s="1">
        <v>1</v>
      </c>
      <c r="K1059" s="1">
        <v>0</v>
      </c>
      <c r="L1059" s="1">
        <v>14608</v>
      </c>
      <c r="M1059" s="1">
        <v>1</v>
      </c>
    </row>
    <row r="1060" spans="2:13" x14ac:dyDescent="0.25">
      <c r="B1060" s="1">
        <v>0</v>
      </c>
      <c r="C1060" s="1">
        <v>0</v>
      </c>
      <c r="D1060" s="1">
        <v>1</v>
      </c>
      <c r="E1060" s="1">
        <v>0</v>
      </c>
      <c r="F1060" s="1">
        <v>26</v>
      </c>
      <c r="G1060" s="1">
        <v>1</v>
      </c>
      <c r="H1060" s="1">
        <v>2</v>
      </c>
      <c r="I1060" s="1">
        <v>0</v>
      </c>
      <c r="J1060" s="1">
        <v>1</v>
      </c>
      <c r="K1060" s="1">
        <v>0</v>
      </c>
      <c r="L1060" s="1">
        <v>10555</v>
      </c>
      <c r="M1060" s="1">
        <v>1</v>
      </c>
    </row>
    <row r="1061" spans="2:13" x14ac:dyDescent="0.25">
      <c r="B1061" s="1">
        <v>0</v>
      </c>
      <c r="C1061" s="1">
        <v>0</v>
      </c>
      <c r="D1061" s="1">
        <v>1</v>
      </c>
      <c r="E1061" s="1">
        <v>0</v>
      </c>
      <c r="F1061" s="1">
        <v>26</v>
      </c>
      <c r="G1061" s="1">
        <v>1</v>
      </c>
      <c r="H1061" s="1">
        <v>3</v>
      </c>
      <c r="I1061" s="1">
        <v>0</v>
      </c>
      <c r="J1061" s="1">
        <v>1</v>
      </c>
      <c r="K1061" s="1">
        <v>0</v>
      </c>
      <c r="L1061" s="1">
        <v>11761</v>
      </c>
      <c r="M1061" s="1">
        <v>1</v>
      </c>
    </row>
    <row r="1062" spans="2:13" x14ac:dyDescent="0.25">
      <c r="B1062" s="1">
        <v>0</v>
      </c>
      <c r="C1062" s="1">
        <v>0</v>
      </c>
      <c r="D1062" s="1">
        <v>1</v>
      </c>
      <c r="E1062" s="1">
        <v>0</v>
      </c>
      <c r="F1062" s="1">
        <v>26</v>
      </c>
      <c r="G1062" s="1">
        <v>1</v>
      </c>
      <c r="H1062" s="1">
        <v>2</v>
      </c>
      <c r="I1062" s="1">
        <v>0</v>
      </c>
      <c r="J1062" s="1">
        <v>2</v>
      </c>
      <c r="K1062" s="1">
        <v>0</v>
      </c>
      <c r="L1062" s="1">
        <v>8879</v>
      </c>
      <c r="M1062" s="1">
        <v>1</v>
      </c>
    </row>
    <row r="1063" spans="2:13" x14ac:dyDescent="0.25">
      <c r="B1063" s="1">
        <v>0</v>
      </c>
      <c r="C1063" s="1">
        <v>0</v>
      </c>
      <c r="D1063" s="1">
        <v>1</v>
      </c>
      <c r="E1063" s="1">
        <v>0</v>
      </c>
      <c r="F1063" s="1">
        <v>26</v>
      </c>
      <c r="G1063" s="1">
        <v>1</v>
      </c>
      <c r="H1063" s="1">
        <v>4</v>
      </c>
      <c r="I1063" s="1">
        <v>2</v>
      </c>
      <c r="J1063" s="1">
        <v>1</v>
      </c>
      <c r="K1063" s="1">
        <v>0</v>
      </c>
      <c r="L1063" s="1">
        <v>9177</v>
      </c>
      <c r="M1063" s="1">
        <v>1</v>
      </c>
    </row>
    <row r="1064" spans="2:13" x14ac:dyDescent="0.25">
      <c r="B1064" s="1">
        <v>0</v>
      </c>
      <c r="C1064" s="1">
        <v>0</v>
      </c>
      <c r="D1064" s="1">
        <v>1</v>
      </c>
      <c r="E1064" s="1">
        <v>0</v>
      </c>
      <c r="F1064" s="1">
        <v>25</v>
      </c>
      <c r="G1064" s="1">
        <v>1</v>
      </c>
      <c r="H1064" s="1">
        <v>2</v>
      </c>
      <c r="I1064" s="1">
        <v>0</v>
      </c>
      <c r="J1064" s="1">
        <v>0</v>
      </c>
      <c r="K1064" s="1">
        <v>0</v>
      </c>
      <c r="L1064" s="1">
        <v>4800</v>
      </c>
      <c r="M1064" s="1">
        <v>0</v>
      </c>
    </row>
    <row r="1065" spans="2:13" x14ac:dyDescent="0.25">
      <c r="B1065" s="1">
        <v>0</v>
      </c>
      <c r="C1065" s="1">
        <v>0</v>
      </c>
      <c r="D1065" s="1">
        <v>1</v>
      </c>
      <c r="E1065" s="1">
        <v>0</v>
      </c>
      <c r="F1065" s="1">
        <v>25</v>
      </c>
      <c r="G1065" s="1">
        <v>1</v>
      </c>
      <c r="H1065" s="1">
        <v>2</v>
      </c>
      <c r="I1065" s="1">
        <v>2</v>
      </c>
      <c r="J1065" s="1">
        <v>0</v>
      </c>
      <c r="K1065" s="1">
        <v>0</v>
      </c>
      <c r="L1065" s="1">
        <v>6203</v>
      </c>
      <c r="M1065" s="1">
        <v>0</v>
      </c>
    </row>
    <row r="1066" spans="2:13" x14ac:dyDescent="0.25">
      <c r="B1066" s="1">
        <v>0</v>
      </c>
      <c r="C1066" s="1">
        <v>0</v>
      </c>
      <c r="D1066" s="1">
        <v>1</v>
      </c>
      <c r="E1066" s="1">
        <v>0</v>
      </c>
      <c r="F1066" s="1">
        <v>25</v>
      </c>
      <c r="G1066" s="1">
        <v>1</v>
      </c>
      <c r="H1066" s="1">
        <v>2</v>
      </c>
      <c r="I1066" s="1">
        <v>0</v>
      </c>
      <c r="J1066" s="1">
        <v>1</v>
      </c>
      <c r="K1066" s="1">
        <v>0</v>
      </c>
      <c r="L1066" s="1">
        <v>14179</v>
      </c>
      <c r="M1066" s="1">
        <v>0</v>
      </c>
    </row>
    <row r="1067" spans="2:13" x14ac:dyDescent="0.25">
      <c r="B1067" s="1">
        <v>0</v>
      </c>
      <c r="C1067" s="1">
        <v>0</v>
      </c>
      <c r="D1067" s="1">
        <v>1</v>
      </c>
      <c r="E1067" s="1">
        <v>0</v>
      </c>
      <c r="F1067" s="1">
        <v>25</v>
      </c>
      <c r="G1067" s="1">
        <v>1</v>
      </c>
      <c r="H1067" s="1">
        <v>6</v>
      </c>
      <c r="I1067" s="1">
        <v>3</v>
      </c>
      <c r="J1067" s="1">
        <v>0</v>
      </c>
      <c r="K1067" s="1">
        <v>0</v>
      </c>
      <c r="L1067" s="1">
        <v>8712</v>
      </c>
      <c r="M1067" s="1">
        <v>0</v>
      </c>
    </row>
    <row r="1068" spans="2:13" x14ac:dyDescent="0.25">
      <c r="B1068" s="1">
        <v>0</v>
      </c>
      <c r="C1068" s="1">
        <v>0</v>
      </c>
      <c r="D1068" s="1">
        <v>1</v>
      </c>
      <c r="E1068" s="1">
        <v>0</v>
      </c>
      <c r="F1068" s="1">
        <v>25</v>
      </c>
      <c r="G1068" s="1">
        <v>1</v>
      </c>
      <c r="H1068" s="1">
        <v>3</v>
      </c>
      <c r="I1068" s="1">
        <v>0</v>
      </c>
      <c r="J1068" s="1">
        <v>1</v>
      </c>
      <c r="K1068" s="1">
        <v>0</v>
      </c>
      <c r="L1068" s="1">
        <v>8373</v>
      </c>
      <c r="M1068" s="1">
        <v>0</v>
      </c>
    </row>
    <row r="1069" spans="2:13" x14ac:dyDescent="0.25">
      <c r="B1069" s="1">
        <v>0</v>
      </c>
      <c r="C1069" s="1">
        <v>0</v>
      </c>
      <c r="D1069" s="1">
        <v>1</v>
      </c>
      <c r="E1069" s="1">
        <v>0</v>
      </c>
      <c r="F1069" s="1">
        <v>25</v>
      </c>
      <c r="G1069" s="1">
        <v>1</v>
      </c>
      <c r="H1069" s="1">
        <v>11</v>
      </c>
      <c r="I1069" s="1">
        <v>3</v>
      </c>
      <c r="J1069" s="1">
        <v>0</v>
      </c>
      <c r="K1069" s="1">
        <v>0</v>
      </c>
      <c r="L1069" s="1">
        <v>15310</v>
      </c>
      <c r="M1069" s="1">
        <v>0</v>
      </c>
    </row>
    <row r="1070" spans="2:13" x14ac:dyDescent="0.25">
      <c r="B1070" s="1">
        <v>0</v>
      </c>
      <c r="C1070" s="1">
        <v>0</v>
      </c>
      <c r="D1070" s="1">
        <v>1</v>
      </c>
      <c r="E1070" s="1">
        <v>0</v>
      </c>
      <c r="F1070" s="1">
        <v>25</v>
      </c>
      <c r="G1070" s="1">
        <v>0</v>
      </c>
      <c r="H1070" s="1">
        <v>12</v>
      </c>
      <c r="I1070" s="1">
        <v>1</v>
      </c>
      <c r="J1070" s="1">
        <v>0</v>
      </c>
      <c r="K1070" s="1">
        <v>0</v>
      </c>
      <c r="L1070" s="1">
        <v>19955</v>
      </c>
      <c r="M1070" s="1">
        <v>0</v>
      </c>
    </row>
    <row r="1071" spans="2:13" x14ac:dyDescent="0.25">
      <c r="B1071" s="1">
        <v>0</v>
      </c>
      <c r="C1071" s="1">
        <v>0</v>
      </c>
      <c r="D1071" s="1">
        <v>1</v>
      </c>
      <c r="E1071" s="1">
        <v>0</v>
      </c>
      <c r="F1071" s="1">
        <v>25</v>
      </c>
      <c r="G1071" s="1">
        <v>0</v>
      </c>
      <c r="H1071" s="1">
        <v>5</v>
      </c>
      <c r="I1071" s="1">
        <v>3</v>
      </c>
      <c r="J1071" s="1">
        <v>0</v>
      </c>
      <c r="K1071" s="1">
        <v>0</v>
      </c>
      <c r="L1071" s="1">
        <v>10604</v>
      </c>
      <c r="M1071" s="1">
        <v>0</v>
      </c>
    </row>
    <row r="1072" spans="2:13" x14ac:dyDescent="0.25">
      <c r="B1072" s="1">
        <v>0</v>
      </c>
      <c r="C1072" s="1">
        <v>0</v>
      </c>
      <c r="D1072" s="1">
        <v>1</v>
      </c>
      <c r="E1072" s="1">
        <v>0</v>
      </c>
      <c r="F1072" s="1">
        <v>25</v>
      </c>
      <c r="G1072" s="1">
        <v>1</v>
      </c>
      <c r="H1072" s="1">
        <v>2</v>
      </c>
      <c r="I1072" s="1">
        <v>0</v>
      </c>
      <c r="J1072" s="1">
        <v>3</v>
      </c>
      <c r="K1072" s="1">
        <v>0</v>
      </c>
      <c r="L1072" s="1">
        <v>8412</v>
      </c>
      <c r="M1072" s="1">
        <v>0</v>
      </c>
    </row>
    <row r="1073" spans="2:13" x14ac:dyDescent="0.25">
      <c r="B1073" s="1">
        <v>0</v>
      </c>
      <c r="C1073" s="1">
        <v>0</v>
      </c>
      <c r="D1073" s="1">
        <v>1</v>
      </c>
      <c r="E1073" s="1">
        <v>0</v>
      </c>
      <c r="F1073" s="1">
        <v>25</v>
      </c>
      <c r="G1073" s="1">
        <v>1</v>
      </c>
      <c r="H1073" s="1">
        <v>3</v>
      </c>
      <c r="I1073" s="1">
        <v>0</v>
      </c>
      <c r="J1073" s="1">
        <v>1</v>
      </c>
      <c r="K1073" s="1">
        <v>0</v>
      </c>
      <c r="L1073" s="1">
        <v>8267</v>
      </c>
      <c r="M1073" s="1">
        <v>0</v>
      </c>
    </row>
    <row r="1074" spans="2:13" x14ac:dyDescent="0.25">
      <c r="B1074" s="1">
        <v>0</v>
      </c>
      <c r="C1074" s="1">
        <v>0</v>
      </c>
      <c r="D1074" s="1">
        <v>1</v>
      </c>
      <c r="E1074" s="1">
        <v>0</v>
      </c>
      <c r="F1074" s="1">
        <v>25</v>
      </c>
      <c r="G1074" s="1">
        <v>1</v>
      </c>
      <c r="H1074" s="1">
        <v>1</v>
      </c>
      <c r="I1074" s="1">
        <v>0</v>
      </c>
      <c r="J1074" s="1">
        <v>0</v>
      </c>
      <c r="K1074" s="1">
        <v>0</v>
      </c>
      <c r="L1074" s="1">
        <v>9207</v>
      </c>
      <c r="M1074" s="1">
        <v>0</v>
      </c>
    </row>
    <row r="1075" spans="2:13" x14ac:dyDescent="0.25">
      <c r="B1075" s="1">
        <v>0</v>
      </c>
      <c r="C1075" s="1">
        <v>0</v>
      </c>
      <c r="D1075" s="1">
        <v>1</v>
      </c>
      <c r="E1075" s="1">
        <v>0</v>
      </c>
      <c r="F1075" s="1">
        <v>25</v>
      </c>
      <c r="G1075" s="1">
        <v>1</v>
      </c>
      <c r="H1075" s="1">
        <v>7</v>
      </c>
      <c r="I1075" s="1">
        <v>4</v>
      </c>
      <c r="J1075" s="1">
        <v>0</v>
      </c>
      <c r="K1075" s="1">
        <v>0</v>
      </c>
      <c r="L1075" s="1">
        <v>11697</v>
      </c>
      <c r="M1075" s="1">
        <v>0</v>
      </c>
    </row>
    <row r="1076" spans="2:13" x14ac:dyDescent="0.25">
      <c r="B1076" s="1">
        <v>0</v>
      </c>
      <c r="C1076" s="1">
        <v>0</v>
      </c>
      <c r="D1076" s="1">
        <v>1</v>
      </c>
      <c r="E1076" s="1">
        <v>0</v>
      </c>
      <c r="F1076" s="1">
        <v>25</v>
      </c>
      <c r="G1076" s="1">
        <v>1</v>
      </c>
      <c r="H1076" s="1">
        <v>2</v>
      </c>
      <c r="I1076" s="1">
        <v>0</v>
      </c>
      <c r="J1076" s="1">
        <v>1</v>
      </c>
      <c r="K1076" s="1">
        <v>0</v>
      </c>
      <c r="L1076" s="1">
        <v>6487</v>
      </c>
      <c r="M1076" s="1">
        <v>0</v>
      </c>
    </row>
    <row r="1077" spans="2:13" x14ac:dyDescent="0.25">
      <c r="B1077" s="1">
        <v>0</v>
      </c>
      <c r="C1077" s="1">
        <v>0</v>
      </c>
      <c r="D1077" s="1">
        <v>1</v>
      </c>
      <c r="E1077" s="1">
        <v>0</v>
      </c>
      <c r="F1077" s="1">
        <v>25</v>
      </c>
      <c r="G1077" s="1">
        <v>0</v>
      </c>
      <c r="H1077" s="1">
        <v>8</v>
      </c>
      <c r="I1077" s="1">
        <v>2</v>
      </c>
      <c r="J1077" s="1">
        <v>0</v>
      </c>
      <c r="K1077" s="1">
        <v>0</v>
      </c>
      <c r="L1077" s="1">
        <v>13274</v>
      </c>
      <c r="M1077" s="1">
        <v>0</v>
      </c>
    </row>
    <row r="1078" spans="2:13" x14ac:dyDescent="0.25">
      <c r="B1078" s="1">
        <v>0</v>
      </c>
      <c r="C1078" s="1">
        <v>0</v>
      </c>
      <c r="D1078" s="1">
        <v>1</v>
      </c>
      <c r="E1078" s="1">
        <v>0</v>
      </c>
      <c r="F1078" s="1">
        <v>25</v>
      </c>
      <c r="G1078" s="1">
        <v>1</v>
      </c>
      <c r="H1078" s="1">
        <v>3</v>
      </c>
      <c r="I1078" s="1">
        <v>3</v>
      </c>
      <c r="J1078" s="1">
        <v>4</v>
      </c>
      <c r="K1078" s="1">
        <v>0</v>
      </c>
      <c r="L1078" s="1">
        <v>9295</v>
      </c>
      <c r="M1078" s="1">
        <v>0</v>
      </c>
    </row>
    <row r="1079" spans="2:13" x14ac:dyDescent="0.25">
      <c r="B1079" s="1">
        <v>0</v>
      </c>
      <c r="C1079" s="1">
        <v>0</v>
      </c>
      <c r="D1079" s="1">
        <v>1</v>
      </c>
      <c r="E1079" s="1">
        <v>0</v>
      </c>
      <c r="F1079" s="1">
        <v>25</v>
      </c>
      <c r="G1079" s="1">
        <v>1</v>
      </c>
      <c r="H1079" s="1">
        <v>3</v>
      </c>
      <c r="I1079" s="1">
        <v>2</v>
      </c>
      <c r="J1079" s="1">
        <v>2</v>
      </c>
      <c r="K1079" s="1">
        <v>0</v>
      </c>
      <c r="L1079" s="1">
        <v>10587</v>
      </c>
      <c r="M1079" s="1">
        <v>0</v>
      </c>
    </row>
    <row r="1080" spans="2:13" x14ac:dyDescent="0.25">
      <c r="B1080" s="1">
        <v>0</v>
      </c>
      <c r="C1080" s="1">
        <v>0</v>
      </c>
      <c r="D1080" s="1">
        <v>1</v>
      </c>
      <c r="E1080" s="1">
        <v>0</v>
      </c>
      <c r="F1080" s="1">
        <v>25</v>
      </c>
      <c r="G1080" s="1">
        <v>1</v>
      </c>
      <c r="H1080" s="1">
        <v>2</v>
      </c>
      <c r="I1080" s="1">
        <v>0</v>
      </c>
      <c r="J1080" s="1">
        <v>2</v>
      </c>
      <c r="K1080" s="1">
        <v>0</v>
      </c>
      <c r="L1080" s="1">
        <v>9095</v>
      </c>
      <c r="M1080" s="1">
        <v>0</v>
      </c>
    </row>
    <row r="1081" spans="2:13" x14ac:dyDescent="0.25">
      <c r="B1081" s="1">
        <v>0</v>
      </c>
      <c r="C1081" s="1">
        <v>0</v>
      </c>
      <c r="D1081" s="1">
        <v>1</v>
      </c>
      <c r="E1081" s="1">
        <v>0</v>
      </c>
      <c r="F1081" s="1">
        <v>25</v>
      </c>
      <c r="G1081" s="1">
        <v>1</v>
      </c>
      <c r="H1081" s="1">
        <v>3</v>
      </c>
      <c r="I1081" s="1">
        <v>0</v>
      </c>
      <c r="J1081" s="1">
        <v>1</v>
      </c>
      <c r="K1081" s="1">
        <v>0</v>
      </c>
      <c r="L1081" s="1">
        <v>16135</v>
      </c>
      <c r="M1081" s="1">
        <v>1</v>
      </c>
    </row>
    <row r="1082" spans="2:13" x14ac:dyDescent="0.25">
      <c r="B1082" s="1">
        <v>0</v>
      </c>
      <c r="C1082" s="1">
        <v>0</v>
      </c>
      <c r="D1082" s="1">
        <v>1</v>
      </c>
      <c r="E1082" s="1">
        <v>0</v>
      </c>
      <c r="F1082" s="1">
        <v>25</v>
      </c>
      <c r="G1082" s="1">
        <v>1</v>
      </c>
      <c r="H1082" s="1">
        <v>2</v>
      </c>
      <c r="I1082" s="1">
        <v>0</v>
      </c>
      <c r="J1082" s="1">
        <v>2</v>
      </c>
      <c r="K1082" s="1">
        <v>0</v>
      </c>
      <c r="L1082" s="1">
        <v>11411</v>
      </c>
      <c r="M1082" s="1">
        <v>1</v>
      </c>
    </row>
    <row r="1083" spans="2:13" x14ac:dyDescent="0.25">
      <c r="B1083" s="1">
        <v>0</v>
      </c>
      <c r="C1083" s="1">
        <v>0</v>
      </c>
      <c r="D1083" s="1">
        <v>1</v>
      </c>
      <c r="E1083" s="1">
        <v>0</v>
      </c>
      <c r="F1083" s="1">
        <v>25</v>
      </c>
      <c r="G1083" s="1">
        <v>1</v>
      </c>
      <c r="H1083" s="1">
        <v>7</v>
      </c>
      <c r="I1083" s="1">
        <v>3</v>
      </c>
      <c r="J1083" s="1">
        <v>1</v>
      </c>
      <c r="K1083" s="1">
        <v>0</v>
      </c>
      <c r="L1083" s="1">
        <v>21128</v>
      </c>
      <c r="M1083" s="1">
        <v>1</v>
      </c>
    </row>
    <row r="1084" spans="2:13" x14ac:dyDescent="0.25">
      <c r="B1084" s="1">
        <v>0</v>
      </c>
      <c r="C1084" s="1">
        <v>0</v>
      </c>
      <c r="D1084" s="1">
        <v>1</v>
      </c>
      <c r="E1084" s="1">
        <v>0</v>
      </c>
      <c r="F1084" s="1">
        <v>25</v>
      </c>
      <c r="G1084" s="1">
        <v>1</v>
      </c>
      <c r="H1084" s="1">
        <v>2</v>
      </c>
      <c r="I1084" s="1">
        <v>0</v>
      </c>
      <c r="J1084" s="1">
        <v>1</v>
      </c>
      <c r="K1084" s="1">
        <v>0</v>
      </c>
      <c r="L1084" s="1">
        <v>11864</v>
      </c>
      <c r="M1084" s="1">
        <v>1</v>
      </c>
    </row>
    <row r="1085" spans="2:13" x14ac:dyDescent="0.25">
      <c r="B1085" s="1">
        <v>0</v>
      </c>
      <c r="C1085" s="1">
        <v>0</v>
      </c>
      <c r="D1085" s="1">
        <v>1</v>
      </c>
      <c r="E1085" s="1">
        <v>0</v>
      </c>
      <c r="F1085" s="1">
        <v>25</v>
      </c>
      <c r="G1085" s="1">
        <v>1</v>
      </c>
      <c r="H1085" s="1">
        <v>3</v>
      </c>
      <c r="I1085" s="1">
        <v>1</v>
      </c>
      <c r="J1085" s="1">
        <v>1</v>
      </c>
      <c r="K1085" s="1">
        <v>0</v>
      </c>
      <c r="L1085" s="1">
        <v>9685</v>
      </c>
      <c r="M1085" s="1">
        <v>1</v>
      </c>
    </row>
    <row r="1086" spans="2:13" x14ac:dyDescent="0.25">
      <c r="B1086" s="1">
        <v>0</v>
      </c>
      <c r="C1086" s="1">
        <v>0</v>
      </c>
      <c r="D1086" s="1">
        <v>1</v>
      </c>
      <c r="E1086" s="1">
        <v>0</v>
      </c>
      <c r="F1086" s="1">
        <v>24</v>
      </c>
      <c r="G1086" s="1">
        <v>0</v>
      </c>
      <c r="H1086" s="1">
        <v>3</v>
      </c>
      <c r="I1086" s="1">
        <v>4</v>
      </c>
      <c r="J1086" s="1">
        <v>0</v>
      </c>
      <c r="K1086" s="1">
        <v>0</v>
      </c>
      <c r="L1086" s="1">
        <v>3938</v>
      </c>
      <c r="M1086" s="1">
        <v>0</v>
      </c>
    </row>
    <row r="1087" spans="2:13" x14ac:dyDescent="0.25">
      <c r="B1087" s="1">
        <v>0</v>
      </c>
      <c r="C1087" s="1">
        <v>0</v>
      </c>
      <c r="D1087" s="1">
        <v>1</v>
      </c>
      <c r="E1087" s="1">
        <v>0</v>
      </c>
      <c r="F1087" s="1">
        <v>24</v>
      </c>
      <c r="G1087" s="1">
        <v>1</v>
      </c>
      <c r="H1087" s="1">
        <v>13</v>
      </c>
      <c r="I1087" s="1">
        <v>3</v>
      </c>
      <c r="J1087" s="1">
        <v>0</v>
      </c>
      <c r="K1087" s="1">
        <v>0</v>
      </c>
      <c r="L1087" s="1">
        <v>18412</v>
      </c>
      <c r="M1087" s="1">
        <v>0</v>
      </c>
    </row>
    <row r="1088" spans="2:13" x14ac:dyDescent="0.25">
      <c r="B1088" s="1">
        <v>0</v>
      </c>
      <c r="C1088" s="1">
        <v>0</v>
      </c>
      <c r="D1088" s="1">
        <v>1</v>
      </c>
      <c r="E1088" s="1">
        <v>0</v>
      </c>
      <c r="F1088" s="1">
        <v>24</v>
      </c>
      <c r="G1088" s="1">
        <v>0</v>
      </c>
      <c r="H1088" s="1">
        <v>7</v>
      </c>
      <c r="I1088" s="1">
        <v>2</v>
      </c>
      <c r="J1088" s="1">
        <v>0</v>
      </c>
      <c r="K1088" s="1">
        <v>0</v>
      </c>
      <c r="L1088" s="1">
        <v>12146</v>
      </c>
      <c r="M1088" s="1">
        <v>0</v>
      </c>
    </row>
    <row r="1089" spans="2:13" x14ac:dyDescent="0.25">
      <c r="B1089" s="1">
        <v>0</v>
      </c>
      <c r="C1089" s="1">
        <v>0</v>
      </c>
      <c r="D1089" s="1">
        <v>1</v>
      </c>
      <c r="E1089" s="1">
        <v>0</v>
      </c>
      <c r="F1089" s="1">
        <v>24</v>
      </c>
      <c r="G1089" s="1">
        <v>0</v>
      </c>
      <c r="H1089" s="1">
        <v>7</v>
      </c>
      <c r="I1089" s="1">
        <v>1</v>
      </c>
      <c r="J1089" s="1">
        <v>0</v>
      </c>
      <c r="K1089" s="1">
        <v>0</v>
      </c>
      <c r="L1089" s="1">
        <v>10408</v>
      </c>
      <c r="M1089" s="1">
        <v>0</v>
      </c>
    </row>
    <row r="1090" spans="2:13" x14ac:dyDescent="0.25">
      <c r="B1090" s="1">
        <v>0</v>
      </c>
      <c r="C1090" s="1">
        <v>0</v>
      </c>
      <c r="D1090" s="1">
        <v>1</v>
      </c>
      <c r="E1090" s="1">
        <v>0</v>
      </c>
      <c r="F1090" s="1">
        <v>24</v>
      </c>
      <c r="G1090" s="1">
        <v>1</v>
      </c>
      <c r="H1090" s="1">
        <v>2</v>
      </c>
      <c r="I1090" s="1">
        <v>0</v>
      </c>
      <c r="J1090" s="1">
        <v>2</v>
      </c>
      <c r="K1090" s="1">
        <v>0</v>
      </c>
      <c r="L1090" s="1">
        <v>5975</v>
      </c>
      <c r="M1090" s="1">
        <v>0</v>
      </c>
    </row>
    <row r="1091" spans="2:13" x14ac:dyDescent="0.25">
      <c r="B1091" s="1">
        <v>0</v>
      </c>
      <c r="C1091" s="1">
        <v>0</v>
      </c>
      <c r="D1091" s="1">
        <v>1</v>
      </c>
      <c r="E1091" s="1">
        <v>0</v>
      </c>
      <c r="F1091" s="1">
        <v>24</v>
      </c>
      <c r="G1091" s="1">
        <v>0</v>
      </c>
      <c r="H1091" s="1">
        <v>2</v>
      </c>
      <c r="I1091" s="1">
        <v>3</v>
      </c>
      <c r="J1091" s="1">
        <v>0</v>
      </c>
      <c r="K1091" s="1">
        <v>0</v>
      </c>
      <c r="L1091" s="1">
        <v>11018</v>
      </c>
      <c r="M1091" s="1">
        <v>0</v>
      </c>
    </row>
    <row r="1092" spans="2:13" x14ac:dyDescent="0.25">
      <c r="B1092" s="1">
        <v>0</v>
      </c>
      <c r="C1092" s="1">
        <v>0</v>
      </c>
      <c r="D1092" s="1">
        <v>1</v>
      </c>
      <c r="E1092" s="1">
        <v>0</v>
      </c>
      <c r="F1092" s="1">
        <v>24</v>
      </c>
      <c r="G1092" s="1">
        <v>0</v>
      </c>
      <c r="H1092" s="1">
        <v>14</v>
      </c>
      <c r="I1092" s="1">
        <v>3</v>
      </c>
      <c r="J1092" s="1">
        <v>0</v>
      </c>
      <c r="K1092" s="1">
        <v>0</v>
      </c>
      <c r="L1092" s="1">
        <v>20833</v>
      </c>
      <c r="M1092" s="1">
        <v>0</v>
      </c>
    </row>
    <row r="1093" spans="2:13" x14ac:dyDescent="0.25">
      <c r="B1093" s="1">
        <v>0</v>
      </c>
      <c r="C1093" s="1">
        <v>0</v>
      </c>
      <c r="D1093" s="1">
        <v>1</v>
      </c>
      <c r="E1093" s="1">
        <v>0</v>
      </c>
      <c r="F1093" s="1">
        <v>24</v>
      </c>
      <c r="G1093" s="1">
        <v>1</v>
      </c>
      <c r="H1093" s="1">
        <v>3</v>
      </c>
      <c r="I1093" s="1">
        <v>0</v>
      </c>
      <c r="J1093" s="1">
        <v>1</v>
      </c>
      <c r="K1093" s="1">
        <v>0</v>
      </c>
      <c r="L1093" s="1">
        <v>8366</v>
      </c>
      <c r="M1093" s="1">
        <v>0</v>
      </c>
    </row>
    <row r="1094" spans="2:13" x14ac:dyDescent="0.25">
      <c r="B1094" s="1">
        <v>0</v>
      </c>
      <c r="C1094" s="1">
        <v>0</v>
      </c>
      <c r="D1094" s="1">
        <v>1</v>
      </c>
      <c r="E1094" s="1">
        <v>0</v>
      </c>
      <c r="F1094" s="1">
        <v>24</v>
      </c>
      <c r="G1094" s="1">
        <v>1</v>
      </c>
      <c r="H1094" s="1">
        <v>2</v>
      </c>
      <c r="I1094" s="1">
        <v>2</v>
      </c>
      <c r="J1094" s="1">
        <v>1</v>
      </c>
      <c r="K1094" s="1">
        <v>0</v>
      </c>
      <c r="L1094" s="1">
        <v>7305</v>
      </c>
      <c r="M1094" s="1">
        <v>0</v>
      </c>
    </row>
    <row r="1095" spans="2:13" x14ac:dyDescent="0.25">
      <c r="B1095" s="1">
        <v>0</v>
      </c>
      <c r="C1095" s="1">
        <v>0</v>
      </c>
      <c r="D1095" s="1">
        <v>1</v>
      </c>
      <c r="E1095" s="1">
        <v>0</v>
      </c>
      <c r="F1095" s="1">
        <v>24</v>
      </c>
      <c r="G1095" s="1">
        <v>1</v>
      </c>
      <c r="H1095" s="1">
        <v>3</v>
      </c>
      <c r="I1095" s="1">
        <v>0</v>
      </c>
      <c r="J1095" s="1">
        <v>3</v>
      </c>
      <c r="K1095" s="1">
        <v>0</v>
      </c>
      <c r="L1095" s="1">
        <v>12280</v>
      </c>
      <c r="M1095" s="1">
        <v>0</v>
      </c>
    </row>
    <row r="1096" spans="2:13" x14ac:dyDescent="0.25">
      <c r="B1096" s="1">
        <v>0</v>
      </c>
      <c r="C1096" s="1">
        <v>0</v>
      </c>
      <c r="D1096" s="1">
        <v>1</v>
      </c>
      <c r="E1096" s="1">
        <v>0</v>
      </c>
      <c r="F1096" s="1">
        <v>24</v>
      </c>
      <c r="G1096" s="1">
        <v>1</v>
      </c>
      <c r="H1096" s="1">
        <v>4</v>
      </c>
      <c r="I1096" s="1">
        <v>0</v>
      </c>
      <c r="J1096" s="1">
        <v>2</v>
      </c>
      <c r="K1096" s="1">
        <v>0</v>
      </c>
      <c r="L1096" s="1">
        <v>15492</v>
      </c>
      <c r="M1096" s="1">
        <v>0</v>
      </c>
    </row>
    <row r="1097" spans="2:13" x14ac:dyDescent="0.25">
      <c r="B1097" s="1">
        <v>0</v>
      </c>
      <c r="C1097" s="1">
        <v>0</v>
      </c>
      <c r="D1097" s="1">
        <v>1</v>
      </c>
      <c r="E1097" s="1">
        <v>0</v>
      </c>
      <c r="F1097" s="1">
        <v>24</v>
      </c>
      <c r="G1097" s="1">
        <v>1</v>
      </c>
      <c r="H1097" s="1">
        <v>3</v>
      </c>
      <c r="I1097" s="1">
        <v>0</v>
      </c>
      <c r="J1097" s="1">
        <v>5</v>
      </c>
      <c r="K1097" s="1">
        <v>0</v>
      </c>
      <c r="L1097" s="1">
        <v>7886</v>
      </c>
      <c r="M1097" s="1">
        <v>0</v>
      </c>
    </row>
    <row r="1098" spans="2:13" x14ac:dyDescent="0.25">
      <c r="B1098" s="1">
        <v>0</v>
      </c>
      <c r="C1098" s="1">
        <v>0</v>
      </c>
      <c r="D1098" s="1">
        <v>1</v>
      </c>
      <c r="E1098" s="1">
        <v>0</v>
      </c>
      <c r="F1098" s="1">
        <v>24</v>
      </c>
      <c r="G1098" s="1">
        <v>1</v>
      </c>
      <c r="H1098" s="1">
        <v>3</v>
      </c>
      <c r="I1098" s="1">
        <v>0</v>
      </c>
      <c r="J1098" s="1">
        <v>2</v>
      </c>
      <c r="K1098" s="1">
        <v>0</v>
      </c>
      <c r="L1098" s="1">
        <v>8601</v>
      </c>
      <c r="M1098" s="1">
        <v>0</v>
      </c>
    </row>
    <row r="1099" spans="2:13" x14ac:dyDescent="0.25">
      <c r="B1099" s="1">
        <v>0</v>
      </c>
      <c r="C1099" s="1">
        <v>0</v>
      </c>
      <c r="D1099" s="1">
        <v>1</v>
      </c>
      <c r="E1099" s="1">
        <v>0</v>
      </c>
      <c r="F1099" s="1">
        <v>24</v>
      </c>
      <c r="G1099" s="1">
        <v>1</v>
      </c>
      <c r="H1099" s="1">
        <v>2</v>
      </c>
      <c r="I1099" s="1">
        <v>0</v>
      </c>
      <c r="J1099" s="1">
        <v>1</v>
      </c>
      <c r="K1099" s="1">
        <v>0</v>
      </c>
      <c r="L1099" s="1">
        <v>7513</v>
      </c>
      <c r="M1099" s="1">
        <v>0</v>
      </c>
    </row>
    <row r="1100" spans="2:13" x14ac:dyDescent="0.25">
      <c r="B1100" s="1">
        <v>0</v>
      </c>
      <c r="C1100" s="1">
        <v>0</v>
      </c>
      <c r="D1100" s="1">
        <v>1</v>
      </c>
      <c r="E1100" s="1">
        <v>0</v>
      </c>
      <c r="F1100" s="1">
        <v>24</v>
      </c>
      <c r="G1100" s="1">
        <v>0</v>
      </c>
      <c r="H1100" s="1">
        <v>7</v>
      </c>
      <c r="I1100" s="1">
        <v>1</v>
      </c>
      <c r="J1100" s="1">
        <v>1</v>
      </c>
      <c r="K1100" s="1">
        <v>0</v>
      </c>
      <c r="L1100" s="1">
        <v>26367</v>
      </c>
      <c r="M1100" s="1">
        <v>1</v>
      </c>
    </row>
    <row r="1101" spans="2:13" x14ac:dyDescent="0.25">
      <c r="B1101" s="1">
        <v>0</v>
      </c>
      <c r="C1101" s="1">
        <v>0</v>
      </c>
      <c r="D1101" s="1">
        <v>1</v>
      </c>
      <c r="E1101" s="1">
        <v>0</v>
      </c>
      <c r="F1101" s="1">
        <v>24</v>
      </c>
      <c r="G1101" s="1">
        <v>1</v>
      </c>
      <c r="H1101" s="1">
        <v>2</v>
      </c>
      <c r="I1101" s="1">
        <v>0</v>
      </c>
      <c r="J1101" s="1">
        <v>1</v>
      </c>
      <c r="K1101" s="1">
        <v>0</v>
      </c>
      <c r="L1101" s="1">
        <v>13849</v>
      </c>
      <c r="M1101" s="1">
        <v>1</v>
      </c>
    </row>
    <row r="1102" spans="2:13" x14ac:dyDescent="0.25">
      <c r="B1102" s="1">
        <v>0</v>
      </c>
      <c r="C1102" s="1">
        <v>0</v>
      </c>
      <c r="D1102" s="1">
        <v>1</v>
      </c>
      <c r="E1102" s="1">
        <v>0</v>
      </c>
      <c r="F1102" s="1">
        <v>24</v>
      </c>
      <c r="G1102" s="1">
        <v>1</v>
      </c>
      <c r="H1102" s="1">
        <v>3</v>
      </c>
      <c r="I1102" s="1">
        <v>0</v>
      </c>
      <c r="J1102" s="1">
        <v>2</v>
      </c>
      <c r="K1102" s="1">
        <v>0</v>
      </c>
      <c r="L1102" s="1">
        <v>12793</v>
      </c>
      <c r="M1102" s="1">
        <v>1</v>
      </c>
    </row>
    <row r="1103" spans="2:13" x14ac:dyDescent="0.25">
      <c r="B1103" s="1">
        <v>0</v>
      </c>
      <c r="C1103" s="1">
        <v>0</v>
      </c>
      <c r="D1103" s="1">
        <v>1</v>
      </c>
      <c r="E1103" s="1">
        <v>0</v>
      </c>
      <c r="F1103" s="1">
        <v>23</v>
      </c>
      <c r="G1103" s="1">
        <v>1</v>
      </c>
      <c r="H1103" s="1">
        <v>2</v>
      </c>
      <c r="I1103" s="1">
        <v>0</v>
      </c>
      <c r="J1103" s="1">
        <v>1</v>
      </c>
      <c r="K1103" s="1">
        <v>0</v>
      </c>
      <c r="L1103" s="1">
        <v>5856</v>
      </c>
      <c r="M1103" s="1">
        <v>0</v>
      </c>
    </row>
    <row r="1104" spans="2:13" x14ac:dyDescent="0.25">
      <c r="B1104" s="1">
        <v>0</v>
      </c>
      <c r="C1104" s="1">
        <v>0</v>
      </c>
      <c r="D1104" s="1">
        <v>1</v>
      </c>
      <c r="E1104" s="1">
        <v>0</v>
      </c>
      <c r="F1104" s="1">
        <v>23</v>
      </c>
      <c r="G1104" s="1">
        <v>0</v>
      </c>
      <c r="H1104" s="1">
        <v>5</v>
      </c>
      <c r="I1104" s="1">
        <v>3</v>
      </c>
      <c r="J1104" s="1">
        <v>0</v>
      </c>
      <c r="K1104" s="1">
        <v>0</v>
      </c>
      <c r="L1104" s="1">
        <v>6766</v>
      </c>
      <c r="M1104" s="1">
        <v>0</v>
      </c>
    </row>
    <row r="1105" spans="2:13" x14ac:dyDescent="0.25">
      <c r="B1105" s="1">
        <v>0</v>
      </c>
      <c r="C1105" s="1">
        <v>0</v>
      </c>
      <c r="D1105" s="1">
        <v>1</v>
      </c>
      <c r="E1105" s="1">
        <v>0</v>
      </c>
      <c r="F1105" s="1">
        <v>23</v>
      </c>
      <c r="G1105" s="1">
        <v>0</v>
      </c>
      <c r="H1105" s="1">
        <v>3</v>
      </c>
      <c r="I1105" s="1">
        <v>4</v>
      </c>
      <c r="J1105" s="1">
        <v>0</v>
      </c>
      <c r="K1105" s="1">
        <v>0</v>
      </c>
      <c r="L1105" s="1">
        <v>4167</v>
      </c>
      <c r="M1105" s="1">
        <v>0</v>
      </c>
    </row>
    <row r="1106" spans="2:13" x14ac:dyDescent="0.25">
      <c r="B1106" s="1">
        <v>0</v>
      </c>
      <c r="C1106" s="1">
        <v>0</v>
      </c>
      <c r="D1106" s="1">
        <v>1</v>
      </c>
      <c r="E1106" s="1">
        <v>0</v>
      </c>
      <c r="F1106" s="1">
        <v>23</v>
      </c>
      <c r="G1106" s="1">
        <v>1</v>
      </c>
      <c r="H1106" s="1">
        <v>3</v>
      </c>
      <c r="I1106" s="1">
        <v>0</v>
      </c>
      <c r="J1106" s="1">
        <v>2</v>
      </c>
      <c r="K1106" s="1">
        <v>0</v>
      </c>
      <c r="L1106" s="1">
        <v>7784</v>
      </c>
      <c r="M1106" s="1">
        <v>0</v>
      </c>
    </row>
    <row r="1107" spans="2:13" x14ac:dyDescent="0.25">
      <c r="B1107" s="1">
        <v>0</v>
      </c>
      <c r="C1107" s="1">
        <v>0</v>
      </c>
      <c r="D1107" s="1">
        <v>1</v>
      </c>
      <c r="E1107" s="1">
        <v>0</v>
      </c>
      <c r="F1107" s="1">
        <v>23</v>
      </c>
      <c r="G1107" s="1">
        <v>1</v>
      </c>
      <c r="H1107" s="1">
        <v>3</v>
      </c>
      <c r="I1107" s="1">
        <v>0</v>
      </c>
      <c r="J1107" s="1">
        <v>0</v>
      </c>
      <c r="K1107" s="1">
        <v>0</v>
      </c>
      <c r="L1107" s="1">
        <v>3589</v>
      </c>
      <c r="M1107" s="1">
        <v>0</v>
      </c>
    </row>
    <row r="1108" spans="2:13" x14ac:dyDescent="0.25">
      <c r="B1108" s="1">
        <v>0</v>
      </c>
      <c r="C1108" s="1">
        <v>0</v>
      </c>
      <c r="D1108" s="1">
        <v>1</v>
      </c>
      <c r="E1108" s="1">
        <v>0</v>
      </c>
      <c r="F1108" s="1">
        <v>23</v>
      </c>
      <c r="G1108" s="1">
        <v>1</v>
      </c>
      <c r="H1108" s="1">
        <v>3</v>
      </c>
      <c r="I1108" s="1">
        <v>0</v>
      </c>
      <c r="J1108" s="1">
        <v>2</v>
      </c>
      <c r="K1108" s="1">
        <v>0</v>
      </c>
      <c r="L1108" s="1">
        <v>11340</v>
      </c>
      <c r="M1108" s="1">
        <v>0</v>
      </c>
    </row>
    <row r="1109" spans="2:13" x14ac:dyDescent="0.25">
      <c r="B1109" s="1">
        <v>0</v>
      </c>
      <c r="C1109" s="1">
        <v>0</v>
      </c>
      <c r="D1109" s="1">
        <v>1</v>
      </c>
      <c r="E1109" s="1">
        <v>0</v>
      </c>
      <c r="F1109" s="1">
        <v>23</v>
      </c>
      <c r="G1109" s="1">
        <v>1</v>
      </c>
      <c r="H1109" s="1">
        <v>1</v>
      </c>
      <c r="I1109" s="1">
        <v>1</v>
      </c>
      <c r="J1109" s="1">
        <v>1</v>
      </c>
      <c r="K1109" s="1">
        <v>0</v>
      </c>
      <c r="L1109" s="1">
        <v>4799</v>
      </c>
      <c r="M1109" s="1">
        <v>0</v>
      </c>
    </row>
    <row r="1110" spans="2:13" x14ac:dyDescent="0.25">
      <c r="B1110" s="1">
        <v>0</v>
      </c>
      <c r="C1110" s="1">
        <v>0</v>
      </c>
      <c r="D1110" s="1">
        <v>1</v>
      </c>
      <c r="E1110" s="1">
        <v>0</v>
      </c>
      <c r="F1110" s="1">
        <v>23</v>
      </c>
      <c r="G1110" s="1">
        <v>0</v>
      </c>
      <c r="H1110" s="1">
        <v>7</v>
      </c>
      <c r="I1110" s="1">
        <v>3</v>
      </c>
      <c r="J1110" s="1">
        <v>0</v>
      </c>
      <c r="K1110" s="1">
        <v>0</v>
      </c>
      <c r="L1110" s="1">
        <v>11169</v>
      </c>
      <c r="M1110" s="1">
        <v>0</v>
      </c>
    </row>
    <row r="1111" spans="2:13" x14ac:dyDescent="0.25">
      <c r="B1111" s="1">
        <v>0</v>
      </c>
      <c r="C1111" s="1">
        <v>0</v>
      </c>
      <c r="D1111" s="1">
        <v>1</v>
      </c>
      <c r="E1111" s="1">
        <v>0</v>
      </c>
      <c r="F1111" s="1">
        <v>23</v>
      </c>
      <c r="G1111" s="1">
        <v>1</v>
      </c>
      <c r="H1111" s="1">
        <v>3</v>
      </c>
      <c r="I1111" s="1">
        <v>1</v>
      </c>
      <c r="J1111" s="1">
        <v>2</v>
      </c>
      <c r="K1111" s="1">
        <v>0</v>
      </c>
      <c r="L1111" s="1">
        <v>7971</v>
      </c>
      <c r="M1111" s="1">
        <v>0</v>
      </c>
    </row>
    <row r="1112" spans="2:13" x14ac:dyDescent="0.25">
      <c r="B1112" s="1">
        <v>0</v>
      </c>
      <c r="C1112" s="1">
        <v>0</v>
      </c>
      <c r="D1112" s="1">
        <v>1</v>
      </c>
      <c r="E1112" s="1">
        <v>0</v>
      </c>
      <c r="F1112" s="1">
        <v>23</v>
      </c>
      <c r="G1112" s="1">
        <v>1</v>
      </c>
      <c r="H1112" s="1">
        <v>2</v>
      </c>
      <c r="I1112" s="1">
        <v>1</v>
      </c>
      <c r="J1112" s="1">
        <v>0</v>
      </c>
      <c r="K1112" s="1">
        <v>0</v>
      </c>
      <c r="L1112" s="1">
        <v>6259</v>
      </c>
      <c r="M1112" s="1">
        <v>0</v>
      </c>
    </row>
    <row r="1113" spans="2:13" x14ac:dyDescent="0.25">
      <c r="B1113" s="1">
        <v>0</v>
      </c>
      <c r="C1113" s="1">
        <v>0</v>
      </c>
      <c r="D1113" s="1">
        <v>1</v>
      </c>
      <c r="E1113" s="1">
        <v>0</v>
      </c>
      <c r="F1113" s="1">
        <v>23</v>
      </c>
      <c r="G1113" s="1">
        <v>1</v>
      </c>
      <c r="H1113" s="1">
        <v>2</v>
      </c>
      <c r="I1113" s="1">
        <v>0</v>
      </c>
      <c r="J1113" s="1">
        <v>2</v>
      </c>
      <c r="K1113" s="1">
        <v>0</v>
      </c>
      <c r="L1113" s="1">
        <v>7445</v>
      </c>
      <c r="M1113" s="1">
        <v>0</v>
      </c>
    </row>
    <row r="1114" spans="2:13" x14ac:dyDescent="0.25">
      <c r="B1114" s="1">
        <v>0</v>
      </c>
      <c r="C1114" s="1">
        <v>0</v>
      </c>
      <c r="D1114" s="1">
        <v>1</v>
      </c>
      <c r="E1114" s="1">
        <v>0</v>
      </c>
      <c r="F1114" s="1">
        <v>23</v>
      </c>
      <c r="G1114" s="1">
        <v>0</v>
      </c>
      <c r="H1114" s="1">
        <v>8</v>
      </c>
      <c r="I1114" s="1">
        <v>4</v>
      </c>
      <c r="J1114" s="1">
        <v>0</v>
      </c>
      <c r="K1114" s="1">
        <v>0</v>
      </c>
      <c r="L1114" s="1">
        <v>14924</v>
      </c>
      <c r="M1114" s="1">
        <v>0</v>
      </c>
    </row>
    <row r="1115" spans="2:13" x14ac:dyDescent="0.25">
      <c r="B1115" s="1">
        <v>0</v>
      </c>
      <c r="C1115" s="1">
        <v>0</v>
      </c>
      <c r="D1115" s="1">
        <v>1</v>
      </c>
      <c r="E1115" s="1">
        <v>0</v>
      </c>
      <c r="F1115" s="1">
        <v>23</v>
      </c>
      <c r="G1115" s="1">
        <v>0</v>
      </c>
      <c r="H1115" s="1">
        <v>2</v>
      </c>
      <c r="I1115" s="1">
        <v>1</v>
      </c>
      <c r="J1115" s="1">
        <v>0</v>
      </c>
      <c r="K1115" s="1">
        <v>0</v>
      </c>
      <c r="L1115" s="1">
        <v>10804</v>
      </c>
      <c r="M1115" s="1">
        <v>0</v>
      </c>
    </row>
    <row r="1116" spans="2:13" x14ac:dyDescent="0.25">
      <c r="B1116" s="1">
        <v>0</v>
      </c>
      <c r="C1116" s="1">
        <v>0</v>
      </c>
      <c r="D1116" s="1">
        <v>1</v>
      </c>
      <c r="E1116" s="1">
        <v>0</v>
      </c>
      <c r="F1116" s="1">
        <v>23</v>
      </c>
      <c r="G1116" s="1">
        <v>1</v>
      </c>
      <c r="H1116" s="1">
        <v>2</v>
      </c>
      <c r="I1116" s="1">
        <v>0</v>
      </c>
      <c r="J1116" s="1">
        <v>1</v>
      </c>
      <c r="K1116" s="1">
        <v>0</v>
      </c>
      <c r="L1116" s="1">
        <v>5572</v>
      </c>
      <c r="M1116" s="1">
        <v>0</v>
      </c>
    </row>
    <row r="1117" spans="2:13" x14ac:dyDescent="0.25">
      <c r="B1117" s="1">
        <v>0</v>
      </c>
      <c r="C1117" s="1">
        <v>0</v>
      </c>
      <c r="D1117" s="1">
        <v>1</v>
      </c>
      <c r="E1117" s="1">
        <v>0</v>
      </c>
      <c r="F1117" s="1">
        <v>23</v>
      </c>
      <c r="G1117" s="1">
        <v>1</v>
      </c>
      <c r="H1117" s="1">
        <v>3</v>
      </c>
      <c r="I1117" s="1">
        <v>0</v>
      </c>
      <c r="J1117" s="1">
        <v>3</v>
      </c>
      <c r="K1117" s="1">
        <v>0</v>
      </c>
      <c r="L1117" s="1">
        <v>12728</v>
      </c>
      <c r="M1117" s="1">
        <v>0</v>
      </c>
    </row>
    <row r="1118" spans="2:13" x14ac:dyDescent="0.25">
      <c r="B1118" s="1">
        <v>0</v>
      </c>
      <c r="C1118" s="1">
        <v>0</v>
      </c>
      <c r="D1118" s="1">
        <v>1</v>
      </c>
      <c r="E1118" s="1">
        <v>0</v>
      </c>
      <c r="F1118" s="1">
        <v>23</v>
      </c>
      <c r="G1118" s="1">
        <v>1</v>
      </c>
      <c r="H1118" s="1">
        <v>4</v>
      </c>
      <c r="I1118" s="1">
        <v>0</v>
      </c>
      <c r="J1118" s="1">
        <v>4</v>
      </c>
      <c r="K1118" s="1">
        <v>0</v>
      </c>
      <c r="L1118" s="1">
        <v>8136</v>
      </c>
      <c r="M1118" s="1">
        <v>0</v>
      </c>
    </row>
    <row r="1119" spans="2:13" x14ac:dyDescent="0.25">
      <c r="B1119" s="1">
        <v>0</v>
      </c>
      <c r="C1119" s="1">
        <v>0</v>
      </c>
      <c r="D1119" s="1">
        <v>1</v>
      </c>
      <c r="E1119" s="1">
        <v>0</v>
      </c>
      <c r="F1119" s="1">
        <v>23</v>
      </c>
      <c r="G1119" s="1">
        <v>1</v>
      </c>
      <c r="H1119" s="1">
        <v>2</v>
      </c>
      <c r="I1119" s="1">
        <v>0</v>
      </c>
      <c r="J1119" s="1">
        <v>3</v>
      </c>
      <c r="K1119" s="1">
        <v>0</v>
      </c>
      <c r="L1119" s="1">
        <v>7778</v>
      </c>
      <c r="M1119" s="1">
        <v>0</v>
      </c>
    </row>
    <row r="1120" spans="2:13" x14ac:dyDescent="0.25">
      <c r="B1120" s="1">
        <v>0</v>
      </c>
      <c r="C1120" s="1">
        <v>0</v>
      </c>
      <c r="D1120" s="1">
        <v>1</v>
      </c>
      <c r="E1120" s="1">
        <v>0</v>
      </c>
      <c r="F1120" s="1">
        <v>23</v>
      </c>
      <c r="G1120" s="1">
        <v>1</v>
      </c>
      <c r="H1120" s="1">
        <v>2</v>
      </c>
      <c r="I1120" s="1">
        <v>0</v>
      </c>
      <c r="J1120" s="1">
        <v>1</v>
      </c>
      <c r="K1120" s="1">
        <v>0</v>
      </c>
      <c r="L1120" s="1">
        <v>8401</v>
      </c>
      <c r="M1120" s="1">
        <v>0</v>
      </c>
    </row>
    <row r="1121" spans="2:13" x14ac:dyDescent="0.25">
      <c r="B1121" s="1">
        <v>0</v>
      </c>
      <c r="C1121" s="1">
        <v>0</v>
      </c>
      <c r="D1121" s="1">
        <v>1</v>
      </c>
      <c r="E1121" s="1">
        <v>0</v>
      </c>
      <c r="F1121" s="1">
        <v>23</v>
      </c>
      <c r="G1121" s="1">
        <v>1</v>
      </c>
      <c r="H1121" s="1">
        <v>1</v>
      </c>
      <c r="I1121" s="1">
        <v>0</v>
      </c>
      <c r="J1121" s="1">
        <v>0</v>
      </c>
      <c r="K1121" s="1">
        <v>0</v>
      </c>
      <c r="L1121" s="1">
        <v>5172</v>
      </c>
      <c r="M1121" s="1">
        <v>0</v>
      </c>
    </row>
    <row r="1122" spans="2:13" x14ac:dyDescent="0.25">
      <c r="B1122" s="1">
        <v>0</v>
      </c>
      <c r="C1122" s="1">
        <v>0</v>
      </c>
      <c r="D1122" s="1">
        <v>1</v>
      </c>
      <c r="E1122" s="1">
        <v>0</v>
      </c>
      <c r="F1122" s="1">
        <v>23</v>
      </c>
      <c r="G1122" s="1">
        <v>1</v>
      </c>
      <c r="H1122" s="1">
        <v>6</v>
      </c>
      <c r="I1122" s="1">
        <v>9</v>
      </c>
      <c r="J1122" s="1">
        <v>0</v>
      </c>
      <c r="K1122" s="1">
        <v>0</v>
      </c>
      <c r="L1122" s="1">
        <v>11181</v>
      </c>
      <c r="M1122" s="1">
        <v>0</v>
      </c>
    </row>
    <row r="1123" spans="2:13" x14ac:dyDescent="0.25">
      <c r="B1123" s="1">
        <v>0</v>
      </c>
      <c r="C1123" s="1">
        <v>0</v>
      </c>
      <c r="D1123" s="1">
        <v>1</v>
      </c>
      <c r="E1123" s="1">
        <v>0</v>
      </c>
      <c r="F1123" s="1">
        <v>23</v>
      </c>
      <c r="G1123" s="1">
        <v>1</v>
      </c>
      <c r="H1123" s="1">
        <v>3</v>
      </c>
      <c r="I1123" s="1">
        <v>0</v>
      </c>
      <c r="J1123" s="1">
        <v>1</v>
      </c>
      <c r="K1123" s="1">
        <v>0</v>
      </c>
      <c r="L1123" s="1">
        <v>15381</v>
      </c>
      <c r="M1123" s="1">
        <v>1</v>
      </c>
    </row>
    <row r="1124" spans="2:13" x14ac:dyDescent="0.25">
      <c r="B1124" s="1">
        <v>0</v>
      </c>
      <c r="C1124" s="1">
        <v>0</v>
      </c>
      <c r="D1124" s="1">
        <v>1</v>
      </c>
      <c r="E1124" s="1">
        <v>0</v>
      </c>
      <c r="F1124" s="1">
        <v>23</v>
      </c>
      <c r="G1124" s="1">
        <v>1</v>
      </c>
      <c r="H1124" s="1">
        <v>2</v>
      </c>
      <c r="I1124" s="1">
        <v>1</v>
      </c>
      <c r="J1124" s="1">
        <v>1</v>
      </c>
      <c r="K1124" s="1">
        <v>0</v>
      </c>
      <c r="L1124" s="1">
        <v>12566</v>
      </c>
      <c r="M1124" s="1">
        <v>1</v>
      </c>
    </row>
    <row r="1125" spans="2:13" x14ac:dyDescent="0.25">
      <c r="B1125" s="1">
        <v>0</v>
      </c>
      <c r="C1125" s="1">
        <v>0</v>
      </c>
      <c r="D1125" s="1">
        <v>1</v>
      </c>
      <c r="E1125" s="1">
        <v>0</v>
      </c>
      <c r="F1125" s="1">
        <v>23</v>
      </c>
      <c r="G1125" s="1">
        <v>1</v>
      </c>
      <c r="H1125" s="1">
        <v>3</v>
      </c>
      <c r="I1125" s="1">
        <v>0</v>
      </c>
      <c r="J1125" s="1">
        <v>1</v>
      </c>
      <c r="K1125" s="1">
        <v>0</v>
      </c>
      <c r="L1125" s="1">
        <v>15381</v>
      </c>
      <c r="M1125" s="1">
        <v>1</v>
      </c>
    </row>
    <row r="1126" spans="2:13" x14ac:dyDescent="0.25">
      <c r="B1126" s="1">
        <v>0</v>
      </c>
      <c r="C1126" s="1">
        <v>0</v>
      </c>
      <c r="D1126" s="1">
        <v>1</v>
      </c>
      <c r="E1126" s="1">
        <v>0</v>
      </c>
      <c r="F1126" s="1">
        <v>23</v>
      </c>
      <c r="G1126" s="1">
        <v>1</v>
      </c>
      <c r="H1126" s="1">
        <v>4</v>
      </c>
      <c r="I1126" s="1">
        <v>0</v>
      </c>
      <c r="J1126" s="1">
        <v>2</v>
      </c>
      <c r="K1126" s="1">
        <v>0</v>
      </c>
      <c r="L1126" s="1">
        <v>18695</v>
      </c>
      <c r="M1126" s="1">
        <v>1</v>
      </c>
    </row>
    <row r="1127" spans="2:13" x14ac:dyDescent="0.25">
      <c r="B1127" s="1">
        <v>0</v>
      </c>
      <c r="C1127" s="1">
        <v>0</v>
      </c>
      <c r="D1127" s="1">
        <v>1</v>
      </c>
      <c r="E1127" s="1">
        <v>0</v>
      </c>
      <c r="F1127" s="1">
        <v>23</v>
      </c>
      <c r="G1127" s="1">
        <v>1</v>
      </c>
      <c r="H1127" s="1">
        <v>4</v>
      </c>
      <c r="I1127" s="1">
        <v>0</v>
      </c>
      <c r="J1127" s="1">
        <v>3</v>
      </c>
      <c r="K1127" s="1">
        <v>0</v>
      </c>
      <c r="L1127" s="1">
        <v>12827</v>
      </c>
      <c r="M1127" s="1">
        <v>1</v>
      </c>
    </row>
    <row r="1128" spans="2:13" x14ac:dyDescent="0.25">
      <c r="B1128" s="1">
        <v>0</v>
      </c>
      <c r="C1128" s="1">
        <v>0</v>
      </c>
      <c r="D1128" s="1">
        <v>1</v>
      </c>
      <c r="E1128" s="1">
        <v>0</v>
      </c>
      <c r="F1128" s="1">
        <v>23</v>
      </c>
      <c r="G1128" s="1">
        <v>1</v>
      </c>
      <c r="H1128" s="1">
        <v>8</v>
      </c>
      <c r="I1128" s="1">
        <v>0</v>
      </c>
      <c r="J1128" s="1">
        <v>1</v>
      </c>
      <c r="K1128" s="1">
        <v>0</v>
      </c>
      <c r="L1128" s="1">
        <v>35679</v>
      </c>
      <c r="M1128" s="1">
        <v>1</v>
      </c>
    </row>
    <row r="1129" spans="2:13" x14ac:dyDescent="0.25">
      <c r="B1129" s="1">
        <v>0</v>
      </c>
      <c r="C1129" s="1">
        <v>0</v>
      </c>
      <c r="D1129" s="1">
        <v>1</v>
      </c>
      <c r="E1129" s="1">
        <v>0</v>
      </c>
      <c r="F1129" s="1">
        <v>23</v>
      </c>
      <c r="G1129" s="1">
        <v>1</v>
      </c>
      <c r="H1129" s="1">
        <v>3</v>
      </c>
      <c r="I1129" s="1">
        <v>0</v>
      </c>
      <c r="J1129" s="1">
        <v>1</v>
      </c>
      <c r="K1129" s="1">
        <v>0</v>
      </c>
      <c r="L1129" s="1">
        <v>12958</v>
      </c>
      <c r="M1129" s="1">
        <v>1</v>
      </c>
    </row>
    <row r="1130" spans="2:13" x14ac:dyDescent="0.25">
      <c r="B1130" s="1">
        <v>0</v>
      </c>
      <c r="C1130" s="1">
        <v>0</v>
      </c>
      <c r="D1130" s="1">
        <v>1</v>
      </c>
      <c r="E1130" s="1">
        <v>0</v>
      </c>
      <c r="F1130" s="1">
        <v>22</v>
      </c>
      <c r="G1130" s="1">
        <v>0</v>
      </c>
      <c r="H1130" s="1">
        <v>7</v>
      </c>
      <c r="I1130" s="1">
        <v>4</v>
      </c>
      <c r="J1130" s="1">
        <v>0</v>
      </c>
      <c r="K1130" s="1">
        <v>0</v>
      </c>
      <c r="L1130" s="1">
        <v>9360</v>
      </c>
      <c r="M1130" s="1">
        <v>0</v>
      </c>
    </row>
    <row r="1131" spans="2:13" x14ac:dyDescent="0.25">
      <c r="B1131" s="1">
        <v>0</v>
      </c>
      <c r="C1131" s="1">
        <v>0</v>
      </c>
      <c r="D1131" s="1">
        <v>1</v>
      </c>
      <c r="E1131" s="1">
        <v>0</v>
      </c>
      <c r="F1131" s="1">
        <v>22</v>
      </c>
      <c r="G1131" s="1">
        <v>1</v>
      </c>
      <c r="H1131" s="1">
        <v>5</v>
      </c>
      <c r="I1131" s="1">
        <v>1</v>
      </c>
      <c r="J1131" s="1">
        <v>2</v>
      </c>
      <c r="K1131" s="1">
        <v>0</v>
      </c>
      <c r="L1131" s="1">
        <v>14318</v>
      </c>
      <c r="M1131" s="1">
        <v>0</v>
      </c>
    </row>
    <row r="1132" spans="2:13" x14ac:dyDescent="0.25">
      <c r="B1132" s="1">
        <v>0</v>
      </c>
      <c r="C1132" s="1">
        <v>0</v>
      </c>
      <c r="D1132" s="1">
        <v>1</v>
      </c>
      <c r="E1132" s="1">
        <v>0</v>
      </c>
      <c r="F1132" s="1">
        <v>22</v>
      </c>
      <c r="G1132" s="1">
        <v>1</v>
      </c>
      <c r="H1132" s="1">
        <v>2</v>
      </c>
      <c r="I1132" s="1">
        <v>0</v>
      </c>
      <c r="J1132" s="1">
        <v>0</v>
      </c>
      <c r="K1132" s="1">
        <v>0</v>
      </c>
      <c r="L1132" s="1">
        <v>6687</v>
      </c>
      <c r="M1132" s="1">
        <v>0</v>
      </c>
    </row>
    <row r="1133" spans="2:13" x14ac:dyDescent="0.25">
      <c r="B1133" s="1">
        <v>0</v>
      </c>
      <c r="C1133" s="1">
        <v>0</v>
      </c>
      <c r="D1133" s="1">
        <v>1</v>
      </c>
      <c r="E1133" s="1">
        <v>0</v>
      </c>
      <c r="F1133" s="1">
        <v>22</v>
      </c>
      <c r="G1133" s="1">
        <v>1</v>
      </c>
      <c r="H1133" s="1">
        <v>2</v>
      </c>
      <c r="I1133" s="1">
        <v>0</v>
      </c>
      <c r="J1133" s="1">
        <v>1</v>
      </c>
      <c r="K1133" s="1">
        <v>0</v>
      </c>
      <c r="L1133" s="1">
        <v>6447</v>
      </c>
      <c r="M1133" s="1">
        <v>0</v>
      </c>
    </row>
    <row r="1134" spans="2:13" x14ac:dyDescent="0.25">
      <c r="B1134" s="1">
        <v>0</v>
      </c>
      <c r="C1134" s="1">
        <v>0</v>
      </c>
      <c r="D1134" s="1">
        <v>1</v>
      </c>
      <c r="E1134" s="1">
        <v>0</v>
      </c>
      <c r="F1134" s="1">
        <v>22</v>
      </c>
      <c r="G1134" s="1">
        <v>1</v>
      </c>
      <c r="H1134" s="1">
        <v>2</v>
      </c>
      <c r="I1134" s="1">
        <v>2</v>
      </c>
      <c r="J1134" s="1">
        <v>1</v>
      </c>
      <c r="K1134" s="1">
        <v>0</v>
      </c>
      <c r="L1134" s="1">
        <v>5696</v>
      </c>
      <c r="M1134" s="1">
        <v>0</v>
      </c>
    </row>
    <row r="1135" spans="2:13" x14ac:dyDescent="0.25">
      <c r="B1135" s="1">
        <v>0</v>
      </c>
      <c r="C1135" s="1">
        <v>0</v>
      </c>
      <c r="D1135" s="1">
        <v>1</v>
      </c>
      <c r="E1135" s="1">
        <v>0</v>
      </c>
      <c r="F1135" s="1">
        <v>22</v>
      </c>
      <c r="G1135" s="1">
        <v>1</v>
      </c>
      <c r="H1135" s="1">
        <v>3</v>
      </c>
      <c r="I1135" s="1">
        <v>3</v>
      </c>
      <c r="J1135" s="1">
        <v>0</v>
      </c>
      <c r="K1135" s="1">
        <v>0</v>
      </c>
      <c r="L1135" s="1">
        <v>4983</v>
      </c>
      <c r="M1135" s="1">
        <v>0</v>
      </c>
    </row>
    <row r="1136" spans="2:13" x14ac:dyDescent="0.25">
      <c r="B1136" s="1">
        <v>0</v>
      </c>
      <c r="C1136" s="1">
        <v>0</v>
      </c>
      <c r="D1136" s="1">
        <v>1</v>
      </c>
      <c r="E1136" s="1">
        <v>0</v>
      </c>
      <c r="F1136" s="1">
        <v>22</v>
      </c>
      <c r="G1136" s="1">
        <v>0</v>
      </c>
      <c r="H1136" s="1">
        <v>13</v>
      </c>
      <c r="I1136" s="1">
        <v>2</v>
      </c>
      <c r="J1136" s="1">
        <v>0</v>
      </c>
      <c r="K1136" s="1">
        <v>0</v>
      </c>
      <c r="L1136" s="1">
        <v>29017</v>
      </c>
      <c r="M1136" s="1">
        <v>0</v>
      </c>
    </row>
    <row r="1137" spans="2:13" x14ac:dyDescent="0.25">
      <c r="B1137" s="1">
        <v>0</v>
      </c>
      <c r="C1137" s="1">
        <v>0</v>
      </c>
      <c r="D1137" s="1">
        <v>1</v>
      </c>
      <c r="E1137" s="1">
        <v>0</v>
      </c>
      <c r="F1137" s="1">
        <v>22</v>
      </c>
      <c r="G1137" s="1">
        <v>1</v>
      </c>
      <c r="H1137" s="1">
        <v>2</v>
      </c>
      <c r="I1137" s="1">
        <v>0</v>
      </c>
      <c r="J1137" s="1">
        <v>1</v>
      </c>
      <c r="K1137" s="1">
        <v>0</v>
      </c>
      <c r="L1137" s="1">
        <v>6466</v>
      </c>
      <c r="M1137" s="1">
        <v>0</v>
      </c>
    </row>
    <row r="1138" spans="2:13" x14ac:dyDescent="0.25">
      <c r="B1138" s="1">
        <v>0</v>
      </c>
      <c r="C1138" s="1">
        <v>0</v>
      </c>
      <c r="D1138" s="1">
        <v>1</v>
      </c>
      <c r="E1138" s="1">
        <v>0</v>
      </c>
      <c r="F1138" s="1">
        <v>22</v>
      </c>
      <c r="G1138" s="1">
        <v>1</v>
      </c>
      <c r="H1138" s="1">
        <v>3</v>
      </c>
      <c r="I1138" s="1">
        <v>0</v>
      </c>
      <c r="J1138" s="1">
        <v>1</v>
      </c>
      <c r="K1138" s="1">
        <v>0</v>
      </c>
      <c r="L1138" s="1">
        <v>8436</v>
      </c>
      <c r="M1138" s="1">
        <v>0</v>
      </c>
    </row>
    <row r="1139" spans="2:13" x14ac:dyDescent="0.25">
      <c r="B1139" s="1">
        <v>0</v>
      </c>
      <c r="C1139" s="1">
        <v>0</v>
      </c>
      <c r="D1139" s="1">
        <v>1</v>
      </c>
      <c r="E1139" s="1">
        <v>0</v>
      </c>
      <c r="F1139" s="1">
        <v>22</v>
      </c>
      <c r="G1139" s="1">
        <v>1</v>
      </c>
      <c r="H1139" s="1">
        <v>2</v>
      </c>
      <c r="I1139" s="1">
        <v>0</v>
      </c>
      <c r="J1139" s="1">
        <v>1</v>
      </c>
      <c r="K1139" s="1">
        <v>0</v>
      </c>
      <c r="L1139" s="1">
        <v>5528</v>
      </c>
      <c r="M1139" s="1">
        <v>0</v>
      </c>
    </row>
    <row r="1140" spans="2:13" x14ac:dyDescent="0.25">
      <c r="B1140" s="1">
        <v>0</v>
      </c>
      <c r="C1140" s="1">
        <v>0</v>
      </c>
      <c r="D1140" s="1">
        <v>1</v>
      </c>
      <c r="E1140" s="1">
        <v>0</v>
      </c>
      <c r="F1140" s="1">
        <v>22</v>
      </c>
      <c r="G1140" s="1">
        <v>1</v>
      </c>
      <c r="H1140" s="1">
        <v>7</v>
      </c>
      <c r="I1140" s="1">
        <v>3</v>
      </c>
      <c r="J1140" s="1">
        <v>0</v>
      </c>
      <c r="K1140" s="1">
        <v>0</v>
      </c>
      <c r="L1140" s="1">
        <v>10140</v>
      </c>
      <c r="M1140" s="1">
        <v>0</v>
      </c>
    </row>
    <row r="1141" spans="2:13" x14ac:dyDescent="0.25">
      <c r="B1141" s="1">
        <v>0</v>
      </c>
      <c r="C1141" s="1">
        <v>0</v>
      </c>
      <c r="D1141" s="1">
        <v>1</v>
      </c>
      <c r="E1141" s="1">
        <v>0</v>
      </c>
      <c r="F1141" s="1">
        <v>22</v>
      </c>
      <c r="G1141" s="1">
        <v>1</v>
      </c>
      <c r="H1141" s="1">
        <v>2</v>
      </c>
      <c r="I1141" s="1">
        <v>0</v>
      </c>
      <c r="J1141" s="1">
        <v>1</v>
      </c>
      <c r="K1141" s="1">
        <v>0</v>
      </c>
      <c r="L1141" s="1">
        <v>9428</v>
      </c>
      <c r="M1141" s="1">
        <v>0</v>
      </c>
    </row>
    <row r="1142" spans="2:13" x14ac:dyDescent="0.25">
      <c r="B1142" s="1">
        <v>0</v>
      </c>
      <c r="C1142" s="1">
        <v>0</v>
      </c>
      <c r="D1142" s="1">
        <v>1</v>
      </c>
      <c r="E1142" s="1">
        <v>0</v>
      </c>
      <c r="F1142" s="1">
        <v>22</v>
      </c>
      <c r="G1142" s="1">
        <v>1</v>
      </c>
      <c r="H1142" s="1">
        <v>2</v>
      </c>
      <c r="I1142" s="1">
        <v>0</v>
      </c>
      <c r="J1142" s="1">
        <v>3</v>
      </c>
      <c r="K1142" s="1">
        <v>0</v>
      </c>
      <c r="L1142" s="1">
        <v>9635</v>
      </c>
      <c r="M1142" s="1">
        <v>0</v>
      </c>
    </row>
    <row r="1143" spans="2:13" x14ac:dyDescent="0.25">
      <c r="B1143" s="1">
        <v>0</v>
      </c>
      <c r="C1143" s="1">
        <v>0</v>
      </c>
      <c r="D1143" s="1">
        <v>1</v>
      </c>
      <c r="E1143" s="1">
        <v>0</v>
      </c>
      <c r="F1143" s="1">
        <v>22</v>
      </c>
      <c r="G1143" s="1">
        <v>1</v>
      </c>
      <c r="H1143" s="1">
        <v>2</v>
      </c>
      <c r="I1143" s="1">
        <v>0</v>
      </c>
      <c r="J1143" s="1">
        <v>2</v>
      </c>
      <c r="K1143" s="1">
        <v>0</v>
      </c>
      <c r="L1143" s="1">
        <v>10204</v>
      </c>
      <c r="M1143" s="1">
        <v>0</v>
      </c>
    </row>
    <row r="1144" spans="2:13" x14ac:dyDescent="0.25">
      <c r="B1144" s="1">
        <v>0</v>
      </c>
      <c r="C1144" s="1">
        <v>0</v>
      </c>
      <c r="D1144" s="1">
        <v>1</v>
      </c>
      <c r="E1144" s="1">
        <v>0</v>
      </c>
      <c r="F1144" s="1">
        <v>22</v>
      </c>
      <c r="G1144" s="1">
        <v>1</v>
      </c>
      <c r="H1144" s="1">
        <v>2</v>
      </c>
      <c r="I1144" s="1">
        <v>0</v>
      </c>
      <c r="J1144" s="1">
        <v>2</v>
      </c>
      <c r="K1144" s="1">
        <v>0</v>
      </c>
      <c r="L1144" s="1">
        <v>5107</v>
      </c>
      <c r="M1144" s="1">
        <v>0</v>
      </c>
    </row>
    <row r="1145" spans="2:13" x14ac:dyDescent="0.25">
      <c r="B1145" s="1">
        <v>0</v>
      </c>
      <c r="C1145" s="1">
        <v>0</v>
      </c>
      <c r="D1145" s="1">
        <v>1</v>
      </c>
      <c r="E1145" s="1">
        <v>0</v>
      </c>
      <c r="F1145" s="1">
        <v>22</v>
      </c>
      <c r="G1145" s="1">
        <v>1</v>
      </c>
      <c r="H1145" s="1">
        <v>3</v>
      </c>
      <c r="I1145" s="1">
        <v>0</v>
      </c>
      <c r="J1145" s="1">
        <v>2</v>
      </c>
      <c r="K1145" s="1">
        <v>0</v>
      </c>
      <c r="L1145" s="1">
        <v>15433</v>
      </c>
      <c r="M1145" s="1">
        <v>1</v>
      </c>
    </row>
    <row r="1146" spans="2:13" x14ac:dyDescent="0.25">
      <c r="B1146" s="1">
        <v>0</v>
      </c>
      <c r="C1146" s="1">
        <v>0</v>
      </c>
      <c r="D1146" s="1">
        <v>1</v>
      </c>
      <c r="E1146" s="1">
        <v>0</v>
      </c>
      <c r="F1146" s="1">
        <v>22</v>
      </c>
      <c r="G1146" s="1">
        <v>1</v>
      </c>
      <c r="H1146" s="1">
        <v>4</v>
      </c>
      <c r="I1146" s="1">
        <v>0</v>
      </c>
      <c r="J1146" s="1">
        <v>1</v>
      </c>
      <c r="K1146" s="1">
        <v>0</v>
      </c>
      <c r="L1146" s="1">
        <v>17316</v>
      </c>
      <c r="M1146" s="1">
        <v>1</v>
      </c>
    </row>
    <row r="1147" spans="2:13" x14ac:dyDescent="0.25">
      <c r="B1147" s="1">
        <v>0</v>
      </c>
      <c r="C1147" s="1">
        <v>0</v>
      </c>
      <c r="D1147" s="1">
        <v>1</v>
      </c>
      <c r="E1147" s="1">
        <v>0</v>
      </c>
      <c r="F1147" s="1">
        <v>22</v>
      </c>
      <c r="G1147" s="1">
        <v>1</v>
      </c>
      <c r="H1147" s="1">
        <v>3</v>
      </c>
      <c r="I1147" s="1">
        <v>0</v>
      </c>
      <c r="J1147" s="1">
        <v>1</v>
      </c>
      <c r="K1147" s="1">
        <v>0</v>
      </c>
      <c r="L1147" s="1">
        <v>18312</v>
      </c>
      <c r="M1147" s="1">
        <v>1</v>
      </c>
    </row>
    <row r="1148" spans="2:13" x14ac:dyDescent="0.25">
      <c r="B1148" s="1">
        <v>0</v>
      </c>
      <c r="C1148" s="1">
        <v>0</v>
      </c>
      <c r="D1148" s="1">
        <v>1</v>
      </c>
      <c r="E1148" s="1">
        <v>0</v>
      </c>
      <c r="F1148" s="1">
        <v>22</v>
      </c>
      <c r="G1148" s="1">
        <v>1</v>
      </c>
      <c r="H1148" s="1">
        <v>3</v>
      </c>
      <c r="I1148" s="1">
        <v>0</v>
      </c>
      <c r="J1148" s="1">
        <v>1</v>
      </c>
      <c r="K1148" s="1">
        <v>0</v>
      </c>
      <c r="L1148" s="1">
        <v>16400</v>
      </c>
      <c r="M1148" s="1">
        <v>1</v>
      </c>
    </row>
    <row r="1149" spans="2:13" x14ac:dyDescent="0.25">
      <c r="B1149" s="1">
        <v>0</v>
      </c>
      <c r="C1149" s="1">
        <v>0</v>
      </c>
      <c r="D1149" s="1">
        <v>1</v>
      </c>
      <c r="E1149" s="1">
        <v>0</v>
      </c>
      <c r="F1149" s="1">
        <v>22</v>
      </c>
      <c r="G1149" s="1">
        <v>1</v>
      </c>
      <c r="H1149" s="1">
        <v>3</v>
      </c>
      <c r="I1149" s="1">
        <v>4</v>
      </c>
      <c r="J1149" s="1">
        <v>1</v>
      </c>
      <c r="K1149" s="1">
        <v>0</v>
      </c>
      <c r="L1149" s="1">
        <v>17665</v>
      </c>
      <c r="M1149" s="1">
        <v>1</v>
      </c>
    </row>
    <row r="1150" spans="2:13" x14ac:dyDescent="0.25">
      <c r="B1150" s="1">
        <v>0</v>
      </c>
      <c r="C1150" s="1">
        <v>0</v>
      </c>
      <c r="D1150" s="1">
        <v>1</v>
      </c>
      <c r="E1150" s="1">
        <v>0</v>
      </c>
      <c r="F1150" s="1">
        <v>21</v>
      </c>
      <c r="G1150" s="1">
        <v>1</v>
      </c>
      <c r="H1150" s="1">
        <v>3</v>
      </c>
      <c r="I1150" s="1">
        <v>3</v>
      </c>
      <c r="J1150" s="1">
        <v>0</v>
      </c>
      <c r="K1150" s="1">
        <v>0</v>
      </c>
      <c r="L1150" s="1">
        <v>2611</v>
      </c>
      <c r="M1150" s="1">
        <v>0</v>
      </c>
    </row>
    <row r="1151" spans="2:13" x14ac:dyDescent="0.25">
      <c r="B1151" s="1">
        <v>0</v>
      </c>
      <c r="C1151" s="1">
        <v>0</v>
      </c>
      <c r="D1151" s="1">
        <v>1</v>
      </c>
      <c r="E1151" s="1">
        <v>0</v>
      </c>
      <c r="F1151" s="1">
        <v>21</v>
      </c>
      <c r="G1151" s="1">
        <v>0</v>
      </c>
      <c r="H1151" s="1">
        <v>2</v>
      </c>
      <c r="I1151" s="1">
        <v>4</v>
      </c>
      <c r="J1151" s="1">
        <v>0</v>
      </c>
      <c r="K1151" s="1">
        <v>0</v>
      </c>
      <c r="L1151" s="1">
        <v>12889</v>
      </c>
      <c r="M1151" s="1">
        <v>0</v>
      </c>
    </row>
    <row r="1152" spans="2:13" x14ac:dyDescent="0.25">
      <c r="B1152" s="1">
        <v>0</v>
      </c>
      <c r="C1152" s="1">
        <v>0</v>
      </c>
      <c r="D1152" s="1">
        <v>1</v>
      </c>
      <c r="E1152" s="1">
        <v>0</v>
      </c>
      <c r="F1152" s="1">
        <v>21</v>
      </c>
      <c r="G1152" s="1">
        <v>1</v>
      </c>
      <c r="H1152" s="1">
        <v>2</v>
      </c>
      <c r="I1152" s="1">
        <v>0</v>
      </c>
      <c r="J1152" s="1">
        <v>1</v>
      </c>
      <c r="K1152" s="1">
        <v>0</v>
      </c>
      <c r="L1152" s="1">
        <v>5559</v>
      </c>
      <c r="M1152" s="1">
        <v>0</v>
      </c>
    </row>
    <row r="1153" spans="2:13" x14ac:dyDescent="0.25">
      <c r="B1153" s="1">
        <v>0</v>
      </c>
      <c r="C1153" s="1">
        <v>0</v>
      </c>
      <c r="D1153" s="1">
        <v>1</v>
      </c>
      <c r="E1153" s="1">
        <v>0</v>
      </c>
      <c r="F1153" s="1">
        <v>21</v>
      </c>
      <c r="G1153" s="1">
        <v>0</v>
      </c>
      <c r="H1153" s="1">
        <v>11</v>
      </c>
      <c r="I1153" s="1">
        <v>5</v>
      </c>
      <c r="J1153" s="1">
        <v>0</v>
      </c>
      <c r="K1153" s="1">
        <v>0</v>
      </c>
      <c r="L1153" s="1">
        <v>18179</v>
      </c>
      <c r="M1153" s="1">
        <v>0</v>
      </c>
    </row>
    <row r="1154" spans="2:13" x14ac:dyDescent="0.25">
      <c r="B1154" s="1">
        <v>0</v>
      </c>
      <c r="C1154" s="1">
        <v>0</v>
      </c>
      <c r="D1154" s="1">
        <v>1</v>
      </c>
      <c r="E1154" s="1">
        <v>0</v>
      </c>
      <c r="F1154" s="1">
        <v>21</v>
      </c>
      <c r="G1154" s="1">
        <v>1</v>
      </c>
      <c r="H1154" s="1">
        <v>5</v>
      </c>
      <c r="I1154" s="1">
        <v>2</v>
      </c>
      <c r="J1154" s="1">
        <v>0</v>
      </c>
      <c r="K1154" s="1">
        <v>0</v>
      </c>
      <c r="L1154" s="1">
        <v>6647</v>
      </c>
      <c r="M1154" s="1">
        <v>0</v>
      </c>
    </row>
    <row r="1155" spans="2:13" x14ac:dyDescent="0.25">
      <c r="B1155" s="1">
        <v>0</v>
      </c>
      <c r="C1155" s="1">
        <v>0</v>
      </c>
      <c r="D1155" s="1">
        <v>1</v>
      </c>
      <c r="E1155" s="1">
        <v>0</v>
      </c>
      <c r="F1155" s="1">
        <v>21</v>
      </c>
      <c r="G1155" s="1">
        <v>1</v>
      </c>
      <c r="H1155" s="1">
        <v>4</v>
      </c>
      <c r="I1155" s="1">
        <v>2</v>
      </c>
      <c r="J1155" s="1">
        <v>0</v>
      </c>
      <c r="K1155" s="1">
        <v>0</v>
      </c>
      <c r="L1155" s="1">
        <v>8088</v>
      </c>
      <c r="M1155" s="1">
        <v>0</v>
      </c>
    </row>
    <row r="1156" spans="2:13" x14ac:dyDescent="0.25">
      <c r="B1156" s="1">
        <v>0</v>
      </c>
      <c r="C1156" s="1">
        <v>0</v>
      </c>
      <c r="D1156" s="1">
        <v>1</v>
      </c>
      <c r="E1156" s="1">
        <v>0</v>
      </c>
      <c r="F1156" s="1">
        <v>21</v>
      </c>
      <c r="G1156" s="1">
        <v>1</v>
      </c>
      <c r="H1156" s="1">
        <v>2</v>
      </c>
      <c r="I1156" s="1">
        <v>3</v>
      </c>
      <c r="J1156" s="1">
        <v>0</v>
      </c>
      <c r="K1156" s="1">
        <v>0</v>
      </c>
      <c r="L1156" s="1">
        <v>1782</v>
      </c>
      <c r="M1156" s="1">
        <v>0</v>
      </c>
    </row>
    <row r="1157" spans="2:13" x14ac:dyDescent="0.25">
      <c r="B1157" s="1">
        <v>0</v>
      </c>
      <c r="C1157" s="1">
        <v>0</v>
      </c>
      <c r="D1157" s="1">
        <v>1</v>
      </c>
      <c r="E1157" s="1">
        <v>0</v>
      </c>
      <c r="F1157" s="1">
        <v>21</v>
      </c>
      <c r="G1157" s="1">
        <v>1</v>
      </c>
      <c r="H1157" s="1">
        <v>3</v>
      </c>
      <c r="I1157" s="1">
        <v>0</v>
      </c>
      <c r="J1157" s="1">
        <v>1</v>
      </c>
      <c r="K1157" s="1">
        <v>0</v>
      </c>
      <c r="L1157" s="1">
        <v>7740</v>
      </c>
      <c r="M1157" s="1">
        <v>0</v>
      </c>
    </row>
    <row r="1158" spans="2:13" x14ac:dyDescent="0.25">
      <c r="B1158" s="1">
        <v>0</v>
      </c>
      <c r="C1158" s="1">
        <v>0</v>
      </c>
      <c r="D1158" s="1">
        <v>1</v>
      </c>
      <c r="E1158" s="1">
        <v>0</v>
      </c>
      <c r="F1158" s="1">
        <v>21</v>
      </c>
      <c r="G1158" s="1">
        <v>1</v>
      </c>
      <c r="H1158" s="1">
        <v>7</v>
      </c>
      <c r="I1158" s="1">
        <v>3</v>
      </c>
      <c r="J1158" s="1">
        <v>0</v>
      </c>
      <c r="K1158" s="1">
        <v>0</v>
      </c>
      <c r="L1158" s="1">
        <v>10149</v>
      </c>
      <c r="M1158" s="1">
        <v>0</v>
      </c>
    </row>
    <row r="1159" spans="2:13" x14ac:dyDescent="0.25">
      <c r="B1159" s="1">
        <v>0</v>
      </c>
      <c r="C1159" s="1">
        <v>0</v>
      </c>
      <c r="D1159" s="1">
        <v>1</v>
      </c>
      <c r="E1159" s="1">
        <v>0</v>
      </c>
      <c r="F1159" s="1">
        <v>21</v>
      </c>
      <c r="G1159" s="1">
        <v>1</v>
      </c>
      <c r="H1159" s="1">
        <v>2</v>
      </c>
      <c r="I1159" s="1">
        <v>0</v>
      </c>
      <c r="J1159" s="1">
        <v>2</v>
      </c>
      <c r="K1159" s="1">
        <v>0</v>
      </c>
      <c r="L1159" s="1">
        <v>5344</v>
      </c>
      <c r="M1159" s="1">
        <v>0</v>
      </c>
    </row>
    <row r="1160" spans="2:13" x14ac:dyDescent="0.25">
      <c r="B1160" s="1">
        <v>0</v>
      </c>
      <c r="C1160" s="1">
        <v>0</v>
      </c>
      <c r="D1160" s="1">
        <v>1</v>
      </c>
      <c r="E1160" s="1">
        <v>0</v>
      </c>
      <c r="F1160" s="1">
        <v>21</v>
      </c>
      <c r="G1160" s="1">
        <v>1</v>
      </c>
      <c r="H1160" s="1">
        <v>8</v>
      </c>
      <c r="I1160" s="1">
        <v>6</v>
      </c>
      <c r="J1160" s="1">
        <v>0</v>
      </c>
      <c r="K1160" s="1">
        <v>0</v>
      </c>
      <c r="L1160" s="1">
        <v>12206</v>
      </c>
      <c r="M1160" s="1">
        <v>0</v>
      </c>
    </row>
    <row r="1161" spans="2:13" x14ac:dyDescent="0.25">
      <c r="B1161" s="1">
        <v>0</v>
      </c>
      <c r="C1161" s="1">
        <v>0</v>
      </c>
      <c r="D1161" s="1">
        <v>1</v>
      </c>
      <c r="E1161" s="1">
        <v>0</v>
      </c>
      <c r="F1161" s="1">
        <v>21</v>
      </c>
      <c r="G1161" s="1">
        <v>1</v>
      </c>
      <c r="H1161" s="1">
        <v>3</v>
      </c>
      <c r="I1161" s="1">
        <v>0</v>
      </c>
      <c r="J1161" s="1">
        <v>1</v>
      </c>
      <c r="K1161" s="1">
        <v>0</v>
      </c>
      <c r="L1161" s="1">
        <v>8241</v>
      </c>
      <c r="M1161" s="1">
        <v>0</v>
      </c>
    </row>
    <row r="1162" spans="2:13" x14ac:dyDescent="0.25">
      <c r="B1162" s="1">
        <v>0</v>
      </c>
      <c r="C1162" s="1">
        <v>0</v>
      </c>
      <c r="D1162" s="1">
        <v>1</v>
      </c>
      <c r="E1162" s="1">
        <v>0</v>
      </c>
      <c r="F1162" s="1">
        <v>21</v>
      </c>
      <c r="G1162" s="1">
        <v>1</v>
      </c>
      <c r="H1162" s="1">
        <v>2</v>
      </c>
      <c r="I1162" s="1">
        <v>0</v>
      </c>
      <c r="J1162" s="1">
        <v>1</v>
      </c>
      <c r="K1162" s="1">
        <v>0</v>
      </c>
      <c r="L1162" s="1">
        <v>6057</v>
      </c>
      <c r="M1162" s="1">
        <v>0</v>
      </c>
    </row>
    <row r="1163" spans="2:13" x14ac:dyDescent="0.25">
      <c r="B1163" s="1">
        <v>0</v>
      </c>
      <c r="C1163" s="1">
        <v>0</v>
      </c>
      <c r="D1163" s="1">
        <v>1</v>
      </c>
      <c r="E1163" s="1">
        <v>0</v>
      </c>
      <c r="F1163" s="1">
        <v>21</v>
      </c>
      <c r="G1163" s="1">
        <v>1</v>
      </c>
      <c r="H1163" s="1">
        <v>2</v>
      </c>
      <c r="I1163" s="1">
        <v>1</v>
      </c>
      <c r="J1163" s="1">
        <v>1</v>
      </c>
      <c r="K1163" s="1">
        <v>0</v>
      </c>
      <c r="L1163" s="1">
        <v>9514</v>
      </c>
      <c r="M1163" s="1">
        <v>0</v>
      </c>
    </row>
    <row r="1164" spans="2:13" x14ac:dyDescent="0.25">
      <c r="B1164" s="1">
        <v>0</v>
      </c>
      <c r="C1164" s="1">
        <v>0</v>
      </c>
      <c r="D1164" s="1">
        <v>1</v>
      </c>
      <c r="E1164" s="1">
        <v>0</v>
      </c>
      <c r="F1164" s="1">
        <v>21</v>
      </c>
      <c r="G1164" s="1">
        <v>0</v>
      </c>
      <c r="H1164" s="1">
        <v>7</v>
      </c>
      <c r="I1164" s="1">
        <v>3</v>
      </c>
      <c r="J1164" s="1">
        <v>0</v>
      </c>
      <c r="K1164" s="1">
        <v>0</v>
      </c>
      <c r="L1164" s="1">
        <v>10219</v>
      </c>
      <c r="M1164" s="1">
        <v>0</v>
      </c>
    </row>
    <row r="1165" spans="2:13" x14ac:dyDescent="0.25">
      <c r="B1165" s="1">
        <v>0</v>
      </c>
      <c r="C1165" s="1">
        <v>0</v>
      </c>
      <c r="D1165" s="1">
        <v>1</v>
      </c>
      <c r="E1165" s="1">
        <v>0</v>
      </c>
      <c r="F1165" s="1">
        <v>21</v>
      </c>
      <c r="G1165" s="1">
        <v>1</v>
      </c>
      <c r="H1165" s="1">
        <v>8</v>
      </c>
      <c r="I1165" s="1">
        <v>1</v>
      </c>
      <c r="J1165" s="1">
        <v>0</v>
      </c>
      <c r="K1165" s="1">
        <v>0</v>
      </c>
      <c r="L1165" s="1">
        <v>11879</v>
      </c>
      <c r="M1165" s="1">
        <v>0</v>
      </c>
    </row>
    <row r="1166" spans="2:13" x14ac:dyDescent="0.25">
      <c r="B1166" s="1">
        <v>0</v>
      </c>
      <c r="C1166" s="1">
        <v>0</v>
      </c>
      <c r="D1166" s="1">
        <v>1</v>
      </c>
      <c r="E1166" s="1">
        <v>0</v>
      </c>
      <c r="F1166" s="1">
        <v>21</v>
      </c>
      <c r="G1166" s="1">
        <v>1</v>
      </c>
      <c r="H1166" s="1">
        <v>2</v>
      </c>
      <c r="I1166" s="1">
        <v>2</v>
      </c>
      <c r="J1166" s="1">
        <v>1</v>
      </c>
      <c r="K1166" s="1">
        <v>0</v>
      </c>
      <c r="L1166" s="1">
        <v>7355</v>
      </c>
      <c r="M1166" s="1">
        <v>0</v>
      </c>
    </row>
    <row r="1167" spans="2:13" x14ac:dyDescent="0.25">
      <c r="B1167" s="1">
        <v>0</v>
      </c>
      <c r="C1167" s="1">
        <v>0</v>
      </c>
      <c r="D1167" s="1">
        <v>1</v>
      </c>
      <c r="E1167" s="1">
        <v>0</v>
      </c>
      <c r="F1167" s="1">
        <v>21</v>
      </c>
      <c r="G1167" s="1">
        <v>0</v>
      </c>
      <c r="H1167" s="1">
        <v>6</v>
      </c>
      <c r="I1167" s="1">
        <v>2</v>
      </c>
      <c r="J1167" s="1">
        <v>0</v>
      </c>
      <c r="K1167" s="1">
        <v>0</v>
      </c>
      <c r="L1167" s="1">
        <v>10585</v>
      </c>
      <c r="M1167" s="1">
        <v>0</v>
      </c>
    </row>
    <row r="1168" spans="2:13" x14ac:dyDescent="0.25">
      <c r="B1168" s="1">
        <v>0</v>
      </c>
      <c r="C1168" s="1">
        <v>0</v>
      </c>
      <c r="D1168" s="1">
        <v>1</v>
      </c>
      <c r="E1168" s="1">
        <v>0</v>
      </c>
      <c r="F1168" s="1">
        <v>21</v>
      </c>
      <c r="G1168" s="1">
        <v>1</v>
      </c>
      <c r="H1168" s="1">
        <v>2</v>
      </c>
      <c r="I1168" s="1">
        <v>1</v>
      </c>
      <c r="J1168" s="1">
        <v>4</v>
      </c>
      <c r="K1168" s="1">
        <v>0</v>
      </c>
      <c r="L1168" s="1">
        <v>7367</v>
      </c>
      <c r="M1168" s="1">
        <v>0</v>
      </c>
    </row>
    <row r="1169" spans="2:13" x14ac:dyDescent="0.25">
      <c r="B1169" s="1">
        <v>0</v>
      </c>
      <c r="C1169" s="1">
        <v>0</v>
      </c>
      <c r="D1169" s="1">
        <v>1</v>
      </c>
      <c r="E1169" s="1">
        <v>0</v>
      </c>
      <c r="F1169" s="1">
        <v>21</v>
      </c>
      <c r="G1169" s="1">
        <v>1</v>
      </c>
      <c r="H1169" s="1">
        <v>2</v>
      </c>
      <c r="I1169" s="1">
        <v>0</v>
      </c>
      <c r="J1169" s="1">
        <v>2</v>
      </c>
      <c r="K1169" s="1">
        <v>0</v>
      </c>
      <c r="L1169" s="1">
        <v>7884</v>
      </c>
      <c r="M1169" s="1">
        <v>0</v>
      </c>
    </row>
    <row r="1170" spans="2:13" x14ac:dyDescent="0.25">
      <c r="B1170" s="1">
        <v>0</v>
      </c>
      <c r="C1170" s="1">
        <v>0</v>
      </c>
      <c r="D1170" s="1">
        <v>1</v>
      </c>
      <c r="E1170" s="1">
        <v>0</v>
      </c>
      <c r="F1170" s="1">
        <v>21</v>
      </c>
      <c r="G1170" s="1">
        <v>1</v>
      </c>
      <c r="H1170" s="1">
        <v>2</v>
      </c>
      <c r="I1170" s="1">
        <v>1</v>
      </c>
      <c r="J1170" s="1">
        <v>2</v>
      </c>
      <c r="K1170" s="1">
        <v>0</v>
      </c>
      <c r="L1170" s="1">
        <v>10135</v>
      </c>
      <c r="M1170" s="1">
        <v>0</v>
      </c>
    </row>
    <row r="1171" spans="2:13" x14ac:dyDescent="0.25">
      <c r="B1171" s="1">
        <v>0</v>
      </c>
      <c r="C1171" s="1">
        <v>0</v>
      </c>
      <c r="D1171" s="1">
        <v>1</v>
      </c>
      <c r="E1171" s="1">
        <v>0</v>
      </c>
      <c r="F1171" s="1">
        <v>21</v>
      </c>
      <c r="G1171" s="1">
        <v>1</v>
      </c>
      <c r="H1171" s="1">
        <v>4</v>
      </c>
      <c r="I1171" s="1">
        <v>2</v>
      </c>
      <c r="J1171" s="1">
        <v>0</v>
      </c>
      <c r="K1171" s="1">
        <v>0</v>
      </c>
      <c r="L1171" s="1">
        <v>7985</v>
      </c>
      <c r="M1171" s="1">
        <v>0</v>
      </c>
    </row>
    <row r="1172" spans="2:13" x14ac:dyDescent="0.25">
      <c r="B1172" s="1">
        <v>0</v>
      </c>
      <c r="C1172" s="1">
        <v>0</v>
      </c>
      <c r="D1172" s="1">
        <v>1</v>
      </c>
      <c r="E1172" s="1">
        <v>0</v>
      </c>
      <c r="F1172" s="1">
        <v>21</v>
      </c>
      <c r="G1172" s="1">
        <v>1</v>
      </c>
      <c r="H1172" s="1">
        <v>2</v>
      </c>
      <c r="I1172" s="1">
        <v>0</v>
      </c>
      <c r="J1172" s="1">
        <v>1</v>
      </c>
      <c r="K1172" s="1">
        <v>0</v>
      </c>
      <c r="L1172" s="1">
        <v>7961</v>
      </c>
      <c r="M1172" s="1">
        <v>0</v>
      </c>
    </row>
    <row r="1173" spans="2:13" x14ac:dyDescent="0.25">
      <c r="B1173" s="1">
        <v>0</v>
      </c>
      <c r="C1173" s="1">
        <v>0</v>
      </c>
      <c r="D1173" s="1">
        <v>1</v>
      </c>
      <c r="E1173" s="1">
        <v>0</v>
      </c>
      <c r="F1173" s="1">
        <v>21</v>
      </c>
      <c r="G1173" s="1">
        <v>1</v>
      </c>
      <c r="H1173" s="1">
        <v>2</v>
      </c>
      <c r="I1173" s="1">
        <v>0</v>
      </c>
      <c r="J1173" s="1">
        <v>3</v>
      </c>
      <c r="K1173" s="1">
        <v>0</v>
      </c>
      <c r="L1173" s="1">
        <v>7940</v>
      </c>
      <c r="M1173" s="1">
        <v>0</v>
      </c>
    </row>
    <row r="1174" spans="2:13" x14ac:dyDescent="0.25">
      <c r="B1174" s="1">
        <v>0</v>
      </c>
      <c r="C1174" s="1">
        <v>0</v>
      </c>
      <c r="D1174" s="1">
        <v>1</v>
      </c>
      <c r="E1174" s="1">
        <v>0</v>
      </c>
      <c r="F1174" s="1">
        <v>21</v>
      </c>
      <c r="G1174" s="1">
        <v>0</v>
      </c>
      <c r="H1174" s="1">
        <v>1</v>
      </c>
      <c r="I1174" s="1">
        <v>0</v>
      </c>
      <c r="J1174" s="1">
        <v>1</v>
      </c>
      <c r="K1174" s="1">
        <v>0</v>
      </c>
      <c r="L1174" s="1">
        <v>14936</v>
      </c>
      <c r="M1174" s="1">
        <v>1</v>
      </c>
    </row>
    <row r="1175" spans="2:13" x14ac:dyDescent="0.25">
      <c r="B1175" s="1">
        <v>0</v>
      </c>
      <c r="C1175" s="1">
        <v>0</v>
      </c>
      <c r="D1175" s="1">
        <v>1</v>
      </c>
      <c r="E1175" s="1">
        <v>0</v>
      </c>
      <c r="F1175" s="1">
        <v>21</v>
      </c>
      <c r="G1175" s="1">
        <v>1</v>
      </c>
      <c r="H1175" s="1">
        <v>3</v>
      </c>
      <c r="I1175" s="1">
        <v>0</v>
      </c>
      <c r="J1175" s="1">
        <v>2</v>
      </c>
      <c r="K1175" s="1">
        <v>0</v>
      </c>
      <c r="L1175" s="1">
        <v>10647</v>
      </c>
      <c r="M1175" s="1">
        <v>1</v>
      </c>
    </row>
    <row r="1176" spans="2:13" x14ac:dyDescent="0.25">
      <c r="B1176" s="1">
        <v>0</v>
      </c>
      <c r="C1176" s="1">
        <v>0</v>
      </c>
      <c r="D1176" s="1">
        <v>1</v>
      </c>
      <c r="E1176" s="1">
        <v>0</v>
      </c>
      <c r="F1176" s="1">
        <v>21</v>
      </c>
      <c r="G1176" s="1">
        <v>1</v>
      </c>
      <c r="H1176" s="1">
        <v>3</v>
      </c>
      <c r="I1176" s="1">
        <v>0</v>
      </c>
      <c r="J1176" s="1">
        <v>1</v>
      </c>
      <c r="K1176" s="1">
        <v>0</v>
      </c>
      <c r="L1176" s="1">
        <v>10841</v>
      </c>
      <c r="M1176" s="1">
        <v>1</v>
      </c>
    </row>
    <row r="1177" spans="2:13" x14ac:dyDescent="0.25">
      <c r="B1177" s="1">
        <v>0</v>
      </c>
      <c r="C1177" s="1">
        <v>0</v>
      </c>
      <c r="D1177" s="1">
        <v>1</v>
      </c>
      <c r="E1177" s="1">
        <v>0</v>
      </c>
      <c r="F1177" s="1">
        <v>21</v>
      </c>
      <c r="G1177" s="1">
        <v>1</v>
      </c>
      <c r="H1177" s="1">
        <v>3</v>
      </c>
      <c r="I1177" s="1">
        <v>0</v>
      </c>
      <c r="J1177" s="1">
        <v>1</v>
      </c>
      <c r="K1177" s="1">
        <v>0</v>
      </c>
      <c r="L1177" s="1">
        <v>14726</v>
      </c>
      <c r="M1177" s="1">
        <v>1</v>
      </c>
    </row>
    <row r="1178" spans="2:13" x14ac:dyDescent="0.25">
      <c r="B1178" s="1">
        <v>0</v>
      </c>
      <c r="C1178" s="1">
        <v>0</v>
      </c>
      <c r="D1178" s="1">
        <v>1</v>
      </c>
      <c r="E1178" s="1">
        <v>0</v>
      </c>
      <c r="F1178" s="1">
        <v>20</v>
      </c>
      <c r="G1178" s="1">
        <v>1</v>
      </c>
      <c r="H1178" s="1">
        <v>4</v>
      </c>
      <c r="I1178" s="1">
        <v>3</v>
      </c>
      <c r="J1178" s="1">
        <v>0</v>
      </c>
      <c r="K1178" s="1">
        <v>0</v>
      </c>
      <c r="L1178" s="1">
        <v>5413</v>
      </c>
      <c r="M1178" s="1">
        <v>0</v>
      </c>
    </row>
    <row r="1179" spans="2:13" x14ac:dyDescent="0.25">
      <c r="B1179" s="1">
        <v>0</v>
      </c>
      <c r="C1179" s="1">
        <v>0</v>
      </c>
      <c r="D1179" s="1">
        <v>1</v>
      </c>
      <c r="E1179" s="1">
        <v>0</v>
      </c>
      <c r="F1179" s="1">
        <v>20</v>
      </c>
      <c r="G1179" s="1">
        <v>1</v>
      </c>
      <c r="H1179" s="1">
        <v>3</v>
      </c>
      <c r="I1179" s="1">
        <v>3</v>
      </c>
      <c r="J1179" s="1">
        <v>0</v>
      </c>
      <c r="K1179" s="1">
        <v>0</v>
      </c>
      <c r="L1179" s="1">
        <v>13776</v>
      </c>
      <c r="M1179" s="1">
        <v>0</v>
      </c>
    </row>
    <row r="1180" spans="2:13" x14ac:dyDescent="0.25">
      <c r="B1180" s="1">
        <v>0</v>
      </c>
      <c r="C1180" s="1">
        <v>0</v>
      </c>
      <c r="D1180" s="1">
        <v>1</v>
      </c>
      <c r="E1180" s="1">
        <v>0</v>
      </c>
      <c r="F1180" s="1">
        <v>20</v>
      </c>
      <c r="G1180" s="1">
        <v>1</v>
      </c>
      <c r="H1180" s="1">
        <v>2</v>
      </c>
      <c r="I1180" s="1">
        <v>1</v>
      </c>
      <c r="J1180" s="1">
        <v>2</v>
      </c>
      <c r="K1180" s="1">
        <v>0</v>
      </c>
      <c r="L1180" s="1">
        <v>7043</v>
      </c>
      <c r="M1180" s="1">
        <v>0</v>
      </c>
    </row>
    <row r="1181" spans="2:13" x14ac:dyDescent="0.25">
      <c r="B1181" s="1">
        <v>0</v>
      </c>
      <c r="C1181" s="1">
        <v>0</v>
      </c>
      <c r="D1181" s="1">
        <v>1</v>
      </c>
      <c r="E1181" s="1">
        <v>0</v>
      </c>
      <c r="F1181" s="1">
        <v>20</v>
      </c>
      <c r="G1181" s="1">
        <v>1</v>
      </c>
      <c r="H1181" s="1">
        <v>3</v>
      </c>
      <c r="I1181" s="1">
        <v>0</v>
      </c>
      <c r="J1181" s="1">
        <v>1</v>
      </c>
      <c r="K1181" s="1">
        <v>0</v>
      </c>
      <c r="L1181" s="1">
        <v>9481</v>
      </c>
      <c r="M1181" s="1">
        <v>0</v>
      </c>
    </row>
    <row r="1182" spans="2:13" x14ac:dyDescent="0.25">
      <c r="B1182" s="1">
        <v>0</v>
      </c>
      <c r="C1182" s="1">
        <v>0</v>
      </c>
      <c r="D1182" s="1">
        <v>1</v>
      </c>
      <c r="E1182" s="1">
        <v>0</v>
      </c>
      <c r="F1182" s="1">
        <v>20</v>
      </c>
      <c r="G1182" s="1">
        <v>1</v>
      </c>
      <c r="H1182" s="1">
        <v>3</v>
      </c>
      <c r="I1182" s="1">
        <v>0</v>
      </c>
      <c r="J1182" s="1">
        <v>2</v>
      </c>
      <c r="K1182" s="1">
        <v>0</v>
      </c>
      <c r="L1182" s="1">
        <v>10014</v>
      </c>
      <c r="M1182" s="1">
        <v>0</v>
      </c>
    </row>
    <row r="1183" spans="2:13" x14ac:dyDescent="0.25">
      <c r="B1183" s="1">
        <v>0</v>
      </c>
      <c r="C1183" s="1">
        <v>0</v>
      </c>
      <c r="D1183" s="1">
        <v>1</v>
      </c>
      <c r="E1183" s="1">
        <v>0</v>
      </c>
      <c r="F1183" s="1">
        <v>20</v>
      </c>
      <c r="G1183" s="1">
        <v>1</v>
      </c>
      <c r="H1183" s="1">
        <v>3</v>
      </c>
      <c r="I1183" s="1">
        <v>0</v>
      </c>
      <c r="J1183" s="1">
        <v>3</v>
      </c>
      <c r="K1183" s="1">
        <v>0</v>
      </c>
      <c r="L1183" s="1">
        <v>8466</v>
      </c>
      <c r="M1183" s="1">
        <v>0</v>
      </c>
    </row>
    <row r="1184" spans="2:13" x14ac:dyDescent="0.25">
      <c r="B1184" s="1">
        <v>0</v>
      </c>
      <c r="C1184" s="1">
        <v>0</v>
      </c>
      <c r="D1184" s="1">
        <v>1</v>
      </c>
      <c r="E1184" s="1">
        <v>0</v>
      </c>
      <c r="F1184" s="1">
        <v>20</v>
      </c>
      <c r="G1184" s="1">
        <v>0</v>
      </c>
      <c r="H1184" s="1">
        <v>10</v>
      </c>
      <c r="I1184" s="1">
        <v>3</v>
      </c>
      <c r="J1184" s="1">
        <v>0</v>
      </c>
      <c r="K1184" s="1">
        <v>0</v>
      </c>
      <c r="L1184" s="1">
        <v>13162</v>
      </c>
      <c r="M1184" s="1">
        <v>0</v>
      </c>
    </row>
    <row r="1185" spans="2:13" x14ac:dyDescent="0.25">
      <c r="B1185" s="1">
        <v>0</v>
      </c>
      <c r="C1185" s="1">
        <v>0</v>
      </c>
      <c r="D1185" s="1">
        <v>1</v>
      </c>
      <c r="E1185" s="1">
        <v>0</v>
      </c>
      <c r="F1185" s="1">
        <v>20</v>
      </c>
      <c r="G1185" s="1">
        <v>1</v>
      </c>
      <c r="H1185" s="1">
        <v>2</v>
      </c>
      <c r="I1185" s="1">
        <v>0</v>
      </c>
      <c r="J1185" s="1">
        <v>1</v>
      </c>
      <c r="K1185" s="1">
        <v>0</v>
      </c>
      <c r="L1185" s="1">
        <v>6276</v>
      </c>
      <c r="M1185" s="1">
        <v>0</v>
      </c>
    </row>
    <row r="1186" spans="2:13" x14ac:dyDescent="0.25">
      <c r="B1186" s="1">
        <v>0</v>
      </c>
      <c r="C1186" s="1">
        <v>0</v>
      </c>
      <c r="D1186" s="1">
        <v>1</v>
      </c>
      <c r="E1186" s="1">
        <v>0</v>
      </c>
      <c r="F1186" s="1">
        <v>20</v>
      </c>
      <c r="G1186" s="1">
        <v>0</v>
      </c>
      <c r="H1186" s="1">
        <v>2</v>
      </c>
      <c r="I1186" s="1">
        <v>1</v>
      </c>
      <c r="J1186" s="1">
        <v>0</v>
      </c>
      <c r="K1186" s="1">
        <v>0</v>
      </c>
      <c r="L1186" s="1">
        <v>12021</v>
      </c>
      <c r="M1186" s="1">
        <v>0</v>
      </c>
    </row>
    <row r="1187" spans="2:13" x14ac:dyDescent="0.25">
      <c r="B1187" s="1">
        <v>0</v>
      </c>
      <c r="C1187" s="1">
        <v>0</v>
      </c>
      <c r="D1187" s="1">
        <v>1</v>
      </c>
      <c r="E1187" s="1">
        <v>0</v>
      </c>
      <c r="F1187" s="1">
        <v>20</v>
      </c>
      <c r="G1187" s="1">
        <v>0</v>
      </c>
      <c r="H1187" s="1">
        <v>16</v>
      </c>
      <c r="I1187" s="1">
        <v>2</v>
      </c>
      <c r="J1187" s="1">
        <v>0</v>
      </c>
      <c r="K1187" s="1">
        <v>0</v>
      </c>
      <c r="L1187" s="1">
        <v>24804</v>
      </c>
      <c r="M1187" s="1">
        <v>0</v>
      </c>
    </row>
    <row r="1188" spans="2:13" x14ac:dyDescent="0.25">
      <c r="B1188" s="1">
        <v>0</v>
      </c>
      <c r="C1188" s="1">
        <v>0</v>
      </c>
      <c r="D1188" s="1">
        <v>1</v>
      </c>
      <c r="E1188" s="1">
        <v>0</v>
      </c>
      <c r="F1188" s="1">
        <v>20</v>
      </c>
      <c r="G1188" s="1">
        <v>1</v>
      </c>
      <c r="H1188" s="1">
        <v>3</v>
      </c>
      <c r="I1188" s="1">
        <v>0</v>
      </c>
      <c r="J1188" s="1">
        <v>1</v>
      </c>
      <c r="K1188" s="1">
        <v>0</v>
      </c>
      <c r="L1188" s="1">
        <v>10000</v>
      </c>
      <c r="M1188" s="1">
        <v>0</v>
      </c>
    </row>
    <row r="1189" spans="2:13" x14ac:dyDescent="0.25">
      <c r="B1189" s="1">
        <v>0</v>
      </c>
      <c r="C1189" s="1">
        <v>0</v>
      </c>
      <c r="D1189" s="1">
        <v>1</v>
      </c>
      <c r="E1189" s="1">
        <v>0</v>
      </c>
      <c r="F1189" s="1">
        <v>20</v>
      </c>
      <c r="G1189" s="1">
        <v>1</v>
      </c>
      <c r="H1189" s="1">
        <v>2</v>
      </c>
      <c r="I1189" s="1">
        <v>0</v>
      </c>
      <c r="J1189" s="1">
        <v>2</v>
      </c>
      <c r="K1189" s="1">
        <v>0</v>
      </c>
      <c r="L1189" s="1">
        <v>6770</v>
      </c>
      <c r="M1189" s="1">
        <v>0</v>
      </c>
    </row>
    <row r="1190" spans="2:13" x14ac:dyDescent="0.25">
      <c r="B1190" s="1">
        <v>0</v>
      </c>
      <c r="C1190" s="1">
        <v>0</v>
      </c>
      <c r="D1190" s="1">
        <v>1</v>
      </c>
      <c r="E1190" s="1">
        <v>0</v>
      </c>
      <c r="F1190" s="1">
        <v>20</v>
      </c>
      <c r="G1190" s="1">
        <v>1</v>
      </c>
      <c r="H1190" s="1">
        <v>2</v>
      </c>
      <c r="I1190" s="1">
        <v>0</v>
      </c>
      <c r="J1190" s="1">
        <v>1</v>
      </c>
      <c r="K1190" s="1">
        <v>0</v>
      </c>
      <c r="L1190" s="1">
        <v>7572</v>
      </c>
      <c r="M1190" s="1">
        <v>0</v>
      </c>
    </row>
    <row r="1191" spans="2:13" x14ac:dyDescent="0.25">
      <c r="B1191" s="1">
        <v>0</v>
      </c>
      <c r="C1191" s="1">
        <v>0</v>
      </c>
      <c r="D1191" s="1">
        <v>1</v>
      </c>
      <c r="E1191" s="1">
        <v>0</v>
      </c>
      <c r="F1191" s="1">
        <v>20</v>
      </c>
      <c r="G1191" s="1">
        <v>1</v>
      </c>
      <c r="H1191" s="1">
        <v>3</v>
      </c>
      <c r="I1191" s="1">
        <v>0</v>
      </c>
      <c r="J1191" s="1">
        <v>0</v>
      </c>
      <c r="K1191" s="1">
        <v>0</v>
      </c>
      <c r="L1191" s="1">
        <v>7123</v>
      </c>
      <c r="M1191" s="1">
        <v>0</v>
      </c>
    </row>
    <row r="1192" spans="2:13" x14ac:dyDescent="0.25">
      <c r="B1192" s="1">
        <v>0</v>
      </c>
      <c r="C1192" s="1">
        <v>0</v>
      </c>
      <c r="D1192" s="1">
        <v>1</v>
      </c>
      <c r="E1192" s="1">
        <v>0</v>
      </c>
      <c r="F1192" s="1">
        <v>20</v>
      </c>
      <c r="G1192" s="1">
        <v>0</v>
      </c>
      <c r="H1192" s="1">
        <v>2</v>
      </c>
      <c r="I1192" s="1">
        <v>1</v>
      </c>
      <c r="J1192" s="1">
        <v>1</v>
      </c>
      <c r="K1192" s="1">
        <v>0</v>
      </c>
      <c r="L1192" s="1">
        <v>7223</v>
      </c>
      <c r="M1192" s="1">
        <v>0</v>
      </c>
    </row>
    <row r="1193" spans="2:13" x14ac:dyDescent="0.25">
      <c r="B1193" s="1">
        <v>0</v>
      </c>
      <c r="C1193" s="1">
        <v>0</v>
      </c>
      <c r="D1193" s="1">
        <v>1</v>
      </c>
      <c r="E1193" s="1">
        <v>0</v>
      </c>
      <c r="F1193" s="1">
        <v>20</v>
      </c>
      <c r="G1193" s="1">
        <v>1</v>
      </c>
      <c r="H1193" s="1">
        <v>3</v>
      </c>
      <c r="I1193" s="1">
        <v>0</v>
      </c>
      <c r="J1193" s="1">
        <v>1</v>
      </c>
      <c r="K1193" s="1">
        <v>0</v>
      </c>
      <c r="L1193" s="1">
        <v>15334</v>
      </c>
      <c r="M1193" s="1">
        <v>1</v>
      </c>
    </row>
    <row r="1194" spans="2:13" x14ac:dyDescent="0.25">
      <c r="B1194" s="1">
        <v>0</v>
      </c>
      <c r="C1194" s="1">
        <v>0</v>
      </c>
      <c r="D1194" s="1">
        <v>1</v>
      </c>
      <c r="E1194" s="1">
        <v>0</v>
      </c>
      <c r="F1194" s="1">
        <v>20</v>
      </c>
      <c r="G1194" s="1">
        <v>0</v>
      </c>
      <c r="H1194" s="1">
        <v>2</v>
      </c>
      <c r="I1194" s="1">
        <v>0</v>
      </c>
      <c r="J1194" s="1">
        <v>1</v>
      </c>
      <c r="K1194" s="1">
        <v>0</v>
      </c>
      <c r="L1194" s="1">
        <v>27077</v>
      </c>
      <c r="M1194" s="1">
        <v>1</v>
      </c>
    </row>
    <row r="1195" spans="2:13" x14ac:dyDescent="0.25">
      <c r="B1195" s="1">
        <v>0</v>
      </c>
      <c r="C1195" s="1">
        <v>0</v>
      </c>
      <c r="D1195" s="1">
        <v>1</v>
      </c>
      <c r="E1195" s="1">
        <v>0</v>
      </c>
      <c r="F1195" s="1">
        <v>20</v>
      </c>
      <c r="G1195" s="1">
        <v>0</v>
      </c>
      <c r="H1195" s="1">
        <v>2</v>
      </c>
      <c r="I1195" s="1">
        <v>0</v>
      </c>
      <c r="J1195" s="1">
        <v>1</v>
      </c>
      <c r="K1195" s="1">
        <v>0</v>
      </c>
      <c r="L1195" s="1">
        <v>18306</v>
      </c>
      <c r="M1195" s="1">
        <v>1</v>
      </c>
    </row>
    <row r="1196" spans="2:13" x14ac:dyDescent="0.25">
      <c r="B1196" s="1">
        <v>0</v>
      </c>
      <c r="C1196" s="1">
        <v>0</v>
      </c>
      <c r="D1196" s="1">
        <v>1</v>
      </c>
      <c r="E1196" s="1">
        <v>0</v>
      </c>
      <c r="F1196" s="1">
        <v>20</v>
      </c>
      <c r="G1196" s="1">
        <v>1</v>
      </c>
      <c r="H1196" s="1">
        <v>3</v>
      </c>
      <c r="I1196" s="1">
        <v>0</v>
      </c>
      <c r="J1196" s="1">
        <v>1</v>
      </c>
      <c r="K1196" s="1">
        <v>0</v>
      </c>
      <c r="L1196" s="1">
        <v>15051</v>
      </c>
      <c r="M1196" s="1">
        <v>1</v>
      </c>
    </row>
    <row r="1197" spans="2:13" x14ac:dyDescent="0.25">
      <c r="B1197" s="1">
        <v>0</v>
      </c>
      <c r="C1197" s="1">
        <v>0</v>
      </c>
      <c r="D1197" s="1">
        <v>1</v>
      </c>
      <c r="E1197" s="1">
        <v>0</v>
      </c>
      <c r="F1197" s="1">
        <v>20</v>
      </c>
      <c r="G1197" s="1">
        <v>1</v>
      </c>
      <c r="H1197" s="1">
        <v>3</v>
      </c>
      <c r="I1197" s="1">
        <v>0</v>
      </c>
      <c r="J1197" s="1">
        <v>2</v>
      </c>
      <c r="K1197" s="1">
        <v>0</v>
      </c>
      <c r="L1197" s="1">
        <v>13839</v>
      </c>
      <c r="M1197" s="1">
        <v>1</v>
      </c>
    </row>
    <row r="1198" spans="2:13" x14ac:dyDescent="0.25">
      <c r="B1198" s="1">
        <v>0</v>
      </c>
      <c r="C1198" s="1">
        <v>0</v>
      </c>
      <c r="D1198" s="1">
        <v>1</v>
      </c>
      <c r="E1198" s="1">
        <v>0</v>
      </c>
      <c r="F1198" s="1">
        <v>19</v>
      </c>
      <c r="G1198" s="1">
        <v>1</v>
      </c>
      <c r="H1198" s="1">
        <v>3</v>
      </c>
      <c r="I1198" s="1">
        <v>3</v>
      </c>
      <c r="J1198" s="1">
        <v>0</v>
      </c>
      <c r="K1198" s="1">
        <v>0</v>
      </c>
      <c r="L1198" s="1">
        <v>11451</v>
      </c>
      <c r="M1198" s="1">
        <v>0</v>
      </c>
    </row>
    <row r="1199" spans="2:13" x14ac:dyDescent="0.25">
      <c r="B1199" s="1">
        <v>0</v>
      </c>
      <c r="C1199" s="1">
        <v>0</v>
      </c>
      <c r="D1199" s="1">
        <v>1</v>
      </c>
      <c r="E1199" s="1">
        <v>0</v>
      </c>
      <c r="F1199" s="1">
        <v>19</v>
      </c>
      <c r="G1199" s="1">
        <v>1</v>
      </c>
      <c r="H1199" s="1">
        <v>2</v>
      </c>
      <c r="I1199" s="1">
        <v>0</v>
      </c>
      <c r="J1199" s="1">
        <v>1</v>
      </c>
      <c r="K1199" s="1">
        <v>0</v>
      </c>
      <c r="L1199" s="1">
        <v>5791</v>
      </c>
      <c r="M1199" s="1">
        <v>0</v>
      </c>
    </row>
    <row r="1200" spans="2:13" x14ac:dyDescent="0.25">
      <c r="B1200" s="1">
        <v>0</v>
      </c>
      <c r="C1200" s="1">
        <v>0</v>
      </c>
      <c r="D1200" s="1">
        <v>1</v>
      </c>
      <c r="E1200" s="1">
        <v>0</v>
      </c>
      <c r="F1200" s="1">
        <v>19</v>
      </c>
      <c r="G1200" s="1">
        <v>0</v>
      </c>
      <c r="H1200" s="1">
        <v>6</v>
      </c>
      <c r="I1200" s="1">
        <v>3</v>
      </c>
      <c r="J1200" s="1">
        <v>0</v>
      </c>
      <c r="K1200" s="1">
        <v>0</v>
      </c>
      <c r="L1200" s="1">
        <v>8431</v>
      </c>
      <c r="M1200" s="1">
        <v>0</v>
      </c>
    </row>
    <row r="1201" spans="2:13" x14ac:dyDescent="0.25">
      <c r="B1201" s="1">
        <v>0</v>
      </c>
      <c r="C1201" s="1">
        <v>0</v>
      </c>
      <c r="D1201" s="1">
        <v>1</v>
      </c>
      <c r="E1201" s="1">
        <v>0</v>
      </c>
      <c r="F1201" s="1">
        <v>19</v>
      </c>
      <c r="G1201" s="1">
        <v>0</v>
      </c>
      <c r="H1201" s="1">
        <v>5</v>
      </c>
      <c r="I1201" s="1">
        <v>1</v>
      </c>
      <c r="J1201" s="1">
        <v>0</v>
      </c>
      <c r="K1201" s="1">
        <v>0</v>
      </c>
      <c r="L1201" s="1">
        <v>7297</v>
      </c>
      <c r="M1201" s="1">
        <v>0</v>
      </c>
    </row>
    <row r="1202" spans="2:13" x14ac:dyDescent="0.25">
      <c r="B1202" s="1">
        <v>0</v>
      </c>
      <c r="C1202" s="1">
        <v>0</v>
      </c>
      <c r="D1202" s="1">
        <v>1</v>
      </c>
      <c r="E1202" s="1">
        <v>0</v>
      </c>
      <c r="F1202" s="1">
        <v>19</v>
      </c>
      <c r="G1202" s="1">
        <v>1</v>
      </c>
      <c r="H1202" s="1">
        <v>2</v>
      </c>
      <c r="I1202" s="1">
        <v>0</v>
      </c>
      <c r="J1202" s="1">
        <v>2</v>
      </c>
      <c r="K1202" s="1">
        <v>0</v>
      </c>
      <c r="L1202" s="1">
        <v>7368</v>
      </c>
      <c r="M1202" s="1">
        <v>0</v>
      </c>
    </row>
    <row r="1203" spans="2:13" x14ac:dyDescent="0.25">
      <c r="B1203" s="1">
        <v>0</v>
      </c>
      <c r="C1203" s="1">
        <v>0</v>
      </c>
      <c r="D1203" s="1">
        <v>1</v>
      </c>
      <c r="E1203" s="1">
        <v>0</v>
      </c>
      <c r="F1203" s="1">
        <v>19</v>
      </c>
      <c r="G1203" s="1">
        <v>0</v>
      </c>
      <c r="H1203" s="1">
        <v>7</v>
      </c>
      <c r="I1203" s="1">
        <v>3</v>
      </c>
      <c r="J1203" s="1">
        <v>0</v>
      </c>
      <c r="K1203" s="1">
        <v>0</v>
      </c>
      <c r="L1203" s="1">
        <v>14581</v>
      </c>
      <c r="M1203" s="1">
        <v>0</v>
      </c>
    </row>
    <row r="1204" spans="2:13" x14ac:dyDescent="0.25">
      <c r="B1204" s="1">
        <v>0</v>
      </c>
      <c r="C1204" s="1">
        <v>0</v>
      </c>
      <c r="D1204" s="1">
        <v>1</v>
      </c>
      <c r="E1204" s="1">
        <v>0</v>
      </c>
      <c r="F1204" s="1">
        <v>19</v>
      </c>
      <c r="G1204" s="1">
        <v>1</v>
      </c>
      <c r="H1204" s="1">
        <v>2</v>
      </c>
      <c r="I1204" s="1">
        <v>0</v>
      </c>
      <c r="J1204" s="1">
        <v>2</v>
      </c>
      <c r="K1204" s="1">
        <v>0</v>
      </c>
      <c r="L1204" s="1">
        <v>7775</v>
      </c>
      <c r="M1204" s="1">
        <v>0</v>
      </c>
    </row>
    <row r="1205" spans="2:13" x14ac:dyDescent="0.25">
      <c r="B1205" s="1">
        <v>0</v>
      </c>
      <c r="C1205" s="1">
        <v>0</v>
      </c>
      <c r="D1205" s="1">
        <v>1</v>
      </c>
      <c r="E1205" s="1">
        <v>0</v>
      </c>
      <c r="F1205" s="1">
        <v>19</v>
      </c>
      <c r="G1205" s="1">
        <v>1</v>
      </c>
      <c r="H1205" s="1">
        <v>2</v>
      </c>
      <c r="I1205" s="1">
        <v>0</v>
      </c>
      <c r="J1205" s="1">
        <v>0</v>
      </c>
      <c r="K1205" s="1">
        <v>0</v>
      </c>
      <c r="L1205" s="1">
        <v>10614</v>
      </c>
      <c r="M1205" s="1">
        <v>0</v>
      </c>
    </row>
    <row r="1206" spans="2:13" x14ac:dyDescent="0.25">
      <c r="B1206" s="1">
        <v>0</v>
      </c>
      <c r="C1206" s="1">
        <v>0</v>
      </c>
      <c r="D1206" s="1">
        <v>1</v>
      </c>
      <c r="E1206" s="1">
        <v>0</v>
      </c>
      <c r="F1206" s="1">
        <v>19</v>
      </c>
      <c r="G1206" s="1">
        <v>1</v>
      </c>
      <c r="H1206" s="1">
        <v>2</v>
      </c>
      <c r="I1206" s="1">
        <v>0</v>
      </c>
      <c r="J1206" s="1">
        <v>1</v>
      </c>
      <c r="K1206" s="1">
        <v>0</v>
      </c>
      <c r="L1206" s="1">
        <v>5443</v>
      </c>
      <c r="M1206" s="1">
        <v>0</v>
      </c>
    </row>
    <row r="1207" spans="2:13" x14ac:dyDescent="0.25">
      <c r="B1207" s="1">
        <v>0</v>
      </c>
      <c r="C1207" s="1">
        <v>0</v>
      </c>
      <c r="D1207" s="1">
        <v>1</v>
      </c>
      <c r="E1207" s="1">
        <v>0</v>
      </c>
      <c r="F1207" s="1">
        <v>19</v>
      </c>
      <c r="G1207" s="1">
        <v>1</v>
      </c>
      <c r="H1207" s="1">
        <v>2</v>
      </c>
      <c r="I1207" s="1">
        <v>0</v>
      </c>
      <c r="J1207" s="1">
        <v>2</v>
      </c>
      <c r="K1207" s="1">
        <v>0</v>
      </c>
      <c r="L1207" s="1">
        <v>11284</v>
      </c>
      <c r="M1207" s="1">
        <v>0</v>
      </c>
    </row>
    <row r="1208" spans="2:13" x14ac:dyDescent="0.25">
      <c r="B1208" s="1">
        <v>0</v>
      </c>
      <c r="C1208" s="1">
        <v>0</v>
      </c>
      <c r="D1208" s="1">
        <v>1</v>
      </c>
      <c r="E1208" s="1">
        <v>0</v>
      </c>
      <c r="F1208" s="1">
        <v>19</v>
      </c>
      <c r="G1208" s="1">
        <v>0</v>
      </c>
      <c r="H1208" s="1">
        <v>6</v>
      </c>
      <c r="I1208" s="1">
        <v>3</v>
      </c>
      <c r="J1208" s="1">
        <v>0</v>
      </c>
      <c r="K1208" s="1">
        <v>0</v>
      </c>
      <c r="L1208" s="1">
        <v>12586</v>
      </c>
      <c r="M1208" s="1">
        <v>0</v>
      </c>
    </row>
    <row r="1209" spans="2:13" x14ac:dyDescent="0.25">
      <c r="B1209" s="1">
        <v>0</v>
      </c>
      <c r="C1209" s="1">
        <v>0</v>
      </c>
      <c r="D1209" s="1">
        <v>1</v>
      </c>
      <c r="E1209" s="1">
        <v>0</v>
      </c>
      <c r="F1209" s="1">
        <v>19</v>
      </c>
      <c r="G1209" s="1">
        <v>1</v>
      </c>
      <c r="H1209" s="1">
        <v>2</v>
      </c>
      <c r="I1209" s="1">
        <v>2</v>
      </c>
      <c r="J1209" s="1">
        <v>3</v>
      </c>
      <c r="K1209" s="1">
        <v>0</v>
      </c>
      <c r="L1209" s="1">
        <v>8138</v>
      </c>
      <c r="M1209" s="1">
        <v>0</v>
      </c>
    </row>
    <row r="1210" spans="2:13" x14ac:dyDescent="0.25">
      <c r="B1210" s="1">
        <v>0</v>
      </c>
      <c r="C1210" s="1">
        <v>0</v>
      </c>
      <c r="D1210" s="1">
        <v>1</v>
      </c>
      <c r="E1210" s="1">
        <v>0</v>
      </c>
      <c r="F1210" s="1">
        <v>19</v>
      </c>
      <c r="G1210" s="1">
        <v>1</v>
      </c>
      <c r="H1210" s="1">
        <v>2</v>
      </c>
      <c r="I1210" s="1">
        <v>0</v>
      </c>
      <c r="J1210" s="1">
        <v>1</v>
      </c>
      <c r="K1210" s="1">
        <v>0</v>
      </c>
      <c r="L1210" s="1">
        <v>7239</v>
      </c>
      <c r="M1210" s="1">
        <v>0</v>
      </c>
    </row>
    <row r="1211" spans="2:13" x14ac:dyDescent="0.25">
      <c r="B1211" s="1">
        <v>0</v>
      </c>
      <c r="C1211" s="1">
        <v>0</v>
      </c>
      <c r="D1211" s="1">
        <v>1</v>
      </c>
      <c r="E1211" s="1">
        <v>0</v>
      </c>
      <c r="F1211" s="1">
        <v>19</v>
      </c>
      <c r="G1211" s="1">
        <v>1</v>
      </c>
      <c r="H1211" s="1">
        <v>2</v>
      </c>
      <c r="I1211" s="1">
        <v>0</v>
      </c>
      <c r="J1211" s="1">
        <v>3</v>
      </c>
      <c r="K1211" s="1">
        <v>0</v>
      </c>
      <c r="L1211" s="1">
        <v>9941</v>
      </c>
      <c r="M1211" s="1">
        <v>0</v>
      </c>
    </row>
    <row r="1212" spans="2:13" x14ac:dyDescent="0.25">
      <c r="B1212" s="1">
        <v>0</v>
      </c>
      <c r="C1212" s="1">
        <v>0</v>
      </c>
      <c r="D1212" s="1">
        <v>1</v>
      </c>
      <c r="E1212" s="1">
        <v>0</v>
      </c>
      <c r="F1212" s="1">
        <v>19</v>
      </c>
      <c r="G1212" s="1">
        <v>1</v>
      </c>
      <c r="H1212" s="1">
        <v>3</v>
      </c>
      <c r="I1212" s="1">
        <v>0</v>
      </c>
      <c r="J1212" s="1">
        <v>1</v>
      </c>
      <c r="K1212" s="1">
        <v>0</v>
      </c>
      <c r="L1212" s="1">
        <v>13396</v>
      </c>
      <c r="M1212" s="1">
        <v>1</v>
      </c>
    </row>
    <row r="1213" spans="2:13" x14ac:dyDescent="0.25">
      <c r="B1213" s="1">
        <v>0</v>
      </c>
      <c r="C1213" s="1">
        <v>0</v>
      </c>
      <c r="D1213" s="1">
        <v>1</v>
      </c>
      <c r="E1213" s="1">
        <v>0</v>
      </c>
      <c r="F1213" s="1">
        <v>19</v>
      </c>
      <c r="G1213" s="1">
        <v>1</v>
      </c>
      <c r="H1213" s="1">
        <v>3</v>
      </c>
      <c r="I1213" s="1">
        <v>0</v>
      </c>
      <c r="J1213" s="1">
        <v>1</v>
      </c>
      <c r="K1213" s="1">
        <v>0</v>
      </c>
      <c r="L1213" s="1">
        <v>18673</v>
      </c>
      <c r="M1213" s="1">
        <v>1</v>
      </c>
    </row>
    <row r="1214" spans="2:13" x14ac:dyDescent="0.25">
      <c r="B1214" s="1">
        <v>0</v>
      </c>
      <c r="C1214" s="1">
        <v>0</v>
      </c>
      <c r="D1214" s="1">
        <v>1</v>
      </c>
      <c r="E1214" s="1">
        <v>0</v>
      </c>
      <c r="F1214" s="1">
        <v>19</v>
      </c>
      <c r="G1214" s="1">
        <v>1</v>
      </c>
      <c r="H1214" s="1">
        <v>5</v>
      </c>
      <c r="I1214" s="1">
        <v>0</v>
      </c>
      <c r="J1214" s="1">
        <v>1</v>
      </c>
      <c r="K1214" s="1">
        <v>0</v>
      </c>
      <c r="L1214" s="1">
        <v>16935</v>
      </c>
      <c r="M1214" s="1">
        <v>1</v>
      </c>
    </row>
    <row r="1215" spans="2:13" x14ac:dyDescent="0.25">
      <c r="B1215" s="1">
        <v>0</v>
      </c>
      <c r="C1215" s="1">
        <v>0</v>
      </c>
      <c r="D1215" s="1">
        <v>1</v>
      </c>
      <c r="E1215" s="1">
        <v>0</v>
      </c>
      <c r="F1215" s="1">
        <v>19</v>
      </c>
      <c r="G1215" s="1">
        <v>1</v>
      </c>
      <c r="H1215" s="1">
        <v>2</v>
      </c>
      <c r="I1215" s="1">
        <v>0</v>
      </c>
      <c r="J1215" s="1">
        <v>1</v>
      </c>
      <c r="K1215" s="1">
        <v>0</v>
      </c>
      <c r="L1215" s="1">
        <v>12440</v>
      </c>
      <c r="M1215" s="1">
        <v>1</v>
      </c>
    </row>
    <row r="1216" spans="2:13" x14ac:dyDescent="0.25">
      <c r="B1216" s="1">
        <v>0</v>
      </c>
      <c r="C1216" s="1">
        <v>0</v>
      </c>
      <c r="D1216" s="1">
        <v>1</v>
      </c>
      <c r="E1216" s="1">
        <v>0</v>
      </c>
      <c r="F1216" s="1">
        <v>19</v>
      </c>
      <c r="G1216" s="1">
        <v>1</v>
      </c>
      <c r="H1216" s="1">
        <v>3</v>
      </c>
      <c r="I1216" s="1">
        <v>0</v>
      </c>
      <c r="J1216" s="1">
        <v>2</v>
      </c>
      <c r="K1216" s="1">
        <v>0</v>
      </c>
      <c r="L1216" s="1">
        <v>14775</v>
      </c>
      <c r="M1216" s="1">
        <v>1</v>
      </c>
    </row>
    <row r="1217" spans="2:13" x14ac:dyDescent="0.25">
      <c r="B1217" s="1">
        <v>0</v>
      </c>
      <c r="C1217" s="1">
        <v>0</v>
      </c>
      <c r="D1217" s="1">
        <v>1</v>
      </c>
      <c r="E1217" s="1">
        <v>0</v>
      </c>
      <c r="F1217" s="1">
        <v>18</v>
      </c>
      <c r="G1217" s="1">
        <v>0</v>
      </c>
      <c r="H1217" s="1">
        <v>1</v>
      </c>
      <c r="I1217" s="1">
        <v>0</v>
      </c>
      <c r="J1217" s="1">
        <v>1</v>
      </c>
      <c r="K1217" s="1">
        <v>0</v>
      </c>
      <c r="L1217" s="1">
        <v>6607</v>
      </c>
      <c r="M1217" s="1">
        <v>0</v>
      </c>
    </row>
    <row r="1218" spans="2:13" x14ac:dyDescent="0.25">
      <c r="B1218" s="1">
        <v>0</v>
      </c>
      <c r="C1218" s="1">
        <v>0</v>
      </c>
      <c r="D1218" s="1">
        <v>1</v>
      </c>
      <c r="E1218" s="1">
        <v>0</v>
      </c>
      <c r="F1218" s="1">
        <v>18</v>
      </c>
      <c r="G1218" s="1">
        <v>1</v>
      </c>
      <c r="H1218" s="1">
        <v>2</v>
      </c>
      <c r="I1218" s="1">
        <v>0</v>
      </c>
      <c r="J1218" s="1">
        <v>1</v>
      </c>
      <c r="K1218" s="1">
        <v>0</v>
      </c>
      <c r="L1218" s="1">
        <v>9683</v>
      </c>
      <c r="M1218" s="1">
        <v>0</v>
      </c>
    </row>
    <row r="1219" spans="2:13" x14ac:dyDescent="0.25">
      <c r="B1219" s="1">
        <v>0</v>
      </c>
      <c r="C1219" s="1">
        <v>0</v>
      </c>
      <c r="D1219" s="1">
        <v>1</v>
      </c>
      <c r="E1219" s="1">
        <v>0</v>
      </c>
      <c r="F1219" s="1">
        <v>18</v>
      </c>
      <c r="G1219" s="1">
        <v>1</v>
      </c>
      <c r="H1219" s="1">
        <v>2</v>
      </c>
      <c r="I1219" s="1">
        <v>0</v>
      </c>
      <c r="J1219" s="1">
        <v>1</v>
      </c>
      <c r="K1219" s="1">
        <v>0</v>
      </c>
      <c r="L1219" s="1">
        <v>5484</v>
      </c>
      <c r="M1219" s="1">
        <v>0</v>
      </c>
    </row>
    <row r="1220" spans="2:13" x14ac:dyDescent="0.25">
      <c r="B1220" s="1">
        <v>0</v>
      </c>
      <c r="C1220" s="1">
        <v>0</v>
      </c>
      <c r="D1220" s="1">
        <v>1</v>
      </c>
      <c r="E1220" s="1">
        <v>0</v>
      </c>
      <c r="F1220" s="1">
        <v>18</v>
      </c>
      <c r="G1220" s="1">
        <v>0</v>
      </c>
      <c r="H1220" s="1">
        <v>2</v>
      </c>
      <c r="I1220" s="1">
        <v>3</v>
      </c>
      <c r="J1220" s="1">
        <v>0</v>
      </c>
      <c r="K1220" s="1">
        <v>0</v>
      </c>
      <c r="L1220" s="1">
        <v>2867</v>
      </c>
      <c r="M1220" s="1">
        <v>0</v>
      </c>
    </row>
    <row r="1221" spans="2:13" x14ac:dyDescent="0.25">
      <c r="B1221" s="1">
        <v>0</v>
      </c>
      <c r="C1221" s="1">
        <v>0</v>
      </c>
      <c r="D1221" s="1">
        <v>1</v>
      </c>
      <c r="E1221" s="1">
        <v>0</v>
      </c>
      <c r="F1221" s="1">
        <v>18</v>
      </c>
      <c r="G1221" s="1">
        <v>1</v>
      </c>
      <c r="H1221" s="1">
        <v>4</v>
      </c>
      <c r="I1221" s="1">
        <v>0</v>
      </c>
      <c r="J1221" s="1">
        <v>2</v>
      </c>
      <c r="K1221" s="1">
        <v>0</v>
      </c>
      <c r="L1221" s="1">
        <v>14954</v>
      </c>
      <c r="M1221" s="1">
        <v>0</v>
      </c>
    </row>
    <row r="1222" spans="2:13" x14ac:dyDescent="0.25">
      <c r="B1222" s="1">
        <v>0</v>
      </c>
      <c r="C1222" s="1">
        <v>0</v>
      </c>
      <c r="D1222" s="1">
        <v>1</v>
      </c>
      <c r="E1222" s="1">
        <v>0</v>
      </c>
      <c r="F1222" s="1">
        <v>18</v>
      </c>
      <c r="G1222" s="1">
        <v>1</v>
      </c>
      <c r="H1222" s="1">
        <v>2</v>
      </c>
      <c r="I1222" s="1">
        <v>0</v>
      </c>
      <c r="J1222" s="1">
        <v>1</v>
      </c>
      <c r="K1222" s="1">
        <v>0</v>
      </c>
      <c r="L1222" s="1">
        <v>9597</v>
      </c>
      <c r="M1222" s="1">
        <v>0</v>
      </c>
    </row>
    <row r="1223" spans="2:13" x14ac:dyDescent="0.25">
      <c r="B1223" s="1">
        <v>0</v>
      </c>
      <c r="C1223" s="1">
        <v>0</v>
      </c>
      <c r="D1223" s="1">
        <v>1</v>
      </c>
      <c r="E1223" s="1">
        <v>0</v>
      </c>
      <c r="F1223" s="1">
        <v>18</v>
      </c>
      <c r="G1223" s="1">
        <v>1</v>
      </c>
      <c r="H1223" s="1">
        <v>2</v>
      </c>
      <c r="I1223" s="1">
        <v>0</v>
      </c>
      <c r="J1223" s="1">
        <v>1</v>
      </c>
      <c r="K1223" s="1">
        <v>0</v>
      </c>
      <c r="L1223" s="1">
        <v>6708</v>
      </c>
      <c r="M1223" s="1">
        <v>0</v>
      </c>
    </row>
    <row r="1224" spans="2:13" x14ac:dyDescent="0.25">
      <c r="B1224" s="1">
        <v>0</v>
      </c>
      <c r="C1224" s="1">
        <v>0</v>
      </c>
      <c r="D1224" s="1">
        <v>1</v>
      </c>
      <c r="E1224" s="1">
        <v>0</v>
      </c>
      <c r="F1224" s="1">
        <v>18</v>
      </c>
      <c r="G1224" s="1">
        <v>1</v>
      </c>
      <c r="H1224" s="1">
        <v>2</v>
      </c>
      <c r="I1224" s="1">
        <v>0</v>
      </c>
      <c r="J1224" s="1">
        <v>1</v>
      </c>
      <c r="K1224" s="1">
        <v>0</v>
      </c>
      <c r="L1224" s="1">
        <v>7651</v>
      </c>
      <c r="M1224" s="1">
        <v>0</v>
      </c>
    </row>
    <row r="1225" spans="2:13" x14ac:dyDescent="0.25">
      <c r="B1225" s="1">
        <v>0</v>
      </c>
      <c r="C1225" s="1">
        <v>0</v>
      </c>
      <c r="D1225" s="1">
        <v>1</v>
      </c>
      <c r="E1225" s="1">
        <v>0</v>
      </c>
      <c r="F1225" s="1">
        <v>18</v>
      </c>
      <c r="G1225" s="1">
        <v>1</v>
      </c>
      <c r="H1225" s="1">
        <v>3</v>
      </c>
      <c r="I1225" s="1">
        <v>0</v>
      </c>
      <c r="J1225" s="1">
        <v>1</v>
      </c>
      <c r="K1225" s="1">
        <v>0</v>
      </c>
      <c r="L1225" s="1">
        <v>7902</v>
      </c>
      <c r="M1225" s="1">
        <v>0</v>
      </c>
    </row>
    <row r="1226" spans="2:13" x14ac:dyDescent="0.25">
      <c r="B1226" s="1">
        <v>0</v>
      </c>
      <c r="C1226" s="1">
        <v>0</v>
      </c>
      <c r="D1226" s="1">
        <v>1</v>
      </c>
      <c r="E1226" s="1">
        <v>0</v>
      </c>
      <c r="F1226" s="1">
        <v>18</v>
      </c>
      <c r="G1226" s="1">
        <v>1</v>
      </c>
      <c r="H1226" s="1">
        <v>2</v>
      </c>
      <c r="I1226" s="1">
        <v>1</v>
      </c>
      <c r="J1226" s="1">
        <v>4</v>
      </c>
      <c r="K1226" s="1">
        <v>0</v>
      </c>
      <c r="L1226" s="1">
        <v>7153</v>
      </c>
      <c r="M1226" s="1">
        <v>0</v>
      </c>
    </row>
    <row r="1227" spans="2:13" x14ac:dyDescent="0.25">
      <c r="B1227" s="1">
        <v>0</v>
      </c>
      <c r="C1227" s="1">
        <v>0</v>
      </c>
      <c r="D1227" s="1">
        <v>1</v>
      </c>
      <c r="E1227" s="1">
        <v>0</v>
      </c>
      <c r="F1227" s="1">
        <v>18</v>
      </c>
      <c r="G1227" s="1">
        <v>1</v>
      </c>
      <c r="H1227" s="1">
        <v>2</v>
      </c>
      <c r="I1227" s="1">
        <v>0</v>
      </c>
      <c r="J1227" s="1">
        <v>3</v>
      </c>
      <c r="K1227" s="1">
        <v>0</v>
      </c>
      <c r="L1227" s="1">
        <v>9957</v>
      </c>
      <c r="M1227" s="1">
        <v>0</v>
      </c>
    </row>
    <row r="1228" spans="2:13" x14ac:dyDescent="0.25">
      <c r="B1228" s="1">
        <v>0</v>
      </c>
      <c r="C1228" s="1">
        <v>0</v>
      </c>
      <c r="D1228" s="1">
        <v>1</v>
      </c>
      <c r="E1228" s="1">
        <v>0</v>
      </c>
      <c r="F1228" s="1">
        <v>18</v>
      </c>
      <c r="G1228" s="1">
        <v>1</v>
      </c>
      <c r="H1228" s="1">
        <v>2</v>
      </c>
      <c r="I1228" s="1">
        <v>0</v>
      </c>
      <c r="J1228" s="1">
        <v>2</v>
      </c>
      <c r="K1228" s="1">
        <v>0</v>
      </c>
      <c r="L1228" s="1">
        <v>9412</v>
      </c>
      <c r="M1228" s="1">
        <v>0</v>
      </c>
    </row>
    <row r="1229" spans="2:13" x14ac:dyDescent="0.25">
      <c r="B1229" s="1">
        <v>0</v>
      </c>
      <c r="C1229" s="1">
        <v>0</v>
      </c>
      <c r="D1229" s="1">
        <v>1</v>
      </c>
      <c r="E1229" s="1">
        <v>0</v>
      </c>
      <c r="F1229" s="1">
        <v>18</v>
      </c>
      <c r="G1229" s="1">
        <v>1</v>
      </c>
      <c r="H1229" s="1">
        <v>3</v>
      </c>
      <c r="I1229" s="1">
        <v>2</v>
      </c>
      <c r="J1229" s="1">
        <v>1</v>
      </c>
      <c r="K1229" s="1">
        <v>0</v>
      </c>
      <c r="L1229" s="1">
        <v>17801</v>
      </c>
      <c r="M1229" s="1">
        <v>1</v>
      </c>
    </row>
    <row r="1230" spans="2:13" x14ac:dyDescent="0.25">
      <c r="B1230" s="1">
        <v>0</v>
      </c>
      <c r="C1230" s="1">
        <v>0</v>
      </c>
      <c r="D1230" s="1">
        <v>1</v>
      </c>
      <c r="E1230" s="1">
        <v>0</v>
      </c>
      <c r="F1230" s="1">
        <v>18</v>
      </c>
      <c r="G1230" s="1">
        <v>1</v>
      </c>
      <c r="H1230" s="1">
        <v>5</v>
      </c>
      <c r="I1230" s="1">
        <v>1</v>
      </c>
      <c r="J1230" s="1">
        <v>1</v>
      </c>
      <c r="K1230" s="1">
        <v>0</v>
      </c>
      <c r="L1230" s="1">
        <v>21632</v>
      </c>
      <c r="M1230" s="1">
        <v>1</v>
      </c>
    </row>
    <row r="1231" spans="2:13" x14ac:dyDescent="0.25">
      <c r="B1231" s="1">
        <v>0</v>
      </c>
      <c r="C1231" s="1">
        <v>0</v>
      </c>
      <c r="D1231" s="1">
        <v>1</v>
      </c>
      <c r="E1231" s="1">
        <v>0</v>
      </c>
      <c r="F1231" s="1">
        <v>18</v>
      </c>
      <c r="G1231" s="1">
        <v>1</v>
      </c>
      <c r="H1231" s="1">
        <v>3</v>
      </c>
      <c r="I1231" s="1">
        <v>0</v>
      </c>
      <c r="J1231" s="1">
        <v>3</v>
      </c>
      <c r="K1231" s="1">
        <v>0</v>
      </c>
      <c r="L1231" s="1">
        <v>9228</v>
      </c>
      <c r="M1231" s="1">
        <v>1</v>
      </c>
    </row>
    <row r="1232" spans="2:13" x14ac:dyDescent="0.25">
      <c r="B1232" s="1">
        <v>0</v>
      </c>
      <c r="C1232" s="1">
        <v>0</v>
      </c>
      <c r="D1232" s="1">
        <v>1</v>
      </c>
      <c r="E1232" s="1">
        <v>0</v>
      </c>
      <c r="F1232" s="1">
        <v>17</v>
      </c>
      <c r="G1232" s="1">
        <v>1</v>
      </c>
      <c r="H1232" s="1">
        <v>3</v>
      </c>
      <c r="I1232" s="1">
        <v>0</v>
      </c>
      <c r="J1232" s="1">
        <v>0</v>
      </c>
      <c r="K1232" s="1">
        <v>0</v>
      </c>
      <c r="L1232" s="1">
        <v>10509</v>
      </c>
      <c r="M1232" s="1">
        <v>0</v>
      </c>
    </row>
    <row r="1233" spans="2:13" x14ac:dyDescent="0.25">
      <c r="B1233" s="1">
        <v>0</v>
      </c>
      <c r="C1233" s="1">
        <v>0</v>
      </c>
      <c r="D1233" s="1">
        <v>1</v>
      </c>
      <c r="E1233" s="1">
        <v>0</v>
      </c>
      <c r="F1233" s="1">
        <v>17</v>
      </c>
      <c r="G1233" s="1">
        <v>1</v>
      </c>
      <c r="H1233" s="1">
        <v>3</v>
      </c>
      <c r="I1233" s="1">
        <v>0</v>
      </c>
      <c r="J1233" s="1">
        <v>3</v>
      </c>
      <c r="K1233" s="1">
        <v>0</v>
      </c>
      <c r="L1233" s="1">
        <v>9225</v>
      </c>
      <c r="M1233" s="1">
        <v>0</v>
      </c>
    </row>
    <row r="1234" spans="2:13" x14ac:dyDescent="0.25">
      <c r="B1234" s="1">
        <v>0</v>
      </c>
      <c r="C1234" s="1">
        <v>0</v>
      </c>
      <c r="D1234" s="1">
        <v>1</v>
      </c>
      <c r="E1234" s="1">
        <v>0</v>
      </c>
      <c r="F1234" s="1">
        <v>17</v>
      </c>
      <c r="G1234" s="1">
        <v>1</v>
      </c>
      <c r="H1234" s="1">
        <v>2</v>
      </c>
      <c r="I1234" s="1">
        <v>0</v>
      </c>
      <c r="J1234" s="1">
        <v>2</v>
      </c>
      <c r="K1234" s="1">
        <v>0</v>
      </c>
      <c r="L1234" s="1">
        <v>12029</v>
      </c>
      <c r="M1234" s="1">
        <v>0</v>
      </c>
    </row>
    <row r="1235" spans="2:13" x14ac:dyDescent="0.25">
      <c r="B1235" s="1">
        <v>0</v>
      </c>
      <c r="C1235" s="1">
        <v>0</v>
      </c>
      <c r="D1235" s="1">
        <v>1</v>
      </c>
      <c r="E1235" s="1">
        <v>0</v>
      </c>
      <c r="F1235" s="1">
        <v>16</v>
      </c>
      <c r="G1235" s="1">
        <v>1</v>
      </c>
      <c r="H1235" s="1">
        <v>2</v>
      </c>
      <c r="I1235" s="1">
        <v>1</v>
      </c>
      <c r="J1235" s="1">
        <v>1</v>
      </c>
      <c r="K1235" s="1">
        <v>0</v>
      </c>
      <c r="L1235" s="1">
        <v>8523</v>
      </c>
      <c r="M1235" s="1">
        <v>0</v>
      </c>
    </row>
    <row r="1236" spans="2:13" x14ac:dyDescent="0.25">
      <c r="B1236" s="1">
        <v>0</v>
      </c>
      <c r="C1236" s="1">
        <v>0</v>
      </c>
      <c r="D1236" s="1">
        <v>1</v>
      </c>
      <c r="E1236" s="1">
        <v>0</v>
      </c>
      <c r="F1236" s="1">
        <v>16</v>
      </c>
      <c r="G1236" s="1">
        <v>1</v>
      </c>
      <c r="H1236" s="1">
        <v>2</v>
      </c>
      <c r="I1236" s="1">
        <v>0</v>
      </c>
      <c r="J1236" s="1">
        <v>1</v>
      </c>
      <c r="K1236" s="1">
        <v>0</v>
      </c>
      <c r="L1236" s="1">
        <v>12360</v>
      </c>
      <c r="M1236" s="1">
        <v>0</v>
      </c>
    </row>
    <row r="1237" spans="2:13" x14ac:dyDescent="0.25">
      <c r="B1237" s="1">
        <v>0</v>
      </c>
      <c r="C1237" s="1">
        <v>0</v>
      </c>
      <c r="D1237" s="1">
        <v>1</v>
      </c>
      <c r="E1237" s="1">
        <v>0</v>
      </c>
      <c r="F1237" s="1">
        <v>16</v>
      </c>
      <c r="G1237" s="1">
        <v>1</v>
      </c>
      <c r="H1237" s="1">
        <v>2</v>
      </c>
      <c r="I1237" s="1">
        <v>0</v>
      </c>
      <c r="J1237" s="1">
        <v>1</v>
      </c>
      <c r="K1237" s="1">
        <v>0</v>
      </c>
      <c r="L1237" s="1">
        <v>7814</v>
      </c>
      <c r="M1237" s="1">
        <v>0</v>
      </c>
    </row>
    <row r="1238" spans="2:13" x14ac:dyDescent="0.25">
      <c r="B1238" s="1">
        <v>0</v>
      </c>
      <c r="C1238" s="1">
        <v>0</v>
      </c>
      <c r="D1238" s="1">
        <v>1</v>
      </c>
      <c r="E1238" s="1">
        <v>0</v>
      </c>
      <c r="F1238" s="1">
        <v>16</v>
      </c>
      <c r="G1238" s="1">
        <v>1</v>
      </c>
      <c r="H1238" s="1">
        <v>2</v>
      </c>
      <c r="I1238" s="1">
        <v>0</v>
      </c>
      <c r="J1238" s="1">
        <v>2</v>
      </c>
      <c r="K1238" s="1">
        <v>0</v>
      </c>
      <c r="L1238" s="1">
        <v>8429</v>
      </c>
      <c r="M1238" s="1">
        <v>0</v>
      </c>
    </row>
    <row r="1239" spans="2:13" x14ac:dyDescent="0.25">
      <c r="B1239" s="1">
        <v>0</v>
      </c>
      <c r="C1239" s="1">
        <v>0</v>
      </c>
      <c r="D1239" s="1">
        <v>1</v>
      </c>
      <c r="E1239" s="1">
        <v>0</v>
      </c>
      <c r="F1239" s="1">
        <v>16</v>
      </c>
      <c r="G1239" s="1">
        <v>0</v>
      </c>
      <c r="H1239" s="1">
        <v>1</v>
      </c>
      <c r="I1239" s="1">
        <v>0</v>
      </c>
      <c r="J1239" s="1">
        <v>1</v>
      </c>
      <c r="K1239" s="1">
        <v>0</v>
      </c>
      <c r="L1239" s="1">
        <v>21418</v>
      </c>
      <c r="M1239" s="1">
        <v>1</v>
      </c>
    </row>
    <row r="1240" spans="2:13" x14ac:dyDescent="0.25">
      <c r="B1240" s="1">
        <v>0</v>
      </c>
      <c r="C1240" s="1">
        <v>0</v>
      </c>
      <c r="D1240" s="1">
        <v>1</v>
      </c>
      <c r="E1240" s="1">
        <v>0</v>
      </c>
      <c r="F1240" s="1">
        <v>16</v>
      </c>
      <c r="G1240" s="1">
        <v>1</v>
      </c>
      <c r="H1240" s="1">
        <v>4</v>
      </c>
      <c r="I1240" s="1">
        <v>0</v>
      </c>
      <c r="J1240" s="1">
        <v>3</v>
      </c>
      <c r="K1240" s="1">
        <v>0</v>
      </c>
      <c r="L1240" s="1">
        <v>18479</v>
      </c>
      <c r="M1240" s="1">
        <v>1</v>
      </c>
    </row>
    <row r="1241" spans="2:13" x14ac:dyDescent="0.25">
      <c r="B1241" s="1">
        <v>0</v>
      </c>
      <c r="C1241" s="1">
        <v>0</v>
      </c>
      <c r="D1241" s="1">
        <v>1</v>
      </c>
      <c r="E1241" s="1">
        <v>0</v>
      </c>
      <c r="F1241" s="1">
        <v>15</v>
      </c>
      <c r="G1241" s="1">
        <v>1</v>
      </c>
      <c r="H1241" s="1">
        <v>3</v>
      </c>
      <c r="I1241" s="1">
        <v>0</v>
      </c>
      <c r="J1241" s="1">
        <v>2</v>
      </c>
      <c r="K1241" s="1">
        <v>0</v>
      </c>
      <c r="L1241" s="1">
        <v>8017</v>
      </c>
      <c r="M1241" s="1">
        <v>0</v>
      </c>
    </row>
    <row r="1242" spans="2:13" x14ac:dyDescent="0.25">
      <c r="B1242" s="1">
        <v>0</v>
      </c>
      <c r="C1242" s="1">
        <v>0</v>
      </c>
      <c r="D1242" s="1">
        <v>1</v>
      </c>
      <c r="E1242" s="1">
        <v>0</v>
      </c>
      <c r="F1242" s="1">
        <v>11</v>
      </c>
      <c r="G1242" s="1">
        <v>0</v>
      </c>
      <c r="H1242" s="1">
        <v>0</v>
      </c>
      <c r="I1242" s="1">
        <v>0</v>
      </c>
      <c r="J1242" s="1">
        <v>0</v>
      </c>
      <c r="K1242" s="1">
        <v>0</v>
      </c>
      <c r="L1242" s="1">
        <v>3926</v>
      </c>
      <c r="M1242" s="1">
        <v>0</v>
      </c>
    </row>
    <row r="1243" spans="2:13" x14ac:dyDescent="0.25">
      <c r="B1243" s="1">
        <v>0</v>
      </c>
      <c r="C1243" s="1">
        <v>0</v>
      </c>
      <c r="D1243" s="1">
        <v>1</v>
      </c>
      <c r="E1243" s="1">
        <v>0</v>
      </c>
      <c r="F1243" s="1">
        <v>0</v>
      </c>
      <c r="G1243" s="1">
        <v>0</v>
      </c>
      <c r="H1243" s="1">
        <v>4</v>
      </c>
      <c r="I1243" s="1">
        <v>0</v>
      </c>
      <c r="J1243" s="1">
        <v>0</v>
      </c>
      <c r="K1243" s="1">
        <v>0</v>
      </c>
      <c r="L1243" s="1">
        <v>6842</v>
      </c>
      <c r="M1243" s="1">
        <v>0</v>
      </c>
    </row>
    <row r="1244" spans="2:13" x14ac:dyDescent="0.25">
      <c r="B1244" s="1">
        <v>0</v>
      </c>
      <c r="C1244" s="1">
        <v>0</v>
      </c>
      <c r="D1244" s="1">
        <v>1</v>
      </c>
      <c r="E1244" s="1">
        <v>0</v>
      </c>
      <c r="F1244" s="1">
        <v>0</v>
      </c>
      <c r="G1244" s="1">
        <v>1</v>
      </c>
      <c r="H1244" s="1">
        <v>4</v>
      </c>
      <c r="I1244" s="1">
        <v>0</v>
      </c>
      <c r="J1244" s="1">
        <v>0</v>
      </c>
      <c r="K1244" s="1">
        <v>0</v>
      </c>
      <c r="L1244" s="1">
        <v>4340</v>
      </c>
      <c r="M1244" s="1">
        <v>0</v>
      </c>
    </row>
    <row r="1245" spans="2:13" x14ac:dyDescent="0.25">
      <c r="B1245" s="1">
        <v>0</v>
      </c>
      <c r="C1245" s="1">
        <v>0</v>
      </c>
      <c r="D1245" s="1">
        <v>1</v>
      </c>
      <c r="E1245" s="1">
        <v>0</v>
      </c>
      <c r="F1245" s="1">
        <v>0</v>
      </c>
      <c r="G1245" s="1">
        <v>1</v>
      </c>
      <c r="H1245" s="1">
        <v>2</v>
      </c>
      <c r="I1245" s="1">
        <v>0</v>
      </c>
      <c r="J1245" s="1">
        <v>0</v>
      </c>
      <c r="K1245" s="1">
        <v>0</v>
      </c>
      <c r="L1245" s="1">
        <v>2297</v>
      </c>
      <c r="M1245" s="1">
        <v>0</v>
      </c>
    </row>
    <row r="1246" spans="2:13" x14ac:dyDescent="0.25">
      <c r="B1246" s="1">
        <v>0</v>
      </c>
      <c r="C1246" s="1">
        <v>0</v>
      </c>
      <c r="D1246" s="1">
        <v>1</v>
      </c>
      <c r="E1246" s="1">
        <v>0</v>
      </c>
      <c r="F1246" s="1">
        <v>0</v>
      </c>
      <c r="G1246" s="1">
        <v>1</v>
      </c>
      <c r="H1246" s="1">
        <v>2</v>
      </c>
      <c r="I1246" s="1">
        <v>0</v>
      </c>
      <c r="J1246" s="1">
        <v>0</v>
      </c>
      <c r="K1246" s="1">
        <v>0</v>
      </c>
      <c r="L1246" s="1">
        <v>1676</v>
      </c>
      <c r="M1246" s="1">
        <v>0</v>
      </c>
    </row>
    <row r="1247" spans="2:13" x14ac:dyDescent="0.25">
      <c r="B1247" s="1">
        <v>0</v>
      </c>
      <c r="C1247" s="1">
        <v>0</v>
      </c>
      <c r="D1247" s="1">
        <v>1</v>
      </c>
      <c r="E1247" s="1">
        <v>0</v>
      </c>
      <c r="F1247" s="1">
        <v>0</v>
      </c>
      <c r="G1247" s="1">
        <v>1</v>
      </c>
      <c r="H1247" s="1">
        <v>3</v>
      </c>
      <c r="I1247" s="1">
        <v>0</v>
      </c>
      <c r="J1247" s="1">
        <v>0</v>
      </c>
      <c r="K1247" s="1">
        <v>0</v>
      </c>
      <c r="L1247" s="1">
        <v>5856</v>
      </c>
      <c r="M1247" s="1">
        <v>0</v>
      </c>
    </row>
    <row r="1248" spans="2:13" x14ac:dyDescent="0.25">
      <c r="B1248" s="1">
        <v>0</v>
      </c>
      <c r="C1248" s="1">
        <v>0</v>
      </c>
      <c r="D1248" s="1">
        <v>1</v>
      </c>
      <c r="E1248" s="1">
        <v>0</v>
      </c>
      <c r="F1248" s="1">
        <v>0</v>
      </c>
      <c r="G1248" s="1">
        <v>1</v>
      </c>
      <c r="H1248" s="1">
        <v>3</v>
      </c>
      <c r="I1248" s="1">
        <v>0</v>
      </c>
      <c r="J1248" s="1">
        <v>1</v>
      </c>
      <c r="K1248" s="1">
        <v>0</v>
      </c>
      <c r="L1248" s="1">
        <v>2705</v>
      </c>
      <c r="M1248" s="1">
        <v>0</v>
      </c>
    </row>
    <row r="1249" spans="2:13" x14ac:dyDescent="0.25">
      <c r="B1249" s="1">
        <v>0</v>
      </c>
      <c r="C1249" s="1">
        <v>0</v>
      </c>
      <c r="D1249" s="1">
        <v>1</v>
      </c>
      <c r="E1249" s="1">
        <v>0</v>
      </c>
      <c r="F1249" s="1">
        <v>0</v>
      </c>
      <c r="G1249" s="1">
        <v>0</v>
      </c>
      <c r="H1249" s="1">
        <v>2</v>
      </c>
      <c r="I1249" s="1">
        <v>0</v>
      </c>
      <c r="J1249" s="1">
        <v>0</v>
      </c>
      <c r="K1249" s="1">
        <v>0</v>
      </c>
      <c r="L1249" s="1">
        <v>2189</v>
      </c>
      <c r="M1249" s="1">
        <v>0</v>
      </c>
    </row>
    <row r="1250" spans="2:13" x14ac:dyDescent="0.25">
      <c r="B1250" s="1">
        <v>0</v>
      </c>
      <c r="C1250" s="1">
        <v>0</v>
      </c>
      <c r="D1250" s="1">
        <v>1</v>
      </c>
      <c r="E1250" s="1">
        <v>0</v>
      </c>
      <c r="F1250" s="1">
        <v>0</v>
      </c>
      <c r="G1250" s="1">
        <v>0</v>
      </c>
      <c r="H1250" s="1">
        <v>2</v>
      </c>
      <c r="I1250" s="1">
        <v>0</v>
      </c>
      <c r="J1250" s="1">
        <v>0</v>
      </c>
      <c r="K1250" s="1">
        <v>0</v>
      </c>
      <c r="L1250" s="1">
        <v>2322</v>
      </c>
      <c r="M1250" s="1">
        <v>0</v>
      </c>
    </row>
    <row r="1251" spans="2:13" x14ac:dyDescent="0.25">
      <c r="B1251" s="1">
        <v>0</v>
      </c>
      <c r="C1251" s="1">
        <v>0</v>
      </c>
      <c r="D1251" s="1">
        <v>1</v>
      </c>
      <c r="E1251" s="1">
        <v>0</v>
      </c>
      <c r="F1251" s="1">
        <v>0</v>
      </c>
      <c r="G1251" s="1">
        <v>0</v>
      </c>
      <c r="H1251" s="1">
        <v>3</v>
      </c>
      <c r="I1251" s="1">
        <v>0</v>
      </c>
      <c r="J1251" s="1">
        <v>0</v>
      </c>
      <c r="K1251" s="1">
        <v>0</v>
      </c>
      <c r="L1251" s="1">
        <v>6555</v>
      </c>
      <c r="M1251" s="1">
        <v>0</v>
      </c>
    </row>
    <row r="1252" spans="2:13" x14ac:dyDescent="0.25">
      <c r="B1252" s="1">
        <v>0</v>
      </c>
      <c r="C1252" s="1">
        <v>0</v>
      </c>
      <c r="D1252" s="1">
        <v>1</v>
      </c>
      <c r="E1252" s="1">
        <v>0</v>
      </c>
      <c r="F1252" s="1">
        <v>0</v>
      </c>
      <c r="G1252" s="1">
        <v>1</v>
      </c>
      <c r="H1252" s="1">
        <v>3</v>
      </c>
      <c r="I1252" s="1">
        <v>0</v>
      </c>
      <c r="J1252" s="1">
        <v>0</v>
      </c>
      <c r="K1252" s="1">
        <v>0</v>
      </c>
      <c r="L1252" s="1">
        <v>6594</v>
      </c>
      <c r="M1252" s="1">
        <v>0</v>
      </c>
    </row>
    <row r="1253" spans="2:13" x14ac:dyDescent="0.25">
      <c r="B1253" s="1">
        <v>0</v>
      </c>
      <c r="C1253" s="1">
        <v>0</v>
      </c>
      <c r="D1253" s="1">
        <v>1</v>
      </c>
      <c r="E1253" s="1">
        <v>0</v>
      </c>
      <c r="F1253" s="1">
        <v>0</v>
      </c>
      <c r="G1253" s="1">
        <v>0</v>
      </c>
      <c r="H1253" s="1">
        <v>2</v>
      </c>
      <c r="I1253" s="1">
        <v>0</v>
      </c>
      <c r="J1253" s="1">
        <v>0</v>
      </c>
      <c r="K1253" s="1">
        <v>0</v>
      </c>
      <c r="L1253" s="1">
        <v>1835</v>
      </c>
      <c r="M1253" s="1">
        <v>0</v>
      </c>
    </row>
    <row r="1254" spans="2:13" x14ac:dyDescent="0.25">
      <c r="B1254" s="1">
        <v>0</v>
      </c>
      <c r="C1254" s="1">
        <v>0</v>
      </c>
      <c r="D1254" s="1">
        <v>1</v>
      </c>
      <c r="E1254" s="1">
        <v>0</v>
      </c>
      <c r="F1254" s="1">
        <v>0</v>
      </c>
      <c r="G1254" s="1">
        <v>0</v>
      </c>
      <c r="H1254" s="1">
        <v>3</v>
      </c>
      <c r="I1254" s="1">
        <v>0</v>
      </c>
      <c r="J1254" s="1">
        <v>0</v>
      </c>
      <c r="K1254" s="1">
        <v>0</v>
      </c>
      <c r="L1254" s="1">
        <v>2752</v>
      </c>
      <c r="M1254" s="1">
        <v>0</v>
      </c>
    </row>
    <row r="1255" spans="2:13" x14ac:dyDescent="0.25">
      <c r="B1255" s="1">
        <v>0</v>
      </c>
      <c r="C1255" s="1">
        <v>0</v>
      </c>
      <c r="D1255" s="1">
        <v>1</v>
      </c>
      <c r="E1255" s="1">
        <v>0</v>
      </c>
      <c r="F1255" s="1">
        <v>0</v>
      </c>
      <c r="G1255" s="1">
        <v>0</v>
      </c>
      <c r="H1255" s="1">
        <v>2</v>
      </c>
      <c r="I1255" s="1">
        <v>0</v>
      </c>
      <c r="J1255" s="1">
        <v>0</v>
      </c>
      <c r="K1255" s="1">
        <v>0</v>
      </c>
      <c r="L1255" s="1">
        <v>1692</v>
      </c>
      <c r="M1255" s="1">
        <v>0</v>
      </c>
    </row>
    <row r="1256" spans="2:13" x14ac:dyDescent="0.25">
      <c r="B1256" s="1">
        <v>0</v>
      </c>
      <c r="C1256" s="1">
        <v>0</v>
      </c>
      <c r="D1256" s="1">
        <v>1</v>
      </c>
      <c r="E1256" s="1">
        <v>0</v>
      </c>
      <c r="F1256" s="1">
        <v>0</v>
      </c>
      <c r="G1256" s="1">
        <v>0</v>
      </c>
      <c r="H1256" s="1">
        <v>2</v>
      </c>
      <c r="I1256" s="1">
        <v>0</v>
      </c>
      <c r="J1256" s="1">
        <v>0</v>
      </c>
      <c r="K1256" s="1">
        <v>0</v>
      </c>
      <c r="L1256" s="1">
        <v>1907</v>
      </c>
      <c r="M1256" s="1">
        <v>0</v>
      </c>
    </row>
    <row r="1257" spans="2:13" x14ac:dyDescent="0.25">
      <c r="B1257" s="1">
        <v>0</v>
      </c>
      <c r="C1257" s="1">
        <v>0</v>
      </c>
      <c r="D1257" s="1">
        <v>1</v>
      </c>
      <c r="E1257" s="1">
        <v>0</v>
      </c>
      <c r="F1257" s="1">
        <v>0</v>
      </c>
      <c r="G1257" s="1">
        <v>0</v>
      </c>
      <c r="H1257" s="1">
        <v>2</v>
      </c>
      <c r="I1257" s="1">
        <v>0</v>
      </c>
      <c r="J1257" s="1">
        <v>0</v>
      </c>
      <c r="K1257" s="1">
        <v>0</v>
      </c>
      <c r="L1257" s="1">
        <v>2583</v>
      </c>
      <c r="M1257" s="1">
        <v>0</v>
      </c>
    </row>
    <row r="1258" spans="2:13" x14ac:dyDescent="0.25">
      <c r="B1258" s="1">
        <v>0</v>
      </c>
      <c r="C1258" s="1">
        <v>0</v>
      </c>
      <c r="D1258" s="1">
        <v>1</v>
      </c>
      <c r="E1258" s="1">
        <v>0</v>
      </c>
      <c r="F1258" s="1">
        <v>0</v>
      </c>
      <c r="G1258" s="1">
        <v>1</v>
      </c>
      <c r="H1258" s="1">
        <v>0</v>
      </c>
      <c r="I1258" s="1">
        <v>0</v>
      </c>
      <c r="J1258" s="1">
        <v>0</v>
      </c>
      <c r="K1258" s="1">
        <v>0</v>
      </c>
      <c r="L1258" s="1">
        <v>3170</v>
      </c>
      <c r="M1258" s="1">
        <v>0</v>
      </c>
    </row>
    <row r="1259" spans="2:13" x14ac:dyDescent="0.25">
      <c r="B1259" s="1">
        <v>0</v>
      </c>
      <c r="C1259" s="1">
        <v>0</v>
      </c>
      <c r="D1259" s="1">
        <v>1</v>
      </c>
      <c r="E1259" s="1">
        <v>0</v>
      </c>
      <c r="F1259" s="1">
        <v>0</v>
      </c>
      <c r="G1259" s="1">
        <v>1</v>
      </c>
      <c r="H1259" s="1">
        <v>3</v>
      </c>
      <c r="I1259" s="1">
        <v>0</v>
      </c>
      <c r="J1259" s="1">
        <v>0</v>
      </c>
      <c r="K1259" s="1">
        <v>0</v>
      </c>
      <c r="L1259" s="1">
        <v>3130</v>
      </c>
      <c r="M1259" s="1">
        <v>0</v>
      </c>
    </row>
    <row r="1260" spans="2:13" x14ac:dyDescent="0.25">
      <c r="B1260" s="1">
        <v>0</v>
      </c>
      <c r="C1260" s="1">
        <v>0</v>
      </c>
      <c r="D1260" s="1">
        <v>1</v>
      </c>
      <c r="E1260" s="1">
        <v>0</v>
      </c>
      <c r="F1260" s="1">
        <v>0</v>
      </c>
      <c r="G1260" s="1">
        <v>0</v>
      </c>
      <c r="H1260" s="1">
        <v>5</v>
      </c>
      <c r="I1260" s="1">
        <v>0</v>
      </c>
      <c r="J1260" s="1">
        <v>0</v>
      </c>
      <c r="K1260" s="1">
        <v>0</v>
      </c>
      <c r="L1260" s="1">
        <v>5256</v>
      </c>
      <c r="M1260" s="1">
        <v>0</v>
      </c>
    </row>
    <row r="1261" spans="2:13" x14ac:dyDescent="0.25">
      <c r="B1261" s="1">
        <v>0</v>
      </c>
      <c r="C1261" s="1">
        <v>0</v>
      </c>
      <c r="D1261" s="1">
        <v>1</v>
      </c>
      <c r="E1261" s="1">
        <v>0</v>
      </c>
      <c r="F1261" s="1">
        <v>0</v>
      </c>
      <c r="G1261" s="1">
        <v>0</v>
      </c>
      <c r="H1261" s="1">
        <v>2</v>
      </c>
      <c r="I1261" s="1">
        <v>0</v>
      </c>
      <c r="J1261" s="1">
        <v>0</v>
      </c>
      <c r="K1261" s="1">
        <v>0</v>
      </c>
      <c r="L1261" s="1">
        <v>1689</v>
      </c>
      <c r="M1261" s="1">
        <v>0</v>
      </c>
    </row>
    <row r="1262" spans="2:13" x14ac:dyDescent="0.25">
      <c r="B1262" s="1">
        <v>0</v>
      </c>
      <c r="C1262" s="1">
        <v>0</v>
      </c>
      <c r="D1262" s="1">
        <v>1</v>
      </c>
      <c r="E1262" s="1">
        <v>0</v>
      </c>
      <c r="F1262" s="1">
        <v>0</v>
      </c>
      <c r="G1262" s="1">
        <v>0</v>
      </c>
      <c r="H1262" s="1">
        <v>6</v>
      </c>
      <c r="I1262" s="1">
        <v>0</v>
      </c>
      <c r="J1262" s="1">
        <v>0</v>
      </c>
      <c r="K1262" s="1">
        <v>0</v>
      </c>
      <c r="L1262" s="1">
        <v>4641</v>
      </c>
      <c r="M1262" s="1">
        <v>0</v>
      </c>
    </row>
    <row r="1263" spans="2:13" x14ac:dyDescent="0.25">
      <c r="B1263" s="1">
        <v>0</v>
      </c>
      <c r="C1263" s="1">
        <v>0</v>
      </c>
      <c r="D1263" s="1">
        <v>1</v>
      </c>
      <c r="E1263" s="1">
        <v>0</v>
      </c>
      <c r="F1263" s="1">
        <v>0</v>
      </c>
      <c r="G1263" s="1">
        <v>1</v>
      </c>
      <c r="H1263" s="1">
        <v>2</v>
      </c>
      <c r="I1263" s="1">
        <v>0</v>
      </c>
      <c r="J1263" s="1">
        <v>0</v>
      </c>
      <c r="K1263" s="1">
        <v>0</v>
      </c>
      <c r="L1263" s="1">
        <v>1689</v>
      </c>
      <c r="M1263" s="1">
        <v>0</v>
      </c>
    </row>
    <row r="1264" spans="2:13" x14ac:dyDescent="0.25">
      <c r="B1264" s="1">
        <v>0</v>
      </c>
      <c r="C1264" s="1">
        <v>0</v>
      </c>
      <c r="D1264" s="1">
        <v>1</v>
      </c>
      <c r="E1264" s="1">
        <v>0</v>
      </c>
      <c r="F1264" s="1">
        <v>0</v>
      </c>
      <c r="G1264" s="1">
        <v>0</v>
      </c>
      <c r="H1264" s="1">
        <v>2</v>
      </c>
      <c r="I1264" s="1">
        <v>0</v>
      </c>
      <c r="J1264" s="1">
        <v>0</v>
      </c>
      <c r="K1264" s="1">
        <v>0</v>
      </c>
      <c r="L1264" s="1">
        <v>1938</v>
      </c>
      <c r="M1264" s="1">
        <v>0</v>
      </c>
    </row>
    <row r="1265" spans="2:13" x14ac:dyDescent="0.25">
      <c r="B1265" s="1">
        <v>0</v>
      </c>
      <c r="C1265" s="1">
        <v>0</v>
      </c>
      <c r="D1265" s="1">
        <v>1</v>
      </c>
      <c r="E1265" s="1">
        <v>0</v>
      </c>
      <c r="F1265" s="1">
        <v>0</v>
      </c>
      <c r="G1265" s="1">
        <v>1</v>
      </c>
      <c r="H1265" s="1">
        <v>2</v>
      </c>
      <c r="I1265" s="1">
        <v>0</v>
      </c>
      <c r="J1265" s="1">
        <v>0</v>
      </c>
      <c r="K1265" s="1">
        <v>0</v>
      </c>
      <c r="L1265" s="1">
        <v>1814</v>
      </c>
      <c r="M1265" s="1">
        <v>0</v>
      </c>
    </row>
    <row r="1266" spans="2:13" x14ac:dyDescent="0.25">
      <c r="B1266" s="1">
        <v>0</v>
      </c>
      <c r="C1266" s="1">
        <v>0</v>
      </c>
      <c r="D1266" s="1">
        <v>1</v>
      </c>
      <c r="E1266" s="1">
        <v>0</v>
      </c>
      <c r="F1266" s="1">
        <v>0</v>
      </c>
      <c r="G1266" s="1">
        <v>1</v>
      </c>
      <c r="H1266" s="1">
        <v>2</v>
      </c>
      <c r="I1266" s="1">
        <v>0</v>
      </c>
      <c r="J1266" s="1">
        <v>0</v>
      </c>
      <c r="K1266" s="1">
        <v>0</v>
      </c>
      <c r="L1266" s="1">
        <v>1814</v>
      </c>
      <c r="M1266" s="1">
        <v>0</v>
      </c>
    </row>
    <row r="1267" spans="2:13" x14ac:dyDescent="0.25">
      <c r="B1267" s="1">
        <v>0</v>
      </c>
      <c r="C1267" s="1">
        <v>0</v>
      </c>
      <c r="D1267" s="1">
        <v>1</v>
      </c>
      <c r="E1267" s="1">
        <v>0</v>
      </c>
      <c r="F1267" s="1">
        <v>0</v>
      </c>
      <c r="G1267" s="1">
        <v>0</v>
      </c>
      <c r="H1267" s="1">
        <v>2</v>
      </c>
      <c r="I1267" s="1">
        <v>0</v>
      </c>
      <c r="J1267" s="1">
        <v>0</v>
      </c>
      <c r="K1267" s="1">
        <v>0</v>
      </c>
      <c r="L1267" s="1">
        <v>1936</v>
      </c>
      <c r="M1267" s="1">
        <v>0</v>
      </c>
    </row>
    <row r="1268" spans="2:13" x14ac:dyDescent="0.25">
      <c r="B1268" s="1">
        <v>0</v>
      </c>
      <c r="C1268" s="1">
        <v>0</v>
      </c>
      <c r="D1268" s="1">
        <v>1</v>
      </c>
      <c r="E1268" s="1">
        <v>0</v>
      </c>
      <c r="F1268" s="1">
        <v>0</v>
      </c>
      <c r="G1268" s="1">
        <v>1</v>
      </c>
      <c r="H1268" s="1">
        <v>5</v>
      </c>
      <c r="I1268" s="1">
        <v>0</v>
      </c>
      <c r="J1268" s="1">
        <v>1</v>
      </c>
      <c r="K1268" s="1">
        <v>0</v>
      </c>
      <c r="L1268" s="1">
        <v>4417</v>
      </c>
      <c r="M1268" s="1">
        <v>0</v>
      </c>
    </row>
    <row r="1269" spans="2:13" x14ac:dyDescent="0.25">
      <c r="B1269" s="1">
        <v>0</v>
      </c>
      <c r="C1269" s="1">
        <v>0</v>
      </c>
      <c r="D1269" s="1">
        <v>1</v>
      </c>
      <c r="E1269" s="1">
        <v>0</v>
      </c>
      <c r="F1269" s="1">
        <v>0</v>
      </c>
      <c r="G1269" s="1">
        <v>1</v>
      </c>
      <c r="H1269" s="1">
        <v>2</v>
      </c>
      <c r="I1269" s="1">
        <v>0</v>
      </c>
      <c r="J1269" s="1">
        <v>0</v>
      </c>
      <c r="K1269" s="1">
        <v>0</v>
      </c>
      <c r="L1269" s="1">
        <v>2160</v>
      </c>
      <c r="M1269" s="1">
        <v>0</v>
      </c>
    </row>
    <row r="1270" spans="2:13" x14ac:dyDescent="0.25">
      <c r="B1270" s="1">
        <v>0</v>
      </c>
      <c r="C1270" s="1">
        <v>0</v>
      </c>
      <c r="D1270" s="1">
        <v>1</v>
      </c>
      <c r="E1270" s="1">
        <v>0</v>
      </c>
      <c r="F1270" s="1">
        <v>0</v>
      </c>
      <c r="G1270" s="1">
        <v>0</v>
      </c>
      <c r="H1270" s="1">
        <v>2</v>
      </c>
      <c r="I1270" s="1">
        <v>0</v>
      </c>
      <c r="J1270" s="1">
        <v>0</v>
      </c>
      <c r="K1270" s="1">
        <v>0</v>
      </c>
      <c r="L1270" s="1">
        <v>1979</v>
      </c>
      <c r="M1270" s="1">
        <v>0</v>
      </c>
    </row>
    <row r="1271" spans="2:13" x14ac:dyDescent="0.25">
      <c r="B1271" s="1">
        <v>0</v>
      </c>
      <c r="C1271" s="1">
        <v>0</v>
      </c>
      <c r="D1271" s="1">
        <v>1</v>
      </c>
      <c r="E1271" s="1">
        <v>0</v>
      </c>
      <c r="F1271" s="1">
        <v>0</v>
      </c>
      <c r="G1271" s="1">
        <v>1</v>
      </c>
      <c r="H1271" s="1">
        <v>2</v>
      </c>
      <c r="I1271" s="1">
        <v>1</v>
      </c>
      <c r="J1271" s="1">
        <v>0</v>
      </c>
      <c r="K1271" s="1">
        <v>0</v>
      </c>
      <c r="L1271" s="1">
        <v>2649</v>
      </c>
      <c r="M1271" s="1">
        <v>0</v>
      </c>
    </row>
    <row r="1272" spans="2:13" x14ac:dyDescent="0.25">
      <c r="B1272" s="1">
        <v>0</v>
      </c>
      <c r="C1272" s="1">
        <v>0</v>
      </c>
      <c r="D1272" s="1">
        <v>1</v>
      </c>
      <c r="E1272" s="1">
        <v>0</v>
      </c>
      <c r="F1272" s="1">
        <v>0</v>
      </c>
      <c r="G1272" s="1">
        <v>1</v>
      </c>
      <c r="H1272" s="1">
        <v>2</v>
      </c>
      <c r="I1272" s="1">
        <v>0</v>
      </c>
      <c r="J1272" s="1">
        <v>0</v>
      </c>
      <c r="K1272" s="1">
        <v>0</v>
      </c>
      <c r="L1272" s="1">
        <v>1968</v>
      </c>
      <c r="M1272" s="1">
        <v>0</v>
      </c>
    </row>
    <row r="1273" spans="2:13" x14ac:dyDescent="0.25">
      <c r="B1273" s="1">
        <v>0</v>
      </c>
      <c r="C1273" s="1">
        <v>0</v>
      </c>
      <c r="D1273" s="1">
        <v>1</v>
      </c>
      <c r="E1273" s="1">
        <v>0</v>
      </c>
      <c r="F1273" s="1">
        <v>0</v>
      </c>
      <c r="G1273" s="1">
        <v>1</v>
      </c>
      <c r="H1273" s="1">
        <v>2</v>
      </c>
      <c r="I1273" s="1">
        <v>0</v>
      </c>
      <c r="J1273" s="1">
        <v>0</v>
      </c>
      <c r="K1273" s="1">
        <v>0</v>
      </c>
      <c r="L1273" s="1">
        <v>1689</v>
      </c>
      <c r="M1273" s="1">
        <v>0</v>
      </c>
    </row>
    <row r="1274" spans="2:13" x14ac:dyDescent="0.25">
      <c r="B1274" s="1">
        <v>0</v>
      </c>
      <c r="C1274" s="1">
        <v>0</v>
      </c>
      <c r="D1274" s="1">
        <v>1</v>
      </c>
      <c r="E1274" s="1">
        <v>0</v>
      </c>
      <c r="F1274" s="1">
        <v>0</v>
      </c>
      <c r="G1274" s="1">
        <v>1</v>
      </c>
      <c r="H1274" s="1">
        <v>2</v>
      </c>
      <c r="I1274" s="1">
        <v>0</v>
      </c>
      <c r="J1274" s="1">
        <v>0</v>
      </c>
      <c r="K1274" s="1">
        <v>0</v>
      </c>
      <c r="L1274" s="1">
        <v>1949</v>
      </c>
      <c r="M1274" s="1">
        <v>0</v>
      </c>
    </row>
    <row r="1275" spans="2:13" x14ac:dyDescent="0.25">
      <c r="B1275" s="1">
        <v>0</v>
      </c>
      <c r="C1275" s="1">
        <v>0</v>
      </c>
      <c r="D1275" s="1">
        <v>1</v>
      </c>
      <c r="E1275" s="1">
        <v>0</v>
      </c>
      <c r="F1275" s="1">
        <v>0</v>
      </c>
      <c r="G1275" s="1">
        <v>0</v>
      </c>
      <c r="H1275" s="1">
        <v>1</v>
      </c>
      <c r="I1275" s="1">
        <v>0</v>
      </c>
      <c r="J1275" s="1">
        <v>0</v>
      </c>
      <c r="K1275" s="1">
        <v>0</v>
      </c>
      <c r="L1275" s="1">
        <v>1524</v>
      </c>
      <c r="M1275" s="1">
        <v>0</v>
      </c>
    </row>
    <row r="1276" spans="2:13" x14ac:dyDescent="0.25">
      <c r="B1276" s="1">
        <v>0</v>
      </c>
      <c r="C1276" s="1">
        <v>0</v>
      </c>
      <c r="D1276" s="1">
        <v>1</v>
      </c>
      <c r="E1276" s="1">
        <v>0</v>
      </c>
      <c r="F1276" s="1">
        <v>0</v>
      </c>
      <c r="G1276" s="1">
        <v>0</v>
      </c>
      <c r="H1276" s="1">
        <v>5</v>
      </c>
      <c r="I1276" s="1">
        <v>0</v>
      </c>
      <c r="J1276" s="1">
        <v>0</v>
      </c>
      <c r="K1276" s="1">
        <v>0</v>
      </c>
      <c r="L1276" s="1">
        <v>8168</v>
      </c>
      <c r="M1276" s="1">
        <v>0</v>
      </c>
    </row>
    <row r="1277" spans="2:13" x14ac:dyDescent="0.25">
      <c r="B1277" s="1">
        <v>0</v>
      </c>
      <c r="C1277" s="1">
        <v>0</v>
      </c>
      <c r="D1277" s="1">
        <v>1</v>
      </c>
      <c r="E1277" s="1">
        <v>0</v>
      </c>
      <c r="F1277" s="1">
        <v>0</v>
      </c>
      <c r="G1277" s="1">
        <v>0</v>
      </c>
      <c r="H1277" s="1">
        <v>2</v>
      </c>
      <c r="I1277" s="1">
        <v>0</v>
      </c>
      <c r="J1277" s="1">
        <v>0</v>
      </c>
      <c r="K1277" s="1">
        <v>0</v>
      </c>
      <c r="L1277" s="1">
        <v>1689</v>
      </c>
      <c r="M1277" s="1">
        <v>0</v>
      </c>
    </row>
    <row r="1278" spans="2:13" x14ac:dyDescent="0.25">
      <c r="B1278" s="1">
        <v>0</v>
      </c>
      <c r="C1278" s="1">
        <v>0</v>
      </c>
      <c r="D1278" s="1">
        <v>1</v>
      </c>
      <c r="E1278" s="1">
        <v>0</v>
      </c>
      <c r="F1278" s="1">
        <v>0</v>
      </c>
      <c r="G1278" s="1">
        <v>0</v>
      </c>
      <c r="H1278" s="1">
        <v>2</v>
      </c>
      <c r="I1278" s="1">
        <v>0</v>
      </c>
      <c r="J1278" s="1">
        <v>0</v>
      </c>
      <c r="K1278" s="1">
        <v>0</v>
      </c>
      <c r="L1278" s="1">
        <v>1957</v>
      </c>
      <c r="M1278" s="1">
        <v>0</v>
      </c>
    </row>
    <row r="1279" spans="2:13" x14ac:dyDescent="0.25">
      <c r="B1279" s="1">
        <v>0</v>
      </c>
      <c r="C1279" s="1">
        <v>0</v>
      </c>
      <c r="D1279" s="1">
        <v>1</v>
      </c>
      <c r="E1279" s="1">
        <v>0</v>
      </c>
      <c r="F1279" s="1">
        <v>0</v>
      </c>
      <c r="G1279" s="1">
        <v>0</v>
      </c>
      <c r="H1279" s="1">
        <v>2</v>
      </c>
      <c r="I1279" s="1">
        <v>0</v>
      </c>
      <c r="J1279" s="1">
        <v>0</v>
      </c>
      <c r="K1279" s="1">
        <v>0</v>
      </c>
      <c r="L1279" s="1">
        <v>1951</v>
      </c>
      <c r="M1279" s="1">
        <v>0</v>
      </c>
    </row>
    <row r="1280" spans="2:13" x14ac:dyDescent="0.25">
      <c r="B1280" s="1">
        <v>0</v>
      </c>
      <c r="C1280" s="1">
        <v>0</v>
      </c>
      <c r="D1280" s="1">
        <v>1</v>
      </c>
      <c r="E1280" s="1">
        <v>0</v>
      </c>
      <c r="F1280" s="1">
        <v>0</v>
      </c>
      <c r="G1280" s="1">
        <v>0</v>
      </c>
      <c r="H1280" s="1">
        <v>2</v>
      </c>
      <c r="I1280" s="1">
        <v>0</v>
      </c>
      <c r="J1280" s="1">
        <v>0</v>
      </c>
      <c r="K1280" s="1">
        <v>0</v>
      </c>
      <c r="L1280" s="1">
        <v>1689</v>
      </c>
      <c r="M1280" s="1">
        <v>0</v>
      </c>
    </row>
    <row r="1281" spans="2:13" x14ac:dyDescent="0.25">
      <c r="B1281" s="1">
        <v>0</v>
      </c>
      <c r="C1281" s="1">
        <v>0</v>
      </c>
      <c r="D1281" s="1">
        <v>1</v>
      </c>
      <c r="E1281" s="1">
        <v>0</v>
      </c>
      <c r="F1281" s="1">
        <v>0</v>
      </c>
      <c r="G1281" s="1">
        <v>1</v>
      </c>
      <c r="H1281" s="1">
        <v>2</v>
      </c>
      <c r="I1281" s="1">
        <v>0</v>
      </c>
      <c r="J1281" s="1">
        <v>0</v>
      </c>
      <c r="K1281" s="1">
        <v>0</v>
      </c>
      <c r="L1281" s="1">
        <v>1897</v>
      </c>
      <c r="M1281" s="1">
        <v>0</v>
      </c>
    </row>
    <row r="1282" spans="2:13" x14ac:dyDescent="0.25">
      <c r="B1282" s="1">
        <v>0</v>
      </c>
      <c r="C1282" s="1">
        <v>0</v>
      </c>
      <c r="D1282" s="1">
        <v>1</v>
      </c>
      <c r="E1282" s="1">
        <v>0</v>
      </c>
      <c r="F1282" s="1">
        <v>0</v>
      </c>
      <c r="G1282" s="1">
        <v>0</v>
      </c>
      <c r="H1282" s="1">
        <v>7</v>
      </c>
      <c r="I1282" s="1">
        <v>0</v>
      </c>
      <c r="J1282" s="1">
        <v>0</v>
      </c>
      <c r="K1282" s="1">
        <v>0</v>
      </c>
      <c r="L1282" s="1">
        <v>12605</v>
      </c>
      <c r="M1282" s="1">
        <v>0</v>
      </c>
    </row>
    <row r="1283" spans="2:13" x14ac:dyDescent="0.25">
      <c r="B1283" s="1">
        <v>0</v>
      </c>
      <c r="C1283" s="1">
        <v>0</v>
      </c>
      <c r="D1283" s="1">
        <v>1</v>
      </c>
      <c r="E1283" s="1">
        <v>0</v>
      </c>
      <c r="F1283" s="1">
        <v>0</v>
      </c>
      <c r="G1283" s="1">
        <v>0</v>
      </c>
      <c r="H1283" s="1">
        <v>2</v>
      </c>
      <c r="I1283" s="1">
        <v>0</v>
      </c>
      <c r="J1283" s="1">
        <v>0</v>
      </c>
      <c r="K1283" s="1">
        <v>0</v>
      </c>
      <c r="L1283" s="1">
        <v>1855</v>
      </c>
      <c r="M1283" s="1">
        <v>0</v>
      </c>
    </row>
    <row r="1284" spans="2:13" x14ac:dyDescent="0.25">
      <c r="B1284" s="1">
        <v>0</v>
      </c>
      <c r="C1284" s="1">
        <v>0</v>
      </c>
      <c r="D1284" s="1">
        <v>1</v>
      </c>
      <c r="E1284" s="1">
        <v>0</v>
      </c>
      <c r="F1284" s="1">
        <v>0</v>
      </c>
      <c r="G1284" s="1">
        <v>1</v>
      </c>
      <c r="H1284" s="1">
        <v>2</v>
      </c>
      <c r="I1284" s="1">
        <v>0</v>
      </c>
      <c r="J1284" s="1">
        <v>0</v>
      </c>
      <c r="K1284" s="1">
        <v>0</v>
      </c>
      <c r="L1284" s="1">
        <v>1814</v>
      </c>
      <c r="M1284" s="1">
        <v>0</v>
      </c>
    </row>
    <row r="1285" spans="2:13" x14ac:dyDescent="0.25">
      <c r="B1285" s="1">
        <v>0</v>
      </c>
      <c r="C1285" s="1">
        <v>0</v>
      </c>
      <c r="D1285" s="1">
        <v>1</v>
      </c>
      <c r="E1285" s="1">
        <v>0</v>
      </c>
      <c r="F1285" s="1">
        <v>0</v>
      </c>
      <c r="G1285" s="1">
        <v>0</v>
      </c>
      <c r="H1285" s="1">
        <v>0</v>
      </c>
      <c r="I1285" s="1">
        <v>0</v>
      </c>
      <c r="J1285" s="1">
        <v>0</v>
      </c>
      <c r="K1285" s="1">
        <v>0</v>
      </c>
      <c r="L1285" s="1">
        <v>3351</v>
      </c>
      <c r="M1285" s="1">
        <v>0</v>
      </c>
    </row>
    <row r="1286" spans="2:13" x14ac:dyDescent="0.25">
      <c r="B1286" s="1">
        <v>0</v>
      </c>
      <c r="C1286" s="1">
        <v>0</v>
      </c>
      <c r="D1286" s="1">
        <v>1</v>
      </c>
      <c r="E1286" s="1">
        <v>0</v>
      </c>
      <c r="F1286" s="1">
        <v>0</v>
      </c>
      <c r="G1286" s="1">
        <v>0</v>
      </c>
      <c r="H1286" s="1">
        <v>3</v>
      </c>
      <c r="I1286" s="1">
        <v>0</v>
      </c>
      <c r="J1286" s="1">
        <v>0</v>
      </c>
      <c r="K1286" s="1">
        <v>0</v>
      </c>
      <c r="L1286" s="1">
        <v>2848</v>
      </c>
      <c r="M1286" s="1">
        <v>0</v>
      </c>
    </row>
    <row r="1287" spans="2:13" x14ac:dyDescent="0.25">
      <c r="B1287" s="1">
        <v>0</v>
      </c>
      <c r="C1287" s="1">
        <v>0</v>
      </c>
      <c r="D1287" s="1">
        <v>1</v>
      </c>
      <c r="E1287" s="1">
        <v>0</v>
      </c>
      <c r="F1287" s="1">
        <v>0</v>
      </c>
      <c r="G1287" s="1">
        <v>0</v>
      </c>
      <c r="H1287" s="1">
        <v>3</v>
      </c>
      <c r="I1287" s="1">
        <v>0</v>
      </c>
      <c r="J1287" s="1">
        <v>0</v>
      </c>
      <c r="K1287" s="1">
        <v>0</v>
      </c>
      <c r="L1287" s="1">
        <v>5099</v>
      </c>
      <c r="M1287" s="1">
        <v>0</v>
      </c>
    </row>
    <row r="1288" spans="2:13" x14ac:dyDescent="0.25">
      <c r="B1288" s="1">
        <v>0</v>
      </c>
      <c r="C1288" s="1">
        <v>0</v>
      </c>
      <c r="D1288" s="1">
        <v>1</v>
      </c>
      <c r="E1288" s="1">
        <v>0</v>
      </c>
      <c r="F1288" s="1">
        <v>0</v>
      </c>
      <c r="G1288" s="1">
        <v>0</v>
      </c>
      <c r="H1288" s="1">
        <v>2</v>
      </c>
      <c r="I1288" s="1">
        <v>0</v>
      </c>
      <c r="J1288" s="1">
        <v>0</v>
      </c>
      <c r="K1288" s="1">
        <v>0</v>
      </c>
      <c r="L1288" s="1">
        <v>2964</v>
      </c>
      <c r="M1288" s="1">
        <v>0</v>
      </c>
    </row>
    <row r="1289" spans="2:13" x14ac:dyDescent="0.25">
      <c r="B1289" s="1">
        <v>0</v>
      </c>
      <c r="C1289" s="1">
        <v>0</v>
      </c>
      <c r="D1289" s="1">
        <v>1</v>
      </c>
      <c r="E1289" s="1">
        <v>0</v>
      </c>
      <c r="F1289" s="1">
        <v>0</v>
      </c>
      <c r="G1289" s="1">
        <v>0</v>
      </c>
      <c r="H1289" s="1">
        <v>6</v>
      </c>
      <c r="I1289" s="1">
        <v>0</v>
      </c>
      <c r="J1289" s="1">
        <v>0</v>
      </c>
      <c r="K1289" s="1">
        <v>0</v>
      </c>
      <c r="L1289" s="1">
        <v>7770</v>
      </c>
      <c r="M1289" s="1">
        <v>0</v>
      </c>
    </row>
    <row r="1290" spans="2:13" x14ac:dyDescent="0.25">
      <c r="B1290" s="1">
        <v>0</v>
      </c>
      <c r="C1290" s="1">
        <v>0</v>
      </c>
      <c r="D1290" s="1">
        <v>1</v>
      </c>
      <c r="E1290" s="1">
        <v>0</v>
      </c>
      <c r="F1290" s="1">
        <v>0</v>
      </c>
      <c r="G1290" s="1">
        <v>1</v>
      </c>
      <c r="H1290" s="1">
        <v>2</v>
      </c>
      <c r="I1290" s="1">
        <v>0</v>
      </c>
      <c r="J1290" s="1">
        <v>1</v>
      </c>
      <c r="K1290" s="1">
        <v>0</v>
      </c>
      <c r="L1290" s="1">
        <v>3055</v>
      </c>
      <c r="M1290" s="1">
        <v>0</v>
      </c>
    </row>
    <row r="1291" spans="2:13" x14ac:dyDescent="0.25">
      <c r="B1291" s="1">
        <v>0</v>
      </c>
      <c r="C1291" s="1">
        <v>0</v>
      </c>
      <c r="D1291" s="1">
        <v>1</v>
      </c>
      <c r="E1291" s="1">
        <v>0</v>
      </c>
      <c r="F1291" s="1">
        <v>0</v>
      </c>
      <c r="G1291" s="1">
        <v>0</v>
      </c>
      <c r="H1291" s="1">
        <v>3</v>
      </c>
      <c r="I1291" s="1">
        <v>0</v>
      </c>
      <c r="J1291" s="1">
        <v>0</v>
      </c>
      <c r="K1291" s="1">
        <v>0</v>
      </c>
      <c r="L1291" s="1">
        <v>2421</v>
      </c>
      <c r="M1291" s="1">
        <v>0</v>
      </c>
    </row>
    <row r="1292" spans="2:13" x14ac:dyDescent="0.25">
      <c r="B1292" s="1">
        <v>0</v>
      </c>
      <c r="C1292" s="1">
        <v>0</v>
      </c>
      <c r="D1292" s="1">
        <v>1</v>
      </c>
      <c r="E1292" s="1">
        <v>0</v>
      </c>
      <c r="F1292" s="1">
        <v>0</v>
      </c>
      <c r="G1292" s="1">
        <v>0</v>
      </c>
      <c r="H1292" s="1">
        <v>2</v>
      </c>
      <c r="I1292" s="1">
        <v>0</v>
      </c>
      <c r="J1292" s="1">
        <v>0</v>
      </c>
      <c r="K1292" s="1">
        <v>0</v>
      </c>
      <c r="L1292" s="1">
        <v>2783</v>
      </c>
      <c r="M1292" s="1">
        <v>0</v>
      </c>
    </row>
    <row r="1293" spans="2:13" x14ac:dyDescent="0.25">
      <c r="B1293" s="1">
        <v>0</v>
      </c>
      <c r="C1293" s="1">
        <v>0</v>
      </c>
      <c r="D1293" s="1">
        <v>1</v>
      </c>
      <c r="E1293" s="1">
        <v>0</v>
      </c>
      <c r="F1293" s="1">
        <v>0</v>
      </c>
      <c r="G1293" s="1">
        <v>0</v>
      </c>
      <c r="H1293" s="1">
        <v>7</v>
      </c>
      <c r="I1293" s="1">
        <v>0</v>
      </c>
      <c r="J1293" s="1">
        <v>0</v>
      </c>
      <c r="K1293" s="1">
        <v>0</v>
      </c>
      <c r="L1293" s="1">
        <v>12204</v>
      </c>
      <c r="M1293" s="1">
        <v>0</v>
      </c>
    </row>
    <row r="1294" spans="2:13" x14ac:dyDescent="0.25">
      <c r="B1294" s="1">
        <v>0</v>
      </c>
      <c r="C1294" s="1">
        <v>0</v>
      </c>
      <c r="D1294" s="1">
        <v>1</v>
      </c>
      <c r="E1294" s="1">
        <v>0</v>
      </c>
      <c r="F1294" s="1">
        <v>0</v>
      </c>
      <c r="G1294" s="1">
        <v>0</v>
      </c>
      <c r="H1294" s="1">
        <v>2</v>
      </c>
      <c r="I1294" s="1">
        <v>0</v>
      </c>
      <c r="J1294" s="1">
        <v>0</v>
      </c>
      <c r="K1294" s="1">
        <v>0</v>
      </c>
      <c r="L1294" s="1">
        <v>2189</v>
      </c>
      <c r="M1294" s="1">
        <v>0</v>
      </c>
    </row>
    <row r="1295" spans="2:13" x14ac:dyDescent="0.25">
      <c r="B1295" s="1">
        <v>0</v>
      </c>
      <c r="C1295" s="1">
        <v>0</v>
      </c>
      <c r="D1295" s="1">
        <v>1</v>
      </c>
      <c r="E1295" s="1">
        <v>0</v>
      </c>
      <c r="F1295" s="1">
        <v>0</v>
      </c>
      <c r="G1295" s="1">
        <v>0</v>
      </c>
      <c r="H1295" s="1">
        <v>2</v>
      </c>
      <c r="I1295" s="1">
        <v>0</v>
      </c>
      <c r="J1295" s="1">
        <v>0</v>
      </c>
      <c r="K1295" s="1">
        <v>0</v>
      </c>
      <c r="L1295" s="1">
        <v>1772</v>
      </c>
      <c r="M1295" s="1">
        <v>0</v>
      </c>
    </row>
    <row r="1296" spans="2:13" x14ac:dyDescent="0.25">
      <c r="B1296" s="1">
        <v>0</v>
      </c>
      <c r="C1296" s="1">
        <v>0</v>
      </c>
      <c r="D1296" s="1">
        <v>1</v>
      </c>
      <c r="E1296" s="1">
        <v>0</v>
      </c>
      <c r="F1296" s="1">
        <v>0</v>
      </c>
      <c r="G1296" s="1">
        <v>1</v>
      </c>
      <c r="H1296" s="1">
        <v>4</v>
      </c>
      <c r="I1296" s="1">
        <v>0</v>
      </c>
      <c r="J1296" s="1">
        <v>0</v>
      </c>
      <c r="K1296" s="1">
        <v>0</v>
      </c>
      <c r="L1296" s="1">
        <v>3961</v>
      </c>
      <c r="M1296" s="1">
        <v>0</v>
      </c>
    </row>
    <row r="1297" spans="2:13" x14ac:dyDescent="0.25">
      <c r="B1297" s="1">
        <v>0</v>
      </c>
      <c r="C1297" s="1">
        <v>0</v>
      </c>
      <c r="D1297" s="1">
        <v>1</v>
      </c>
      <c r="E1297" s="1">
        <v>0</v>
      </c>
      <c r="F1297" s="1">
        <v>0</v>
      </c>
      <c r="G1297" s="1">
        <v>1</v>
      </c>
      <c r="H1297" s="1">
        <v>2</v>
      </c>
      <c r="I1297" s="1">
        <v>0</v>
      </c>
      <c r="J1297" s="1">
        <v>0</v>
      </c>
      <c r="K1297" s="1">
        <v>0</v>
      </c>
      <c r="L1297" s="1">
        <v>2366</v>
      </c>
      <c r="M1297" s="1">
        <v>0</v>
      </c>
    </row>
    <row r="1298" spans="2:13" x14ac:dyDescent="0.25">
      <c r="B1298" s="1">
        <v>0</v>
      </c>
      <c r="C1298" s="1">
        <v>0</v>
      </c>
      <c r="D1298" s="1">
        <v>1</v>
      </c>
      <c r="E1298" s="1">
        <v>0</v>
      </c>
      <c r="F1298" s="1">
        <v>0</v>
      </c>
      <c r="G1298" s="1">
        <v>1</v>
      </c>
      <c r="H1298" s="1">
        <v>4</v>
      </c>
      <c r="I1298" s="1">
        <v>1</v>
      </c>
      <c r="J1298" s="1">
        <v>0</v>
      </c>
      <c r="K1298" s="1">
        <v>0</v>
      </c>
      <c r="L1298" s="1">
        <v>6312</v>
      </c>
      <c r="M1298" s="1">
        <v>0</v>
      </c>
    </row>
    <row r="1299" spans="2:13" x14ac:dyDescent="0.25">
      <c r="B1299" s="1">
        <v>0</v>
      </c>
      <c r="C1299" s="1">
        <v>0</v>
      </c>
      <c r="D1299" s="1">
        <v>1</v>
      </c>
      <c r="E1299" s="1">
        <v>0</v>
      </c>
      <c r="F1299" s="1">
        <v>0</v>
      </c>
      <c r="G1299" s="1">
        <v>0</v>
      </c>
      <c r="H1299" s="1">
        <v>2</v>
      </c>
      <c r="I1299" s="1">
        <v>0</v>
      </c>
      <c r="J1299" s="1">
        <v>0</v>
      </c>
      <c r="K1299" s="1">
        <v>0</v>
      </c>
      <c r="L1299" s="1">
        <v>1868</v>
      </c>
      <c r="M1299" s="1">
        <v>0</v>
      </c>
    </row>
    <row r="1300" spans="2:13" x14ac:dyDescent="0.25">
      <c r="B1300" s="1">
        <v>0</v>
      </c>
      <c r="C1300" s="1">
        <v>0</v>
      </c>
      <c r="D1300" s="1">
        <v>1</v>
      </c>
      <c r="E1300" s="1">
        <v>0</v>
      </c>
      <c r="F1300" s="1">
        <v>0</v>
      </c>
      <c r="G1300" s="1">
        <v>1</v>
      </c>
      <c r="H1300" s="1">
        <v>2</v>
      </c>
      <c r="I1300" s="1">
        <v>0</v>
      </c>
      <c r="J1300" s="1">
        <v>0</v>
      </c>
      <c r="K1300" s="1">
        <v>0</v>
      </c>
      <c r="L1300" s="1">
        <v>2000</v>
      </c>
      <c r="M1300" s="1">
        <v>0</v>
      </c>
    </row>
    <row r="1301" spans="2:13" x14ac:dyDescent="0.25">
      <c r="B1301" s="1">
        <v>0</v>
      </c>
      <c r="C1301" s="1">
        <v>0</v>
      </c>
      <c r="D1301" s="1">
        <v>1</v>
      </c>
      <c r="E1301" s="1">
        <v>0</v>
      </c>
      <c r="F1301" s="1">
        <v>0</v>
      </c>
      <c r="G1301" s="1">
        <v>0</v>
      </c>
      <c r="H1301" s="1">
        <v>6</v>
      </c>
      <c r="I1301" s="1">
        <v>1</v>
      </c>
      <c r="J1301" s="1">
        <v>0</v>
      </c>
      <c r="K1301" s="1">
        <v>0</v>
      </c>
      <c r="L1301" s="1">
        <v>12307</v>
      </c>
      <c r="M1301" s="1">
        <v>0</v>
      </c>
    </row>
    <row r="1302" spans="2:13" x14ac:dyDescent="0.25">
      <c r="B1302" s="1">
        <v>0</v>
      </c>
      <c r="C1302" s="1">
        <v>0</v>
      </c>
      <c r="D1302" s="1">
        <v>1</v>
      </c>
      <c r="E1302" s="1">
        <v>0</v>
      </c>
      <c r="F1302" s="1">
        <v>0</v>
      </c>
      <c r="G1302" s="1">
        <v>1</v>
      </c>
      <c r="H1302" s="1">
        <v>3</v>
      </c>
      <c r="I1302" s="1">
        <v>0</v>
      </c>
      <c r="J1302" s="1">
        <v>0</v>
      </c>
      <c r="K1302" s="1">
        <v>0</v>
      </c>
      <c r="L1302" s="1">
        <v>3053</v>
      </c>
      <c r="M1302" s="1">
        <v>0</v>
      </c>
    </row>
    <row r="1303" spans="2:13" x14ac:dyDescent="0.25">
      <c r="B1303" s="1">
        <v>0</v>
      </c>
      <c r="C1303" s="1">
        <v>0</v>
      </c>
      <c r="D1303" s="1">
        <v>1</v>
      </c>
      <c r="E1303" s="1">
        <v>0</v>
      </c>
      <c r="F1303" s="1">
        <v>0</v>
      </c>
      <c r="G1303" s="1">
        <v>0</v>
      </c>
      <c r="H1303" s="1">
        <v>7</v>
      </c>
      <c r="I1303" s="1">
        <v>0</v>
      </c>
      <c r="J1303" s="1">
        <v>0</v>
      </c>
      <c r="K1303" s="1">
        <v>0</v>
      </c>
      <c r="L1303" s="1">
        <v>14442</v>
      </c>
      <c r="M1303" s="1">
        <v>0</v>
      </c>
    </row>
    <row r="1304" spans="2:13" x14ac:dyDescent="0.25">
      <c r="B1304" s="1">
        <v>0</v>
      </c>
      <c r="C1304" s="1">
        <v>0</v>
      </c>
      <c r="D1304" s="1">
        <v>1</v>
      </c>
      <c r="E1304" s="1">
        <v>0</v>
      </c>
      <c r="F1304" s="1">
        <v>0</v>
      </c>
      <c r="G1304" s="1">
        <v>1</v>
      </c>
      <c r="H1304" s="1">
        <v>3</v>
      </c>
      <c r="I1304" s="1">
        <v>0</v>
      </c>
      <c r="J1304" s="1">
        <v>0</v>
      </c>
      <c r="K1304" s="1">
        <v>0</v>
      </c>
      <c r="L1304" s="1">
        <v>2624</v>
      </c>
      <c r="M1304" s="1">
        <v>0</v>
      </c>
    </row>
    <row r="1305" spans="2:13" x14ac:dyDescent="0.25">
      <c r="B1305" s="1">
        <v>0</v>
      </c>
      <c r="C1305" s="1">
        <v>0</v>
      </c>
      <c r="D1305" s="1">
        <v>1</v>
      </c>
      <c r="E1305" s="1">
        <v>0</v>
      </c>
      <c r="F1305" s="1">
        <v>0</v>
      </c>
      <c r="G1305" s="1">
        <v>1</v>
      </c>
      <c r="H1305" s="1">
        <v>2</v>
      </c>
      <c r="I1305" s="1">
        <v>0</v>
      </c>
      <c r="J1305" s="1">
        <v>0</v>
      </c>
      <c r="K1305" s="1">
        <v>0</v>
      </c>
      <c r="L1305" s="1">
        <v>2336</v>
      </c>
      <c r="M1305" s="1">
        <v>0</v>
      </c>
    </row>
    <row r="1306" spans="2:13" x14ac:dyDescent="0.25">
      <c r="B1306" s="1">
        <v>0</v>
      </c>
      <c r="C1306" s="1">
        <v>0</v>
      </c>
      <c r="D1306" s="1">
        <v>1</v>
      </c>
      <c r="E1306" s="1">
        <v>0</v>
      </c>
      <c r="F1306" s="1">
        <v>0</v>
      </c>
      <c r="G1306" s="1">
        <v>0</v>
      </c>
      <c r="H1306" s="1">
        <v>3</v>
      </c>
      <c r="I1306" s="1">
        <v>0</v>
      </c>
      <c r="J1306" s="1">
        <v>1</v>
      </c>
      <c r="K1306" s="1">
        <v>0</v>
      </c>
      <c r="L1306" s="1">
        <v>3806</v>
      </c>
      <c r="M1306" s="1">
        <v>0</v>
      </c>
    </row>
    <row r="1307" spans="2:13" x14ac:dyDescent="0.25">
      <c r="B1307" s="1">
        <v>0</v>
      </c>
      <c r="C1307" s="1">
        <v>0</v>
      </c>
      <c r="D1307" s="1">
        <v>1</v>
      </c>
      <c r="E1307" s="1">
        <v>0</v>
      </c>
      <c r="F1307" s="1">
        <v>0</v>
      </c>
      <c r="G1307" s="1">
        <v>1</v>
      </c>
      <c r="H1307" s="1">
        <v>3</v>
      </c>
      <c r="I1307" s="1">
        <v>0</v>
      </c>
      <c r="J1307" s="1">
        <v>0</v>
      </c>
      <c r="K1307" s="1">
        <v>0</v>
      </c>
      <c r="L1307" s="1">
        <v>3017</v>
      </c>
      <c r="M1307" s="1">
        <v>0</v>
      </c>
    </row>
    <row r="1308" spans="2:13" x14ac:dyDescent="0.25">
      <c r="B1308" s="1">
        <v>0</v>
      </c>
      <c r="C1308" s="1">
        <v>0</v>
      </c>
      <c r="D1308" s="1">
        <v>1</v>
      </c>
      <c r="E1308" s="1">
        <v>0</v>
      </c>
      <c r="F1308" s="1">
        <v>0</v>
      </c>
      <c r="G1308" s="1">
        <v>0</v>
      </c>
      <c r="H1308" s="1">
        <v>2</v>
      </c>
      <c r="I1308" s="1">
        <v>0</v>
      </c>
      <c r="J1308" s="1">
        <v>0</v>
      </c>
      <c r="K1308" s="1">
        <v>0</v>
      </c>
      <c r="L1308" s="1">
        <v>3186</v>
      </c>
      <c r="M1308" s="1">
        <v>0</v>
      </c>
    </row>
    <row r="1309" spans="2:13" x14ac:dyDescent="0.25">
      <c r="B1309" s="1">
        <v>0</v>
      </c>
      <c r="C1309" s="1">
        <v>0</v>
      </c>
      <c r="D1309" s="1">
        <v>1</v>
      </c>
      <c r="E1309" s="1">
        <v>0</v>
      </c>
      <c r="F1309" s="1">
        <v>0</v>
      </c>
      <c r="G1309" s="1">
        <v>1</v>
      </c>
      <c r="H1309" s="1">
        <v>2</v>
      </c>
      <c r="I1309" s="1">
        <v>0</v>
      </c>
      <c r="J1309" s="1">
        <v>0</v>
      </c>
      <c r="K1309" s="1">
        <v>0</v>
      </c>
      <c r="L1309" s="1">
        <v>1975</v>
      </c>
      <c r="M1309" s="1">
        <v>0</v>
      </c>
    </row>
    <row r="1310" spans="2:13" x14ac:dyDescent="0.25">
      <c r="B1310" s="1">
        <v>0</v>
      </c>
      <c r="C1310" s="1">
        <v>0</v>
      </c>
      <c r="D1310" s="1">
        <v>1</v>
      </c>
      <c r="E1310" s="1">
        <v>0</v>
      </c>
      <c r="F1310" s="1">
        <v>0</v>
      </c>
      <c r="G1310" s="1">
        <v>1</v>
      </c>
      <c r="H1310" s="1">
        <v>2</v>
      </c>
      <c r="I1310" s="1">
        <v>0</v>
      </c>
      <c r="J1310" s="1">
        <v>0</v>
      </c>
      <c r="K1310" s="1">
        <v>0</v>
      </c>
      <c r="L1310" s="1">
        <v>2029</v>
      </c>
      <c r="M1310" s="1">
        <v>0</v>
      </c>
    </row>
    <row r="1311" spans="2:13" x14ac:dyDescent="0.25">
      <c r="B1311" s="1">
        <v>0</v>
      </c>
      <c r="C1311" s="1">
        <v>0</v>
      </c>
      <c r="D1311" s="1">
        <v>0.9</v>
      </c>
      <c r="E1311" s="1">
        <v>9.9999999999999992E-2</v>
      </c>
      <c r="F1311" s="1">
        <v>0</v>
      </c>
      <c r="G1311" s="1">
        <v>0</v>
      </c>
      <c r="H1311" s="1">
        <v>14</v>
      </c>
      <c r="I1311" s="1">
        <v>0</v>
      </c>
      <c r="J1311" s="1">
        <v>0</v>
      </c>
      <c r="K1311" s="1">
        <v>0</v>
      </c>
      <c r="L1311" s="1">
        <v>21194</v>
      </c>
      <c r="M1311" s="1">
        <v>0</v>
      </c>
    </row>
    <row r="1312" spans="2:13" x14ac:dyDescent="0.25">
      <c r="B1312" s="1">
        <v>0</v>
      </c>
      <c r="C1312" s="1">
        <v>0</v>
      </c>
      <c r="D1312" s="1">
        <v>1</v>
      </c>
      <c r="E1312" s="1">
        <v>0</v>
      </c>
      <c r="F1312" s="1">
        <v>0</v>
      </c>
      <c r="G1312" s="1">
        <v>1</v>
      </c>
      <c r="H1312" s="1">
        <v>3</v>
      </c>
      <c r="I1312" s="1">
        <v>0</v>
      </c>
      <c r="J1312" s="1">
        <v>0</v>
      </c>
      <c r="K1312" s="1">
        <v>0</v>
      </c>
      <c r="L1312" s="1">
        <v>2981</v>
      </c>
      <c r="M1312" s="1">
        <v>0</v>
      </c>
    </row>
    <row r="1313" spans="2:13" x14ac:dyDescent="0.25">
      <c r="B1313" s="1">
        <v>0</v>
      </c>
      <c r="C1313" s="1">
        <v>0</v>
      </c>
      <c r="D1313" s="1">
        <v>1</v>
      </c>
      <c r="E1313" s="1">
        <v>0</v>
      </c>
      <c r="F1313" s="1">
        <v>0</v>
      </c>
      <c r="G1313" s="1">
        <v>0</v>
      </c>
      <c r="H1313" s="1">
        <v>3</v>
      </c>
      <c r="I1313" s="1">
        <v>0</v>
      </c>
      <c r="J1313" s="1">
        <v>0</v>
      </c>
      <c r="K1313" s="1">
        <v>0</v>
      </c>
      <c r="L1313" s="1">
        <v>3578</v>
      </c>
      <c r="M1313" s="1">
        <v>0</v>
      </c>
    </row>
    <row r="1314" spans="2:13" x14ac:dyDescent="0.25">
      <c r="B1314" s="1">
        <v>0</v>
      </c>
      <c r="C1314" s="1">
        <v>0</v>
      </c>
      <c r="D1314" s="1">
        <v>1</v>
      </c>
      <c r="E1314" s="1">
        <v>0</v>
      </c>
      <c r="F1314" s="1">
        <v>0</v>
      </c>
      <c r="G1314" s="1">
        <v>1</v>
      </c>
      <c r="H1314" s="1">
        <v>2</v>
      </c>
      <c r="I1314" s="1">
        <v>0</v>
      </c>
      <c r="J1314" s="1">
        <v>0</v>
      </c>
      <c r="K1314" s="1">
        <v>0</v>
      </c>
      <c r="L1314" s="1">
        <v>2275</v>
      </c>
      <c r="M1314" s="1">
        <v>0</v>
      </c>
    </row>
    <row r="1315" spans="2:13" x14ac:dyDescent="0.25">
      <c r="B1315" s="1">
        <v>0</v>
      </c>
      <c r="C1315" s="1">
        <v>0</v>
      </c>
      <c r="D1315" s="1">
        <v>1</v>
      </c>
      <c r="E1315" s="1">
        <v>0</v>
      </c>
      <c r="F1315" s="1">
        <v>0</v>
      </c>
      <c r="G1315" s="1">
        <v>1</v>
      </c>
      <c r="H1315" s="1">
        <v>2</v>
      </c>
      <c r="I1315" s="1">
        <v>0</v>
      </c>
      <c r="J1315" s="1">
        <v>0</v>
      </c>
      <c r="K1315" s="1">
        <v>0</v>
      </c>
      <c r="L1315" s="1">
        <v>2537</v>
      </c>
      <c r="M1315" s="1">
        <v>0</v>
      </c>
    </row>
    <row r="1316" spans="2:13" x14ac:dyDescent="0.25">
      <c r="B1316" s="1">
        <v>0</v>
      </c>
      <c r="C1316" s="1">
        <v>0</v>
      </c>
      <c r="D1316" s="1">
        <v>1</v>
      </c>
      <c r="E1316" s="1">
        <v>0</v>
      </c>
      <c r="F1316" s="1">
        <v>0</v>
      </c>
      <c r="G1316" s="1">
        <v>1</v>
      </c>
      <c r="H1316" s="1">
        <v>2</v>
      </c>
      <c r="I1316" s="1">
        <v>0</v>
      </c>
      <c r="J1316" s="1">
        <v>0</v>
      </c>
      <c r="K1316" s="1">
        <v>0</v>
      </c>
      <c r="L1316" s="1">
        <v>2466</v>
      </c>
      <c r="M1316" s="1">
        <v>0</v>
      </c>
    </row>
    <row r="1317" spans="2:13" x14ac:dyDescent="0.25">
      <c r="B1317" s="1">
        <v>0</v>
      </c>
      <c r="C1317" s="1">
        <v>0</v>
      </c>
      <c r="D1317" s="1">
        <v>1</v>
      </c>
      <c r="E1317" s="1">
        <v>0</v>
      </c>
      <c r="F1317" s="1">
        <v>0</v>
      </c>
      <c r="G1317" s="1">
        <v>0</v>
      </c>
      <c r="H1317" s="1">
        <v>2</v>
      </c>
      <c r="I1317" s="1">
        <v>0</v>
      </c>
      <c r="J1317" s="1">
        <v>0</v>
      </c>
      <c r="K1317" s="1">
        <v>0</v>
      </c>
      <c r="L1317" s="1">
        <v>1975</v>
      </c>
      <c r="M1317" s="1">
        <v>0</v>
      </c>
    </row>
    <row r="1318" spans="2:13" x14ac:dyDescent="0.25">
      <c r="B1318" s="1">
        <v>0</v>
      </c>
      <c r="C1318" s="1">
        <v>0</v>
      </c>
      <c r="D1318" s="1">
        <v>1</v>
      </c>
      <c r="E1318" s="1">
        <v>0</v>
      </c>
      <c r="F1318" s="1">
        <v>0</v>
      </c>
      <c r="G1318" s="1">
        <v>0</v>
      </c>
      <c r="H1318" s="1">
        <v>2</v>
      </c>
      <c r="I1318" s="1">
        <v>0</v>
      </c>
      <c r="J1318" s="1">
        <v>0</v>
      </c>
      <c r="K1318" s="1">
        <v>0</v>
      </c>
      <c r="L1318" s="1">
        <v>2752</v>
      </c>
      <c r="M1318" s="1">
        <v>0</v>
      </c>
    </row>
    <row r="1319" spans="2:13" x14ac:dyDescent="0.25">
      <c r="B1319" s="1">
        <v>0</v>
      </c>
      <c r="C1319" s="1">
        <v>0</v>
      </c>
      <c r="D1319" s="1">
        <v>1</v>
      </c>
      <c r="E1319" s="1">
        <v>0</v>
      </c>
      <c r="F1319" s="1">
        <v>0</v>
      </c>
      <c r="G1319" s="1">
        <v>0</v>
      </c>
      <c r="H1319" s="1">
        <v>4</v>
      </c>
      <c r="I1319" s="1">
        <v>0</v>
      </c>
      <c r="J1319" s="1">
        <v>0</v>
      </c>
      <c r="K1319" s="1">
        <v>0</v>
      </c>
      <c r="L1319" s="1">
        <v>3402</v>
      </c>
      <c r="M1319" s="1">
        <v>0</v>
      </c>
    </row>
    <row r="1320" spans="2:13" x14ac:dyDescent="0.25">
      <c r="B1320" s="1">
        <v>0</v>
      </c>
      <c r="C1320" s="1">
        <v>0</v>
      </c>
      <c r="D1320" s="1">
        <v>1</v>
      </c>
      <c r="E1320" s="1">
        <v>0</v>
      </c>
      <c r="F1320" s="1">
        <v>0</v>
      </c>
      <c r="G1320" s="1">
        <v>1</v>
      </c>
      <c r="H1320" s="1">
        <v>2</v>
      </c>
      <c r="I1320" s="1">
        <v>0</v>
      </c>
      <c r="J1320" s="1">
        <v>0</v>
      </c>
      <c r="K1320" s="1">
        <v>0</v>
      </c>
      <c r="L1320" s="1">
        <v>1850</v>
      </c>
      <c r="M1320" s="1">
        <v>0</v>
      </c>
    </row>
    <row r="1321" spans="2:13" x14ac:dyDescent="0.25">
      <c r="B1321" s="1">
        <v>0</v>
      </c>
      <c r="C1321" s="1">
        <v>0</v>
      </c>
      <c r="D1321" s="1">
        <v>1</v>
      </c>
      <c r="E1321" s="1">
        <v>0</v>
      </c>
      <c r="F1321" s="1">
        <v>0</v>
      </c>
      <c r="G1321" s="1">
        <v>1</v>
      </c>
      <c r="H1321" s="1">
        <v>2</v>
      </c>
      <c r="I1321" s="1">
        <v>0</v>
      </c>
      <c r="J1321" s="1">
        <v>0</v>
      </c>
      <c r="K1321" s="1">
        <v>0</v>
      </c>
      <c r="L1321" s="1">
        <v>1850</v>
      </c>
      <c r="M1321" s="1">
        <v>0</v>
      </c>
    </row>
    <row r="1322" spans="2:13" x14ac:dyDescent="0.25">
      <c r="B1322" s="1">
        <v>0</v>
      </c>
      <c r="C1322" s="1">
        <v>0</v>
      </c>
      <c r="D1322" s="1">
        <v>1</v>
      </c>
      <c r="E1322" s="1">
        <v>0</v>
      </c>
      <c r="F1322" s="1">
        <v>0</v>
      </c>
      <c r="G1322" s="1">
        <v>0</v>
      </c>
      <c r="H1322" s="1">
        <v>0</v>
      </c>
      <c r="I1322" s="1">
        <v>0</v>
      </c>
      <c r="J1322" s="1">
        <v>2</v>
      </c>
      <c r="K1322" s="1">
        <v>0</v>
      </c>
      <c r="L1322" s="1">
        <v>4416</v>
      </c>
      <c r="M1322" s="1">
        <v>0</v>
      </c>
    </row>
    <row r="1323" spans="2:13" x14ac:dyDescent="0.25">
      <c r="B1323" s="1">
        <v>0</v>
      </c>
      <c r="C1323" s="1">
        <v>0</v>
      </c>
      <c r="D1323" s="1">
        <v>1</v>
      </c>
      <c r="E1323" s="1">
        <v>0</v>
      </c>
      <c r="F1323" s="1">
        <v>0</v>
      </c>
      <c r="G1323" s="1">
        <v>1</v>
      </c>
      <c r="H1323" s="1">
        <v>2</v>
      </c>
      <c r="I1323" s="1">
        <v>0</v>
      </c>
      <c r="J1323" s="1">
        <v>0</v>
      </c>
      <c r="K1323" s="1">
        <v>0</v>
      </c>
      <c r="L1323" s="1">
        <v>1975</v>
      </c>
      <c r="M1323" s="1">
        <v>0</v>
      </c>
    </row>
    <row r="1324" spans="2:13" x14ac:dyDescent="0.25">
      <c r="B1324" s="1">
        <v>0</v>
      </c>
      <c r="C1324" s="1">
        <v>0</v>
      </c>
      <c r="D1324" s="1">
        <v>1</v>
      </c>
      <c r="E1324" s="1">
        <v>0</v>
      </c>
      <c r="F1324" s="1">
        <v>0</v>
      </c>
      <c r="G1324" s="1">
        <v>0</v>
      </c>
      <c r="H1324" s="1">
        <v>2</v>
      </c>
      <c r="I1324" s="1">
        <v>0</v>
      </c>
      <c r="J1324" s="1">
        <v>0</v>
      </c>
      <c r="K1324" s="1">
        <v>0</v>
      </c>
      <c r="L1324" s="1">
        <v>2029</v>
      </c>
      <c r="M1324" s="1">
        <v>0</v>
      </c>
    </row>
    <row r="1325" spans="2:13" x14ac:dyDescent="0.25">
      <c r="B1325" s="1">
        <v>0</v>
      </c>
      <c r="C1325" s="1">
        <v>0</v>
      </c>
      <c r="D1325" s="1">
        <v>0.9</v>
      </c>
      <c r="E1325" s="1">
        <v>9.9999999999999992E-2</v>
      </c>
      <c r="F1325" s="1">
        <v>0</v>
      </c>
      <c r="G1325" s="1">
        <v>0</v>
      </c>
      <c r="H1325" s="1">
        <v>17</v>
      </c>
      <c r="I1325" s="1">
        <v>0</v>
      </c>
      <c r="J1325" s="1">
        <v>0</v>
      </c>
      <c r="K1325" s="1">
        <v>0</v>
      </c>
      <c r="L1325" s="1">
        <v>27563</v>
      </c>
      <c r="M1325" s="1">
        <v>0</v>
      </c>
    </row>
    <row r="1326" spans="2:13" x14ac:dyDescent="0.25">
      <c r="B1326" s="1">
        <v>0</v>
      </c>
      <c r="C1326" s="1">
        <v>0</v>
      </c>
      <c r="D1326" s="1">
        <v>1</v>
      </c>
      <c r="E1326" s="1">
        <v>0</v>
      </c>
      <c r="F1326" s="1">
        <v>0</v>
      </c>
      <c r="G1326" s="1">
        <v>1</v>
      </c>
      <c r="H1326" s="1">
        <v>3</v>
      </c>
      <c r="I1326" s="1">
        <v>0</v>
      </c>
      <c r="J1326" s="1">
        <v>0</v>
      </c>
      <c r="K1326" s="1">
        <v>0</v>
      </c>
      <c r="L1326" s="1">
        <v>3013</v>
      </c>
      <c r="M1326" s="1">
        <v>0</v>
      </c>
    </row>
    <row r="1327" spans="2:13" x14ac:dyDescent="0.25">
      <c r="B1327" s="1">
        <v>0</v>
      </c>
      <c r="C1327" s="1">
        <v>0</v>
      </c>
      <c r="D1327" s="1">
        <v>1</v>
      </c>
      <c r="E1327" s="1">
        <v>0</v>
      </c>
      <c r="F1327" s="1">
        <v>0</v>
      </c>
      <c r="G1327" s="1">
        <v>1</v>
      </c>
      <c r="H1327" s="1">
        <v>3</v>
      </c>
      <c r="I1327" s="1">
        <v>0</v>
      </c>
      <c r="J1327" s="1">
        <v>0</v>
      </c>
      <c r="K1327" s="1">
        <v>0</v>
      </c>
      <c r="L1327" s="1">
        <v>2943</v>
      </c>
      <c r="M1327" s="1">
        <v>0</v>
      </c>
    </row>
    <row r="1328" spans="2:13" x14ac:dyDescent="0.25">
      <c r="B1328" s="1">
        <v>0</v>
      </c>
      <c r="C1328" s="1">
        <v>0</v>
      </c>
      <c r="D1328" s="1">
        <v>1</v>
      </c>
      <c r="E1328" s="1">
        <v>0</v>
      </c>
      <c r="F1328" s="1">
        <v>0</v>
      </c>
      <c r="G1328" s="1">
        <v>0</v>
      </c>
      <c r="H1328" s="1">
        <v>2</v>
      </c>
      <c r="I1328" s="1">
        <v>0</v>
      </c>
      <c r="J1328" s="1">
        <v>0</v>
      </c>
      <c r="K1328" s="1">
        <v>0</v>
      </c>
      <c r="L1328" s="1">
        <v>2071</v>
      </c>
      <c r="M1328" s="1">
        <v>0</v>
      </c>
    </row>
    <row r="1329" spans="2:13" x14ac:dyDescent="0.25">
      <c r="B1329" s="1">
        <v>0</v>
      </c>
      <c r="C1329" s="1">
        <v>0</v>
      </c>
      <c r="D1329" s="1">
        <v>1</v>
      </c>
      <c r="E1329" s="1">
        <v>0</v>
      </c>
      <c r="F1329" s="1">
        <v>0</v>
      </c>
      <c r="G1329" s="1">
        <v>0</v>
      </c>
      <c r="H1329" s="1">
        <v>3</v>
      </c>
      <c r="I1329" s="1">
        <v>0</v>
      </c>
      <c r="J1329" s="1">
        <v>0</v>
      </c>
      <c r="K1329" s="1">
        <v>0</v>
      </c>
      <c r="L1329" s="1">
        <v>2816</v>
      </c>
      <c r="M1329" s="1">
        <v>0</v>
      </c>
    </row>
    <row r="1330" spans="2:13" x14ac:dyDescent="0.25">
      <c r="B1330" s="1">
        <v>0</v>
      </c>
      <c r="C1330" s="1">
        <v>0</v>
      </c>
      <c r="D1330" s="1">
        <v>1</v>
      </c>
      <c r="E1330" s="1">
        <v>0</v>
      </c>
      <c r="F1330" s="1">
        <v>0</v>
      </c>
      <c r="G1330" s="1">
        <v>1</v>
      </c>
      <c r="H1330" s="1">
        <v>2</v>
      </c>
      <c r="I1330" s="1">
        <v>0</v>
      </c>
      <c r="J1330" s="1">
        <v>0</v>
      </c>
      <c r="K1330" s="1">
        <v>0</v>
      </c>
      <c r="L1330" s="1">
        <v>3223</v>
      </c>
      <c r="M1330" s="1">
        <v>0</v>
      </c>
    </row>
    <row r="1331" spans="2:13" x14ac:dyDescent="0.25">
      <c r="B1331" s="1">
        <v>0</v>
      </c>
      <c r="C1331" s="1">
        <v>0</v>
      </c>
      <c r="D1331" s="1">
        <v>1</v>
      </c>
      <c r="E1331" s="1">
        <v>0</v>
      </c>
      <c r="F1331" s="1">
        <v>0</v>
      </c>
      <c r="G1331" s="1">
        <v>0</v>
      </c>
      <c r="H1331" s="1">
        <v>1</v>
      </c>
      <c r="I1331" s="1">
        <v>0</v>
      </c>
      <c r="J1331" s="1">
        <v>0</v>
      </c>
      <c r="K1331" s="1">
        <v>0</v>
      </c>
      <c r="L1331" s="1">
        <v>3549</v>
      </c>
      <c r="M1331" s="1">
        <v>0</v>
      </c>
    </row>
    <row r="1332" spans="2:13" x14ac:dyDescent="0.25">
      <c r="B1332" s="1">
        <v>0</v>
      </c>
      <c r="C1332" s="1">
        <v>0</v>
      </c>
      <c r="D1332" s="1">
        <v>1</v>
      </c>
      <c r="E1332" s="1">
        <v>0</v>
      </c>
      <c r="F1332" s="1">
        <v>0</v>
      </c>
      <c r="G1332" s="1">
        <v>0</v>
      </c>
      <c r="H1332" s="1">
        <v>2</v>
      </c>
      <c r="I1332" s="1">
        <v>0</v>
      </c>
      <c r="J1332" s="1">
        <v>0</v>
      </c>
      <c r="K1332" s="1">
        <v>0</v>
      </c>
      <c r="L1332" s="1">
        <v>1966</v>
      </c>
      <c r="M1332" s="1">
        <v>0</v>
      </c>
    </row>
    <row r="1333" spans="2:13" x14ac:dyDescent="0.25">
      <c r="B1333" s="1">
        <v>0</v>
      </c>
      <c r="C1333" s="1">
        <v>0</v>
      </c>
      <c r="D1333" s="1">
        <v>0.9</v>
      </c>
      <c r="E1333" s="1">
        <v>9.9999999999999992E-2</v>
      </c>
      <c r="F1333" s="1">
        <v>0</v>
      </c>
      <c r="G1333" s="1">
        <v>0</v>
      </c>
      <c r="H1333" s="1">
        <v>22</v>
      </c>
      <c r="I1333" s="1">
        <v>0</v>
      </c>
      <c r="J1333" s="1">
        <v>0</v>
      </c>
      <c r="K1333" s="1">
        <v>0</v>
      </c>
      <c r="L1333" s="1">
        <v>35527</v>
      </c>
      <c r="M1333" s="1">
        <v>0</v>
      </c>
    </row>
    <row r="1334" spans="2:13" x14ac:dyDescent="0.25">
      <c r="B1334" s="1">
        <v>0</v>
      </c>
      <c r="C1334" s="1">
        <v>0</v>
      </c>
      <c r="D1334" s="1">
        <v>0.9</v>
      </c>
      <c r="E1334" s="1">
        <v>9.9999999999999992E-2</v>
      </c>
      <c r="F1334" s="1">
        <v>0</v>
      </c>
      <c r="G1334" s="1">
        <v>1</v>
      </c>
      <c r="H1334" s="1">
        <v>29</v>
      </c>
      <c r="I1334" s="1">
        <v>1</v>
      </c>
      <c r="J1334" s="1">
        <v>1</v>
      </c>
      <c r="K1334" s="1">
        <v>0</v>
      </c>
      <c r="L1334" s="1">
        <v>34216</v>
      </c>
      <c r="M1334" s="1">
        <v>0</v>
      </c>
    </row>
    <row r="1335" spans="2:13" x14ac:dyDescent="0.25">
      <c r="B1335" s="1">
        <v>0</v>
      </c>
      <c r="C1335" s="1">
        <v>0</v>
      </c>
      <c r="D1335" s="1">
        <v>1</v>
      </c>
      <c r="E1335" s="1">
        <v>0</v>
      </c>
      <c r="F1335" s="1">
        <v>0</v>
      </c>
      <c r="G1335" s="1">
        <v>0</v>
      </c>
      <c r="H1335" s="1">
        <v>4</v>
      </c>
      <c r="I1335" s="1">
        <v>0</v>
      </c>
      <c r="J1335" s="1">
        <v>0</v>
      </c>
      <c r="K1335" s="1">
        <v>0</v>
      </c>
      <c r="L1335" s="1">
        <v>4205</v>
      </c>
      <c r="M1335" s="1">
        <v>0</v>
      </c>
    </row>
    <row r="1336" spans="2:13" x14ac:dyDescent="0.25">
      <c r="B1336" s="1">
        <v>0</v>
      </c>
      <c r="C1336" s="1">
        <v>0</v>
      </c>
      <c r="D1336" s="1">
        <v>1</v>
      </c>
      <c r="E1336" s="1">
        <v>0</v>
      </c>
      <c r="F1336" s="1">
        <v>0</v>
      </c>
      <c r="G1336" s="1">
        <v>0</v>
      </c>
      <c r="H1336" s="1">
        <v>2</v>
      </c>
      <c r="I1336" s="1">
        <v>0</v>
      </c>
      <c r="J1336" s="1">
        <v>0</v>
      </c>
      <c r="K1336" s="1">
        <v>0</v>
      </c>
      <c r="L1336" s="1">
        <v>1963</v>
      </c>
      <c r="M1336" s="1">
        <v>0</v>
      </c>
    </row>
    <row r="1337" spans="2:13" x14ac:dyDescent="0.25">
      <c r="B1337" s="1">
        <v>0</v>
      </c>
      <c r="C1337" s="1">
        <v>0</v>
      </c>
      <c r="D1337" s="1">
        <v>1</v>
      </c>
      <c r="E1337" s="1">
        <v>0</v>
      </c>
      <c r="F1337" s="1">
        <v>0</v>
      </c>
      <c r="G1337" s="1">
        <v>1</v>
      </c>
      <c r="H1337" s="1">
        <v>3</v>
      </c>
      <c r="I1337" s="1">
        <v>0</v>
      </c>
      <c r="J1337" s="1">
        <v>0</v>
      </c>
      <c r="K1337" s="1">
        <v>0</v>
      </c>
      <c r="L1337" s="1">
        <v>3181</v>
      </c>
      <c r="M1337" s="1">
        <v>0</v>
      </c>
    </row>
    <row r="1338" spans="2:13" x14ac:dyDescent="0.25">
      <c r="B1338" s="1">
        <v>0</v>
      </c>
      <c r="C1338" s="1">
        <v>0</v>
      </c>
      <c r="D1338" s="1">
        <v>1</v>
      </c>
      <c r="E1338" s="1">
        <v>0</v>
      </c>
      <c r="F1338" s="1">
        <v>0</v>
      </c>
      <c r="G1338" s="1">
        <v>0</v>
      </c>
      <c r="H1338" s="1">
        <v>2</v>
      </c>
      <c r="I1338" s="1">
        <v>0</v>
      </c>
      <c r="J1338" s="1">
        <v>0</v>
      </c>
      <c r="K1338" s="1">
        <v>0</v>
      </c>
      <c r="L1338" s="1">
        <v>2500</v>
      </c>
      <c r="M1338" s="1">
        <v>0</v>
      </c>
    </row>
    <row r="1339" spans="2:13" x14ac:dyDescent="0.25">
      <c r="B1339" s="1">
        <v>0</v>
      </c>
      <c r="C1339" s="1">
        <v>0</v>
      </c>
      <c r="D1339" s="1">
        <v>1</v>
      </c>
      <c r="E1339" s="1">
        <v>0</v>
      </c>
      <c r="F1339" s="1">
        <v>0</v>
      </c>
      <c r="G1339" s="1">
        <v>1</v>
      </c>
      <c r="H1339" s="1">
        <v>1</v>
      </c>
      <c r="I1339" s="1">
        <v>1</v>
      </c>
      <c r="J1339" s="1">
        <v>1</v>
      </c>
      <c r="K1339" s="1">
        <v>0</v>
      </c>
      <c r="L1339" s="1">
        <v>6311</v>
      </c>
      <c r="M1339" s="1">
        <v>0</v>
      </c>
    </row>
    <row r="1340" spans="2:13" x14ac:dyDescent="0.25">
      <c r="B1340" s="1">
        <v>0</v>
      </c>
      <c r="C1340" s="1">
        <v>0</v>
      </c>
      <c r="D1340" s="1">
        <v>1</v>
      </c>
      <c r="E1340" s="1">
        <v>0</v>
      </c>
      <c r="F1340" s="1">
        <v>0</v>
      </c>
      <c r="G1340" s="1">
        <v>1</v>
      </c>
      <c r="H1340" s="1">
        <v>1</v>
      </c>
      <c r="I1340" s="1">
        <v>0</v>
      </c>
      <c r="J1340" s="1">
        <v>0</v>
      </c>
      <c r="K1340" s="1">
        <v>0</v>
      </c>
      <c r="L1340" s="1">
        <v>3942</v>
      </c>
      <c r="M1340" s="1">
        <v>0</v>
      </c>
    </row>
    <row r="1341" spans="2:13" x14ac:dyDescent="0.25">
      <c r="B1341" s="1">
        <v>0</v>
      </c>
      <c r="C1341" s="1">
        <v>0</v>
      </c>
      <c r="D1341" s="1">
        <v>1</v>
      </c>
      <c r="E1341" s="1">
        <v>0</v>
      </c>
      <c r="F1341" s="1">
        <v>0</v>
      </c>
      <c r="G1341" s="1">
        <v>0</v>
      </c>
      <c r="H1341" s="1">
        <v>4</v>
      </c>
      <c r="I1341" s="1">
        <v>0</v>
      </c>
      <c r="J1341" s="1">
        <v>0</v>
      </c>
      <c r="K1341" s="1">
        <v>0</v>
      </c>
      <c r="L1341" s="1">
        <v>6127</v>
      </c>
      <c r="M1341" s="1">
        <v>0</v>
      </c>
    </row>
    <row r="1342" spans="2:13" x14ac:dyDescent="0.25">
      <c r="B1342" s="1">
        <v>0</v>
      </c>
      <c r="C1342" s="1">
        <v>0</v>
      </c>
      <c r="D1342" s="1">
        <v>1</v>
      </c>
      <c r="E1342" s="1">
        <v>0</v>
      </c>
      <c r="F1342" s="1">
        <v>0</v>
      </c>
      <c r="G1342" s="1">
        <v>1</v>
      </c>
      <c r="H1342" s="1">
        <v>2</v>
      </c>
      <c r="I1342" s="1">
        <v>0</v>
      </c>
      <c r="J1342" s="1">
        <v>0</v>
      </c>
      <c r="K1342" s="1">
        <v>0</v>
      </c>
      <c r="L1342" s="1">
        <v>2241</v>
      </c>
      <c r="M1342" s="1">
        <v>0</v>
      </c>
    </row>
    <row r="1343" spans="2:13" x14ac:dyDescent="0.25">
      <c r="B1343" s="1">
        <v>0</v>
      </c>
      <c r="C1343" s="1">
        <v>0</v>
      </c>
      <c r="D1343" s="1">
        <v>1</v>
      </c>
      <c r="E1343" s="1">
        <v>0</v>
      </c>
      <c r="F1343" s="1">
        <v>0</v>
      </c>
      <c r="G1343" s="1">
        <v>0</v>
      </c>
      <c r="H1343" s="1">
        <v>2</v>
      </c>
      <c r="I1343" s="1">
        <v>0</v>
      </c>
      <c r="J1343" s="1">
        <v>0</v>
      </c>
      <c r="K1343" s="1">
        <v>0</v>
      </c>
      <c r="L1343" s="1">
        <v>2652</v>
      </c>
      <c r="M1343" s="1">
        <v>0</v>
      </c>
    </row>
    <row r="1344" spans="2:13" x14ac:dyDescent="0.25">
      <c r="B1344" s="1">
        <v>0</v>
      </c>
      <c r="C1344" s="1">
        <v>0</v>
      </c>
      <c r="D1344" s="1">
        <v>1</v>
      </c>
      <c r="E1344" s="1">
        <v>0</v>
      </c>
      <c r="F1344" s="1">
        <v>0</v>
      </c>
      <c r="G1344" s="1">
        <v>0</v>
      </c>
      <c r="H1344" s="1">
        <v>2</v>
      </c>
      <c r="I1344" s="1">
        <v>0</v>
      </c>
      <c r="J1344" s="1">
        <v>0</v>
      </c>
      <c r="K1344" s="1">
        <v>0</v>
      </c>
      <c r="L1344" s="1">
        <v>2550</v>
      </c>
      <c r="M1344" s="1">
        <v>0</v>
      </c>
    </row>
    <row r="1345" spans="2:13" x14ac:dyDescent="0.25">
      <c r="B1345" s="1">
        <v>0</v>
      </c>
      <c r="C1345" s="1">
        <v>0</v>
      </c>
      <c r="D1345" s="1">
        <v>1</v>
      </c>
      <c r="E1345" s="1">
        <v>0</v>
      </c>
      <c r="F1345" s="1">
        <v>0</v>
      </c>
      <c r="G1345" s="1">
        <v>1</v>
      </c>
      <c r="H1345" s="1">
        <v>0</v>
      </c>
      <c r="I1345" s="1">
        <v>1</v>
      </c>
      <c r="J1345" s="1">
        <v>1</v>
      </c>
      <c r="K1345" s="1">
        <v>0</v>
      </c>
      <c r="L1345" s="1">
        <v>3466</v>
      </c>
      <c r="M1345" s="1">
        <v>0</v>
      </c>
    </row>
    <row r="1346" spans="2:13" x14ac:dyDescent="0.25">
      <c r="B1346" s="1">
        <v>0</v>
      </c>
      <c r="C1346" s="1">
        <v>0</v>
      </c>
      <c r="D1346" s="1">
        <v>1</v>
      </c>
      <c r="E1346" s="1">
        <v>0</v>
      </c>
      <c r="F1346" s="1">
        <v>0</v>
      </c>
      <c r="G1346" s="1">
        <v>0</v>
      </c>
      <c r="H1346" s="1">
        <v>2</v>
      </c>
      <c r="I1346" s="1">
        <v>0</v>
      </c>
      <c r="J1346" s="1">
        <v>0</v>
      </c>
      <c r="K1346" s="1">
        <v>0</v>
      </c>
      <c r="L1346" s="1">
        <v>2047</v>
      </c>
      <c r="M1346" s="1">
        <v>0</v>
      </c>
    </row>
    <row r="1347" spans="2:13" x14ac:dyDescent="0.25">
      <c r="B1347" s="1">
        <v>0</v>
      </c>
      <c r="C1347" s="1">
        <v>0</v>
      </c>
      <c r="D1347" s="1">
        <v>1</v>
      </c>
      <c r="E1347" s="1">
        <v>0</v>
      </c>
      <c r="F1347" s="1">
        <v>0</v>
      </c>
      <c r="G1347" s="1">
        <v>1</v>
      </c>
      <c r="H1347" s="1">
        <v>2</v>
      </c>
      <c r="I1347" s="1">
        <v>0</v>
      </c>
      <c r="J1347" s="1">
        <v>0</v>
      </c>
      <c r="K1347" s="1">
        <v>0</v>
      </c>
      <c r="L1347" s="1">
        <v>2071</v>
      </c>
      <c r="M1347" s="1">
        <v>0</v>
      </c>
    </row>
    <row r="1348" spans="2:13" x14ac:dyDescent="0.25">
      <c r="B1348" s="1">
        <v>0</v>
      </c>
      <c r="C1348" s="1">
        <v>0</v>
      </c>
      <c r="D1348" s="1">
        <v>0.91666666666666663</v>
      </c>
      <c r="E1348" s="1">
        <v>8.3333333333333329E-2</v>
      </c>
      <c r="F1348" s="1">
        <v>0</v>
      </c>
      <c r="G1348" s="1">
        <v>1</v>
      </c>
      <c r="H1348" s="1">
        <v>2</v>
      </c>
      <c r="I1348" s="1">
        <v>0</v>
      </c>
      <c r="J1348" s="1">
        <v>0</v>
      </c>
      <c r="K1348" s="1">
        <v>0</v>
      </c>
      <c r="L1348" s="1">
        <v>1214</v>
      </c>
      <c r="M1348" s="1">
        <v>0</v>
      </c>
    </row>
    <row r="1349" spans="2:13" x14ac:dyDescent="0.25">
      <c r="B1349" s="1">
        <v>0</v>
      </c>
      <c r="C1349" s="1">
        <v>0</v>
      </c>
      <c r="D1349" s="1">
        <v>0.7857142857142857</v>
      </c>
      <c r="E1349" s="1">
        <v>0.21428571428571427</v>
      </c>
      <c r="F1349" s="1">
        <v>0</v>
      </c>
      <c r="G1349" s="1">
        <v>1</v>
      </c>
      <c r="H1349" s="1">
        <v>2</v>
      </c>
      <c r="I1349" s="1">
        <v>0</v>
      </c>
      <c r="J1349" s="1">
        <v>0</v>
      </c>
      <c r="K1349" s="1">
        <v>0</v>
      </c>
      <c r="L1349" s="1">
        <v>1189</v>
      </c>
      <c r="M1349" s="1">
        <v>0</v>
      </c>
    </row>
    <row r="1350" spans="2:13" x14ac:dyDescent="0.25">
      <c r="B1350" s="1">
        <v>0</v>
      </c>
      <c r="C1350" s="1">
        <v>0</v>
      </c>
      <c r="D1350" s="1">
        <v>0.91666666666666663</v>
      </c>
      <c r="E1350" s="1">
        <v>8.3333333333333329E-2</v>
      </c>
      <c r="F1350" s="1">
        <v>0</v>
      </c>
      <c r="G1350" s="1">
        <v>1</v>
      </c>
      <c r="H1350" s="1">
        <v>2</v>
      </c>
      <c r="I1350" s="1">
        <v>0</v>
      </c>
      <c r="J1350" s="1">
        <v>0</v>
      </c>
      <c r="K1350" s="1">
        <v>0</v>
      </c>
      <c r="L1350" s="1">
        <v>1352</v>
      </c>
      <c r="M1350" s="1">
        <v>0</v>
      </c>
    </row>
    <row r="1351" spans="2:13" x14ac:dyDescent="0.25">
      <c r="B1351" s="1">
        <v>0</v>
      </c>
      <c r="C1351" s="1">
        <v>0</v>
      </c>
      <c r="D1351" s="1">
        <v>1</v>
      </c>
      <c r="E1351" s="1">
        <v>0</v>
      </c>
      <c r="F1351" s="1">
        <v>0</v>
      </c>
      <c r="G1351" s="1">
        <v>0</v>
      </c>
      <c r="H1351" s="1">
        <v>2</v>
      </c>
      <c r="I1351" s="1">
        <v>0</v>
      </c>
      <c r="J1351" s="1">
        <v>0</v>
      </c>
      <c r="K1351" s="1">
        <v>0</v>
      </c>
      <c r="L1351" s="1">
        <v>1304</v>
      </c>
      <c r="M1351" s="1">
        <v>0</v>
      </c>
    </row>
    <row r="1352" spans="2:13" x14ac:dyDescent="0.25">
      <c r="B1352" s="1">
        <v>0</v>
      </c>
      <c r="C1352" s="1">
        <v>0</v>
      </c>
      <c r="D1352" s="1">
        <v>1</v>
      </c>
      <c r="E1352" s="1">
        <v>0</v>
      </c>
      <c r="F1352" s="1">
        <v>0</v>
      </c>
      <c r="G1352" s="1">
        <v>0</v>
      </c>
      <c r="H1352" s="1">
        <v>3</v>
      </c>
      <c r="I1352" s="1">
        <v>0</v>
      </c>
      <c r="J1352" s="1">
        <v>0</v>
      </c>
      <c r="K1352" s="1">
        <v>0</v>
      </c>
      <c r="L1352" s="1">
        <v>1918</v>
      </c>
      <c r="M1352" s="1">
        <v>0</v>
      </c>
    </row>
    <row r="1353" spans="2:13" x14ac:dyDescent="0.25">
      <c r="B1353" s="1">
        <v>0</v>
      </c>
      <c r="C1353" s="1">
        <v>0</v>
      </c>
      <c r="D1353" s="1">
        <v>0.9285714285714286</v>
      </c>
      <c r="E1353" s="1">
        <v>7.1428571428571411E-2</v>
      </c>
      <c r="F1353" s="1">
        <v>0</v>
      </c>
      <c r="G1353" s="1">
        <v>0</v>
      </c>
      <c r="H1353" s="1">
        <v>2</v>
      </c>
      <c r="I1353" s="1">
        <v>0</v>
      </c>
      <c r="J1353" s="1">
        <v>0</v>
      </c>
      <c r="K1353" s="1">
        <v>0</v>
      </c>
      <c r="L1353" s="1">
        <v>1045</v>
      </c>
      <c r="M1353" s="1">
        <v>0</v>
      </c>
    </row>
    <row r="1354" spans="2:13" x14ac:dyDescent="0.25">
      <c r="B1354" s="1">
        <v>0</v>
      </c>
      <c r="C1354" s="1">
        <v>0</v>
      </c>
      <c r="D1354" s="1">
        <v>0.9285714285714286</v>
      </c>
      <c r="E1354" s="1">
        <v>7.1428571428571411E-2</v>
      </c>
      <c r="F1354" s="1">
        <v>0</v>
      </c>
      <c r="G1354" s="1">
        <v>0</v>
      </c>
      <c r="H1354" s="1">
        <v>1</v>
      </c>
      <c r="I1354" s="1">
        <v>0</v>
      </c>
      <c r="J1354" s="1">
        <v>0</v>
      </c>
      <c r="K1354" s="1">
        <v>0</v>
      </c>
      <c r="L1354" s="1">
        <v>622</v>
      </c>
      <c r="M1354" s="1">
        <v>0</v>
      </c>
    </row>
    <row r="1355" spans="2:13" x14ac:dyDescent="0.25">
      <c r="B1355" s="1">
        <v>0</v>
      </c>
      <c r="C1355" s="1">
        <v>0</v>
      </c>
      <c r="D1355" s="1">
        <v>0.9</v>
      </c>
      <c r="E1355" s="1">
        <v>9.9999999999999992E-2</v>
      </c>
      <c r="F1355" s="1">
        <v>0</v>
      </c>
      <c r="G1355" s="1">
        <v>1</v>
      </c>
      <c r="H1355" s="1">
        <v>14</v>
      </c>
      <c r="I1355" s="1">
        <v>0</v>
      </c>
      <c r="J1355" s="1">
        <v>0</v>
      </c>
      <c r="K1355" s="1">
        <v>0</v>
      </c>
      <c r="L1355" s="1">
        <v>24067</v>
      </c>
      <c r="M1355" s="1">
        <v>0</v>
      </c>
    </row>
    <row r="1356" spans="2:13" x14ac:dyDescent="0.25">
      <c r="B1356" s="1">
        <v>0</v>
      </c>
      <c r="C1356" s="1">
        <v>0</v>
      </c>
      <c r="D1356" s="1">
        <v>1</v>
      </c>
      <c r="E1356" s="1">
        <v>0</v>
      </c>
      <c r="F1356" s="1">
        <v>0</v>
      </c>
      <c r="G1356" s="1">
        <v>0</v>
      </c>
      <c r="H1356" s="1">
        <v>3</v>
      </c>
      <c r="I1356" s="1">
        <v>0</v>
      </c>
      <c r="J1356" s="1">
        <v>0</v>
      </c>
      <c r="K1356" s="1">
        <v>0</v>
      </c>
      <c r="L1356" s="1">
        <v>2114</v>
      </c>
      <c r="M1356" s="1">
        <v>0</v>
      </c>
    </row>
    <row r="1357" spans="2:13" x14ac:dyDescent="0.25">
      <c r="B1357" s="1">
        <v>0</v>
      </c>
      <c r="C1357" s="1">
        <v>0</v>
      </c>
      <c r="D1357" s="1">
        <v>0.91666666666666663</v>
      </c>
      <c r="E1357" s="1">
        <v>8.3333333333333329E-2</v>
      </c>
      <c r="F1357" s="1">
        <v>0</v>
      </c>
      <c r="G1357" s="1">
        <v>1</v>
      </c>
      <c r="H1357" s="1">
        <v>2</v>
      </c>
      <c r="I1357" s="1">
        <v>0</v>
      </c>
      <c r="J1357" s="1">
        <v>0</v>
      </c>
      <c r="K1357" s="1">
        <v>0</v>
      </c>
      <c r="L1357" s="1">
        <v>1213</v>
      </c>
      <c r="M1357" s="1">
        <v>0</v>
      </c>
    </row>
    <row r="1358" spans="2:13" x14ac:dyDescent="0.25">
      <c r="B1358" s="1">
        <v>0</v>
      </c>
      <c r="C1358" s="1">
        <v>0</v>
      </c>
      <c r="D1358" s="1">
        <v>0.9285714285714286</v>
      </c>
      <c r="E1358" s="1">
        <v>7.1428571428571411E-2</v>
      </c>
      <c r="F1358" s="1">
        <v>0</v>
      </c>
      <c r="G1358" s="1">
        <v>0</v>
      </c>
      <c r="H1358" s="1">
        <v>2</v>
      </c>
      <c r="I1358" s="1">
        <v>0</v>
      </c>
      <c r="J1358" s="1">
        <v>0</v>
      </c>
      <c r="K1358" s="1">
        <v>0</v>
      </c>
      <c r="L1358" s="1">
        <v>1191</v>
      </c>
      <c r="M1358" s="1">
        <v>0</v>
      </c>
    </row>
    <row r="1359" spans="2:13" x14ac:dyDescent="0.25">
      <c r="B1359" s="1">
        <v>0</v>
      </c>
      <c r="C1359" s="1">
        <v>0</v>
      </c>
      <c r="D1359" s="1">
        <v>0.9285714285714286</v>
      </c>
      <c r="E1359" s="1">
        <v>7.1428571428571411E-2</v>
      </c>
      <c r="F1359" s="1">
        <v>0</v>
      </c>
      <c r="G1359" s="1">
        <v>0</v>
      </c>
      <c r="H1359" s="1">
        <v>2</v>
      </c>
      <c r="I1359" s="1">
        <v>0</v>
      </c>
      <c r="J1359" s="1">
        <v>0</v>
      </c>
      <c r="K1359" s="1">
        <v>0</v>
      </c>
      <c r="L1359" s="1">
        <v>1045</v>
      </c>
      <c r="M1359" s="1">
        <v>0</v>
      </c>
    </row>
    <row r="1360" spans="2:13" x14ac:dyDescent="0.25">
      <c r="B1360" s="1">
        <v>0</v>
      </c>
      <c r="C1360" s="1">
        <v>0</v>
      </c>
      <c r="D1360" s="1">
        <v>1</v>
      </c>
      <c r="E1360" s="1">
        <v>0</v>
      </c>
      <c r="F1360" s="1">
        <v>0</v>
      </c>
      <c r="G1360" s="1">
        <v>0</v>
      </c>
      <c r="H1360" s="1">
        <v>0</v>
      </c>
      <c r="I1360" s="1">
        <v>1</v>
      </c>
      <c r="J1360" s="1">
        <v>0</v>
      </c>
      <c r="K1360" s="1">
        <v>0</v>
      </c>
      <c r="L1360" s="1">
        <v>2138</v>
      </c>
      <c r="M1360" s="1">
        <v>0</v>
      </c>
    </row>
    <row r="1361" spans="2:13" x14ac:dyDescent="0.25">
      <c r="B1361" s="1">
        <v>0</v>
      </c>
      <c r="C1361" s="1">
        <v>0</v>
      </c>
      <c r="D1361" s="1">
        <v>1</v>
      </c>
      <c r="E1361" s="1">
        <v>0</v>
      </c>
      <c r="F1361" s="1">
        <v>0</v>
      </c>
      <c r="G1361" s="1">
        <v>1</v>
      </c>
      <c r="H1361" s="1">
        <v>3</v>
      </c>
      <c r="I1361" s="1">
        <v>0</v>
      </c>
      <c r="J1361" s="1">
        <v>0</v>
      </c>
      <c r="K1361" s="1">
        <v>0</v>
      </c>
      <c r="L1361" s="1">
        <v>2971</v>
      </c>
      <c r="M1361" s="1">
        <v>0</v>
      </c>
    </row>
    <row r="1362" spans="2:13" x14ac:dyDescent="0.25">
      <c r="B1362" s="1">
        <v>0</v>
      </c>
      <c r="C1362" s="1">
        <v>0</v>
      </c>
      <c r="D1362" s="1">
        <v>0.91666666666666663</v>
      </c>
      <c r="E1362" s="1">
        <v>8.3333333333333329E-2</v>
      </c>
      <c r="F1362" s="1">
        <v>0</v>
      </c>
      <c r="G1362" s="1">
        <v>1</v>
      </c>
      <c r="H1362" s="1">
        <v>3</v>
      </c>
      <c r="I1362" s="1">
        <v>0</v>
      </c>
      <c r="J1362" s="1">
        <v>0</v>
      </c>
      <c r="K1362" s="1">
        <v>0</v>
      </c>
      <c r="L1362" s="1">
        <v>1484</v>
      </c>
      <c r="M1362" s="1">
        <v>0</v>
      </c>
    </row>
    <row r="1363" spans="2:13" x14ac:dyDescent="0.25">
      <c r="B1363" s="1">
        <v>0</v>
      </c>
      <c r="C1363" s="1">
        <v>0</v>
      </c>
      <c r="D1363" s="1">
        <v>0.7857142857142857</v>
      </c>
      <c r="E1363" s="1">
        <v>0.21428571428571427</v>
      </c>
      <c r="F1363" s="1">
        <v>0</v>
      </c>
      <c r="G1363" s="1">
        <v>1</v>
      </c>
      <c r="H1363" s="1">
        <v>2</v>
      </c>
      <c r="I1363" s="1">
        <v>0</v>
      </c>
      <c r="J1363" s="1">
        <v>0</v>
      </c>
      <c r="K1363" s="1">
        <v>0</v>
      </c>
      <c r="L1363" s="1">
        <v>1070</v>
      </c>
      <c r="M1363" s="1">
        <v>0</v>
      </c>
    </row>
    <row r="1364" spans="2:13" x14ac:dyDescent="0.25">
      <c r="B1364" s="1">
        <v>0</v>
      </c>
      <c r="C1364" s="1">
        <v>0</v>
      </c>
      <c r="D1364" s="1">
        <v>1</v>
      </c>
      <c r="E1364" s="1">
        <v>0</v>
      </c>
      <c r="F1364" s="1">
        <v>0</v>
      </c>
      <c r="G1364" s="1">
        <v>0</v>
      </c>
      <c r="H1364" s="1">
        <v>3</v>
      </c>
      <c r="I1364" s="1">
        <v>0</v>
      </c>
      <c r="J1364" s="1">
        <v>2</v>
      </c>
      <c r="K1364" s="1">
        <v>0</v>
      </c>
      <c r="L1364" s="1">
        <v>10652</v>
      </c>
      <c r="M1364" s="1">
        <v>0</v>
      </c>
    </row>
    <row r="1365" spans="2:13" x14ac:dyDescent="0.25">
      <c r="B1365" s="1">
        <v>0</v>
      </c>
      <c r="C1365" s="1">
        <v>0</v>
      </c>
      <c r="D1365" s="1">
        <v>1</v>
      </c>
      <c r="E1365" s="1">
        <v>0</v>
      </c>
      <c r="F1365" s="1">
        <v>0</v>
      </c>
      <c r="G1365" s="1">
        <v>1</v>
      </c>
      <c r="H1365" s="1">
        <v>3</v>
      </c>
      <c r="I1365" s="1">
        <v>0</v>
      </c>
      <c r="J1365" s="1">
        <v>0</v>
      </c>
      <c r="K1365" s="1">
        <v>0</v>
      </c>
      <c r="L1365" s="1">
        <v>2064</v>
      </c>
      <c r="M1365" s="1">
        <v>0</v>
      </c>
    </row>
    <row r="1366" spans="2:13" x14ac:dyDescent="0.25">
      <c r="B1366" s="1">
        <v>0</v>
      </c>
      <c r="C1366" s="1">
        <v>0</v>
      </c>
      <c r="D1366" s="1">
        <v>1</v>
      </c>
      <c r="E1366" s="1">
        <v>0</v>
      </c>
      <c r="F1366" s="1">
        <v>0</v>
      </c>
      <c r="G1366" s="1">
        <v>0</v>
      </c>
      <c r="H1366" s="1">
        <v>3</v>
      </c>
      <c r="I1366" s="1">
        <v>0</v>
      </c>
      <c r="J1366" s="1">
        <v>0</v>
      </c>
      <c r="K1366" s="1">
        <v>0</v>
      </c>
      <c r="L1366" s="1">
        <v>1614</v>
      </c>
      <c r="M1366" s="1">
        <v>0</v>
      </c>
    </row>
    <row r="1367" spans="2:13" x14ac:dyDescent="0.25">
      <c r="B1367" s="1">
        <v>0</v>
      </c>
      <c r="C1367" s="1">
        <v>0</v>
      </c>
      <c r="D1367" s="1">
        <v>0.91666666666666663</v>
      </c>
      <c r="E1367" s="1">
        <v>8.3333333333333329E-2</v>
      </c>
      <c r="F1367" s="1">
        <v>0</v>
      </c>
      <c r="G1367" s="1">
        <v>1</v>
      </c>
      <c r="H1367" s="1">
        <v>2</v>
      </c>
      <c r="I1367" s="1">
        <v>0</v>
      </c>
      <c r="J1367" s="1">
        <v>0</v>
      </c>
      <c r="K1367" s="1">
        <v>0</v>
      </c>
      <c r="L1367" s="1">
        <v>1191</v>
      </c>
      <c r="M1367" s="1">
        <v>0</v>
      </c>
    </row>
    <row r="1368" spans="2:13" x14ac:dyDescent="0.25">
      <c r="B1368" s="1">
        <v>0</v>
      </c>
      <c r="C1368" s="1">
        <v>0</v>
      </c>
      <c r="D1368" s="1">
        <v>0.9285714285714286</v>
      </c>
      <c r="E1368" s="1">
        <v>7.1428571428571411E-2</v>
      </c>
      <c r="F1368" s="1">
        <v>0</v>
      </c>
      <c r="G1368" s="1">
        <v>0</v>
      </c>
      <c r="H1368" s="1">
        <v>2</v>
      </c>
      <c r="I1368" s="1">
        <v>0</v>
      </c>
      <c r="J1368" s="1">
        <v>0</v>
      </c>
      <c r="K1368" s="1">
        <v>0</v>
      </c>
      <c r="L1368" s="1">
        <v>1086</v>
      </c>
      <c r="M1368" s="1">
        <v>0</v>
      </c>
    </row>
    <row r="1369" spans="2:13" x14ac:dyDescent="0.25">
      <c r="B1369" s="1">
        <v>0</v>
      </c>
      <c r="C1369" s="1">
        <v>0</v>
      </c>
      <c r="D1369" s="1">
        <v>0.91666666666666663</v>
      </c>
      <c r="E1369" s="1">
        <v>8.3333333333333329E-2</v>
      </c>
      <c r="F1369" s="1">
        <v>0</v>
      </c>
      <c r="G1369" s="1">
        <v>1</v>
      </c>
      <c r="H1369" s="1">
        <v>3</v>
      </c>
      <c r="I1369" s="1">
        <v>0</v>
      </c>
      <c r="J1369" s="1">
        <v>0</v>
      </c>
      <c r="K1369" s="1">
        <v>0</v>
      </c>
      <c r="L1369" s="1">
        <v>1614</v>
      </c>
      <c r="M1369" s="1">
        <v>0</v>
      </c>
    </row>
    <row r="1370" spans="2:13" x14ac:dyDescent="0.25">
      <c r="B1370" s="1">
        <v>0</v>
      </c>
      <c r="C1370" s="1">
        <v>0</v>
      </c>
      <c r="D1370" s="1">
        <v>0.91666666666666663</v>
      </c>
      <c r="E1370" s="1">
        <v>8.3333333333333329E-2</v>
      </c>
      <c r="F1370" s="1">
        <v>0</v>
      </c>
      <c r="G1370" s="1">
        <v>1</v>
      </c>
      <c r="H1370" s="1">
        <v>2</v>
      </c>
      <c r="I1370" s="1">
        <v>0</v>
      </c>
      <c r="J1370" s="1">
        <v>0</v>
      </c>
      <c r="K1370" s="1">
        <v>0</v>
      </c>
      <c r="L1370" s="1">
        <v>1213</v>
      </c>
      <c r="M1370" s="1">
        <v>0</v>
      </c>
    </row>
    <row r="1371" spans="2:13" x14ac:dyDescent="0.25">
      <c r="B1371" s="1">
        <v>0</v>
      </c>
      <c r="C1371" s="1">
        <v>0</v>
      </c>
      <c r="D1371" s="1">
        <v>0.91666666666666663</v>
      </c>
      <c r="E1371" s="1">
        <v>8.3333333333333329E-2</v>
      </c>
      <c r="F1371" s="1">
        <v>0</v>
      </c>
      <c r="G1371" s="1">
        <v>1</v>
      </c>
      <c r="H1371" s="1">
        <v>2</v>
      </c>
      <c r="I1371" s="1">
        <v>0</v>
      </c>
      <c r="J1371" s="1">
        <v>0</v>
      </c>
      <c r="K1371" s="1">
        <v>0</v>
      </c>
      <c r="L1371" s="1">
        <v>1388</v>
      </c>
      <c r="M1371" s="1">
        <v>0</v>
      </c>
    </row>
    <row r="1372" spans="2:13" x14ac:dyDescent="0.25">
      <c r="B1372" s="1">
        <v>0</v>
      </c>
      <c r="C1372" s="1">
        <v>0</v>
      </c>
      <c r="D1372" s="1">
        <v>1</v>
      </c>
      <c r="E1372" s="1">
        <v>0</v>
      </c>
      <c r="F1372" s="1">
        <v>0</v>
      </c>
      <c r="G1372" s="1">
        <v>0</v>
      </c>
      <c r="H1372" s="1">
        <v>0</v>
      </c>
      <c r="I1372" s="1">
        <v>1</v>
      </c>
      <c r="J1372" s="1">
        <v>0</v>
      </c>
      <c r="K1372" s="1">
        <v>0</v>
      </c>
      <c r="L1372" s="1">
        <v>1945</v>
      </c>
      <c r="M1372" s="1">
        <v>0</v>
      </c>
    </row>
    <row r="1373" spans="2:13" x14ac:dyDescent="0.25">
      <c r="B1373" s="1">
        <v>0</v>
      </c>
      <c r="C1373" s="1">
        <v>0</v>
      </c>
      <c r="D1373" s="1">
        <v>0.91666666666666663</v>
      </c>
      <c r="E1373" s="1">
        <v>8.3333333333333329E-2</v>
      </c>
      <c r="F1373" s="1">
        <v>0</v>
      </c>
      <c r="G1373" s="1">
        <v>1</v>
      </c>
      <c r="H1373" s="1">
        <v>2</v>
      </c>
      <c r="I1373" s="1">
        <v>0</v>
      </c>
      <c r="J1373" s="1">
        <v>0</v>
      </c>
      <c r="K1373" s="1">
        <v>0</v>
      </c>
      <c r="L1373" s="1">
        <v>1216</v>
      </c>
      <c r="M1373" s="1">
        <v>0</v>
      </c>
    </row>
    <row r="1374" spans="2:13" x14ac:dyDescent="0.25">
      <c r="B1374" s="1">
        <v>0</v>
      </c>
      <c r="C1374" s="1">
        <v>0</v>
      </c>
      <c r="D1374" s="1">
        <v>0.9</v>
      </c>
      <c r="E1374" s="1">
        <v>9.9999999999999992E-2</v>
      </c>
      <c r="F1374" s="1">
        <v>0</v>
      </c>
      <c r="G1374" s="1">
        <v>1</v>
      </c>
      <c r="H1374" s="1">
        <v>18</v>
      </c>
      <c r="I1374" s="1">
        <v>0</v>
      </c>
      <c r="J1374" s="1">
        <v>0</v>
      </c>
      <c r="K1374" s="1">
        <v>0</v>
      </c>
      <c r="L1374" s="1">
        <v>27718</v>
      </c>
      <c r="M1374" s="1">
        <v>0</v>
      </c>
    </row>
    <row r="1375" spans="2:13" x14ac:dyDescent="0.25">
      <c r="B1375" s="1">
        <v>0</v>
      </c>
      <c r="C1375" s="1">
        <v>0</v>
      </c>
      <c r="D1375" s="1">
        <v>0.9</v>
      </c>
      <c r="E1375" s="1">
        <v>9.9999999999999992E-2</v>
      </c>
      <c r="F1375" s="1">
        <v>0</v>
      </c>
      <c r="G1375" s="1">
        <v>0</v>
      </c>
      <c r="H1375" s="1">
        <v>10</v>
      </c>
      <c r="I1375" s="1">
        <v>0</v>
      </c>
      <c r="J1375" s="1">
        <v>1</v>
      </c>
      <c r="K1375" s="1">
        <v>0</v>
      </c>
      <c r="L1375" s="1">
        <v>18858</v>
      </c>
      <c r="M1375" s="1">
        <v>0</v>
      </c>
    </row>
    <row r="1376" spans="2:13" x14ac:dyDescent="0.25">
      <c r="B1376" s="1">
        <v>0</v>
      </c>
      <c r="C1376" s="1">
        <v>0</v>
      </c>
      <c r="D1376" s="1">
        <v>0.7857142857142857</v>
      </c>
      <c r="E1376" s="1">
        <v>0.21428571428571427</v>
      </c>
      <c r="F1376" s="1">
        <v>0</v>
      </c>
      <c r="G1376" s="1">
        <v>1</v>
      </c>
      <c r="H1376" s="1">
        <v>2</v>
      </c>
      <c r="I1376" s="1">
        <v>0</v>
      </c>
      <c r="J1376" s="1">
        <v>0</v>
      </c>
      <c r="K1376" s="1">
        <v>0</v>
      </c>
      <c r="L1376" s="1">
        <v>1070</v>
      </c>
      <c r="M1376" s="1">
        <v>0</v>
      </c>
    </row>
    <row r="1377" spans="2:13" x14ac:dyDescent="0.25">
      <c r="B1377" s="1">
        <v>0</v>
      </c>
      <c r="C1377" s="1">
        <v>0</v>
      </c>
      <c r="D1377" s="1">
        <v>0.9</v>
      </c>
      <c r="E1377" s="1">
        <v>9.9999999999999992E-2</v>
      </c>
      <c r="F1377" s="1">
        <v>0</v>
      </c>
      <c r="G1377" s="1">
        <v>1</v>
      </c>
      <c r="H1377" s="1">
        <v>7</v>
      </c>
      <c r="I1377" s="1">
        <v>0</v>
      </c>
      <c r="J1377" s="1">
        <v>0</v>
      </c>
      <c r="K1377" s="1">
        <v>0</v>
      </c>
      <c r="L1377" s="1">
        <v>17960</v>
      </c>
      <c r="M1377" s="1">
        <v>0</v>
      </c>
    </row>
    <row r="1378" spans="2:13" x14ac:dyDescent="0.25">
      <c r="B1378" s="1">
        <v>0</v>
      </c>
      <c r="C1378" s="1">
        <v>0</v>
      </c>
      <c r="D1378" s="1">
        <v>0.91666666666666663</v>
      </c>
      <c r="E1378" s="1">
        <v>8.3333333333333329E-2</v>
      </c>
      <c r="F1378" s="1">
        <v>0</v>
      </c>
      <c r="G1378" s="1">
        <v>1</v>
      </c>
      <c r="H1378" s="1">
        <v>3</v>
      </c>
      <c r="I1378" s="1">
        <v>0</v>
      </c>
      <c r="J1378" s="1">
        <v>0</v>
      </c>
      <c r="K1378" s="1">
        <v>0</v>
      </c>
      <c r="L1378" s="1">
        <v>1468</v>
      </c>
      <c r="M1378" s="1">
        <v>0</v>
      </c>
    </row>
    <row r="1379" spans="2:13" x14ac:dyDescent="0.25">
      <c r="B1379" s="1">
        <v>0</v>
      </c>
      <c r="C1379" s="1">
        <v>0</v>
      </c>
      <c r="D1379" s="1">
        <v>0.9285714285714286</v>
      </c>
      <c r="E1379" s="1">
        <v>7.1428571428571411E-2</v>
      </c>
      <c r="F1379" s="1">
        <v>0</v>
      </c>
      <c r="G1379" s="1">
        <v>0</v>
      </c>
      <c r="H1379" s="1">
        <v>2</v>
      </c>
      <c r="I1379" s="1">
        <v>0</v>
      </c>
      <c r="J1379" s="1">
        <v>0</v>
      </c>
      <c r="K1379" s="1">
        <v>0</v>
      </c>
      <c r="L1379" s="1">
        <v>1191</v>
      </c>
      <c r="M1379" s="1">
        <v>0</v>
      </c>
    </row>
    <row r="1380" spans="2:13" x14ac:dyDescent="0.25">
      <c r="B1380" s="1">
        <v>0</v>
      </c>
      <c r="C1380" s="1">
        <v>0</v>
      </c>
      <c r="D1380" s="1">
        <v>0.91666666666666663</v>
      </c>
      <c r="E1380" s="1">
        <v>8.3333333333333329E-2</v>
      </c>
      <c r="F1380" s="1">
        <v>0</v>
      </c>
      <c r="G1380" s="1">
        <v>1</v>
      </c>
      <c r="H1380" s="1">
        <v>2</v>
      </c>
      <c r="I1380" s="1">
        <v>0</v>
      </c>
      <c r="J1380" s="1">
        <v>0</v>
      </c>
      <c r="K1380" s="1">
        <v>0</v>
      </c>
      <c r="L1380" s="1">
        <v>1329</v>
      </c>
      <c r="M1380" s="1">
        <v>0</v>
      </c>
    </row>
    <row r="1381" spans="2:13" x14ac:dyDescent="0.25">
      <c r="B1381" s="1">
        <v>0</v>
      </c>
      <c r="C1381" s="1">
        <v>0</v>
      </c>
      <c r="D1381" s="1">
        <v>0.9285714285714286</v>
      </c>
      <c r="E1381" s="1">
        <v>7.1428571428571411E-2</v>
      </c>
      <c r="F1381" s="1">
        <v>0</v>
      </c>
      <c r="G1381" s="1">
        <v>0</v>
      </c>
      <c r="H1381" s="1">
        <v>2</v>
      </c>
      <c r="I1381" s="1">
        <v>1</v>
      </c>
      <c r="J1381" s="1">
        <v>0</v>
      </c>
      <c r="K1381" s="1">
        <v>0</v>
      </c>
      <c r="L1381" s="1">
        <v>1045</v>
      </c>
      <c r="M1381" s="1">
        <v>0</v>
      </c>
    </row>
    <row r="1382" spans="2:13" x14ac:dyDescent="0.25">
      <c r="B1382" s="1">
        <v>0</v>
      </c>
      <c r="C1382" s="1">
        <v>0</v>
      </c>
      <c r="D1382" s="1">
        <v>1</v>
      </c>
      <c r="E1382" s="1">
        <v>0</v>
      </c>
      <c r="F1382" s="1">
        <v>0</v>
      </c>
      <c r="G1382" s="1">
        <v>0</v>
      </c>
      <c r="H1382" s="1">
        <v>2</v>
      </c>
      <c r="I1382" s="1">
        <v>0</v>
      </c>
      <c r="J1382" s="1">
        <v>0</v>
      </c>
      <c r="K1382" s="1">
        <v>0</v>
      </c>
      <c r="L1382" s="1">
        <v>1308</v>
      </c>
      <c r="M1382" s="1">
        <v>0</v>
      </c>
    </row>
    <row r="1383" spans="2:13" x14ac:dyDescent="0.25">
      <c r="B1383" s="1">
        <v>0</v>
      </c>
      <c r="C1383" s="1">
        <v>0</v>
      </c>
      <c r="D1383" s="1">
        <v>1</v>
      </c>
      <c r="E1383" s="1">
        <v>0</v>
      </c>
      <c r="F1383" s="1">
        <v>0</v>
      </c>
      <c r="G1383" s="1">
        <v>0</v>
      </c>
      <c r="H1383" s="1">
        <v>3</v>
      </c>
      <c r="I1383" s="1">
        <v>0</v>
      </c>
      <c r="J1383" s="1">
        <v>0</v>
      </c>
      <c r="K1383" s="1">
        <v>0</v>
      </c>
      <c r="L1383" s="1">
        <v>2815</v>
      </c>
      <c r="M1383" s="1">
        <v>0</v>
      </c>
    </row>
    <row r="1384" spans="2:13" x14ac:dyDescent="0.25">
      <c r="B1384" s="1">
        <v>0</v>
      </c>
      <c r="C1384" s="1">
        <v>0</v>
      </c>
      <c r="D1384" s="1">
        <v>0.7857142857142857</v>
      </c>
      <c r="E1384" s="1">
        <v>0.21428571428571427</v>
      </c>
      <c r="F1384" s="1">
        <v>0</v>
      </c>
      <c r="G1384" s="1">
        <v>1</v>
      </c>
      <c r="H1384" s="1">
        <v>2</v>
      </c>
      <c r="I1384" s="1">
        <v>0</v>
      </c>
      <c r="J1384" s="1">
        <v>0</v>
      </c>
      <c r="K1384" s="1">
        <v>0</v>
      </c>
      <c r="L1384" s="1">
        <v>1045</v>
      </c>
      <c r="M1384" s="1">
        <v>0</v>
      </c>
    </row>
    <row r="1385" spans="2:13" x14ac:dyDescent="0.25">
      <c r="B1385" s="1">
        <v>0</v>
      </c>
      <c r="C1385" s="1">
        <v>0</v>
      </c>
      <c r="D1385" s="1">
        <v>0.7857142857142857</v>
      </c>
      <c r="E1385" s="1">
        <v>0.21428571428571427</v>
      </c>
      <c r="F1385" s="1">
        <v>0</v>
      </c>
      <c r="G1385" s="1">
        <v>1</v>
      </c>
      <c r="H1385" s="1">
        <v>2</v>
      </c>
      <c r="I1385" s="1">
        <v>0</v>
      </c>
      <c r="J1385" s="1">
        <v>0</v>
      </c>
      <c r="K1385" s="1">
        <v>0</v>
      </c>
      <c r="L1385" s="1">
        <v>1070</v>
      </c>
      <c r="M1385" s="1">
        <v>0</v>
      </c>
    </row>
    <row r="1386" spans="2:13" x14ac:dyDescent="0.25">
      <c r="B1386" s="1">
        <v>0</v>
      </c>
      <c r="C1386" s="1">
        <v>0</v>
      </c>
      <c r="D1386" s="1">
        <v>0.91666666666666663</v>
      </c>
      <c r="E1386" s="1">
        <v>8.3333333333333329E-2</v>
      </c>
      <c r="F1386" s="1">
        <v>0</v>
      </c>
      <c r="G1386" s="1">
        <v>1</v>
      </c>
      <c r="H1386" s="1">
        <v>2</v>
      </c>
      <c r="I1386" s="1">
        <v>0</v>
      </c>
      <c r="J1386" s="1">
        <v>0</v>
      </c>
      <c r="K1386" s="1">
        <v>0</v>
      </c>
      <c r="L1386" s="1">
        <v>1191</v>
      </c>
      <c r="M1386" s="1">
        <v>0</v>
      </c>
    </row>
    <row r="1387" spans="2:13" x14ac:dyDescent="0.25">
      <c r="B1387" s="1">
        <v>0</v>
      </c>
      <c r="C1387" s="1">
        <v>0</v>
      </c>
      <c r="D1387" s="1">
        <v>0.7857142857142857</v>
      </c>
      <c r="E1387" s="1">
        <v>0.21428571428571427</v>
      </c>
      <c r="F1387" s="1">
        <v>0</v>
      </c>
      <c r="G1387" s="1">
        <v>1</v>
      </c>
      <c r="H1387" s="1">
        <v>2</v>
      </c>
      <c r="I1387" s="1">
        <v>0</v>
      </c>
      <c r="J1387" s="1">
        <v>0</v>
      </c>
      <c r="K1387" s="1">
        <v>0</v>
      </c>
      <c r="L1387" s="1">
        <v>1045</v>
      </c>
      <c r="M1387" s="1">
        <v>0</v>
      </c>
    </row>
    <row r="1388" spans="2:13" x14ac:dyDescent="0.25">
      <c r="B1388" s="1">
        <v>0</v>
      </c>
      <c r="C1388" s="1">
        <v>0</v>
      </c>
      <c r="D1388" s="1">
        <v>0.91666666666666663</v>
      </c>
      <c r="E1388" s="1">
        <v>8.3333333333333329E-2</v>
      </c>
      <c r="F1388" s="1">
        <v>0</v>
      </c>
      <c r="G1388" s="1">
        <v>1</v>
      </c>
      <c r="H1388" s="1">
        <v>2</v>
      </c>
      <c r="I1388" s="1">
        <v>0</v>
      </c>
      <c r="J1388" s="1">
        <v>0</v>
      </c>
      <c r="K1388" s="1">
        <v>0</v>
      </c>
      <c r="L1388" s="1">
        <v>1213</v>
      </c>
      <c r="M1388" s="1">
        <v>0</v>
      </c>
    </row>
    <row r="1389" spans="2:13" x14ac:dyDescent="0.25">
      <c r="B1389" s="1">
        <v>0</v>
      </c>
      <c r="C1389" s="1">
        <v>0</v>
      </c>
      <c r="D1389" s="1">
        <v>1</v>
      </c>
      <c r="E1389" s="1">
        <v>0</v>
      </c>
      <c r="F1389" s="1">
        <v>0</v>
      </c>
      <c r="G1389" s="1">
        <v>1</v>
      </c>
      <c r="H1389" s="1">
        <v>2</v>
      </c>
      <c r="I1389" s="1">
        <v>0</v>
      </c>
      <c r="J1389" s="1">
        <v>0</v>
      </c>
      <c r="K1389" s="1">
        <v>0</v>
      </c>
      <c r="L1389" s="1">
        <v>1740</v>
      </c>
      <c r="M1389" s="1">
        <v>0</v>
      </c>
    </row>
    <row r="1390" spans="2:13" x14ac:dyDescent="0.25">
      <c r="B1390" s="1">
        <v>0</v>
      </c>
      <c r="C1390" s="1">
        <v>0</v>
      </c>
      <c r="D1390" s="1">
        <v>0.91666666666666663</v>
      </c>
      <c r="E1390" s="1">
        <v>8.3333333333333329E-2</v>
      </c>
      <c r="F1390" s="1">
        <v>0</v>
      </c>
      <c r="G1390" s="1">
        <v>1</v>
      </c>
      <c r="H1390" s="1">
        <v>2</v>
      </c>
      <c r="I1390" s="1">
        <v>0</v>
      </c>
      <c r="J1390" s="1">
        <v>0</v>
      </c>
      <c r="K1390" s="1">
        <v>0</v>
      </c>
      <c r="L1390" s="1">
        <v>1191</v>
      </c>
      <c r="M1390" s="1">
        <v>0</v>
      </c>
    </row>
    <row r="1391" spans="2:13" x14ac:dyDescent="0.25">
      <c r="B1391" s="1">
        <v>0</v>
      </c>
      <c r="C1391" s="1">
        <v>0</v>
      </c>
      <c r="D1391" s="1">
        <v>1</v>
      </c>
      <c r="E1391" s="1">
        <v>0</v>
      </c>
      <c r="F1391" s="1">
        <v>0</v>
      </c>
      <c r="G1391" s="1">
        <v>0</v>
      </c>
      <c r="H1391" s="1">
        <v>3</v>
      </c>
      <c r="I1391" s="1">
        <v>0</v>
      </c>
      <c r="J1391" s="1">
        <v>2</v>
      </c>
      <c r="K1391" s="1">
        <v>0</v>
      </c>
      <c r="L1391" s="1">
        <v>7131</v>
      </c>
      <c r="M1391" s="1">
        <v>0</v>
      </c>
    </row>
    <row r="1392" spans="2:13" x14ac:dyDescent="0.25">
      <c r="B1392" s="1">
        <v>0</v>
      </c>
      <c r="C1392" s="1">
        <v>0</v>
      </c>
      <c r="D1392" s="1">
        <v>0.7857142857142857</v>
      </c>
      <c r="E1392" s="1">
        <v>0.21428571428571427</v>
      </c>
      <c r="F1392" s="1">
        <v>0</v>
      </c>
      <c r="G1392" s="1">
        <v>1</v>
      </c>
      <c r="H1392" s="1">
        <v>2</v>
      </c>
      <c r="I1392" s="1">
        <v>0</v>
      </c>
      <c r="J1392" s="1">
        <v>0</v>
      </c>
      <c r="K1392" s="1">
        <v>0</v>
      </c>
      <c r="L1392" s="1">
        <v>1045</v>
      </c>
      <c r="M1392" s="1">
        <v>0</v>
      </c>
    </row>
    <row r="1393" spans="2:13" x14ac:dyDescent="0.25">
      <c r="B1393" s="1">
        <v>0</v>
      </c>
      <c r="C1393" s="1">
        <v>0</v>
      </c>
      <c r="D1393" s="1">
        <v>1</v>
      </c>
      <c r="E1393" s="1">
        <v>0</v>
      </c>
      <c r="F1393" s="1">
        <v>0</v>
      </c>
      <c r="G1393" s="1">
        <v>1</v>
      </c>
      <c r="H1393" s="1">
        <v>3</v>
      </c>
      <c r="I1393" s="1">
        <v>0</v>
      </c>
      <c r="J1393" s="1">
        <v>0</v>
      </c>
      <c r="K1393" s="1">
        <v>0</v>
      </c>
      <c r="L1393" s="1">
        <v>2433</v>
      </c>
      <c r="M1393" s="1">
        <v>0</v>
      </c>
    </row>
    <row r="1394" spans="2:13" x14ac:dyDescent="0.25">
      <c r="B1394" s="1">
        <v>0</v>
      </c>
      <c r="C1394" s="1">
        <v>0</v>
      </c>
      <c r="D1394" s="1">
        <v>1</v>
      </c>
      <c r="E1394" s="1">
        <v>0</v>
      </c>
      <c r="F1394" s="1">
        <v>0</v>
      </c>
      <c r="G1394" s="1">
        <v>0</v>
      </c>
      <c r="H1394" s="1">
        <v>2</v>
      </c>
      <c r="I1394" s="1">
        <v>0</v>
      </c>
      <c r="J1394" s="1">
        <v>1</v>
      </c>
      <c r="K1394" s="1">
        <v>0</v>
      </c>
      <c r="L1394" s="1">
        <v>2402</v>
      </c>
      <c r="M1394" s="1">
        <v>1</v>
      </c>
    </row>
    <row r="1395" spans="2:13" x14ac:dyDescent="0.25">
      <c r="B1395" s="1">
        <v>0</v>
      </c>
      <c r="C1395" s="1">
        <v>0</v>
      </c>
      <c r="D1395" s="1">
        <v>1</v>
      </c>
      <c r="E1395" s="1">
        <v>0</v>
      </c>
      <c r="F1395" s="1">
        <v>0</v>
      </c>
      <c r="G1395" s="1">
        <v>0</v>
      </c>
      <c r="H1395" s="1">
        <v>2</v>
      </c>
      <c r="I1395" s="1">
        <v>0</v>
      </c>
      <c r="J1395" s="1">
        <v>1</v>
      </c>
      <c r="K1395" s="1">
        <v>0</v>
      </c>
      <c r="L1395" s="1">
        <v>2154</v>
      </c>
      <c r="M1395" s="1">
        <v>1</v>
      </c>
    </row>
    <row r="1396" spans="2:13" x14ac:dyDescent="0.25">
      <c r="B1396" s="1">
        <v>0</v>
      </c>
      <c r="C1396" s="1">
        <v>0</v>
      </c>
      <c r="D1396" s="1">
        <v>1</v>
      </c>
      <c r="E1396" s="1">
        <v>0</v>
      </c>
      <c r="F1396" s="1">
        <v>0</v>
      </c>
      <c r="G1396" s="1">
        <v>0</v>
      </c>
      <c r="H1396" s="1">
        <v>2</v>
      </c>
      <c r="I1396" s="1">
        <v>0</v>
      </c>
      <c r="J1396" s="1">
        <v>1</v>
      </c>
      <c r="K1396" s="1">
        <v>0</v>
      </c>
      <c r="L1396" s="1">
        <v>1304</v>
      </c>
      <c r="M1396" s="1">
        <v>1</v>
      </c>
    </row>
    <row r="1397" spans="2:13" x14ac:dyDescent="0.25">
      <c r="B1397" s="1">
        <v>0</v>
      </c>
      <c r="C1397" s="1">
        <v>0</v>
      </c>
      <c r="D1397" s="1">
        <v>1</v>
      </c>
      <c r="E1397" s="1">
        <v>0</v>
      </c>
      <c r="F1397" s="1">
        <v>0</v>
      </c>
      <c r="G1397" s="1">
        <v>0</v>
      </c>
      <c r="H1397" s="1">
        <v>2</v>
      </c>
      <c r="I1397" s="1">
        <v>0</v>
      </c>
      <c r="J1397" s="1">
        <v>1</v>
      </c>
      <c r="K1397" s="1">
        <v>0</v>
      </c>
      <c r="L1397" s="1">
        <v>1374</v>
      </c>
      <c r="M1397" s="1">
        <v>1</v>
      </c>
    </row>
    <row r="1398" spans="2:13" x14ac:dyDescent="0.25">
      <c r="B1398" s="1">
        <v>0</v>
      </c>
      <c r="C1398" s="1">
        <v>0</v>
      </c>
      <c r="D1398" s="1">
        <v>1</v>
      </c>
      <c r="E1398" s="1">
        <v>0</v>
      </c>
      <c r="F1398" s="1">
        <v>0</v>
      </c>
      <c r="G1398" s="1">
        <v>0</v>
      </c>
      <c r="H1398" s="1">
        <v>2</v>
      </c>
      <c r="I1398" s="1">
        <v>0</v>
      </c>
      <c r="J1398" s="1">
        <v>1</v>
      </c>
      <c r="K1398" s="1">
        <v>0</v>
      </c>
      <c r="L1398" s="1">
        <v>1478</v>
      </c>
      <c r="M1398" s="1">
        <v>1</v>
      </c>
    </row>
    <row r="1399" spans="2:13" x14ac:dyDescent="0.25">
      <c r="B1399" s="1">
        <v>0</v>
      </c>
      <c r="C1399" s="1">
        <v>0</v>
      </c>
      <c r="D1399" s="1">
        <v>1</v>
      </c>
      <c r="E1399" s="1">
        <v>0</v>
      </c>
      <c r="F1399" s="1">
        <v>0</v>
      </c>
      <c r="G1399" s="1">
        <v>0</v>
      </c>
      <c r="H1399" s="1">
        <v>2</v>
      </c>
      <c r="I1399" s="1">
        <v>0</v>
      </c>
      <c r="J1399" s="1">
        <v>1</v>
      </c>
      <c r="K1399" s="1">
        <v>0</v>
      </c>
      <c r="L1399" s="1">
        <v>1517</v>
      </c>
      <c r="M1399" s="1">
        <v>1</v>
      </c>
    </row>
    <row r="1400" spans="2:13" x14ac:dyDescent="0.25">
      <c r="B1400" s="1">
        <v>0</v>
      </c>
      <c r="C1400" s="1">
        <v>0</v>
      </c>
      <c r="D1400" s="1">
        <v>1</v>
      </c>
      <c r="E1400" s="1">
        <v>0</v>
      </c>
      <c r="F1400" s="1">
        <v>0</v>
      </c>
      <c r="G1400" s="1">
        <v>0</v>
      </c>
      <c r="H1400" s="1">
        <v>2</v>
      </c>
      <c r="I1400" s="1">
        <v>0</v>
      </c>
      <c r="J1400" s="1">
        <v>1</v>
      </c>
      <c r="K1400" s="1">
        <v>0</v>
      </c>
      <c r="L1400" s="1">
        <v>1391</v>
      </c>
      <c r="M1400" s="1">
        <v>1</v>
      </c>
    </row>
    <row r="1401" spans="2:13" x14ac:dyDescent="0.25">
      <c r="B1401" s="1">
        <v>0</v>
      </c>
      <c r="C1401" s="1">
        <v>0</v>
      </c>
      <c r="D1401" s="1">
        <v>1</v>
      </c>
      <c r="E1401" s="1">
        <v>0</v>
      </c>
      <c r="F1401" s="1">
        <v>0</v>
      </c>
      <c r="G1401" s="1">
        <v>0</v>
      </c>
      <c r="H1401" s="1">
        <v>2</v>
      </c>
      <c r="I1401" s="1">
        <v>0</v>
      </c>
      <c r="J1401" s="1">
        <v>1</v>
      </c>
      <c r="K1401" s="1">
        <v>0</v>
      </c>
      <c r="L1401" s="1">
        <v>1391</v>
      </c>
      <c r="M1401" s="1">
        <v>1</v>
      </c>
    </row>
    <row r="1402" spans="2:13" x14ac:dyDescent="0.25">
      <c r="B1402" s="1">
        <v>0</v>
      </c>
      <c r="C1402" s="1">
        <v>0</v>
      </c>
      <c r="D1402" s="1">
        <v>1</v>
      </c>
      <c r="E1402" s="1">
        <v>0</v>
      </c>
      <c r="F1402" s="1">
        <v>0</v>
      </c>
      <c r="G1402" s="1">
        <v>0</v>
      </c>
      <c r="H1402" s="1">
        <v>2</v>
      </c>
      <c r="I1402" s="1">
        <v>0</v>
      </c>
      <c r="J1402" s="1">
        <v>1</v>
      </c>
      <c r="K1402" s="1">
        <v>0</v>
      </c>
      <c r="L1402" s="1">
        <v>1391</v>
      </c>
      <c r="M1402" s="1">
        <v>1</v>
      </c>
    </row>
    <row r="1403" spans="2:13" x14ac:dyDescent="0.25">
      <c r="B1403" s="1">
        <v>0</v>
      </c>
      <c r="C1403" s="1">
        <v>0</v>
      </c>
      <c r="D1403" s="1">
        <v>0.9</v>
      </c>
      <c r="E1403" s="1">
        <v>9.9999999999999992E-2</v>
      </c>
      <c r="F1403" s="1">
        <v>0</v>
      </c>
      <c r="G1403" s="1">
        <v>0</v>
      </c>
      <c r="H1403" s="1">
        <v>11</v>
      </c>
      <c r="I1403" s="1">
        <v>0</v>
      </c>
      <c r="J1403" s="1">
        <v>4</v>
      </c>
      <c r="K1403" s="1">
        <v>0</v>
      </c>
      <c r="L1403" s="1">
        <v>21669</v>
      </c>
      <c r="M1403" s="1">
        <v>1</v>
      </c>
    </row>
    <row r="1404" spans="2:13" x14ac:dyDescent="0.25">
      <c r="B1404" s="1">
        <v>0</v>
      </c>
      <c r="C1404" s="1">
        <v>0</v>
      </c>
      <c r="D1404" s="1">
        <v>0.9285714285714286</v>
      </c>
      <c r="E1404" s="1">
        <v>7.1428571428571411E-2</v>
      </c>
      <c r="F1404" s="1">
        <v>0</v>
      </c>
      <c r="G1404" s="1">
        <v>0</v>
      </c>
      <c r="H1404" s="1">
        <v>2</v>
      </c>
      <c r="I1404" s="1">
        <v>0</v>
      </c>
      <c r="J1404" s="1">
        <v>1</v>
      </c>
      <c r="K1404" s="1">
        <v>0</v>
      </c>
      <c r="L1404" s="1">
        <v>1245</v>
      </c>
      <c r="M1404" s="1">
        <v>1</v>
      </c>
    </row>
    <row r="1405" spans="2:13" x14ac:dyDescent="0.25">
      <c r="B1405" s="1">
        <v>0</v>
      </c>
      <c r="C1405" s="1">
        <v>0</v>
      </c>
      <c r="D1405" s="1">
        <v>1</v>
      </c>
      <c r="E1405" s="1">
        <v>0</v>
      </c>
      <c r="F1405" s="1">
        <v>0</v>
      </c>
      <c r="G1405" s="1">
        <v>0</v>
      </c>
      <c r="H1405" s="1">
        <v>2</v>
      </c>
      <c r="I1405" s="1">
        <v>0</v>
      </c>
      <c r="J1405" s="1">
        <v>1</v>
      </c>
      <c r="K1405" s="1">
        <v>0</v>
      </c>
      <c r="L1405" s="1">
        <v>1362</v>
      </c>
      <c r="M1405" s="1">
        <v>1</v>
      </c>
    </row>
    <row r="1406" spans="2:13" x14ac:dyDescent="0.25">
      <c r="B1406" s="1">
        <v>0</v>
      </c>
      <c r="C1406" s="1">
        <v>0</v>
      </c>
      <c r="D1406" s="1">
        <v>1</v>
      </c>
      <c r="E1406" s="1">
        <v>0</v>
      </c>
      <c r="F1406" s="1">
        <v>0</v>
      </c>
      <c r="G1406" s="1">
        <v>0</v>
      </c>
      <c r="H1406" s="1">
        <v>2</v>
      </c>
      <c r="I1406" s="1">
        <v>0</v>
      </c>
      <c r="J1406" s="1">
        <v>1</v>
      </c>
      <c r="K1406" s="1">
        <v>0</v>
      </c>
      <c r="L1406" s="1">
        <v>1337</v>
      </c>
      <c r="M1406" s="1">
        <v>1</v>
      </c>
    </row>
    <row r="1407" spans="2:13" x14ac:dyDescent="0.25">
      <c r="B1407" s="1">
        <v>0</v>
      </c>
      <c r="C1407" s="1">
        <v>0</v>
      </c>
      <c r="D1407" s="1">
        <v>0.9285714285714286</v>
      </c>
      <c r="E1407" s="1">
        <v>7.1428571428571411E-2</v>
      </c>
      <c r="F1407" s="1">
        <v>0</v>
      </c>
      <c r="G1407" s="1">
        <v>0</v>
      </c>
      <c r="H1407" s="1">
        <v>2</v>
      </c>
      <c r="I1407" s="1">
        <v>0</v>
      </c>
      <c r="J1407" s="1">
        <v>1</v>
      </c>
      <c r="K1407" s="1">
        <v>0</v>
      </c>
      <c r="L1407" s="1">
        <v>1245</v>
      </c>
      <c r="M1407" s="1">
        <v>1</v>
      </c>
    </row>
    <row r="1408" spans="2:13" x14ac:dyDescent="0.25">
      <c r="B1408" s="1">
        <v>0</v>
      </c>
      <c r="C1408" s="1">
        <v>0</v>
      </c>
      <c r="D1408" s="1">
        <v>1</v>
      </c>
      <c r="E1408" s="1">
        <v>0</v>
      </c>
      <c r="F1408" s="1">
        <v>0</v>
      </c>
      <c r="G1408" s="1">
        <v>0</v>
      </c>
      <c r="H1408" s="1">
        <v>2</v>
      </c>
      <c r="I1408" s="1">
        <v>0</v>
      </c>
      <c r="J1408" s="1">
        <v>1</v>
      </c>
      <c r="K1408" s="1">
        <v>0</v>
      </c>
      <c r="L1408" s="1">
        <v>1740</v>
      </c>
      <c r="M1408" s="1">
        <v>1</v>
      </c>
    </row>
    <row r="1409" spans="2:13" x14ac:dyDescent="0.25">
      <c r="B1409" s="1">
        <v>0</v>
      </c>
      <c r="C1409" s="1">
        <v>0</v>
      </c>
      <c r="D1409" s="1">
        <v>1</v>
      </c>
      <c r="E1409" s="1">
        <v>0</v>
      </c>
      <c r="F1409" s="1">
        <v>0</v>
      </c>
      <c r="G1409" s="1">
        <v>0</v>
      </c>
      <c r="H1409" s="1">
        <v>2</v>
      </c>
      <c r="I1409" s="1">
        <v>0</v>
      </c>
      <c r="J1409" s="1">
        <v>1</v>
      </c>
      <c r="K1409" s="1">
        <v>0</v>
      </c>
      <c r="L1409" s="1">
        <v>1888</v>
      </c>
      <c r="M1409" s="1">
        <v>1</v>
      </c>
    </row>
    <row r="1410" spans="2:13" x14ac:dyDescent="0.25">
      <c r="B1410" s="1">
        <v>0</v>
      </c>
      <c r="C1410" s="1">
        <v>0</v>
      </c>
      <c r="D1410" s="1">
        <v>1</v>
      </c>
      <c r="E1410" s="1">
        <v>0</v>
      </c>
      <c r="F1410" s="1">
        <v>0</v>
      </c>
      <c r="G1410" s="1">
        <v>0</v>
      </c>
      <c r="H1410" s="1">
        <v>2</v>
      </c>
      <c r="I1410" s="1">
        <v>0</v>
      </c>
      <c r="J1410" s="1">
        <v>1</v>
      </c>
      <c r="K1410" s="1">
        <v>0</v>
      </c>
      <c r="L1410" s="1">
        <v>5270</v>
      </c>
      <c r="M1410" s="1">
        <v>1</v>
      </c>
    </row>
    <row r="1411" spans="2:13" x14ac:dyDescent="0.25">
      <c r="B1411" s="1">
        <v>1</v>
      </c>
      <c r="C1411" s="1">
        <v>1</v>
      </c>
      <c r="D1411" s="1">
        <v>0</v>
      </c>
      <c r="E1411" s="1">
        <v>1</v>
      </c>
      <c r="F1411" s="1">
        <v>98</v>
      </c>
      <c r="G1411" s="1">
        <v>1</v>
      </c>
      <c r="H1411" s="1">
        <v>9</v>
      </c>
      <c r="I1411" s="1">
        <v>3</v>
      </c>
      <c r="J1411" s="1">
        <v>5</v>
      </c>
      <c r="K1411" s="1">
        <v>1</v>
      </c>
      <c r="L1411" s="1">
        <v>30546</v>
      </c>
      <c r="M1411" s="1">
        <v>0</v>
      </c>
    </row>
    <row r="1412" spans="2:13" x14ac:dyDescent="0.25">
      <c r="B1412" s="1">
        <v>1</v>
      </c>
      <c r="C1412" s="1">
        <v>1</v>
      </c>
      <c r="D1412" s="1">
        <v>0</v>
      </c>
      <c r="E1412" s="1">
        <v>1</v>
      </c>
      <c r="F1412" s="1">
        <v>96</v>
      </c>
      <c r="G1412" s="1">
        <v>0</v>
      </c>
      <c r="H1412" s="1">
        <v>2</v>
      </c>
      <c r="I1412" s="1">
        <v>5</v>
      </c>
      <c r="J1412" s="1">
        <v>0</v>
      </c>
      <c r="K1412" s="1">
        <v>1</v>
      </c>
      <c r="L1412" s="1">
        <v>6028</v>
      </c>
      <c r="M1412" s="1">
        <v>0</v>
      </c>
    </row>
    <row r="1413" spans="2:13" x14ac:dyDescent="0.25">
      <c r="B1413" s="1">
        <v>1</v>
      </c>
      <c r="C1413" s="1">
        <v>1</v>
      </c>
      <c r="D1413" s="1">
        <v>0</v>
      </c>
      <c r="E1413" s="1">
        <v>1</v>
      </c>
      <c r="F1413" s="1">
        <v>96</v>
      </c>
      <c r="G1413" s="1">
        <v>1</v>
      </c>
      <c r="H1413" s="1">
        <v>4</v>
      </c>
      <c r="I1413" s="1">
        <v>6</v>
      </c>
      <c r="J1413" s="1">
        <v>1</v>
      </c>
      <c r="K1413" s="1">
        <v>1</v>
      </c>
      <c r="L1413" s="1">
        <v>14113</v>
      </c>
      <c r="M1413" s="1">
        <v>1</v>
      </c>
    </row>
    <row r="1414" spans="2:13" x14ac:dyDescent="0.25">
      <c r="B1414" s="1">
        <v>1</v>
      </c>
      <c r="C1414" s="1">
        <v>1</v>
      </c>
      <c r="D1414" s="1">
        <v>0</v>
      </c>
      <c r="E1414" s="1">
        <v>1</v>
      </c>
      <c r="F1414" s="1">
        <v>95</v>
      </c>
      <c r="G1414" s="1">
        <v>1</v>
      </c>
      <c r="H1414" s="1">
        <v>16</v>
      </c>
      <c r="I1414" s="1">
        <v>5</v>
      </c>
      <c r="J1414" s="1">
        <v>3</v>
      </c>
      <c r="K1414" s="1">
        <v>1</v>
      </c>
      <c r="L1414" s="1">
        <v>53316</v>
      </c>
      <c r="M1414" s="1">
        <v>0</v>
      </c>
    </row>
    <row r="1415" spans="2:13" x14ac:dyDescent="0.25">
      <c r="B1415" s="1">
        <v>1</v>
      </c>
      <c r="C1415" s="1">
        <v>1</v>
      </c>
      <c r="D1415" s="1">
        <v>0</v>
      </c>
      <c r="E1415" s="1">
        <v>1</v>
      </c>
      <c r="F1415" s="1">
        <v>94</v>
      </c>
      <c r="G1415" s="1">
        <v>0</v>
      </c>
      <c r="H1415" s="1">
        <v>2</v>
      </c>
      <c r="I1415" s="1">
        <v>4</v>
      </c>
      <c r="J1415" s="1">
        <v>0</v>
      </c>
      <c r="K1415" s="1">
        <v>1</v>
      </c>
      <c r="L1415" s="1">
        <v>12213</v>
      </c>
      <c r="M1415" s="1">
        <v>0</v>
      </c>
    </row>
    <row r="1416" spans="2:13" x14ac:dyDescent="0.25">
      <c r="B1416" s="1">
        <v>1</v>
      </c>
      <c r="C1416" s="1">
        <v>1</v>
      </c>
      <c r="D1416" s="1">
        <v>0</v>
      </c>
      <c r="E1416" s="1">
        <v>1</v>
      </c>
      <c r="F1416" s="1">
        <v>94</v>
      </c>
      <c r="G1416" s="1">
        <v>1</v>
      </c>
      <c r="H1416" s="1">
        <v>16</v>
      </c>
      <c r="I1416" s="1">
        <v>6</v>
      </c>
      <c r="J1416" s="1">
        <v>2</v>
      </c>
      <c r="K1416" s="1">
        <v>1</v>
      </c>
      <c r="L1416" s="1">
        <v>59500</v>
      </c>
      <c r="M1416" s="1">
        <v>0</v>
      </c>
    </row>
    <row r="1417" spans="2:13" x14ac:dyDescent="0.25">
      <c r="B1417" s="1">
        <v>1</v>
      </c>
      <c r="C1417" s="1">
        <v>1</v>
      </c>
      <c r="D1417" s="1">
        <v>0</v>
      </c>
      <c r="E1417" s="1">
        <v>1</v>
      </c>
      <c r="F1417" s="1">
        <v>94</v>
      </c>
      <c r="G1417" s="1">
        <v>1</v>
      </c>
      <c r="H1417" s="1">
        <v>6</v>
      </c>
      <c r="I1417" s="1">
        <v>3</v>
      </c>
      <c r="J1417" s="1">
        <v>2</v>
      </c>
      <c r="K1417" s="1">
        <v>1</v>
      </c>
      <c r="L1417" s="1">
        <v>19411</v>
      </c>
      <c r="M1417" s="1">
        <v>0</v>
      </c>
    </row>
    <row r="1418" spans="2:13" x14ac:dyDescent="0.25">
      <c r="B1418" s="1">
        <v>1</v>
      </c>
      <c r="C1418" s="1">
        <v>1</v>
      </c>
      <c r="D1418" s="1">
        <v>0</v>
      </c>
      <c r="E1418" s="1">
        <v>1</v>
      </c>
      <c r="F1418" s="1">
        <v>94</v>
      </c>
      <c r="G1418" s="1">
        <v>1</v>
      </c>
      <c r="H1418" s="1">
        <v>2</v>
      </c>
      <c r="I1418" s="1">
        <v>5</v>
      </c>
      <c r="J1418" s="1">
        <v>0</v>
      </c>
      <c r="K1418" s="1">
        <v>1</v>
      </c>
      <c r="L1418" s="1">
        <v>8213</v>
      </c>
      <c r="M1418" s="1">
        <v>0</v>
      </c>
    </row>
    <row r="1419" spans="2:13" x14ac:dyDescent="0.25">
      <c r="B1419" s="1">
        <v>1</v>
      </c>
      <c r="C1419" s="1">
        <v>1</v>
      </c>
      <c r="D1419" s="1">
        <v>0</v>
      </c>
      <c r="E1419" s="1">
        <v>1</v>
      </c>
      <c r="F1419" s="1">
        <v>92</v>
      </c>
      <c r="G1419" s="1">
        <v>1</v>
      </c>
      <c r="H1419" s="1">
        <v>1</v>
      </c>
      <c r="I1419" s="1">
        <v>4</v>
      </c>
      <c r="J1419" s="1">
        <v>0</v>
      </c>
      <c r="K1419" s="1">
        <v>1</v>
      </c>
      <c r="L1419" s="1">
        <v>3269</v>
      </c>
      <c r="M1419" s="1">
        <v>0</v>
      </c>
    </row>
    <row r="1420" spans="2:13" x14ac:dyDescent="0.25">
      <c r="B1420" s="1">
        <v>1</v>
      </c>
      <c r="C1420" s="1">
        <v>1</v>
      </c>
      <c r="D1420" s="1">
        <v>0</v>
      </c>
      <c r="E1420" s="1">
        <v>1</v>
      </c>
      <c r="F1420" s="1">
        <v>92</v>
      </c>
      <c r="G1420" s="1">
        <v>1</v>
      </c>
      <c r="H1420" s="1">
        <v>16</v>
      </c>
      <c r="I1420" s="1">
        <v>4</v>
      </c>
      <c r="J1420" s="1">
        <v>2</v>
      </c>
      <c r="K1420" s="1">
        <v>1</v>
      </c>
      <c r="L1420" s="1">
        <v>42808</v>
      </c>
      <c r="M1420" s="1">
        <v>0</v>
      </c>
    </row>
    <row r="1421" spans="2:13" x14ac:dyDescent="0.25">
      <c r="B1421" s="1">
        <v>1</v>
      </c>
      <c r="C1421" s="1">
        <v>1</v>
      </c>
      <c r="D1421" s="1">
        <v>0</v>
      </c>
      <c r="E1421" s="1">
        <v>1</v>
      </c>
      <c r="F1421" s="1">
        <v>92</v>
      </c>
      <c r="G1421" s="1">
        <v>1</v>
      </c>
      <c r="H1421" s="1">
        <v>7</v>
      </c>
      <c r="I1421" s="1">
        <v>6</v>
      </c>
      <c r="J1421" s="1">
        <v>0</v>
      </c>
      <c r="K1421" s="1">
        <v>1</v>
      </c>
      <c r="L1421" s="1">
        <v>18650</v>
      </c>
      <c r="M1421" s="1">
        <v>0</v>
      </c>
    </row>
    <row r="1422" spans="2:13" x14ac:dyDescent="0.25">
      <c r="B1422" s="1">
        <v>1</v>
      </c>
      <c r="C1422" s="1">
        <v>1</v>
      </c>
      <c r="D1422" s="1">
        <v>0</v>
      </c>
      <c r="E1422" s="1">
        <v>1</v>
      </c>
      <c r="F1422" s="1">
        <v>92</v>
      </c>
      <c r="G1422" s="1">
        <v>1</v>
      </c>
      <c r="H1422" s="1">
        <v>1</v>
      </c>
      <c r="I1422" s="1">
        <v>2</v>
      </c>
      <c r="J1422" s="1">
        <v>0</v>
      </c>
      <c r="K1422" s="1">
        <v>1</v>
      </c>
      <c r="L1422" s="1">
        <v>3714</v>
      </c>
      <c r="M1422" s="1">
        <v>0</v>
      </c>
    </row>
    <row r="1423" spans="2:13" x14ac:dyDescent="0.25">
      <c r="B1423" s="1">
        <v>1</v>
      </c>
      <c r="C1423" s="1">
        <v>1</v>
      </c>
      <c r="D1423" s="1">
        <v>0</v>
      </c>
      <c r="E1423" s="1">
        <v>1</v>
      </c>
      <c r="F1423" s="1">
        <v>92</v>
      </c>
      <c r="G1423" s="1">
        <v>0</v>
      </c>
      <c r="H1423" s="1">
        <v>4</v>
      </c>
      <c r="I1423" s="1">
        <v>4</v>
      </c>
      <c r="J1423" s="1">
        <v>0</v>
      </c>
      <c r="K1423" s="1">
        <v>1</v>
      </c>
      <c r="L1423" s="1">
        <v>8492</v>
      </c>
      <c r="M1423" s="1">
        <v>0</v>
      </c>
    </row>
    <row r="1424" spans="2:13" x14ac:dyDescent="0.25">
      <c r="B1424" s="1">
        <v>1</v>
      </c>
      <c r="C1424" s="1">
        <v>1</v>
      </c>
      <c r="D1424" s="1">
        <v>0</v>
      </c>
      <c r="E1424" s="1">
        <v>1</v>
      </c>
      <c r="F1424" s="1">
        <v>92</v>
      </c>
      <c r="G1424" s="1">
        <v>1</v>
      </c>
      <c r="H1424" s="1">
        <v>1</v>
      </c>
      <c r="I1424" s="1">
        <v>3</v>
      </c>
      <c r="J1424" s="1">
        <v>5</v>
      </c>
      <c r="K1424" s="1">
        <v>1</v>
      </c>
      <c r="L1424" s="1">
        <v>21504</v>
      </c>
      <c r="M1424" s="1">
        <v>1</v>
      </c>
    </row>
    <row r="1425" spans="2:13" x14ac:dyDescent="0.25">
      <c r="B1425" s="1">
        <v>1</v>
      </c>
      <c r="C1425" s="1">
        <v>1</v>
      </c>
      <c r="D1425" s="1">
        <v>0</v>
      </c>
      <c r="E1425" s="1">
        <v>1</v>
      </c>
      <c r="F1425" s="1">
        <v>91</v>
      </c>
      <c r="G1425" s="1">
        <v>1</v>
      </c>
      <c r="H1425" s="1">
        <v>6</v>
      </c>
      <c r="I1425" s="1">
        <v>5</v>
      </c>
      <c r="J1425" s="1">
        <v>1</v>
      </c>
      <c r="K1425" s="1">
        <v>1</v>
      </c>
      <c r="L1425" s="1">
        <v>10351</v>
      </c>
      <c r="M1425" s="1">
        <v>0</v>
      </c>
    </row>
    <row r="1426" spans="2:13" x14ac:dyDescent="0.25">
      <c r="B1426" s="1">
        <v>1</v>
      </c>
      <c r="C1426" s="1">
        <v>1</v>
      </c>
      <c r="D1426" s="1">
        <v>0</v>
      </c>
      <c r="E1426" s="1">
        <v>1</v>
      </c>
      <c r="F1426" s="1">
        <v>91</v>
      </c>
      <c r="G1426" s="1">
        <v>1</v>
      </c>
      <c r="H1426" s="1">
        <v>3</v>
      </c>
      <c r="I1426" s="1">
        <v>7</v>
      </c>
      <c r="J1426" s="1">
        <v>1</v>
      </c>
      <c r="K1426" s="1">
        <v>1</v>
      </c>
      <c r="L1426" s="1">
        <v>10991</v>
      </c>
      <c r="M1426" s="1">
        <v>0</v>
      </c>
    </row>
    <row r="1427" spans="2:13" x14ac:dyDescent="0.25">
      <c r="B1427" s="1">
        <v>1</v>
      </c>
      <c r="C1427" s="1">
        <v>1</v>
      </c>
      <c r="D1427" s="1">
        <v>0</v>
      </c>
      <c r="E1427" s="1">
        <v>1</v>
      </c>
      <c r="F1427" s="1">
        <v>91</v>
      </c>
      <c r="G1427" s="1">
        <v>1</v>
      </c>
      <c r="H1427" s="1">
        <v>2</v>
      </c>
      <c r="I1427" s="1">
        <v>7</v>
      </c>
      <c r="J1427" s="1">
        <v>0</v>
      </c>
      <c r="K1427" s="1">
        <v>1</v>
      </c>
      <c r="L1427" s="1">
        <v>8392</v>
      </c>
      <c r="M1427" s="1">
        <v>0</v>
      </c>
    </row>
    <row r="1428" spans="2:13" x14ac:dyDescent="0.25">
      <c r="B1428" s="1">
        <v>1</v>
      </c>
      <c r="C1428" s="1">
        <v>1</v>
      </c>
      <c r="D1428" s="1">
        <v>0</v>
      </c>
      <c r="E1428" s="1">
        <v>1</v>
      </c>
      <c r="F1428" s="1">
        <v>91</v>
      </c>
      <c r="G1428" s="1">
        <v>0</v>
      </c>
      <c r="H1428" s="1">
        <v>4</v>
      </c>
      <c r="I1428" s="1">
        <v>4</v>
      </c>
      <c r="J1428" s="1">
        <v>0</v>
      </c>
      <c r="K1428" s="1">
        <v>1</v>
      </c>
      <c r="L1428" s="1">
        <v>9249</v>
      </c>
      <c r="M1428" s="1">
        <v>0</v>
      </c>
    </row>
    <row r="1429" spans="2:13" x14ac:dyDescent="0.25">
      <c r="B1429" s="1">
        <v>1</v>
      </c>
      <c r="C1429" s="1">
        <v>1</v>
      </c>
      <c r="D1429" s="1">
        <v>0</v>
      </c>
      <c r="E1429" s="1">
        <v>1</v>
      </c>
      <c r="F1429" s="1">
        <v>91</v>
      </c>
      <c r="G1429" s="1">
        <v>1</v>
      </c>
      <c r="H1429" s="1">
        <v>9</v>
      </c>
      <c r="I1429" s="1">
        <v>3</v>
      </c>
      <c r="J1429" s="1">
        <v>0</v>
      </c>
      <c r="K1429" s="1">
        <v>1</v>
      </c>
      <c r="L1429" s="1">
        <v>11150</v>
      </c>
      <c r="M1429" s="1">
        <v>0</v>
      </c>
    </row>
    <row r="1430" spans="2:13" x14ac:dyDescent="0.25">
      <c r="B1430" s="1">
        <v>1</v>
      </c>
      <c r="C1430" s="1">
        <v>1</v>
      </c>
      <c r="D1430" s="1">
        <v>0</v>
      </c>
      <c r="E1430" s="1">
        <v>1</v>
      </c>
      <c r="F1430" s="1">
        <v>90</v>
      </c>
      <c r="G1430" s="1">
        <v>1</v>
      </c>
      <c r="H1430" s="1">
        <v>2</v>
      </c>
      <c r="I1430" s="1">
        <v>8</v>
      </c>
      <c r="J1430" s="1">
        <v>0</v>
      </c>
      <c r="K1430" s="1">
        <v>1</v>
      </c>
      <c r="L1430" s="1">
        <v>10977</v>
      </c>
      <c r="M1430" s="1">
        <v>0</v>
      </c>
    </row>
    <row r="1431" spans="2:13" x14ac:dyDescent="0.25">
      <c r="B1431" s="1">
        <v>1</v>
      </c>
      <c r="C1431" s="1">
        <v>1</v>
      </c>
      <c r="D1431" s="1">
        <v>0</v>
      </c>
      <c r="E1431" s="1">
        <v>1</v>
      </c>
      <c r="F1431" s="1">
        <v>90</v>
      </c>
      <c r="G1431" s="1">
        <v>0</v>
      </c>
      <c r="H1431" s="1">
        <v>6</v>
      </c>
      <c r="I1431" s="1">
        <v>5</v>
      </c>
      <c r="J1431" s="1">
        <v>0</v>
      </c>
      <c r="K1431" s="1">
        <v>1</v>
      </c>
      <c r="L1431" s="1">
        <v>12229</v>
      </c>
      <c r="M1431" s="1">
        <v>0</v>
      </c>
    </row>
    <row r="1432" spans="2:13" x14ac:dyDescent="0.25">
      <c r="B1432" s="1">
        <v>1</v>
      </c>
      <c r="C1432" s="1">
        <v>1</v>
      </c>
      <c r="D1432" s="1">
        <v>0</v>
      </c>
      <c r="E1432" s="1">
        <v>1</v>
      </c>
      <c r="F1432" s="1">
        <v>89</v>
      </c>
      <c r="G1432" s="1">
        <v>1</v>
      </c>
      <c r="H1432" s="1">
        <v>7</v>
      </c>
      <c r="I1432" s="1">
        <v>7</v>
      </c>
      <c r="J1432" s="1">
        <v>0</v>
      </c>
      <c r="K1432" s="1">
        <v>1</v>
      </c>
      <c r="L1432" s="1">
        <v>16420</v>
      </c>
      <c r="M1432" s="1">
        <v>0</v>
      </c>
    </row>
    <row r="1433" spans="2:13" x14ac:dyDescent="0.25">
      <c r="B1433" s="1">
        <v>1</v>
      </c>
      <c r="C1433" s="1">
        <v>1</v>
      </c>
      <c r="D1433" s="1">
        <v>0</v>
      </c>
      <c r="E1433" s="1">
        <v>1</v>
      </c>
      <c r="F1433" s="1">
        <v>89</v>
      </c>
      <c r="G1433" s="1">
        <v>1</v>
      </c>
      <c r="H1433" s="1">
        <v>3</v>
      </c>
      <c r="I1433" s="1">
        <v>7</v>
      </c>
      <c r="J1433" s="1">
        <v>0</v>
      </c>
      <c r="K1433" s="1">
        <v>1</v>
      </c>
      <c r="L1433" s="1">
        <v>12517</v>
      </c>
      <c r="M1433" s="1">
        <v>0</v>
      </c>
    </row>
    <row r="1434" spans="2:13" x14ac:dyDescent="0.25">
      <c r="B1434" s="1">
        <v>1</v>
      </c>
      <c r="C1434" s="1">
        <v>1</v>
      </c>
      <c r="D1434" s="1">
        <v>0</v>
      </c>
      <c r="E1434" s="1">
        <v>1</v>
      </c>
      <c r="F1434" s="1">
        <v>89</v>
      </c>
      <c r="G1434" s="1">
        <v>1</v>
      </c>
      <c r="H1434" s="1">
        <v>2</v>
      </c>
      <c r="I1434" s="1">
        <v>4</v>
      </c>
      <c r="J1434" s="1">
        <v>0</v>
      </c>
      <c r="K1434" s="1">
        <v>1</v>
      </c>
      <c r="L1434" s="1">
        <v>15176</v>
      </c>
      <c r="M1434" s="1">
        <v>0</v>
      </c>
    </row>
    <row r="1435" spans="2:13" x14ac:dyDescent="0.25">
      <c r="B1435" s="1">
        <v>1</v>
      </c>
      <c r="C1435" s="1">
        <v>1</v>
      </c>
      <c r="D1435" s="1">
        <v>0</v>
      </c>
      <c r="E1435" s="1">
        <v>1</v>
      </c>
      <c r="F1435" s="1">
        <v>89</v>
      </c>
      <c r="G1435" s="1">
        <v>1</v>
      </c>
      <c r="H1435" s="1">
        <v>3</v>
      </c>
      <c r="I1435" s="1">
        <v>3</v>
      </c>
      <c r="J1435" s="1">
        <v>0</v>
      </c>
      <c r="K1435" s="1">
        <v>1</v>
      </c>
      <c r="L1435" s="1">
        <v>8629</v>
      </c>
      <c r="M1435" s="1">
        <v>0</v>
      </c>
    </row>
    <row r="1436" spans="2:13" x14ac:dyDescent="0.25">
      <c r="B1436" s="1">
        <v>1</v>
      </c>
      <c r="C1436" s="1">
        <v>1</v>
      </c>
      <c r="D1436" s="1">
        <v>0</v>
      </c>
      <c r="E1436" s="1">
        <v>1</v>
      </c>
      <c r="F1436" s="1">
        <v>89</v>
      </c>
      <c r="G1436" s="1">
        <v>1</v>
      </c>
      <c r="H1436" s="1">
        <v>3</v>
      </c>
      <c r="I1436" s="1">
        <v>4</v>
      </c>
      <c r="J1436" s="1">
        <v>0</v>
      </c>
      <c r="K1436" s="1">
        <v>1</v>
      </c>
      <c r="L1436" s="1">
        <v>15383</v>
      </c>
      <c r="M1436" s="1">
        <v>0</v>
      </c>
    </row>
    <row r="1437" spans="2:13" x14ac:dyDescent="0.25">
      <c r="B1437" s="1">
        <v>1</v>
      </c>
      <c r="C1437" s="1">
        <v>1</v>
      </c>
      <c r="D1437" s="1">
        <v>0</v>
      </c>
      <c r="E1437" s="1">
        <v>1</v>
      </c>
      <c r="F1437" s="1">
        <v>89</v>
      </c>
      <c r="G1437" s="1">
        <v>1</v>
      </c>
      <c r="H1437" s="1">
        <v>8</v>
      </c>
      <c r="I1437" s="1">
        <v>5</v>
      </c>
      <c r="J1437" s="1">
        <v>0</v>
      </c>
      <c r="K1437" s="1">
        <v>1</v>
      </c>
      <c r="L1437" s="1">
        <v>25161</v>
      </c>
      <c r="M1437" s="1">
        <v>0</v>
      </c>
    </row>
    <row r="1438" spans="2:13" x14ac:dyDescent="0.25">
      <c r="B1438" s="1">
        <v>1</v>
      </c>
      <c r="C1438" s="1">
        <v>1</v>
      </c>
      <c r="D1438" s="1">
        <v>0</v>
      </c>
      <c r="E1438" s="1">
        <v>1</v>
      </c>
      <c r="F1438" s="1">
        <v>89</v>
      </c>
      <c r="G1438" s="1">
        <v>1</v>
      </c>
      <c r="H1438" s="1">
        <v>10</v>
      </c>
      <c r="I1438" s="1">
        <v>5</v>
      </c>
      <c r="J1438" s="1">
        <v>2</v>
      </c>
      <c r="K1438" s="1">
        <v>1</v>
      </c>
      <c r="L1438" s="1">
        <v>46253</v>
      </c>
      <c r="M1438" s="1">
        <v>0</v>
      </c>
    </row>
    <row r="1439" spans="2:13" x14ac:dyDescent="0.25">
      <c r="B1439" s="1">
        <v>1</v>
      </c>
      <c r="C1439" s="1">
        <v>1</v>
      </c>
      <c r="D1439" s="1">
        <v>0</v>
      </c>
      <c r="E1439" s="1">
        <v>1</v>
      </c>
      <c r="F1439" s="1">
        <v>89</v>
      </c>
      <c r="G1439" s="1">
        <v>1</v>
      </c>
      <c r="H1439" s="1">
        <v>4</v>
      </c>
      <c r="I1439" s="1">
        <v>5</v>
      </c>
      <c r="J1439" s="1">
        <v>1</v>
      </c>
      <c r="K1439" s="1">
        <v>1</v>
      </c>
      <c r="L1439" s="1">
        <v>13627</v>
      </c>
      <c r="M1439" s="1">
        <v>0</v>
      </c>
    </row>
    <row r="1440" spans="2:13" x14ac:dyDescent="0.25">
      <c r="B1440" s="1">
        <v>1</v>
      </c>
      <c r="C1440" s="1">
        <v>1</v>
      </c>
      <c r="D1440" s="1">
        <v>0</v>
      </c>
      <c r="E1440" s="1">
        <v>1</v>
      </c>
      <c r="F1440" s="1">
        <v>89</v>
      </c>
      <c r="G1440" s="1">
        <v>1</v>
      </c>
      <c r="H1440" s="1">
        <v>4</v>
      </c>
      <c r="I1440" s="1">
        <v>4</v>
      </c>
      <c r="J1440" s="1">
        <v>0</v>
      </c>
      <c r="K1440" s="1">
        <v>1</v>
      </c>
      <c r="L1440" s="1">
        <v>11882</v>
      </c>
      <c r="M1440" s="1">
        <v>0</v>
      </c>
    </row>
    <row r="1441" spans="2:13" x14ac:dyDescent="0.25">
      <c r="B1441" s="1">
        <v>1</v>
      </c>
      <c r="C1441" s="1">
        <v>1</v>
      </c>
      <c r="D1441" s="1">
        <v>0</v>
      </c>
      <c r="E1441" s="1">
        <v>1</v>
      </c>
      <c r="F1441" s="1">
        <v>89</v>
      </c>
      <c r="G1441" s="1">
        <v>1</v>
      </c>
      <c r="H1441" s="1">
        <v>22</v>
      </c>
      <c r="I1441" s="1">
        <v>2</v>
      </c>
      <c r="J1441" s="1">
        <v>3</v>
      </c>
      <c r="K1441" s="1">
        <v>1</v>
      </c>
      <c r="L1441" s="1">
        <v>87177</v>
      </c>
      <c r="M1441" s="1">
        <v>0</v>
      </c>
    </row>
    <row r="1442" spans="2:13" x14ac:dyDescent="0.25">
      <c r="B1442" s="1">
        <v>1</v>
      </c>
      <c r="C1442" s="1">
        <v>1</v>
      </c>
      <c r="D1442" s="1">
        <v>0</v>
      </c>
      <c r="E1442" s="1">
        <v>1</v>
      </c>
      <c r="F1442" s="1">
        <v>89</v>
      </c>
      <c r="G1442" s="1">
        <v>1</v>
      </c>
      <c r="H1442" s="1">
        <v>2</v>
      </c>
      <c r="I1442" s="1">
        <v>3</v>
      </c>
      <c r="J1442" s="1">
        <v>0</v>
      </c>
      <c r="K1442" s="1">
        <v>1</v>
      </c>
      <c r="L1442" s="1">
        <v>7560</v>
      </c>
      <c r="M1442" s="1">
        <v>0</v>
      </c>
    </row>
    <row r="1443" spans="2:13" x14ac:dyDescent="0.25">
      <c r="B1443" s="1">
        <v>1</v>
      </c>
      <c r="C1443" s="1">
        <v>1</v>
      </c>
      <c r="D1443" s="1">
        <v>0</v>
      </c>
      <c r="E1443" s="1">
        <v>1</v>
      </c>
      <c r="F1443" s="1">
        <v>89</v>
      </c>
      <c r="G1443" s="1">
        <v>1</v>
      </c>
      <c r="H1443" s="1">
        <v>6</v>
      </c>
      <c r="I1443" s="1">
        <v>3</v>
      </c>
      <c r="J1443" s="1">
        <v>0</v>
      </c>
      <c r="K1443" s="1">
        <v>1</v>
      </c>
      <c r="L1443" s="1">
        <v>10898</v>
      </c>
      <c r="M1443" s="1">
        <v>0</v>
      </c>
    </row>
    <row r="1444" spans="2:13" x14ac:dyDescent="0.25">
      <c r="B1444" s="1">
        <v>1</v>
      </c>
      <c r="C1444" s="1">
        <v>1</v>
      </c>
      <c r="D1444" s="1">
        <v>0</v>
      </c>
      <c r="E1444" s="1">
        <v>1</v>
      </c>
      <c r="F1444" s="1">
        <v>89</v>
      </c>
      <c r="G1444" s="1">
        <v>0</v>
      </c>
      <c r="H1444" s="1">
        <v>21</v>
      </c>
      <c r="I1444" s="1">
        <v>5</v>
      </c>
      <c r="J1444" s="1">
        <v>2</v>
      </c>
      <c r="K1444" s="1">
        <v>1</v>
      </c>
      <c r="L1444" s="1">
        <v>45297</v>
      </c>
      <c r="M1444" s="1">
        <v>0</v>
      </c>
    </row>
    <row r="1445" spans="2:13" x14ac:dyDescent="0.25">
      <c r="B1445" s="1">
        <v>1</v>
      </c>
      <c r="C1445" s="1">
        <v>1</v>
      </c>
      <c r="D1445" s="1">
        <v>0</v>
      </c>
      <c r="E1445" s="1">
        <v>1</v>
      </c>
      <c r="F1445" s="1">
        <v>89</v>
      </c>
      <c r="G1445" s="1">
        <v>1</v>
      </c>
      <c r="H1445" s="1">
        <v>9</v>
      </c>
      <c r="I1445" s="1">
        <v>4</v>
      </c>
      <c r="J1445" s="1">
        <v>2</v>
      </c>
      <c r="K1445" s="1">
        <v>1</v>
      </c>
      <c r="L1445" s="1">
        <v>38232</v>
      </c>
      <c r="M1445" s="1">
        <v>1</v>
      </c>
    </row>
    <row r="1446" spans="2:13" x14ac:dyDescent="0.25">
      <c r="B1446" s="1">
        <v>1</v>
      </c>
      <c r="C1446" s="1">
        <v>1</v>
      </c>
      <c r="D1446" s="1">
        <v>0</v>
      </c>
      <c r="E1446" s="1">
        <v>1</v>
      </c>
      <c r="F1446" s="1">
        <v>89</v>
      </c>
      <c r="G1446" s="1">
        <v>0</v>
      </c>
      <c r="H1446" s="1">
        <v>11</v>
      </c>
      <c r="I1446" s="1">
        <v>4</v>
      </c>
      <c r="J1446" s="1">
        <v>6</v>
      </c>
      <c r="K1446" s="1">
        <v>1</v>
      </c>
      <c r="L1446" s="1">
        <v>47335</v>
      </c>
      <c r="M1446" s="1">
        <v>1</v>
      </c>
    </row>
    <row r="1447" spans="2:13" x14ac:dyDescent="0.25">
      <c r="B1447" s="1">
        <v>1</v>
      </c>
      <c r="C1447" s="1">
        <v>1</v>
      </c>
      <c r="D1447" s="1">
        <v>0</v>
      </c>
      <c r="E1447" s="1">
        <v>1</v>
      </c>
      <c r="F1447" s="1">
        <v>88</v>
      </c>
      <c r="G1447" s="1">
        <v>0</v>
      </c>
      <c r="H1447" s="1">
        <v>15</v>
      </c>
      <c r="I1447" s="1">
        <v>5</v>
      </c>
      <c r="J1447" s="1">
        <v>0</v>
      </c>
      <c r="K1447" s="1">
        <v>1</v>
      </c>
      <c r="L1447" s="1">
        <v>28587</v>
      </c>
      <c r="M1447" s="1">
        <v>0</v>
      </c>
    </row>
    <row r="1448" spans="2:13" x14ac:dyDescent="0.25">
      <c r="B1448" s="1">
        <v>1</v>
      </c>
      <c r="C1448" s="1">
        <v>1</v>
      </c>
      <c r="D1448" s="1">
        <v>0</v>
      </c>
      <c r="E1448" s="1">
        <v>1</v>
      </c>
      <c r="F1448" s="1">
        <v>88</v>
      </c>
      <c r="G1448" s="1">
        <v>1</v>
      </c>
      <c r="H1448" s="1">
        <v>14</v>
      </c>
      <c r="I1448" s="1">
        <v>5</v>
      </c>
      <c r="J1448" s="1">
        <v>0</v>
      </c>
      <c r="K1448" s="1">
        <v>1</v>
      </c>
      <c r="L1448" s="1">
        <v>22217</v>
      </c>
      <c r="M1448" s="1">
        <v>0</v>
      </c>
    </row>
    <row r="1449" spans="2:13" x14ac:dyDescent="0.25">
      <c r="B1449" s="1">
        <v>1</v>
      </c>
      <c r="C1449" s="1">
        <v>1</v>
      </c>
      <c r="D1449" s="1">
        <v>0</v>
      </c>
      <c r="E1449" s="1">
        <v>1</v>
      </c>
      <c r="F1449" s="1">
        <v>88</v>
      </c>
      <c r="G1449" s="1">
        <v>0</v>
      </c>
      <c r="H1449" s="1">
        <v>16</v>
      </c>
      <c r="I1449" s="1">
        <v>2</v>
      </c>
      <c r="J1449" s="1">
        <v>0</v>
      </c>
      <c r="K1449" s="1">
        <v>1</v>
      </c>
      <c r="L1449" s="1">
        <v>30179</v>
      </c>
      <c r="M1449" s="1">
        <v>0</v>
      </c>
    </row>
    <row r="1450" spans="2:13" x14ac:dyDescent="0.25">
      <c r="B1450" s="1">
        <v>1</v>
      </c>
      <c r="C1450" s="1">
        <v>1</v>
      </c>
      <c r="D1450" s="1">
        <v>0</v>
      </c>
      <c r="E1450" s="1">
        <v>1</v>
      </c>
      <c r="F1450" s="1">
        <v>88</v>
      </c>
      <c r="G1450" s="1">
        <v>1</v>
      </c>
      <c r="H1450" s="1">
        <v>2</v>
      </c>
      <c r="I1450" s="1">
        <v>3</v>
      </c>
      <c r="J1450" s="1">
        <v>0</v>
      </c>
      <c r="K1450" s="1">
        <v>1</v>
      </c>
      <c r="L1450" s="1">
        <v>7404</v>
      </c>
      <c r="M1450" s="1">
        <v>0</v>
      </c>
    </row>
    <row r="1451" spans="2:13" x14ac:dyDescent="0.25">
      <c r="B1451" s="1">
        <v>1</v>
      </c>
      <c r="C1451" s="1">
        <v>1</v>
      </c>
      <c r="D1451" s="1">
        <v>0</v>
      </c>
      <c r="E1451" s="1">
        <v>1</v>
      </c>
      <c r="F1451" s="1">
        <v>87</v>
      </c>
      <c r="G1451" s="1">
        <v>1</v>
      </c>
      <c r="H1451" s="1">
        <v>2</v>
      </c>
      <c r="I1451" s="1">
        <v>4</v>
      </c>
      <c r="J1451" s="1">
        <v>0</v>
      </c>
      <c r="K1451" s="1">
        <v>1</v>
      </c>
      <c r="L1451" s="1">
        <v>11228</v>
      </c>
      <c r="M1451" s="1">
        <v>0</v>
      </c>
    </row>
    <row r="1452" spans="2:13" x14ac:dyDescent="0.25">
      <c r="B1452" s="1">
        <v>1</v>
      </c>
      <c r="C1452" s="1">
        <v>1</v>
      </c>
      <c r="D1452" s="1">
        <v>0</v>
      </c>
      <c r="E1452" s="1">
        <v>1</v>
      </c>
      <c r="F1452" s="1">
        <v>87</v>
      </c>
      <c r="G1452" s="1">
        <v>0</v>
      </c>
      <c r="H1452" s="1">
        <v>11</v>
      </c>
      <c r="I1452" s="1">
        <v>8</v>
      </c>
      <c r="J1452" s="1">
        <v>1</v>
      </c>
      <c r="K1452" s="1">
        <v>1</v>
      </c>
      <c r="L1452" s="1">
        <v>19709</v>
      </c>
      <c r="M1452" s="1">
        <v>0</v>
      </c>
    </row>
    <row r="1453" spans="2:13" x14ac:dyDescent="0.25">
      <c r="B1453" s="1">
        <v>1</v>
      </c>
      <c r="C1453" s="1">
        <v>1</v>
      </c>
      <c r="D1453" s="1">
        <v>0</v>
      </c>
      <c r="E1453" s="1">
        <v>1</v>
      </c>
      <c r="F1453" s="1">
        <v>87</v>
      </c>
      <c r="G1453" s="1">
        <v>1</v>
      </c>
      <c r="H1453" s="1">
        <v>7</v>
      </c>
      <c r="I1453" s="1">
        <v>4</v>
      </c>
      <c r="J1453" s="1">
        <v>2</v>
      </c>
      <c r="K1453" s="1">
        <v>1</v>
      </c>
      <c r="L1453" s="1">
        <v>16073</v>
      </c>
      <c r="M1453" s="1">
        <v>0</v>
      </c>
    </row>
    <row r="1454" spans="2:13" x14ac:dyDescent="0.25">
      <c r="B1454" s="1">
        <v>1</v>
      </c>
      <c r="C1454" s="1">
        <v>1</v>
      </c>
      <c r="D1454" s="1">
        <v>0</v>
      </c>
      <c r="E1454" s="1">
        <v>1</v>
      </c>
      <c r="F1454" s="1">
        <v>87</v>
      </c>
      <c r="G1454" s="1">
        <v>1</v>
      </c>
      <c r="H1454" s="1">
        <v>3</v>
      </c>
      <c r="I1454" s="1">
        <v>5</v>
      </c>
      <c r="J1454" s="1">
        <v>0</v>
      </c>
      <c r="K1454" s="1">
        <v>1</v>
      </c>
      <c r="L1454" s="1">
        <v>12342</v>
      </c>
      <c r="M1454" s="1">
        <v>0</v>
      </c>
    </row>
    <row r="1455" spans="2:13" x14ac:dyDescent="0.25">
      <c r="B1455" s="1">
        <v>1</v>
      </c>
      <c r="C1455" s="1">
        <v>1</v>
      </c>
      <c r="D1455" s="1">
        <v>0</v>
      </c>
      <c r="E1455" s="1">
        <v>1</v>
      </c>
      <c r="F1455" s="1">
        <v>87</v>
      </c>
      <c r="G1455" s="1">
        <v>0</v>
      </c>
      <c r="H1455" s="1">
        <v>3</v>
      </c>
      <c r="I1455" s="1">
        <v>4</v>
      </c>
      <c r="J1455" s="1">
        <v>1</v>
      </c>
      <c r="K1455" s="1">
        <v>1</v>
      </c>
      <c r="L1455" s="1">
        <v>13719</v>
      </c>
      <c r="M1455" s="1">
        <v>0</v>
      </c>
    </row>
    <row r="1456" spans="2:13" x14ac:dyDescent="0.25">
      <c r="B1456" s="1">
        <v>1</v>
      </c>
      <c r="C1456" s="1">
        <v>1</v>
      </c>
      <c r="D1456" s="1">
        <v>0</v>
      </c>
      <c r="E1456" s="1">
        <v>1</v>
      </c>
      <c r="F1456" s="1">
        <v>87</v>
      </c>
      <c r="G1456" s="1">
        <v>1</v>
      </c>
      <c r="H1456" s="1">
        <v>7</v>
      </c>
      <c r="I1456" s="1">
        <v>5</v>
      </c>
      <c r="J1456" s="1">
        <v>0</v>
      </c>
      <c r="K1456" s="1">
        <v>1</v>
      </c>
      <c r="L1456" s="1">
        <v>20553</v>
      </c>
      <c r="M1456" s="1">
        <v>0</v>
      </c>
    </row>
    <row r="1457" spans="2:13" x14ac:dyDescent="0.25">
      <c r="B1457" s="1">
        <v>1</v>
      </c>
      <c r="C1457" s="1">
        <v>1</v>
      </c>
      <c r="D1457" s="1">
        <v>0</v>
      </c>
      <c r="E1457" s="1">
        <v>1</v>
      </c>
      <c r="F1457" s="1">
        <v>87</v>
      </c>
      <c r="G1457" s="1">
        <v>0</v>
      </c>
      <c r="H1457" s="1">
        <v>4</v>
      </c>
      <c r="I1457" s="1">
        <v>4</v>
      </c>
      <c r="J1457" s="1">
        <v>1</v>
      </c>
      <c r="K1457" s="1">
        <v>1</v>
      </c>
      <c r="L1457" s="1">
        <v>51016</v>
      </c>
      <c r="M1457" s="1">
        <v>1</v>
      </c>
    </row>
    <row r="1458" spans="2:13" x14ac:dyDescent="0.25">
      <c r="B1458" s="1">
        <v>1</v>
      </c>
      <c r="C1458" s="1">
        <v>1</v>
      </c>
      <c r="D1458" s="1">
        <v>0</v>
      </c>
      <c r="E1458" s="1">
        <v>1</v>
      </c>
      <c r="F1458" s="1">
        <v>87</v>
      </c>
      <c r="G1458" s="1">
        <v>1</v>
      </c>
      <c r="H1458" s="1">
        <v>7</v>
      </c>
      <c r="I1458" s="1">
        <v>7</v>
      </c>
      <c r="J1458" s="1">
        <v>1</v>
      </c>
      <c r="K1458" s="1">
        <v>1</v>
      </c>
      <c r="L1458" s="1">
        <v>39362</v>
      </c>
      <c r="M1458" s="1">
        <v>1</v>
      </c>
    </row>
    <row r="1459" spans="2:13" x14ac:dyDescent="0.25">
      <c r="B1459" s="1">
        <v>1</v>
      </c>
      <c r="C1459" s="1">
        <v>1</v>
      </c>
      <c r="D1459" s="1">
        <v>0</v>
      </c>
      <c r="E1459" s="1">
        <v>1</v>
      </c>
      <c r="F1459" s="1">
        <v>86</v>
      </c>
      <c r="G1459" s="1">
        <v>1</v>
      </c>
      <c r="H1459" s="1">
        <v>6</v>
      </c>
      <c r="I1459" s="1">
        <v>7</v>
      </c>
      <c r="J1459" s="1">
        <v>0</v>
      </c>
      <c r="K1459" s="1">
        <v>1</v>
      </c>
      <c r="L1459" s="1">
        <v>23875</v>
      </c>
      <c r="M1459" s="1">
        <v>0</v>
      </c>
    </row>
    <row r="1460" spans="2:13" x14ac:dyDescent="0.25">
      <c r="B1460" s="1">
        <v>1</v>
      </c>
      <c r="C1460" s="1">
        <v>1</v>
      </c>
      <c r="D1460" s="1">
        <v>0</v>
      </c>
      <c r="E1460" s="1">
        <v>1</v>
      </c>
      <c r="F1460" s="1">
        <v>86</v>
      </c>
      <c r="G1460" s="1">
        <v>1</v>
      </c>
      <c r="H1460" s="1">
        <v>0</v>
      </c>
      <c r="I1460" s="1">
        <v>7</v>
      </c>
      <c r="J1460" s="1">
        <v>0</v>
      </c>
      <c r="K1460" s="1">
        <v>1</v>
      </c>
      <c r="L1460" s="1">
        <v>14047</v>
      </c>
      <c r="M1460" s="1">
        <v>0</v>
      </c>
    </row>
    <row r="1461" spans="2:13" x14ac:dyDescent="0.25">
      <c r="B1461" s="1">
        <v>1</v>
      </c>
      <c r="C1461" s="1">
        <v>1</v>
      </c>
      <c r="D1461" s="1">
        <v>0</v>
      </c>
      <c r="E1461" s="1">
        <v>1</v>
      </c>
      <c r="F1461" s="1">
        <v>86</v>
      </c>
      <c r="G1461" s="1">
        <v>1</v>
      </c>
      <c r="H1461" s="1">
        <v>4</v>
      </c>
      <c r="I1461" s="1">
        <v>7</v>
      </c>
      <c r="J1461" s="1">
        <v>0</v>
      </c>
      <c r="K1461" s="1">
        <v>1</v>
      </c>
      <c r="L1461" s="1">
        <v>8915</v>
      </c>
      <c r="M1461" s="1">
        <v>0</v>
      </c>
    </row>
    <row r="1462" spans="2:13" x14ac:dyDescent="0.25">
      <c r="B1462" s="1">
        <v>1</v>
      </c>
      <c r="C1462" s="1">
        <v>1</v>
      </c>
      <c r="D1462" s="1">
        <v>0</v>
      </c>
      <c r="E1462" s="1">
        <v>1</v>
      </c>
      <c r="F1462" s="1">
        <v>86</v>
      </c>
      <c r="G1462" s="1">
        <v>0</v>
      </c>
      <c r="H1462" s="1">
        <v>7</v>
      </c>
      <c r="I1462" s="1">
        <v>6</v>
      </c>
      <c r="J1462" s="1">
        <v>1</v>
      </c>
      <c r="K1462" s="1">
        <v>1</v>
      </c>
      <c r="L1462" s="1">
        <v>10463</v>
      </c>
      <c r="M1462" s="1">
        <v>0</v>
      </c>
    </row>
    <row r="1463" spans="2:13" x14ac:dyDescent="0.25">
      <c r="B1463" s="1">
        <v>1</v>
      </c>
      <c r="C1463" s="1">
        <v>1</v>
      </c>
      <c r="D1463" s="1">
        <v>0</v>
      </c>
      <c r="E1463" s="1">
        <v>1</v>
      </c>
      <c r="F1463" s="1">
        <v>86</v>
      </c>
      <c r="G1463" s="1">
        <v>0</v>
      </c>
      <c r="H1463" s="1">
        <v>3</v>
      </c>
      <c r="I1463" s="1">
        <v>5</v>
      </c>
      <c r="J1463" s="1">
        <v>0</v>
      </c>
      <c r="K1463" s="1">
        <v>1</v>
      </c>
      <c r="L1463" s="1">
        <v>8942</v>
      </c>
      <c r="M1463" s="1">
        <v>0</v>
      </c>
    </row>
    <row r="1464" spans="2:13" x14ac:dyDescent="0.25">
      <c r="B1464" s="1">
        <v>1</v>
      </c>
      <c r="C1464" s="1">
        <v>1</v>
      </c>
      <c r="D1464" s="1">
        <v>0</v>
      </c>
      <c r="E1464" s="1">
        <v>1</v>
      </c>
      <c r="F1464" s="1">
        <v>86</v>
      </c>
      <c r="G1464" s="1">
        <v>0</v>
      </c>
      <c r="H1464" s="1">
        <v>6</v>
      </c>
      <c r="I1464" s="1">
        <v>4</v>
      </c>
      <c r="J1464" s="1">
        <v>1</v>
      </c>
      <c r="K1464" s="1">
        <v>1</v>
      </c>
      <c r="L1464" s="1">
        <v>17849</v>
      </c>
      <c r="M1464" s="1">
        <v>0</v>
      </c>
    </row>
    <row r="1465" spans="2:13" x14ac:dyDescent="0.25">
      <c r="B1465" s="1">
        <v>1</v>
      </c>
      <c r="C1465" s="1">
        <v>1</v>
      </c>
      <c r="D1465" s="1">
        <v>0</v>
      </c>
      <c r="E1465" s="1">
        <v>1</v>
      </c>
      <c r="F1465" s="1">
        <v>86</v>
      </c>
      <c r="G1465" s="1">
        <v>0</v>
      </c>
      <c r="H1465" s="1">
        <v>10</v>
      </c>
      <c r="I1465" s="1">
        <v>4</v>
      </c>
      <c r="J1465" s="1">
        <v>2</v>
      </c>
      <c r="K1465" s="1">
        <v>1</v>
      </c>
      <c r="L1465" s="1">
        <v>21932</v>
      </c>
      <c r="M1465" s="1">
        <v>0</v>
      </c>
    </row>
    <row r="1466" spans="2:13" x14ac:dyDescent="0.25">
      <c r="B1466" s="1">
        <v>1</v>
      </c>
      <c r="C1466" s="1">
        <v>1</v>
      </c>
      <c r="D1466" s="1">
        <v>0</v>
      </c>
      <c r="E1466" s="1">
        <v>1</v>
      </c>
      <c r="F1466" s="1">
        <v>86</v>
      </c>
      <c r="G1466" s="1">
        <v>0</v>
      </c>
      <c r="H1466" s="1">
        <v>9</v>
      </c>
      <c r="I1466" s="1">
        <v>9</v>
      </c>
      <c r="J1466" s="1">
        <v>1</v>
      </c>
      <c r="K1466" s="1">
        <v>1</v>
      </c>
      <c r="L1466" s="1">
        <v>44552</v>
      </c>
      <c r="M1466" s="1">
        <v>0</v>
      </c>
    </row>
    <row r="1467" spans="2:13" x14ac:dyDescent="0.25">
      <c r="B1467" s="1">
        <v>1</v>
      </c>
      <c r="C1467" s="1">
        <v>1</v>
      </c>
      <c r="D1467" s="1">
        <v>0</v>
      </c>
      <c r="E1467" s="1">
        <v>1</v>
      </c>
      <c r="F1467" s="1">
        <v>86</v>
      </c>
      <c r="G1467" s="1">
        <v>1</v>
      </c>
      <c r="H1467" s="1">
        <v>11</v>
      </c>
      <c r="I1467" s="1">
        <v>5</v>
      </c>
      <c r="J1467" s="1">
        <v>0</v>
      </c>
      <c r="K1467" s="1">
        <v>1</v>
      </c>
      <c r="L1467" s="1">
        <v>23895</v>
      </c>
      <c r="M1467" s="1">
        <v>0</v>
      </c>
    </row>
    <row r="1468" spans="2:13" x14ac:dyDescent="0.25">
      <c r="B1468" s="1">
        <v>1</v>
      </c>
      <c r="C1468" s="1">
        <v>1</v>
      </c>
      <c r="D1468" s="1">
        <v>0</v>
      </c>
      <c r="E1468" s="1">
        <v>1</v>
      </c>
      <c r="F1468" s="1">
        <v>86</v>
      </c>
      <c r="G1468" s="1">
        <v>0</v>
      </c>
      <c r="H1468" s="1">
        <v>4</v>
      </c>
      <c r="I1468" s="1">
        <v>6</v>
      </c>
      <c r="J1468" s="1">
        <v>0</v>
      </c>
      <c r="K1468" s="1">
        <v>1</v>
      </c>
      <c r="L1468" s="1">
        <v>9157</v>
      </c>
      <c r="M1468" s="1">
        <v>0</v>
      </c>
    </row>
    <row r="1469" spans="2:13" x14ac:dyDescent="0.25">
      <c r="B1469" s="1">
        <v>1</v>
      </c>
      <c r="C1469" s="1">
        <v>1</v>
      </c>
      <c r="D1469" s="1">
        <v>0</v>
      </c>
      <c r="E1469" s="1">
        <v>1</v>
      </c>
      <c r="F1469" s="1">
        <v>86</v>
      </c>
      <c r="G1469" s="1">
        <v>0</v>
      </c>
      <c r="H1469" s="1">
        <v>5</v>
      </c>
      <c r="I1469" s="1">
        <v>5</v>
      </c>
      <c r="J1469" s="1">
        <v>0</v>
      </c>
      <c r="K1469" s="1">
        <v>1</v>
      </c>
      <c r="L1469" s="1">
        <v>9304</v>
      </c>
      <c r="M1469" s="1">
        <v>0</v>
      </c>
    </row>
    <row r="1470" spans="2:13" x14ac:dyDescent="0.25">
      <c r="B1470" s="1">
        <v>1</v>
      </c>
      <c r="C1470" s="1">
        <v>1</v>
      </c>
      <c r="D1470" s="1">
        <v>0</v>
      </c>
      <c r="E1470" s="1">
        <v>1</v>
      </c>
      <c r="F1470" s="1">
        <v>86</v>
      </c>
      <c r="G1470" s="1">
        <v>0</v>
      </c>
      <c r="H1470" s="1">
        <v>9</v>
      </c>
      <c r="I1470" s="1">
        <v>3</v>
      </c>
      <c r="J1470" s="1">
        <v>0</v>
      </c>
      <c r="K1470" s="1">
        <v>1</v>
      </c>
      <c r="L1470" s="1">
        <v>13903</v>
      </c>
      <c r="M1470" s="1">
        <v>0</v>
      </c>
    </row>
    <row r="1471" spans="2:13" x14ac:dyDescent="0.25">
      <c r="B1471" s="1">
        <v>1</v>
      </c>
      <c r="C1471" s="1">
        <v>1</v>
      </c>
      <c r="D1471" s="1">
        <v>0</v>
      </c>
      <c r="E1471" s="1">
        <v>1</v>
      </c>
      <c r="F1471" s="1">
        <v>86</v>
      </c>
      <c r="G1471" s="1">
        <v>1</v>
      </c>
      <c r="H1471" s="1">
        <v>6</v>
      </c>
      <c r="I1471" s="1">
        <v>4</v>
      </c>
      <c r="J1471" s="1">
        <v>0</v>
      </c>
      <c r="K1471" s="1">
        <v>1</v>
      </c>
      <c r="L1471" s="1">
        <v>14949</v>
      </c>
      <c r="M1471" s="1">
        <v>0</v>
      </c>
    </row>
    <row r="1472" spans="2:13" x14ac:dyDescent="0.25">
      <c r="B1472" s="1">
        <v>1</v>
      </c>
      <c r="C1472" s="1">
        <v>1</v>
      </c>
      <c r="D1472" s="1">
        <v>0</v>
      </c>
      <c r="E1472" s="1">
        <v>1</v>
      </c>
      <c r="F1472" s="1">
        <v>86</v>
      </c>
      <c r="G1472" s="1">
        <v>1</v>
      </c>
      <c r="H1472" s="1">
        <v>7</v>
      </c>
      <c r="I1472" s="1">
        <v>4</v>
      </c>
      <c r="J1472" s="1">
        <v>0</v>
      </c>
      <c r="K1472" s="1">
        <v>1</v>
      </c>
      <c r="L1472" s="1">
        <v>15896</v>
      </c>
      <c r="M1472" s="1">
        <v>0</v>
      </c>
    </row>
    <row r="1473" spans="2:13" x14ac:dyDescent="0.25">
      <c r="B1473" s="1">
        <v>1</v>
      </c>
      <c r="C1473" s="1">
        <v>1</v>
      </c>
      <c r="D1473" s="1">
        <v>0</v>
      </c>
      <c r="E1473" s="1">
        <v>1</v>
      </c>
      <c r="F1473" s="1">
        <v>86</v>
      </c>
      <c r="G1473" s="1">
        <v>1</v>
      </c>
      <c r="H1473" s="1">
        <v>3</v>
      </c>
      <c r="I1473" s="1">
        <v>6</v>
      </c>
      <c r="J1473" s="1">
        <v>0</v>
      </c>
      <c r="K1473" s="1">
        <v>1</v>
      </c>
      <c r="L1473" s="1">
        <v>6982</v>
      </c>
      <c r="M1473" s="1">
        <v>0</v>
      </c>
    </row>
    <row r="1474" spans="2:13" x14ac:dyDescent="0.25">
      <c r="B1474" s="1">
        <v>1</v>
      </c>
      <c r="C1474" s="1">
        <v>1</v>
      </c>
      <c r="D1474" s="1">
        <v>0</v>
      </c>
      <c r="E1474" s="1">
        <v>1</v>
      </c>
      <c r="F1474" s="1">
        <v>85</v>
      </c>
      <c r="G1474" s="1">
        <v>0</v>
      </c>
      <c r="H1474" s="1">
        <v>4</v>
      </c>
      <c r="I1474" s="1">
        <v>7</v>
      </c>
      <c r="J1474" s="1">
        <v>0</v>
      </c>
      <c r="K1474" s="1">
        <v>1</v>
      </c>
      <c r="L1474" s="1">
        <v>13521</v>
      </c>
      <c r="M1474" s="1">
        <v>0</v>
      </c>
    </row>
    <row r="1475" spans="2:13" x14ac:dyDescent="0.25">
      <c r="B1475" s="1">
        <v>1</v>
      </c>
      <c r="C1475" s="1">
        <v>1</v>
      </c>
      <c r="D1475" s="1">
        <v>0</v>
      </c>
      <c r="E1475" s="1">
        <v>1</v>
      </c>
      <c r="F1475" s="1">
        <v>85</v>
      </c>
      <c r="G1475" s="1">
        <v>1</v>
      </c>
      <c r="H1475" s="1">
        <v>1</v>
      </c>
      <c r="I1475" s="1">
        <v>3</v>
      </c>
      <c r="J1475" s="1">
        <v>0</v>
      </c>
      <c r="K1475" s="1">
        <v>1</v>
      </c>
      <c r="L1475" s="1">
        <v>6730</v>
      </c>
      <c r="M1475" s="1">
        <v>0</v>
      </c>
    </row>
    <row r="1476" spans="2:13" x14ac:dyDescent="0.25">
      <c r="B1476" s="1">
        <v>1</v>
      </c>
      <c r="C1476" s="1">
        <v>1</v>
      </c>
      <c r="D1476" s="1">
        <v>0</v>
      </c>
      <c r="E1476" s="1">
        <v>1</v>
      </c>
      <c r="F1476" s="1">
        <v>85</v>
      </c>
      <c r="G1476" s="1">
        <v>0</v>
      </c>
      <c r="H1476" s="1">
        <v>4</v>
      </c>
      <c r="I1476" s="1">
        <v>5</v>
      </c>
      <c r="J1476" s="1">
        <v>4</v>
      </c>
      <c r="K1476" s="1">
        <v>1</v>
      </c>
      <c r="L1476" s="1">
        <v>13050</v>
      </c>
      <c r="M1476" s="1">
        <v>0</v>
      </c>
    </row>
    <row r="1477" spans="2:13" x14ac:dyDescent="0.25">
      <c r="B1477" s="1">
        <v>1</v>
      </c>
      <c r="C1477" s="1">
        <v>1</v>
      </c>
      <c r="D1477" s="1">
        <v>0</v>
      </c>
      <c r="E1477" s="1">
        <v>1</v>
      </c>
      <c r="F1477" s="1">
        <v>85</v>
      </c>
      <c r="G1477" s="1">
        <v>1</v>
      </c>
      <c r="H1477" s="1">
        <v>8</v>
      </c>
      <c r="I1477" s="1">
        <v>4</v>
      </c>
      <c r="J1477" s="1">
        <v>0</v>
      </c>
      <c r="K1477" s="1">
        <v>1</v>
      </c>
      <c r="L1477" s="1">
        <v>11058</v>
      </c>
      <c r="M1477" s="1">
        <v>0</v>
      </c>
    </row>
    <row r="1478" spans="2:13" x14ac:dyDescent="0.25">
      <c r="B1478" s="1">
        <v>1</v>
      </c>
      <c r="C1478" s="1">
        <v>1</v>
      </c>
      <c r="D1478" s="1">
        <v>0</v>
      </c>
      <c r="E1478" s="1">
        <v>1</v>
      </c>
      <c r="F1478" s="1">
        <v>85</v>
      </c>
      <c r="G1478" s="1">
        <v>0</v>
      </c>
      <c r="H1478" s="1">
        <v>5</v>
      </c>
      <c r="I1478" s="1">
        <v>4</v>
      </c>
      <c r="J1478" s="1">
        <v>0</v>
      </c>
      <c r="K1478" s="1">
        <v>1</v>
      </c>
      <c r="L1478" s="1">
        <v>8467</v>
      </c>
      <c r="M1478" s="1">
        <v>0</v>
      </c>
    </row>
    <row r="1479" spans="2:13" x14ac:dyDescent="0.25">
      <c r="B1479" s="1">
        <v>1</v>
      </c>
      <c r="C1479" s="1">
        <v>1</v>
      </c>
      <c r="D1479" s="1">
        <v>0</v>
      </c>
      <c r="E1479" s="1">
        <v>1</v>
      </c>
      <c r="F1479" s="1">
        <v>85</v>
      </c>
      <c r="G1479" s="1">
        <v>0</v>
      </c>
      <c r="H1479" s="1">
        <v>12</v>
      </c>
      <c r="I1479" s="1">
        <v>5</v>
      </c>
      <c r="J1479" s="1">
        <v>0</v>
      </c>
      <c r="K1479" s="1">
        <v>1</v>
      </c>
      <c r="L1479" s="1">
        <v>51537</v>
      </c>
      <c r="M1479" s="1">
        <v>0</v>
      </c>
    </row>
    <row r="1480" spans="2:13" x14ac:dyDescent="0.25">
      <c r="B1480" s="1">
        <v>1</v>
      </c>
      <c r="C1480" s="1">
        <v>1</v>
      </c>
      <c r="D1480" s="1">
        <v>0</v>
      </c>
      <c r="E1480" s="1">
        <v>1</v>
      </c>
      <c r="F1480" s="1">
        <v>85</v>
      </c>
      <c r="G1480" s="1">
        <v>1</v>
      </c>
      <c r="H1480" s="1">
        <v>7</v>
      </c>
      <c r="I1480" s="1">
        <v>3</v>
      </c>
      <c r="J1480" s="1">
        <v>2</v>
      </c>
      <c r="K1480" s="1">
        <v>1</v>
      </c>
      <c r="L1480" s="1">
        <v>17997</v>
      </c>
      <c r="M1480" s="1">
        <v>0</v>
      </c>
    </row>
    <row r="1481" spans="2:13" x14ac:dyDescent="0.25">
      <c r="B1481" s="1">
        <v>1</v>
      </c>
      <c r="C1481" s="1">
        <v>1</v>
      </c>
      <c r="D1481" s="1">
        <v>0</v>
      </c>
      <c r="E1481" s="1">
        <v>1</v>
      </c>
      <c r="F1481" s="1">
        <v>85</v>
      </c>
      <c r="G1481" s="1">
        <v>1</v>
      </c>
      <c r="H1481" s="1">
        <v>5</v>
      </c>
      <c r="I1481" s="1">
        <v>2</v>
      </c>
      <c r="J1481" s="1">
        <v>0</v>
      </c>
      <c r="K1481" s="1">
        <v>1</v>
      </c>
      <c r="L1481" s="1">
        <v>11419</v>
      </c>
      <c r="M1481" s="1">
        <v>0</v>
      </c>
    </row>
    <row r="1482" spans="2:13" x14ac:dyDescent="0.25">
      <c r="B1482" s="1">
        <v>1</v>
      </c>
      <c r="C1482" s="1">
        <v>1</v>
      </c>
      <c r="D1482" s="1">
        <v>0</v>
      </c>
      <c r="E1482" s="1">
        <v>1</v>
      </c>
      <c r="F1482" s="1">
        <v>85</v>
      </c>
      <c r="G1482" s="1">
        <v>0</v>
      </c>
      <c r="H1482" s="1">
        <v>4</v>
      </c>
      <c r="I1482" s="1">
        <v>4</v>
      </c>
      <c r="J1482" s="1">
        <v>0</v>
      </c>
      <c r="K1482" s="1">
        <v>1</v>
      </c>
      <c r="L1482" s="1">
        <v>8272</v>
      </c>
      <c r="M1482" s="1">
        <v>0</v>
      </c>
    </row>
    <row r="1483" spans="2:13" x14ac:dyDescent="0.25">
      <c r="B1483" s="1">
        <v>1</v>
      </c>
      <c r="C1483" s="1">
        <v>1</v>
      </c>
      <c r="D1483" s="1">
        <v>0</v>
      </c>
      <c r="E1483" s="1">
        <v>1</v>
      </c>
      <c r="F1483" s="1">
        <v>85</v>
      </c>
      <c r="G1483" s="1">
        <v>0</v>
      </c>
      <c r="H1483" s="1">
        <v>8</v>
      </c>
      <c r="I1483" s="1">
        <v>5</v>
      </c>
      <c r="J1483" s="1">
        <v>1</v>
      </c>
      <c r="K1483" s="1">
        <v>1</v>
      </c>
      <c r="L1483" s="1">
        <v>23604</v>
      </c>
      <c r="M1483" s="1">
        <v>0</v>
      </c>
    </row>
    <row r="1484" spans="2:13" x14ac:dyDescent="0.25">
      <c r="B1484" s="1">
        <v>1</v>
      </c>
      <c r="C1484" s="1">
        <v>1</v>
      </c>
      <c r="D1484" s="1">
        <v>0</v>
      </c>
      <c r="E1484" s="1">
        <v>1</v>
      </c>
      <c r="F1484" s="1">
        <v>84</v>
      </c>
      <c r="G1484" s="1">
        <v>1</v>
      </c>
      <c r="H1484" s="1">
        <v>5</v>
      </c>
      <c r="I1484" s="1">
        <v>5</v>
      </c>
      <c r="J1484" s="1">
        <v>0</v>
      </c>
      <c r="K1484" s="1">
        <v>1</v>
      </c>
      <c r="L1484" s="1">
        <v>11115</v>
      </c>
      <c r="M1484" s="1">
        <v>0</v>
      </c>
    </row>
    <row r="1485" spans="2:13" x14ac:dyDescent="0.25">
      <c r="B1485" s="1">
        <v>1</v>
      </c>
      <c r="C1485" s="1">
        <v>1</v>
      </c>
      <c r="D1485" s="1">
        <v>0</v>
      </c>
      <c r="E1485" s="1">
        <v>1</v>
      </c>
      <c r="F1485" s="1">
        <v>84</v>
      </c>
      <c r="G1485" s="1">
        <v>0</v>
      </c>
      <c r="H1485" s="1">
        <v>7</v>
      </c>
      <c r="I1485" s="1">
        <v>1</v>
      </c>
      <c r="J1485" s="1">
        <v>0</v>
      </c>
      <c r="K1485" s="1">
        <v>1</v>
      </c>
      <c r="L1485" s="1">
        <v>23908</v>
      </c>
      <c r="M1485" s="1">
        <v>0</v>
      </c>
    </row>
    <row r="1486" spans="2:13" x14ac:dyDescent="0.25">
      <c r="B1486" s="1">
        <v>1</v>
      </c>
      <c r="C1486" s="1">
        <v>1</v>
      </c>
      <c r="D1486" s="1">
        <v>0</v>
      </c>
      <c r="E1486" s="1">
        <v>1</v>
      </c>
      <c r="F1486" s="1">
        <v>84</v>
      </c>
      <c r="G1486" s="1">
        <v>1</v>
      </c>
      <c r="H1486" s="1">
        <v>1</v>
      </c>
      <c r="I1486" s="1">
        <v>2</v>
      </c>
      <c r="J1486" s="1">
        <v>0</v>
      </c>
      <c r="K1486" s="1">
        <v>1</v>
      </c>
      <c r="L1486" s="1">
        <v>8980</v>
      </c>
      <c r="M1486" s="1">
        <v>0</v>
      </c>
    </row>
    <row r="1487" spans="2:13" x14ac:dyDescent="0.25">
      <c r="B1487" s="1">
        <v>1</v>
      </c>
      <c r="C1487" s="1">
        <v>1</v>
      </c>
      <c r="D1487" s="1">
        <v>0</v>
      </c>
      <c r="E1487" s="1">
        <v>1</v>
      </c>
      <c r="F1487" s="1">
        <v>84</v>
      </c>
      <c r="G1487" s="1">
        <v>1</v>
      </c>
      <c r="H1487" s="1">
        <v>7</v>
      </c>
      <c r="I1487" s="1">
        <v>2</v>
      </c>
      <c r="J1487" s="1">
        <v>0</v>
      </c>
      <c r="K1487" s="1">
        <v>1</v>
      </c>
      <c r="L1487" s="1">
        <v>27316</v>
      </c>
      <c r="M1487" s="1">
        <v>0</v>
      </c>
    </row>
    <row r="1488" spans="2:13" x14ac:dyDescent="0.25">
      <c r="B1488" s="1">
        <v>1</v>
      </c>
      <c r="C1488" s="1">
        <v>1</v>
      </c>
      <c r="D1488" s="1">
        <v>0</v>
      </c>
      <c r="E1488" s="1">
        <v>1</v>
      </c>
      <c r="F1488" s="1">
        <v>84</v>
      </c>
      <c r="G1488" s="1">
        <v>1</v>
      </c>
      <c r="H1488" s="1">
        <v>4</v>
      </c>
      <c r="I1488" s="1">
        <v>5</v>
      </c>
      <c r="J1488" s="1">
        <v>3</v>
      </c>
      <c r="K1488" s="1">
        <v>1</v>
      </c>
      <c r="L1488" s="1">
        <v>43071</v>
      </c>
      <c r="M1488" s="1">
        <v>1</v>
      </c>
    </row>
    <row r="1489" spans="2:13" x14ac:dyDescent="0.25">
      <c r="B1489" s="1">
        <v>1</v>
      </c>
      <c r="C1489" s="1">
        <v>1</v>
      </c>
      <c r="D1489" s="1">
        <v>0</v>
      </c>
      <c r="E1489" s="1">
        <v>1</v>
      </c>
      <c r="F1489" s="1">
        <v>84</v>
      </c>
      <c r="G1489" s="1">
        <v>1</v>
      </c>
      <c r="H1489" s="1">
        <v>7</v>
      </c>
      <c r="I1489" s="1">
        <v>2</v>
      </c>
      <c r="J1489" s="1">
        <v>1</v>
      </c>
      <c r="K1489" s="1">
        <v>1</v>
      </c>
      <c r="L1489" s="1">
        <v>23221</v>
      </c>
      <c r="M1489" s="1">
        <v>1</v>
      </c>
    </row>
    <row r="1490" spans="2:13" x14ac:dyDescent="0.25">
      <c r="B1490" s="1">
        <v>1</v>
      </c>
      <c r="C1490" s="1">
        <v>1</v>
      </c>
      <c r="D1490" s="1">
        <v>0</v>
      </c>
      <c r="E1490" s="1">
        <v>1</v>
      </c>
      <c r="F1490" s="1">
        <v>83</v>
      </c>
      <c r="G1490" s="1">
        <v>1</v>
      </c>
      <c r="H1490" s="1">
        <v>3</v>
      </c>
      <c r="I1490" s="1">
        <v>4</v>
      </c>
      <c r="J1490" s="1">
        <v>0</v>
      </c>
      <c r="K1490" s="1">
        <v>1</v>
      </c>
      <c r="L1490" s="1">
        <v>12919</v>
      </c>
      <c r="M1490" s="1">
        <v>0</v>
      </c>
    </row>
    <row r="1491" spans="2:13" x14ac:dyDescent="0.25">
      <c r="B1491" s="1">
        <v>1</v>
      </c>
      <c r="C1491" s="1">
        <v>1</v>
      </c>
      <c r="D1491" s="1">
        <v>0</v>
      </c>
      <c r="E1491" s="1">
        <v>1</v>
      </c>
      <c r="F1491" s="1">
        <v>83</v>
      </c>
      <c r="G1491" s="1">
        <v>0</v>
      </c>
      <c r="H1491" s="1">
        <v>7</v>
      </c>
      <c r="I1491" s="1">
        <v>4</v>
      </c>
      <c r="J1491" s="1">
        <v>0</v>
      </c>
      <c r="K1491" s="1">
        <v>1</v>
      </c>
      <c r="L1491" s="1">
        <v>18739</v>
      </c>
      <c r="M1491" s="1">
        <v>0</v>
      </c>
    </row>
    <row r="1492" spans="2:13" x14ac:dyDescent="0.25">
      <c r="B1492" s="1">
        <v>1</v>
      </c>
      <c r="C1492" s="1">
        <v>1</v>
      </c>
      <c r="D1492" s="1">
        <v>0</v>
      </c>
      <c r="E1492" s="1">
        <v>1</v>
      </c>
      <c r="F1492" s="1">
        <v>83</v>
      </c>
      <c r="G1492" s="1">
        <v>0</v>
      </c>
      <c r="H1492" s="1">
        <v>4</v>
      </c>
      <c r="I1492" s="1">
        <v>5</v>
      </c>
      <c r="J1492" s="1">
        <v>0</v>
      </c>
      <c r="K1492" s="1">
        <v>1</v>
      </c>
      <c r="L1492" s="1">
        <v>15323</v>
      </c>
      <c r="M1492" s="1">
        <v>0</v>
      </c>
    </row>
    <row r="1493" spans="2:13" x14ac:dyDescent="0.25">
      <c r="B1493" s="1">
        <v>1</v>
      </c>
      <c r="C1493" s="1">
        <v>1</v>
      </c>
      <c r="D1493" s="1">
        <v>0</v>
      </c>
      <c r="E1493" s="1">
        <v>1</v>
      </c>
      <c r="F1493" s="1">
        <v>83</v>
      </c>
      <c r="G1493" s="1">
        <v>1</v>
      </c>
      <c r="H1493" s="1">
        <v>3</v>
      </c>
      <c r="I1493" s="1">
        <v>6</v>
      </c>
      <c r="J1493" s="1">
        <v>1</v>
      </c>
      <c r="K1493" s="1">
        <v>1</v>
      </c>
      <c r="L1493" s="1">
        <v>9797</v>
      </c>
      <c r="M1493" s="1">
        <v>0</v>
      </c>
    </row>
    <row r="1494" spans="2:13" x14ac:dyDescent="0.25">
      <c r="B1494" s="1">
        <v>1</v>
      </c>
      <c r="C1494" s="1">
        <v>1</v>
      </c>
      <c r="D1494" s="1">
        <v>0</v>
      </c>
      <c r="E1494" s="1">
        <v>1</v>
      </c>
      <c r="F1494" s="1">
        <v>83</v>
      </c>
      <c r="G1494" s="1">
        <v>0</v>
      </c>
      <c r="H1494" s="1">
        <v>4</v>
      </c>
      <c r="I1494" s="1">
        <v>2</v>
      </c>
      <c r="J1494" s="1">
        <v>0</v>
      </c>
      <c r="K1494" s="1">
        <v>1</v>
      </c>
      <c r="L1494" s="1">
        <v>12790</v>
      </c>
      <c r="M1494" s="1">
        <v>0</v>
      </c>
    </row>
    <row r="1495" spans="2:13" x14ac:dyDescent="0.25">
      <c r="B1495" s="1">
        <v>1</v>
      </c>
      <c r="C1495" s="1">
        <v>1</v>
      </c>
      <c r="D1495" s="1">
        <v>0</v>
      </c>
      <c r="E1495" s="1">
        <v>1</v>
      </c>
      <c r="F1495" s="1">
        <v>83</v>
      </c>
      <c r="G1495" s="1">
        <v>1</v>
      </c>
      <c r="H1495" s="1">
        <v>4</v>
      </c>
      <c r="I1495" s="1">
        <v>3</v>
      </c>
      <c r="J1495" s="1">
        <v>0</v>
      </c>
      <c r="K1495" s="1">
        <v>1</v>
      </c>
      <c r="L1495" s="1">
        <v>10404</v>
      </c>
      <c r="M1495" s="1">
        <v>0</v>
      </c>
    </row>
    <row r="1496" spans="2:13" x14ac:dyDescent="0.25">
      <c r="B1496" s="1">
        <v>1</v>
      </c>
      <c r="C1496" s="1">
        <v>1</v>
      </c>
      <c r="D1496" s="1">
        <v>0</v>
      </c>
      <c r="E1496" s="1">
        <v>1</v>
      </c>
      <c r="F1496" s="1">
        <v>83</v>
      </c>
      <c r="G1496" s="1">
        <v>1</v>
      </c>
      <c r="H1496" s="1">
        <v>8</v>
      </c>
      <c r="I1496" s="1">
        <v>5</v>
      </c>
      <c r="J1496" s="1">
        <v>1</v>
      </c>
      <c r="K1496" s="1">
        <v>1</v>
      </c>
      <c r="L1496" s="1">
        <v>21410</v>
      </c>
      <c r="M1496" s="1">
        <v>0</v>
      </c>
    </row>
    <row r="1497" spans="2:13" x14ac:dyDescent="0.25">
      <c r="B1497" s="1">
        <v>1</v>
      </c>
      <c r="C1497" s="1">
        <v>1</v>
      </c>
      <c r="D1497" s="1">
        <v>0</v>
      </c>
      <c r="E1497" s="1">
        <v>1</v>
      </c>
      <c r="F1497" s="1">
        <v>83</v>
      </c>
      <c r="G1497" s="1">
        <v>1</v>
      </c>
      <c r="H1497" s="1">
        <v>9</v>
      </c>
      <c r="I1497" s="1">
        <v>4</v>
      </c>
      <c r="J1497" s="1">
        <v>0</v>
      </c>
      <c r="K1497" s="1">
        <v>1</v>
      </c>
      <c r="L1497" s="1">
        <v>15248</v>
      </c>
      <c r="M1497" s="1">
        <v>0</v>
      </c>
    </row>
    <row r="1498" spans="2:13" x14ac:dyDescent="0.25">
      <c r="B1498" s="1">
        <v>1</v>
      </c>
      <c r="C1498" s="1">
        <v>1</v>
      </c>
      <c r="D1498" s="1">
        <v>0</v>
      </c>
      <c r="E1498" s="1">
        <v>1</v>
      </c>
      <c r="F1498" s="1">
        <v>83</v>
      </c>
      <c r="G1498" s="1">
        <v>0</v>
      </c>
      <c r="H1498" s="1">
        <v>21</v>
      </c>
      <c r="I1498" s="1">
        <v>2</v>
      </c>
      <c r="J1498" s="1">
        <v>1</v>
      </c>
      <c r="K1498" s="1">
        <v>1</v>
      </c>
      <c r="L1498" s="1">
        <v>49984</v>
      </c>
      <c r="M1498" s="1">
        <v>0</v>
      </c>
    </row>
    <row r="1499" spans="2:13" x14ac:dyDescent="0.25">
      <c r="B1499" s="1">
        <v>1</v>
      </c>
      <c r="C1499" s="1">
        <v>1</v>
      </c>
      <c r="D1499" s="1">
        <v>0</v>
      </c>
      <c r="E1499" s="1">
        <v>1</v>
      </c>
      <c r="F1499" s="1">
        <v>83</v>
      </c>
      <c r="G1499" s="1">
        <v>1</v>
      </c>
      <c r="H1499" s="1">
        <v>5</v>
      </c>
      <c r="I1499" s="1">
        <v>6</v>
      </c>
      <c r="J1499" s="1">
        <v>1</v>
      </c>
      <c r="K1499" s="1">
        <v>1</v>
      </c>
      <c r="L1499" s="1">
        <v>17465</v>
      </c>
      <c r="M1499" s="1">
        <v>0</v>
      </c>
    </row>
    <row r="1500" spans="2:13" x14ac:dyDescent="0.25">
      <c r="B1500" s="1">
        <v>1</v>
      </c>
      <c r="C1500" s="1">
        <v>1</v>
      </c>
      <c r="D1500" s="1">
        <v>0</v>
      </c>
      <c r="E1500" s="1">
        <v>1</v>
      </c>
      <c r="F1500" s="1">
        <v>83</v>
      </c>
      <c r="G1500" s="1">
        <v>0</v>
      </c>
      <c r="H1500" s="1">
        <v>2</v>
      </c>
      <c r="I1500" s="1">
        <v>5</v>
      </c>
      <c r="J1500" s="1">
        <v>0</v>
      </c>
      <c r="K1500" s="1">
        <v>1</v>
      </c>
      <c r="L1500" s="1">
        <v>5295</v>
      </c>
      <c r="M1500" s="1">
        <v>0</v>
      </c>
    </row>
    <row r="1501" spans="2:13" x14ac:dyDescent="0.25">
      <c r="B1501" s="1">
        <v>1</v>
      </c>
      <c r="C1501" s="1">
        <v>1</v>
      </c>
      <c r="D1501" s="1">
        <v>0</v>
      </c>
      <c r="E1501" s="1">
        <v>1</v>
      </c>
      <c r="F1501" s="1">
        <v>83</v>
      </c>
      <c r="G1501" s="1">
        <v>1</v>
      </c>
      <c r="H1501" s="1">
        <v>6</v>
      </c>
      <c r="I1501" s="1">
        <v>3</v>
      </c>
      <c r="J1501" s="1">
        <v>1</v>
      </c>
      <c r="K1501" s="1">
        <v>1</v>
      </c>
      <c r="L1501" s="1">
        <v>21383</v>
      </c>
      <c r="M1501" s="1">
        <v>1</v>
      </c>
    </row>
    <row r="1502" spans="2:13" x14ac:dyDescent="0.25">
      <c r="B1502" s="1">
        <v>1</v>
      </c>
      <c r="C1502" s="1">
        <v>1</v>
      </c>
      <c r="D1502" s="1">
        <v>0</v>
      </c>
      <c r="E1502" s="1">
        <v>1</v>
      </c>
      <c r="F1502" s="1">
        <v>83</v>
      </c>
      <c r="G1502" s="1">
        <v>1</v>
      </c>
      <c r="H1502" s="1">
        <v>24</v>
      </c>
      <c r="I1502" s="1">
        <v>4</v>
      </c>
      <c r="J1502" s="1">
        <v>1</v>
      </c>
      <c r="K1502" s="1">
        <v>1</v>
      </c>
      <c r="L1502" s="1">
        <v>72320</v>
      </c>
      <c r="M1502" s="1">
        <v>1</v>
      </c>
    </row>
    <row r="1503" spans="2:13" x14ac:dyDescent="0.25">
      <c r="B1503" s="1">
        <v>1</v>
      </c>
      <c r="C1503" s="1">
        <v>1</v>
      </c>
      <c r="D1503" s="1">
        <v>0</v>
      </c>
      <c r="E1503" s="1">
        <v>1</v>
      </c>
      <c r="F1503" s="1">
        <v>83</v>
      </c>
      <c r="G1503" s="1">
        <v>0</v>
      </c>
      <c r="H1503" s="1">
        <v>4</v>
      </c>
      <c r="I1503" s="1">
        <v>4</v>
      </c>
      <c r="J1503" s="1">
        <v>2</v>
      </c>
      <c r="K1503" s="1">
        <v>1</v>
      </c>
      <c r="L1503" s="1">
        <v>19901</v>
      </c>
      <c r="M1503" s="1">
        <v>1</v>
      </c>
    </row>
    <row r="1504" spans="2:13" x14ac:dyDescent="0.25">
      <c r="B1504" s="1">
        <v>1</v>
      </c>
      <c r="C1504" s="1">
        <v>1</v>
      </c>
      <c r="D1504" s="1">
        <v>0</v>
      </c>
      <c r="E1504" s="1">
        <v>1</v>
      </c>
      <c r="F1504" s="1">
        <v>83</v>
      </c>
      <c r="G1504" s="1">
        <v>1</v>
      </c>
      <c r="H1504" s="1">
        <v>14</v>
      </c>
      <c r="I1504" s="1">
        <v>2</v>
      </c>
      <c r="J1504" s="1">
        <v>6</v>
      </c>
      <c r="K1504" s="1">
        <v>1</v>
      </c>
      <c r="L1504" s="1">
        <v>122233</v>
      </c>
      <c r="M1504" s="1">
        <v>1</v>
      </c>
    </row>
    <row r="1505" spans="2:13" x14ac:dyDescent="0.25">
      <c r="B1505" s="1">
        <v>1</v>
      </c>
      <c r="C1505" s="1">
        <v>1</v>
      </c>
      <c r="D1505" s="1">
        <v>0</v>
      </c>
      <c r="E1505" s="1">
        <v>1</v>
      </c>
      <c r="F1505" s="1">
        <v>83</v>
      </c>
      <c r="G1505" s="1">
        <v>1</v>
      </c>
      <c r="H1505" s="1">
        <v>5</v>
      </c>
      <c r="I1505" s="1">
        <v>6</v>
      </c>
      <c r="J1505" s="1">
        <v>6</v>
      </c>
      <c r="K1505" s="1">
        <v>1</v>
      </c>
      <c r="L1505" s="1">
        <v>30775</v>
      </c>
      <c r="M1505" s="1">
        <v>1</v>
      </c>
    </row>
    <row r="1506" spans="2:13" x14ac:dyDescent="0.25">
      <c r="B1506" s="1">
        <v>1</v>
      </c>
      <c r="C1506" s="1">
        <v>1</v>
      </c>
      <c r="D1506" s="1">
        <v>0</v>
      </c>
      <c r="E1506" s="1">
        <v>1</v>
      </c>
      <c r="F1506" s="1">
        <v>83</v>
      </c>
      <c r="G1506" s="1">
        <v>0</v>
      </c>
      <c r="H1506" s="1">
        <v>7</v>
      </c>
      <c r="I1506" s="1">
        <v>3</v>
      </c>
      <c r="J1506" s="1">
        <v>3</v>
      </c>
      <c r="K1506" s="1">
        <v>1</v>
      </c>
      <c r="L1506" s="1">
        <v>21186</v>
      </c>
      <c r="M1506" s="1">
        <v>1</v>
      </c>
    </row>
    <row r="1507" spans="2:13" x14ac:dyDescent="0.25">
      <c r="B1507" s="1">
        <v>1</v>
      </c>
      <c r="C1507" s="1">
        <v>1</v>
      </c>
      <c r="D1507" s="1">
        <v>0</v>
      </c>
      <c r="E1507" s="1">
        <v>1</v>
      </c>
      <c r="F1507" s="1">
        <v>82</v>
      </c>
      <c r="G1507" s="1">
        <v>1</v>
      </c>
      <c r="H1507" s="1">
        <v>1</v>
      </c>
      <c r="I1507" s="1">
        <v>6</v>
      </c>
      <c r="J1507" s="1">
        <v>0</v>
      </c>
      <c r="K1507" s="1">
        <v>1</v>
      </c>
      <c r="L1507" s="1">
        <v>16591</v>
      </c>
      <c r="M1507" s="1">
        <v>0</v>
      </c>
    </row>
    <row r="1508" spans="2:13" x14ac:dyDescent="0.25">
      <c r="B1508" s="1">
        <v>1</v>
      </c>
      <c r="C1508" s="1">
        <v>1</v>
      </c>
      <c r="D1508" s="1">
        <v>0</v>
      </c>
      <c r="E1508" s="1">
        <v>1</v>
      </c>
      <c r="F1508" s="1">
        <v>82</v>
      </c>
      <c r="G1508" s="1">
        <v>1</v>
      </c>
      <c r="H1508" s="1">
        <v>7</v>
      </c>
      <c r="I1508" s="1">
        <v>2</v>
      </c>
      <c r="J1508" s="1">
        <v>0</v>
      </c>
      <c r="K1508" s="1">
        <v>1</v>
      </c>
      <c r="L1508" s="1">
        <v>19775</v>
      </c>
      <c r="M1508" s="1">
        <v>0</v>
      </c>
    </row>
    <row r="1509" spans="2:13" x14ac:dyDescent="0.25">
      <c r="B1509" s="1">
        <v>1</v>
      </c>
      <c r="C1509" s="1">
        <v>1</v>
      </c>
      <c r="D1509" s="1">
        <v>0</v>
      </c>
      <c r="E1509" s="1">
        <v>1</v>
      </c>
      <c r="F1509" s="1">
        <v>82</v>
      </c>
      <c r="G1509" s="1">
        <v>1</v>
      </c>
      <c r="H1509" s="1">
        <v>5</v>
      </c>
      <c r="I1509" s="1">
        <v>7</v>
      </c>
      <c r="J1509" s="1">
        <v>0</v>
      </c>
      <c r="K1509" s="1">
        <v>1</v>
      </c>
      <c r="L1509" s="1">
        <v>18525</v>
      </c>
      <c r="M1509" s="1">
        <v>0</v>
      </c>
    </row>
    <row r="1510" spans="2:13" x14ac:dyDescent="0.25">
      <c r="B1510" s="1">
        <v>1</v>
      </c>
      <c r="C1510" s="1">
        <v>1</v>
      </c>
      <c r="D1510" s="1">
        <v>0</v>
      </c>
      <c r="E1510" s="1">
        <v>1</v>
      </c>
      <c r="F1510" s="1">
        <v>82</v>
      </c>
      <c r="G1510" s="1">
        <v>1</v>
      </c>
      <c r="H1510" s="1">
        <v>4</v>
      </c>
      <c r="I1510" s="1">
        <v>5</v>
      </c>
      <c r="J1510" s="1">
        <v>1</v>
      </c>
      <c r="K1510" s="1">
        <v>1</v>
      </c>
      <c r="L1510" s="1">
        <v>14257</v>
      </c>
      <c r="M1510" s="1">
        <v>0</v>
      </c>
    </row>
    <row r="1511" spans="2:13" x14ac:dyDescent="0.25">
      <c r="B1511" s="1">
        <v>1</v>
      </c>
      <c r="C1511" s="1">
        <v>1</v>
      </c>
      <c r="D1511" s="1">
        <v>0</v>
      </c>
      <c r="E1511" s="1">
        <v>1</v>
      </c>
      <c r="F1511" s="1">
        <v>82</v>
      </c>
      <c r="G1511" s="1">
        <v>1</v>
      </c>
      <c r="H1511" s="1">
        <v>10</v>
      </c>
      <c r="I1511" s="1">
        <v>4</v>
      </c>
      <c r="J1511" s="1">
        <v>1</v>
      </c>
      <c r="K1511" s="1">
        <v>1</v>
      </c>
      <c r="L1511" s="1">
        <v>33197</v>
      </c>
      <c r="M1511" s="1">
        <v>0</v>
      </c>
    </row>
    <row r="1512" spans="2:13" x14ac:dyDescent="0.25">
      <c r="B1512" s="1">
        <v>1</v>
      </c>
      <c r="C1512" s="1">
        <v>1</v>
      </c>
      <c r="D1512" s="1">
        <v>0</v>
      </c>
      <c r="E1512" s="1">
        <v>1</v>
      </c>
      <c r="F1512" s="1">
        <v>82</v>
      </c>
      <c r="G1512" s="1">
        <v>0</v>
      </c>
      <c r="H1512" s="1">
        <v>3</v>
      </c>
      <c r="I1512" s="1">
        <v>5</v>
      </c>
      <c r="J1512" s="1">
        <v>0</v>
      </c>
      <c r="K1512" s="1">
        <v>1</v>
      </c>
      <c r="L1512" s="1">
        <v>13437</v>
      </c>
      <c r="M1512" s="1">
        <v>0</v>
      </c>
    </row>
    <row r="1513" spans="2:13" x14ac:dyDescent="0.25">
      <c r="B1513" s="1">
        <v>1</v>
      </c>
      <c r="C1513" s="1">
        <v>1</v>
      </c>
      <c r="D1513" s="1">
        <v>0</v>
      </c>
      <c r="E1513" s="1">
        <v>1</v>
      </c>
      <c r="F1513" s="1">
        <v>82</v>
      </c>
      <c r="G1513" s="1">
        <v>0</v>
      </c>
      <c r="H1513" s="1">
        <v>4</v>
      </c>
      <c r="I1513" s="1">
        <v>6</v>
      </c>
      <c r="J1513" s="1">
        <v>0</v>
      </c>
      <c r="K1513" s="1">
        <v>1</v>
      </c>
      <c r="L1513" s="1">
        <v>15777</v>
      </c>
      <c r="M1513" s="1">
        <v>0</v>
      </c>
    </row>
    <row r="1514" spans="2:13" x14ac:dyDescent="0.25">
      <c r="B1514" s="1">
        <v>1</v>
      </c>
      <c r="C1514" s="1">
        <v>1</v>
      </c>
      <c r="D1514" s="1">
        <v>0</v>
      </c>
      <c r="E1514" s="1">
        <v>1</v>
      </c>
      <c r="F1514" s="1">
        <v>82</v>
      </c>
      <c r="G1514" s="1">
        <v>1</v>
      </c>
      <c r="H1514" s="1">
        <v>1</v>
      </c>
      <c r="I1514" s="1">
        <v>4</v>
      </c>
      <c r="J1514" s="1">
        <v>1</v>
      </c>
      <c r="K1514" s="1">
        <v>1</v>
      </c>
      <c r="L1514" s="1">
        <v>11049</v>
      </c>
      <c r="M1514" s="1">
        <v>1</v>
      </c>
    </row>
    <row r="1515" spans="2:13" x14ac:dyDescent="0.25">
      <c r="B1515" s="1">
        <v>1</v>
      </c>
      <c r="C1515" s="1">
        <v>1</v>
      </c>
      <c r="D1515" s="1">
        <v>0</v>
      </c>
      <c r="E1515" s="1">
        <v>1</v>
      </c>
      <c r="F1515" s="1">
        <v>81</v>
      </c>
      <c r="G1515" s="1">
        <v>0</v>
      </c>
      <c r="H1515" s="1">
        <v>8</v>
      </c>
      <c r="I1515" s="1">
        <v>4</v>
      </c>
      <c r="J1515" s="1">
        <v>0</v>
      </c>
      <c r="K1515" s="1">
        <v>1</v>
      </c>
      <c r="L1515" s="1">
        <v>27731</v>
      </c>
      <c r="M1515" s="1">
        <v>0</v>
      </c>
    </row>
    <row r="1516" spans="2:13" x14ac:dyDescent="0.25">
      <c r="B1516" s="1">
        <v>1</v>
      </c>
      <c r="C1516" s="1">
        <v>1</v>
      </c>
      <c r="D1516" s="1">
        <v>0</v>
      </c>
      <c r="E1516" s="1">
        <v>1</v>
      </c>
      <c r="F1516" s="1">
        <v>81</v>
      </c>
      <c r="G1516" s="1">
        <v>0</v>
      </c>
      <c r="H1516" s="1">
        <v>4</v>
      </c>
      <c r="I1516" s="1">
        <v>7</v>
      </c>
      <c r="J1516" s="1">
        <v>0</v>
      </c>
      <c r="K1516" s="1">
        <v>1</v>
      </c>
      <c r="L1516" s="1">
        <v>26994</v>
      </c>
      <c r="M1516" s="1">
        <v>0</v>
      </c>
    </row>
    <row r="1517" spans="2:13" x14ac:dyDescent="0.25">
      <c r="B1517" s="1">
        <v>1</v>
      </c>
      <c r="C1517" s="1">
        <v>1</v>
      </c>
      <c r="D1517" s="1">
        <v>0</v>
      </c>
      <c r="E1517" s="1">
        <v>1</v>
      </c>
      <c r="F1517" s="1">
        <v>81</v>
      </c>
      <c r="G1517" s="1">
        <v>0</v>
      </c>
      <c r="H1517" s="1">
        <v>24</v>
      </c>
      <c r="I1517" s="1">
        <v>2</v>
      </c>
      <c r="J1517" s="1">
        <v>0</v>
      </c>
      <c r="K1517" s="1">
        <v>1</v>
      </c>
      <c r="L1517" s="1">
        <v>38806</v>
      </c>
      <c r="M1517" s="1">
        <v>0</v>
      </c>
    </row>
    <row r="1518" spans="2:13" x14ac:dyDescent="0.25">
      <c r="B1518" s="1">
        <v>1</v>
      </c>
      <c r="C1518" s="1">
        <v>1</v>
      </c>
      <c r="D1518" s="1">
        <v>0</v>
      </c>
      <c r="E1518" s="1">
        <v>1</v>
      </c>
      <c r="F1518" s="1">
        <v>81</v>
      </c>
      <c r="G1518" s="1">
        <v>0</v>
      </c>
      <c r="H1518" s="1">
        <v>10</v>
      </c>
      <c r="I1518" s="1">
        <v>3</v>
      </c>
      <c r="J1518" s="1">
        <v>4</v>
      </c>
      <c r="K1518" s="1">
        <v>1</v>
      </c>
      <c r="L1518" s="1">
        <v>34339</v>
      </c>
      <c r="M1518" s="1">
        <v>0</v>
      </c>
    </row>
    <row r="1519" spans="2:13" x14ac:dyDescent="0.25">
      <c r="B1519" s="1">
        <v>1</v>
      </c>
      <c r="C1519" s="1">
        <v>1</v>
      </c>
      <c r="D1519" s="1">
        <v>0</v>
      </c>
      <c r="E1519" s="1">
        <v>1</v>
      </c>
      <c r="F1519" s="1">
        <v>81</v>
      </c>
      <c r="G1519" s="1">
        <v>0</v>
      </c>
      <c r="H1519" s="1">
        <v>2</v>
      </c>
      <c r="I1519" s="1">
        <v>5</v>
      </c>
      <c r="J1519" s="1">
        <v>0</v>
      </c>
      <c r="K1519" s="1">
        <v>1</v>
      </c>
      <c r="L1519" s="1">
        <v>11933</v>
      </c>
      <c r="M1519" s="1">
        <v>0</v>
      </c>
    </row>
    <row r="1520" spans="2:13" x14ac:dyDescent="0.25">
      <c r="B1520" s="1">
        <v>1</v>
      </c>
      <c r="C1520" s="1">
        <v>1</v>
      </c>
      <c r="D1520" s="1">
        <v>0</v>
      </c>
      <c r="E1520" s="1">
        <v>1</v>
      </c>
      <c r="F1520" s="1">
        <v>81</v>
      </c>
      <c r="G1520" s="1">
        <v>1</v>
      </c>
      <c r="H1520" s="1">
        <v>7</v>
      </c>
      <c r="I1520" s="1">
        <v>4</v>
      </c>
      <c r="J1520" s="1">
        <v>0</v>
      </c>
      <c r="K1520" s="1">
        <v>1</v>
      </c>
      <c r="L1520" s="1">
        <v>15868</v>
      </c>
      <c r="M1520" s="1">
        <v>0</v>
      </c>
    </row>
    <row r="1521" spans="2:13" x14ac:dyDescent="0.25">
      <c r="B1521" s="1">
        <v>1</v>
      </c>
      <c r="C1521" s="1">
        <v>1</v>
      </c>
      <c r="D1521" s="1">
        <v>0</v>
      </c>
      <c r="E1521" s="1">
        <v>1</v>
      </c>
      <c r="F1521" s="1">
        <v>81</v>
      </c>
      <c r="G1521" s="1">
        <v>0</v>
      </c>
      <c r="H1521" s="1">
        <v>10</v>
      </c>
      <c r="I1521" s="1">
        <v>6</v>
      </c>
      <c r="J1521" s="1">
        <v>0</v>
      </c>
      <c r="K1521" s="1">
        <v>1</v>
      </c>
      <c r="L1521" s="1">
        <v>16359</v>
      </c>
      <c r="M1521" s="1">
        <v>0</v>
      </c>
    </row>
    <row r="1522" spans="2:13" x14ac:dyDescent="0.25">
      <c r="B1522" s="1">
        <v>1</v>
      </c>
      <c r="C1522" s="1">
        <v>1</v>
      </c>
      <c r="D1522" s="1">
        <v>0</v>
      </c>
      <c r="E1522" s="1">
        <v>1</v>
      </c>
      <c r="F1522" s="1">
        <v>81</v>
      </c>
      <c r="G1522" s="1">
        <v>1</v>
      </c>
      <c r="H1522" s="1">
        <v>6</v>
      </c>
      <c r="I1522" s="1">
        <v>5</v>
      </c>
      <c r="J1522" s="1">
        <v>0</v>
      </c>
      <c r="K1522" s="1">
        <v>1</v>
      </c>
      <c r="L1522" s="1">
        <v>16303</v>
      </c>
      <c r="M1522" s="1">
        <v>0</v>
      </c>
    </row>
    <row r="1523" spans="2:13" x14ac:dyDescent="0.25">
      <c r="B1523" s="1">
        <v>1</v>
      </c>
      <c r="C1523" s="1">
        <v>1</v>
      </c>
      <c r="D1523" s="1">
        <v>0</v>
      </c>
      <c r="E1523" s="1">
        <v>1</v>
      </c>
      <c r="F1523" s="1">
        <v>81</v>
      </c>
      <c r="G1523" s="1">
        <v>0</v>
      </c>
      <c r="H1523" s="1">
        <v>10</v>
      </c>
      <c r="I1523" s="1">
        <v>3</v>
      </c>
      <c r="J1523" s="1">
        <v>3</v>
      </c>
      <c r="K1523" s="1">
        <v>1</v>
      </c>
      <c r="L1523" s="1">
        <v>25780</v>
      </c>
      <c r="M1523" s="1">
        <v>0</v>
      </c>
    </row>
    <row r="1524" spans="2:13" x14ac:dyDescent="0.25">
      <c r="B1524" s="1">
        <v>1</v>
      </c>
      <c r="C1524" s="1">
        <v>1</v>
      </c>
      <c r="D1524" s="1">
        <v>0</v>
      </c>
      <c r="E1524" s="1">
        <v>1</v>
      </c>
      <c r="F1524" s="1">
        <v>81</v>
      </c>
      <c r="G1524" s="1">
        <v>1</v>
      </c>
      <c r="H1524" s="1">
        <v>10</v>
      </c>
      <c r="I1524" s="1">
        <v>7</v>
      </c>
      <c r="J1524" s="1">
        <v>0</v>
      </c>
      <c r="K1524" s="1">
        <v>1</v>
      </c>
      <c r="L1524" s="1">
        <v>19262</v>
      </c>
      <c r="M1524" s="1">
        <v>0</v>
      </c>
    </row>
    <row r="1525" spans="2:13" x14ac:dyDescent="0.25">
      <c r="B1525" s="1">
        <v>1</v>
      </c>
      <c r="C1525" s="1">
        <v>1</v>
      </c>
      <c r="D1525" s="1">
        <v>0</v>
      </c>
      <c r="E1525" s="1">
        <v>1</v>
      </c>
      <c r="F1525" s="1">
        <v>81</v>
      </c>
      <c r="G1525" s="1">
        <v>0</v>
      </c>
      <c r="H1525" s="1">
        <v>4</v>
      </c>
      <c r="I1525" s="1">
        <v>4</v>
      </c>
      <c r="J1525" s="1">
        <v>2</v>
      </c>
      <c r="K1525" s="1">
        <v>1</v>
      </c>
      <c r="L1525" s="1">
        <v>7715</v>
      </c>
      <c r="M1525" s="1">
        <v>0</v>
      </c>
    </row>
    <row r="1526" spans="2:13" x14ac:dyDescent="0.25">
      <c r="B1526" s="1">
        <v>1</v>
      </c>
      <c r="C1526" s="1">
        <v>1</v>
      </c>
      <c r="D1526" s="1">
        <v>0</v>
      </c>
      <c r="E1526" s="1">
        <v>1</v>
      </c>
      <c r="F1526" s="1">
        <v>81</v>
      </c>
      <c r="G1526" s="1">
        <v>1</v>
      </c>
      <c r="H1526" s="1">
        <v>1</v>
      </c>
      <c r="I1526" s="1">
        <v>2</v>
      </c>
      <c r="J1526" s="1">
        <v>0</v>
      </c>
      <c r="K1526" s="1">
        <v>1</v>
      </c>
      <c r="L1526" s="1">
        <v>2088</v>
      </c>
      <c r="M1526" s="1">
        <v>0</v>
      </c>
    </row>
    <row r="1527" spans="2:13" x14ac:dyDescent="0.25">
      <c r="B1527" s="1">
        <v>1</v>
      </c>
      <c r="C1527" s="1">
        <v>1</v>
      </c>
      <c r="D1527" s="1">
        <v>0</v>
      </c>
      <c r="E1527" s="1">
        <v>1</v>
      </c>
      <c r="F1527" s="1">
        <v>81</v>
      </c>
      <c r="G1527" s="1">
        <v>1</v>
      </c>
      <c r="H1527" s="1">
        <v>3</v>
      </c>
      <c r="I1527" s="1">
        <v>4</v>
      </c>
      <c r="J1527" s="1">
        <v>1</v>
      </c>
      <c r="K1527" s="1">
        <v>1</v>
      </c>
      <c r="L1527" s="1">
        <v>14073</v>
      </c>
      <c r="M1527" s="1">
        <v>0</v>
      </c>
    </row>
    <row r="1528" spans="2:13" x14ac:dyDescent="0.25">
      <c r="B1528" s="1">
        <v>1</v>
      </c>
      <c r="C1528" s="1">
        <v>1</v>
      </c>
      <c r="D1528" s="1">
        <v>0</v>
      </c>
      <c r="E1528" s="1">
        <v>1</v>
      </c>
      <c r="F1528" s="1">
        <v>81</v>
      </c>
      <c r="G1528" s="1">
        <v>0</v>
      </c>
      <c r="H1528" s="1">
        <v>1</v>
      </c>
      <c r="I1528" s="1">
        <v>5</v>
      </c>
      <c r="J1528" s="1">
        <v>3</v>
      </c>
      <c r="K1528" s="1">
        <v>1</v>
      </c>
      <c r="L1528" s="1">
        <v>22706</v>
      </c>
      <c r="M1528" s="1">
        <v>0</v>
      </c>
    </row>
    <row r="1529" spans="2:13" x14ac:dyDescent="0.25">
      <c r="B1529" s="1">
        <v>1</v>
      </c>
      <c r="C1529" s="1">
        <v>1</v>
      </c>
      <c r="D1529" s="1">
        <v>0</v>
      </c>
      <c r="E1529" s="1">
        <v>1</v>
      </c>
      <c r="F1529" s="1">
        <v>81</v>
      </c>
      <c r="G1529" s="1">
        <v>1</v>
      </c>
      <c r="H1529" s="1">
        <v>5</v>
      </c>
      <c r="I1529" s="1">
        <v>4</v>
      </c>
      <c r="J1529" s="1">
        <v>2</v>
      </c>
      <c r="K1529" s="1">
        <v>1</v>
      </c>
      <c r="L1529" s="1">
        <v>16145</v>
      </c>
      <c r="M1529" s="1">
        <v>0</v>
      </c>
    </row>
    <row r="1530" spans="2:13" x14ac:dyDescent="0.25">
      <c r="B1530" s="1">
        <v>1</v>
      </c>
      <c r="C1530" s="1">
        <v>1</v>
      </c>
      <c r="D1530" s="1">
        <v>0</v>
      </c>
      <c r="E1530" s="1">
        <v>1</v>
      </c>
      <c r="F1530" s="1">
        <v>81</v>
      </c>
      <c r="G1530" s="1">
        <v>0</v>
      </c>
      <c r="H1530" s="1">
        <v>1</v>
      </c>
      <c r="I1530" s="1">
        <v>6</v>
      </c>
      <c r="J1530" s="1">
        <v>0</v>
      </c>
      <c r="K1530" s="1">
        <v>1</v>
      </c>
      <c r="L1530" s="1">
        <v>5860</v>
      </c>
      <c r="M1530" s="1">
        <v>0</v>
      </c>
    </row>
    <row r="1531" spans="2:13" x14ac:dyDescent="0.25">
      <c r="B1531" s="1">
        <v>1</v>
      </c>
      <c r="C1531" s="1">
        <v>1</v>
      </c>
      <c r="D1531" s="1">
        <v>0</v>
      </c>
      <c r="E1531" s="1">
        <v>1</v>
      </c>
      <c r="F1531" s="1">
        <v>81</v>
      </c>
      <c r="G1531" s="1">
        <v>1</v>
      </c>
      <c r="H1531" s="1">
        <v>14</v>
      </c>
      <c r="I1531" s="1">
        <v>5</v>
      </c>
      <c r="J1531" s="1">
        <v>0</v>
      </c>
      <c r="K1531" s="1">
        <v>1</v>
      </c>
      <c r="L1531" s="1">
        <v>28260</v>
      </c>
      <c r="M1531" s="1">
        <v>0</v>
      </c>
    </row>
    <row r="1532" spans="2:13" x14ac:dyDescent="0.25">
      <c r="B1532" s="1">
        <v>1</v>
      </c>
      <c r="C1532" s="1">
        <v>1</v>
      </c>
      <c r="D1532" s="1">
        <v>0</v>
      </c>
      <c r="E1532" s="1">
        <v>1</v>
      </c>
      <c r="F1532" s="1">
        <v>81</v>
      </c>
      <c r="G1532" s="1">
        <v>1</v>
      </c>
      <c r="H1532" s="1">
        <v>4</v>
      </c>
      <c r="I1532" s="1">
        <v>5</v>
      </c>
      <c r="J1532" s="1">
        <v>2</v>
      </c>
      <c r="K1532" s="1">
        <v>1</v>
      </c>
      <c r="L1532" s="1">
        <v>16203</v>
      </c>
      <c r="M1532" s="1">
        <v>0</v>
      </c>
    </row>
    <row r="1533" spans="2:13" x14ac:dyDescent="0.25">
      <c r="B1533" s="1">
        <v>1</v>
      </c>
      <c r="C1533" s="1">
        <v>1</v>
      </c>
      <c r="D1533" s="1">
        <v>0</v>
      </c>
      <c r="E1533" s="1">
        <v>1</v>
      </c>
      <c r="F1533" s="1">
        <v>81</v>
      </c>
      <c r="G1533" s="1">
        <v>1</v>
      </c>
      <c r="H1533" s="1">
        <v>4</v>
      </c>
      <c r="I1533" s="1">
        <v>0</v>
      </c>
      <c r="J1533" s="1">
        <v>1</v>
      </c>
      <c r="K1533" s="1">
        <v>1</v>
      </c>
      <c r="L1533" s="1">
        <v>28551</v>
      </c>
      <c r="M1533" s="1">
        <v>1</v>
      </c>
    </row>
    <row r="1534" spans="2:13" x14ac:dyDescent="0.25">
      <c r="B1534" s="1">
        <v>1</v>
      </c>
      <c r="C1534" s="1">
        <v>1</v>
      </c>
      <c r="D1534" s="1">
        <v>0</v>
      </c>
      <c r="E1534" s="1">
        <v>1</v>
      </c>
      <c r="F1534" s="1">
        <v>81</v>
      </c>
      <c r="G1534" s="1">
        <v>1</v>
      </c>
      <c r="H1534" s="1">
        <v>4</v>
      </c>
      <c r="I1534" s="1">
        <v>4</v>
      </c>
      <c r="J1534" s="1">
        <v>1</v>
      </c>
      <c r="K1534" s="1">
        <v>1</v>
      </c>
      <c r="L1534" s="1">
        <v>22676</v>
      </c>
      <c r="M1534" s="1">
        <v>1</v>
      </c>
    </row>
    <row r="1535" spans="2:13" x14ac:dyDescent="0.25">
      <c r="B1535" s="1">
        <v>1</v>
      </c>
      <c r="C1535" s="1">
        <v>1</v>
      </c>
      <c r="D1535" s="1">
        <v>0</v>
      </c>
      <c r="E1535" s="1">
        <v>1</v>
      </c>
      <c r="F1535" s="1">
        <v>81</v>
      </c>
      <c r="G1535" s="1">
        <v>1</v>
      </c>
      <c r="H1535" s="1">
        <v>6</v>
      </c>
      <c r="I1535" s="1">
        <v>3</v>
      </c>
      <c r="J1535" s="1">
        <v>2</v>
      </c>
      <c r="K1535" s="1">
        <v>1</v>
      </c>
      <c r="L1535" s="1">
        <v>25322</v>
      </c>
      <c r="M1535" s="1">
        <v>1</v>
      </c>
    </row>
    <row r="1536" spans="2:13" x14ac:dyDescent="0.25">
      <c r="B1536" s="1">
        <v>1</v>
      </c>
      <c r="C1536" s="1">
        <v>1</v>
      </c>
      <c r="D1536" s="1">
        <v>0</v>
      </c>
      <c r="E1536" s="1">
        <v>1</v>
      </c>
      <c r="F1536" s="1">
        <v>81</v>
      </c>
      <c r="G1536" s="1">
        <v>1</v>
      </c>
      <c r="H1536" s="1">
        <v>7</v>
      </c>
      <c r="I1536" s="1">
        <v>3</v>
      </c>
      <c r="J1536" s="1">
        <v>4</v>
      </c>
      <c r="K1536" s="1">
        <v>1</v>
      </c>
      <c r="L1536" s="1">
        <v>35597</v>
      </c>
      <c r="M1536" s="1">
        <v>1</v>
      </c>
    </row>
    <row r="1537" spans="2:13" x14ac:dyDescent="0.25">
      <c r="B1537" s="1">
        <v>1</v>
      </c>
      <c r="C1537" s="1">
        <v>1</v>
      </c>
      <c r="D1537" s="1">
        <v>0</v>
      </c>
      <c r="E1537" s="1">
        <v>1</v>
      </c>
      <c r="F1537" s="1">
        <v>81</v>
      </c>
      <c r="G1537" s="1">
        <v>1</v>
      </c>
      <c r="H1537" s="1">
        <v>2</v>
      </c>
      <c r="I1537" s="1">
        <v>2</v>
      </c>
      <c r="J1537" s="1">
        <v>1</v>
      </c>
      <c r="K1537" s="1">
        <v>1</v>
      </c>
      <c r="L1537" s="1">
        <v>18739</v>
      </c>
      <c r="M1537" s="1">
        <v>1</v>
      </c>
    </row>
    <row r="1538" spans="2:13" x14ac:dyDescent="0.25">
      <c r="B1538" s="1">
        <v>1</v>
      </c>
      <c r="C1538" s="1">
        <v>1</v>
      </c>
      <c r="D1538" s="1">
        <v>0</v>
      </c>
      <c r="E1538" s="1">
        <v>1</v>
      </c>
      <c r="F1538" s="1">
        <v>81</v>
      </c>
      <c r="G1538" s="1">
        <v>0</v>
      </c>
      <c r="H1538" s="1">
        <v>2</v>
      </c>
      <c r="I1538" s="1">
        <v>0</v>
      </c>
      <c r="J1538" s="1">
        <v>1</v>
      </c>
      <c r="K1538" s="1">
        <v>1</v>
      </c>
      <c r="L1538" s="1">
        <v>12925</v>
      </c>
      <c r="M1538" s="1">
        <v>1</v>
      </c>
    </row>
    <row r="1539" spans="2:13" x14ac:dyDescent="0.25">
      <c r="B1539" s="1">
        <v>1</v>
      </c>
      <c r="C1539" s="1">
        <v>1</v>
      </c>
      <c r="D1539" s="1">
        <v>0</v>
      </c>
      <c r="E1539" s="1">
        <v>1</v>
      </c>
      <c r="F1539" s="1">
        <v>80</v>
      </c>
      <c r="G1539" s="1">
        <v>1</v>
      </c>
      <c r="H1539" s="1">
        <v>5</v>
      </c>
      <c r="I1539" s="1">
        <v>6</v>
      </c>
      <c r="J1539" s="1">
        <v>0</v>
      </c>
      <c r="K1539" s="1">
        <v>1</v>
      </c>
      <c r="L1539" s="1">
        <v>20082</v>
      </c>
      <c r="M1539" s="1">
        <v>0</v>
      </c>
    </row>
    <row r="1540" spans="2:13" x14ac:dyDescent="0.25">
      <c r="B1540" s="1">
        <v>1</v>
      </c>
      <c r="C1540" s="1">
        <v>1</v>
      </c>
      <c r="D1540" s="1">
        <v>0</v>
      </c>
      <c r="E1540" s="1">
        <v>1</v>
      </c>
      <c r="F1540" s="1">
        <v>80</v>
      </c>
      <c r="G1540" s="1">
        <v>0</v>
      </c>
      <c r="H1540" s="1">
        <v>7</v>
      </c>
      <c r="I1540" s="1">
        <v>1</v>
      </c>
      <c r="J1540" s="1">
        <v>0</v>
      </c>
      <c r="K1540" s="1">
        <v>1</v>
      </c>
      <c r="L1540" s="1">
        <v>28317</v>
      </c>
      <c r="M1540" s="1">
        <v>0</v>
      </c>
    </row>
    <row r="1541" spans="2:13" x14ac:dyDescent="0.25">
      <c r="B1541" s="1">
        <v>1</v>
      </c>
      <c r="C1541" s="1">
        <v>1</v>
      </c>
      <c r="D1541" s="1">
        <v>0</v>
      </c>
      <c r="E1541" s="1">
        <v>1</v>
      </c>
      <c r="F1541" s="1">
        <v>80</v>
      </c>
      <c r="G1541" s="1">
        <v>1</v>
      </c>
      <c r="H1541" s="1">
        <v>1</v>
      </c>
      <c r="I1541" s="1">
        <v>4</v>
      </c>
      <c r="J1541" s="1">
        <v>0</v>
      </c>
      <c r="K1541" s="1">
        <v>1</v>
      </c>
      <c r="L1541" s="1">
        <v>9501</v>
      </c>
      <c r="M1541" s="1">
        <v>0</v>
      </c>
    </row>
    <row r="1542" spans="2:13" x14ac:dyDescent="0.25">
      <c r="B1542" s="1">
        <v>1</v>
      </c>
      <c r="C1542" s="1">
        <v>1</v>
      </c>
      <c r="D1542" s="1">
        <v>0</v>
      </c>
      <c r="E1542" s="1">
        <v>1</v>
      </c>
      <c r="F1542" s="1">
        <v>80</v>
      </c>
      <c r="G1542" s="1">
        <v>1</v>
      </c>
      <c r="H1542" s="1">
        <v>9</v>
      </c>
      <c r="I1542" s="1">
        <v>3</v>
      </c>
      <c r="J1542" s="1">
        <v>0</v>
      </c>
      <c r="K1542" s="1">
        <v>1</v>
      </c>
      <c r="L1542" s="1">
        <v>14033</v>
      </c>
      <c r="M1542" s="1">
        <v>0</v>
      </c>
    </row>
    <row r="1543" spans="2:13" x14ac:dyDescent="0.25">
      <c r="B1543" s="1">
        <v>1</v>
      </c>
      <c r="C1543" s="1">
        <v>1</v>
      </c>
      <c r="D1543" s="1">
        <v>0</v>
      </c>
      <c r="E1543" s="1">
        <v>1</v>
      </c>
      <c r="F1543" s="1">
        <v>80</v>
      </c>
      <c r="G1543" s="1">
        <v>0</v>
      </c>
      <c r="H1543" s="1">
        <v>5</v>
      </c>
      <c r="I1543" s="1">
        <v>2</v>
      </c>
      <c r="J1543" s="1">
        <v>0</v>
      </c>
      <c r="K1543" s="1">
        <v>1</v>
      </c>
      <c r="L1543" s="1">
        <v>12297</v>
      </c>
      <c r="M1543" s="1">
        <v>0</v>
      </c>
    </row>
    <row r="1544" spans="2:13" x14ac:dyDescent="0.25">
      <c r="B1544" s="1">
        <v>1</v>
      </c>
      <c r="C1544" s="1">
        <v>1</v>
      </c>
      <c r="D1544" s="1">
        <v>0</v>
      </c>
      <c r="E1544" s="1">
        <v>1</v>
      </c>
      <c r="F1544" s="1">
        <v>80</v>
      </c>
      <c r="G1544" s="1">
        <v>0</v>
      </c>
      <c r="H1544" s="1">
        <v>2</v>
      </c>
      <c r="I1544" s="1">
        <v>5</v>
      </c>
      <c r="J1544" s="1">
        <v>1</v>
      </c>
      <c r="K1544" s="1">
        <v>1</v>
      </c>
      <c r="L1544" s="1">
        <v>4789</v>
      </c>
      <c r="M1544" s="1">
        <v>0</v>
      </c>
    </row>
    <row r="1545" spans="2:13" x14ac:dyDescent="0.25">
      <c r="B1545" s="1">
        <v>1</v>
      </c>
      <c r="C1545" s="1">
        <v>1</v>
      </c>
      <c r="D1545" s="1">
        <v>0</v>
      </c>
      <c r="E1545" s="1">
        <v>1</v>
      </c>
      <c r="F1545" s="1">
        <v>80</v>
      </c>
      <c r="G1545" s="1">
        <v>1</v>
      </c>
      <c r="H1545" s="1">
        <v>11</v>
      </c>
      <c r="I1545" s="1">
        <v>5</v>
      </c>
      <c r="J1545" s="1">
        <v>1</v>
      </c>
      <c r="K1545" s="1">
        <v>1</v>
      </c>
      <c r="L1545" s="1">
        <v>26262</v>
      </c>
      <c r="M1545" s="1">
        <v>0</v>
      </c>
    </row>
    <row r="1546" spans="2:13" x14ac:dyDescent="0.25">
      <c r="B1546" s="1">
        <v>1</v>
      </c>
      <c r="C1546" s="1">
        <v>1</v>
      </c>
      <c r="D1546" s="1">
        <v>0</v>
      </c>
      <c r="E1546" s="1">
        <v>1</v>
      </c>
      <c r="F1546" s="1">
        <v>80</v>
      </c>
      <c r="G1546" s="1">
        <v>1</v>
      </c>
      <c r="H1546" s="1">
        <v>3</v>
      </c>
      <c r="I1546" s="1">
        <v>5</v>
      </c>
      <c r="J1546" s="1">
        <v>1</v>
      </c>
      <c r="K1546" s="1">
        <v>1</v>
      </c>
      <c r="L1546" s="1">
        <v>7959</v>
      </c>
      <c r="M1546" s="1">
        <v>0</v>
      </c>
    </row>
    <row r="1547" spans="2:13" x14ac:dyDescent="0.25">
      <c r="B1547" s="1">
        <v>1</v>
      </c>
      <c r="C1547" s="1">
        <v>1</v>
      </c>
      <c r="D1547" s="1">
        <v>0</v>
      </c>
      <c r="E1547" s="1">
        <v>1</v>
      </c>
      <c r="F1547" s="1">
        <v>80</v>
      </c>
      <c r="G1547" s="1">
        <v>0</v>
      </c>
      <c r="H1547" s="1">
        <v>8</v>
      </c>
      <c r="I1547" s="1">
        <v>5</v>
      </c>
      <c r="J1547" s="1">
        <v>1</v>
      </c>
      <c r="K1547" s="1">
        <v>1</v>
      </c>
      <c r="L1547" s="1">
        <v>15931</v>
      </c>
      <c r="M1547" s="1">
        <v>0</v>
      </c>
    </row>
    <row r="1548" spans="2:13" x14ac:dyDescent="0.25">
      <c r="B1548" s="1">
        <v>1</v>
      </c>
      <c r="C1548" s="1">
        <v>1</v>
      </c>
      <c r="D1548" s="1">
        <v>0</v>
      </c>
      <c r="E1548" s="1">
        <v>1</v>
      </c>
      <c r="F1548" s="1">
        <v>80</v>
      </c>
      <c r="G1548" s="1">
        <v>0</v>
      </c>
      <c r="H1548" s="1">
        <v>5</v>
      </c>
      <c r="I1548" s="1">
        <v>3</v>
      </c>
      <c r="J1548" s="1">
        <v>0</v>
      </c>
      <c r="K1548" s="1">
        <v>1</v>
      </c>
      <c r="L1548" s="1">
        <v>8441</v>
      </c>
      <c r="M1548" s="1">
        <v>0</v>
      </c>
    </row>
    <row r="1549" spans="2:13" x14ac:dyDescent="0.25">
      <c r="B1549" s="1">
        <v>1</v>
      </c>
      <c r="C1549" s="1">
        <v>1</v>
      </c>
      <c r="D1549" s="1">
        <v>0</v>
      </c>
      <c r="E1549" s="1">
        <v>1</v>
      </c>
      <c r="F1549" s="1">
        <v>80</v>
      </c>
      <c r="G1549" s="1">
        <v>0</v>
      </c>
      <c r="H1549" s="1">
        <v>6</v>
      </c>
      <c r="I1549" s="1">
        <v>4</v>
      </c>
      <c r="J1549" s="1">
        <v>1</v>
      </c>
      <c r="K1549" s="1">
        <v>1</v>
      </c>
      <c r="L1549" s="1">
        <v>16793</v>
      </c>
      <c r="M1549" s="1">
        <v>0</v>
      </c>
    </row>
    <row r="1550" spans="2:13" x14ac:dyDescent="0.25">
      <c r="B1550" s="1">
        <v>1</v>
      </c>
      <c r="C1550" s="1">
        <v>1</v>
      </c>
      <c r="D1550" s="1">
        <v>0</v>
      </c>
      <c r="E1550" s="1">
        <v>1</v>
      </c>
      <c r="F1550" s="1">
        <v>80</v>
      </c>
      <c r="G1550" s="1">
        <v>0</v>
      </c>
      <c r="H1550" s="1">
        <v>5</v>
      </c>
      <c r="I1550" s="1">
        <v>8</v>
      </c>
      <c r="J1550" s="1">
        <v>3</v>
      </c>
      <c r="K1550" s="1">
        <v>1</v>
      </c>
      <c r="L1550" s="1">
        <v>13710</v>
      </c>
      <c r="M1550" s="1">
        <v>0</v>
      </c>
    </row>
    <row r="1551" spans="2:13" x14ac:dyDescent="0.25">
      <c r="B1551" s="1">
        <v>1</v>
      </c>
      <c r="C1551" s="1">
        <v>1</v>
      </c>
      <c r="D1551" s="1">
        <v>0</v>
      </c>
      <c r="E1551" s="1">
        <v>1</v>
      </c>
      <c r="F1551" s="1">
        <v>80</v>
      </c>
      <c r="G1551" s="1">
        <v>1</v>
      </c>
      <c r="H1551" s="1">
        <v>3</v>
      </c>
      <c r="I1551" s="1">
        <v>3</v>
      </c>
      <c r="J1551" s="1">
        <v>0</v>
      </c>
      <c r="K1551" s="1">
        <v>1</v>
      </c>
      <c r="L1551" s="1">
        <v>5645</v>
      </c>
      <c r="M1551" s="1">
        <v>0</v>
      </c>
    </row>
    <row r="1552" spans="2:13" x14ac:dyDescent="0.25">
      <c r="B1552" s="1">
        <v>1</v>
      </c>
      <c r="C1552" s="1">
        <v>1</v>
      </c>
      <c r="D1552" s="1">
        <v>0</v>
      </c>
      <c r="E1552" s="1">
        <v>1</v>
      </c>
      <c r="F1552" s="1">
        <v>80</v>
      </c>
      <c r="G1552" s="1">
        <v>0</v>
      </c>
      <c r="H1552" s="1">
        <v>1</v>
      </c>
      <c r="I1552" s="1">
        <v>5</v>
      </c>
      <c r="J1552" s="1">
        <v>1</v>
      </c>
      <c r="K1552" s="1">
        <v>1</v>
      </c>
      <c r="L1552" s="1">
        <v>10152</v>
      </c>
      <c r="M1552" s="1">
        <v>0</v>
      </c>
    </row>
    <row r="1553" spans="2:13" x14ac:dyDescent="0.25">
      <c r="B1553" s="1">
        <v>1</v>
      </c>
      <c r="C1553" s="1">
        <v>1</v>
      </c>
      <c r="D1553" s="1">
        <v>0</v>
      </c>
      <c r="E1553" s="1">
        <v>1</v>
      </c>
      <c r="F1553" s="1">
        <v>80</v>
      </c>
      <c r="G1553" s="1">
        <v>0</v>
      </c>
      <c r="H1553" s="1">
        <v>11</v>
      </c>
      <c r="I1553" s="1">
        <v>4</v>
      </c>
      <c r="J1553" s="1">
        <v>4</v>
      </c>
      <c r="K1553" s="1">
        <v>1</v>
      </c>
      <c r="L1553" s="1">
        <v>26410</v>
      </c>
      <c r="M1553" s="1">
        <v>0</v>
      </c>
    </row>
    <row r="1554" spans="2:13" x14ac:dyDescent="0.25">
      <c r="B1554" s="1">
        <v>1</v>
      </c>
      <c r="C1554" s="1">
        <v>1</v>
      </c>
      <c r="D1554" s="1">
        <v>0</v>
      </c>
      <c r="E1554" s="1">
        <v>1</v>
      </c>
      <c r="F1554" s="1">
        <v>80</v>
      </c>
      <c r="G1554" s="1">
        <v>0</v>
      </c>
      <c r="H1554" s="1">
        <v>3</v>
      </c>
      <c r="I1554" s="1">
        <v>8</v>
      </c>
      <c r="J1554" s="1">
        <v>0</v>
      </c>
      <c r="K1554" s="1">
        <v>1</v>
      </c>
      <c r="L1554" s="1">
        <v>10800</v>
      </c>
      <c r="M1554" s="1">
        <v>0</v>
      </c>
    </row>
    <row r="1555" spans="2:13" x14ac:dyDescent="0.25">
      <c r="B1555" s="1">
        <v>1</v>
      </c>
      <c r="C1555" s="1">
        <v>1</v>
      </c>
      <c r="D1555" s="1">
        <v>0</v>
      </c>
      <c r="E1555" s="1">
        <v>1</v>
      </c>
      <c r="F1555" s="1">
        <v>80</v>
      </c>
      <c r="G1555" s="1">
        <v>1</v>
      </c>
      <c r="H1555" s="1">
        <v>8</v>
      </c>
      <c r="I1555" s="1">
        <v>5</v>
      </c>
      <c r="J1555" s="1">
        <v>0</v>
      </c>
      <c r="K1555" s="1">
        <v>1</v>
      </c>
      <c r="L1555" s="1">
        <v>12409</v>
      </c>
      <c r="M1555" s="1">
        <v>0</v>
      </c>
    </row>
    <row r="1556" spans="2:13" x14ac:dyDescent="0.25">
      <c r="B1556" s="1">
        <v>1</v>
      </c>
      <c r="C1556" s="1">
        <v>1</v>
      </c>
      <c r="D1556" s="1">
        <v>0</v>
      </c>
      <c r="E1556" s="1">
        <v>1</v>
      </c>
      <c r="F1556" s="1">
        <v>80</v>
      </c>
      <c r="G1556" s="1">
        <v>0</v>
      </c>
      <c r="H1556" s="1">
        <v>4</v>
      </c>
      <c r="I1556" s="1">
        <v>4</v>
      </c>
      <c r="J1556" s="1">
        <v>1</v>
      </c>
      <c r="K1556" s="1">
        <v>1</v>
      </c>
      <c r="L1556" s="1">
        <v>13552</v>
      </c>
      <c r="M1556" s="1">
        <v>0</v>
      </c>
    </row>
    <row r="1557" spans="2:13" x14ac:dyDescent="0.25">
      <c r="B1557" s="1">
        <v>1</v>
      </c>
      <c r="C1557" s="1">
        <v>1</v>
      </c>
      <c r="D1557" s="1">
        <v>0</v>
      </c>
      <c r="E1557" s="1">
        <v>1</v>
      </c>
      <c r="F1557" s="1">
        <v>80</v>
      </c>
      <c r="G1557" s="1">
        <v>0</v>
      </c>
      <c r="H1557" s="1">
        <v>2</v>
      </c>
      <c r="I1557" s="1">
        <v>0</v>
      </c>
      <c r="J1557" s="1">
        <v>1</v>
      </c>
      <c r="K1557" s="1">
        <v>1</v>
      </c>
      <c r="L1557" s="1">
        <v>22227</v>
      </c>
      <c r="M1557" s="1">
        <v>1</v>
      </c>
    </row>
    <row r="1558" spans="2:13" x14ac:dyDescent="0.25">
      <c r="B1558" s="1">
        <v>1</v>
      </c>
      <c r="C1558" s="1">
        <v>1</v>
      </c>
      <c r="D1558" s="1">
        <v>0</v>
      </c>
      <c r="E1558" s="1">
        <v>1</v>
      </c>
      <c r="F1558" s="1">
        <v>80</v>
      </c>
      <c r="G1558" s="1">
        <v>1</v>
      </c>
      <c r="H1558" s="1">
        <v>10</v>
      </c>
      <c r="I1558" s="1">
        <v>3</v>
      </c>
      <c r="J1558" s="1">
        <v>3</v>
      </c>
      <c r="K1558" s="1">
        <v>1</v>
      </c>
      <c r="L1558" s="1">
        <v>51561</v>
      </c>
      <c r="M1558" s="1">
        <v>1</v>
      </c>
    </row>
    <row r="1559" spans="2:13" x14ac:dyDescent="0.25">
      <c r="B1559" s="1">
        <v>1</v>
      </c>
      <c r="C1559" s="1">
        <v>1</v>
      </c>
      <c r="D1559" s="1">
        <v>0</v>
      </c>
      <c r="E1559" s="1">
        <v>1</v>
      </c>
      <c r="F1559" s="1">
        <v>78</v>
      </c>
      <c r="G1559" s="1">
        <v>1</v>
      </c>
      <c r="H1559" s="1">
        <v>2</v>
      </c>
      <c r="I1559" s="1">
        <v>6</v>
      </c>
      <c r="J1559" s="1">
        <v>0</v>
      </c>
      <c r="K1559" s="1">
        <v>1</v>
      </c>
      <c r="L1559" s="1">
        <v>9624</v>
      </c>
      <c r="M1559" s="1">
        <v>0</v>
      </c>
    </row>
    <row r="1560" spans="2:13" x14ac:dyDescent="0.25">
      <c r="B1560" s="1">
        <v>1</v>
      </c>
      <c r="C1560" s="1">
        <v>1</v>
      </c>
      <c r="D1560" s="1">
        <v>0</v>
      </c>
      <c r="E1560" s="1">
        <v>1</v>
      </c>
      <c r="F1560" s="1">
        <v>78</v>
      </c>
      <c r="G1560" s="1">
        <v>1</v>
      </c>
      <c r="H1560" s="1">
        <v>10</v>
      </c>
      <c r="I1560" s="1">
        <v>4</v>
      </c>
      <c r="J1560" s="1">
        <v>0</v>
      </c>
      <c r="K1560" s="1">
        <v>1</v>
      </c>
      <c r="L1560" s="1">
        <v>28132</v>
      </c>
      <c r="M1560" s="1">
        <v>0</v>
      </c>
    </row>
    <row r="1561" spans="2:13" x14ac:dyDescent="0.25">
      <c r="B1561" s="1">
        <v>1</v>
      </c>
      <c r="C1561" s="1">
        <v>1</v>
      </c>
      <c r="D1561" s="1">
        <v>0</v>
      </c>
      <c r="E1561" s="1">
        <v>1</v>
      </c>
      <c r="F1561" s="1">
        <v>78</v>
      </c>
      <c r="G1561" s="1">
        <v>1</v>
      </c>
      <c r="H1561" s="1">
        <v>4</v>
      </c>
      <c r="I1561" s="1">
        <v>8</v>
      </c>
      <c r="J1561" s="1">
        <v>0</v>
      </c>
      <c r="K1561" s="1">
        <v>1</v>
      </c>
      <c r="L1561" s="1">
        <v>15085</v>
      </c>
      <c r="M1561" s="1">
        <v>0</v>
      </c>
    </row>
    <row r="1562" spans="2:13" x14ac:dyDescent="0.25">
      <c r="B1562" s="1">
        <v>1</v>
      </c>
      <c r="C1562" s="1">
        <v>1</v>
      </c>
      <c r="D1562" s="1">
        <v>0</v>
      </c>
      <c r="E1562" s="1">
        <v>1</v>
      </c>
      <c r="F1562" s="1">
        <v>78</v>
      </c>
      <c r="G1562" s="1">
        <v>1</v>
      </c>
      <c r="H1562" s="1">
        <v>8</v>
      </c>
      <c r="I1562" s="1">
        <v>3</v>
      </c>
      <c r="J1562" s="1">
        <v>1</v>
      </c>
      <c r="K1562" s="1">
        <v>1</v>
      </c>
      <c r="L1562" s="1">
        <v>47517</v>
      </c>
      <c r="M1562" s="1">
        <v>0</v>
      </c>
    </row>
    <row r="1563" spans="2:13" x14ac:dyDescent="0.25">
      <c r="B1563" s="1">
        <v>1</v>
      </c>
      <c r="C1563" s="1">
        <v>1</v>
      </c>
      <c r="D1563" s="1">
        <v>0</v>
      </c>
      <c r="E1563" s="1">
        <v>1</v>
      </c>
      <c r="F1563" s="1">
        <v>78</v>
      </c>
      <c r="G1563" s="1">
        <v>1</v>
      </c>
      <c r="H1563" s="1">
        <v>2</v>
      </c>
      <c r="I1563" s="1">
        <v>3</v>
      </c>
      <c r="J1563" s="1">
        <v>0</v>
      </c>
      <c r="K1563" s="1">
        <v>1</v>
      </c>
      <c r="L1563" s="1">
        <v>7992</v>
      </c>
      <c r="M1563" s="1">
        <v>0</v>
      </c>
    </row>
    <row r="1564" spans="2:13" x14ac:dyDescent="0.25">
      <c r="B1564" s="1">
        <v>1</v>
      </c>
      <c r="C1564" s="1">
        <v>1</v>
      </c>
      <c r="D1564" s="1">
        <v>0</v>
      </c>
      <c r="E1564" s="1">
        <v>1</v>
      </c>
      <c r="F1564" s="1">
        <v>78</v>
      </c>
      <c r="G1564" s="1">
        <v>1</v>
      </c>
      <c r="H1564" s="1">
        <v>2</v>
      </c>
      <c r="I1564" s="1">
        <v>8</v>
      </c>
      <c r="J1564" s="1">
        <v>0</v>
      </c>
      <c r="K1564" s="1">
        <v>1</v>
      </c>
      <c r="L1564" s="1">
        <v>9186</v>
      </c>
      <c r="M1564" s="1">
        <v>0</v>
      </c>
    </row>
    <row r="1565" spans="2:13" x14ac:dyDescent="0.25">
      <c r="B1565" s="1">
        <v>1</v>
      </c>
      <c r="C1565" s="1">
        <v>1</v>
      </c>
      <c r="D1565" s="1">
        <v>0</v>
      </c>
      <c r="E1565" s="1">
        <v>1</v>
      </c>
      <c r="F1565" s="1">
        <v>78</v>
      </c>
      <c r="G1565" s="1">
        <v>1</v>
      </c>
      <c r="H1565" s="1">
        <v>3</v>
      </c>
      <c r="I1565" s="1">
        <v>6</v>
      </c>
      <c r="J1565" s="1">
        <v>0</v>
      </c>
      <c r="K1565" s="1">
        <v>1</v>
      </c>
      <c r="L1565" s="1">
        <v>11362</v>
      </c>
      <c r="M1565" s="1">
        <v>0</v>
      </c>
    </row>
    <row r="1566" spans="2:13" x14ac:dyDescent="0.25">
      <c r="B1566" s="1">
        <v>1</v>
      </c>
      <c r="C1566" s="1">
        <v>1</v>
      </c>
      <c r="D1566" s="1">
        <v>0</v>
      </c>
      <c r="E1566" s="1">
        <v>1</v>
      </c>
      <c r="F1566" s="1">
        <v>78</v>
      </c>
      <c r="G1566" s="1">
        <v>1</v>
      </c>
      <c r="H1566" s="1">
        <v>10</v>
      </c>
      <c r="I1566" s="1">
        <v>2</v>
      </c>
      <c r="J1566" s="1">
        <v>0</v>
      </c>
      <c r="K1566" s="1">
        <v>1</v>
      </c>
      <c r="L1566" s="1">
        <v>19037</v>
      </c>
      <c r="M1566" s="1">
        <v>0</v>
      </c>
    </row>
    <row r="1567" spans="2:13" x14ac:dyDescent="0.25">
      <c r="B1567" s="1">
        <v>1</v>
      </c>
      <c r="C1567" s="1">
        <v>1</v>
      </c>
      <c r="D1567" s="1">
        <v>0</v>
      </c>
      <c r="E1567" s="1">
        <v>1</v>
      </c>
      <c r="F1567" s="1">
        <v>78</v>
      </c>
      <c r="G1567" s="1">
        <v>1</v>
      </c>
      <c r="H1567" s="1">
        <v>10</v>
      </c>
      <c r="I1567" s="1">
        <v>1</v>
      </c>
      <c r="J1567" s="1">
        <v>0</v>
      </c>
      <c r="K1567" s="1">
        <v>1</v>
      </c>
      <c r="L1567" s="1">
        <v>21995</v>
      </c>
      <c r="M1567" s="1">
        <v>0</v>
      </c>
    </row>
    <row r="1568" spans="2:13" x14ac:dyDescent="0.25">
      <c r="B1568" s="1">
        <v>1</v>
      </c>
      <c r="C1568" s="1">
        <v>1</v>
      </c>
      <c r="D1568" s="1">
        <v>0</v>
      </c>
      <c r="E1568" s="1">
        <v>1</v>
      </c>
      <c r="F1568" s="1">
        <v>78</v>
      </c>
      <c r="G1568" s="1">
        <v>1</v>
      </c>
      <c r="H1568" s="1">
        <v>18</v>
      </c>
      <c r="I1568" s="1">
        <v>3</v>
      </c>
      <c r="J1568" s="1">
        <v>1</v>
      </c>
      <c r="K1568" s="1">
        <v>1</v>
      </c>
      <c r="L1568" s="1">
        <v>44770</v>
      </c>
      <c r="M1568" s="1">
        <v>0</v>
      </c>
    </row>
    <row r="1569" spans="2:13" x14ac:dyDescent="0.25">
      <c r="B1569" s="1">
        <v>1</v>
      </c>
      <c r="C1569" s="1">
        <v>1</v>
      </c>
      <c r="D1569" s="1">
        <v>0</v>
      </c>
      <c r="E1569" s="1">
        <v>1</v>
      </c>
      <c r="F1569" s="1">
        <v>78</v>
      </c>
      <c r="G1569" s="1">
        <v>1</v>
      </c>
      <c r="H1569" s="1">
        <v>7</v>
      </c>
      <c r="I1569" s="1">
        <v>6</v>
      </c>
      <c r="J1569" s="1">
        <v>1</v>
      </c>
      <c r="K1569" s="1">
        <v>1</v>
      </c>
      <c r="L1569" s="1">
        <v>14692</v>
      </c>
      <c r="M1569" s="1">
        <v>0</v>
      </c>
    </row>
    <row r="1570" spans="2:13" x14ac:dyDescent="0.25">
      <c r="B1570" s="1">
        <v>1</v>
      </c>
      <c r="C1570" s="1">
        <v>1</v>
      </c>
      <c r="D1570" s="1">
        <v>0</v>
      </c>
      <c r="E1570" s="1">
        <v>1</v>
      </c>
      <c r="F1570" s="1">
        <v>78</v>
      </c>
      <c r="G1570" s="1">
        <v>1</v>
      </c>
      <c r="H1570" s="1">
        <v>4</v>
      </c>
      <c r="I1570" s="1">
        <v>5</v>
      </c>
      <c r="J1570" s="1">
        <v>0</v>
      </c>
      <c r="K1570" s="1">
        <v>1</v>
      </c>
      <c r="L1570" s="1">
        <v>4413</v>
      </c>
      <c r="M1570" s="1">
        <v>0</v>
      </c>
    </row>
    <row r="1571" spans="2:13" x14ac:dyDescent="0.25">
      <c r="B1571" s="1">
        <v>1</v>
      </c>
      <c r="C1571" s="1">
        <v>1</v>
      </c>
      <c r="D1571" s="1">
        <v>0</v>
      </c>
      <c r="E1571" s="1">
        <v>1</v>
      </c>
      <c r="F1571" s="1">
        <v>78</v>
      </c>
      <c r="G1571" s="1">
        <v>0</v>
      </c>
      <c r="H1571" s="1">
        <v>6</v>
      </c>
      <c r="I1571" s="1">
        <v>7</v>
      </c>
      <c r="J1571" s="1">
        <v>0</v>
      </c>
      <c r="K1571" s="1">
        <v>1</v>
      </c>
      <c r="L1571" s="1">
        <v>14142</v>
      </c>
      <c r="M1571" s="1">
        <v>0</v>
      </c>
    </row>
    <row r="1572" spans="2:13" x14ac:dyDescent="0.25">
      <c r="B1572" s="1">
        <v>1</v>
      </c>
      <c r="C1572" s="1">
        <v>1</v>
      </c>
      <c r="D1572" s="1">
        <v>0</v>
      </c>
      <c r="E1572" s="1">
        <v>1</v>
      </c>
      <c r="F1572" s="1">
        <v>78</v>
      </c>
      <c r="G1572" s="1">
        <v>0</v>
      </c>
      <c r="H1572" s="1">
        <v>6</v>
      </c>
      <c r="I1572" s="1">
        <v>8</v>
      </c>
      <c r="J1572" s="1">
        <v>0</v>
      </c>
      <c r="K1572" s="1">
        <v>1</v>
      </c>
      <c r="L1572" s="1">
        <v>12398</v>
      </c>
      <c r="M1572" s="1">
        <v>0</v>
      </c>
    </row>
    <row r="1573" spans="2:13" x14ac:dyDescent="0.25">
      <c r="B1573" s="1">
        <v>1</v>
      </c>
      <c r="C1573" s="1">
        <v>1</v>
      </c>
      <c r="D1573" s="1">
        <v>0</v>
      </c>
      <c r="E1573" s="1">
        <v>1</v>
      </c>
      <c r="F1573" s="1">
        <v>78</v>
      </c>
      <c r="G1573" s="1">
        <v>0</v>
      </c>
      <c r="H1573" s="1">
        <v>7</v>
      </c>
      <c r="I1573" s="1">
        <v>4</v>
      </c>
      <c r="J1573" s="1">
        <v>0</v>
      </c>
      <c r="K1573" s="1">
        <v>1</v>
      </c>
      <c r="L1573" s="1">
        <v>11540</v>
      </c>
      <c r="M1573" s="1">
        <v>0</v>
      </c>
    </row>
    <row r="1574" spans="2:13" x14ac:dyDescent="0.25">
      <c r="B1574" s="1">
        <v>1</v>
      </c>
      <c r="C1574" s="1">
        <v>1</v>
      </c>
      <c r="D1574" s="1">
        <v>0</v>
      </c>
      <c r="E1574" s="1">
        <v>1</v>
      </c>
      <c r="F1574" s="1">
        <v>78</v>
      </c>
      <c r="G1574" s="1">
        <v>0</v>
      </c>
      <c r="H1574" s="1">
        <v>4</v>
      </c>
      <c r="I1574" s="1">
        <v>5</v>
      </c>
      <c r="J1574" s="1">
        <v>4</v>
      </c>
      <c r="K1574" s="1">
        <v>1</v>
      </c>
      <c r="L1574" s="1">
        <v>15711</v>
      </c>
      <c r="M1574" s="1">
        <v>0</v>
      </c>
    </row>
    <row r="1575" spans="2:13" x14ac:dyDescent="0.25">
      <c r="B1575" s="1">
        <v>1</v>
      </c>
      <c r="C1575" s="1">
        <v>1</v>
      </c>
      <c r="D1575" s="1">
        <v>0</v>
      </c>
      <c r="E1575" s="1">
        <v>1</v>
      </c>
      <c r="F1575" s="1">
        <v>78</v>
      </c>
      <c r="G1575" s="1">
        <v>1</v>
      </c>
      <c r="H1575" s="1">
        <v>22</v>
      </c>
      <c r="I1575" s="1">
        <v>4</v>
      </c>
      <c r="J1575" s="1">
        <v>0</v>
      </c>
      <c r="K1575" s="1">
        <v>1</v>
      </c>
      <c r="L1575" s="1">
        <v>37412</v>
      </c>
      <c r="M1575" s="1">
        <v>0</v>
      </c>
    </row>
    <row r="1576" spans="2:13" x14ac:dyDescent="0.25">
      <c r="B1576" s="1">
        <v>1</v>
      </c>
      <c r="C1576" s="1">
        <v>1</v>
      </c>
      <c r="D1576" s="1">
        <v>0</v>
      </c>
      <c r="E1576" s="1">
        <v>1</v>
      </c>
      <c r="F1576" s="1">
        <v>78</v>
      </c>
      <c r="G1576" s="1">
        <v>1</v>
      </c>
      <c r="H1576" s="1">
        <v>5</v>
      </c>
      <c r="I1576" s="1">
        <v>4</v>
      </c>
      <c r="J1576" s="1">
        <v>0</v>
      </c>
      <c r="K1576" s="1">
        <v>1</v>
      </c>
      <c r="L1576" s="1">
        <v>10398</v>
      </c>
      <c r="M1576" s="1">
        <v>0</v>
      </c>
    </row>
    <row r="1577" spans="2:13" x14ac:dyDescent="0.25">
      <c r="B1577" s="1">
        <v>1</v>
      </c>
      <c r="C1577" s="1">
        <v>1</v>
      </c>
      <c r="D1577" s="1">
        <v>0</v>
      </c>
      <c r="E1577" s="1">
        <v>1</v>
      </c>
      <c r="F1577" s="1">
        <v>78</v>
      </c>
      <c r="G1577" s="1">
        <v>1</v>
      </c>
      <c r="H1577" s="1">
        <v>12</v>
      </c>
      <c r="I1577" s="1">
        <v>4</v>
      </c>
      <c r="J1577" s="1">
        <v>1</v>
      </c>
      <c r="K1577" s="1">
        <v>1</v>
      </c>
      <c r="L1577" s="1">
        <v>23828</v>
      </c>
      <c r="M1577" s="1">
        <v>0</v>
      </c>
    </row>
    <row r="1578" spans="2:13" x14ac:dyDescent="0.25">
      <c r="B1578" s="1">
        <v>1</v>
      </c>
      <c r="C1578" s="1">
        <v>1</v>
      </c>
      <c r="D1578" s="1">
        <v>0</v>
      </c>
      <c r="E1578" s="1">
        <v>1</v>
      </c>
      <c r="F1578" s="1">
        <v>78</v>
      </c>
      <c r="G1578" s="1">
        <v>0</v>
      </c>
      <c r="H1578" s="1">
        <v>2</v>
      </c>
      <c r="I1578" s="1">
        <v>8</v>
      </c>
      <c r="J1578" s="1">
        <v>1</v>
      </c>
      <c r="K1578" s="1">
        <v>1</v>
      </c>
      <c r="L1578" s="1">
        <v>10199</v>
      </c>
      <c r="M1578" s="1">
        <v>0</v>
      </c>
    </row>
    <row r="1579" spans="2:13" x14ac:dyDescent="0.25">
      <c r="B1579" s="1">
        <v>1</v>
      </c>
      <c r="C1579" s="1">
        <v>1</v>
      </c>
      <c r="D1579" s="1">
        <v>0</v>
      </c>
      <c r="E1579" s="1">
        <v>1</v>
      </c>
      <c r="F1579" s="1">
        <v>76</v>
      </c>
      <c r="G1579" s="1">
        <v>1</v>
      </c>
      <c r="H1579" s="1">
        <v>4</v>
      </c>
      <c r="I1579" s="1">
        <v>7</v>
      </c>
      <c r="J1579" s="1">
        <v>0</v>
      </c>
      <c r="K1579" s="1">
        <v>1</v>
      </c>
      <c r="L1579" s="1">
        <v>10712</v>
      </c>
      <c r="M1579" s="1">
        <v>0</v>
      </c>
    </row>
    <row r="1580" spans="2:13" x14ac:dyDescent="0.25">
      <c r="B1580" s="1">
        <v>1</v>
      </c>
      <c r="C1580" s="1">
        <v>1</v>
      </c>
      <c r="D1580" s="1">
        <v>0</v>
      </c>
      <c r="E1580" s="1">
        <v>1</v>
      </c>
      <c r="F1580" s="1">
        <v>76</v>
      </c>
      <c r="G1580" s="1">
        <v>1</v>
      </c>
      <c r="H1580" s="1">
        <v>9</v>
      </c>
      <c r="I1580" s="1">
        <v>7</v>
      </c>
      <c r="J1580" s="1">
        <v>0</v>
      </c>
      <c r="K1580" s="1">
        <v>1</v>
      </c>
      <c r="L1580" s="1">
        <v>15202</v>
      </c>
      <c r="M1580" s="1">
        <v>0</v>
      </c>
    </row>
    <row r="1581" spans="2:13" x14ac:dyDescent="0.25">
      <c r="B1581" s="1">
        <v>1</v>
      </c>
      <c r="C1581" s="1">
        <v>1</v>
      </c>
      <c r="D1581" s="1">
        <v>0</v>
      </c>
      <c r="E1581" s="1">
        <v>1</v>
      </c>
      <c r="F1581" s="1">
        <v>76</v>
      </c>
      <c r="G1581" s="1">
        <v>1</v>
      </c>
      <c r="H1581" s="1">
        <v>3</v>
      </c>
      <c r="I1581" s="1">
        <v>4</v>
      </c>
      <c r="J1581" s="1">
        <v>0</v>
      </c>
      <c r="K1581" s="1">
        <v>1</v>
      </c>
      <c r="L1581" s="1">
        <v>7424</v>
      </c>
      <c r="M1581" s="1">
        <v>0</v>
      </c>
    </row>
    <row r="1582" spans="2:13" x14ac:dyDescent="0.25">
      <c r="B1582" s="1">
        <v>1</v>
      </c>
      <c r="C1582" s="1">
        <v>1</v>
      </c>
      <c r="D1582" s="1">
        <v>0</v>
      </c>
      <c r="E1582" s="1">
        <v>1</v>
      </c>
      <c r="F1582" s="1">
        <v>76</v>
      </c>
      <c r="G1582" s="1">
        <v>1</v>
      </c>
      <c r="H1582" s="1">
        <v>6</v>
      </c>
      <c r="I1582" s="1">
        <v>4</v>
      </c>
      <c r="J1582" s="1">
        <v>4</v>
      </c>
      <c r="K1582" s="1">
        <v>1</v>
      </c>
      <c r="L1582" s="1">
        <v>47543</v>
      </c>
      <c r="M1582" s="1">
        <v>0</v>
      </c>
    </row>
    <row r="1583" spans="2:13" x14ac:dyDescent="0.25">
      <c r="B1583" s="1">
        <v>1</v>
      </c>
      <c r="C1583" s="1">
        <v>1</v>
      </c>
      <c r="D1583" s="1">
        <v>0</v>
      </c>
      <c r="E1583" s="1">
        <v>1</v>
      </c>
      <c r="F1583" s="1">
        <v>76</v>
      </c>
      <c r="G1583" s="1">
        <v>1</v>
      </c>
      <c r="H1583" s="1">
        <v>3</v>
      </c>
      <c r="I1583" s="1">
        <v>3</v>
      </c>
      <c r="J1583" s="1">
        <v>2</v>
      </c>
      <c r="K1583" s="1">
        <v>1</v>
      </c>
      <c r="L1583" s="1">
        <v>7746</v>
      </c>
      <c r="M1583" s="1">
        <v>0</v>
      </c>
    </row>
    <row r="1584" spans="2:13" x14ac:dyDescent="0.25">
      <c r="B1584" s="1">
        <v>1</v>
      </c>
      <c r="C1584" s="1">
        <v>1</v>
      </c>
      <c r="D1584" s="1">
        <v>0</v>
      </c>
      <c r="E1584" s="1">
        <v>1</v>
      </c>
      <c r="F1584" s="1">
        <v>76</v>
      </c>
      <c r="G1584" s="1">
        <v>0</v>
      </c>
      <c r="H1584" s="1">
        <v>3</v>
      </c>
      <c r="I1584" s="1">
        <v>3</v>
      </c>
      <c r="J1584" s="1">
        <v>1</v>
      </c>
      <c r="K1584" s="1">
        <v>1</v>
      </c>
      <c r="L1584" s="1">
        <v>8775</v>
      </c>
      <c r="M1584" s="1">
        <v>0</v>
      </c>
    </row>
    <row r="1585" spans="2:13" x14ac:dyDescent="0.25">
      <c r="B1585" s="1">
        <v>1</v>
      </c>
      <c r="C1585" s="1">
        <v>1</v>
      </c>
      <c r="D1585" s="1">
        <v>0</v>
      </c>
      <c r="E1585" s="1">
        <v>1</v>
      </c>
      <c r="F1585" s="1">
        <v>76</v>
      </c>
      <c r="G1585" s="1">
        <v>1</v>
      </c>
      <c r="H1585" s="1">
        <v>4</v>
      </c>
      <c r="I1585" s="1">
        <v>4</v>
      </c>
      <c r="J1585" s="1">
        <v>1</v>
      </c>
      <c r="K1585" s="1">
        <v>1</v>
      </c>
      <c r="L1585" s="1">
        <v>40791</v>
      </c>
      <c r="M1585" s="1">
        <v>1</v>
      </c>
    </row>
    <row r="1586" spans="2:13" x14ac:dyDescent="0.25">
      <c r="B1586" s="1">
        <v>1</v>
      </c>
      <c r="C1586" s="1">
        <v>1</v>
      </c>
      <c r="D1586" s="1">
        <v>0</v>
      </c>
      <c r="E1586" s="1">
        <v>1</v>
      </c>
      <c r="F1586" s="1">
        <v>76</v>
      </c>
      <c r="G1586" s="1">
        <v>0</v>
      </c>
      <c r="H1586" s="1">
        <v>5</v>
      </c>
      <c r="I1586" s="1">
        <v>3</v>
      </c>
      <c r="J1586" s="1">
        <v>1</v>
      </c>
      <c r="K1586" s="1">
        <v>1</v>
      </c>
      <c r="L1586" s="1">
        <v>46337</v>
      </c>
      <c r="M1586" s="1">
        <v>1</v>
      </c>
    </row>
    <row r="1587" spans="2:13" x14ac:dyDescent="0.25">
      <c r="B1587" s="1">
        <v>1</v>
      </c>
      <c r="C1587" s="1">
        <v>1</v>
      </c>
      <c r="D1587" s="1">
        <v>0</v>
      </c>
      <c r="E1587" s="1">
        <v>1</v>
      </c>
      <c r="F1587" s="1">
        <v>76</v>
      </c>
      <c r="G1587" s="1">
        <v>0</v>
      </c>
      <c r="H1587" s="1">
        <v>3</v>
      </c>
      <c r="I1587" s="1">
        <v>2</v>
      </c>
      <c r="J1587" s="1">
        <v>1</v>
      </c>
      <c r="K1587" s="1">
        <v>1</v>
      </c>
      <c r="L1587" s="1">
        <v>35542</v>
      </c>
      <c r="M1587" s="1">
        <v>1</v>
      </c>
    </row>
    <row r="1588" spans="2:13" x14ac:dyDescent="0.25">
      <c r="B1588" s="1">
        <v>1</v>
      </c>
      <c r="C1588" s="1">
        <v>1</v>
      </c>
      <c r="D1588" s="1">
        <v>0</v>
      </c>
      <c r="E1588" s="1">
        <v>1</v>
      </c>
      <c r="F1588" s="1">
        <v>76</v>
      </c>
      <c r="G1588" s="1">
        <v>1</v>
      </c>
      <c r="H1588" s="1">
        <v>4</v>
      </c>
      <c r="I1588" s="1">
        <v>3</v>
      </c>
      <c r="J1588" s="1">
        <v>2</v>
      </c>
      <c r="K1588" s="1">
        <v>1</v>
      </c>
      <c r="L1588" s="1">
        <v>40504</v>
      </c>
      <c r="M1588" s="1">
        <v>1</v>
      </c>
    </row>
    <row r="1589" spans="2:13" x14ac:dyDescent="0.25">
      <c r="B1589" s="1">
        <v>1</v>
      </c>
      <c r="C1589" s="1">
        <v>1</v>
      </c>
      <c r="D1589" s="1">
        <v>0</v>
      </c>
      <c r="E1589" s="1">
        <v>1</v>
      </c>
      <c r="F1589" s="1">
        <v>76</v>
      </c>
      <c r="G1589" s="1">
        <v>1</v>
      </c>
      <c r="H1589" s="1">
        <v>6</v>
      </c>
      <c r="I1589" s="1">
        <v>5</v>
      </c>
      <c r="J1589" s="1">
        <v>1</v>
      </c>
      <c r="K1589" s="1">
        <v>1</v>
      </c>
      <c r="L1589" s="1">
        <v>27030</v>
      </c>
      <c r="M1589" s="1">
        <v>1</v>
      </c>
    </row>
    <row r="1590" spans="2:13" x14ac:dyDescent="0.25">
      <c r="B1590" s="1">
        <v>1</v>
      </c>
      <c r="C1590" s="1">
        <v>1</v>
      </c>
      <c r="D1590" s="1">
        <v>0</v>
      </c>
      <c r="E1590" s="1">
        <v>1</v>
      </c>
      <c r="F1590" s="1">
        <v>76</v>
      </c>
      <c r="G1590" s="1">
        <v>0</v>
      </c>
      <c r="H1590" s="1">
        <v>7</v>
      </c>
      <c r="I1590" s="1">
        <v>2</v>
      </c>
      <c r="J1590" s="1">
        <v>1</v>
      </c>
      <c r="K1590" s="1">
        <v>1</v>
      </c>
      <c r="L1590" s="1">
        <v>29664</v>
      </c>
      <c r="M1590" s="1">
        <v>1</v>
      </c>
    </row>
    <row r="1591" spans="2:13" x14ac:dyDescent="0.25">
      <c r="B1591" s="1">
        <v>1</v>
      </c>
      <c r="C1591" s="1">
        <v>1</v>
      </c>
      <c r="D1591" s="1">
        <v>0</v>
      </c>
      <c r="E1591" s="1">
        <v>1</v>
      </c>
      <c r="F1591" s="1">
        <v>76</v>
      </c>
      <c r="G1591" s="1">
        <v>0</v>
      </c>
      <c r="H1591" s="1">
        <v>8</v>
      </c>
      <c r="I1591" s="1">
        <v>7</v>
      </c>
      <c r="J1591" s="1">
        <v>4</v>
      </c>
      <c r="K1591" s="1">
        <v>1</v>
      </c>
      <c r="L1591" s="1">
        <v>97752</v>
      </c>
      <c r="M1591" s="1">
        <v>1</v>
      </c>
    </row>
    <row r="1592" spans="2:13" x14ac:dyDescent="0.25">
      <c r="B1592" s="1">
        <v>1</v>
      </c>
      <c r="C1592" s="1">
        <v>1</v>
      </c>
      <c r="D1592" s="1">
        <v>0</v>
      </c>
      <c r="E1592" s="1">
        <v>1</v>
      </c>
      <c r="F1592" s="1">
        <v>76</v>
      </c>
      <c r="G1592" s="1">
        <v>1</v>
      </c>
      <c r="H1592" s="1">
        <v>5</v>
      </c>
      <c r="I1592" s="1">
        <v>4</v>
      </c>
      <c r="J1592" s="1">
        <v>1</v>
      </c>
      <c r="K1592" s="1">
        <v>1</v>
      </c>
      <c r="L1592" s="1">
        <v>40075</v>
      </c>
      <c r="M1592" s="1">
        <v>1</v>
      </c>
    </row>
    <row r="1593" spans="2:13" x14ac:dyDescent="0.25">
      <c r="B1593" s="1">
        <v>1</v>
      </c>
      <c r="C1593" s="1">
        <v>1</v>
      </c>
      <c r="D1593" s="1">
        <v>0</v>
      </c>
      <c r="E1593" s="1">
        <v>1</v>
      </c>
      <c r="F1593" s="1">
        <v>76</v>
      </c>
      <c r="G1593" s="1">
        <v>0</v>
      </c>
      <c r="H1593" s="1">
        <v>2</v>
      </c>
      <c r="I1593" s="1">
        <v>6</v>
      </c>
      <c r="J1593" s="1">
        <v>3</v>
      </c>
      <c r="K1593" s="1">
        <v>1</v>
      </c>
      <c r="L1593" s="1">
        <v>46622</v>
      </c>
      <c r="M1593" s="1">
        <v>1</v>
      </c>
    </row>
    <row r="1594" spans="2:13" x14ac:dyDescent="0.25">
      <c r="B1594" s="1">
        <v>1</v>
      </c>
      <c r="C1594" s="1">
        <v>1</v>
      </c>
      <c r="D1594" s="1">
        <v>0</v>
      </c>
      <c r="E1594" s="1">
        <v>1</v>
      </c>
      <c r="F1594" s="1">
        <v>76</v>
      </c>
      <c r="G1594" s="1">
        <v>0</v>
      </c>
      <c r="H1594" s="1">
        <v>5</v>
      </c>
      <c r="I1594" s="1">
        <v>2</v>
      </c>
      <c r="J1594" s="1">
        <v>1</v>
      </c>
      <c r="K1594" s="1">
        <v>1</v>
      </c>
      <c r="L1594" s="1">
        <v>40757</v>
      </c>
      <c r="M1594" s="1">
        <v>1</v>
      </c>
    </row>
    <row r="1595" spans="2:13" x14ac:dyDescent="0.25">
      <c r="B1595" s="1">
        <v>1</v>
      </c>
      <c r="C1595" s="1">
        <v>1</v>
      </c>
      <c r="D1595" s="1">
        <v>0</v>
      </c>
      <c r="E1595" s="1">
        <v>1</v>
      </c>
      <c r="F1595" s="1">
        <v>76</v>
      </c>
      <c r="G1595" s="1">
        <v>1</v>
      </c>
      <c r="H1595" s="1">
        <v>12</v>
      </c>
      <c r="I1595" s="1">
        <v>2</v>
      </c>
      <c r="J1595" s="1">
        <v>6</v>
      </c>
      <c r="K1595" s="1">
        <v>1</v>
      </c>
      <c r="L1595" s="1">
        <v>53660</v>
      </c>
      <c r="M1595" s="1">
        <v>1</v>
      </c>
    </row>
    <row r="1596" spans="2:13" x14ac:dyDescent="0.25">
      <c r="B1596" s="1">
        <v>1</v>
      </c>
      <c r="C1596" s="1">
        <v>1</v>
      </c>
      <c r="D1596" s="1">
        <v>0</v>
      </c>
      <c r="E1596" s="1">
        <v>1</v>
      </c>
      <c r="F1596" s="1">
        <v>75</v>
      </c>
      <c r="G1596" s="1">
        <v>1</v>
      </c>
      <c r="H1596" s="1">
        <v>4</v>
      </c>
      <c r="I1596" s="1">
        <v>6</v>
      </c>
      <c r="J1596" s="1">
        <v>0</v>
      </c>
      <c r="K1596" s="1">
        <v>1</v>
      </c>
      <c r="L1596" s="1">
        <v>7764</v>
      </c>
      <c r="M1596" s="1">
        <v>0</v>
      </c>
    </row>
    <row r="1597" spans="2:13" x14ac:dyDescent="0.25">
      <c r="B1597" s="1">
        <v>1</v>
      </c>
      <c r="C1597" s="1">
        <v>1</v>
      </c>
      <c r="D1597" s="1">
        <v>0</v>
      </c>
      <c r="E1597" s="1">
        <v>1</v>
      </c>
      <c r="F1597" s="1">
        <v>75</v>
      </c>
      <c r="G1597" s="1">
        <v>0</v>
      </c>
      <c r="H1597" s="1">
        <v>7</v>
      </c>
      <c r="I1597" s="1">
        <v>7</v>
      </c>
      <c r="J1597" s="1">
        <v>0</v>
      </c>
      <c r="K1597" s="1">
        <v>1</v>
      </c>
      <c r="L1597" s="1">
        <v>23198</v>
      </c>
      <c r="M1597" s="1">
        <v>0</v>
      </c>
    </row>
    <row r="1598" spans="2:13" x14ac:dyDescent="0.25">
      <c r="B1598" s="1">
        <v>1</v>
      </c>
      <c r="C1598" s="1">
        <v>1</v>
      </c>
      <c r="D1598" s="1">
        <v>0</v>
      </c>
      <c r="E1598" s="1">
        <v>1</v>
      </c>
      <c r="F1598" s="1">
        <v>75</v>
      </c>
      <c r="G1598" s="1">
        <v>1</v>
      </c>
      <c r="H1598" s="1">
        <v>1</v>
      </c>
      <c r="I1598" s="1">
        <v>4</v>
      </c>
      <c r="J1598" s="1">
        <v>0</v>
      </c>
      <c r="K1598" s="1">
        <v>1</v>
      </c>
      <c r="L1598" s="1">
        <v>10032</v>
      </c>
      <c r="M1598" s="1">
        <v>0</v>
      </c>
    </row>
    <row r="1599" spans="2:13" x14ac:dyDescent="0.25">
      <c r="B1599" s="1">
        <v>1</v>
      </c>
      <c r="C1599" s="1">
        <v>1</v>
      </c>
      <c r="D1599" s="1">
        <v>0</v>
      </c>
      <c r="E1599" s="1">
        <v>1</v>
      </c>
      <c r="F1599" s="1">
        <v>75</v>
      </c>
      <c r="G1599" s="1">
        <v>1</v>
      </c>
      <c r="H1599" s="1">
        <v>16</v>
      </c>
      <c r="I1599" s="1">
        <v>1</v>
      </c>
      <c r="J1599" s="1">
        <v>0</v>
      </c>
      <c r="K1599" s="1">
        <v>1</v>
      </c>
      <c r="L1599" s="1">
        <v>29644</v>
      </c>
      <c r="M1599" s="1">
        <v>0</v>
      </c>
    </row>
    <row r="1600" spans="2:13" x14ac:dyDescent="0.25">
      <c r="B1600" s="1">
        <v>1</v>
      </c>
      <c r="C1600" s="1">
        <v>1</v>
      </c>
      <c r="D1600" s="1">
        <v>0</v>
      </c>
      <c r="E1600" s="1">
        <v>1</v>
      </c>
      <c r="F1600" s="1">
        <v>75</v>
      </c>
      <c r="G1600" s="1">
        <v>1</v>
      </c>
      <c r="H1600" s="1">
        <v>4</v>
      </c>
      <c r="I1600" s="1">
        <v>1</v>
      </c>
      <c r="J1600" s="1">
        <v>0</v>
      </c>
      <c r="K1600" s="1">
        <v>1</v>
      </c>
      <c r="L1600" s="1">
        <v>8596</v>
      </c>
      <c r="M1600" s="1">
        <v>0</v>
      </c>
    </row>
    <row r="1601" spans="2:13" x14ac:dyDescent="0.25">
      <c r="B1601" s="1">
        <v>1</v>
      </c>
      <c r="C1601" s="1">
        <v>1</v>
      </c>
      <c r="D1601" s="1">
        <v>0</v>
      </c>
      <c r="E1601" s="1">
        <v>1</v>
      </c>
      <c r="F1601" s="1">
        <v>75</v>
      </c>
      <c r="G1601" s="1">
        <v>0</v>
      </c>
      <c r="H1601" s="1">
        <v>3</v>
      </c>
      <c r="I1601" s="1">
        <v>5</v>
      </c>
      <c r="J1601" s="1">
        <v>0</v>
      </c>
      <c r="K1601" s="1">
        <v>1</v>
      </c>
      <c r="L1601" s="1">
        <v>14343</v>
      </c>
      <c r="M1601" s="1">
        <v>0</v>
      </c>
    </row>
    <row r="1602" spans="2:13" x14ac:dyDescent="0.25">
      <c r="B1602" s="1">
        <v>1</v>
      </c>
      <c r="C1602" s="1">
        <v>1</v>
      </c>
      <c r="D1602" s="1">
        <v>0</v>
      </c>
      <c r="E1602" s="1">
        <v>1</v>
      </c>
      <c r="F1602" s="1">
        <v>75</v>
      </c>
      <c r="G1602" s="1">
        <v>1</v>
      </c>
      <c r="H1602" s="1">
        <v>1</v>
      </c>
      <c r="I1602" s="1">
        <v>3</v>
      </c>
      <c r="J1602" s="1">
        <v>0</v>
      </c>
      <c r="K1602" s="1">
        <v>1</v>
      </c>
      <c r="L1602" s="1">
        <v>8356</v>
      </c>
      <c r="M1602" s="1">
        <v>0</v>
      </c>
    </row>
    <row r="1603" spans="2:13" x14ac:dyDescent="0.25">
      <c r="B1603" s="1">
        <v>1</v>
      </c>
      <c r="C1603" s="1">
        <v>1</v>
      </c>
      <c r="D1603" s="1">
        <v>0</v>
      </c>
      <c r="E1603" s="1">
        <v>1</v>
      </c>
      <c r="F1603" s="1">
        <v>75</v>
      </c>
      <c r="G1603" s="1">
        <v>0</v>
      </c>
      <c r="H1603" s="1">
        <v>6</v>
      </c>
      <c r="I1603" s="1">
        <v>5</v>
      </c>
      <c r="J1603" s="1">
        <v>1</v>
      </c>
      <c r="K1603" s="1">
        <v>1</v>
      </c>
      <c r="L1603" s="1">
        <v>17171</v>
      </c>
      <c r="M1603" s="1">
        <v>0</v>
      </c>
    </row>
    <row r="1604" spans="2:13" x14ac:dyDescent="0.25">
      <c r="B1604" s="1">
        <v>1</v>
      </c>
      <c r="C1604" s="1">
        <v>1</v>
      </c>
      <c r="D1604" s="1">
        <v>0</v>
      </c>
      <c r="E1604" s="1">
        <v>1</v>
      </c>
      <c r="F1604" s="1">
        <v>75</v>
      </c>
      <c r="G1604" s="1">
        <v>1</v>
      </c>
      <c r="H1604" s="1">
        <v>4</v>
      </c>
      <c r="I1604" s="1">
        <v>3</v>
      </c>
      <c r="J1604" s="1">
        <v>0</v>
      </c>
      <c r="K1604" s="1">
        <v>1</v>
      </c>
      <c r="L1604" s="1">
        <v>10837</v>
      </c>
      <c r="M1604" s="1">
        <v>0</v>
      </c>
    </row>
    <row r="1605" spans="2:13" x14ac:dyDescent="0.25">
      <c r="B1605" s="1">
        <v>1</v>
      </c>
      <c r="C1605" s="1">
        <v>1</v>
      </c>
      <c r="D1605" s="1">
        <v>0</v>
      </c>
      <c r="E1605" s="1">
        <v>1</v>
      </c>
      <c r="F1605" s="1">
        <v>75</v>
      </c>
      <c r="G1605" s="1">
        <v>0</v>
      </c>
      <c r="H1605" s="1">
        <v>8</v>
      </c>
      <c r="I1605" s="1">
        <v>5</v>
      </c>
      <c r="J1605" s="1">
        <v>0</v>
      </c>
      <c r="K1605" s="1">
        <v>1</v>
      </c>
      <c r="L1605" s="1">
        <v>11655</v>
      </c>
      <c r="M1605" s="1">
        <v>0</v>
      </c>
    </row>
    <row r="1606" spans="2:13" x14ac:dyDescent="0.25">
      <c r="B1606" s="1">
        <v>1</v>
      </c>
      <c r="C1606" s="1">
        <v>1</v>
      </c>
      <c r="D1606" s="1">
        <v>0</v>
      </c>
      <c r="E1606" s="1">
        <v>1</v>
      </c>
      <c r="F1606" s="1">
        <v>75</v>
      </c>
      <c r="G1606" s="1">
        <v>1</v>
      </c>
      <c r="H1606" s="1">
        <v>3</v>
      </c>
      <c r="I1606" s="1">
        <v>4</v>
      </c>
      <c r="J1606" s="1">
        <v>0</v>
      </c>
      <c r="K1606" s="1">
        <v>1</v>
      </c>
      <c r="L1606" s="1">
        <v>6571</v>
      </c>
      <c r="M1606" s="1">
        <v>0</v>
      </c>
    </row>
    <row r="1607" spans="2:13" x14ac:dyDescent="0.25">
      <c r="B1607" s="1">
        <v>1</v>
      </c>
      <c r="C1607" s="1">
        <v>1</v>
      </c>
      <c r="D1607" s="1">
        <v>0</v>
      </c>
      <c r="E1607" s="1">
        <v>1</v>
      </c>
      <c r="F1607" s="1">
        <v>75</v>
      </c>
      <c r="G1607" s="1">
        <v>1</v>
      </c>
      <c r="H1607" s="1">
        <v>8</v>
      </c>
      <c r="I1607" s="1">
        <v>3</v>
      </c>
      <c r="J1607" s="1">
        <v>0</v>
      </c>
      <c r="K1607" s="1">
        <v>1</v>
      </c>
      <c r="L1607" s="1">
        <v>17627</v>
      </c>
      <c r="M1607" s="1">
        <v>0</v>
      </c>
    </row>
    <row r="1608" spans="2:13" x14ac:dyDescent="0.25">
      <c r="B1608" s="1">
        <v>1</v>
      </c>
      <c r="C1608" s="1">
        <v>1</v>
      </c>
      <c r="D1608" s="1">
        <v>0</v>
      </c>
      <c r="E1608" s="1">
        <v>1</v>
      </c>
      <c r="F1608" s="1">
        <v>75</v>
      </c>
      <c r="G1608" s="1">
        <v>0</v>
      </c>
      <c r="H1608" s="1">
        <v>12</v>
      </c>
      <c r="I1608" s="1">
        <v>5</v>
      </c>
      <c r="J1608" s="1">
        <v>1</v>
      </c>
      <c r="K1608" s="1">
        <v>1</v>
      </c>
      <c r="L1608" s="1">
        <v>16494</v>
      </c>
      <c r="M1608" s="1">
        <v>0</v>
      </c>
    </row>
    <row r="1609" spans="2:13" x14ac:dyDescent="0.25">
      <c r="B1609" s="1">
        <v>1</v>
      </c>
      <c r="C1609" s="1">
        <v>1</v>
      </c>
      <c r="D1609" s="1">
        <v>0</v>
      </c>
      <c r="E1609" s="1">
        <v>1</v>
      </c>
      <c r="F1609" s="1">
        <v>75</v>
      </c>
      <c r="G1609" s="1">
        <v>0</v>
      </c>
      <c r="H1609" s="1">
        <v>4</v>
      </c>
      <c r="I1609" s="1">
        <v>5</v>
      </c>
      <c r="J1609" s="1">
        <v>2</v>
      </c>
      <c r="K1609" s="1">
        <v>1</v>
      </c>
      <c r="L1609" s="1">
        <v>12796</v>
      </c>
      <c r="M1609" s="1">
        <v>0</v>
      </c>
    </row>
    <row r="1610" spans="2:13" x14ac:dyDescent="0.25">
      <c r="B1610" s="1">
        <v>1</v>
      </c>
      <c r="C1610" s="1">
        <v>1</v>
      </c>
      <c r="D1610" s="1">
        <v>0</v>
      </c>
      <c r="E1610" s="1">
        <v>1</v>
      </c>
      <c r="F1610" s="1">
        <v>75</v>
      </c>
      <c r="G1610" s="1">
        <v>1</v>
      </c>
      <c r="H1610" s="1">
        <v>20</v>
      </c>
      <c r="I1610" s="1">
        <v>5</v>
      </c>
      <c r="J1610" s="1">
        <v>0</v>
      </c>
      <c r="K1610" s="1">
        <v>1</v>
      </c>
      <c r="L1610" s="1">
        <v>38858</v>
      </c>
      <c r="M1610" s="1">
        <v>0</v>
      </c>
    </row>
    <row r="1611" spans="2:13" x14ac:dyDescent="0.25">
      <c r="B1611" s="1">
        <v>1</v>
      </c>
      <c r="C1611" s="1">
        <v>1</v>
      </c>
      <c r="D1611" s="1">
        <v>0</v>
      </c>
      <c r="E1611" s="1">
        <v>1</v>
      </c>
      <c r="F1611" s="1">
        <v>75</v>
      </c>
      <c r="G1611" s="1">
        <v>1</v>
      </c>
      <c r="H1611" s="1">
        <v>3</v>
      </c>
      <c r="I1611" s="1">
        <v>5</v>
      </c>
      <c r="J1611" s="1">
        <v>0</v>
      </c>
      <c r="K1611" s="1">
        <v>1</v>
      </c>
      <c r="L1611" s="1">
        <v>7558</v>
      </c>
      <c r="M1611" s="1">
        <v>0</v>
      </c>
    </row>
    <row r="1612" spans="2:13" x14ac:dyDescent="0.25">
      <c r="B1612" s="1">
        <v>1</v>
      </c>
      <c r="C1612" s="1">
        <v>1</v>
      </c>
      <c r="D1612" s="1">
        <v>0</v>
      </c>
      <c r="E1612" s="1">
        <v>1</v>
      </c>
      <c r="F1612" s="1">
        <v>75</v>
      </c>
      <c r="G1612" s="1">
        <v>1</v>
      </c>
      <c r="H1612" s="1">
        <v>3</v>
      </c>
      <c r="I1612" s="1">
        <v>5</v>
      </c>
      <c r="J1612" s="1">
        <v>3</v>
      </c>
      <c r="K1612" s="1">
        <v>1</v>
      </c>
      <c r="L1612" s="1">
        <v>43522</v>
      </c>
      <c r="M1612" s="1">
        <v>1</v>
      </c>
    </row>
    <row r="1613" spans="2:13" x14ac:dyDescent="0.25">
      <c r="B1613" s="1">
        <v>1</v>
      </c>
      <c r="C1613" s="1">
        <v>1</v>
      </c>
      <c r="D1613" s="1">
        <v>0</v>
      </c>
      <c r="E1613" s="1">
        <v>1</v>
      </c>
      <c r="F1613" s="1">
        <v>75</v>
      </c>
      <c r="G1613" s="1">
        <v>1</v>
      </c>
      <c r="H1613" s="1">
        <v>45</v>
      </c>
      <c r="I1613" s="1">
        <v>3</v>
      </c>
      <c r="J1613" s="1">
        <v>5</v>
      </c>
      <c r="K1613" s="1">
        <v>1</v>
      </c>
      <c r="L1613" s="1">
        <v>193078</v>
      </c>
      <c r="M1613" s="1">
        <v>1</v>
      </c>
    </row>
    <row r="1614" spans="2:13" x14ac:dyDescent="0.25">
      <c r="B1614" s="1">
        <v>1</v>
      </c>
      <c r="C1614" s="1">
        <v>1</v>
      </c>
      <c r="D1614" s="1">
        <v>0</v>
      </c>
      <c r="E1614" s="1">
        <v>1</v>
      </c>
      <c r="F1614" s="1">
        <v>75</v>
      </c>
      <c r="G1614" s="1">
        <v>0</v>
      </c>
      <c r="H1614" s="1">
        <v>29</v>
      </c>
      <c r="I1614" s="1">
        <v>1</v>
      </c>
      <c r="J1614" s="1">
        <v>6</v>
      </c>
      <c r="K1614" s="1">
        <v>1</v>
      </c>
      <c r="L1614" s="1">
        <v>161183</v>
      </c>
      <c r="M1614" s="1">
        <v>1</v>
      </c>
    </row>
    <row r="1615" spans="2:13" x14ac:dyDescent="0.25">
      <c r="B1615" s="1">
        <v>1</v>
      </c>
      <c r="C1615" s="1">
        <v>1</v>
      </c>
      <c r="D1615" s="1">
        <v>0</v>
      </c>
      <c r="E1615" s="1">
        <v>1</v>
      </c>
      <c r="F1615" s="1">
        <v>75</v>
      </c>
      <c r="G1615" s="1">
        <v>0</v>
      </c>
      <c r="H1615" s="1">
        <v>4</v>
      </c>
      <c r="I1615" s="1">
        <v>9</v>
      </c>
      <c r="J1615" s="1">
        <v>1</v>
      </c>
      <c r="K1615" s="1">
        <v>1</v>
      </c>
      <c r="L1615" s="1">
        <v>20828</v>
      </c>
      <c r="M1615" s="1">
        <v>1</v>
      </c>
    </row>
    <row r="1616" spans="2:13" x14ac:dyDescent="0.25">
      <c r="B1616" s="1">
        <v>1</v>
      </c>
      <c r="C1616" s="1">
        <v>1</v>
      </c>
      <c r="D1616" s="1">
        <v>0</v>
      </c>
      <c r="E1616" s="1">
        <v>1</v>
      </c>
      <c r="F1616" s="1">
        <v>75</v>
      </c>
      <c r="G1616" s="1">
        <v>1</v>
      </c>
      <c r="H1616" s="1">
        <v>3</v>
      </c>
      <c r="I1616" s="1">
        <v>5</v>
      </c>
      <c r="J1616" s="1">
        <v>2</v>
      </c>
      <c r="K1616" s="1">
        <v>1</v>
      </c>
      <c r="L1616" s="1">
        <v>34114</v>
      </c>
      <c r="M1616" s="1">
        <v>1</v>
      </c>
    </row>
    <row r="1617" spans="2:13" x14ac:dyDescent="0.25">
      <c r="B1617" s="1">
        <v>1</v>
      </c>
      <c r="C1617" s="1">
        <v>1</v>
      </c>
      <c r="D1617" s="1">
        <v>0</v>
      </c>
      <c r="E1617" s="1">
        <v>1</v>
      </c>
      <c r="F1617" s="1">
        <v>75</v>
      </c>
      <c r="G1617" s="1">
        <v>1</v>
      </c>
      <c r="H1617" s="1">
        <v>3</v>
      </c>
      <c r="I1617" s="1">
        <v>4</v>
      </c>
      <c r="J1617" s="1">
        <v>1</v>
      </c>
      <c r="K1617" s="1">
        <v>1</v>
      </c>
      <c r="L1617" s="1">
        <v>30962</v>
      </c>
      <c r="M1617" s="1">
        <v>1</v>
      </c>
    </row>
    <row r="1618" spans="2:13" x14ac:dyDescent="0.25">
      <c r="B1618" s="1">
        <v>1</v>
      </c>
      <c r="C1618" s="1">
        <v>1</v>
      </c>
      <c r="D1618" s="1">
        <v>0</v>
      </c>
      <c r="E1618" s="1">
        <v>1</v>
      </c>
      <c r="F1618" s="1">
        <v>75</v>
      </c>
      <c r="G1618" s="1">
        <v>0</v>
      </c>
      <c r="H1618" s="1">
        <v>3</v>
      </c>
      <c r="I1618" s="1">
        <v>5</v>
      </c>
      <c r="J1618" s="1">
        <v>1</v>
      </c>
      <c r="K1618" s="1">
        <v>1</v>
      </c>
      <c r="L1618" s="1">
        <v>20876</v>
      </c>
      <c r="M1618" s="1">
        <v>1</v>
      </c>
    </row>
    <row r="1619" spans="2:13" x14ac:dyDescent="0.25">
      <c r="B1619" s="1">
        <v>1</v>
      </c>
      <c r="C1619" s="1">
        <v>1</v>
      </c>
      <c r="D1619" s="1">
        <v>0</v>
      </c>
      <c r="E1619" s="1">
        <v>1</v>
      </c>
      <c r="F1619" s="1">
        <v>75</v>
      </c>
      <c r="G1619" s="1">
        <v>0</v>
      </c>
      <c r="H1619" s="1">
        <v>56</v>
      </c>
      <c r="I1619" s="1">
        <v>5</v>
      </c>
      <c r="J1619" s="1">
        <v>6</v>
      </c>
      <c r="K1619" s="1">
        <v>1</v>
      </c>
      <c r="L1619" s="1">
        <v>247738</v>
      </c>
      <c r="M1619" s="1">
        <v>1</v>
      </c>
    </row>
    <row r="1620" spans="2:13" x14ac:dyDescent="0.25">
      <c r="B1620" s="1">
        <v>1</v>
      </c>
      <c r="C1620" s="1">
        <v>1</v>
      </c>
      <c r="D1620" s="1">
        <v>0</v>
      </c>
      <c r="E1620" s="1">
        <v>1</v>
      </c>
      <c r="F1620" s="1">
        <v>75</v>
      </c>
      <c r="G1620" s="1">
        <v>0</v>
      </c>
      <c r="H1620" s="1">
        <v>3</v>
      </c>
      <c r="I1620" s="1">
        <v>4</v>
      </c>
      <c r="J1620" s="1">
        <v>1</v>
      </c>
      <c r="K1620" s="1">
        <v>1</v>
      </c>
      <c r="L1620" s="1">
        <v>34013</v>
      </c>
      <c r="M1620" s="1">
        <v>1</v>
      </c>
    </row>
    <row r="1621" spans="2:13" x14ac:dyDescent="0.25">
      <c r="B1621" s="1">
        <v>1</v>
      </c>
      <c r="C1621" s="1">
        <v>1</v>
      </c>
      <c r="D1621" s="1">
        <v>0</v>
      </c>
      <c r="E1621" s="1">
        <v>1</v>
      </c>
      <c r="F1621" s="1">
        <v>74</v>
      </c>
      <c r="G1621" s="1">
        <v>0</v>
      </c>
      <c r="H1621" s="1">
        <v>7</v>
      </c>
      <c r="I1621" s="1">
        <v>6</v>
      </c>
      <c r="J1621" s="1">
        <v>0</v>
      </c>
      <c r="K1621" s="1">
        <v>1</v>
      </c>
      <c r="L1621" s="1">
        <v>25131</v>
      </c>
      <c r="M1621" s="1">
        <v>0</v>
      </c>
    </row>
    <row r="1622" spans="2:13" x14ac:dyDescent="0.25">
      <c r="B1622" s="1">
        <v>1</v>
      </c>
      <c r="C1622" s="1">
        <v>1</v>
      </c>
      <c r="D1622" s="1">
        <v>0</v>
      </c>
      <c r="E1622" s="1">
        <v>1</v>
      </c>
      <c r="F1622" s="1">
        <v>74</v>
      </c>
      <c r="G1622" s="1">
        <v>1</v>
      </c>
      <c r="H1622" s="1">
        <v>4</v>
      </c>
      <c r="I1622" s="1">
        <v>5</v>
      </c>
      <c r="J1622" s="1">
        <v>0</v>
      </c>
      <c r="K1622" s="1">
        <v>1</v>
      </c>
      <c r="L1622" s="1">
        <v>10988</v>
      </c>
      <c r="M1622" s="1">
        <v>0</v>
      </c>
    </row>
    <row r="1623" spans="2:13" x14ac:dyDescent="0.25">
      <c r="B1623" s="1">
        <v>1</v>
      </c>
      <c r="C1623" s="1">
        <v>1</v>
      </c>
      <c r="D1623" s="1">
        <v>0</v>
      </c>
      <c r="E1623" s="1">
        <v>1</v>
      </c>
      <c r="F1623" s="1">
        <v>74</v>
      </c>
      <c r="G1623" s="1">
        <v>1</v>
      </c>
      <c r="H1623" s="1">
        <v>4</v>
      </c>
      <c r="I1623" s="1">
        <v>5</v>
      </c>
      <c r="J1623" s="1">
        <v>0</v>
      </c>
      <c r="K1623" s="1">
        <v>1</v>
      </c>
      <c r="L1623" s="1">
        <v>9420</v>
      </c>
      <c r="M1623" s="1">
        <v>0</v>
      </c>
    </row>
    <row r="1624" spans="2:13" x14ac:dyDescent="0.25">
      <c r="B1624" s="1">
        <v>1</v>
      </c>
      <c r="C1624" s="1">
        <v>1</v>
      </c>
      <c r="D1624" s="1">
        <v>0</v>
      </c>
      <c r="E1624" s="1">
        <v>1</v>
      </c>
      <c r="F1624" s="1">
        <v>74</v>
      </c>
      <c r="G1624" s="1">
        <v>0</v>
      </c>
      <c r="H1624" s="1">
        <v>8</v>
      </c>
      <c r="I1624" s="1">
        <v>4</v>
      </c>
      <c r="J1624" s="1">
        <v>0</v>
      </c>
      <c r="K1624" s="1">
        <v>1</v>
      </c>
      <c r="L1624" s="1">
        <v>12720</v>
      </c>
      <c r="M1624" s="1">
        <v>0</v>
      </c>
    </row>
    <row r="1625" spans="2:13" x14ac:dyDescent="0.25">
      <c r="B1625" s="1">
        <v>1</v>
      </c>
      <c r="C1625" s="1">
        <v>1</v>
      </c>
      <c r="D1625" s="1">
        <v>0</v>
      </c>
      <c r="E1625" s="1">
        <v>1</v>
      </c>
      <c r="F1625" s="1">
        <v>74</v>
      </c>
      <c r="G1625" s="1">
        <v>1</v>
      </c>
      <c r="H1625" s="1">
        <v>1</v>
      </c>
      <c r="I1625" s="1">
        <v>5</v>
      </c>
      <c r="J1625" s="1">
        <v>0</v>
      </c>
      <c r="K1625" s="1">
        <v>1</v>
      </c>
      <c r="L1625" s="1">
        <v>4768</v>
      </c>
      <c r="M1625" s="1">
        <v>0</v>
      </c>
    </row>
    <row r="1626" spans="2:13" x14ac:dyDescent="0.25">
      <c r="B1626" s="1">
        <v>1</v>
      </c>
      <c r="C1626" s="1">
        <v>1</v>
      </c>
      <c r="D1626" s="1">
        <v>0</v>
      </c>
      <c r="E1626" s="1">
        <v>1</v>
      </c>
      <c r="F1626" s="1">
        <v>74</v>
      </c>
      <c r="G1626" s="1">
        <v>1</v>
      </c>
      <c r="H1626" s="1">
        <v>22</v>
      </c>
      <c r="I1626" s="1">
        <v>1</v>
      </c>
      <c r="J1626" s="1">
        <v>0</v>
      </c>
      <c r="K1626" s="1">
        <v>1</v>
      </c>
      <c r="L1626" s="1">
        <v>30208</v>
      </c>
      <c r="M1626" s="1">
        <v>0</v>
      </c>
    </row>
    <row r="1627" spans="2:13" x14ac:dyDescent="0.25">
      <c r="B1627" s="1">
        <v>1</v>
      </c>
      <c r="C1627" s="1">
        <v>1</v>
      </c>
      <c r="D1627" s="1">
        <v>0</v>
      </c>
      <c r="E1627" s="1">
        <v>1</v>
      </c>
      <c r="F1627" s="1">
        <v>74</v>
      </c>
      <c r="G1627" s="1">
        <v>0</v>
      </c>
      <c r="H1627" s="1">
        <v>1</v>
      </c>
      <c r="I1627" s="1">
        <v>5</v>
      </c>
      <c r="J1627" s="1">
        <v>0</v>
      </c>
      <c r="K1627" s="1">
        <v>1</v>
      </c>
      <c r="L1627" s="1">
        <v>9259</v>
      </c>
      <c r="M1627" s="1">
        <v>0</v>
      </c>
    </row>
    <row r="1628" spans="2:13" x14ac:dyDescent="0.25">
      <c r="B1628" s="1">
        <v>1</v>
      </c>
      <c r="C1628" s="1">
        <v>1</v>
      </c>
      <c r="D1628" s="1">
        <v>0</v>
      </c>
      <c r="E1628" s="1">
        <v>1</v>
      </c>
      <c r="F1628" s="1">
        <v>74</v>
      </c>
      <c r="G1628" s="1">
        <v>0</v>
      </c>
      <c r="H1628" s="1">
        <v>11</v>
      </c>
      <c r="I1628" s="1">
        <v>5</v>
      </c>
      <c r="J1628" s="1">
        <v>0</v>
      </c>
      <c r="K1628" s="1">
        <v>1</v>
      </c>
      <c r="L1628" s="1">
        <v>22866</v>
      </c>
      <c r="M1628" s="1">
        <v>0</v>
      </c>
    </row>
    <row r="1629" spans="2:13" x14ac:dyDescent="0.25">
      <c r="B1629" s="1">
        <v>1</v>
      </c>
      <c r="C1629" s="1">
        <v>1</v>
      </c>
      <c r="D1629" s="1">
        <v>0</v>
      </c>
      <c r="E1629" s="1">
        <v>1</v>
      </c>
      <c r="F1629" s="1">
        <v>74</v>
      </c>
      <c r="G1629" s="1">
        <v>0</v>
      </c>
      <c r="H1629" s="1">
        <v>5</v>
      </c>
      <c r="I1629" s="1">
        <v>2</v>
      </c>
      <c r="J1629" s="1">
        <v>0</v>
      </c>
      <c r="K1629" s="1">
        <v>1</v>
      </c>
      <c r="L1629" s="1">
        <v>16591</v>
      </c>
      <c r="M1629" s="1">
        <v>0</v>
      </c>
    </row>
    <row r="1630" spans="2:13" x14ac:dyDescent="0.25">
      <c r="B1630" s="1">
        <v>1</v>
      </c>
      <c r="C1630" s="1">
        <v>1</v>
      </c>
      <c r="D1630" s="1">
        <v>0</v>
      </c>
      <c r="E1630" s="1">
        <v>1</v>
      </c>
      <c r="F1630" s="1">
        <v>74</v>
      </c>
      <c r="G1630" s="1">
        <v>0</v>
      </c>
      <c r="H1630" s="1">
        <v>28</v>
      </c>
      <c r="I1630" s="1">
        <v>5</v>
      </c>
      <c r="J1630" s="1">
        <v>3</v>
      </c>
      <c r="K1630" s="1">
        <v>1</v>
      </c>
      <c r="L1630" s="1">
        <v>45172</v>
      </c>
      <c r="M1630" s="1">
        <v>0</v>
      </c>
    </row>
    <row r="1631" spans="2:13" x14ac:dyDescent="0.25">
      <c r="B1631" s="1">
        <v>1</v>
      </c>
      <c r="C1631" s="1">
        <v>1</v>
      </c>
      <c r="D1631" s="1">
        <v>0</v>
      </c>
      <c r="E1631" s="1">
        <v>1</v>
      </c>
      <c r="F1631" s="1">
        <v>74</v>
      </c>
      <c r="G1631" s="1">
        <v>0</v>
      </c>
      <c r="H1631" s="1">
        <v>4</v>
      </c>
      <c r="I1631" s="1">
        <v>7</v>
      </c>
      <c r="J1631" s="1">
        <v>0</v>
      </c>
      <c r="K1631" s="1">
        <v>1</v>
      </c>
      <c r="L1631" s="1">
        <v>8209</v>
      </c>
      <c r="M1631" s="1">
        <v>0</v>
      </c>
    </row>
    <row r="1632" spans="2:13" x14ac:dyDescent="0.25">
      <c r="B1632" s="1">
        <v>1</v>
      </c>
      <c r="C1632" s="1">
        <v>1</v>
      </c>
      <c r="D1632" s="1">
        <v>0</v>
      </c>
      <c r="E1632" s="1">
        <v>1</v>
      </c>
      <c r="F1632" s="1">
        <v>74</v>
      </c>
      <c r="G1632" s="1">
        <v>0</v>
      </c>
      <c r="H1632" s="1">
        <v>9</v>
      </c>
      <c r="I1632" s="1">
        <v>5</v>
      </c>
      <c r="J1632" s="1">
        <v>0</v>
      </c>
      <c r="K1632" s="1">
        <v>1</v>
      </c>
      <c r="L1632" s="1">
        <v>13844</v>
      </c>
      <c r="M1632" s="1">
        <v>0</v>
      </c>
    </row>
    <row r="1633" spans="2:13" x14ac:dyDescent="0.25">
      <c r="B1633" s="1">
        <v>1</v>
      </c>
      <c r="C1633" s="1">
        <v>1</v>
      </c>
      <c r="D1633" s="1">
        <v>0</v>
      </c>
      <c r="E1633" s="1">
        <v>1</v>
      </c>
      <c r="F1633" s="1">
        <v>74</v>
      </c>
      <c r="G1633" s="1">
        <v>1</v>
      </c>
      <c r="H1633" s="1">
        <v>7</v>
      </c>
      <c r="I1633" s="1">
        <v>4</v>
      </c>
      <c r="J1633" s="1">
        <v>0</v>
      </c>
      <c r="K1633" s="1">
        <v>1</v>
      </c>
      <c r="L1633" s="1">
        <v>22528</v>
      </c>
      <c r="M1633" s="1">
        <v>0</v>
      </c>
    </row>
    <row r="1634" spans="2:13" x14ac:dyDescent="0.25">
      <c r="B1634" s="1">
        <v>1</v>
      </c>
      <c r="C1634" s="1">
        <v>1</v>
      </c>
      <c r="D1634" s="1">
        <v>0</v>
      </c>
      <c r="E1634" s="1">
        <v>1</v>
      </c>
      <c r="F1634" s="1">
        <v>74</v>
      </c>
      <c r="G1634" s="1">
        <v>0</v>
      </c>
      <c r="H1634" s="1">
        <v>2</v>
      </c>
      <c r="I1634" s="1">
        <v>4</v>
      </c>
      <c r="J1634" s="1">
        <v>0</v>
      </c>
      <c r="K1634" s="1">
        <v>1</v>
      </c>
      <c r="L1634" s="1">
        <v>6209</v>
      </c>
      <c r="M1634" s="1">
        <v>0</v>
      </c>
    </row>
    <row r="1635" spans="2:13" x14ac:dyDescent="0.25">
      <c r="B1635" s="1">
        <v>1</v>
      </c>
      <c r="C1635" s="1">
        <v>1</v>
      </c>
      <c r="D1635" s="1">
        <v>0</v>
      </c>
      <c r="E1635" s="1">
        <v>1</v>
      </c>
      <c r="F1635" s="1">
        <v>54</v>
      </c>
      <c r="G1635" s="1">
        <v>1</v>
      </c>
      <c r="H1635" s="1">
        <v>18</v>
      </c>
      <c r="I1635" s="1">
        <v>6</v>
      </c>
      <c r="J1635" s="1">
        <v>6</v>
      </c>
      <c r="K1635" s="1">
        <v>1</v>
      </c>
      <c r="L1635" s="1">
        <v>89186</v>
      </c>
      <c r="M1635" s="1">
        <v>1</v>
      </c>
    </row>
    <row r="1636" spans="2:13" x14ac:dyDescent="0.25">
      <c r="B1636" s="1">
        <v>1</v>
      </c>
      <c r="C1636" s="1">
        <v>1</v>
      </c>
      <c r="D1636" s="1">
        <v>0</v>
      </c>
      <c r="E1636" s="1">
        <v>1</v>
      </c>
      <c r="F1636" s="1">
        <v>54</v>
      </c>
      <c r="G1636" s="1">
        <v>0</v>
      </c>
      <c r="H1636" s="1">
        <v>3</v>
      </c>
      <c r="I1636" s="1">
        <v>4</v>
      </c>
      <c r="J1636" s="1">
        <v>6</v>
      </c>
      <c r="K1636" s="1">
        <v>1</v>
      </c>
      <c r="L1636" s="1">
        <v>58289</v>
      </c>
      <c r="M1636" s="1">
        <v>1</v>
      </c>
    </row>
    <row r="1637" spans="2:13" x14ac:dyDescent="0.25">
      <c r="B1637" s="1">
        <v>1</v>
      </c>
      <c r="C1637" s="1">
        <v>1</v>
      </c>
      <c r="D1637" s="1">
        <v>0</v>
      </c>
      <c r="E1637" s="1">
        <v>1</v>
      </c>
      <c r="F1637" s="1">
        <v>54</v>
      </c>
      <c r="G1637" s="1">
        <v>1</v>
      </c>
      <c r="H1637" s="1">
        <v>3</v>
      </c>
      <c r="I1637" s="1">
        <v>5</v>
      </c>
      <c r="J1637" s="1">
        <v>2</v>
      </c>
      <c r="K1637" s="1">
        <v>1</v>
      </c>
      <c r="L1637" s="1">
        <v>31880</v>
      </c>
      <c r="M1637" s="1">
        <v>1</v>
      </c>
    </row>
    <row r="1638" spans="2:13" x14ac:dyDescent="0.25">
      <c r="B1638" s="1">
        <v>1</v>
      </c>
      <c r="C1638" s="1">
        <v>1</v>
      </c>
      <c r="D1638" s="1">
        <v>0</v>
      </c>
      <c r="E1638" s="1">
        <v>1</v>
      </c>
      <c r="F1638" s="1">
        <v>54</v>
      </c>
      <c r="G1638" s="1">
        <v>0</v>
      </c>
      <c r="H1638" s="1">
        <v>2</v>
      </c>
      <c r="I1638" s="1">
        <v>3</v>
      </c>
      <c r="J1638" s="1">
        <v>3</v>
      </c>
      <c r="K1638" s="1">
        <v>1</v>
      </c>
      <c r="L1638" s="1">
        <v>39121</v>
      </c>
      <c r="M1638" s="1">
        <v>1</v>
      </c>
    </row>
    <row r="1639" spans="2:13" x14ac:dyDescent="0.25">
      <c r="B1639" s="1">
        <v>1</v>
      </c>
      <c r="C1639" s="1">
        <v>1</v>
      </c>
      <c r="D1639" s="1">
        <v>0</v>
      </c>
      <c r="E1639" s="1">
        <v>1</v>
      </c>
      <c r="F1639" s="1">
        <v>54</v>
      </c>
      <c r="G1639" s="1">
        <v>1</v>
      </c>
      <c r="H1639" s="1">
        <v>4</v>
      </c>
      <c r="I1639" s="1">
        <v>2</v>
      </c>
      <c r="J1639" s="1">
        <v>1</v>
      </c>
      <c r="K1639" s="1">
        <v>1</v>
      </c>
      <c r="L1639" s="1">
        <v>32976</v>
      </c>
      <c r="M1639" s="1">
        <v>1</v>
      </c>
    </row>
    <row r="1640" spans="2:13" x14ac:dyDescent="0.25">
      <c r="B1640" s="1">
        <v>1</v>
      </c>
      <c r="C1640" s="1">
        <v>1</v>
      </c>
      <c r="D1640" s="1">
        <v>0</v>
      </c>
      <c r="E1640" s="1">
        <v>1</v>
      </c>
      <c r="F1640" s="1">
        <v>53</v>
      </c>
      <c r="G1640" s="1">
        <v>0</v>
      </c>
      <c r="H1640" s="1">
        <v>1</v>
      </c>
      <c r="I1640" s="1">
        <v>3</v>
      </c>
      <c r="J1640" s="1">
        <v>0</v>
      </c>
      <c r="K1640" s="1">
        <v>1</v>
      </c>
      <c r="L1640" s="1">
        <v>8999</v>
      </c>
      <c r="M1640" s="1">
        <v>0</v>
      </c>
    </row>
    <row r="1641" spans="2:13" x14ac:dyDescent="0.25">
      <c r="B1641" s="1">
        <v>1</v>
      </c>
      <c r="C1641" s="1">
        <v>1</v>
      </c>
      <c r="D1641" s="1">
        <v>0</v>
      </c>
      <c r="E1641" s="1">
        <v>1</v>
      </c>
      <c r="F1641" s="1">
        <v>53</v>
      </c>
      <c r="G1641" s="1">
        <v>1</v>
      </c>
      <c r="H1641" s="1">
        <v>7</v>
      </c>
      <c r="I1641" s="1">
        <v>3</v>
      </c>
      <c r="J1641" s="1">
        <v>0</v>
      </c>
      <c r="K1641" s="1">
        <v>1</v>
      </c>
      <c r="L1641" s="1">
        <v>10595</v>
      </c>
      <c r="M1641" s="1">
        <v>0</v>
      </c>
    </row>
    <row r="1642" spans="2:13" x14ac:dyDescent="0.25">
      <c r="B1642" s="1">
        <v>1</v>
      </c>
      <c r="C1642" s="1">
        <v>1</v>
      </c>
      <c r="D1642" s="1">
        <v>0</v>
      </c>
      <c r="E1642" s="1">
        <v>1</v>
      </c>
      <c r="F1642" s="1">
        <v>53</v>
      </c>
      <c r="G1642" s="1">
        <v>0</v>
      </c>
      <c r="H1642" s="1">
        <v>2</v>
      </c>
      <c r="I1642" s="1">
        <v>4</v>
      </c>
      <c r="J1642" s="1">
        <v>0</v>
      </c>
      <c r="K1642" s="1">
        <v>1</v>
      </c>
      <c r="L1642" s="1">
        <v>11791</v>
      </c>
      <c r="M1642" s="1">
        <v>0</v>
      </c>
    </row>
    <row r="1643" spans="2:13" x14ac:dyDescent="0.25">
      <c r="B1643" s="1">
        <v>1</v>
      </c>
      <c r="C1643" s="1">
        <v>1</v>
      </c>
      <c r="D1643" s="1">
        <v>0</v>
      </c>
      <c r="E1643" s="1">
        <v>1</v>
      </c>
      <c r="F1643" s="1">
        <v>53</v>
      </c>
      <c r="G1643" s="1">
        <v>0</v>
      </c>
      <c r="H1643" s="1">
        <v>1</v>
      </c>
      <c r="I1643" s="1">
        <v>6</v>
      </c>
      <c r="J1643" s="1">
        <v>0</v>
      </c>
      <c r="K1643" s="1">
        <v>1</v>
      </c>
      <c r="L1643" s="1">
        <v>11284</v>
      </c>
      <c r="M1643" s="1">
        <v>0</v>
      </c>
    </row>
    <row r="1644" spans="2:13" x14ac:dyDescent="0.25">
      <c r="B1644" s="1">
        <v>1</v>
      </c>
      <c r="C1644" s="1">
        <v>1</v>
      </c>
      <c r="D1644" s="1">
        <v>0</v>
      </c>
      <c r="E1644" s="1">
        <v>1</v>
      </c>
      <c r="F1644" s="1">
        <v>53</v>
      </c>
      <c r="G1644" s="1">
        <v>1</v>
      </c>
      <c r="H1644" s="1">
        <v>23</v>
      </c>
      <c r="I1644" s="1">
        <v>6</v>
      </c>
      <c r="J1644" s="1">
        <v>1</v>
      </c>
      <c r="K1644" s="1">
        <v>1</v>
      </c>
      <c r="L1644" s="1">
        <v>52702</v>
      </c>
      <c r="M1644" s="1">
        <v>0</v>
      </c>
    </row>
    <row r="1645" spans="2:13" x14ac:dyDescent="0.25">
      <c r="B1645" s="1">
        <v>1</v>
      </c>
      <c r="C1645" s="1">
        <v>1</v>
      </c>
      <c r="D1645" s="1">
        <v>0</v>
      </c>
      <c r="E1645" s="1">
        <v>1</v>
      </c>
      <c r="F1645" s="1">
        <v>53</v>
      </c>
      <c r="G1645" s="1">
        <v>0</v>
      </c>
      <c r="H1645" s="1">
        <v>5</v>
      </c>
      <c r="I1645" s="1">
        <v>3</v>
      </c>
      <c r="J1645" s="1">
        <v>0</v>
      </c>
      <c r="K1645" s="1">
        <v>1</v>
      </c>
      <c r="L1645" s="1">
        <v>7601</v>
      </c>
      <c r="M1645" s="1">
        <v>0</v>
      </c>
    </row>
    <row r="1646" spans="2:13" x14ac:dyDescent="0.25">
      <c r="B1646" s="1">
        <v>1</v>
      </c>
      <c r="C1646" s="1">
        <v>1</v>
      </c>
      <c r="D1646" s="1">
        <v>0</v>
      </c>
      <c r="E1646" s="1">
        <v>1</v>
      </c>
      <c r="F1646" s="1">
        <v>53</v>
      </c>
      <c r="G1646" s="1">
        <v>0</v>
      </c>
      <c r="H1646" s="1">
        <v>16</v>
      </c>
      <c r="I1646" s="1">
        <v>3</v>
      </c>
      <c r="J1646" s="1">
        <v>3</v>
      </c>
      <c r="K1646" s="1">
        <v>1</v>
      </c>
      <c r="L1646" s="1">
        <v>17775</v>
      </c>
      <c r="M1646" s="1">
        <v>0</v>
      </c>
    </row>
    <row r="1647" spans="2:13" x14ac:dyDescent="0.25">
      <c r="B1647" s="1">
        <v>1</v>
      </c>
      <c r="C1647" s="1">
        <v>1</v>
      </c>
      <c r="D1647" s="1">
        <v>0</v>
      </c>
      <c r="E1647" s="1">
        <v>1</v>
      </c>
      <c r="F1647" s="1">
        <v>53</v>
      </c>
      <c r="G1647" s="1">
        <v>1</v>
      </c>
      <c r="H1647" s="1">
        <v>11</v>
      </c>
      <c r="I1647" s="1">
        <v>3</v>
      </c>
      <c r="J1647" s="1">
        <v>1</v>
      </c>
      <c r="K1647" s="1">
        <v>1</v>
      </c>
      <c r="L1647" s="1">
        <v>25171</v>
      </c>
      <c r="M1647" s="1">
        <v>0</v>
      </c>
    </row>
    <row r="1648" spans="2:13" x14ac:dyDescent="0.25">
      <c r="B1648" s="1">
        <v>1</v>
      </c>
      <c r="C1648" s="1">
        <v>1</v>
      </c>
      <c r="D1648" s="1">
        <v>0</v>
      </c>
      <c r="E1648" s="1">
        <v>1</v>
      </c>
      <c r="F1648" s="1">
        <v>53</v>
      </c>
      <c r="G1648" s="1">
        <v>0</v>
      </c>
      <c r="H1648" s="1">
        <v>8</v>
      </c>
      <c r="I1648" s="1">
        <v>2</v>
      </c>
      <c r="J1648" s="1">
        <v>0</v>
      </c>
      <c r="K1648" s="1">
        <v>1</v>
      </c>
      <c r="L1648" s="1">
        <v>14547</v>
      </c>
      <c r="M1648" s="1">
        <v>0</v>
      </c>
    </row>
    <row r="1649" spans="2:13" x14ac:dyDescent="0.25">
      <c r="B1649" s="1">
        <v>1</v>
      </c>
      <c r="C1649" s="1">
        <v>1</v>
      </c>
      <c r="D1649" s="1">
        <v>0</v>
      </c>
      <c r="E1649" s="1">
        <v>1</v>
      </c>
      <c r="F1649" s="1">
        <v>53</v>
      </c>
      <c r="G1649" s="1">
        <v>1</v>
      </c>
      <c r="H1649" s="1">
        <v>6</v>
      </c>
      <c r="I1649" s="1">
        <v>4</v>
      </c>
      <c r="J1649" s="1">
        <v>0</v>
      </c>
      <c r="K1649" s="1">
        <v>1</v>
      </c>
      <c r="L1649" s="1">
        <v>10903</v>
      </c>
      <c r="M1649" s="1">
        <v>0</v>
      </c>
    </row>
    <row r="1650" spans="2:13" x14ac:dyDescent="0.25">
      <c r="B1650" s="1">
        <v>1</v>
      </c>
      <c r="C1650" s="1">
        <v>1</v>
      </c>
      <c r="D1650" s="1">
        <v>0</v>
      </c>
      <c r="E1650" s="1">
        <v>1</v>
      </c>
      <c r="F1650" s="1">
        <v>53</v>
      </c>
      <c r="G1650" s="1">
        <v>0</v>
      </c>
      <c r="H1650" s="1">
        <v>5</v>
      </c>
      <c r="I1650" s="1">
        <v>5</v>
      </c>
      <c r="J1650" s="1">
        <v>2</v>
      </c>
      <c r="K1650" s="1">
        <v>1</v>
      </c>
      <c r="L1650" s="1">
        <v>13669</v>
      </c>
      <c r="M1650" s="1">
        <v>0</v>
      </c>
    </row>
    <row r="1651" spans="2:13" x14ac:dyDescent="0.25">
      <c r="B1651" s="1">
        <v>1</v>
      </c>
      <c r="C1651" s="1">
        <v>1</v>
      </c>
      <c r="D1651" s="1">
        <v>0</v>
      </c>
      <c r="E1651" s="1">
        <v>1</v>
      </c>
      <c r="F1651" s="1">
        <v>53</v>
      </c>
      <c r="G1651" s="1">
        <v>1</v>
      </c>
      <c r="H1651" s="1">
        <v>5</v>
      </c>
      <c r="I1651" s="1">
        <v>2</v>
      </c>
      <c r="J1651" s="1">
        <v>0</v>
      </c>
      <c r="K1651" s="1">
        <v>1</v>
      </c>
      <c r="L1651" s="1">
        <v>12482</v>
      </c>
      <c r="M1651" s="1">
        <v>0</v>
      </c>
    </row>
    <row r="1652" spans="2:13" x14ac:dyDescent="0.25">
      <c r="B1652" s="1">
        <v>1</v>
      </c>
      <c r="C1652" s="1">
        <v>1</v>
      </c>
      <c r="D1652" s="1">
        <v>0</v>
      </c>
      <c r="E1652" s="1">
        <v>1</v>
      </c>
      <c r="F1652" s="1">
        <v>53</v>
      </c>
      <c r="G1652" s="1">
        <v>1</v>
      </c>
      <c r="H1652" s="1">
        <v>4</v>
      </c>
      <c r="I1652" s="1">
        <v>8</v>
      </c>
      <c r="J1652" s="1">
        <v>0</v>
      </c>
      <c r="K1652" s="1">
        <v>1</v>
      </c>
      <c r="L1652" s="1">
        <v>9045</v>
      </c>
      <c r="M1652" s="1">
        <v>0</v>
      </c>
    </row>
    <row r="1653" spans="2:13" x14ac:dyDescent="0.25">
      <c r="B1653" s="1">
        <v>1</v>
      </c>
      <c r="C1653" s="1">
        <v>1</v>
      </c>
      <c r="D1653" s="1">
        <v>0</v>
      </c>
      <c r="E1653" s="1">
        <v>1</v>
      </c>
      <c r="F1653" s="1">
        <v>53</v>
      </c>
      <c r="G1653" s="1">
        <v>1</v>
      </c>
      <c r="H1653" s="1">
        <v>2</v>
      </c>
      <c r="I1653" s="1">
        <v>7</v>
      </c>
      <c r="J1653" s="1">
        <v>0</v>
      </c>
      <c r="K1653" s="1">
        <v>1</v>
      </c>
      <c r="L1653" s="1">
        <v>12139</v>
      </c>
      <c r="M1653" s="1">
        <v>0</v>
      </c>
    </row>
    <row r="1654" spans="2:13" x14ac:dyDescent="0.25">
      <c r="B1654" s="1">
        <v>1</v>
      </c>
      <c r="C1654" s="1">
        <v>1</v>
      </c>
      <c r="D1654" s="1">
        <v>0</v>
      </c>
      <c r="E1654" s="1">
        <v>1</v>
      </c>
      <c r="F1654" s="1">
        <v>51</v>
      </c>
      <c r="G1654" s="1">
        <v>1</v>
      </c>
      <c r="H1654" s="1">
        <v>2</v>
      </c>
      <c r="I1654" s="1">
        <v>3</v>
      </c>
      <c r="J1654" s="1">
        <v>0</v>
      </c>
      <c r="K1654" s="1">
        <v>1</v>
      </c>
      <c r="L1654" s="1">
        <v>2932</v>
      </c>
      <c r="M1654" s="1">
        <v>0</v>
      </c>
    </row>
    <row r="1655" spans="2:13" x14ac:dyDescent="0.25">
      <c r="B1655" s="1">
        <v>1</v>
      </c>
      <c r="C1655" s="1">
        <v>1</v>
      </c>
      <c r="D1655" s="1">
        <v>0</v>
      </c>
      <c r="E1655" s="1">
        <v>1</v>
      </c>
      <c r="F1655" s="1">
        <v>51</v>
      </c>
      <c r="G1655" s="1">
        <v>1</v>
      </c>
      <c r="H1655" s="1">
        <v>8</v>
      </c>
      <c r="I1655" s="1">
        <v>4</v>
      </c>
      <c r="J1655" s="1">
        <v>1</v>
      </c>
      <c r="K1655" s="1">
        <v>1</v>
      </c>
      <c r="L1655" s="1">
        <v>13078</v>
      </c>
      <c r="M1655" s="1">
        <v>0</v>
      </c>
    </row>
    <row r="1656" spans="2:13" x14ac:dyDescent="0.25">
      <c r="B1656" s="1">
        <v>1</v>
      </c>
      <c r="C1656" s="1">
        <v>1</v>
      </c>
      <c r="D1656" s="1">
        <v>0</v>
      </c>
      <c r="E1656" s="1">
        <v>1</v>
      </c>
      <c r="F1656" s="1">
        <v>51</v>
      </c>
      <c r="G1656" s="1">
        <v>1</v>
      </c>
      <c r="H1656" s="1">
        <v>1</v>
      </c>
      <c r="I1656" s="1">
        <v>8</v>
      </c>
      <c r="J1656" s="1">
        <v>2</v>
      </c>
      <c r="K1656" s="1">
        <v>1</v>
      </c>
      <c r="L1656" s="1">
        <v>23633</v>
      </c>
      <c r="M1656" s="1">
        <v>0</v>
      </c>
    </row>
    <row r="1657" spans="2:13" x14ac:dyDescent="0.25">
      <c r="B1657" s="1">
        <v>1</v>
      </c>
      <c r="C1657" s="1">
        <v>1</v>
      </c>
      <c r="D1657" s="1">
        <v>0</v>
      </c>
      <c r="E1657" s="1">
        <v>1</v>
      </c>
      <c r="F1657" s="1">
        <v>51</v>
      </c>
      <c r="G1657" s="1">
        <v>0</v>
      </c>
      <c r="H1657" s="1">
        <v>3</v>
      </c>
      <c r="I1657" s="1">
        <v>1</v>
      </c>
      <c r="J1657" s="1">
        <v>0</v>
      </c>
      <c r="K1657" s="1">
        <v>1</v>
      </c>
      <c r="L1657" s="1">
        <v>7391</v>
      </c>
      <c r="M1657" s="1">
        <v>0</v>
      </c>
    </row>
    <row r="1658" spans="2:13" x14ac:dyDescent="0.25">
      <c r="B1658" s="1">
        <v>1</v>
      </c>
      <c r="C1658" s="1">
        <v>1</v>
      </c>
      <c r="D1658" s="1">
        <v>0</v>
      </c>
      <c r="E1658" s="1">
        <v>1</v>
      </c>
      <c r="F1658" s="1">
        <v>51</v>
      </c>
      <c r="G1658" s="1">
        <v>1</v>
      </c>
      <c r="H1658" s="1">
        <v>29</v>
      </c>
      <c r="I1658" s="1">
        <v>4</v>
      </c>
      <c r="J1658" s="1">
        <v>6</v>
      </c>
      <c r="K1658" s="1">
        <v>1</v>
      </c>
      <c r="L1658" s="1">
        <v>115788</v>
      </c>
      <c r="M1658" s="1">
        <v>0</v>
      </c>
    </row>
    <row r="1659" spans="2:13" x14ac:dyDescent="0.25">
      <c r="B1659" s="1">
        <v>1</v>
      </c>
      <c r="C1659" s="1">
        <v>1</v>
      </c>
      <c r="D1659" s="1">
        <v>0</v>
      </c>
      <c r="E1659" s="1">
        <v>1</v>
      </c>
      <c r="F1659" s="1">
        <v>51</v>
      </c>
      <c r="G1659" s="1">
        <v>0</v>
      </c>
      <c r="H1659" s="1">
        <v>53</v>
      </c>
      <c r="I1659" s="1">
        <v>5</v>
      </c>
      <c r="J1659" s="1">
        <v>0</v>
      </c>
      <c r="K1659" s="1">
        <v>1</v>
      </c>
      <c r="L1659" s="1">
        <v>81999</v>
      </c>
      <c r="M1659" s="1">
        <v>0</v>
      </c>
    </row>
    <row r="1660" spans="2:13" x14ac:dyDescent="0.25">
      <c r="B1660" s="1">
        <v>1</v>
      </c>
      <c r="C1660" s="1">
        <v>1</v>
      </c>
      <c r="D1660" s="1">
        <v>0</v>
      </c>
      <c r="E1660" s="1">
        <v>1</v>
      </c>
      <c r="F1660" s="1">
        <v>51</v>
      </c>
      <c r="G1660" s="1">
        <v>1</v>
      </c>
      <c r="H1660" s="1">
        <v>4</v>
      </c>
      <c r="I1660" s="1">
        <v>5</v>
      </c>
      <c r="J1660" s="1">
        <v>0</v>
      </c>
      <c r="K1660" s="1">
        <v>1</v>
      </c>
      <c r="L1660" s="1">
        <v>7769</v>
      </c>
      <c r="M1660" s="1">
        <v>0</v>
      </c>
    </row>
    <row r="1661" spans="2:13" x14ac:dyDescent="0.25">
      <c r="B1661" s="1">
        <v>1</v>
      </c>
      <c r="C1661" s="1">
        <v>1</v>
      </c>
      <c r="D1661" s="1">
        <v>0</v>
      </c>
      <c r="E1661" s="1">
        <v>1</v>
      </c>
      <c r="F1661" s="1">
        <v>51</v>
      </c>
      <c r="G1661" s="1">
        <v>0</v>
      </c>
      <c r="H1661" s="1">
        <v>23</v>
      </c>
      <c r="I1661" s="1">
        <v>2</v>
      </c>
      <c r="J1661" s="1">
        <v>2</v>
      </c>
      <c r="K1661" s="1">
        <v>1</v>
      </c>
      <c r="L1661" s="1">
        <v>60325</v>
      </c>
      <c r="M1661" s="1">
        <v>0</v>
      </c>
    </row>
    <row r="1662" spans="2:13" x14ac:dyDescent="0.25">
      <c r="B1662" s="1">
        <v>1</v>
      </c>
      <c r="C1662" s="1">
        <v>1</v>
      </c>
      <c r="D1662" s="1">
        <v>0</v>
      </c>
      <c r="E1662" s="1">
        <v>1</v>
      </c>
      <c r="F1662" s="1">
        <v>51</v>
      </c>
      <c r="G1662" s="1">
        <v>1</v>
      </c>
      <c r="H1662" s="1">
        <v>5</v>
      </c>
      <c r="I1662" s="1">
        <v>1</v>
      </c>
      <c r="J1662" s="1">
        <v>1</v>
      </c>
      <c r="K1662" s="1">
        <v>1</v>
      </c>
      <c r="L1662" s="1">
        <v>13659</v>
      </c>
      <c r="M1662" s="1">
        <v>0</v>
      </c>
    </row>
    <row r="1663" spans="2:13" x14ac:dyDescent="0.25">
      <c r="B1663" s="1">
        <v>1</v>
      </c>
      <c r="C1663" s="1">
        <v>1</v>
      </c>
      <c r="D1663" s="1">
        <v>0</v>
      </c>
      <c r="E1663" s="1">
        <v>1</v>
      </c>
      <c r="F1663" s="1">
        <v>51</v>
      </c>
      <c r="G1663" s="1">
        <v>1</v>
      </c>
      <c r="H1663" s="1">
        <v>6</v>
      </c>
      <c r="I1663" s="1">
        <v>3</v>
      </c>
      <c r="J1663" s="1">
        <v>3</v>
      </c>
      <c r="K1663" s="1">
        <v>1</v>
      </c>
      <c r="L1663" s="1">
        <v>33732</v>
      </c>
      <c r="M1663" s="1">
        <v>1</v>
      </c>
    </row>
    <row r="1664" spans="2:13" x14ac:dyDescent="0.25">
      <c r="B1664" s="1">
        <v>1</v>
      </c>
      <c r="C1664" s="1">
        <v>1</v>
      </c>
      <c r="D1664" s="1">
        <v>0</v>
      </c>
      <c r="E1664" s="1">
        <v>1</v>
      </c>
      <c r="F1664" s="1">
        <v>51</v>
      </c>
      <c r="G1664" s="1">
        <v>1</v>
      </c>
      <c r="H1664" s="1">
        <v>2</v>
      </c>
      <c r="I1664" s="1">
        <v>0</v>
      </c>
      <c r="J1664" s="1">
        <v>1</v>
      </c>
      <c r="K1664" s="1">
        <v>1</v>
      </c>
      <c r="L1664" s="1">
        <v>24821</v>
      </c>
      <c r="M1664" s="1">
        <v>1</v>
      </c>
    </row>
    <row r="1665" spans="2:13" x14ac:dyDescent="0.25">
      <c r="B1665" s="1">
        <v>1</v>
      </c>
      <c r="C1665" s="1">
        <v>1</v>
      </c>
      <c r="D1665" s="1">
        <v>0</v>
      </c>
      <c r="E1665" s="1">
        <v>1</v>
      </c>
      <c r="F1665" s="1">
        <v>51</v>
      </c>
      <c r="G1665" s="1">
        <v>0</v>
      </c>
      <c r="H1665" s="1">
        <v>2</v>
      </c>
      <c r="I1665" s="1">
        <v>4</v>
      </c>
      <c r="J1665" s="1">
        <v>4</v>
      </c>
      <c r="K1665" s="1">
        <v>1</v>
      </c>
      <c r="L1665" s="1">
        <v>36369</v>
      </c>
      <c r="M1665" s="1">
        <v>1</v>
      </c>
    </row>
    <row r="1666" spans="2:13" x14ac:dyDescent="0.25">
      <c r="B1666" s="1">
        <v>1</v>
      </c>
      <c r="C1666" s="1">
        <v>1</v>
      </c>
      <c r="D1666" s="1">
        <v>0</v>
      </c>
      <c r="E1666" s="1">
        <v>1</v>
      </c>
      <c r="F1666" s="1">
        <v>51</v>
      </c>
      <c r="G1666" s="1">
        <v>0</v>
      </c>
      <c r="H1666" s="1">
        <v>4</v>
      </c>
      <c r="I1666" s="1">
        <v>4</v>
      </c>
      <c r="J1666" s="1">
        <v>6</v>
      </c>
      <c r="K1666" s="1">
        <v>1</v>
      </c>
      <c r="L1666" s="1">
        <v>84109</v>
      </c>
      <c r="M1666" s="1">
        <v>1</v>
      </c>
    </row>
    <row r="1667" spans="2:13" x14ac:dyDescent="0.25">
      <c r="B1667" s="1">
        <v>1</v>
      </c>
      <c r="C1667" s="1">
        <v>1</v>
      </c>
      <c r="D1667" s="1">
        <v>0</v>
      </c>
      <c r="E1667" s="1">
        <v>1</v>
      </c>
      <c r="F1667" s="1">
        <v>51</v>
      </c>
      <c r="G1667" s="1">
        <v>1</v>
      </c>
      <c r="H1667" s="1">
        <v>9</v>
      </c>
      <c r="I1667" s="1">
        <v>5</v>
      </c>
      <c r="J1667" s="1">
        <v>6</v>
      </c>
      <c r="K1667" s="1">
        <v>1</v>
      </c>
      <c r="L1667" s="1">
        <v>70551</v>
      </c>
      <c r="M1667" s="1">
        <v>1</v>
      </c>
    </row>
    <row r="1668" spans="2:13" x14ac:dyDescent="0.25">
      <c r="B1668" s="1">
        <v>1</v>
      </c>
      <c r="C1668" s="1">
        <v>1</v>
      </c>
      <c r="D1668" s="1">
        <v>0</v>
      </c>
      <c r="E1668" s="1">
        <v>1</v>
      </c>
      <c r="F1668" s="1">
        <v>51</v>
      </c>
      <c r="G1668" s="1">
        <v>1</v>
      </c>
      <c r="H1668" s="1">
        <v>3</v>
      </c>
      <c r="I1668" s="1">
        <v>6</v>
      </c>
      <c r="J1668" s="1">
        <v>4</v>
      </c>
      <c r="K1668" s="1">
        <v>1</v>
      </c>
      <c r="L1668" s="1">
        <v>30902</v>
      </c>
      <c r="M1668" s="1">
        <v>1</v>
      </c>
    </row>
    <row r="1669" spans="2:13" x14ac:dyDescent="0.25">
      <c r="B1669" s="1">
        <v>1</v>
      </c>
      <c r="C1669" s="1">
        <v>1</v>
      </c>
      <c r="D1669" s="1">
        <v>0</v>
      </c>
      <c r="E1669" s="1">
        <v>1</v>
      </c>
      <c r="F1669" s="1">
        <v>51</v>
      </c>
      <c r="G1669" s="1">
        <v>0</v>
      </c>
      <c r="H1669" s="1">
        <v>2</v>
      </c>
      <c r="I1669" s="1">
        <v>0</v>
      </c>
      <c r="J1669" s="1">
        <v>1</v>
      </c>
      <c r="K1669" s="1">
        <v>1</v>
      </c>
      <c r="L1669" s="1">
        <v>28237</v>
      </c>
      <c r="M1669" s="1">
        <v>1</v>
      </c>
    </row>
    <row r="1670" spans="2:13" x14ac:dyDescent="0.25">
      <c r="B1670" s="1">
        <v>1</v>
      </c>
      <c r="C1670" s="1">
        <v>1</v>
      </c>
      <c r="D1670" s="1">
        <v>0</v>
      </c>
      <c r="E1670" s="1">
        <v>1</v>
      </c>
      <c r="F1670" s="1">
        <v>51</v>
      </c>
      <c r="G1670" s="1">
        <v>0</v>
      </c>
      <c r="H1670" s="1">
        <v>3</v>
      </c>
      <c r="I1670" s="1">
        <v>2</v>
      </c>
      <c r="J1670" s="1">
        <v>5</v>
      </c>
      <c r="K1670" s="1">
        <v>1</v>
      </c>
      <c r="L1670" s="1">
        <v>24652</v>
      </c>
      <c r="M1670" s="1">
        <v>1</v>
      </c>
    </row>
    <row r="1671" spans="2:13" x14ac:dyDescent="0.25">
      <c r="B1671" s="1">
        <v>1</v>
      </c>
      <c r="C1671" s="1">
        <v>1</v>
      </c>
      <c r="D1671" s="1">
        <v>0</v>
      </c>
      <c r="E1671" s="1">
        <v>1</v>
      </c>
      <c r="F1671" s="1">
        <v>50</v>
      </c>
      <c r="G1671" s="1">
        <v>1</v>
      </c>
      <c r="H1671" s="1">
        <v>2</v>
      </c>
      <c r="I1671" s="1">
        <v>0</v>
      </c>
      <c r="J1671" s="1">
        <v>0</v>
      </c>
      <c r="K1671" s="1">
        <v>1</v>
      </c>
      <c r="L1671" s="1">
        <v>9869</v>
      </c>
      <c r="M1671" s="1">
        <v>0</v>
      </c>
    </row>
    <row r="1672" spans="2:13" x14ac:dyDescent="0.25">
      <c r="B1672" s="1">
        <v>1</v>
      </c>
      <c r="C1672" s="1">
        <v>1</v>
      </c>
      <c r="D1672" s="1">
        <v>0</v>
      </c>
      <c r="E1672" s="1">
        <v>1</v>
      </c>
      <c r="F1672" s="1">
        <v>50</v>
      </c>
      <c r="G1672" s="1">
        <v>1</v>
      </c>
      <c r="H1672" s="1">
        <v>4</v>
      </c>
      <c r="I1672" s="1">
        <v>3</v>
      </c>
      <c r="J1672" s="1">
        <v>0</v>
      </c>
      <c r="K1672" s="1">
        <v>1</v>
      </c>
      <c r="L1672" s="1">
        <v>13194</v>
      </c>
      <c r="M1672" s="1">
        <v>0</v>
      </c>
    </row>
    <row r="1673" spans="2:13" x14ac:dyDescent="0.25">
      <c r="B1673" s="1">
        <v>1</v>
      </c>
      <c r="C1673" s="1">
        <v>1</v>
      </c>
      <c r="D1673" s="1">
        <v>0</v>
      </c>
      <c r="E1673" s="1">
        <v>1</v>
      </c>
      <c r="F1673" s="1">
        <v>50</v>
      </c>
      <c r="G1673" s="1">
        <v>0</v>
      </c>
      <c r="H1673" s="1">
        <v>11</v>
      </c>
      <c r="I1673" s="1">
        <v>3</v>
      </c>
      <c r="J1673" s="1">
        <v>2</v>
      </c>
      <c r="K1673" s="1">
        <v>1</v>
      </c>
      <c r="L1673" s="1">
        <v>30354</v>
      </c>
      <c r="M1673" s="1">
        <v>0</v>
      </c>
    </row>
    <row r="1674" spans="2:13" x14ac:dyDescent="0.25">
      <c r="B1674" s="1">
        <v>1</v>
      </c>
      <c r="C1674" s="1">
        <v>1</v>
      </c>
      <c r="D1674" s="1">
        <v>0</v>
      </c>
      <c r="E1674" s="1">
        <v>1</v>
      </c>
      <c r="F1674" s="1">
        <v>50</v>
      </c>
      <c r="G1674" s="1">
        <v>1</v>
      </c>
      <c r="H1674" s="1">
        <v>4</v>
      </c>
      <c r="I1674" s="1">
        <v>7</v>
      </c>
      <c r="J1674" s="1">
        <v>1</v>
      </c>
      <c r="K1674" s="1">
        <v>1</v>
      </c>
      <c r="L1674" s="1">
        <v>12113</v>
      </c>
      <c r="M1674" s="1">
        <v>0</v>
      </c>
    </row>
    <row r="1675" spans="2:13" x14ac:dyDescent="0.25">
      <c r="B1675" s="1">
        <v>1</v>
      </c>
      <c r="C1675" s="1">
        <v>1</v>
      </c>
      <c r="D1675" s="1">
        <v>0</v>
      </c>
      <c r="E1675" s="1">
        <v>1</v>
      </c>
      <c r="F1675" s="1">
        <v>50</v>
      </c>
      <c r="G1675" s="1">
        <v>0</v>
      </c>
      <c r="H1675" s="1">
        <v>5</v>
      </c>
      <c r="I1675" s="1">
        <v>6</v>
      </c>
      <c r="J1675" s="1">
        <v>3</v>
      </c>
      <c r="K1675" s="1">
        <v>1</v>
      </c>
      <c r="L1675" s="1">
        <v>13810</v>
      </c>
      <c r="M1675" s="1">
        <v>0</v>
      </c>
    </row>
    <row r="1676" spans="2:13" x14ac:dyDescent="0.25">
      <c r="B1676" s="1">
        <v>1</v>
      </c>
      <c r="C1676" s="1">
        <v>1</v>
      </c>
      <c r="D1676" s="1">
        <v>0</v>
      </c>
      <c r="E1676" s="1">
        <v>1</v>
      </c>
      <c r="F1676" s="1">
        <v>50</v>
      </c>
      <c r="G1676" s="1">
        <v>1</v>
      </c>
      <c r="H1676" s="1">
        <v>5</v>
      </c>
      <c r="I1676" s="1">
        <v>7</v>
      </c>
      <c r="J1676" s="1">
        <v>1</v>
      </c>
      <c r="K1676" s="1">
        <v>1</v>
      </c>
      <c r="L1676" s="1">
        <v>14752</v>
      </c>
      <c r="M1676" s="1">
        <v>0</v>
      </c>
    </row>
    <row r="1677" spans="2:13" x14ac:dyDescent="0.25">
      <c r="B1677" s="1">
        <v>1</v>
      </c>
      <c r="C1677" s="1">
        <v>1</v>
      </c>
      <c r="D1677" s="1">
        <v>0</v>
      </c>
      <c r="E1677" s="1">
        <v>1</v>
      </c>
      <c r="F1677" s="1">
        <v>50</v>
      </c>
      <c r="G1677" s="1">
        <v>1</v>
      </c>
      <c r="H1677" s="1">
        <v>11</v>
      </c>
      <c r="I1677" s="1">
        <v>5</v>
      </c>
      <c r="J1677" s="1">
        <v>4</v>
      </c>
      <c r="K1677" s="1">
        <v>1</v>
      </c>
      <c r="L1677" s="1">
        <v>54531</v>
      </c>
      <c r="M1677" s="1">
        <v>0</v>
      </c>
    </row>
    <row r="1678" spans="2:13" x14ac:dyDescent="0.25">
      <c r="B1678" s="1">
        <v>1</v>
      </c>
      <c r="C1678" s="1">
        <v>1</v>
      </c>
      <c r="D1678" s="1">
        <v>0</v>
      </c>
      <c r="E1678" s="1">
        <v>1</v>
      </c>
      <c r="F1678" s="1">
        <v>50</v>
      </c>
      <c r="G1678" s="1">
        <v>1</v>
      </c>
      <c r="H1678" s="1">
        <v>13</v>
      </c>
      <c r="I1678" s="1">
        <v>5</v>
      </c>
      <c r="J1678" s="1">
        <v>1</v>
      </c>
      <c r="K1678" s="1">
        <v>1</v>
      </c>
      <c r="L1678" s="1">
        <v>23555</v>
      </c>
      <c r="M1678" s="1">
        <v>0</v>
      </c>
    </row>
    <row r="1679" spans="2:13" x14ac:dyDescent="0.25">
      <c r="B1679" s="1">
        <v>1</v>
      </c>
      <c r="C1679" s="1">
        <v>1</v>
      </c>
      <c r="D1679" s="1">
        <v>0</v>
      </c>
      <c r="E1679" s="1">
        <v>1</v>
      </c>
      <c r="F1679" s="1">
        <v>50</v>
      </c>
      <c r="G1679" s="1">
        <v>0</v>
      </c>
      <c r="H1679" s="1">
        <v>5</v>
      </c>
      <c r="I1679" s="1">
        <v>4</v>
      </c>
      <c r="J1679" s="1">
        <v>3</v>
      </c>
      <c r="K1679" s="1">
        <v>1</v>
      </c>
      <c r="L1679" s="1">
        <v>18342</v>
      </c>
      <c r="M1679" s="1">
        <v>0</v>
      </c>
    </row>
    <row r="1680" spans="2:13" x14ac:dyDescent="0.25">
      <c r="B1680" s="1">
        <v>1</v>
      </c>
      <c r="C1680" s="1">
        <v>1</v>
      </c>
      <c r="D1680" s="1">
        <v>0</v>
      </c>
      <c r="E1680" s="1">
        <v>1</v>
      </c>
      <c r="F1680" s="1">
        <v>50</v>
      </c>
      <c r="G1680" s="1">
        <v>1</v>
      </c>
      <c r="H1680" s="1">
        <v>10</v>
      </c>
      <c r="I1680" s="1">
        <v>4</v>
      </c>
      <c r="J1680" s="1">
        <v>2</v>
      </c>
      <c r="K1680" s="1">
        <v>1</v>
      </c>
      <c r="L1680" s="1">
        <v>21106</v>
      </c>
      <c r="M1680" s="1">
        <v>0</v>
      </c>
    </row>
    <row r="1681" spans="2:13" x14ac:dyDescent="0.25">
      <c r="B1681" s="1">
        <v>1</v>
      </c>
      <c r="C1681" s="1">
        <v>1</v>
      </c>
      <c r="D1681" s="1">
        <v>0</v>
      </c>
      <c r="E1681" s="1">
        <v>1</v>
      </c>
      <c r="F1681" s="1">
        <v>50</v>
      </c>
      <c r="G1681" s="1">
        <v>1</v>
      </c>
      <c r="H1681" s="1">
        <v>1</v>
      </c>
      <c r="I1681" s="1">
        <v>1</v>
      </c>
      <c r="J1681" s="1">
        <v>0</v>
      </c>
      <c r="K1681" s="1">
        <v>1</v>
      </c>
      <c r="L1681" s="1">
        <v>7998</v>
      </c>
      <c r="M1681" s="1">
        <v>0</v>
      </c>
    </row>
    <row r="1682" spans="2:13" x14ac:dyDescent="0.25">
      <c r="B1682" s="1">
        <v>1</v>
      </c>
      <c r="C1682" s="1">
        <v>1</v>
      </c>
      <c r="D1682" s="1">
        <v>0</v>
      </c>
      <c r="E1682" s="1">
        <v>1</v>
      </c>
      <c r="F1682" s="1">
        <v>50</v>
      </c>
      <c r="G1682" s="1">
        <v>0</v>
      </c>
      <c r="H1682" s="1">
        <v>6</v>
      </c>
      <c r="I1682" s="1">
        <v>7</v>
      </c>
      <c r="J1682" s="1">
        <v>6</v>
      </c>
      <c r="K1682" s="1">
        <v>1</v>
      </c>
      <c r="L1682" s="1">
        <v>24324</v>
      </c>
      <c r="M1682" s="1">
        <v>0</v>
      </c>
    </row>
    <row r="1683" spans="2:13" x14ac:dyDescent="0.25">
      <c r="B1683" s="1">
        <v>1</v>
      </c>
      <c r="C1683" s="1">
        <v>1</v>
      </c>
      <c r="D1683" s="1">
        <v>0</v>
      </c>
      <c r="E1683" s="1">
        <v>1</v>
      </c>
      <c r="F1683" s="1">
        <v>50</v>
      </c>
      <c r="G1683" s="1">
        <v>1</v>
      </c>
      <c r="H1683" s="1">
        <v>6</v>
      </c>
      <c r="I1683" s="1">
        <v>2</v>
      </c>
      <c r="J1683" s="1">
        <v>1</v>
      </c>
      <c r="K1683" s="1">
        <v>1</v>
      </c>
      <c r="L1683" s="1">
        <v>20080</v>
      </c>
      <c r="M1683" s="1">
        <v>0</v>
      </c>
    </row>
    <row r="1684" spans="2:13" x14ac:dyDescent="0.25">
      <c r="B1684" s="1">
        <v>1</v>
      </c>
      <c r="C1684" s="1">
        <v>1</v>
      </c>
      <c r="D1684" s="1">
        <v>0</v>
      </c>
      <c r="E1684" s="1">
        <v>1</v>
      </c>
      <c r="F1684" s="1">
        <v>50</v>
      </c>
      <c r="G1684" s="1">
        <v>1</v>
      </c>
      <c r="H1684" s="1">
        <v>1</v>
      </c>
      <c r="I1684" s="1">
        <v>1</v>
      </c>
      <c r="J1684" s="1">
        <v>2</v>
      </c>
      <c r="K1684" s="1">
        <v>1</v>
      </c>
      <c r="L1684" s="1">
        <v>23325</v>
      </c>
      <c r="M1684" s="1">
        <v>1</v>
      </c>
    </row>
    <row r="1685" spans="2:13" x14ac:dyDescent="0.25">
      <c r="B1685" s="1">
        <v>1</v>
      </c>
      <c r="C1685" s="1">
        <v>1</v>
      </c>
      <c r="D1685" s="1">
        <v>0</v>
      </c>
      <c r="E1685" s="1">
        <v>1</v>
      </c>
      <c r="F1685" s="1">
        <v>50</v>
      </c>
      <c r="G1685" s="1">
        <v>0</v>
      </c>
      <c r="H1685" s="1">
        <v>5</v>
      </c>
      <c r="I1685" s="1">
        <v>5</v>
      </c>
      <c r="J1685" s="1">
        <v>4</v>
      </c>
      <c r="K1685" s="1">
        <v>1</v>
      </c>
      <c r="L1685" s="1">
        <v>27824</v>
      </c>
      <c r="M1685" s="1">
        <v>1</v>
      </c>
    </row>
    <row r="1686" spans="2:13" x14ac:dyDescent="0.25">
      <c r="B1686" s="1">
        <v>1</v>
      </c>
      <c r="C1686" s="1">
        <v>1</v>
      </c>
      <c r="D1686" s="1">
        <v>0</v>
      </c>
      <c r="E1686" s="1">
        <v>1</v>
      </c>
      <c r="F1686" s="1">
        <v>37</v>
      </c>
      <c r="G1686" s="1">
        <v>1</v>
      </c>
      <c r="H1686" s="1">
        <v>9</v>
      </c>
      <c r="I1686" s="1">
        <v>4</v>
      </c>
      <c r="J1686" s="1">
        <v>0</v>
      </c>
      <c r="K1686" s="1">
        <v>1</v>
      </c>
      <c r="L1686" s="1">
        <v>15732</v>
      </c>
      <c r="M1686" s="1">
        <v>0</v>
      </c>
    </row>
    <row r="1687" spans="2:13" x14ac:dyDescent="0.25">
      <c r="B1687" s="1">
        <v>1</v>
      </c>
      <c r="C1687" s="1">
        <v>1</v>
      </c>
      <c r="D1687" s="1">
        <v>0</v>
      </c>
      <c r="E1687" s="1">
        <v>1</v>
      </c>
      <c r="F1687" s="1">
        <v>37</v>
      </c>
      <c r="G1687" s="1">
        <v>0</v>
      </c>
      <c r="H1687" s="1">
        <v>10</v>
      </c>
      <c r="I1687" s="1">
        <v>3</v>
      </c>
      <c r="J1687" s="1">
        <v>0</v>
      </c>
      <c r="K1687" s="1">
        <v>1</v>
      </c>
      <c r="L1687" s="1">
        <v>14974</v>
      </c>
      <c r="M1687" s="1">
        <v>0</v>
      </c>
    </row>
    <row r="1688" spans="2:13" x14ac:dyDescent="0.25">
      <c r="B1688" s="1">
        <v>1</v>
      </c>
      <c r="C1688" s="1">
        <v>1</v>
      </c>
      <c r="D1688" s="1">
        <v>0</v>
      </c>
      <c r="E1688" s="1">
        <v>1</v>
      </c>
      <c r="F1688" s="1">
        <v>37</v>
      </c>
      <c r="G1688" s="1">
        <v>1</v>
      </c>
      <c r="H1688" s="1">
        <v>2</v>
      </c>
      <c r="I1688" s="1">
        <v>0</v>
      </c>
      <c r="J1688" s="1">
        <v>4</v>
      </c>
      <c r="K1688" s="1">
        <v>1</v>
      </c>
      <c r="L1688" s="1">
        <v>7873</v>
      </c>
      <c r="M1688" s="1">
        <v>0</v>
      </c>
    </row>
    <row r="1689" spans="2:13" x14ac:dyDescent="0.25">
      <c r="B1689" s="1">
        <v>1</v>
      </c>
      <c r="C1689" s="1">
        <v>1</v>
      </c>
      <c r="D1689" s="1">
        <v>0</v>
      </c>
      <c r="E1689" s="1">
        <v>1</v>
      </c>
      <c r="F1689" s="1">
        <v>37</v>
      </c>
      <c r="G1689" s="1">
        <v>1</v>
      </c>
      <c r="H1689" s="1">
        <v>8</v>
      </c>
      <c r="I1689" s="1">
        <v>3</v>
      </c>
      <c r="J1689" s="1">
        <v>0</v>
      </c>
      <c r="K1689" s="1">
        <v>1</v>
      </c>
      <c r="L1689" s="1">
        <v>15006</v>
      </c>
      <c r="M1689" s="1">
        <v>0</v>
      </c>
    </row>
    <row r="1690" spans="2:13" x14ac:dyDescent="0.25">
      <c r="B1690" s="1">
        <v>1</v>
      </c>
      <c r="C1690" s="1">
        <v>1</v>
      </c>
      <c r="D1690" s="1">
        <v>0</v>
      </c>
      <c r="E1690" s="1">
        <v>1</v>
      </c>
      <c r="F1690" s="1">
        <v>37</v>
      </c>
      <c r="G1690" s="1">
        <v>1</v>
      </c>
      <c r="H1690" s="1">
        <v>2</v>
      </c>
      <c r="I1690" s="1">
        <v>0</v>
      </c>
      <c r="J1690" s="1">
        <v>2</v>
      </c>
      <c r="K1690" s="1">
        <v>1</v>
      </c>
      <c r="L1690" s="1">
        <v>8545</v>
      </c>
      <c r="M1690" s="1">
        <v>0</v>
      </c>
    </row>
    <row r="1691" spans="2:13" x14ac:dyDescent="0.25">
      <c r="B1691" s="1">
        <v>1</v>
      </c>
      <c r="C1691" s="1">
        <v>1</v>
      </c>
      <c r="D1691" s="1">
        <v>0</v>
      </c>
      <c r="E1691" s="1">
        <v>1</v>
      </c>
      <c r="F1691" s="1">
        <v>37</v>
      </c>
      <c r="G1691" s="1">
        <v>1</v>
      </c>
      <c r="H1691" s="1">
        <v>2</v>
      </c>
      <c r="I1691" s="1">
        <v>7</v>
      </c>
      <c r="J1691" s="1">
        <v>3</v>
      </c>
      <c r="K1691" s="1">
        <v>1</v>
      </c>
      <c r="L1691" s="1">
        <v>15105</v>
      </c>
      <c r="M1691" s="1">
        <v>0</v>
      </c>
    </row>
    <row r="1692" spans="2:13" x14ac:dyDescent="0.25">
      <c r="B1692" s="1">
        <v>1</v>
      </c>
      <c r="C1692" s="1">
        <v>1</v>
      </c>
      <c r="D1692" s="1">
        <v>0</v>
      </c>
      <c r="E1692" s="1">
        <v>1</v>
      </c>
      <c r="F1692" s="1">
        <v>37</v>
      </c>
      <c r="G1692" s="1">
        <v>1</v>
      </c>
      <c r="H1692" s="1">
        <v>9</v>
      </c>
      <c r="I1692" s="1">
        <v>6</v>
      </c>
      <c r="J1692" s="1">
        <v>4</v>
      </c>
      <c r="K1692" s="1">
        <v>1</v>
      </c>
      <c r="L1692" s="1">
        <v>30645</v>
      </c>
      <c r="M1692" s="1">
        <v>0</v>
      </c>
    </row>
    <row r="1693" spans="2:13" x14ac:dyDescent="0.25">
      <c r="B1693" s="1">
        <v>1</v>
      </c>
      <c r="C1693" s="1">
        <v>1</v>
      </c>
      <c r="D1693" s="1">
        <v>0</v>
      </c>
      <c r="E1693" s="1">
        <v>1</v>
      </c>
      <c r="F1693" s="1">
        <v>37</v>
      </c>
      <c r="G1693" s="1">
        <v>1</v>
      </c>
      <c r="H1693" s="1">
        <v>1</v>
      </c>
      <c r="I1693" s="1">
        <v>7</v>
      </c>
      <c r="J1693" s="1">
        <v>0</v>
      </c>
      <c r="K1693" s="1">
        <v>1</v>
      </c>
      <c r="L1693" s="1">
        <v>1656</v>
      </c>
      <c r="M1693" s="1">
        <v>0</v>
      </c>
    </row>
    <row r="1694" spans="2:13" x14ac:dyDescent="0.25">
      <c r="B1694" s="1">
        <v>1</v>
      </c>
      <c r="C1694" s="1">
        <v>1</v>
      </c>
      <c r="D1694" s="1">
        <v>0</v>
      </c>
      <c r="E1694" s="1">
        <v>1</v>
      </c>
      <c r="F1694" s="1">
        <v>37</v>
      </c>
      <c r="G1694" s="1">
        <v>1</v>
      </c>
      <c r="H1694" s="1">
        <v>5</v>
      </c>
      <c r="I1694" s="1">
        <v>6</v>
      </c>
      <c r="J1694" s="1">
        <v>1</v>
      </c>
      <c r="K1694" s="1">
        <v>1</v>
      </c>
      <c r="L1694" s="1">
        <v>11424</v>
      </c>
      <c r="M1694" s="1">
        <v>0</v>
      </c>
    </row>
    <row r="1695" spans="2:13" x14ac:dyDescent="0.25">
      <c r="B1695" s="1">
        <v>1</v>
      </c>
      <c r="C1695" s="1">
        <v>1</v>
      </c>
      <c r="D1695" s="1">
        <v>0</v>
      </c>
      <c r="E1695" s="1">
        <v>1</v>
      </c>
      <c r="F1695" s="1">
        <v>37</v>
      </c>
      <c r="G1695" s="1">
        <v>1</v>
      </c>
      <c r="H1695" s="1">
        <v>9</v>
      </c>
      <c r="I1695" s="1">
        <v>2</v>
      </c>
      <c r="J1695" s="1">
        <v>1</v>
      </c>
      <c r="K1695" s="1">
        <v>1</v>
      </c>
      <c r="L1695" s="1">
        <v>33858</v>
      </c>
      <c r="M1695" s="1">
        <v>0</v>
      </c>
    </row>
    <row r="1696" spans="2:13" x14ac:dyDescent="0.25">
      <c r="B1696" s="1">
        <v>1</v>
      </c>
      <c r="C1696" s="1">
        <v>1</v>
      </c>
      <c r="D1696" s="1">
        <v>0</v>
      </c>
      <c r="E1696" s="1">
        <v>1</v>
      </c>
      <c r="F1696" s="1">
        <v>37</v>
      </c>
      <c r="G1696" s="1">
        <v>1</v>
      </c>
      <c r="H1696" s="1">
        <v>12</v>
      </c>
      <c r="I1696" s="1">
        <v>2</v>
      </c>
      <c r="J1696" s="1">
        <v>6</v>
      </c>
      <c r="K1696" s="1">
        <v>1</v>
      </c>
      <c r="L1696" s="1">
        <v>46939</v>
      </c>
      <c r="M1696" s="1">
        <v>0</v>
      </c>
    </row>
    <row r="1697" spans="2:13" x14ac:dyDescent="0.25">
      <c r="B1697" s="1">
        <v>1</v>
      </c>
      <c r="C1697" s="1">
        <v>1</v>
      </c>
      <c r="D1697" s="1">
        <v>0</v>
      </c>
      <c r="E1697" s="1">
        <v>1</v>
      </c>
      <c r="F1697" s="1">
        <v>37</v>
      </c>
      <c r="G1697" s="1">
        <v>1</v>
      </c>
      <c r="H1697" s="1">
        <v>1</v>
      </c>
      <c r="I1697" s="1">
        <v>3</v>
      </c>
      <c r="J1697" s="1">
        <v>1</v>
      </c>
      <c r="K1697" s="1">
        <v>1</v>
      </c>
      <c r="L1697" s="1">
        <v>12149</v>
      </c>
      <c r="M1697" s="1">
        <v>0</v>
      </c>
    </row>
    <row r="1698" spans="2:13" x14ac:dyDescent="0.25">
      <c r="B1698" s="1">
        <v>1</v>
      </c>
      <c r="C1698" s="1">
        <v>1</v>
      </c>
      <c r="D1698" s="1">
        <v>0</v>
      </c>
      <c r="E1698" s="1">
        <v>1</v>
      </c>
      <c r="F1698" s="1">
        <v>37</v>
      </c>
      <c r="G1698" s="1">
        <v>1</v>
      </c>
      <c r="H1698" s="1">
        <v>2</v>
      </c>
      <c r="I1698" s="1">
        <v>0</v>
      </c>
      <c r="J1698" s="1">
        <v>3</v>
      </c>
      <c r="K1698" s="1">
        <v>1</v>
      </c>
      <c r="L1698" s="1">
        <v>6460</v>
      </c>
      <c r="M1698" s="1">
        <v>0</v>
      </c>
    </row>
    <row r="1699" spans="2:13" x14ac:dyDescent="0.25">
      <c r="B1699" s="1">
        <v>1</v>
      </c>
      <c r="C1699" s="1">
        <v>1</v>
      </c>
      <c r="D1699" s="1">
        <v>0</v>
      </c>
      <c r="E1699" s="1">
        <v>1</v>
      </c>
      <c r="F1699" s="1">
        <v>37</v>
      </c>
      <c r="G1699" s="1">
        <v>0</v>
      </c>
      <c r="H1699" s="1">
        <v>1</v>
      </c>
      <c r="I1699" s="1">
        <v>2</v>
      </c>
      <c r="J1699" s="1">
        <v>1</v>
      </c>
      <c r="K1699" s="1">
        <v>1</v>
      </c>
      <c r="L1699" s="1">
        <v>27640</v>
      </c>
      <c r="M1699" s="1">
        <v>1</v>
      </c>
    </row>
    <row r="1700" spans="2:13" x14ac:dyDescent="0.25">
      <c r="B1700" s="1">
        <v>1</v>
      </c>
      <c r="C1700" s="1">
        <v>1</v>
      </c>
      <c r="D1700" s="1">
        <v>0</v>
      </c>
      <c r="E1700" s="1">
        <v>1</v>
      </c>
      <c r="F1700" s="1">
        <v>37</v>
      </c>
      <c r="G1700" s="1">
        <v>1</v>
      </c>
      <c r="H1700" s="1">
        <v>3</v>
      </c>
      <c r="I1700" s="1">
        <v>1</v>
      </c>
      <c r="J1700" s="1">
        <v>2</v>
      </c>
      <c r="K1700" s="1">
        <v>1</v>
      </c>
      <c r="L1700" s="1">
        <v>9270</v>
      </c>
      <c r="M1700" s="1">
        <v>1</v>
      </c>
    </row>
    <row r="1701" spans="2:13" x14ac:dyDescent="0.25">
      <c r="B1701" s="1">
        <v>1</v>
      </c>
      <c r="C1701" s="1">
        <v>1</v>
      </c>
      <c r="D1701" s="1">
        <v>0</v>
      </c>
      <c r="E1701" s="1">
        <v>1</v>
      </c>
      <c r="F1701" s="1">
        <v>37</v>
      </c>
      <c r="G1701" s="1">
        <v>1</v>
      </c>
      <c r="H1701" s="1">
        <v>2</v>
      </c>
      <c r="I1701" s="1">
        <v>2</v>
      </c>
      <c r="J1701" s="1">
        <v>1</v>
      </c>
      <c r="K1701" s="1">
        <v>1</v>
      </c>
      <c r="L1701" s="1">
        <v>7759</v>
      </c>
      <c r="M1701" s="1">
        <v>1</v>
      </c>
    </row>
    <row r="1702" spans="2:13" x14ac:dyDescent="0.25">
      <c r="B1702" s="1">
        <v>1</v>
      </c>
      <c r="C1702" s="1">
        <v>1</v>
      </c>
      <c r="D1702" s="1">
        <v>0</v>
      </c>
      <c r="E1702" s="1">
        <v>1</v>
      </c>
      <c r="F1702" s="1">
        <v>37</v>
      </c>
      <c r="G1702" s="1">
        <v>0</v>
      </c>
      <c r="H1702" s="1">
        <v>20</v>
      </c>
      <c r="I1702" s="1">
        <v>4</v>
      </c>
      <c r="J1702" s="1">
        <v>6</v>
      </c>
      <c r="K1702" s="1">
        <v>1</v>
      </c>
      <c r="L1702" s="1">
        <v>64444</v>
      </c>
      <c r="M1702" s="1">
        <v>1</v>
      </c>
    </row>
    <row r="1703" spans="2:13" x14ac:dyDescent="0.25">
      <c r="B1703" s="1">
        <v>0</v>
      </c>
      <c r="C1703" s="1">
        <v>0</v>
      </c>
      <c r="D1703" s="1">
        <v>1</v>
      </c>
      <c r="E1703" s="1">
        <v>0</v>
      </c>
      <c r="F1703" s="1">
        <v>68</v>
      </c>
      <c r="G1703" s="1">
        <v>0</v>
      </c>
      <c r="H1703" s="1">
        <v>4</v>
      </c>
      <c r="I1703" s="1">
        <v>4</v>
      </c>
      <c r="J1703" s="1">
        <v>0</v>
      </c>
      <c r="K1703" s="1">
        <v>0</v>
      </c>
      <c r="L1703" s="1">
        <v>19484</v>
      </c>
      <c r="M1703" s="1">
        <v>0</v>
      </c>
    </row>
    <row r="1704" spans="2:13" x14ac:dyDescent="0.25">
      <c r="B1704" s="1">
        <v>0</v>
      </c>
      <c r="C1704" s="1">
        <v>0</v>
      </c>
      <c r="D1704" s="1">
        <v>1</v>
      </c>
      <c r="E1704" s="1">
        <v>0</v>
      </c>
      <c r="F1704" s="1">
        <v>67</v>
      </c>
      <c r="G1704" s="1">
        <v>0</v>
      </c>
      <c r="H1704" s="1">
        <v>3</v>
      </c>
      <c r="I1704" s="1">
        <v>3</v>
      </c>
      <c r="J1704" s="1">
        <v>0</v>
      </c>
      <c r="K1704" s="1">
        <v>0</v>
      </c>
      <c r="L1704" s="1">
        <v>15020</v>
      </c>
      <c r="M1704" s="1">
        <v>0</v>
      </c>
    </row>
    <row r="1705" spans="2:13" x14ac:dyDescent="0.25">
      <c r="B1705" s="1">
        <v>0</v>
      </c>
      <c r="C1705" s="1">
        <v>0</v>
      </c>
      <c r="D1705" s="1">
        <v>1</v>
      </c>
      <c r="E1705" s="1">
        <v>0</v>
      </c>
      <c r="F1705" s="1">
        <v>22</v>
      </c>
      <c r="G1705" s="1">
        <v>1</v>
      </c>
      <c r="H1705" s="1">
        <v>3</v>
      </c>
      <c r="I1705" s="1">
        <v>0</v>
      </c>
      <c r="J1705" s="1">
        <v>3</v>
      </c>
      <c r="K1705" s="1">
        <v>0</v>
      </c>
      <c r="L1705" s="1">
        <v>10067</v>
      </c>
      <c r="M1705" s="1">
        <v>0</v>
      </c>
    </row>
    <row r="1706" spans="2:13" x14ac:dyDescent="0.25">
      <c r="B1706" s="1">
        <v>0</v>
      </c>
      <c r="C1706" s="1">
        <v>0</v>
      </c>
      <c r="D1706" s="1">
        <v>1</v>
      </c>
      <c r="E1706" s="1">
        <v>0</v>
      </c>
      <c r="F1706" s="1">
        <v>69</v>
      </c>
      <c r="G1706" s="1">
        <v>1</v>
      </c>
      <c r="H1706" s="1">
        <v>7</v>
      </c>
      <c r="I1706" s="1">
        <v>4</v>
      </c>
      <c r="J1706" s="1">
        <v>1</v>
      </c>
      <c r="K1706" s="1">
        <v>0</v>
      </c>
      <c r="L1706" s="1">
        <v>33707</v>
      </c>
      <c r="M1706" s="1">
        <v>1</v>
      </c>
    </row>
    <row r="1707" spans="2:13" x14ac:dyDescent="0.25">
      <c r="B1707" s="1">
        <v>1</v>
      </c>
      <c r="C1707" s="1">
        <v>1</v>
      </c>
      <c r="D1707" s="1">
        <v>0</v>
      </c>
      <c r="E1707" s="1">
        <v>1</v>
      </c>
      <c r="F1707" s="1">
        <v>84</v>
      </c>
      <c r="G1707" s="1">
        <v>0</v>
      </c>
      <c r="H1707" s="1">
        <v>3</v>
      </c>
      <c r="I1707" s="1">
        <v>3</v>
      </c>
      <c r="J1707" s="1">
        <v>1</v>
      </c>
      <c r="K1707" s="1">
        <v>1</v>
      </c>
      <c r="L1707" s="1">
        <v>15744</v>
      </c>
      <c r="M1707" s="1">
        <v>1</v>
      </c>
    </row>
    <row r="1708" spans="2:13" x14ac:dyDescent="0.25">
      <c r="B1708" s="1">
        <v>1</v>
      </c>
      <c r="C1708" s="1">
        <v>1</v>
      </c>
      <c r="D1708" s="1">
        <v>0</v>
      </c>
      <c r="E1708" s="1">
        <v>1</v>
      </c>
      <c r="F1708" s="1">
        <v>87</v>
      </c>
      <c r="G1708" s="1">
        <v>1</v>
      </c>
      <c r="H1708" s="1">
        <v>10</v>
      </c>
      <c r="I1708" s="1">
        <v>1</v>
      </c>
      <c r="J1708" s="1">
        <v>1</v>
      </c>
      <c r="K1708" s="1">
        <v>1</v>
      </c>
      <c r="L1708" s="1">
        <v>16262</v>
      </c>
      <c r="M1708" s="1">
        <v>0</v>
      </c>
    </row>
    <row r="1709" spans="2:13" x14ac:dyDescent="0.25">
      <c r="B1709" s="1">
        <v>0</v>
      </c>
      <c r="C1709" s="1">
        <v>0</v>
      </c>
      <c r="D1709" s="1">
        <v>1</v>
      </c>
      <c r="E1709" s="1">
        <v>0</v>
      </c>
      <c r="F1709" s="1">
        <v>68</v>
      </c>
      <c r="G1709" s="1">
        <v>1</v>
      </c>
      <c r="H1709" s="1">
        <v>1</v>
      </c>
      <c r="I1709" s="1">
        <v>3</v>
      </c>
      <c r="J1709" s="1">
        <v>0</v>
      </c>
      <c r="K1709" s="1">
        <v>0</v>
      </c>
      <c r="L1709" s="1">
        <v>7114</v>
      </c>
      <c r="M1709" s="1">
        <v>0</v>
      </c>
    </row>
    <row r="1710" spans="2:13" x14ac:dyDescent="0.25">
      <c r="B1710" s="1">
        <v>0</v>
      </c>
      <c r="C1710" s="1">
        <v>0</v>
      </c>
      <c r="D1710" s="1">
        <v>1</v>
      </c>
      <c r="E1710" s="1">
        <v>0</v>
      </c>
      <c r="F1710" s="1">
        <v>20</v>
      </c>
      <c r="G1710" s="1">
        <v>1</v>
      </c>
      <c r="H1710" s="1">
        <v>3</v>
      </c>
      <c r="I1710" s="1">
        <v>6</v>
      </c>
      <c r="J1710" s="1">
        <v>0</v>
      </c>
      <c r="K1710" s="1">
        <v>0</v>
      </c>
      <c r="L1710" s="1">
        <v>4863</v>
      </c>
      <c r="M1710" s="1">
        <v>0</v>
      </c>
    </row>
    <row r="1711" spans="2:13" x14ac:dyDescent="0.25">
      <c r="B1711" s="1">
        <v>1</v>
      </c>
      <c r="C1711" s="1">
        <v>1</v>
      </c>
      <c r="D1711" s="1">
        <v>0</v>
      </c>
      <c r="E1711" s="1">
        <v>1</v>
      </c>
      <c r="F1711" s="1">
        <v>85</v>
      </c>
      <c r="G1711" s="1">
        <v>1</v>
      </c>
      <c r="H1711" s="1">
        <v>5</v>
      </c>
      <c r="I1711" s="1">
        <v>3</v>
      </c>
      <c r="J1711" s="1">
        <v>0</v>
      </c>
      <c r="K1711" s="1">
        <v>1</v>
      </c>
      <c r="L1711" s="1">
        <v>17788</v>
      </c>
      <c r="M1711" s="1">
        <v>0</v>
      </c>
    </row>
    <row r="1712" spans="2:13" x14ac:dyDescent="0.25">
      <c r="B1712" s="1">
        <v>0</v>
      </c>
      <c r="C1712" s="1">
        <v>0</v>
      </c>
      <c r="D1712" s="1">
        <v>1</v>
      </c>
      <c r="E1712" s="1">
        <v>0</v>
      </c>
      <c r="F1712" s="1">
        <v>44</v>
      </c>
      <c r="G1712" s="1">
        <v>0</v>
      </c>
      <c r="H1712" s="1">
        <v>7</v>
      </c>
      <c r="I1712" s="1">
        <v>5</v>
      </c>
      <c r="J1712" s="1">
        <v>0</v>
      </c>
      <c r="K1712" s="1">
        <v>0</v>
      </c>
      <c r="L1712" s="1">
        <v>11121</v>
      </c>
      <c r="M1712" s="1">
        <v>0</v>
      </c>
    </row>
    <row r="1713" spans="2:13" x14ac:dyDescent="0.25">
      <c r="B1713" s="1">
        <v>0</v>
      </c>
      <c r="C1713" s="1">
        <v>0</v>
      </c>
      <c r="D1713" s="1">
        <v>0.7857142857142857</v>
      </c>
      <c r="E1713" s="1">
        <v>0.21428571428571427</v>
      </c>
      <c r="F1713" s="1">
        <v>0</v>
      </c>
      <c r="G1713" s="1">
        <v>1</v>
      </c>
      <c r="H1713" s="1">
        <v>1</v>
      </c>
      <c r="I1713" s="1">
        <v>0</v>
      </c>
      <c r="J1713" s="1">
        <v>0</v>
      </c>
      <c r="K1713" s="1">
        <v>0</v>
      </c>
      <c r="L1713" s="1">
        <v>647</v>
      </c>
      <c r="M1713" s="1">
        <v>0</v>
      </c>
    </row>
    <row r="1714" spans="2:13" x14ac:dyDescent="0.25">
      <c r="B1714" s="1">
        <v>0</v>
      </c>
      <c r="C1714" s="1">
        <v>0</v>
      </c>
      <c r="D1714" s="1">
        <v>0.9285714285714286</v>
      </c>
      <c r="E1714" s="1">
        <v>7.1428571428571411E-2</v>
      </c>
      <c r="F1714" s="1">
        <v>0</v>
      </c>
      <c r="G1714" s="1">
        <v>0</v>
      </c>
      <c r="H1714" s="1">
        <v>2</v>
      </c>
      <c r="I1714" s="1">
        <v>0</v>
      </c>
      <c r="J1714" s="1">
        <v>0</v>
      </c>
      <c r="K1714" s="1">
        <v>0</v>
      </c>
      <c r="L1714" s="1">
        <v>1045</v>
      </c>
      <c r="M1714" s="1">
        <v>0</v>
      </c>
    </row>
    <row r="1715" spans="2:13" x14ac:dyDescent="0.25">
      <c r="B1715" s="1">
        <v>0</v>
      </c>
      <c r="C1715" s="1">
        <v>0</v>
      </c>
      <c r="D1715" s="1">
        <v>1</v>
      </c>
      <c r="E1715" s="1">
        <v>0</v>
      </c>
      <c r="F1715" s="1">
        <v>43</v>
      </c>
      <c r="G1715" s="1">
        <v>0</v>
      </c>
      <c r="H1715" s="1">
        <v>7</v>
      </c>
      <c r="I1715" s="1">
        <v>4</v>
      </c>
      <c r="J1715" s="1">
        <v>0</v>
      </c>
      <c r="K1715" s="1">
        <v>0</v>
      </c>
      <c r="L1715" s="1">
        <v>10610</v>
      </c>
      <c r="M1715" s="1">
        <v>0</v>
      </c>
    </row>
    <row r="1716" spans="2:13" x14ac:dyDescent="0.25">
      <c r="B1716" s="1">
        <v>0</v>
      </c>
      <c r="C1716" s="1">
        <v>0</v>
      </c>
      <c r="D1716" s="1">
        <v>1</v>
      </c>
      <c r="E1716" s="1">
        <v>0</v>
      </c>
      <c r="F1716" s="1">
        <v>22</v>
      </c>
      <c r="G1716" s="1">
        <v>1</v>
      </c>
      <c r="H1716" s="1">
        <v>2</v>
      </c>
      <c r="I1716" s="1">
        <v>0</v>
      </c>
      <c r="J1716" s="1">
        <v>3</v>
      </c>
      <c r="K1716" s="1">
        <v>0</v>
      </c>
      <c r="L1716" s="1">
        <v>9965</v>
      </c>
      <c r="M1716" s="1">
        <v>0</v>
      </c>
    </row>
    <row r="1717" spans="2:13" x14ac:dyDescent="0.25">
      <c r="B1717" s="1">
        <v>0</v>
      </c>
      <c r="C1717" s="1">
        <v>0</v>
      </c>
      <c r="D1717" s="1">
        <v>1</v>
      </c>
      <c r="E1717" s="1">
        <v>0</v>
      </c>
      <c r="F1717" s="1">
        <v>73</v>
      </c>
      <c r="G1717" s="1">
        <v>0</v>
      </c>
      <c r="H1717" s="1">
        <v>4</v>
      </c>
      <c r="I1717" s="1">
        <v>6</v>
      </c>
      <c r="J1717" s="1">
        <v>2</v>
      </c>
      <c r="K1717" s="1">
        <v>0</v>
      </c>
      <c r="L1717" s="1">
        <v>29383</v>
      </c>
      <c r="M1717" s="1">
        <v>0</v>
      </c>
    </row>
    <row r="1718" spans="2:13" x14ac:dyDescent="0.25">
      <c r="B1718" s="1">
        <v>0</v>
      </c>
      <c r="C1718" s="1">
        <v>0</v>
      </c>
      <c r="D1718" s="1">
        <v>1</v>
      </c>
      <c r="E1718" s="1">
        <v>0</v>
      </c>
      <c r="F1718" s="1">
        <v>24</v>
      </c>
      <c r="G1718" s="1">
        <v>1</v>
      </c>
      <c r="H1718" s="1">
        <v>2</v>
      </c>
      <c r="I1718" s="1">
        <v>0</v>
      </c>
      <c r="J1718" s="1">
        <v>0</v>
      </c>
      <c r="K1718" s="1">
        <v>0</v>
      </c>
      <c r="L1718" s="1">
        <v>8764</v>
      </c>
      <c r="M1718" s="1">
        <v>0</v>
      </c>
    </row>
    <row r="1719" spans="2:13" x14ac:dyDescent="0.25">
      <c r="B1719" s="1">
        <v>0</v>
      </c>
      <c r="C1719" s="1">
        <v>0</v>
      </c>
      <c r="D1719" s="1">
        <v>1</v>
      </c>
      <c r="E1719" s="1">
        <v>0</v>
      </c>
      <c r="F1719" s="1">
        <v>23</v>
      </c>
      <c r="G1719" s="1">
        <v>1</v>
      </c>
      <c r="H1719" s="1">
        <v>3</v>
      </c>
      <c r="I1719" s="1">
        <v>3</v>
      </c>
      <c r="J1719" s="1">
        <v>0</v>
      </c>
      <c r="K1719" s="1">
        <v>0</v>
      </c>
      <c r="L1719" s="1">
        <v>10473</v>
      </c>
      <c r="M1719" s="1">
        <v>0</v>
      </c>
    </row>
    <row r="1720" spans="2:13" x14ac:dyDescent="0.25">
      <c r="B1720" s="1">
        <v>0</v>
      </c>
      <c r="C1720" s="1">
        <v>0</v>
      </c>
      <c r="D1720" s="1">
        <v>1</v>
      </c>
      <c r="E1720" s="1">
        <v>0</v>
      </c>
      <c r="F1720" s="1">
        <v>76</v>
      </c>
      <c r="G1720" s="1">
        <v>1</v>
      </c>
      <c r="H1720" s="1">
        <v>26</v>
      </c>
      <c r="I1720" s="1">
        <v>4</v>
      </c>
      <c r="J1720" s="1">
        <v>5</v>
      </c>
      <c r="K1720" s="1">
        <v>0</v>
      </c>
      <c r="L1720" s="1">
        <v>68114</v>
      </c>
      <c r="M1720" s="1">
        <v>0</v>
      </c>
    </row>
    <row r="1721" spans="2:13" x14ac:dyDescent="0.25">
      <c r="B1721" s="1">
        <v>0</v>
      </c>
      <c r="C1721" s="1">
        <v>0</v>
      </c>
      <c r="D1721" s="1">
        <v>1</v>
      </c>
      <c r="E1721" s="1">
        <v>0</v>
      </c>
      <c r="F1721" s="1">
        <v>33</v>
      </c>
      <c r="G1721" s="1">
        <v>1</v>
      </c>
      <c r="H1721" s="1">
        <v>2</v>
      </c>
      <c r="I1721" s="1">
        <v>0</v>
      </c>
      <c r="J1721" s="1">
        <v>1</v>
      </c>
      <c r="K1721" s="1">
        <v>0</v>
      </c>
      <c r="L1721" s="1">
        <v>7576</v>
      </c>
      <c r="M1721" s="1">
        <v>0</v>
      </c>
    </row>
    <row r="1722" spans="2:13" x14ac:dyDescent="0.25">
      <c r="B1722" s="1">
        <v>0</v>
      </c>
      <c r="C1722" s="1">
        <v>0</v>
      </c>
      <c r="D1722" s="1">
        <v>1</v>
      </c>
      <c r="E1722" s="1">
        <v>0</v>
      </c>
      <c r="F1722" s="1">
        <v>73</v>
      </c>
      <c r="G1722" s="1">
        <v>0</v>
      </c>
      <c r="H1722" s="1">
        <v>1</v>
      </c>
      <c r="I1722" s="1">
        <v>0</v>
      </c>
      <c r="J1722" s="1">
        <v>0</v>
      </c>
      <c r="K1722" s="1">
        <v>0</v>
      </c>
      <c r="L1722" s="1">
        <v>5613</v>
      </c>
      <c r="M1722" s="1">
        <v>0</v>
      </c>
    </row>
    <row r="1723" spans="2:13" x14ac:dyDescent="0.25">
      <c r="B1723" s="1">
        <v>0</v>
      </c>
      <c r="C1723" s="1">
        <v>0</v>
      </c>
      <c r="D1723" s="1">
        <v>1</v>
      </c>
      <c r="E1723" s="1">
        <v>0</v>
      </c>
      <c r="F1723" s="1">
        <v>30</v>
      </c>
      <c r="G1723" s="1">
        <v>1</v>
      </c>
      <c r="H1723" s="1">
        <v>2</v>
      </c>
      <c r="I1723" s="1">
        <v>0</v>
      </c>
      <c r="J1723" s="1">
        <v>1</v>
      </c>
      <c r="K1723" s="1">
        <v>0</v>
      </c>
      <c r="L1723" s="1">
        <v>5916</v>
      </c>
      <c r="M1723" s="1">
        <v>0</v>
      </c>
    </row>
    <row r="1724" spans="2:13" x14ac:dyDescent="0.25">
      <c r="B1724" s="1">
        <v>1</v>
      </c>
      <c r="C1724" s="1">
        <v>1</v>
      </c>
      <c r="D1724" s="1">
        <v>0</v>
      </c>
      <c r="E1724" s="1">
        <v>1</v>
      </c>
      <c r="F1724" s="1">
        <v>94</v>
      </c>
      <c r="G1724" s="1">
        <v>1</v>
      </c>
      <c r="H1724" s="1">
        <v>2</v>
      </c>
      <c r="I1724" s="1">
        <v>6</v>
      </c>
      <c r="J1724" s="1">
        <v>2</v>
      </c>
      <c r="K1724" s="1">
        <v>1</v>
      </c>
      <c r="L1724" s="1">
        <v>10918</v>
      </c>
      <c r="M1724" s="1">
        <v>0</v>
      </c>
    </row>
    <row r="1725" spans="2:13" x14ac:dyDescent="0.25">
      <c r="B1725" s="1">
        <v>0</v>
      </c>
      <c r="C1725" s="1">
        <v>0</v>
      </c>
      <c r="D1725" s="1">
        <v>1</v>
      </c>
      <c r="E1725" s="1">
        <v>0</v>
      </c>
      <c r="F1725" s="1">
        <v>17</v>
      </c>
      <c r="G1725" s="1">
        <v>0</v>
      </c>
      <c r="H1725" s="1">
        <v>2</v>
      </c>
      <c r="I1725" s="1">
        <v>0</v>
      </c>
      <c r="J1725" s="1">
        <v>1</v>
      </c>
      <c r="K1725" s="1">
        <v>0</v>
      </c>
      <c r="L1725" s="1">
        <v>16055</v>
      </c>
      <c r="M1725" s="1">
        <v>1</v>
      </c>
    </row>
    <row r="1726" spans="2:13" x14ac:dyDescent="0.25">
      <c r="B1726" s="1">
        <v>0</v>
      </c>
      <c r="C1726" s="1">
        <v>0</v>
      </c>
      <c r="D1726" s="1">
        <v>1</v>
      </c>
      <c r="E1726" s="1">
        <v>0</v>
      </c>
      <c r="F1726" s="1">
        <v>72</v>
      </c>
      <c r="G1726" s="1">
        <v>0</v>
      </c>
      <c r="H1726" s="1">
        <v>3</v>
      </c>
      <c r="I1726" s="1">
        <v>6</v>
      </c>
      <c r="J1726" s="1">
        <v>0</v>
      </c>
      <c r="K1726" s="1">
        <v>0</v>
      </c>
      <c r="L1726" s="1">
        <v>14385</v>
      </c>
      <c r="M1726" s="1">
        <v>0</v>
      </c>
    </row>
    <row r="1727" spans="2:13" x14ac:dyDescent="0.25">
      <c r="B1727" s="1">
        <v>0</v>
      </c>
      <c r="C1727" s="1">
        <v>0</v>
      </c>
      <c r="D1727" s="1">
        <v>1</v>
      </c>
      <c r="E1727" s="1">
        <v>0</v>
      </c>
      <c r="F1727" s="1">
        <v>19</v>
      </c>
      <c r="G1727" s="1">
        <v>1</v>
      </c>
      <c r="H1727" s="1">
        <v>2</v>
      </c>
      <c r="I1727" s="1">
        <v>0</v>
      </c>
      <c r="J1727" s="1">
        <v>2</v>
      </c>
      <c r="K1727" s="1">
        <v>0</v>
      </c>
      <c r="L1727" s="1">
        <v>7744</v>
      </c>
      <c r="M1727" s="1">
        <v>0</v>
      </c>
    </row>
    <row r="1728" spans="2:13" x14ac:dyDescent="0.25">
      <c r="B1728" s="1">
        <v>1</v>
      </c>
      <c r="C1728" s="1">
        <v>1</v>
      </c>
      <c r="D1728" s="1">
        <v>0</v>
      </c>
      <c r="E1728" s="1">
        <v>1</v>
      </c>
      <c r="F1728" s="1">
        <v>84</v>
      </c>
      <c r="G1728" s="1">
        <v>1</v>
      </c>
      <c r="H1728" s="1">
        <v>11</v>
      </c>
      <c r="I1728" s="1">
        <v>6</v>
      </c>
      <c r="J1728" s="1">
        <v>2</v>
      </c>
      <c r="K1728" s="1">
        <v>1</v>
      </c>
      <c r="L1728" s="1">
        <v>45144</v>
      </c>
      <c r="M1728" s="1">
        <v>0</v>
      </c>
    </row>
    <row r="1729" spans="2:13" x14ac:dyDescent="0.25">
      <c r="B1729" s="17">
        <v>0</v>
      </c>
      <c r="C1729" s="17">
        <v>1</v>
      </c>
      <c r="D1729" s="17">
        <v>0.61538461538461542</v>
      </c>
      <c r="E1729" s="17">
        <v>0.38461538461538464</v>
      </c>
      <c r="F1729" s="17">
        <v>51</v>
      </c>
      <c r="G1729" s="17">
        <v>1</v>
      </c>
      <c r="H1729" s="17">
        <v>3</v>
      </c>
      <c r="I1729" s="17">
        <v>5</v>
      </c>
      <c r="J1729" s="17">
        <v>1</v>
      </c>
      <c r="K1729" s="17">
        <v>0</v>
      </c>
      <c r="L1729" s="17">
        <v>37323</v>
      </c>
      <c r="M1729" s="17">
        <v>1</v>
      </c>
    </row>
    <row r="1730" spans="2:13" x14ac:dyDescent="0.25">
      <c r="B1730" s="1">
        <v>0</v>
      </c>
      <c r="C1730" s="1">
        <v>0</v>
      </c>
      <c r="D1730" s="1">
        <v>1</v>
      </c>
      <c r="E1730" s="1">
        <v>0</v>
      </c>
      <c r="F1730" s="1">
        <v>27</v>
      </c>
      <c r="G1730" s="1">
        <v>0</v>
      </c>
      <c r="H1730" s="1">
        <v>15</v>
      </c>
      <c r="I1730" s="1">
        <v>1</v>
      </c>
      <c r="J1730" s="1">
        <v>0</v>
      </c>
      <c r="K1730" s="1">
        <v>0</v>
      </c>
      <c r="L1730" s="1">
        <v>25257</v>
      </c>
      <c r="M1730" s="1">
        <v>0</v>
      </c>
    </row>
    <row r="1731" spans="2:13" x14ac:dyDescent="0.25">
      <c r="B1731" s="1">
        <v>0</v>
      </c>
      <c r="C1731" s="1">
        <v>0</v>
      </c>
      <c r="D1731" s="1">
        <v>0.95652173913043481</v>
      </c>
      <c r="E1731" s="1">
        <v>4.3478260869565209E-2</v>
      </c>
      <c r="F1731" s="1">
        <v>92</v>
      </c>
      <c r="G1731" s="1">
        <v>1</v>
      </c>
      <c r="H1731" s="1">
        <v>2</v>
      </c>
      <c r="I1731" s="1">
        <v>4</v>
      </c>
      <c r="J1731" s="1">
        <v>0</v>
      </c>
      <c r="K1731" s="1">
        <v>0</v>
      </c>
      <c r="L1731" s="1">
        <v>7147</v>
      </c>
      <c r="M1731" s="1">
        <v>0</v>
      </c>
    </row>
    <row r="1732" spans="2:13" x14ac:dyDescent="0.25">
      <c r="B1732" s="1">
        <v>0</v>
      </c>
      <c r="C1732" s="1">
        <v>0</v>
      </c>
      <c r="D1732" s="1">
        <v>1</v>
      </c>
      <c r="E1732" s="1">
        <v>0</v>
      </c>
      <c r="F1732" s="1">
        <v>0</v>
      </c>
      <c r="G1732" s="1">
        <v>1</v>
      </c>
      <c r="H1732" s="1">
        <v>3</v>
      </c>
      <c r="I1732" s="1">
        <v>0</v>
      </c>
      <c r="J1732" s="1">
        <v>0</v>
      </c>
      <c r="K1732" s="1">
        <v>0</v>
      </c>
      <c r="L1732" s="1">
        <v>2957</v>
      </c>
      <c r="M1732" s="1">
        <v>0</v>
      </c>
    </row>
    <row r="1733" spans="2:13" x14ac:dyDescent="0.25">
      <c r="B1733" s="1">
        <v>0</v>
      </c>
      <c r="C1733" s="1">
        <v>0</v>
      </c>
      <c r="D1733" s="1">
        <v>0.55555555555555547</v>
      </c>
      <c r="E1733" s="1">
        <v>0.44444444444444448</v>
      </c>
      <c r="F1733" s="1">
        <v>87</v>
      </c>
      <c r="G1733" s="1">
        <v>1</v>
      </c>
      <c r="H1733" s="1">
        <v>7</v>
      </c>
      <c r="I1733" s="1">
        <v>5</v>
      </c>
      <c r="J1733" s="1">
        <v>0</v>
      </c>
      <c r="K1733" s="1">
        <v>0</v>
      </c>
      <c r="L1733" s="1">
        <v>12552</v>
      </c>
      <c r="M1733" s="1">
        <v>0</v>
      </c>
    </row>
    <row r="1734" spans="2:13" x14ac:dyDescent="0.25">
      <c r="B1734" s="1">
        <v>1</v>
      </c>
      <c r="C1734" s="1">
        <v>1</v>
      </c>
      <c r="D1734" s="1">
        <v>0.19999999999999996</v>
      </c>
      <c r="E1734" s="1">
        <v>0.79999999999999993</v>
      </c>
      <c r="F1734" s="1">
        <v>86</v>
      </c>
      <c r="G1734" s="1">
        <v>1</v>
      </c>
      <c r="H1734" s="1">
        <v>9</v>
      </c>
      <c r="I1734" s="1">
        <v>6</v>
      </c>
      <c r="J1734" s="1">
        <v>0</v>
      </c>
      <c r="K1734" s="1">
        <v>0</v>
      </c>
      <c r="L1734" s="1">
        <v>28126</v>
      </c>
      <c r="M1734" s="1">
        <v>0</v>
      </c>
    </row>
    <row r="1735" spans="2:13" x14ac:dyDescent="0.25">
      <c r="B1735" s="1">
        <v>0</v>
      </c>
      <c r="C1735" s="1">
        <v>0</v>
      </c>
      <c r="D1735" s="1">
        <v>1</v>
      </c>
      <c r="E1735" s="1">
        <v>0</v>
      </c>
      <c r="F1735" s="1">
        <v>60</v>
      </c>
      <c r="G1735" s="1">
        <v>0</v>
      </c>
      <c r="H1735" s="1">
        <v>2</v>
      </c>
      <c r="I1735" s="1">
        <v>1</v>
      </c>
      <c r="J1735" s="1">
        <v>1</v>
      </c>
      <c r="K1735" s="1">
        <v>0</v>
      </c>
      <c r="L1735" s="1">
        <v>15771</v>
      </c>
      <c r="M1735" s="1">
        <v>1</v>
      </c>
    </row>
    <row r="1736" spans="2:13" x14ac:dyDescent="0.25">
      <c r="B1736" s="1">
        <v>1</v>
      </c>
      <c r="C1736" s="1">
        <v>1</v>
      </c>
      <c r="D1736" s="1">
        <v>0</v>
      </c>
      <c r="E1736" s="1">
        <v>1</v>
      </c>
      <c r="F1736" s="1">
        <v>85</v>
      </c>
      <c r="G1736" s="1">
        <v>1</v>
      </c>
      <c r="H1736" s="1">
        <v>19</v>
      </c>
      <c r="I1736" s="1">
        <v>2</v>
      </c>
      <c r="J1736" s="1">
        <v>0</v>
      </c>
      <c r="K1736" s="1">
        <v>1</v>
      </c>
      <c r="L1736" s="1">
        <v>28055</v>
      </c>
      <c r="M1736" s="1">
        <v>0</v>
      </c>
    </row>
    <row r="1737" spans="2:13" x14ac:dyDescent="0.25">
      <c r="B1737" s="1">
        <v>0</v>
      </c>
      <c r="C1737" s="1">
        <v>0</v>
      </c>
      <c r="D1737" s="1">
        <v>1</v>
      </c>
      <c r="E1737" s="1">
        <v>0</v>
      </c>
      <c r="F1737" s="1">
        <v>41</v>
      </c>
      <c r="G1737" s="1">
        <v>0</v>
      </c>
      <c r="H1737" s="1">
        <v>6</v>
      </c>
      <c r="I1737" s="1">
        <v>3</v>
      </c>
      <c r="J1737" s="1">
        <v>3</v>
      </c>
      <c r="K1737" s="1">
        <v>0</v>
      </c>
      <c r="L1737" s="1">
        <v>59870</v>
      </c>
      <c r="M1737" s="1">
        <v>0</v>
      </c>
    </row>
    <row r="1738" spans="2:13" x14ac:dyDescent="0.25">
      <c r="B1738" s="1">
        <v>0</v>
      </c>
      <c r="C1738" s="1">
        <v>0</v>
      </c>
      <c r="D1738" s="1">
        <v>1</v>
      </c>
      <c r="E1738" s="1">
        <v>0</v>
      </c>
      <c r="F1738" s="1">
        <v>44</v>
      </c>
      <c r="G1738" s="1">
        <v>0</v>
      </c>
      <c r="H1738" s="1">
        <v>33</v>
      </c>
      <c r="I1738" s="1">
        <v>3</v>
      </c>
      <c r="J1738" s="1">
        <v>6</v>
      </c>
      <c r="K1738" s="1">
        <v>0</v>
      </c>
      <c r="L1738" s="1">
        <v>105179</v>
      </c>
      <c r="M1738" s="1">
        <v>1</v>
      </c>
    </row>
    <row r="1739" spans="2:13" x14ac:dyDescent="0.25">
      <c r="B1739" s="1">
        <v>0</v>
      </c>
      <c r="C1739" s="1">
        <v>0</v>
      </c>
      <c r="D1739" s="1">
        <v>1</v>
      </c>
      <c r="E1739" s="1">
        <v>0</v>
      </c>
      <c r="F1739" s="1">
        <v>65</v>
      </c>
      <c r="G1739" s="1">
        <v>0</v>
      </c>
      <c r="H1739" s="1">
        <v>6</v>
      </c>
      <c r="I1739" s="1">
        <v>4</v>
      </c>
      <c r="J1739" s="1">
        <v>0</v>
      </c>
      <c r="K1739" s="1">
        <v>0</v>
      </c>
      <c r="L1739" s="1">
        <v>20284</v>
      </c>
      <c r="M1739" s="1">
        <v>0</v>
      </c>
    </row>
    <row r="1740" spans="2:13" x14ac:dyDescent="0.25">
      <c r="B1740" s="1">
        <v>0</v>
      </c>
      <c r="C1740" s="1">
        <v>0</v>
      </c>
      <c r="D1740" s="1">
        <v>0.73913043478260865</v>
      </c>
      <c r="E1740" s="1">
        <v>0.2608695652173913</v>
      </c>
      <c r="F1740" s="1">
        <v>90</v>
      </c>
      <c r="G1740" s="1">
        <v>1</v>
      </c>
      <c r="H1740" s="1">
        <v>7</v>
      </c>
      <c r="I1740" s="1">
        <v>2</v>
      </c>
      <c r="J1740" s="1">
        <v>3</v>
      </c>
      <c r="K1740" s="1">
        <v>0</v>
      </c>
      <c r="L1740" s="1">
        <v>32156</v>
      </c>
      <c r="M1740" s="1">
        <v>1</v>
      </c>
    </row>
    <row r="1741" spans="2:13" x14ac:dyDescent="0.25">
      <c r="B1741" s="1">
        <v>0</v>
      </c>
      <c r="C1741" s="1">
        <v>0</v>
      </c>
      <c r="D1741" s="1">
        <v>1</v>
      </c>
      <c r="E1741" s="1">
        <v>0</v>
      </c>
      <c r="F1741" s="1">
        <v>22</v>
      </c>
      <c r="G1741" s="1">
        <v>1</v>
      </c>
      <c r="H1741" s="1">
        <v>2</v>
      </c>
      <c r="I1741" s="1">
        <v>0</v>
      </c>
      <c r="J1741" s="1">
        <v>2</v>
      </c>
      <c r="K1741" s="1">
        <v>0</v>
      </c>
      <c r="L1741" s="1">
        <v>2513</v>
      </c>
      <c r="M1741" s="1">
        <v>0</v>
      </c>
    </row>
    <row r="1742" spans="2:13" x14ac:dyDescent="0.25">
      <c r="B1742" s="1">
        <v>0</v>
      </c>
      <c r="C1742" s="1">
        <v>0</v>
      </c>
      <c r="D1742" s="1">
        <v>1</v>
      </c>
      <c r="E1742" s="1">
        <v>0</v>
      </c>
      <c r="F1742" s="1">
        <v>48</v>
      </c>
      <c r="G1742" s="1">
        <v>0</v>
      </c>
      <c r="H1742" s="1">
        <v>0</v>
      </c>
      <c r="I1742" s="1">
        <v>4</v>
      </c>
      <c r="J1742" s="1">
        <v>0</v>
      </c>
      <c r="K1742" s="1">
        <v>0</v>
      </c>
      <c r="L1742" s="1">
        <v>5737</v>
      </c>
      <c r="M1742" s="1">
        <v>0</v>
      </c>
    </row>
    <row r="1743" spans="2:13" x14ac:dyDescent="0.25">
      <c r="B1743" s="1">
        <v>1</v>
      </c>
      <c r="C1743" s="1">
        <v>1</v>
      </c>
      <c r="D1743" s="1">
        <v>0.19999999999999998</v>
      </c>
      <c r="E1743" s="1">
        <v>0.79999999999999993</v>
      </c>
      <c r="F1743" s="1">
        <v>37</v>
      </c>
      <c r="G1743" s="1">
        <v>0</v>
      </c>
      <c r="H1743" s="1">
        <v>6</v>
      </c>
      <c r="I1743" s="1">
        <v>2</v>
      </c>
      <c r="J1743" s="1">
        <v>1</v>
      </c>
      <c r="K1743" s="1">
        <v>0</v>
      </c>
      <c r="L1743" s="1">
        <v>25858</v>
      </c>
      <c r="M1743" s="1">
        <v>1</v>
      </c>
    </row>
    <row r="1744" spans="2:13" x14ac:dyDescent="0.25">
      <c r="B1744" s="1">
        <v>0</v>
      </c>
      <c r="C1744" s="1">
        <v>0</v>
      </c>
      <c r="D1744" s="1">
        <v>1</v>
      </c>
      <c r="E1744" s="1">
        <v>0</v>
      </c>
      <c r="F1744" s="1">
        <v>27</v>
      </c>
      <c r="G1744" s="1">
        <v>1</v>
      </c>
      <c r="H1744" s="1">
        <v>2</v>
      </c>
      <c r="I1744" s="1">
        <v>1</v>
      </c>
      <c r="J1744" s="1">
        <v>1</v>
      </c>
      <c r="K1744" s="1">
        <v>0</v>
      </c>
      <c r="L1744" s="1">
        <v>6812</v>
      </c>
      <c r="M1744" s="1">
        <v>0</v>
      </c>
    </row>
    <row r="1745" spans="2:13" x14ac:dyDescent="0.25">
      <c r="B1745" s="1">
        <v>0</v>
      </c>
      <c r="C1745" s="1">
        <v>0</v>
      </c>
      <c r="D1745" s="1">
        <v>0.96</v>
      </c>
      <c r="E1745" s="1">
        <v>0.04</v>
      </c>
      <c r="F1745" s="1">
        <v>54</v>
      </c>
      <c r="G1745" s="1">
        <v>1</v>
      </c>
      <c r="H1745" s="1">
        <v>5</v>
      </c>
      <c r="I1745" s="1">
        <v>6</v>
      </c>
      <c r="J1745" s="1">
        <v>0</v>
      </c>
      <c r="K1745" s="1">
        <v>0</v>
      </c>
      <c r="L1745" s="1">
        <v>13028</v>
      </c>
      <c r="M1745" s="1">
        <v>0</v>
      </c>
    </row>
    <row r="1746" spans="2:13" x14ac:dyDescent="0.25">
      <c r="B1746" s="1">
        <v>1</v>
      </c>
      <c r="C1746" s="1">
        <v>1</v>
      </c>
      <c r="D1746" s="1">
        <v>0</v>
      </c>
      <c r="E1746" s="1">
        <v>1</v>
      </c>
      <c r="F1746" s="1">
        <v>81</v>
      </c>
      <c r="G1746" s="1">
        <v>0</v>
      </c>
      <c r="H1746" s="1">
        <v>3</v>
      </c>
      <c r="I1746" s="1">
        <v>3</v>
      </c>
      <c r="J1746" s="1">
        <v>0</v>
      </c>
      <c r="K1746" s="1">
        <v>1</v>
      </c>
      <c r="L1746" s="1">
        <v>9759</v>
      </c>
      <c r="M1746" s="1">
        <v>0</v>
      </c>
    </row>
    <row r="1747" spans="2:13" x14ac:dyDescent="0.25">
      <c r="B1747" s="1">
        <v>0</v>
      </c>
      <c r="C1747" s="1">
        <v>0</v>
      </c>
      <c r="D1747" s="1">
        <v>1</v>
      </c>
      <c r="E1747" s="1">
        <v>0</v>
      </c>
      <c r="F1747" s="1">
        <v>57</v>
      </c>
      <c r="G1747" s="1">
        <v>0</v>
      </c>
      <c r="H1747" s="1">
        <v>2</v>
      </c>
      <c r="I1747" s="1">
        <v>5</v>
      </c>
      <c r="J1747" s="1">
        <v>0</v>
      </c>
      <c r="K1747" s="1">
        <v>0</v>
      </c>
      <c r="L1747" s="1">
        <v>9496</v>
      </c>
      <c r="M1747" s="1">
        <v>0</v>
      </c>
    </row>
    <row r="1748" spans="2:13" x14ac:dyDescent="0.25">
      <c r="B1748" s="17">
        <v>0</v>
      </c>
      <c r="C1748" s="17">
        <v>1</v>
      </c>
      <c r="D1748" s="17">
        <v>0.7</v>
      </c>
      <c r="E1748" s="17">
        <v>0.3</v>
      </c>
      <c r="F1748" s="17">
        <v>29</v>
      </c>
      <c r="G1748" s="17">
        <v>1</v>
      </c>
      <c r="H1748" s="17">
        <v>3</v>
      </c>
      <c r="I1748" s="17">
        <v>0</v>
      </c>
      <c r="J1748" s="17">
        <v>4</v>
      </c>
      <c r="K1748" s="17">
        <v>0</v>
      </c>
      <c r="L1748" s="17">
        <v>13567</v>
      </c>
      <c r="M1748" s="17">
        <v>1</v>
      </c>
    </row>
    <row r="1749" spans="2:13" x14ac:dyDescent="0.25">
      <c r="B1749" s="1">
        <v>1</v>
      </c>
      <c r="C1749" s="1">
        <v>1</v>
      </c>
      <c r="D1749" s="1">
        <v>0.47058823529411764</v>
      </c>
      <c r="E1749" s="1">
        <v>0.52941176470588236</v>
      </c>
      <c r="F1749" s="1">
        <v>81</v>
      </c>
      <c r="G1749" s="1">
        <v>0</v>
      </c>
      <c r="H1749" s="1">
        <v>5</v>
      </c>
      <c r="I1749" s="1">
        <v>2</v>
      </c>
      <c r="J1749" s="1">
        <v>0</v>
      </c>
      <c r="K1749" s="1">
        <v>0</v>
      </c>
      <c r="L1749" s="1">
        <v>15400</v>
      </c>
      <c r="M1749" s="1">
        <v>0</v>
      </c>
    </row>
    <row r="1750" spans="2:13" x14ac:dyDescent="0.25">
      <c r="B1750" s="1">
        <v>0</v>
      </c>
      <c r="C1750" s="1">
        <v>0</v>
      </c>
      <c r="D1750" s="1">
        <v>0.7857142857142857</v>
      </c>
      <c r="E1750" s="1">
        <v>0.21428571428571427</v>
      </c>
      <c r="F1750" s="1">
        <v>0</v>
      </c>
      <c r="G1750" s="1">
        <v>1</v>
      </c>
      <c r="H1750" s="1">
        <v>2</v>
      </c>
      <c r="I1750" s="1">
        <v>0</v>
      </c>
      <c r="J1750" s="1">
        <v>0</v>
      </c>
      <c r="K1750" s="1">
        <v>0</v>
      </c>
      <c r="L1750" s="1">
        <v>1045</v>
      </c>
      <c r="M1750" s="1">
        <v>0</v>
      </c>
    </row>
    <row r="1751" spans="2:13" x14ac:dyDescent="0.25">
      <c r="B1751" s="1">
        <v>0</v>
      </c>
      <c r="C1751" s="1">
        <v>0</v>
      </c>
      <c r="D1751" s="1">
        <v>1</v>
      </c>
      <c r="E1751" s="1">
        <v>0</v>
      </c>
      <c r="F1751" s="1">
        <v>63</v>
      </c>
      <c r="G1751" s="1">
        <v>0</v>
      </c>
      <c r="H1751" s="1">
        <v>4</v>
      </c>
      <c r="I1751" s="1">
        <v>4</v>
      </c>
      <c r="J1751" s="1">
        <v>0</v>
      </c>
      <c r="K1751" s="1">
        <v>0</v>
      </c>
      <c r="L1751" s="1">
        <v>26301</v>
      </c>
      <c r="M1751" s="1">
        <v>0</v>
      </c>
    </row>
    <row r="1752" spans="2:13" x14ac:dyDescent="0.25">
      <c r="B1752" s="1">
        <v>0</v>
      </c>
      <c r="C1752" s="1">
        <v>0</v>
      </c>
      <c r="D1752" s="1">
        <v>1</v>
      </c>
      <c r="E1752" s="1">
        <v>0</v>
      </c>
      <c r="F1752" s="1">
        <v>0</v>
      </c>
      <c r="G1752" s="1">
        <v>0</v>
      </c>
      <c r="H1752" s="1">
        <v>2</v>
      </c>
      <c r="I1752" s="1">
        <v>0</v>
      </c>
      <c r="J1752" s="1">
        <v>0</v>
      </c>
      <c r="K1752" s="1">
        <v>0</v>
      </c>
      <c r="L1752" s="1">
        <v>1641</v>
      </c>
      <c r="M1752" s="1">
        <v>0</v>
      </c>
    </row>
    <row r="1753" spans="2:13" x14ac:dyDescent="0.25">
      <c r="B1753" s="1">
        <v>0</v>
      </c>
      <c r="C1753" s="1">
        <v>0</v>
      </c>
      <c r="D1753" s="1">
        <v>1</v>
      </c>
      <c r="E1753" s="1">
        <v>0</v>
      </c>
      <c r="F1753" s="1">
        <v>0</v>
      </c>
      <c r="G1753" s="1">
        <v>0</v>
      </c>
      <c r="H1753" s="1">
        <v>2</v>
      </c>
      <c r="I1753" s="1">
        <v>0</v>
      </c>
      <c r="J1753" s="1">
        <v>0</v>
      </c>
      <c r="K1753" s="1">
        <v>0</v>
      </c>
      <c r="L1753" s="1">
        <v>1814</v>
      </c>
      <c r="M1753" s="1">
        <v>0</v>
      </c>
    </row>
    <row r="1754" spans="2:13" x14ac:dyDescent="0.25">
      <c r="B1754" s="1">
        <v>0</v>
      </c>
      <c r="C1754" s="1">
        <v>0</v>
      </c>
      <c r="D1754" s="1">
        <v>1</v>
      </c>
      <c r="E1754" s="1">
        <v>0</v>
      </c>
      <c r="F1754" s="1">
        <v>21</v>
      </c>
      <c r="G1754" s="1">
        <v>1</v>
      </c>
      <c r="H1754" s="1">
        <v>3</v>
      </c>
      <c r="I1754" s="1">
        <v>0</v>
      </c>
      <c r="J1754" s="1">
        <v>1</v>
      </c>
      <c r="K1754" s="1">
        <v>0</v>
      </c>
      <c r="L1754" s="1">
        <v>15055</v>
      </c>
      <c r="M1754" s="1">
        <v>1</v>
      </c>
    </row>
    <row r="1755" spans="2:13" x14ac:dyDescent="0.25">
      <c r="B1755" s="1">
        <v>1</v>
      </c>
      <c r="C1755" s="1">
        <v>1</v>
      </c>
      <c r="D1755" s="1">
        <v>0</v>
      </c>
      <c r="E1755" s="1">
        <v>1</v>
      </c>
      <c r="F1755" s="1">
        <v>74</v>
      </c>
      <c r="G1755" s="1">
        <v>0</v>
      </c>
      <c r="H1755" s="1">
        <v>6</v>
      </c>
      <c r="I1755" s="1">
        <v>4</v>
      </c>
      <c r="J1755" s="1">
        <v>1</v>
      </c>
      <c r="K1755" s="1">
        <v>1</v>
      </c>
      <c r="L1755" s="1">
        <v>12351</v>
      </c>
      <c r="M1755" s="1">
        <v>0</v>
      </c>
    </row>
    <row r="1756" spans="2:13" x14ac:dyDescent="0.25">
      <c r="B1756" s="1">
        <v>1</v>
      </c>
      <c r="C1756" s="1">
        <v>1</v>
      </c>
      <c r="D1756" s="1">
        <v>0</v>
      </c>
      <c r="E1756" s="1">
        <v>1</v>
      </c>
      <c r="F1756" s="1">
        <v>37</v>
      </c>
      <c r="G1756" s="1">
        <v>0</v>
      </c>
      <c r="H1756" s="1">
        <v>4</v>
      </c>
      <c r="I1756" s="1">
        <v>5</v>
      </c>
      <c r="J1756" s="1">
        <v>1</v>
      </c>
      <c r="K1756" s="1">
        <v>1</v>
      </c>
      <c r="L1756" s="1">
        <v>21077</v>
      </c>
      <c r="M1756" s="1">
        <v>0</v>
      </c>
    </row>
    <row r="1757" spans="2:13" x14ac:dyDescent="0.25">
      <c r="B1757" s="1">
        <v>0</v>
      </c>
      <c r="C1757" s="1">
        <v>0</v>
      </c>
      <c r="D1757" s="1">
        <v>1</v>
      </c>
      <c r="E1757" s="1">
        <v>0</v>
      </c>
      <c r="F1757" s="1">
        <v>32</v>
      </c>
      <c r="G1757" s="1">
        <v>0</v>
      </c>
      <c r="H1757" s="1">
        <v>2</v>
      </c>
      <c r="I1757" s="1">
        <v>3</v>
      </c>
      <c r="J1757" s="1">
        <v>1</v>
      </c>
      <c r="K1757" s="1">
        <v>0</v>
      </c>
      <c r="L1757" s="1">
        <v>14984</v>
      </c>
      <c r="M1757" s="1">
        <v>0</v>
      </c>
    </row>
    <row r="1758" spans="2:13" x14ac:dyDescent="0.25">
      <c r="B1758" s="1">
        <v>0</v>
      </c>
      <c r="C1758" s="1">
        <v>0</v>
      </c>
      <c r="D1758" s="1">
        <v>1</v>
      </c>
      <c r="E1758" s="1">
        <v>0</v>
      </c>
      <c r="F1758" s="1">
        <v>0</v>
      </c>
      <c r="G1758" s="1">
        <v>0</v>
      </c>
      <c r="H1758" s="1">
        <v>4</v>
      </c>
      <c r="I1758" s="1">
        <v>0</v>
      </c>
      <c r="J1758" s="1">
        <v>1</v>
      </c>
      <c r="K1758" s="1">
        <v>0</v>
      </c>
      <c r="L1758" s="1">
        <v>2237</v>
      </c>
      <c r="M1758" s="1">
        <v>1</v>
      </c>
    </row>
    <row r="1759" spans="2:13" x14ac:dyDescent="0.25">
      <c r="B1759" s="1">
        <v>0</v>
      </c>
      <c r="C1759" s="1">
        <v>0</v>
      </c>
      <c r="D1759" s="1">
        <v>0.61538461538461542</v>
      </c>
      <c r="E1759" s="1">
        <v>0.38461538461538464</v>
      </c>
      <c r="F1759" s="1">
        <v>52</v>
      </c>
      <c r="G1759" s="1">
        <v>0</v>
      </c>
      <c r="H1759" s="1">
        <v>3</v>
      </c>
      <c r="I1759" s="1">
        <v>1</v>
      </c>
      <c r="J1759" s="1">
        <v>2</v>
      </c>
      <c r="K1759" s="1">
        <v>0</v>
      </c>
      <c r="L1759" s="1">
        <v>14655</v>
      </c>
      <c r="M1759" s="1">
        <v>1</v>
      </c>
    </row>
    <row r="1760" spans="2:13" x14ac:dyDescent="0.25">
      <c r="B1760" s="1">
        <v>0</v>
      </c>
      <c r="C1760" s="1">
        <v>0</v>
      </c>
      <c r="D1760" s="1">
        <v>1</v>
      </c>
      <c r="E1760" s="1">
        <v>0</v>
      </c>
      <c r="F1760" s="1">
        <v>24</v>
      </c>
      <c r="G1760" s="1">
        <v>1</v>
      </c>
      <c r="H1760" s="1">
        <v>4</v>
      </c>
      <c r="I1760" s="1">
        <v>0</v>
      </c>
      <c r="J1760" s="1">
        <v>1</v>
      </c>
      <c r="K1760" s="1">
        <v>0</v>
      </c>
      <c r="L1760" s="1">
        <v>17915</v>
      </c>
      <c r="M1760" s="1">
        <v>1</v>
      </c>
    </row>
    <row r="1761" spans="2:13" x14ac:dyDescent="0.25">
      <c r="B1761" s="1">
        <v>0</v>
      </c>
      <c r="C1761" s="1">
        <v>0</v>
      </c>
      <c r="D1761" s="1">
        <v>0.55555555555555547</v>
      </c>
      <c r="E1761" s="1">
        <v>0.44444444444444448</v>
      </c>
      <c r="F1761" s="1">
        <v>87</v>
      </c>
      <c r="G1761" s="1">
        <v>0</v>
      </c>
      <c r="H1761" s="1">
        <v>3</v>
      </c>
      <c r="I1761" s="1">
        <v>8</v>
      </c>
      <c r="J1761" s="1">
        <v>0</v>
      </c>
      <c r="K1761" s="1">
        <v>0</v>
      </c>
      <c r="L1761" s="1">
        <v>12704</v>
      </c>
      <c r="M1761" s="1">
        <v>0</v>
      </c>
    </row>
    <row r="1762" spans="2:13" x14ac:dyDescent="0.25">
      <c r="B1762" s="1">
        <v>1</v>
      </c>
      <c r="C1762" s="1">
        <v>1</v>
      </c>
      <c r="D1762" s="1">
        <v>0.19999999999999996</v>
      </c>
      <c r="E1762" s="1">
        <v>0.79999999999999993</v>
      </c>
      <c r="F1762" s="1">
        <v>86</v>
      </c>
      <c r="G1762" s="1">
        <v>0</v>
      </c>
      <c r="H1762" s="1">
        <v>38</v>
      </c>
      <c r="I1762" s="1">
        <v>4</v>
      </c>
      <c r="J1762" s="1">
        <v>0</v>
      </c>
      <c r="K1762" s="1">
        <v>0</v>
      </c>
      <c r="L1762" s="1">
        <v>66542</v>
      </c>
      <c r="M1762" s="1">
        <v>0</v>
      </c>
    </row>
    <row r="1763" spans="2:13" x14ac:dyDescent="0.25">
      <c r="B1763" s="1">
        <v>0</v>
      </c>
      <c r="C1763" s="1">
        <v>0</v>
      </c>
      <c r="D1763" s="1">
        <v>1</v>
      </c>
      <c r="E1763" s="1">
        <v>0</v>
      </c>
      <c r="F1763" s="1">
        <v>55</v>
      </c>
      <c r="G1763" s="1">
        <v>0</v>
      </c>
      <c r="H1763" s="1">
        <v>9</v>
      </c>
      <c r="I1763" s="1">
        <v>5</v>
      </c>
      <c r="J1763" s="1">
        <v>1</v>
      </c>
      <c r="K1763" s="1">
        <v>0</v>
      </c>
      <c r="L1763" s="1">
        <v>40240</v>
      </c>
      <c r="M1763" s="1">
        <v>1</v>
      </c>
    </row>
    <row r="1764" spans="2:13" x14ac:dyDescent="0.25">
      <c r="B1764" s="1">
        <v>0</v>
      </c>
      <c r="C1764" s="1">
        <v>0</v>
      </c>
      <c r="D1764" s="1">
        <v>1</v>
      </c>
      <c r="E1764" s="1">
        <v>0</v>
      </c>
      <c r="F1764" s="1">
        <v>57</v>
      </c>
      <c r="G1764" s="1">
        <v>1</v>
      </c>
      <c r="H1764" s="1">
        <v>3</v>
      </c>
      <c r="I1764" s="1">
        <v>1</v>
      </c>
      <c r="J1764" s="1">
        <v>1</v>
      </c>
      <c r="K1764" s="1">
        <v>0</v>
      </c>
      <c r="L1764" s="1">
        <v>37813</v>
      </c>
      <c r="M1764" s="1">
        <v>1</v>
      </c>
    </row>
    <row r="1765" spans="2:13" x14ac:dyDescent="0.25">
      <c r="B1765" s="1">
        <v>0</v>
      </c>
      <c r="C1765" s="1">
        <v>0</v>
      </c>
      <c r="D1765" s="1">
        <v>1</v>
      </c>
      <c r="E1765" s="1">
        <v>0</v>
      </c>
      <c r="F1765" s="1">
        <v>0</v>
      </c>
      <c r="G1765" s="1">
        <v>1</v>
      </c>
      <c r="H1765" s="1">
        <v>2</v>
      </c>
      <c r="I1765" s="1">
        <v>0</v>
      </c>
      <c r="J1765" s="1">
        <v>0</v>
      </c>
      <c r="K1765" s="1">
        <v>0</v>
      </c>
      <c r="L1765" s="1">
        <v>1990</v>
      </c>
      <c r="M1765" s="1">
        <v>0</v>
      </c>
    </row>
    <row r="1766" spans="2:13" x14ac:dyDescent="0.25">
      <c r="B1766" s="1">
        <v>1</v>
      </c>
      <c r="C1766" s="1">
        <v>1</v>
      </c>
      <c r="D1766" s="1">
        <v>0.19999999999999998</v>
      </c>
      <c r="E1766" s="1">
        <v>0.79999999999999993</v>
      </c>
      <c r="F1766" s="1">
        <v>36</v>
      </c>
      <c r="G1766" s="1">
        <v>0</v>
      </c>
      <c r="H1766" s="1">
        <v>7</v>
      </c>
      <c r="I1766" s="1">
        <v>3</v>
      </c>
      <c r="J1766" s="1">
        <v>0</v>
      </c>
      <c r="K1766" s="1">
        <v>0</v>
      </c>
      <c r="L1766" s="1">
        <v>9379</v>
      </c>
      <c r="M1766" s="1">
        <v>0</v>
      </c>
    </row>
    <row r="1767" spans="2:13" x14ac:dyDescent="0.25">
      <c r="B1767" s="1">
        <v>0</v>
      </c>
      <c r="C1767" s="1">
        <v>0</v>
      </c>
      <c r="D1767" s="1">
        <v>0.5625</v>
      </c>
      <c r="E1767" s="1">
        <v>0.43750000000000006</v>
      </c>
      <c r="F1767" s="1">
        <v>78</v>
      </c>
      <c r="G1767" s="1">
        <v>1</v>
      </c>
      <c r="H1767" s="1">
        <v>3</v>
      </c>
      <c r="I1767" s="1">
        <v>3</v>
      </c>
      <c r="J1767" s="1">
        <v>0</v>
      </c>
      <c r="K1767" s="1">
        <v>0</v>
      </c>
      <c r="L1767" s="1">
        <v>9928</v>
      </c>
      <c r="M1767" s="1">
        <v>0</v>
      </c>
    </row>
    <row r="1768" spans="2:13" x14ac:dyDescent="0.25">
      <c r="B1768" s="1">
        <v>0</v>
      </c>
      <c r="C1768" s="1">
        <v>0</v>
      </c>
      <c r="D1768" s="1">
        <v>1</v>
      </c>
      <c r="E1768" s="1">
        <v>0</v>
      </c>
      <c r="F1768" s="1">
        <v>0</v>
      </c>
      <c r="G1768" s="1">
        <v>1</v>
      </c>
      <c r="H1768" s="1">
        <v>3</v>
      </c>
      <c r="I1768" s="1">
        <v>0</v>
      </c>
      <c r="J1768" s="1">
        <v>0</v>
      </c>
      <c r="K1768" s="1">
        <v>0</v>
      </c>
      <c r="L1768" s="1">
        <v>5848</v>
      </c>
      <c r="M1768" s="1">
        <v>0</v>
      </c>
    </row>
    <row r="1769" spans="2:13" x14ac:dyDescent="0.25">
      <c r="B1769" s="1">
        <v>1</v>
      </c>
      <c r="C1769" s="1">
        <v>1</v>
      </c>
      <c r="D1769" s="1">
        <v>0.19999999999999998</v>
      </c>
      <c r="E1769" s="1">
        <v>0.79999999999999993</v>
      </c>
      <c r="F1769" s="1">
        <v>36</v>
      </c>
      <c r="G1769" s="1">
        <v>1</v>
      </c>
      <c r="H1769" s="1">
        <v>3</v>
      </c>
      <c r="I1769" s="1">
        <v>2</v>
      </c>
      <c r="J1769" s="1">
        <v>0</v>
      </c>
      <c r="K1769" s="1">
        <v>0</v>
      </c>
      <c r="L1769" s="1">
        <v>3813</v>
      </c>
      <c r="M1769" s="1">
        <v>0</v>
      </c>
    </row>
    <row r="1770" spans="2:13" x14ac:dyDescent="0.25">
      <c r="B1770" s="1">
        <v>0</v>
      </c>
      <c r="C1770" s="1">
        <v>0</v>
      </c>
      <c r="D1770" s="1">
        <v>1</v>
      </c>
      <c r="E1770" s="1">
        <v>0</v>
      </c>
      <c r="F1770" s="1">
        <v>0</v>
      </c>
      <c r="G1770" s="1">
        <v>0</v>
      </c>
      <c r="H1770" s="1">
        <v>2</v>
      </c>
      <c r="I1770" s="1">
        <v>0</v>
      </c>
      <c r="J1770" s="1">
        <v>0</v>
      </c>
      <c r="K1770" s="1">
        <v>0</v>
      </c>
      <c r="L1770" s="1">
        <v>2257</v>
      </c>
      <c r="M1770" s="1">
        <v>0</v>
      </c>
    </row>
    <row r="1771" spans="2:13" x14ac:dyDescent="0.25">
      <c r="B1771" s="1">
        <v>0</v>
      </c>
      <c r="C1771" s="1">
        <v>0</v>
      </c>
      <c r="D1771" s="1">
        <v>1</v>
      </c>
      <c r="E1771" s="1">
        <v>0</v>
      </c>
      <c r="F1771" s="1">
        <v>23</v>
      </c>
      <c r="G1771" s="1">
        <v>1</v>
      </c>
      <c r="H1771" s="1">
        <v>4</v>
      </c>
      <c r="I1771" s="1">
        <v>2</v>
      </c>
      <c r="J1771" s="1">
        <v>0</v>
      </c>
      <c r="K1771" s="1">
        <v>0</v>
      </c>
      <c r="L1771" s="1">
        <v>5863</v>
      </c>
      <c r="M1771" s="1">
        <v>0</v>
      </c>
    </row>
    <row r="1772" spans="2:13" x14ac:dyDescent="0.25">
      <c r="B1772" s="1">
        <v>0</v>
      </c>
      <c r="C1772" s="1">
        <v>0</v>
      </c>
      <c r="D1772" s="1">
        <v>1</v>
      </c>
      <c r="E1772" s="1">
        <v>0</v>
      </c>
      <c r="F1772" s="1">
        <v>12</v>
      </c>
      <c r="G1772" s="1">
        <v>1</v>
      </c>
      <c r="H1772" s="1">
        <v>5</v>
      </c>
      <c r="I1772" s="1">
        <v>1</v>
      </c>
      <c r="J1772" s="1">
        <v>0</v>
      </c>
      <c r="K1772" s="1">
        <v>0</v>
      </c>
      <c r="L1772" s="1">
        <v>15887</v>
      </c>
      <c r="M1772" s="1">
        <v>0</v>
      </c>
    </row>
    <row r="1773" spans="2:13" x14ac:dyDescent="0.25">
      <c r="B1773" s="1">
        <v>1</v>
      </c>
      <c r="C1773" s="1">
        <v>1</v>
      </c>
      <c r="D1773" s="1">
        <v>0</v>
      </c>
      <c r="E1773" s="1">
        <v>1</v>
      </c>
      <c r="F1773" s="1">
        <v>50</v>
      </c>
      <c r="G1773" s="1">
        <v>1</v>
      </c>
      <c r="H1773" s="1">
        <v>6</v>
      </c>
      <c r="I1773" s="1">
        <v>5</v>
      </c>
      <c r="J1773" s="1">
        <v>0</v>
      </c>
      <c r="K1773" s="1">
        <v>1</v>
      </c>
      <c r="L1773" s="1">
        <v>10727</v>
      </c>
      <c r="M1773" s="1">
        <v>0</v>
      </c>
    </row>
    <row r="1774" spans="2:13" x14ac:dyDescent="0.25">
      <c r="B1774" s="1">
        <v>0</v>
      </c>
      <c r="C1774" s="1">
        <v>0</v>
      </c>
      <c r="D1774" s="1">
        <v>1</v>
      </c>
      <c r="E1774" s="1">
        <v>0</v>
      </c>
      <c r="F1774" s="1">
        <v>66</v>
      </c>
      <c r="G1774" s="1">
        <v>1</v>
      </c>
      <c r="H1774" s="1">
        <v>3</v>
      </c>
      <c r="I1774" s="1">
        <v>1</v>
      </c>
      <c r="J1774" s="1">
        <v>3</v>
      </c>
      <c r="K1774" s="1">
        <v>0</v>
      </c>
      <c r="L1774" s="1">
        <v>28893</v>
      </c>
      <c r="M1774" s="1">
        <v>0</v>
      </c>
    </row>
    <row r="1775" spans="2:13" x14ac:dyDescent="0.25">
      <c r="B1775" s="17">
        <v>1</v>
      </c>
      <c r="C1775" s="17">
        <v>0</v>
      </c>
      <c r="D1775" s="17">
        <v>0.47058823529411764</v>
      </c>
      <c r="E1775" s="17">
        <v>0.52941176470588236</v>
      </c>
      <c r="F1775" s="17">
        <v>82</v>
      </c>
      <c r="G1775" s="17">
        <v>1</v>
      </c>
      <c r="H1775" s="17">
        <v>6</v>
      </c>
      <c r="I1775" s="17">
        <v>1</v>
      </c>
      <c r="J1775" s="17">
        <v>4</v>
      </c>
      <c r="K1775" s="17">
        <v>0</v>
      </c>
      <c r="L1775" s="17">
        <v>27730</v>
      </c>
      <c r="M1775" s="17">
        <v>1</v>
      </c>
    </row>
    <row r="1776" spans="2:13" x14ac:dyDescent="0.25">
      <c r="B1776" s="1">
        <v>0</v>
      </c>
      <c r="C1776" s="1">
        <v>0</v>
      </c>
      <c r="D1776" s="1">
        <v>1</v>
      </c>
      <c r="E1776" s="1">
        <v>0</v>
      </c>
      <c r="F1776" s="1">
        <v>60</v>
      </c>
      <c r="G1776" s="1">
        <v>1</v>
      </c>
      <c r="H1776" s="1">
        <v>6</v>
      </c>
      <c r="I1776" s="1">
        <v>2</v>
      </c>
      <c r="J1776" s="1">
        <v>0</v>
      </c>
      <c r="K1776" s="1">
        <v>0</v>
      </c>
      <c r="L1776" s="1">
        <v>17746</v>
      </c>
      <c r="M1776" s="1">
        <v>0</v>
      </c>
    </row>
    <row r="1777" spans="2:13" x14ac:dyDescent="0.25">
      <c r="B1777" s="1">
        <v>0</v>
      </c>
      <c r="C1777" s="1">
        <v>0</v>
      </c>
      <c r="D1777" s="1">
        <v>1</v>
      </c>
      <c r="E1777" s="1">
        <v>0</v>
      </c>
      <c r="F1777" s="1">
        <v>77</v>
      </c>
      <c r="G1777" s="1">
        <v>0</v>
      </c>
      <c r="H1777" s="1">
        <v>4</v>
      </c>
      <c r="I1777" s="1">
        <v>2</v>
      </c>
      <c r="J1777" s="1">
        <v>0</v>
      </c>
      <c r="K1777" s="1">
        <v>0</v>
      </c>
      <c r="L1777" s="1">
        <v>9823</v>
      </c>
      <c r="M1777" s="1">
        <v>0</v>
      </c>
    </row>
    <row r="1778" spans="2:13" x14ac:dyDescent="0.25">
      <c r="B1778" s="1">
        <v>0</v>
      </c>
      <c r="C1778" s="1">
        <v>0</v>
      </c>
      <c r="D1778" s="1">
        <v>1</v>
      </c>
      <c r="E1778" s="1">
        <v>0</v>
      </c>
      <c r="F1778" s="1">
        <v>0</v>
      </c>
      <c r="G1778" s="1">
        <v>0</v>
      </c>
      <c r="H1778" s="1">
        <v>0</v>
      </c>
      <c r="I1778" s="1">
        <v>0</v>
      </c>
      <c r="J1778" s="1">
        <v>2</v>
      </c>
      <c r="K1778" s="1">
        <v>0</v>
      </c>
      <c r="L1778" s="1">
        <v>3939</v>
      </c>
      <c r="M1778" s="1">
        <v>0</v>
      </c>
    </row>
    <row r="1779" spans="2:13" x14ac:dyDescent="0.25">
      <c r="B1779" s="1">
        <v>0</v>
      </c>
      <c r="C1779" s="1">
        <v>0</v>
      </c>
      <c r="D1779" s="1">
        <v>1</v>
      </c>
      <c r="E1779" s="1">
        <v>0</v>
      </c>
      <c r="F1779" s="1">
        <v>21</v>
      </c>
      <c r="G1779" s="1">
        <v>1</v>
      </c>
      <c r="H1779" s="1">
        <v>3</v>
      </c>
      <c r="I1779" s="1">
        <v>0</v>
      </c>
      <c r="J1779" s="1">
        <v>1</v>
      </c>
      <c r="K1779" s="1">
        <v>0</v>
      </c>
      <c r="L1779" s="1">
        <v>8957</v>
      </c>
      <c r="M1779" s="1">
        <v>0</v>
      </c>
    </row>
    <row r="1780" spans="2:13" x14ac:dyDescent="0.25">
      <c r="B1780" s="1">
        <v>0</v>
      </c>
      <c r="C1780" s="1">
        <v>0</v>
      </c>
      <c r="D1780" s="1">
        <v>1</v>
      </c>
      <c r="E1780" s="1">
        <v>0</v>
      </c>
      <c r="F1780" s="1">
        <v>49</v>
      </c>
      <c r="G1780" s="1">
        <v>1</v>
      </c>
      <c r="H1780" s="1">
        <v>3</v>
      </c>
      <c r="I1780" s="1">
        <v>3</v>
      </c>
      <c r="J1780" s="1">
        <v>0</v>
      </c>
      <c r="K1780" s="1">
        <v>0</v>
      </c>
      <c r="L1780" s="1">
        <v>11810</v>
      </c>
      <c r="M1780" s="1">
        <v>0</v>
      </c>
    </row>
    <row r="1781" spans="2:13" x14ac:dyDescent="0.25">
      <c r="B1781" s="1">
        <v>0</v>
      </c>
      <c r="C1781" s="1">
        <v>0</v>
      </c>
      <c r="D1781" s="1">
        <v>1</v>
      </c>
      <c r="E1781" s="1">
        <v>0</v>
      </c>
      <c r="F1781" s="1">
        <v>65</v>
      </c>
      <c r="G1781" s="1">
        <v>1</v>
      </c>
      <c r="H1781" s="1">
        <v>7</v>
      </c>
      <c r="I1781" s="1">
        <v>3</v>
      </c>
      <c r="J1781" s="1">
        <v>0</v>
      </c>
      <c r="K1781" s="1">
        <v>0</v>
      </c>
      <c r="L1781" s="1">
        <v>11922</v>
      </c>
      <c r="M1781" s="1">
        <v>0</v>
      </c>
    </row>
    <row r="1782" spans="2:13" x14ac:dyDescent="0.25">
      <c r="B1782" s="1">
        <v>0</v>
      </c>
      <c r="C1782" s="1">
        <v>0</v>
      </c>
      <c r="D1782" s="1">
        <v>1</v>
      </c>
      <c r="E1782" s="1">
        <v>0</v>
      </c>
      <c r="F1782" s="1">
        <v>30</v>
      </c>
      <c r="G1782" s="1">
        <v>0</v>
      </c>
      <c r="H1782" s="1">
        <v>10</v>
      </c>
      <c r="I1782" s="1">
        <v>4</v>
      </c>
      <c r="J1782" s="1">
        <v>0</v>
      </c>
      <c r="K1782" s="1">
        <v>0</v>
      </c>
      <c r="L1782" s="1">
        <v>17664</v>
      </c>
      <c r="M1782" s="1">
        <v>0</v>
      </c>
    </row>
    <row r="1783" spans="2:13" x14ac:dyDescent="0.25">
      <c r="B1783" s="1">
        <v>0</v>
      </c>
      <c r="C1783" s="1">
        <v>0</v>
      </c>
      <c r="D1783" s="1">
        <v>1</v>
      </c>
      <c r="E1783" s="1">
        <v>0</v>
      </c>
      <c r="F1783" s="1">
        <v>85</v>
      </c>
      <c r="G1783" s="1">
        <v>1</v>
      </c>
      <c r="H1783" s="1">
        <v>3</v>
      </c>
      <c r="I1783" s="1">
        <v>5</v>
      </c>
      <c r="J1783" s="1">
        <v>0</v>
      </c>
      <c r="K1783" s="1">
        <v>0</v>
      </c>
      <c r="L1783" s="1">
        <v>14298</v>
      </c>
      <c r="M1783" s="1">
        <v>0</v>
      </c>
    </row>
    <row r="1784" spans="2:13" x14ac:dyDescent="0.25">
      <c r="B1784" s="1">
        <v>0</v>
      </c>
      <c r="C1784" s="1">
        <v>0</v>
      </c>
      <c r="D1784" s="1">
        <v>1</v>
      </c>
      <c r="E1784" s="1">
        <v>0</v>
      </c>
      <c r="F1784" s="1">
        <v>20</v>
      </c>
      <c r="G1784" s="1">
        <v>1</v>
      </c>
      <c r="H1784" s="1">
        <v>2</v>
      </c>
      <c r="I1784" s="1">
        <v>2</v>
      </c>
      <c r="J1784" s="1">
        <v>1</v>
      </c>
      <c r="K1784" s="1">
        <v>0</v>
      </c>
      <c r="L1784" s="1">
        <v>13162</v>
      </c>
      <c r="M1784" s="1">
        <v>1</v>
      </c>
    </row>
    <row r="1785" spans="2:13" x14ac:dyDescent="0.25">
      <c r="B1785" s="1">
        <v>0</v>
      </c>
      <c r="C1785" s="1">
        <v>0</v>
      </c>
      <c r="D1785" s="1">
        <v>1</v>
      </c>
      <c r="E1785" s="1">
        <v>0</v>
      </c>
      <c r="F1785" s="1">
        <v>19</v>
      </c>
      <c r="G1785" s="1">
        <v>0</v>
      </c>
      <c r="H1785" s="1">
        <v>7</v>
      </c>
      <c r="I1785" s="1">
        <v>3</v>
      </c>
      <c r="J1785" s="1">
        <v>0</v>
      </c>
      <c r="K1785" s="1">
        <v>0</v>
      </c>
      <c r="L1785" s="1">
        <v>12674</v>
      </c>
      <c r="M1785" s="1">
        <v>0</v>
      </c>
    </row>
    <row r="1786" spans="2:13" x14ac:dyDescent="0.25">
      <c r="B1786" s="1">
        <v>0</v>
      </c>
      <c r="C1786" s="1">
        <v>0</v>
      </c>
      <c r="D1786" s="1">
        <v>1</v>
      </c>
      <c r="E1786" s="1">
        <v>0</v>
      </c>
      <c r="F1786" s="1">
        <v>60</v>
      </c>
      <c r="G1786" s="1">
        <v>1</v>
      </c>
      <c r="H1786" s="1">
        <v>3</v>
      </c>
      <c r="I1786" s="1">
        <v>4</v>
      </c>
      <c r="J1786" s="1">
        <v>1</v>
      </c>
      <c r="K1786" s="1">
        <v>0</v>
      </c>
      <c r="L1786" s="1">
        <v>25593</v>
      </c>
      <c r="M1786" s="1">
        <v>1</v>
      </c>
    </row>
    <row r="1787" spans="2:13" x14ac:dyDescent="0.25">
      <c r="B1787" s="1">
        <v>0</v>
      </c>
      <c r="C1787" s="1">
        <v>0</v>
      </c>
      <c r="D1787" s="1">
        <v>1</v>
      </c>
      <c r="E1787" s="1">
        <v>0</v>
      </c>
      <c r="F1787" s="1">
        <v>0</v>
      </c>
      <c r="G1787" s="1">
        <v>0</v>
      </c>
      <c r="H1787" s="1">
        <v>2</v>
      </c>
      <c r="I1787" s="1">
        <v>0</v>
      </c>
      <c r="J1787" s="1">
        <v>0</v>
      </c>
      <c r="K1787" s="1">
        <v>0</v>
      </c>
      <c r="L1787" s="1">
        <v>1781</v>
      </c>
      <c r="M1787" s="1">
        <v>0</v>
      </c>
    </row>
    <row r="1788" spans="2:13" x14ac:dyDescent="0.25">
      <c r="B1788" s="1">
        <v>0</v>
      </c>
      <c r="C1788" s="1">
        <v>0</v>
      </c>
      <c r="D1788" s="1">
        <v>1</v>
      </c>
      <c r="E1788" s="1">
        <v>0</v>
      </c>
      <c r="F1788" s="1">
        <v>57</v>
      </c>
      <c r="G1788" s="1">
        <v>0</v>
      </c>
      <c r="H1788" s="1">
        <v>1</v>
      </c>
      <c r="I1788" s="1">
        <v>6</v>
      </c>
      <c r="J1788" s="1">
        <v>0</v>
      </c>
      <c r="K1788" s="1">
        <v>0</v>
      </c>
      <c r="L1788" s="1">
        <v>8124</v>
      </c>
      <c r="M1788" s="1">
        <v>0</v>
      </c>
    </row>
    <row r="1789" spans="2:13" x14ac:dyDescent="0.25">
      <c r="B1789" s="1">
        <v>0</v>
      </c>
      <c r="C1789" s="1">
        <v>0</v>
      </c>
      <c r="D1789" s="1">
        <v>1</v>
      </c>
      <c r="E1789" s="1">
        <v>0</v>
      </c>
      <c r="F1789" s="1">
        <v>26</v>
      </c>
      <c r="G1789" s="1">
        <v>1</v>
      </c>
      <c r="H1789" s="1">
        <v>2</v>
      </c>
      <c r="I1789" s="1">
        <v>3</v>
      </c>
      <c r="J1789" s="1">
        <v>0</v>
      </c>
      <c r="K1789" s="1">
        <v>0</v>
      </c>
      <c r="L1789" s="1">
        <v>6863</v>
      </c>
      <c r="M1789" s="1">
        <v>0</v>
      </c>
    </row>
    <row r="1790" spans="2:13" x14ac:dyDescent="0.25">
      <c r="B1790" s="1">
        <v>0</v>
      </c>
      <c r="C1790" s="1">
        <v>0</v>
      </c>
      <c r="D1790" s="1">
        <v>1</v>
      </c>
      <c r="E1790" s="1">
        <v>0</v>
      </c>
      <c r="F1790" s="1">
        <v>0</v>
      </c>
      <c r="G1790" s="1">
        <v>1</v>
      </c>
      <c r="H1790" s="1">
        <v>2</v>
      </c>
      <c r="I1790" s="1">
        <v>0</v>
      </c>
      <c r="J1790" s="1">
        <v>0</v>
      </c>
      <c r="K1790" s="1">
        <v>0</v>
      </c>
      <c r="L1790" s="1">
        <v>1990</v>
      </c>
      <c r="M1790" s="1">
        <v>0</v>
      </c>
    </row>
    <row r="1791" spans="2:13" x14ac:dyDescent="0.25">
      <c r="B1791" s="17">
        <v>1</v>
      </c>
      <c r="C1791" s="17">
        <v>0</v>
      </c>
      <c r="D1791" s="17">
        <v>0.47058823529411764</v>
      </c>
      <c r="E1791" s="17">
        <v>0.52941176470588236</v>
      </c>
      <c r="F1791" s="17">
        <v>81</v>
      </c>
      <c r="G1791" s="17">
        <v>1</v>
      </c>
      <c r="H1791" s="17">
        <v>6</v>
      </c>
      <c r="I1791" s="17">
        <v>3</v>
      </c>
      <c r="J1791" s="17">
        <v>1</v>
      </c>
      <c r="K1791" s="17">
        <v>0</v>
      </c>
      <c r="L1791" s="17">
        <v>25632</v>
      </c>
      <c r="M1791" s="17">
        <v>0</v>
      </c>
    </row>
    <row r="1792" spans="2:13" x14ac:dyDescent="0.25">
      <c r="B1792" s="1">
        <v>1</v>
      </c>
      <c r="C1792" s="1">
        <v>1</v>
      </c>
      <c r="D1792" s="1">
        <v>0</v>
      </c>
      <c r="E1792" s="1">
        <v>1</v>
      </c>
      <c r="F1792" s="1">
        <v>88</v>
      </c>
      <c r="G1792" s="1">
        <v>1</v>
      </c>
      <c r="H1792" s="1">
        <v>3</v>
      </c>
      <c r="I1792" s="1">
        <v>7</v>
      </c>
      <c r="J1792" s="1">
        <v>0</v>
      </c>
      <c r="K1792" s="1">
        <v>1</v>
      </c>
      <c r="L1792" s="1">
        <v>18683</v>
      </c>
      <c r="M1792" s="1">
        <v>0</v>
      </c>
    </row>
    <row r="1793" spans="2:13" x14ac:dyDescent="0.25">
      <c r="B1793" s="1">
        <v>0</v>
      </c>
      <c r="C1793" s="1">
        <v>0</v>
      </c>
      <c r="D1793" s="1">
        <v>0.625</v>
      </c>
      <c r="E1793" s="1">
        <v>0.37500000000000006</v>
      </c>
      <c r="F1793" s="1">
        <v>85</v>
      </c>
      <c r="G1793" s="1">
        <v>0</v>
      </c>
      <c r="H1793" s="1">
        <v>2</v>
      </c>
      <c r="I1793" s="1">
        <v>1</v>
      </c>
      <c r="J1793" s="1">
        <v>0</v>
      </c>
      <c r="K1793" s="1">
        <v>0</v>
      </c>
      <c r="L1793" s="1">
        <v>10380</v>
      </c>
      <c r="M1793" s="1">
        <v>0</v>
      </c>
    </row>
    <row r="1794" spans="2:13" x14ac:dyDescent="0.25">
      <c r="B1794" s="1">
        <v>0</v>
      </c>
      <c r="C1794" s="1">
        <v>0</v>
      </c>
      <c r="D1794" s="1">
        <v>1</v>
      </c>
      <c r="E1794" s="1">
        <v>0</v>
      </c>
      <c r="F1794" s="1">
        <v>20</v>
      </c>
      <c r="G1794" s="1">
        <v>1</v>
      </c>
      <c r="H1794" s="1">
        <v>3</v>
      </c>
      <c r="I1794" s="1">
        <v>0</v>
      </c>
      <c r="J1794" s="1">
        <v>0</v>
      </c>
      <c r="K1794" s="1">
        <v>0</v>
      </c>
      <c r="L1794" s="1">
        <v>5750</v>
      </c>
      <c r="M1794" s="1">
        <v>0</v>
      </c>
    </row>
    <row r="1795" spans="2:13" x14ac:dyDescent="0.25">
      <c r="B1795" s="1">
        <v>1</v>
      </c>
      <c r="C1795" s="1">
        <v>1</v>
      </c>
      <c r="D1795" s="1">
        <v>0</v>
      </c>
      <c r="E1795" s="1">
        <v>1</v>
      </c>
      <c r="F1795" s="1">
        <v>85</v>
      </c>
      <c r="G1795" s="1">
        <v>1</v>
      </c>
      <c r="H1795" s="1">
        <v>5</v>
      </c>
      <c r="I1795" s="1">
        <v>6</v>
      </c>
      <c r="J1795" s="1">
        <v>1</v>
      </c>
      <c r="K1795" s="1">
        <v>1</v>
      </c>
      <c r="L1795" s="1">
        <v>20894</v>
      </c>
      <c r="M1795" s="1">
        <v>0</v>
      </c>
    </row>
    <row r="1796" spans="2:13" x14ac:dyDescent="0.25">
      <c r="B1796" s="1">
        <v>0</v>
      </c>
      <c r="C1796" s="1">
        <v>0</v>
      </c>
      <c r="D1796" s="1">
        <v>1</v>
      </c>
      <c r="E1796" s="1">
        <v>0</v>
      </c>
      <c r="F1796" s="1">
        <v>69</v>
      </c>
      <c r="G1796" s="1">
        <v>0</v>
      </c>
      <c r="H1796" s="1">
        <v>10</v>
      </c>
      <c r="I1796" s="1">
        <v>3</v>
      </c>
      <c r="J1796" s="1">
        <v>1</v>
      </c>
      <c r="K1796" s="1">
        <v>0</v>
      </c>
      <c r="L1796" s="1">
        <v>20944</v>
      </c>
      <c r="M1796" s="1">
        <v>0</v>
      </c>
    </row>
    <row r="1797" spans="2:13" x14ac:dyDescent="0.25">
      <c r="B1797" s="17">
        <v>1</v>
      </c>
      <c r="C1797" s="17">
        <v>0</v>
      </c>
      <c r="D1797" s="17">
        <v>0.36</v>
      </c>
      <c r="E1797" s="17">
        <v>0.64</v>
      </c>
      <c r="F1797" s="17">
        <v>84</v>
      </c>
      <c r="G1797" s="17">
        <v>1</v>
      </c>
      <c r="H1797" s="17">
        <v>6</v>
      </c>
      <c r="I1797" s="17">
        <v>6</v>
      </c>
      <c r="J1797" s="17">
        <v>1</v>
      </c>
      <c r="K1797" s="17">
        <v>0</v>
      </c>
      <c r="L1797" s="17">
        <v>20812</v>
      </c>
      <c r="M1797" s="17">
        <v>0</v>
      </c>
    </row>
    <row r="1798" spans="2:13" x14ac:dyDescent="0.25">
      <c r="B1798" s="1">
        <v>0</v>
      </c>
      <c r="C1798" s="1">
        <v>0</v>
      </c>
      <c r="D1798" s="1">
        <v>1</v>
      </c>
      <c r="E1798" s="1">
        <v>0</v>
      </c>
      <c r="F1798" s="1">
        <v>0</v>
      </c>
      <c r="G1798" s="1">
        <v>1</v>
      </c>
      <c r="H1798" s="1">
        <v>3</v>
      </c>
      <c r="I1798" s="1">
        <v>0</v>
      </c>
      <c r="J1798" s="1">
        <v>0</v>
      </c>
      <c r="K1798" s="1">
        <v>0</v>
      </c>
      <c r="L1798" s="1">
        <v>2470</v>
      </c>
      <c r="M1798" s="1">
        <v>0</v>
      </c>
    </row>
    <row r="1799" spans="2:13" x14ac:dyDescent="0.25">
      <c r="B1799" s="1">
        <v>1</v>
      </c>
      <c r="C1799" s="1">
        <v>1</v>
      </c>
      <c r="D1799" s="1">
        <v>0</v>
      </c>
      <c r="E1799" s="1">
        <v>1</v>
      </c>
      <c r="F1799" s="1">
        <v>37</v>
      </c>
      <c r="G1799" s="1">
        <v>1</v>
      </c>
      <c r="H1799" s="1">
        <v>16</v>
      </c>
      <c r="I1799" s="1">
        <v>1</v>
      </c>
      <c r="J1799" s="1">
        <v>2</v>
      </c>
      <c r="K1799" s="1">
        <v>1</v>
      </c>
      <c r="L1799" s="1">
        <v>43163</v>
      </c>
      <c r="M1799" s="1">
        <v>1</v>
      </c>
    </row>
    <row r="1800" spans="2:13" x14ac:dyDescent="0.25">
      <c r="B1800" s="1">
        <v>0</v>
      </c>
      <c r="C1800" s="1">
        <v>0</v>
      </c>
      <c r="D1800" s="1">
        <v>1</v>
      </c>
      <c r="E1800" s="1">
        <v>0</v>
      </c>
      <c r="F1800" s="1">
        <v>56</v>
      </c>
      <c r="G1800" s="1">
        <v>0</v>
      </c>
      <c r="H1800" s="1">
        <v>4</v>
      </c>
      <c r="I1800" s="1">
        <v>6</v>
      </c>
      <c r="J1800" s="1">
        <v>1</v>
      </c>
      <c r="K1800" s="1">
        <v>0</v>
      </c>
      <c r="L1800" s="1">
        <v>25231</v>
      </c>
      <c r="M1800" s="1">
        <v>0</v>
      </c>
    </row>
    <row r="1801" spans="2:13" x14ac:dyDescent="0.25">
      <c r="B1801" s="1">
        <v>0</v>
      </c>
      <c r="C1801" s="1">
        <v>0</v>
      </c>
      <c r="D1801" s="1">
        <v>1</v>
      </c>
      <c r="E1801" s="1">
        <v>0</v>
      </c>
      <c r="F1801" s="1">
        <v>0</v>
      </c>
      <c r="G1801" s="1">
        <v>0</v>
      </c>
      <c r="H1801" s="1">
        <v>4</v>
      </c>
      <c r="I1801" s="1">
        <v>0</v>
      </c>
      <c r="J1801" s="1">
        <v>0</v>
      </c>
      <c r="K1801" s="1">
        <v>0</v>
      </c>
      <c r="L1801" s="1">
        <v>3895</v>
      </c>
      <c r="M1801" s="1">
        <v>0</v>
      </c>
    </row>
    <row r="1802" spans="2:13" x14ac:dyDescent="0.25">
      <c r="B1802" s="1">
        <v>0</v>
      </c>
      <c r="C1802" s="1">
        <v>0</v>
      </c>
      <c r="D1802" s="1">
        <v>0.96551724137931039</v>
      </c>
      <c r="E1802" s="1">
        <v>3.4482758620689655E-2</v>
      </c>
      <c r="F1802" s="1">
        <v>51</v>
      </c>
      <c r="G1802" s="1">
        <v>0</v>
      </c>
      <c r="H1802" s="1">
        <v>4</v>
      </c>
      <c r="I1802" s="1">
        <v>4</v>
      </c>
      <c r="J1802" s="1">
        <v>0</v>
      </c>
      <c r="K1802" s="1">
        <v>0</v>
      </c>
      <c r="L1802" s="1">
        <v>5530</v>
      </c>
      <c r="M1802" s="1">
        <v>0</v>
      </c>
    </row>
    <row r="1803" spans="2:13" x14ac:dyDescent="0.25">
      <c r="B1803" s="1">
        <v>0</v>
      </c>
      <c r="C1803" s="1">
        <v>0</v>
      </c>
      <c r="D1803" s="1">
        <v>1</v>
      </c>
      <c r="E1803" s="1">
        <v>0</v>
      </c>
      <c r="F1803" s="1">
        <v>40</v>
      </c>
      <c r="G1803" s="1">
        <v>1</v>
      </c>
      <c r="H1803" s="1">
        <v>5</v>
      </c>
      <c r="I1803" s="1">
        <v>3</v>
      </c>
      <c r="J1803" s="1">
        <v>1</v>
      </c>
      <c r="K1803" s="1">
        <v>0</v>
      </c>
      <c r="L1803" s="1">
        <v>7840</v>
      </c>
      <c r="M1803" s="1">
        <v>0</v>
      </c>
    </row>
    <row r="1804" spans="2:13" x14ac:dyDescent="0.25">
      <c r="B1804" s="1">
        <v>0</v>
      </c>
      <c r="C1804" s="1">
        <v>0</v>
      </c>
      <c r="D1804" s="1">
        <v>1</v>
      </c>
      <c r="E1804" s="1">
        <v>0</v>
      </c>
      <c r="F1804" s="1">
        <v>0</v>
      </c>
      <c r="G1804" s="1">
        <v>0</v>
      </c>
      <c r="H1804" s="1">
        <v>2</v>
      </c>
      <c r="I1804" s="1">
        <v>0</v>
      </c>
      <c r="J1804" s="1">
        <v>0</v>
      </c>
      <c r="K1804" s="1">
        <v>0</v>
      </c>
      <c r="L1804" s="1">
        <v>1772</v>
      </c>
      <c r="M1804" s="1">
        <v>0</v>
      </c>
    </row>
    <row r="1805" spans="2:13" x14ac:dyDescent="0.25">
      <c r="B1805" s="1">
        <v>0</v>
      </c>
      <c r="C1805" s="1">
        <v>0</v>
      </c>
      <c r="D1805" s="1">
        <v>1</v>
      </c>
      <c r="E1805" s="1">
        <v>0</v>
      </c>
      <c r="F1805" s="1">
        <v>48</v>
      </c>
      <c r="G1805" s="1">
        <v>1</v>
      </c>
      <c r="H1805" s="1">
        <v>2</v>
      </c>
      <c r="I1805" s="1">
        <v>3</v>
      </c>
      <c r="J1805" s="1">
        <v>1</v>
      </c>
      <c r="K1805" s="1">
        <v>0</v>
      </c>
      <c r="L1805" s="1">
        <v>13013</v>
      </c>
      <c r="M1805" s="1">
        <v>0</v>
      </c>
    </row>
    <row r="1806" spans="2:13" x14ac:dyDescent="0.25">
      <c r="B1806" s="1">
        <v>0</v>
      </c>
      <c r="C1806" s="1">
        <v>0</v>
      </c>
      <c r="D1806" s="1">
        <v>1</v>
      </c>
      <c r="E1806" s="1">
        <v>0</v>
      </c>
      <c r="F1806" s="1">
        <v>26</v>
      </c>
      <c r="G1806" s="1">
        <v>1</v>
      </c>
      <c r="H1806" s="1">
        <v>2</v>
      </c>
      <c r="I1806" s="1">
        <v>0</v>
      </c>
      <c r="J1806" s="1">
        <v>1</v>
      </c>
      <c r="K1806" s="1">
        <v>0</v>
      </c>
      <c r="L1806" s="1">
        <v>14161</v>
      </c>
      <c r="M1806" s="1">
        <v>1</v>
      </c>
    </row>
    <row r="1807" spans="2:13" x14ac:dyDescent="0.25">
      <c r="B1807" s="17">
        <v>0</v>
      </c>
      <c r="C1807" s="17">
        <v>1</v>
      </c>
      <c r="D1807" s="17">
        <v>0.73913043478260865</v>
      </c>
      <c r="E1807" s="17">
        <v>0.2608695652173913</v>
      </c>
      <c r="F1807" s="17">
        <v>85</v>
      </c>
      <c r="G1807" s="17">
        <v>1</v>
      </c>
      <c r="H1807" s="17">
        <v>7</v>
      </c>
      <c r="I1807" s="17">
        <v>3</v>
      </c>
      <c r="J1807" s="17">
        <v>2</v>
      </c>
      <c r="K1807" s="17">
        <v>0</v>
      </c>
      <c r="L1807" s="17">
        <v>18353</v>
      </c>
      <c r="M1807" s="17">
        <v>0</v>
      </c>
    </row>
    <row r="1808" spans="2:13" x14ac:dyDescent="0.25">
      <c r="B1808" s="17">
        <v>0</v>
      </c>
      <c r="C1808" s="17">
        <v>1</v>
      </c>
      <c r="D1808" s="17">
        <v>0.55555555555555547</v>
      </c>
      <c r="E1808" s="17">
        <v>0.44444444444444448</v>
      </c>
      <c r="F1808" s="17">
        <v>86</v>
      </c>
      <c r="G1808" s="17">
        <v>0</v>
      </c>
      <c r="H1808" s="17">
        <v>2</v>
      </c>
      <c r="I1808" s="17">
        <v>6</v>
      </c>
      <c r="J1808" s="17">
        <v>0</v>
      </c>
      <c r="K1808" s="17">
        <v>0</v>
      </c>
      <c r="L1808" s="17">
        <v>10881</v>
      </c>
      <c r="M1808" s="17">
        <v>0</v>
      </c>
    </row>
    <row r="1809" spans="2:13" x14ac:dyDescent="0.25">
      <c r="B1809" s="17">
        <v>0</v>
      </c>
      <c r="C1809" s="17">
        <v>1</v>
      </c>
      <c r="D1809" s="17">
        <v>0.7142857142857143</v>
      </c>
      <c r="E1809" s="17">
        <v>0.2857142857142857</v>
      </c>
      <c r="F1809" s="17">
        <v>81</v>
      </c>
      <c r="G1809" s="17">
        <v>0</v>
      </c>
      <c r="H1809" s="17">
        <v>3</v>
      </c>
      <c r="I1809" s="17">
        <v>4</v>
      </c>
      <c r="J1809" s="17">
        <v>3</v>
      </c>
      <c r="K1809" s="17">
        <v>0</v>
      </c>
      <c r="L1809" s="17">
        <v>41941</v>
      </c>
      <c r="M1809" s="17">
        <v>1</v>
      </c>
    </row>
    <row r="1810" spans="2:13" x14ac:dyDescent="0.25">
      <c r="B1810" s="1">
        <v>0</v>
      </c>
      <c r="C1810" s="1">
        <v>0</v>
      </c>
      <c r="D1810" s="1">
        <v>1</v>
      </c>
      <c r="E1810" s="1">
        <v>0</v>
      </c>
      <c r="F1810" s="1">
        <v>20</v>
      </c>
      <c r="G1810" s="1">
        <v>1</v>
      </c>
      <c r="H1810" s="1">
        <v>3</v>
      </c>
      <c r="I1810" s="1">
        <v>0</v>
      </c>
      <c r="J1810" s="1">
        <v>1</v>
      </c>
      <c r="K1810" s="1">
        <v>0</v>
      </c>
      <c r="L1810" s="1">
        <v>14479</v>
      </c>
      <c r="M1810" s="1">
        <v>1</v>
      </c>
    </row>
    <row r="1811" spans="2:13" x14ac:dyDescent="0.25">
      <c r="B1811" s="1">
        <v>1</v>
      </c>
      <c r="C1811" s="1">
        <v>1</v>
      </c>
      <c r="D1811" s="1">
        <v>0</v>
      </c>
      <c r="E1811" s="1">
        <v>1</v>
      </c>
      <c r="F1811" s="1">
        <v>81</v>
      </c>
      <c r="G1811" s="1">
        <v>1</v>
      </c>
      <c r="H1811" s="1">
        <v>0</v>
      </c>
      <c r="I1811" s="1">
        <v>4</v>
      </c>
      <c r="J1811" s="1">
        <v>0</v>
      </c>
      <c r="K1811" s="1">
        <v>1</v>
      </c>
      <c r="L1811" s="1">
        <v>2967</v>
      </c>
      <c r="M1811" s="1">
        <v>0</v>
      </c>
    </row>
    <row r="1812" spans="2:13" x14ac:dyDescent="0.25">
      <c r="B1812" s="1">
        <v>0</v>
      </c>
      <c r="C1812" s="1">
        <v>0</v>
      </c>
      <c r="D1812" s="1">
        <v>1</v>
      </c>
      <c r="E1812" s="1">
        <v>0</v>
      </c>
      <c r="F1812" s="1">
        <v>57</v>
      </c>
      <c r="G1812" s="1">
        <v>0</v>
      </c>
      <c r="H1812" s="1">
        <v>1</v>
      </c>
      <c r="I1812" s="1">
        <v>3</v>
      </c>
      <c r="J1812" s="1">
        <v>2</v>
      </c>
      <c r="K1812" s="1">
        <v>0</v>
      </c>
      <c r="L1812" s="1">
        <v>18096</v>
      </c>
      <c r="M1812" s="1">
        <v>0</v>
      </c>
    </row>
    <row r="1813" spans="2:13" x14ac:dyDescent="0.25">
      <c r="B1813" s="1">
        <v>0</v>
      </c>
      <c r="C1813" s="1">
        <v>0</v>
      </c>
      <c r="D1813" s="1">
        <v>1</v>
      </c>
      <c r="E1813" s="1">
        <v>0</v>
      </c>
      <c r="F1813" s="1">
        <v>27</v>
      </c>
      <c r="G1813" s="1">
        <v>1</v>
      </c>
      <c r="H1813" s="1">
        <v>2</v>
      </c>
      <c r="I1813" s="1">
        <v>0</v>
      </c>
      <c r="J1813" s="1">
        <v>2</v>
      </c>
      <c r="K1813" s="1">
        <v>0</v>
      </c>
      <c r="L1813" s="1">
        <v>8587</v>
      </c>
      <c r="M1813" s="1">
        <v>0</v>
      </c>
    </row>
    <row r="1814" spans="2:13" x14ac:dyDescent="0.25">
      <c r="B1814" s="1">
        <v>0</v>
      </c>
      <c r="C1814" s="1">
        <v>0</v>
      </c>
      <c r="D1814" s="1">
        <v>1</v>
      </c>
      <c r="E1814" s="1">
        <v>0</v>
      </c>
      <c r="F1814" s="1">
        <v>62</v>
      </c>
      <c r="G1814" s="1">
        <v>0</v>
      </c>
      <c r="H1814" s="1">
        <v>1</v>
      </c>
      <c r="I1814" s="1">
        <v>2</v>
      </c>
      <c r="J1814" s="1">
        <v>1</v>
      </c>
      <c r="K1814" s="1">
        <v>0</v>
      </c>
      <c r="L1814" s="1">
        <v>5794</v>
      </c>
      <c r="M1814" s="1">
        <v>0</v>
      </c>
    </row>
    <row r="1815" spans="2:13" x14ac:dyDescent="0.25">
      <c r="B1815" s="1">
        <v>0</v>
      </c>
      <c r="C1815" s="1">
        <v>0</v>
      </c>
      <c r="D1815" s="1">
        <v>0.96</v>
      </c>
      <c r="E1815" s="1">
        <v>0.04</v>
      </c>
      <c r="F1815" s="1">
        <v>54</v>
      </c>
      <c r="G1815" s="1">
        <v>0</v>
      </c>
      <c r="H1815" s="1">
        <v>18</v>
      </c>
      <c r="I1815" s="1">
        <v>3</v>
      </c>
      <c r="J1815" s="1">
        <v>0</v>
      </c>
      <c r="K1815" s="1">
        <v>0</v>
      </c>
      <c r="L1815" s="1">
        <v>32567</v>
      </c>
      <c r="M1815" s="1">
        <v>0</v>
      </c>
    </row>
    <row r="1816" spans="2:13" x14ac:dyDescent="0.25">
      <c r="B1816" s="1">
        <v>0</v>
      </c>
      <c r="C1816" s="1">
        <v>0</v>
      </c>
      <c r="D1816" s="1">
        <v>1</v>
      </c>
      <c r="E1816" s="1">
        <v>0</v>
      </c>
      <c r="F1816" s="1">
        <v>19</v>
      </c>
      <c r="G1816" s="1">
        <v>1</v>
      </c>
      <c r="H1816" s="1">
        <v>2</v>
      </c>
      <c r="I1816" s="1">
        <v>0</v>
      </c>
      <c r="J1816" s="1">
        <v>4</v>
      </c>
      <c r="K1816" s="1">
        <v>0</v>
      </c>
      <c r="L1816" s="1">
        <v>8657</v>
      </c>
      <c r="M1816" s="1">
        <v>0</v>
      </c>
    </row>
    <row r="1817" spans="2:13" x14ac:dyDescent="0.25">
      <c r="B1817" s="1">
        <v>1</v>
      </c>
      <c r="C1817" s="1">
        <v>1</v>
      </c>
      <c r="D1817" s="1">
        <v>0</v>
      </c>
      <c r="E1817" s="1">
        <v>1</v>
      </c>
      <c r="F1817" s="1">
        <v>101</v>
      </c>
      <c r="G1817" s="1">
        <v>1</v>
      </c>
      <c r="H1817" s="1">
        <v>4</v>
      </c>
      <c r="I1817" s="1">
        <v>3</v>
      </c>
      <c r="J1817" s="1">
        <v>2</v>
      </c>
      <c r="K1817" s="1">
        <v>1</v>
      </c>
      <c r="L1817" s="1">
        <v>20136</v>
      </c>
      <c r="M1817" s="1">
        <v>1</v>
      </c>
    </row>
    <row r="1818" spans="2:13" x14ac:dyDescent="0.25">
      <c r="B1818" s="1">
        <v>0</v>
      </c>
      <c r="C1818" s="1">
        <v>0</v>
      </c>
      <c r="D1818" s="1">
        <v>1</v>
      </c>
      <c r="E1818" s="1">
        <v>0</v>
      </c>
      <c r="F1818" s="1">
        <v>33</v>
      </c>
      <c r="G1818" s="1">
        <v>1</v>
      </c>
      <c r="H1818" s="1">
        <v>5</v>
      </c>
      <c r="I1818" s="1">
        <v>6</v>
      </c>
      <c r="J1818" s="1">
        <v>3</v>
      </c>
      <c r="K1818" s="1">
        <v>0</v>
      </c>
      <c r="L1818" s="1">
        <v>59927</v>
      </c>
      <c r="M1818" s="1">
        <v>1</v>
      </c>
    </row>
    <row r="1819" spans="2:13" x14ac:dyDescent="0.25">
      <c r="B1819" s="1">
        <v>0</v>
      </c>
      <c r="C1819" s="1">
        <v>0</v>
      </c>
      <c r="D1819" s="1">
        <v>0.5625</v>
      </c>
      <c r="E1819" s="1">
        <v>0.43750000000000006</v>
      </c>
      <c r="F1819" s="1">
        <v>78</v>
      </c>
      <c r="G1819" s="1">
        <v>0</v>
      </c>
      <c r="H1819" s="1">
        <v>4</v>
      </c>
      <c r="I1819" s="1">
        <v>3</v>
      </c>
      <c r="J1819" s="1">
        <v>0</v>
      </c>
      <c r="K1819" s="1">
        <v>0</v>
      </c>
      <c r="L1819" s="1">
        <v>10751</v>
      </c>
      <c r="M1819" s="1">
        <v>0</v>
      </c>
    </row>
    <row r="1820" spans="2:13" x14ac:dyDescent="0.25">
      <c r="B1820" s="1">
        <v>0</v>
      </c>
      <c r="C1820" s="1">
        <v>0</v>
      </c>
      <c r="D1820" s="1">
        <v>1</v>
      </c>
      <c r="E1820" s="1">
        <v>0</v>
      </c>
      <c r="F1820" s="1">
        <v>24</v>
      </c>
      <c r="G1820" s="1">
        <v>1</v>
      </c>
      <c r="H1820" s="1">
        <v>4</v>
      </c>
      <c r="I1820" s="1">
        <v>1</v>
      </c>
      <c r="J1820" s="1">
        <v>0</v>
      </c>
      <c r="K1820" s="1">
        <v>0</v>
      </c>
      <c r="L1820" s="1">
        <v>8160</v>
      </c>
      <c r="M1820" s="1">
        <v>0</v>
      </c>
    </row>
    <row r="1821" spans="2:13" x14ac:dyDescent="0.25">
      <c r="B1821" s="1">
        <v>0</v>
      </c>
      <c r="C1821" s="1">
        <v>0</v>
      </c>
      <c r="D1821" s="1">
        <v>1</v>
      </c>
      <c r="E1821" s="1">
        <v>0</v>
      </c>
      <c r="F1821" s="1">
        <v>77</v>
      </c>
      <c r="G1821" s="1">
        <v>1</v>
      </c>
      <c r="H1821" s="1">
        <v>3</v>
      </c>
      <c r="I1821" s="1">
        <v>7</v>
      </c>
      <c r="J1821" s="1">
        <v>0</v>
      </c>
      <c r="K1821" s="1">
        <v>0</v>
      </c>
      <c r="L1821" s="1">
        <v>13737</v>
      </c>
      <c r="M1821" s="1">
        <v>0</v>
      </c>
    </row>
    <row r="1822" spans="2:13" x14ac:dyDescent="0.25">
      <c r="B1822" s="1">
        <v>0</v>
      </c>
      <c r="C1822" s="1">
        <v>0</v>
      </c>
      <c r="D1822" s="1">
        <v>1</v>
      </c>
      <c r="E1822" s="1">
        <v>0</v>
      </c>
      <c r="F1822" s="1">
        <v>68</v>
      </c>
      <c r="G1822" s="1">
        <v>0</v>
      </c>
      <c r="H1822" s="1">
        <v>17</v>
      </c>
      <c r="I1822" s="1">
        <v>5</v>
      </c>
      <c r="J1822" s="1">
        <v>0</v>
      </c>
      <c r="K1822" s="1">
        <v>0</v>
      </c>
      <c r="L1822" s="1">
        <v>50493</v>
      </c>
      <c r="M1822" s="1">
        <v>0</v>
      </c>
    </row>
    <row r="1823" spans="2:13" x14ac:dyDescent="0.25">
      <c r="B1823" s="1">
        <v>0</v>
      </c>
      <c r="C1823" s="1">
        <v>0</v>
      </c>
      <c r="D1823" s="1">
        <v>1</v>
      </c>
      <c r="E1823" s="1">
        <v>0</v>
      </c>
      <c r="F1823" s="1">
        <v>77</v>
      </c>
      <c r="G1823" s="1">
        <v>0</v>
      </c>
      <c r="H1823" s="1">
        <v>3</v>
      </c>
      <c r="I1823" s="1">
        <v>6</v>
      </c>
      <c r="J1823" s="1">
        <v>0</v>
      </c>
      <c r="K1823" s="1">
        <v>0</v>
      </c>
      <c r="L1823" s="1">
        <v>20333</v>
      </c>
      <c r="M1823" s="1">
        <v>0</v>
      </c>
    </row>
    <row r="1824" spans="2:13" x14ac:dyDescent="0.25">
      <c r="B1824" s="1">
        <v>0</v>
      </c>
      <c r="C1824" s="1">
        <v>0</v>
      </c>
      <c r="D1824" s="1">
        <v>1</v>
      </c>
      <c r="E1824" s="1">
        <v>0</v>
      </c>
      <c r="F1824" s="1">
        <v>79</v>
      </c>
      <c r="G1824" s="1">
        <v>1</v>
      </c>
      <c r="H1824" s="1">
        <v>3</v>
      </c>
      <c r="I1824" s="1">
        <v>4</v>
      </c>
      <c r="J1824" s="1">
        <v>0</v>
      </c>
      <c r="K1824" s="1">
        <v>0</v>
      </c>
      <c r="L1824" s="1">
        <v>9627</v>
      </c>
      <c r="M1824" s="1">
        <v>0</v>
      </c>
    </row>
    <row r="1825" spans="2:13" x14ac:dyDescent="0.25">
      <c r="B1825" s="1">
        <v>0</v>
      </c>
      <c r="C1825" s="1">
        <v>0</v>
      </c>
      <c r="D1825" s="1">
        <v>1</v>
      </c>
      <c r="E1825" s="1">
        <v>0</v>
      </c>
      <c r="F1825" s="1">
        <v>0</v>
      </c>
      <c r="G1825" s="1">
        <v>0</v>
      </c>
      <c r="H1825" s="1">
        <v>4</v>
      </c>
      <c r="I1825" s="1">
        <v>0</v>
      </c>
      <c r="J1825" s="1">
        <v>1</v>
      </c>
      <c r="K1825" s="1">
        <v>0</v>
      </c>
      <c r="L1825" s="1">
        <v>4461</v>
      </c>
      <c r="M1825" s="1">
        <v>0</v>
      </c>
    </row>
    <row r="1826" spans="2:13" x14ac:dyDescent="0.25">
      <c r="B1826" s="1">
        <v>0</v>
      </c>
      <c r="C1826" s="1">
        <v>0</v>
      </c>
      <c r="D1826" s="1">
        <v>0.96</v>
      </c>
      <c r="E1826" s="1">
        <v>0.04</v>
      </c>
      <c r="F1826" s="1">
        <v>54</v>
      </c>
      <c r="G1826" s="1">
        <v>1</v>
      </c>
      <c r="H1826" s="1">
        <v>29</v>
      </c>
      <c r="I1826" s="1">
        <v>6</v>
      </c>
      <c r="J1826" s="1">
        <v>6</v>
      </c>
      <c r="K1826" s="1">
        <v>0</v>
      </c>
      <c r="L1826" s="1">
        <v>122860</v>
      </c>
      <c r="M1826" s="1">
        <v>1</v>
      </c>
    </row>
    <row r="1827" spans="2:13" x14ac:dyDescent="0.25">
      <c r="B1827" s="1">
        <v>0</v>
      </c>
      <c r="C1827" s="1">
        <v>0</v>
      </c>
      <c r="D1827" s="1">
        <v>0.91666666666666663</v>
      </c>
      <c r="E1827" s="1">
        <v>8.3333333333333329E-2</v>
      </c>
      <c r="F1827" s="1">
        <v>0</v>
      </c>
      <c r="G1827" s="1">
        <v>1</v>
      </c>
      <c r="H1827" s="1">
        <v>2</v>
      </c>
      <c r="I1827" s="1">
        <v>0</v>
      </c>
      <c r="J1827" s="1">
        <v>0</v>
      </c>
      <c r="K1827" s="1">
        <v>0</v>
      </c>
      <c r="L1827" s="1">
        <v>1191</v>
      </c>
      <c r="M1827" s="1">
        <v>0</v>
      </c>
    </row>
    <row r="1828" spans="2:13" x14ac:dyDescent="0.25">
      <c r="B1828" s="1">
        <v>1</v>
      </c>
      <c r="C1828" s="1">
        <v>1</v>
      </c>
      <c r="D1828" s="1">
        <v>9.5238095238095233E-2</v>
      </c>
      <c r="E1828" s="1">
        <v>0.90476190476190477</v>
      </c>
      <c r="F1828" s="1">
        <v>53</v>
      </c>
      <c r="G1828" s="1">
        <v>1</v>
      </c>
      <c r="H1828" s="1">
        <v>14</v>
      </c>
      <c r="I1828" s="1">
        <v>1</v>
      </c>
      <c r="J1828" s="1">
        <v>0</v>
      </c>
      <c r="K1828" s="1">
        <v>0</v>
      </c>
      <c r="L1828" s="1">
        <v>26700</v>
      </c>
      <c r="M1828" s="1">
        <v>0</v>
      </c>
    </row>
    <row r="1829" spans="2:13" x14ac:dyDescent="0.25">
      <c r="B1829" s="1">
        <v>1</v>
      </c>
      <c r="C1829" s="1">
        <v>1</v>
      </c>
      <c r="D1829" s="1">
        <v>0</v>
      </c>
      <c r="E1829" s="1">
        <v>1</v>
      </c>
      <c r="F1829" s="1">
        <v>74</v>
      </c>
      <c r="G1829" s="1">
        <v>0</v>
      </c>
      <c r="H1829" s="1">
        <v>52</v>
      </c>
      <c r="I1829" s="1">
        <v>2</v>
      </c>
      <c r="J1829" s="1">
        <v>4</v>
      </c>
      <c r="K1829" s="1">
        <v>1</v>
      </c>
      <c r="L1829" s="1">
        <v>123056</v>
      </c>
      <c r="M1829" s="1">
        <v>0</v>
      </c>
    </row>
    <row r="1830" spans="2:13" x14ac:dyDescent="0.25">
      <c r="B1830" s="1">
        <v>0</v>
      </c>
      <c r="C1830" s="1">
        <v>0</v>
      </c>
      <c r="D1830" s="1">
        <v>1</v>
      </c>
      <c r="E1830" s="1">
        <v>0</v>
      </c>
      <c r="F1830" s="1">
        <v>61</v>
      </c>
      <c r="G1830" s="1">
        <v>0</v>
      </c>
      <c r="H1830" s="1">
        <v>11</v>
      </c>
      <c r="I1830" s="1">
        <v>5</v>
      </c>
      <c r="J1830" s="1">
        <v>2</v>
      </c>
      <c r="K1830" s="1">
        <v>0</v>
      </c>
      <c r="L1830" s="1">
        <v>40264</v>
      </c>
      <c r="M1830" s="1">
        <v>0</v>
      </c>
    </row>
    <row r="1831" spans="2:13" x14ac:dyDescent="0.25">
      <c r="B1831" s="1">
        <v>1</v>
      </c>
      <c r="C1831" s="1">
        <v>1</v>
      </c>
      <c r="D1831" s="1">
        <v>0.33333333333333331</v>
      </c>
      <c r="E1831" s="1">
        <v>0.66666666666666663</v>
      </c>
      <c r="F1831" s="1">
        <v>76</v>
      </c>
      <c r="G1831" s="1">
        <v>1</v>
      </c>
      <c r="H1831" s="1">
        <v>1</v>
      </c>
      <c r="I1831" s="1">
        <v>4</v>
      </c>
      <c r="J1831" s="1">
        <v>1</v>
      </c>
      <c r="K1831" s="1">
        <v>0</v>
      </c>
      <c r="L1831" s="1">
        <v>23922</v>
      </c>
      <c r="M1831" s="1">
        <v>1</v>
      </c>
    </row>
    <row r="1832" spans="2:13" x14ac:dyDescent="0.25">
      <c r="B1832" s="1">
        <v>0</v>
      </c>
      <c r="C1832" s="1">
        <v>0</v>
      </c>
      <c r="D1832" s="1">
        <v>1</v>
      </c>
      <c r="E1832" s="1">
        <v>0</v>
      </c>
      <c r="F1832" s="1">
        <v>0</v>
      </c>
      <c r="G1832" s="1">
        <v>1</v>
      </c>
      <c r="H1832" s="1">
        <v>6</v>
      </c>
      <c r="I1832" s="1">
        <v>1</v>
      </c>
      <c r="J1832" s="1">
        <v>0</v>
      </c>
      <c r="K1832" s="1">
        <v>0</v>
      </c>
      <c r="L1832" s="1">
        <v>13800</v>
      </c>
      <c r="M1832" s="1">
        <v>0</v>
      </c>
    </row>
    <row r="1833" spans="2:13" x14ac:dyDescent="0.25">
      <c r="B1833" s="1">
        <v>0</v>
      </c>
      <c r="C1833" s="1">
        <v>0</v>
      </c>
      <c r="D1833" s="1">
        <v>1</v>
      </c>
      <c r="E1833" s="1">
        <v>0</v>
      </c>
      <c r="F1833" s="1">
        <v>0</v>
      </c>
      <c r="G1833" s="1">
        <v>1</v>
      </c>
      <c r="H1833" s="1">
        <v>1</v>
      </c>
      <c r="I1833" s="1">
        <v>0</v>
      </c>
      <c r="J1833" s="1">
        <v>0</v>
      </c>
      <c r="K1833" s="1">
        <v>0</v>
      </c>
      <c r="L1833" s="1">
        <v>3698</v>
      </c>
      <c r="M1833" s="1">
        <v>0</v>
      </c>
    </row>
    <row r="1834" spans="2:13" x14ac:dyDescent="0.25">
      <c r="B1834" s="1">
        <v>1</v>
      </c>
      <c r="C1834" s="1">
        <v>1</v>
      </c>
      <c r="D1834" s="1">
        <v>0</v>
      </c>
      <c r="E1834" s="1">
        <v>1</v>
      </c>
      <c r="F1834" s="1">
        <v>89</v>
      </c>
      <c r="G1834" s="1">
        <v>1</v>
      </c>
      <c r="H1834" s="1">
        <v>1</v>
      </c>
      <c r="I1834" s="1">
        <v>2</v>
      </c>
      <c r="J1834" s="1">
        <v>0</v>
      </c>
      <c r="K1834" s="1">
        <v>1</v>
      </c>
      <c r="L1834" s="1">
        <v>6426</v>
      </c>
      <c r="M1834" s="1">
        <v>0</v>
      </c>
    </row>
    <row r="1835" spans="2:13" x14ac:dyDescent="0.25">
      <c r="B1835" s="1">
        <v>1</v>
      </c>
      <c r="C1835" s="1">
        <v>1</v>
      </c>
      <c r="D1835" s="1">
        <v>0</v>
      </c>
      <c r="E1835" s="1">
        <v>1</v>
      </c>
      <c r="F1835" s="1">
        <v>94</v>
      </c>
      <c r="G1835" s="1">
        <v>1</v>
      </c>
      <c r="H1835" s="1">
        <v>6</v>
      </c>
      <c r="I1835" s="1">
        <v>5</v>
      </c>
      <c r="J1835" s="1">
        <v>1</v>
      </c>
      <c r="K1835" s="1">
        <v>1</v>
      </c>
      <c r="L1835" s="1">
        <v>20423</v>
      </c>
      <c r="M1835" s="1">
        <v>0</v>
      </c>
    </row>
    <row r="1836" spans="2:13" x14ac:dyDescent="0.25">
      <c r="B1836" s="1">
        <v>0</v>
      </c>
      <c r="C1836" s="1">
        <v>0</v>
      </c>
      <c r="D1836" s="1">
        <v>1</v>
      </c>
      <c r="E1836" s="1">
        <v>0</v>
      </c>
      <c r="F1836" s="1">
        <v>48</v>
      </c>
      <c r="G1836" s="1">
        <v>1</v>
      </c>
      <c r="H1836" s="1">
        <v>3</v>
      </c>
      <c r="I1836" s="1">
        <v>1</v>
      </c>
      <c r="J1836" s="1">
        <v>2</v>
      </c>
      <c r="K1836" s="1">
        <v>0</v>
      </c>
      <c r="L1836" s="1">
        <v>28180</v>
      </c>
      <c r="M1836" s="1">
        <v>1</v>
      </c>
    </row>
    <row r="1837" spans="2:13" x14ac:dyDescent="0.25">
      <c r="B1837" s="1">
        <v>0</v>
      </c>
      <c r="C1837" s="1">
        <v>0</v>
      </c>
      <c r="D1837" s="1">
        <v>1</v>
      </c>
      <c r="E1837" s="1">
        <v>0</v>
      </c>
      <c r="F1837" s="1">
        <v>32</v>
      </c>
      <c r="G1837" s="1">
        <v>0</v>
      </c>
      <c r="H1837" s="1">
        <v>5</v>
      </c>
      <c r="I1837" s="1">
        <v>3</v>
      </c>
      <c r="J1837" s="1">
        <v>0</v>
      </c>
      <c r="K1837" s="1">
        <v>0</v>
      </c>
      <c r="L1837" s="1">
        <v>8214</v>
      </c>
      <c r="M1837" s="1">
        <v>0</v>
      </c>
    </row>
    <row r="1838" spans="2:13" x14ac:dyDescent="0.25">
      <c r="B1838" s="1">
        <v>0</v>
      </c>
      <c r="C1838" s="1">
        <v>0</v>
      </c>
      <c r="D1838" s="1">
        <v>1</v>
      </c>
      <c r="E1838" s="1">
        <v>0</v>
      </c>
      <c r="F1838" s="1">
        <v>77</v>
      </c>
      <c r="G1838" s="1">
        <v>0</v>
      </c>
      <c r="H1838" s="1">
        <v>5</v>
      </c>
      <c r="I1838" s="1">
        <v>1</v>
      </c>
      <c r="J1838" s="1">
        <v>0</v>
      </c>
      <c r="K1838" s="1">
        <v>0</v>
      </c>
      <c r="L1838" s="1">
        <v>31001</v>
      </c>
      <c r="M1838" s="1">
        <v>0</v>
      </c>
    </row>
    <row r="1839" spans="2:13" x14ac:dyDescent="0.25">
      <c r="B1839" s="1">
        <v>0</v>
      </c>
      <c r="C1839" s="1">
        <v>0</v>
      </c>
      <c r="D1839" s="1">
        <v>1</v>
      </c>
      <c r="E1839" s="1">
        <v>0</v>
      </c>
      <c r="F1839" s="1">
        <v>34</v>
      </c>
      <c r="G1839" s="1">
        <v>1</v>
      </c>
      <c r="H1839" s="1">
        <v>4</v>
      </c>
      <c r="I1839" s="1">
        <v>4</v>
      </c>
      <c r="J1839" s="1">
        <v>1</v>
      </c>
      <c r="K1839" s="1">
        <v>0</v>
      </c>
      <c r="L1839" s="1">
        <v>15580</v>
      </c>
      <c r="M1839" s="1">
        <v>0</v>
      </c>
    </row>
    <row r="1840" spans="2:13" x14ac:dyDescent="0.25">
      <c r="B1840" s="17">
        <v>0</v>
      </c>
      <c r="C1840" s="17">
        <v>1</v>
      </c>
      <c r="D1840" s="17">
        <v>0.61538461538461542</v>
      </c>
      <c r="E1840" s="17">
        <v>0.38461538461538464</v>
      </c>
      <c r="F1840" s="17">
        <v>51</v>
      </c>
      <c r="G1840" s="17">
        <v>0</v>
      </c>
      <c r="H1840" s="17">
        <v>4</v>
      </c>
      <c r="I1840" s="17">
        <v>3</v>
      </c>
      <c r="J1840" s="17">
        <v>1</v>
      </c>
      <c r="K1840" s="17">
        <v>0</v>
      </c>
      <c r="L1840" s="17">
        <v>11190</v>
      </c>
      <c r="M1840" s="17">
        <v>0</v>
      </c>
    </row>
    <row r="1841" spans="2:13" x14ac:dyDescent="0.25">
      <c r="B1841" s="1">
        <v>1</v>
      </c>
      <c r="C1841" s="1">
        <v>1</v>
      </c>
      <c r="D1841" s="1">
        <v>0</v>
      </c>
      <c r="E1841" s="1">
        <v>1</v>
      </c>
      <c r="F1841" s="1">
        <v>50</v>
      </c>
      <c r="G1841" s="1">
        <v>0</v>
      </c>
      <c r="H1841" s="1">
        <v>5</v>
      </c>
      <c r="I1841" s="1">
        <v>1</v>
      </c>
      <c r="J1841" s="1">
        <v>0</v>
      </c>
      <c r="K1841" s="1">
        <v>1</v>
      </c>
      <c r="L1841" s="1">
        <v>17809</v>
      </c>
      <c r="M1841" s="1">
        <v>0</v>
      </c>
    </row>
    <row r="1842" spans="2:13" x14ac:dyDescent="0.25">
      <c r="B1842" s="1">
        <v>1</v>
      </c>
      <c r="C1842" s="1">
        <v>1</v>
      </c>
      <c r="D1842" s="1">
        <v>0</v>
      </c>
      <c r="E1842" s="1">
        <v>1</v>
      </c>
      <c r="F1842" s="1">
        <v>75</v>
      </c>
      <c r="G1842" s="1">
        <v>0</v>
      </c>
      <c r="H1842" s="1">
        <v>7</v>
      </c>
      <c r="I1842" s="1">
        <v>4</v>
      </c>
      <c r="J1842" s="1">
        <v>1</v>
      </c>
      <c r="K1842" s="1">
        <v>1</v>
      </c>
      <c r="L1842" s="1">
        <v>25714</v>
      </c>
      <c r="M1842" s="1">
        <v>1</v>
      </c>
    </row>
    <row r="1843" spans="2:13" x14ac:dyDescent="0.25">
      <c r="B1843" s="1">
        <v>1</v>
      </c>
      <c r="C1843" s="1">
        <v>1</v>
      </c>
      <c r="D1843" s="1">
        <v>0</v>
      </c>
      <c r="E1843" s="1">
        <v>1</v>
      </c>
      <c r="F1843" s="1">
        <v>81</v>
      </c>
      <c r="G1843" s="1">
        <v>1</v>
      </c>
      <c r="H1843" s="1">
        <v>11</v>
      </c>
      <c r="I1843" s="1">
        <v>6</v>
      </c>
      <c r="J1843" s="1">
        <v>1</v>
      </c>
      <c r="K1843" s="1">
        <v>1</v>
      </c>
      <c r="L1843" s="1">
        <v>36170</v>
      </c>
      <c r="M1843" s="1">
        <v>0</v>
      </c>
    </row>
    <row r="1844" spans="2:13" x14ac:dyDescent="0.25">
      <c r="B1844" s="1">
        <v>0</v>
      </c>
      <c r="C1844" s="1">
        <v>0</v>
      </c>
      <c r="D1844" s="1">
        <v>1</v>
      </c>
      <c r="E1844" s="1">
        <v>0</v>
      </c>
      <c r="F1844" s="1">
        <v>32</v>
      </c>
      <c r="G1844" s="1">
        <v>1</v>
      </c>
      <c r="H1844" s="1">
        <v>2</v>
      </c>
      <c r="I1844" s="1">
        <v>0</v>
      </c>
      <c r="J1844" s="1">
        <v>2</v>
      </c>
      <c r="K1844" s="1">
        <v>0</v>
      </c>
      <c r="L1844" s="1">
        <v>11309</v>
      </c>
      <c r="M1844" s="1">
        <v>1</v>
      </c>
    </row>
    <row r="1845" spans="2:13" x14ac:dyDescent="0.25">
      <c r="B1845" s="1">
        <v>0</v>
      </c>
      <c r="C1845" s="1">
        <v>0</v>
      </c>
      <c r="D1845" s="1">
        <v>1</v>
      </c>
      <c r="E1845" s="1">
        <v>0</v>
      </c>
      <c r="F1845" s="1">
        <v>61</v>
      </c>
      <c r="G1845" s="1">
        <v>1</v>
      </c>
      <c r="H1845" s="1">
        <v>8</v>
      </c>
      <c r="I1845" s="1">
        <v>4</v>
      </c>
      <c r="J1845" s="1">
        <v>2</v>
      </c>
      <c r="K1845" s="1">
        <v>0</v>
      </c>
      <c r="L1845" s="1">
        <v>24789</v>
      </c>
      <c r="M1845" s="1">
        <v>0</v>
      </c>
    </row>
    <row r="1846" spans="2:13" x14ac:dyDescent="0.25">
      <c r="B1846" s="1">
        <v>0</v>
      </c>
      <c r="C1846" s="1">
        <v>0</v>
      </c>
      <c r="D1846" s="1">
        <v>1</v>
      </c>
      <c r="E1846" s="1">
        <v>0</v>
      </c>
      <c r="F1846" s="1">
        <v>73</v>
      </c>
      <c r="G1846" s="1">
        <v>1</v>
      </c>
      <c r="H1846" s="1">
        <v>2</v>
      </c>
      <c r="I1846" s="1">
        <v>4</v>
      </c>
      <c r="J1846" s="1">
        <v>0</v>
      </c>
      <c r="K1846" s="1">
        <v>0</v>
      </c>
      <c r="L1846" s="1">
        <v>10963</v>
      </c>
      <c r="M1846" s="1">
        <v>0</v>
      </c>
    </row>
    <row r="1847" spans="2:13" x14ac:dyDescent="0.25">
      <c r="B1847" s="1">
        <v>1</v>
      </c>
      <c r="C1847" s="1">
        <v>1</v>
      </c>
      <c r="D1847" s="1">
        <v>0</v>
      </c>
      <c r="E1847" s="1">
        <v>1</v>
      </c>
      <c r="F1847" s="1">
        <v>53</v>
      </c>
      <c r="G1847" s="1">
        <v>0</v>
      </c>
      <c r="H1847" s="1">
        <v>1</v>
      </c>
      <c r="I1847" s="1">
        <v>4</v>
      </c>
      <c r="J1847" s="1">
        <v>0</v>
      </c>
      <c r="K1847" s="1">
        <v>1</v>
      </c>
      <c r="L1847" s="1">
        <v>9490</v>
      </c>
      <c r="M1847" s="1">
        <v>0</v>
      </c>
    </row>
    <row r="1848" spans="2:13" x14ac:dyDescent="0.25">
      <c r="B1848" s="1">
        <v>0</v>
      </c>
      <c r="C1848" s="1">
        <v>0</v>
      </c>
      <c r="D1848" s="1">
        <v>1</v>
      </c>
      <c r="E1848" s="1">
        <v>0</v>
      </c>
      <c r="F1848" s="1">
        <v>68</v>
      </c>
      <c r="G1848" s="1">
        <v>1</v>
      </c>
      <c r="H1848" s="1">
        <v>3</v>
      </c>
      <c r="I1848" s="1">
        <v>5</v>
      </c>
      <c r="J1848" s="1">
        <v>0</v>
      </c>
      <c r="K1848" s="1">
        <v>0</v>
      </c>
      <c r="L1848" s="1">
        <v>11900</v>
      </c>
      <c r="M1848" s="1">
        <v>0</v>
      </c>
    </row>
    <row r="1849" spans="2:13" x14ac:dyDescent="0.25">
      <c r="B1849" s="1">
        <v>0</v>
      </c>
      <c r="C1849" s="1">
        <v>0</v>
      </c>
      <c r="D1849" s="1">
        <v>1</v>
      </c>
      <c r="E1849" s="1">
        <v>0</v>
      </c>
      <c r="F1849" s="1">
        <v>0</v>
      </c>
      <c r="G1849" s="1">
        <v>0</v>
      </c>
      <c r="H1849" s="1">
        <v>5</v>
      </c>
      <c r="I1849" s="1">
        <v>0</v>
      </c>
      <c r="J1849" s="1">
        <v>0</v>
      </c>
      <c r="K1849" s="1">
        <v>0</v>
      </c>
      <c r="L1849" s="1">
        <v>5513</v>
      </c>
      <c r="M1849" s="1">
        <v>0</v>
      </c>
    </row>
    <row r="1850" spans="2:13" x14ac:dyDescent="0.25">
      <c r="B1850" s="1">
        <v>0</v>
      </c>
      <c r="C1850" s="1">
        <v>0</v>
      </c>
      <c r="D1850" s="1">
        <v>0.95652173913043481</v>
      </c>
      <c r="E1850" s="1">
        <v>4.3478260869565209E-2</v>
      </c>
      <c r="F1850" s="1">
        <v>84</v>
      </c>
      <c r="G1850" s="1">
        <v>1</v>
      </c>
      <c r="H1850" s="1">
        <v>0</v>
      </c>
      <c r="I1850" s="1">
        <v>4</v>
      </c>
      <c r="J1850" s="1">
        <v>0</v>
      </c>
      <c r="K1850" s="1">
        <v>0</v>
      </c>
      <c r="L1850" s="1">
        <v>12264</v>
      </c>
      <c r="M1850" s="1">
        <v>0</v>
      </c>
    </row>
    <row r="1851" spans="2:13" x14ac:dyDescent="0.25">
      <c r="B1851" s="1">
        <v>0</v>
      </c>
      <c r="C1851" s="1">
        <v>0</v>
      </c>
      <c r="D1851" s="1">
        <v>0.96551724137931039</v>
      </c>
      <c r="E1851" s="1">
        <v>3.4482758620689655E-2</v>
      </c>
      <c r="F1851" s="1">
        <v>52</v>
      </c>
      <c r="G1851" s="1">
        <v>1</v>
      </c>
      <c r="H1851" s="1">
        <v>3</v>
      </c>
      <c r="I1851" s="1">
        <v>2</v>
      </c>
      <c r="J1851" s="1">
        <v>0</v>
      </c>
      <c r="K1851" s="1">
        <v>0</v>
      </c>
      <c r="L1851" s="1">
        <v>15042</v>
      </c>
      <c r="M1851" s="1">
        <v>0</v>
      </c>
    </row>
    <row r="1852" spans="2:13" x14ac:dyDescent="0.25">
      <c r="B1852" s="1">
        <v>0</v>
      </c>
      <c r="C1852" s="1">
        <v>0</v>
      </c>
      <c r="D1852" s="1">
        <v>1</v>
      </c>
      <c r="E1852" s="1">
        <v>0</v>
      </c>
      <c r="F1852" s="1">
        <v>79</v>
      </c>
      <c r="G1852" s="1">
        <v>0</v>
      </c>
      <c r="H1852" s="1">
        <v>3</v>
      </c>
      <c r="I1852" s="1">
        <v>5</v>
      </c>
      <c r="J1852" s="1">
        <v>0</v>
      </c>
      <c r="K1852" s="1">
        <v>0</v>
      </c>
      <c r="L1852" s="1">
        <v>11352</v>
      </c>
      <c r="M1852" s="1">
        <v>0</v>
      </c>
    </row>
    <row r="1853" spans="2:13" x14ac:dyDescent="0.25">
      <c r="B1853" s="17">
        <v>0</v>
      </c>
      <c r="C1853" s="17">
        <v>1</v>
      </c>
      <c r="D1853" s="17">
        <v>0.5</v>
      </c>
      <c r="E1853" s="17">
        <v>0.5</v>
      </c>
      <c r="F1853" s="17">
        <v>100</v>
      </c>
      <c r="G1853" s="17">
        <v>1</v>
      </c>
      <c r="H1853" s="17">
        <v>3</v>
      </c>
      <c r="I1853" s="17">
        <v>4</v>
      </c>
      <c r="J1853" s="17">
        <v>0</v>
      </c>
      <c r="K1853" s="17">
        <v>0</v>
      </c>
      <c r="L1853" s="17">
        <v>9584</v>
      </c>
      <c r="M1853" s="17">
        <v>0</v>
      </c>
    </row>
    <row r="1854" spans="2:13" x14ac:dyDescent="0.25">
      <c r="B1854" s="1">
        <v>0</v>
      </c>
      <c r="C1854" s="1">
        <v>0</v>
      </c>
      <c r="D1854" s="1">
        <v>1</v>
      </c>
      <c r="E1854" s="1">
        <v>0</v>
      </c>
      <c r="F1854" s="1">
        <v>0</v>
      </c>
      <c r="G1854" s="1">
        <v>0</v>
      </c>
      <c r="H1854" s="1">
        <v>4</v>
      </c>
      <c r="I1854" s="1">
        <v>0</v>
      </c>
      <c r="J1854" s="1">
        <v>0</v>
      </c>
      <c r="K1854" s="1">
        <v>0</v>
      </c>
      <c r="L1854" s="1">
        <v>7698</v>
      </c>
      <c r="M1854" s="1">
        <v>0</v>
      </c>
    </row>
    <row r="1855" spans="2:13" x14ac:dyDescent="0.25">
      <c r="B1855" s="1">
        <v>0</v>
      </c>
      <c r="C1855" s="1">
        <v>0</v>
      </c>
      <c r="D1855" s="1">
        <v>0.9285714285714286</v>
      </c>
      <c r="E1855" s="1">
        <v>7.1428571428571411E-2</v>
      </c>
      <c r="F1855" s="1">
        <v>0</v>
      </c>
      <c r="G1855" s="1">
        <v>0</v>
      </c>
      <c r="H1855" s="1">
        <v>2</v>
      </c>
      <c r="I1855" s="1">
        <v>0</v>
      </c>
      <c r="J1855" s="1">
        <v>0</v>
      </c>
      <c r="K1855" s="1">
        <v>0</v>
      </c>
      <c r="L1855" s="1">
        <v>1216</v>
      </c>
      <c r="M1855" s="1">
        <v>0</v>
      </c>
    </row>
    <row r="1856" spans="2:13" x14ac:dyDescent="0.25">
      <c r="B1856" s="1">
        <v>0</v>
      </c>
      <c r="C1856" s="1">
        <v>0</v>
      </c>
      <c r="D1856" s="1">
        <v>0.91666666666666663</v>
      </c>
      <c r="E1856" s="1">
        <v>8.3333333333333329E-2</v>
      </c>
      <c r="F1856" s="1">
        <v>0</v>
      </c>
      <c r="G1856" s="1">
        <v>1</v>
      </c>
      <c r="H1856" s="1">
        <v>2</v>
      </c>
      <c r="I1856" s="1">
        <v>0</v>
      </c>
      <c r="J1856" s="1">
        <v>0</v>
      </c>
      <c r="K1856" s="1">
        <v>0</v>
      </c>
      <c r="L1856" s="1">
        <v>1342</v>
      </c>
      <c r="M1856" s="1">
        <v>0</v>
      </c>
    </row>
    <row r="1857" spans="2:13" x14ac:dyDescent="0.25">
      <c r="B1857" s="1">
        <v>0</v>
      </c>
      <c r="C1857" s="1">
        <v>0</v>
      </c>
      <c r="D1857" s="1">
        <v>1</v>
      </c>
      <c r="E1857" s="1">
        <v>0</v>
      </c>
      <c r="F1857" s="1">
        <v>60</v>
      </c>
      <c r="G1857" s="1">
        <v>0</v>
      </c>
      <c r="H1857" s="1">
        <v>3</v>
      </c>
      <c r="I1857" s="1">
        <v>8</v>
      </c>
      <c r="J1857" s="1">
        <v>0</v>
      </c>
      <c r="K1857" s="1">
        <v>0</v>
      </c>
      <c r="L1857" s="1">
        <v>12041</v>
      </c>
      <c r="M1857" s="1">
        <v>0</v>
      </c>
    </row>
    <row r="1858" spans="2:13" x14ac:dyDescent="0.25">
      <c r="B1858" s="1">
        <v>0</v>
      </c>
      <c r="C1858" s="1">
        <v>0</v>
      </c>
      <c r="D1858" s="1">
        <v>1</v>
      </c>
      <c r="E1858" s="1">
        <v>0</v>
      </c>
      <c r="F1858" s="1">
        <v>0</v>
      </c>
      <c r="G1858" s="1">
        <v>0</v>
      </c>
      <c r="H1858" s="1">
        <v>2</v>
      </c>
      <c r="I1858" s="1">
        <v>0</v>
      </c>
      <c r="J1858" s="1">
        <v>0</v>
      </c>
      <c r="K1858" s="1">
        <v>0</v>
      </c>
      <c r="L1858" s="1">
        <v>2177</v>
      </c>
      <c r="M1858" s="1">
        <v>0</v>
      </c>
    </row>
    <row r="1859" spans="2:13" x14ac:dyDescent="0.25">
      <c r="B1859" s="1">
        <v>1</v>
      </c>
      <c r="C1859" s="1">
        <v>1</v>
      </c>
      <c r="D1859" s="1">
        <v>9.9999999999999992E-2</v>
      </c>
      <c r="E1859" s="1">
        <v>0.9</v>
      </c>
      <c r="F1859" s="1">
        <v>74</v>
      </c>
      <c r="G1859" s="1">
        <v>1</v>
      </c>
      <c r="H1859" s="1">
        <v>4</v>
      </c>
      <c r="I1859" s="1">
        <v>8</v>
      </c>
      <c r="J1859" s="1">
        <v>0</v>
      </c>
      <c r="K1859" s="1">
        <v>0</v>
      </c>
      <c r="L1859" s="1">
        <v>19055</v>
      </c>
      <c r="M1859" s="1">
        <v>0</v>
      </c>
    </row>
    <row r="1860" spans="2:13" x14ac:dyDescent="0.25">
      <c r="B1860" s="1">
        <v>0</v>
      </c>
      <c r="C1860" s="1">
        <v>0</v>
      </c>
      <c r="D1860" s="1">
        <v>1</v>
      </c>
      <c r="E1860" s="1">
        <v>0</v>
      </c>
      <c r="F1860" s="1">
        <v>42</v>
      </c>
      <c r="G1860" s="1">
        <v>1</v>
      </c>
      <c r="H1860" s="1">
        <v>2</v>
      </c>
      <c r="I1860" s="1">
        <v>0</v>
      </c>
      <c r="J1860" s="1">
        <v>1</v>
      </c>
      <c r="K1860" s="1">
        <v>0</v>
      </c>
      <c r="L1860" s="1">
        <v>5218</v>
      </c>
      <c r="M1860" s="1">
        <v>0</v>
      </c>
    </row>
    <row r="1861" spans="2:13" x14ac:dyDescent="0.25">
      <c r="B1861" s="1">
        <v>0</v>
      </c>
      <c r="C1861" s="1">
        <v>0</v>
      </c>
      <c r="D1861" s="1">
        <v>0.96</v>
      </c>
      <c r="E1861" s="1">
        <v>0.04</v>
      </c>
      <c r="F1861" s="1">
        <v>54</v>
      </c>
      <c r="G1861" s="1">
        <v>0</v>
      </c>
      <c r="H1861" s="1">
        <v>9</v>
      </c>
      <c r="I1861" s="1">
        <v>2</v>
      </c>
      <c r="J1861" s="1">
        <v>0</v>
      </c>
      <c r="K1861" s="1">
        <v>0</v>
      </c>
      <c r="L1861" s="1">
        <v>13384</v>
      </c>
      <c r="M1861" s="1">
        <v>0</v>
      </c>
    </row>
    <row r="1862" spans="2:13" x14ac:dyDescent="0.25">
      <c r="B1862" s="1">
        <v>1</v>
      </c>
      <c r="C1862" s="1">
        <v>1</v>
      </c>
      <c r="D1862" s="1">
        <v>0.30769230769230771</v>
      </c>
      <c r="E1862" s="1">
        <v>0.69230769230769229</v>
      </c>
      <c r="F1862" s="1">
        <v>50</v>
      </c>
      <c r="G1862" s="1">
        <v>0</v>
      </c>
      <c r="H1862" s="1">
        <v>3</v>
      </c>
      <c r="I1862" s="1">
        <v>3</v>
      </c>
      <c r="J1862" s="1">
        <v>0</v>
      </c>
      <c r="K1862" s="1">
        <v>0</v>
      </c>
      <c r="L1862" s="1">
        <v>18796</v>
      </c>
      <c r="M1862" s="1">
        <v>0</v>
      </c>
    </row>
    <row r="1863" spans="2:13" x14ac:dyDescent="0.25">
      <c r="B1863" s="1">
        <v>0</v>
      </c>
      <c r="C1863" s="1">
        <v>0</v>
      </c>
      <c r="D1863" s="1">
        <v>0.91666666666666663</v>
      </c>
      <c r="E1863" s="1">
        <v>8.3333333333333329E-2</v>
      </c>
      <c r="F1863" s="1">
        <v>0</v>
      </c>
      <c r="G1863" s="1">
        <v>1</v>
      </c>
      <c r="H1863" s="1">
        <v>2</v>
      </c>
      <c r="I1863" s="1">
        <v>0</v>
      </c>
      <c r="J1863" s="1">
        <v>0</v>
      </c>
      <c r="K1863" s="1">
        <v>0</v>
      </c>
      <c r="L1863" s="1">
        <v>1191</v>
      </c>
      <c r="M1863" s="1">
        <v>0</v>
      </c>
    </row>
    <row r="1864" spans="2:13" x14ac:dyDescent="0.25">
      <c r="B1864" s="1">
        <v>0</v>
      </c>
      <c r="C1864" s="1">
        <v>0</v>
      </c>
      <c r="D1864" s="1">
        <v>1</v>
      </c>
      <c r="E1864" s="1">
        <v>0</v>
      </c>
      <c r="F1864" s="1">
        <v>0</v>
      </c>
      <c r="G1864" s="1">
        <v>1</v>
      </c>
      <c r="H1864" s="1">
        <v>3</v>
      </c>
      <c r="I1864" s="1">
        <v>0</v>
      </c>
      <c r="J1864" s="1">
        <v>0</v>
      </c>
      <c r="K1864" s="1">
        <v>0</v>
      </c>
      <c r="L1864" s="1">
        <v>4556</v>
      </c>
      <c r="M1864" s="1">
        <v>0</v>
      </c>
    </row>
    <row r="1865" spans="2:13" x14ac:dyDescent="0.25">
      <c r="B1865" s="1">
        <v>0</v>
      </c>
      <c r="C1865" s="1">
        <v>0</v>
      </c>
      <c r="D1865" s="1">
        <v>1</v>
      </c>
      <c r="E1865" s="1">
        <v>0</v>
      </c>
      <c r="F1865" s="1">
        <v>73</v>
      </c>
      <c r="G1865" s="1">
        <v>1</v>
      </c>
      <c r="H1865" s="1">
        <v>3</v>
      </c>
      <c r="I1865" s="1">
        <v>5</v>
      </c>
      <c r="J1865" s="1">
        <v>1</v>
      </c>
      <c r="K1865" s="1">
        <v>0</v>
      </c>
      <c r="L1865" s="1">
        <v>12573</v>
      </c>
      <c r="M1865" s="1">
        <v>0</v>
      </c>
    </row>
    <row r="1866" spans="2:13" x14ac:dyDescent="0.25">
      <c r="B1866" s="1">
        <v>0</v>
      </c>
      <c r="C1866" s="1">
        <v>0</v>
      </c>
      <c r="D1866" s="1">
        <v>0.9</v>
      </c>
      <c r="E1866" s="1">
        <v>9.9999999999999992E-2</v>
      </c>
      <c r="F1866" s="1">
        <v>77</v>
      </c>
      <c r="G1866" s="1">
        <v>1</v>
      </c>
      <c r="H1866" s="1">
        <v>2</v>
      </c>
      <c r="I1866" s="1">
        <v>4</v>
      </c>
      <c r="J1866" s="1">
        <v>0</v>
      </c>
      <c r="K1866" s="1">
        <v>0</v>
      </c>
      <c r="L1866" s="1">
        <v>7756</v>
      </c>
      <c r="M1866" s="1">
        <v>0</v>
      </c>
    </row>
    <row r="1867" spans="2:13" x14ac:dyDescent="0.25">
      <c r="B1867" s="1">
        <v>0</v>
      </c>
      <c r="C1867" s="1">
        <v>0</v>
      </c>
      <c r="D1867" s="1">
        <v>1</v>
      </c>
      <c r="E1867" s="1">
        <v>0</v>
      </c>
      <c r="F1867" s="1">
        <v>19</v>
      </c>
      <c r="G1867" s="1">
        <v>1</v>
      </c>
      <c r="H1867" s="1">
        <v>2</v>
      </c>
      <c r="I1867" s="1">
        <v>0</v>
      </c>
      <c r="J1867" s="1">
        <v>2</v>
      </c>
      <c r="K1867" s="1">
        <v>0</v>
      </c>
      <c r="L1867" s="1">
        <v>7290</v>
      </c>
      <c r="M1867" s="1">
        <v>0</v>
      </c>
    </row>
    <row r="1868" spans="2:13" x14ac:dyDescent="0.25">
      <c r="B1868" s="1">
        <v>0</v>
      </c>
      <c r="C1868" s="1">
        <v>0</v>
      </c>
      <c r="D1868" s="1">
        <v>1</v>
      </c>
      <c r="E1868" s="1">
        <v>0</v>
      </c>
      <c r="F1868" s="1">
        <v>67</v>
      </c>
      <c r="G1868" s="1">
        <v>0</v>
      </c>
      <c r="H1868" s="1">
        <v>9</v>
      </c>
      <c r="I1868" s="1">
        <v>5</v>
      </c>
      <c r="J1868" s="1">
        <v>0</v>
      </c>
      <c r="K1868" s="1">
        <v>0</v>
      </c>
      <c r="L1868" s="1">
        <v>25802</v>
      </c>
      <c r="M1868" s="1">
        <v>0</v>
      </c>
    </row>
    <row r="1869" spans="2:13" x14ac:dyDescent="0.25">
      <c r="B1869" s="1">
        <v>0</v>
      </c>
      <c r="C1869" s="1">
        <v>0</v>
      </c>
      <c r="D1869" s="1">
        <v>1</v>
      </c>
      <c r="E1869" s="1">
        <v>0</v>
      </c>
      <c r="F1869" s="1">
        <v>22</v>
      </c>
      <c r="G1869" s="1">
        <v>1</v>
      </c>
      <c r="H1869" s="1">
        <v>3</v>
      </c>
      <c r="I1869" s="1">
        <v>0</v>
      </c>
      <c r="J1869" s="1">
        <v>1</v>
      </c>
      <c r="K1869" s="1">
        <v>0</v>
      </c>
      <c r="L1869" s="1">
        <v>7733</v>
      </c>
      <c r="M1869" s="1">
        <v>0</v>
      </c>
    </row>
    <row r="1870" spans="2:13" x14ac:dyDescent="0.25">
      <c r="B1870" s="1">
        <v>0</v>
      </c>
      <c r="C1870" s="1">
        <v>0</v>
      </c>
      <c r="D1870" s="1">
        <v>1</v>
      </c>
      <c r="E1870" s="1">
        <v>0</v>
      </c>
      <c r="F1870" s="1">
        <v>77</v>
      </c>
      <c r="G1870" s="1">
        <v>0</v>
      </c>
      <c r="H1870" s="1">
        <v>13</v>
      </c>
      <c r="I1870" s="1">
        <v>3</v>
      </c>
      <c r="J1870" s="1">
        <v>0</v>
      </c>
      <c r="K1870" s="1">
        <v>0</v>
      </c>
      <c r="L1870" s="1">
        <v>21117</v>
      </c>
      <c r="M1870" s="1">
        <v>0</v>
      </c>
    </row>
    <row r="1871" spans="2:13" x14ac:dyDescent="0.25">
      <c r="B1871" s="1">
        <v>1</v>
      </c>
      <c r="C1871" s="1">
        <v>1</v>
      </c>
      <c r="D1871" s="1">
        <v>0</v>
      </c>
      <c r="E1871" s="1">
        <v>1</v>
      </c>
      <c r="F1871" s="1">
        <v>74</v>
      </c>
      <c r="G1871" s="1">
        <v>0</v>
      </c>
      <c r="H1871" s="1">
        <v>1</v>
      </c>
      <c r="I1871" s="1">
        <v>2</v>
      </c>
      <c r="J1871" s="1">
        <v>0</v>
      </c>
      <c r="K1871" s="1">
        <v>1</v>
      </c>
      <c r="L1871" s="1">
        <v>6280</v>
      </c>
      <c r="M1871" s="1">
        <v>0</v>
      </c>
    </row>
    <row r="1872" spans="2:13" x14ac:dyDescent="0.25">
      <c r="B1872" s="1">
        <v>0</v>
      </c>
      <c r="C1872" s="1">
        <v>0</v>
      </c>
      <c r="D1872" s="1">
        <v>0.7</v>
      </c>
      <c r="E1872" s="1">
        <v>0.3</v>
      </c>
      <c r="F1872" s="1">
        <v>29</v>
      </c>
      <c r="G1872" s="1">
        <v>0</v>
      </c>
      <c r="H1872" s="1">
        <v>15</v>
      </c>
      <c r="I1872" s="1">
        <v>2</v>
      </c>
      <c r="J1872" s="1">
        <v>0</v>
      </c>
      <c r="K1872" s="1">
        <v>0</v>
      </c>
      <c r="L1872" s="1">
        <v>23405</v>
      </c>
      <c r="M1872" s="1">
        <v>0</v>
      </c>
    </row>
    <row r="1873" spans="2:13" x14ac:dyDescent="0.25">
      <c r="B1873" s="1">
        <v>0</v>
      </c>
      <c r="C1873" s="1">
        <v>0</v>
      </c>
      <c r="D1873" s="1">
        <v>1</v>
      </c>
      <c r="E1873" s="1">
        <v>0</v>
      </c>
      <c r="F1873" s="1">
        <v>24</v>
      </c>
      <c r="G1873" s="1">
        <v>1</v>
      </c>
      <c r="H1873" s="1">
        <v>2</v>
      </c>
      <c r="I1873" s="1">
        <v>0</v>
      </c>
      <c r="J1873" s="1">
        <v>2</v>
      </c>
      <c r="K1873" s="1">
        <v>0</v>
      </c>
      <c r="L1873" s="1">
        <v>7086</v>
      </c>
      <c r="M1873" s="1">
        <v>0</v>
      </c>
    </row>
    <row r="1874" spans="2:13" x14ac:dyDescent="0.25">
      <c r="B1874" s="1">
        <v>0</v>
      </c>
      <c r="C1874" s="1">
        <v>0</v>
      </c>
      <c r="D1874" s="1">
        <v>1</v>
      </c>
      <c r="E1874" s="1">
        <v>0</v>
      </c>
      <c r="F1874" s="1">
        <v>70</v>
      </c>
      <c r="G1874" s="1">
        <v>0</v>
      </c>
      <c r="H1874" s="1">
        <v>6</v>
      </c>
      <c r="I1874" s="1">
        <v>1</v>
      </c>
      <c r="J1874" s="1">
        <v>0</v>
      </c>
      <c r="K1874" s="1">
        <v>0</v>
      </c>
      <c r="L1874" s="1">
        <v>12958</v>
      </c>
      <c r="M1874" s="1">
        <v>0</v>
      </c>
    </row>
    <row r="1875" spans="2:13" x14ac:dyDescent="0.25">
      <c r="B1875" s="1">
        <v>1</v>
      </c>
      <c r="C1875" s="1">
        <v>1</v>
      </c>
      <c r="D1875" s="1">
        <v>0</v>
      </c>
      <c r="E1875" s="1">
        <v>1</v>
      </c>
      <c r="F1875" s="1">
        <v>89</v>
      </c>
      <c r="G1875" s="1">
        <v>1</v>
      </c>
      <c r="H1875" s="1">
        <v>2</v>
      </c>
      <c r="I1875" s="1">
        <v>5</v>
      </c>
      <c r="J1875" s="1">
        <v>0</v>
      </c>
      <c r="K1875" s="1">
        <v>1</v>
      </c>
      <c r="L1875" s="1">
        <v>11151</v>
      </c>
      <c r="M1875" s="1">
        <v>0</v>
      </c>
    </row>
    <row r="1876" spans="2:13" x14ac:dyDescent="0.25">
      <c r="B1876" s="17">
        <v>0</v>
      </c>
      <c r="C1876" s="17">
        <v>1</v>
      </c>
      <c r="D1876" s="17">
        <v>0.61538461538461542</v>
      </c>
      <c r="E1876" s="17">
        <v>0.38461538461538464</v>
      </c>
      <c r="F1876" s="17">
        <v>51</v>
      </c>
      <c r="G1876" s="17">
        <v>1</v>
      </c>
      <c r="H1876" s="17">
        <v>4</v>
      </c>
      <c r="I1876" s="17">
        <v>3</v>
      </c>
      <c r="J1876" s="17">
        <v>3</v>
      </c>
      <c r="K1876" s="17">
        <v>0</v>
      </c>
      <c r="L1876" s="17">
        <v>25083</v>
      </c>
      <c r="M1876" s="17">
        <v>1</v>
      </c>
    </row>
    <row r="1877" spans="2:13" x14ac:dyDescent="0.25">
      <c r="B1877" s="1">
        <v>0</v>
      </c>
      <c r="C1877" s="1">
        <v>0</v>
      </c>
      <c r="D1877" s="1">
        <v>1</v>
      </c>
      <c r="E1877" s="1">
        <v>0</v>
      </c>
      <c r="F1877" s="1">
        <v>30</v>
      </c>
      <c r="G1877" s="1">
        <v>1</v>
      </c>
      <c r="H1877" s="1">
        <v>2</v>
      </c>
      <c r="I1877" s="1">
        <v>0</v>
      </c>
      <c r="J1877" s="1">
        <v>2</v>
      </c>
      <c r="K1877" s="1">
        <v>0</v>
      </c>
      <c r="L1877" s="1">
        <v>5818</v>
      </c>
      <c r="M1877" s="1">
        <v>0</v>
      </c>
    </row>
    <row r="1878" spans="2:13" x14ac:dyDescent="0.25">
      <c r="B1878" s="1">
        <v>1</v>
      </c>
      <c r="C1878" s="1">
        <v>1</v>
      </c>
      <c r="D1878" s="1">
        <v>0</v>
      </c>
      <c r="E1878" s="1">
        <v>1</v>
      </c>
      <c r="F1878" s="1">
        <v>85</v>
      </c>
      <c r="G1878" s="1">
        <v>1</v>
      </c>
      <c r="H1878" s="1">
        <v>10</v>
      </c>
      <c r="I1878" s="1">
        <v>7</v>
      </c>
      <c r="J1878" s="1">
        <v>0</v>
      </c>
      <c r="K1878" s="1">
        <v>1</v>
      </c>
      <c r="L1878" s="1">
        <v>16209</v>
      </c>
      <c r="M1878" s="1">
        <v>0</v>
      </c>
    </row>
  </sheetData>
  <mergeCells count="21">
    <mergeCell ref="B4:K4"/>
    <mergeCell ref="N4:Q4"/>
    <mergeCell ref="D6:E6"/>
    <mergeCell ref="F6:G6"/>
    <mergeCell ref="H6:I6"/>
    <mergeCell ref="J6:K6"/>
    <mergeCell ref="B7:C7"/>
    <mergeCell ref="D7:E7"/>
    <mergeCell ref="F7:G7"/>
    <mergeCell ref="H7:I7"/>
    <mergeCell ref="J7:K7"/>
    <mergeCell ref="C12:F12"/>
    <mergeCell ref="C13:F13"/>
    <mergeCell ref="B16:E16"/>
    <mergeCell ref="G16:L16"/>
    <mergeCell ref="B5:C5"/>
    <mergeCell ref="D5:E5"/>
    <mergeCell ref="F5:G5"/>
    <mergeCell ref="H5:I5"/>
    <mergeCell ref="J5:K5"/>
    <mergeCell ref="B6:C6"/>
  </mergeCells>
  <hyperlinks>
    <hyperlink ref="B5" location="'CT_FullTree'!$B$12:$B$12" display="Full-Grown Tree"/>
    <hyperlink ref="D5" location="'CT_Output'!$B$12:$B$12" display="Inputs"/>
    <hyperlink ref="F5" location="'CT_Output'!$B$46:$B$46" display="Prior class probs"/>
    <hyperlink ref="H5" location="'CT_Output'!$B$54:$B$54" display="Train Log"/>
    <hyperlink ref="J5" location="'CT_Output'!$B$104:$B$104" display="Full-Grown Tree Rules"/>
    <hyperlink ref="B6" location="'CT_Output'!$B$202:$B$202" display="Train. Score Summary."/>
    <hyperlink ref="D6" location="'CT_Output'!$B$225:$B$225" display="Best-Pruned Tree Rules"/>
    <hyperlink ref="F6" location="'CT_Output'!$B$279:$B$279" display="Valid. Score Summary"/>
    <hyperlink ref="H6" location="'CT_PruneLog'!$B$2:$B$2" display="Prune Log"/>
    <hyperlink ref="J6" location="'CT_PruneTree'!$B$12:$B$12" display="Best-Pruned Tree"/>
    <hyperlink ref="B7" location="'CT_TrainingLiftChart'!$B$12:$B$12" display="CT Train. Lift Chart"/>
    <hyperlink ref="D7" location="'CT_TrainingScore'!$B$2:$B$2" display="Train. Score Detail"/>
    <hyperlink ref="F7" location="'CT_ValidationLiftChart'!$B$12:$B$12" display="CT Valid. Lift Chart"/>
    <hyperlink ref="H7" location="'CT_ValidationScore'!$B$2:$B$2" display="Valid. Score Detail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Q1258"/>
  <sheetViews>
    <sheetView showGridLines="0" workbookViewId="0"/>
  </sheetViews>
  <sheetFormatPr defaultRowHeight="15" x14ac:dyDescent="0.25"/>
  <cols>
    <col min="14" max="14" width="11.140625" bestFit="1" customWidth="1"/>
  </cols>
  <sheetData>
    <row r="2" spans="2:17" ht="18.75" x14ac:dyDescent="0.3">
      <c r="B2" s="4" t="s">
        <v>125</v>
      </c>
      <c r="N2" t="s">
        <v>9</v>
      </c>
    </row>
    <row r="4" spans="2:17" ht="15.75" x14ac:dyDescent="0.25">
      <c r="B4" s="9" t="s">
        <v>81</v>
      </c>
      <c r="C4" s="10"/>
      <c r="D4" s="10"/>
      <c r="E4" s="10"/>
      <c r="F4" s="10"/>
      <c r="G4" s="10"/>
      <c r="H4" s="10"/>
      <c r="I4" s="10"/>
      <c r="J4" s="10"/>
      <c r="K4" s="11"/>
      <c r="N4" s="9" t="s">
        <v>82</v>
      </c>
      <c r="O4" s="10"/>
      <c r="P4" s="10"/>
      <c r="Q4" s="11"/>
    </row>
    <row r="5" spans="2:17" x14ac:dyDescent="0.25">
      <c r="B5" s="12" t="s">
        <v>102</v>
      </c>
      <c r="C5" s="8"/>
      <c r="D5" s="12" t="s">
        <v>103</v>
      </c>
      <c r="E5" s="8"/>
      <c r="F5" s="12" t="s">
        <v>104</v>
      </c>
      <c r="G5" s="8"/>
      <c r="H5" s="12" t="s">
        <v>105</v>
      </c>
      <c r="I5" s="8"/>
      <c r="J5" s="12" t="s">
        <v>106</v>
      </c>
      <c r="K5" s="8"/>
      <c r="N5" s="2" t="s">
        <v>83</v>
      </c>
      <c r="O5" s="2" t="s">
        <v>84</v>
      </c>
      <c r="P5" s="2" t="s">
        <v>85</v>
      </c>
      <c r="Q5" s="2" t="s">
        <v>86</v>
      </c>
    </row>
    <row r="6" spans="2:17" x14ac:dyDescent="0.25">
      <c r="B6" s="12" t="s">
        <v>107</v>
      </c>
      <c r="C6" s="8"/>
      <c r="D6" s="12" t="s">
        <v>108</v>
      </c>
      <c r="E6" s="8"/>
      <c r="F6" s="12" t="s">
        <v>109</v>
      </c>
      <c r="G6" s="8"/>
      <c r="H6" s="12" t="s">
        <v>110</v>
      </c>
      <c r="I6" s="8"/>
      <c r="J6" s="12" t="s">
        <v>111</v>
      </c>
      <c r="K6" s="8"/>
      <c r="N6" s="1">
        <v>15</v>
      </c>
      <c r="O6" s="1">
        <v>579</v>
      </c>
      <c r="P6" s="1">
        <v>78</v>
      </c>
      <c r="Q6" s="1">
        <v>672</v>
      </c>
    </row>
    <row r="7" spans="2:17" x14ac:dyDescent="0.25">
      <c r="B7" s="12" t="s">
        <v>112</v>
      </c>
      <c r="C7" s="8"/>
      <c r="D7" s="12" t="s">
        <v>113</v>
      </c>
      <c r="E7" s="8"/>
      <c r="F7" s="12" t="s">
        <v>114</v>
      </c>
      <c r="G7" s="8"/>
      <c r="H7" s="12" t="s">
        <v>115</v>
      </c>
      <c r="I7" s="8"/>
      <c r="J7" s="7"/>
      <c r="K7" s="8"/>
    </row>
    <row r="12" spans="2:17" x14ac:dyDescent="0.25">
      <c r="B12" s="3" t="s">
        <v>126</v>
      </c>
      <c r="C12" s="7" t="s">
        <v>127</v>
      </c>
      <c r="D12" s="18"/>
      <c r="E12" s="18"/>
      <c r="F12" s="8"/>
    </row>
    <row r="13" spans="2:17" x14ac:dyDescent="0.25">
      <c r="B13" s="3" t="s">
        <v>128</v>
      </c>
      <c r="C13" s="7" t="s">
        <v>129</v>
      </c>
      <c r="D13" s="18"/>
      <c r="E13" s="18"/>
      <c r="F13" s="8"/>
    </row>
    <row r="16" spans="2:17" x14ac:dyDescent="0.25">
      <c r="B16" s="19" t="s">
        <v>130</v>
      </c>
      <c r="C16" s="20"/>
      <c r="D16" s="20"/>
      <c r="E16" s="21"/>
      <c r="F16" s="15">
        <v>0.25</v>
      </c>
      <c r="G16" s="19" t="s">
        <v>131</v>
      </c>
      <c r="H16" s="20"/>
      <c r="I16" s="20"/>
      <c r="J16" s="20"/>
      <c r="K16" s="20"/>
      <c r="L16" s="21"/>
    </row>
    <row r="18" spans="2:13" ht="26.25" x14ac:dyDescent="0.25">
      <c r="B18" s="16" t="s">
        <v>132</v>
      </c>
      <c r="C18" s="16" t="s">
        <v>133</v>
      </c>
      <c r="D18" s="16" t="s">
        <v>134</v>
      </c>
      <c r="E18" s="16" t="s">
        <v>135</v>
      </c>
      <c r="F18" s="2" t="s">
        <v>0</v>
      </c>
      <c r="G18" s="2" t="s">
        <v>1</v>
      </c>
      <c r="H18" s="2" t="s">
        <v>2</v>
      </c>
      <c r="I18" s="2" t="s">
        <v>3</v>
      </c>
      <c r="J18" s="2" t="s">
        <v>4</v>
      </c>
      <c r="K18" s="2" t="s">
        <v>5</v>
      </c>
      <c r="L18" s="2" t="s">
        <v>6</v>
      </c>
      <c r="M18" s="2" t="s">
        <v>7</v>
      </c>
    </row>
    <row r="19" spans="2:13" x14ac:dyDescent="0.25">
      <c r="B19" s="1">
        <v>0</v>
      </c>
      <c r="C19" s="1">
        <v>0</v>
      </c>
      <c r="D19" s="1">
        <v>0.9810526315789474</v>
      </c>
      <c r="E19" s="1">
        <v>1.8947368421052633E-2</v>
      </c>
      <c r="F19" s="1">
        <v>0</v>
      </c>
      <c r="G19" s="1">
        <v>0</v>
      </c>
      <c r="H19" s="1">
        <v>3</v>
      </c>
      <c r="I19" s="1">
        <v>0</v>
      </c>
      <c r="J19" s="1">
        <v>1</v>
      </c>
      <c r="K19" s="1">
        <v>0</v>
      </c>
      <c r="L19" s="1">
        <v>1814</v>
      </c>
      <c r="M19" s="1">
        <v>1</v>
      </c>
    </row>
    <row r="20" spans="2:13" x14ac:dyDescent="0.25">
      <c r="B20" s="1">
        <v>0</v>
      </c>
      <c r="C20" s="1">
        <v>0</v>
      </c>
      <c r="D20" s="1">
        <v>1</v>
      </c>
      <c r="E20" s="1">
        <v>0</v>
      </c>
      <c r="F20" s="1">
        <v>41</v>
      </c>
      <c r="G20" s="1">
        <v>0</v>
      </c>
      <c r="H20" s="1">
        <v>2</v>
      </c>
      <c r="I20" s="1">
        <v>5</v>
      </c>
      <c r="J20" s="1">
        <v>0</v>
      </c>
      <c r="K20" s="1">
        <v>0</v>
      </c>
      <c r="L20" s="1">
        <v>12049</v>
      </c>
      <c r="M20" s="1">
        <v>0</v>
      </c>
    </row>
    <row r="21" spans="2:13" x14ac:dyDescent="0.25">
      <c r="B21" s="1">
        <v>0</v>
      </c>
      <c r="C21" s="1">
        <v>0</v>
      </c>
      <c r="D21" s="1">
        <v>0.9810526315789474</v>
      </c>
      <c r="E21" s="1">
        <v>1.8947368421052633E-2</v>
      </c>
      <c r="F21" s="1">
        <v>0</v>
      </c>
      <c r="G21" s="1">
        <v>1</v>
      </c>
      <c r="H21" s="1">
        <v>2</v>
      </c>
      <c r="I21" s="1">
        <v>1</v>
      </c>
      <c r="J21" s="1">
        <v>0</v>
      </c>
      <c r="K21" s="1">
        <v>0</v>
      </c>
      <c r="L21" s="1">
        <v>2332</v>
      </c>
      <c r="M21" s="1">
        <v>0</v>
      </c>
    </row>
    <row r="22" spans="2:13" x14ac:dyDescent="0.25">
      <c r="B22" s="1">
        <v>0</v>
      </c>
      <c r="C22" s="1">
        <v>0</v>
      </c>
      <c r="D22" s="1">
        <v>0.9810526315789474</v>
      </c>
      <c r="E22" s="1">
        <v>1.8947368421052633E-2</v>
      </c>
      <c r="F22" s="1">
        <v>0</v>
      </c>
      <c r="G22" s="1">
        <v>0</v>
      </c>
      <c r="H22" s="1">
        <v>2</v>
      </c>
      <c r="I22" s="1">
        <v>0</v>
      </c>
      <c r="J22" s="1">
        <v>0</v>
      </c>
      <c r="K22" s="1">
        <v>0</v>
      </c>
      <c r="L22" s="1">
        <v>2082</v>
      </c>
      <c r="M22" s="1">
        <v>0</v>
      </c>
    </row>
    <row r="23" spans="2:13" x14ac:dyDescent="0.25">
      <c r="B23" s="1">
        <v>1</v>
      </c>
      <c r="C23" s="1">
        <v>1</v>
      </c>
      <c r="D23" s="1">
        <v>0</v>
      </c>
      <c r="E23" s="1">
        <v>1</v>
      </c>
      <c r="F23" s="1">
        <v>83</v>
      </c>
      <c r="G23" s="1">
        <v>1</v>
      </c>
      <c r="H23" s="1">
        <v>5</v>
      </c>
      <c r="I23" s="1">
        <v>3</v>
      </c>
      <c r="J23" s="1">
        <v>1</v>
      </c>
      <c r="K23" s="1">
        <v>1</v>
      </c>
      <c r="L23" s="1">
        <v>27924</v>
      </c>
      <c r="M23" s="1">
        <v>1</v>
      </c>
    </row>
    <row r="24" spans="2:13" x14ac:dyDescent="0.25">
      <c r="B24" s="1">
        <v>0</v>
      </c>
      <c r="C24" s="1">
        <v>0</v>
      </c>
      <c r="D24" s="1">
        <v>0.8571428571428571</v>
      </c>
      <c r="E24" s="1">
        <v>0.14285714285714288</v>
      </c>
      <c r="F24" s="1">
        <v>76</v>
      </c>
      <c r="G24" s="1">
        <v>0</v>
      </c>
      <c r="H24" s="1">
        <v>4</v>
      </c>
      <c r="I24" s="1">
        <v>5</v>
      </c>
      <c r="J24" s="1">
        <v>0</v>
      </c>
      <c r="K24" s="1">
        <v>0</v>
      </c>
      <c r="L24" s="1">
        <v>13988</v>
      </c>
      <c r="M24" s="1">
        <v>0</v>
      </c>
    </row>
    <row r="25" spans="2:13" x14ac:dyDescent="0.25">
      <c r="B25" s="1">
        <v>1</v>
      </c>
      <c r="C25" s="1">
        <v>1</v>
      </c>
      <c r="D25" s="1">
        <v>0.36</v>
      </c>
      <c r="E25" s="1">
        <v>0.64</v>
      </c>
      <c r="F25" s="1">
        <v>82</v>
      </c>
      <c r="G25" s="1">
        <v>0</v>
      </c>
      <c r="H25" s="1">
        <v>7</v>
      </c>
      <c r="I25" s="1">
        <v>5</v>
      </c>
      <c r="J25" s="1">
        <v>0</v>
      </c>
      <c r="K25" s="1">
        <v>0</v>
      </c>
      <c r="L25" s="1">
        <v>20959</v>
      </c>
      <c r="M25" s="1">
        <v>0</v>
      </c>
    </row>
    <row r="26" spans="2:13" x14ac:dyDescent="0.25">
      <c r="B26" s="1">
        <v>0</v>
      </c>
      <c r="C26" s="1">
        <v>0</v>
      </c>
      <c r="D26" s="1">
        <v>0.8571428571428571</v>
      </c>
      <c r="E26" s="1">
        <v>0.14285714285714285</v>
      </c>
      <c r="F26" s="1">
        <v>52</v>
      </c>
      <c r="G26" s="1">
        <v>1</v>
      </c>
      <c r="H26" s="1">
        <v>2</v>
      </c>
      <c r="I26" s="1">
        <v>4</v>
      </c>
      <c r="J26" s="1">
        <v>0</v>
      </c>
      <c r="K26" s="1">
        <v>0</v>
      </c>
      <c r="L26" s="1">
        <v>3183</v>
      </c>
      <c r="M26" s="1">
        <v>0</v>
      </c>
    </row>
    <row r="27" spans="2:13" x14ac:dyDescent="0.25">
      <c r="B27" s="1">
        <v>0</v>
      </c>
      <c r="C27" s="1">
        <v>0</v>
      </c>
      <c r="D27" s="1">
        <v>0.9810526315789474</v>
      </c>
      <c r="E27" s="1">
        <v>1.8947368421052633E-2</v>
      </c>
      <c r="F27" s="1">
        <v>0</v>
      </c>
      <c r="G27" s="1">
        <v>0</v>
      </c>
      <c r="H27" s="1">
        <v>2</v>
      </c>
      <c r="I27" s="1">
        <v>1</v>
      </c>
      <c r="J27" s="1">
        <v>1</v>
      </c>
      <c r="K27" s="1">
        <v>0</v>
      </c>
      <c r="L27" s="1">
        <v>1391</v>
      </c>
      <c r="M27" s="1">
        <v>1</v>
      </c>
    </row>
    <row r="28" spans="2:13" x14ac:dyDescent="0.25">
      <c r="B28" s="1">
        <v>0</v>
      </c>
      <c r="C28" s="1">
        <v>0</v>
      </c>
      <c r="D28" s="1">
        <v>0.99749999999999994</v>
      </c>
      <c r="E28" s="1">
        <v>2.5000000000000001E-3</v>
      </c>
      <c r="F28" s="1">
        <v>69</v>
      </c>
      <c r="G28" s="1">
        <v>0</v>
      </c>
      <c r="H28" s="1">
        <v>3</v>
      </c>
      <c r="I28" s="1">
        <v>5</v>
      </c>
      <c r="J28" s="1">
        <v>1</v>
      </c>
      <c r="K28" s="1">
        <v>0</v>
      </c>
      <c r="L28" s="1">
        <v>12253</v>
      </c>
      <c r="M28" s="1">
        <v>0</v>
      </c>
    </row>
    <row r="29" spans="2:13" x14ac:dyDescent="0.25">
      <c r="B29" s="1">
        <v>0</v>
      </c>
      <c r="C29" s="1">
        <v>0</v>
      </c>
      <c r="D29" s="1">
        <v>0.99749999999999994</v>
      </c>
      <c r="E29" s="1">
        <v>2.5000000000000001E-3</v>
      </c>
      <c r="F29" s="1">
        <v>57</v>
      </c>
      <c r="G29" s="1">
        <v>1</v>
      </c>
      <c r="H29" s="1">
        <v>0</v>
      </c>
      <c r="I29" s="1">
        <v>3</v>
      </c>
      <c r="J29" s="1">
        <v>0</v>
      </c>
      <c r="K29" s="1">
        <v>0</v>
      </c>
      <c r="L29" s="1">
        <v>3675</v>
      </c>
      <c r="M29" s="1">
        <v>0</v>
      </c>
    </row>
    <row r="30" spans="2:13" x14ac:dyDescent="0.25">
      <c r="B30" s="1">
        <v>0</v>
      </c>
      <c r="C30" s="1">
        <v>0</v>
      </c>
      <c r="D30" s="1">
        <v>0.99749999999999994</v>
      </c>
      <c r="E30" s="1">
        <v>2.5000000000000001E-3</v>
      </c>
      <c r="F30" s="1">
        <v>55</v>
      </c>
      <c r="G30" s="1">
        <v>1</v>
      </c>
      <c r="H30" s="1">
        <v>3</v>
      </c>
      <c r="I30" s="1">
        <v>3</v>
      </c>
      <c r="J30" s="1">
        <v>1</v>
      </c>
      <c r="K30" s="1">
        <v>0</v>
      </c>
      <c r="L30" s="1">
        <v>36907</v>
      </c>
      <c r="M30" s="1">
        <v>1</v>
      </c>
    </row>
    <row r="31" spans="2:13" x14ac:dyDescent="0.25">
      <c r="B31" s="1">
        <v>1</v>
      </c>
      <c r="C31" s="1">
        <v>1</v>
      </c>
      <c r="D31" s="1">
        <v>0.4375</v>
      </c>
      <c r="E31" s="1">
        <v>0.5625</v>
      </c>
      <c r="F31" s="1">
        <v>75</v>
      </c>
      <c r="G31" s="1">
        <v>1</v>
      </c>
      <c r="H31" s="1">
        <v>3</v>
      </c>
      <c r="I31" s="1">
        <v>6</v>
      </c>
      <c r="J31" s="1">
        <v>0</v>
      </c>
      <c r="K31" s="1">
        <v>0</v>
      </c>
      <c r="L31" s="1">
        <v>12601</v>
      </c>
      <c r="M31" s="1">
        <v>0</v>
      </c>
    </row>
    <row r="32" spans="2:13" x14ac:dyDescent="0.25">
      <c r="B32" s="1">
        <v>0</v>
      </c>
      <c r="C32" s="1">
        <v>0</v>
      </c>
      <c r="D32" s="1">
        <v>0.68</v>
      </c>
      <c r="E32" s="1">
        <v>0.32</v>
      </c>
      <c r="F32" s="1">
        <v>85</v>
      </c>
      <c r="G32" s="1">
        <v>0</v>
      </c>
      <c r="H32" s="1">
        <v>1</v>
      </c>
      <c r="I32" s="1">
        <v>5</v>
      </c>
      <c r="J32" s="1">
        <v>0</v>
      </c>
      <c r="K32" s="1">
        <v>0</v>
      </c>
      <c r="L32" s="1">
        <v>10871</v>
      </c>
      <c r="M32" s="1">
        <v>0</v>
      </c>
    </row>
    <row r="33" spans="2:13" x14ac:dyDescent="0.25">
      <c r="B33" s="1">
        <v>0</v>
      </c>
      <c r="C33" s="1">
        <v>0</v>
      </c>
      <c r="D33" s="1">
        <v>0.9810526315789474</v>
      </c>
      <c r="E33" s="1">
        <v>1.8947368421052633E-2</v>
      </c>
      <c r="F33" s="1">
        <v>22</v>
      </c>
      <c r="G33" s="1">
        <v>1</v>
      </c>
      <c r="H33" s="1">
        <v>2</v>
      </c>
      <c r="I33" s="1">
        <v>2</v>
      </c>
      <c r="J33" s="1">
        <v>1</v>
      </c>
      <c r="K33" s="1">
        <v>0</v>
      </c>
      <c r="L33" s="1">
        <v>12216</v>
      </c>
      <c r="M33" s="1">
        <v>0</v>
      </c>
    </row>
    <row r="34" spans="2:13" x14ac:dyDescent="0.25">
      <c r="B34" s="1">
        <v>1</v>
      </c>
      <c r="C34" s="1">
        <v>1</v>
      </c>
      <c r="D34" s="1">
        <v>0</v>
      </c>
      <c r="E34" s="1">
        <v>1</v>
      </c>
      <c r="F34" s="1">
        <v>86</v>
      </c>
      <c r="G34" s="1">
        <v>1</v>
      </c>
      <c r="H34" s="1">
        <v>1</v>
      </c>
      <c r="I34" s="1">
        <v>4</v>
      </c>
      <c r="J34" s="1">
        <v>0</v>
      </c>
      <c r="K34" s="1">
        <v>1</v>
      </c>
      <c r="L34" s="1">
        <v>7158</v>
      </c>
      <c r="M34" s="1">
        <v>0</v>
      </c>
    </row>
    <row r="35" spans="2:13" x14ac:dyDescent="0.25">
      <c r="B35" s="1">
        <v>0</v>
      </c>
      <c r="C35" s="1">
        <v>0</v>
      </c>
      <c r="D35" s="1">
        <v>1</v>
      </c>
      <c r="E35" s="1">
        <v>0</v>
      </c>
      <c r="F35" s="1">
        <v>41</v>
      </c>
      <c r="G35" s="1">
        <v>1</v>
      </c>
      <c r="H35" s="1">
        <v>5</v>
      </c>
      <c r="I35" s="1">
        <v>5</v>
      </c>
      <c r="J35" s="1">
        <v>0</v>
      </c>
      <c r="K35" s="1">
        <v>0</v>
      </c>
      <c r="L35" s="1">
        <v>7606</v>
      </c>
      <c r="M35" s="1">
        <v>0</v>
      </c>
    </row>
    <row r="36" spans="2:13" x14ac:dyDescent="0.25">
      <c r="B36" s="1">
        <v>0</v>
      </c>
      <c r="C36" s="1">
        <v>0</v>
      </c>
      <c r="D36" s="1">
        <v>0.9810526315789474</v>
      </c>
      <c r="E36" s="1">
        <v>1.8947368421052633E-2</v>
      </c>
      <c r="F36" s="1">
        <v>0</v>
      </c>
      <c r="G36" s="1">
        <v>0</v>
      </c>
      <c r="H36" s="1">
        <v>5</v>
      </c>
      <c r="I36" s="1">
        <v>0</v>
      </c>
      <c r="J36" s="1">
        <v>1</v>
      </c>
      <c r="K36" s="1">
        <v>0</v>
      </c>
      <c r="L36" s="1">
        <v>11068</v>
      </c>
      <c r="M36" s="1">
        <v>1</v>
      </c>
    </row>
    <row r="37" spans="2:13" x14ac:dyDescent="0.25">
      <c r="B37" s="1">
        <v>0</v>
      </c>
      <c r="C37" s="1">
        <v>0</v>
      </c>
      <c r="D37" s="1">
        <v>0.96666666666666667</v>
      </c>
      <c r="E37" s="1">
        <v>3.333333333333334E-2</v>
      </c>
      <c r="F37" s="1">
        <v>30</v>
      </c>
      <c r="G37" s="1">
        <v>1</v>
      </c>
      <c r="H37" s="1">
        <v>2</v>
      </c>
      <c r="I37" s="1">
        <v>0</v>
      </c>
      <c r="J37" s="1">
        <v>1</v>
      </c>
      <c r="K37" s="1">
        <v>0</v>
      </c>
      <c r="L37" s="1">
        <v>4802</v>
      </c>
      <c r="M37" s="1">
        <v>0</v>
      </c>
    </row>
    <row r="38" spans="2:13" x14ac:dyDescent="0.25">
      <c r="B38" s="1">
        <v>1</v>
      </c>
      <c r="C38" s="1">
        <v>1</v>
      </c>
      <c r="D38" s="1">
        <v>0</v>
      </c>
      <c r="E38" s="1">
        <v>1</v>
      </c>
      <c r="F38" s="1">
        <v>75</v>
      </c>
      <c r="G38" s="1">
        <v>0</v>
      </c>
      <c r="H38" s="1">
        <v>3</v>
      </c>
      <c r="I38" s="1">
        <v>4</v>
      </c>
      <c r="J38" s="1">
        <v>1</v>
      </c>
      <c r="K38" s="1">
        <v>1</v>
      </c>
      <c r="L38" s="1">
        <v>5392</v>
      </c>
      <c r="M38" s="1">
        <v>0</v>
      </c>
    </row>
    <row r="39" spans="2:13" x14ac:dyDescent="0.25">
      <c r="B39" s="1">
        <v>1</v>
      </c>
      <c r="C39" s="1">
        <v>1</v>
      </c>
      <c r="D39" s="1">
        <v>0</v>
      </c>
      <c r="E39" s="1">
        <v>1</v>
      </c>
      <c r="F39" s="1">
        <v>81</v>
      </c>
      <c r="G39" s="1">
        <v>0</v>
      </c>
      <c r="H39" s="1">
        <v>7</v>
      </c>
      <c r="I39" s="1">
        <v>5</v>
      </c>
      <c r="J39" s="1">
        <v>1</v>
      </c>
      <c r="K39" s="1">
        <v>1</v>
      </c>
      <c r="L39" s="1">
        <v>13611</v>
      </c>
      <c r="M39" s="1">
        <v>0</v>
      </c>
    </row>
    <row r="40" spans="2:13" x14ac:dyDescent="0.25">
      <c r="B40" s="17">
        <v>1</v>
      </c>
      <c r="C40" s="17">
        <v>0</v>
      </c>
      <c r="D40" s="17">
        <v>0</v>
      </c>
      <c r="E40" s="17">
        <v>1</v>
      </c>
      <c r="F40" s="17">
        <v>85</v>
      </c>
      <c r="G40" s="17">
        <v>1</v>
      </c>
      <c r="H40" s="17">
        <v>3</v>
      </c>
      <c r="I40" s="17">
        <v>6</v>
      </c>
      <c r="J40" s="17">
        <v>0</v>
      </c>
      <c r="K40" s="17">
        <v>0</v>
      </c>
      <c r="L40" s="17">
        <v>12762</v>
      </c>
      <c r="M40" s="17">
        <v>0</v>
      </c>
    </row>
    <row r="41" spans="2:13" x14ac:dyDescent="0.25">
      <c r="B41" s="1">
        <v>1</v>
      </c>
      <c r="C41" s="1">
        <v>1</v>
      </c>
      <c r="D41" s="1">
        <v>0</v>
      </c>
      <c r="E41" s="1">
        <v>1</v>
      </c>
      <c r="F41" s="1">
        <v>81</v>
      </c>
      <c r="G41" s="1">
        <v>0</v>
      </c>
      <c r="H41" s="1">
        <v>4</v>
      </c>
      <c r="I41" s="1">
        <v>4</v>
      </c>
      <c r="J41" s="1">
        <v>0</v>
      </c>
      <c r="K41" s="1">
        <v>1</v>
      </c>
      <c r="L41" s="1">
        <v>6729</v>
      </c>
      <c r="M41" s="1">
        <v>0</v>
      </c>
    </row>
    <row r="42" spans="2:13" x14ac:dyDescent="0.25">
      <c r="B42" s="1">
        <v>0</v>
      </c>
      <c r="C42" s="1">
        <v>0</v>
      </c>
      <c r="D42" s="1">
        <v>0.96666666666666667</v>
      </c>
      <c r="E42" s="1">
        <v>3.333333333333334E-2</v>
      </c>
      <c r="F42" s="1">
        <v>32</v>
      </c>
      <c r="G42" s="1">
        <v>1</v>
      </c>
      <c r="H42" s="1">
        <v>3</v>
      </c>
      <c r="I42" s="1">
        <v>0</v>
      </c>
      <c r="J42" s="1">
        <v>2</v>
      </c>
      <c r="K42" s="1">
        <v>0</v>
      </c>
      <c r="L42" s="1">
        <v>14891</v>
      </c>
      <c r="M42" s="1">
        <v>1</v>
      </c>
    </row>
    <row r="43" spans="2:13" x14ac:dyDescent="0.25">
      <c r="B43" s="1">
        <v>1</v>
      </c>
      <c r="C43" s="1">
        <v>1</v>
      </c>
      <c r="D43" s="1">
        <v>0</v>
      </c>
      <c r="E43" s="1">
        <v>1</v>
      </c>
      <c r="F43" s="1">
        <v>98</v>
      </c>
      <c r="G43" s="1">
        <v>1</v>
      </c>
      <c r="H43" s="1">
        <v>2</v>
      </c>
      <c r="I43" s="1">
        <v>4</v>
      </c>
      <c r="J43" s="1">
        <v>0</v>
      </c>
      <c r="K43" s="1">
        <v>1</v>
      </c>
      <c r="L43" s="1">
        <v>14387</v>
      </c>
      <c r="M43" s="1">
        <v>0</v>
      </c>
    </row>
    <row r="44" spans="2:13" x14ac:dyDescent="0.25">
      <c r="B44" s="1">
        <v>0</v>
      </c>
      <c r="C44" s="1">
        <v>0</v>
      </c>
      <c r="D44" s="1">
        <v>0.9810526315789474</v>
      </c>
      <c r="E44" s="1">
        <v>1.8947368421052633E-2</v>
      </c>
      <c r="F44" s="1">
        <v>0</v>
      </c>
      <c r="G44" s="1">
        <v>1</v>
      </c>
      <c r="H44" s="1">
        <v>2</v>
      </c>
      <c r="I44" s="1">
        <v>0</v>
      </c>
      <c r="J44" s="1">
        <v>0</v>
      </c>
      <c r="K44" s="1">
        <v>0</v>
      </c>
      <c r="L44" s="1">
        <v>1045</v>
      </c>
      <c r="M44" s="1">
        <v>0</v>
      </c>
    </row>
    <row r="45" spans="2:13" x14ac:dyDescent="0.25">
      <c r="B45" s="1">
        <v>0</v>
      </c>
      <c r="C45" s="1">
        <v>0</v>
      </c>
      <c r="D45" s="1">
        <v>0.9810526315789474</v>
      </c>
      <c r="E45" s="1">
        <v>1.8947368421052633E-2</v>
      </c>
      <c r="F45" s="1">
        <v>0</v>
      </c>
      <c r="G45" s="1">
        <v>1</v>
      </c>
      <c r="H45" s="1">
        <v>3</v>
      </c>
      <c r="I45" s="1">
        <v>0</v>
      </c>
      <c r="J45" s="1">
        <v>0</v>
      </c>
      <c r="K45" s="1">
        <v>0</v>
      </c>
      <c r="L45" s="1">
        <v>2773</v>
      </c>
      <c r="M45" s="1">
        <v>0</v>
      </c>
    </row>
    <row r="46" spans="2:13" x14ac:dyDescent="0.25">
      <c r="B46" s="1">
        <v>0</v>
      </c>
      <c r="C46" s="1">
        <v>0</v>
      </c>
      <c r="D46" s="1">
        <v>0.96666666666666667</v>
      </c>
      <c r="E46" s="1">
        <v>3.333333333333334E-2</v>
      </c>
      <c r="F46" s="1">
        <v>34</v>
      </c>
      <c r="G46" s="1">
        <v>1</v>
      </c>
      <c r="H46" s="1">
        <v>4</v>
      </c>
      <c r="I46" s="1">
        <v>2</v>
      </c>
      <c r="J46" s="1">
        <v>0</v>
      </c>
      <c r="K46" s="1">
        <v>0</v>
      </c>
      <c r="L46" s="1">
        <v>5832</v>
      </c>
      <c r="M46" s="1">
        <v>0</v>
      </c>
    </row>
    <row r="47" spans="2:13" x14ac:dyDescent="0.25">
      <c r="B47" s="1">
        <v>0</v>
      </c>
      <c r="C47" s="1">
        <v>0</v>
      </c>
      <c r="D47" s="1">
        <v>0.68</v>
      </c>
      <c r="E47" s="1">
        <v>0.32</v>
      </c>
      <c r="F47" s="1">
        <v>80</v>
      </c>
      <c r="G47" s="1">
        <v>1</v>
      </c>
      <c r="H47" s="1">
        <v>2</v>
      </c>
      <c r="I47" s="1">
        <v>4</v>
      </c>
      <c r="J47" s="1">
        <v>0</v>
      </c>
      <c r="K47" s="1">
        <v>0</v>
      </c>
      <c r="L47" s="1">
        <v>9538</v>
      </c>
      <c r="M47" s="1">
        <v>0</v>
      </c>
    </row>
    <row r="48" spans="2:13" x14ac:dyDescent="0.25">
      <c r="B48" s="1">
        <v>0</v>
      </c>
      <c r="C48" s="1">
        <v>0</v>
      </c>
      <c r="D48" s="1">
        <v>0.9810526315789474</v>
      </c>
      <c r="E48" s="1">
        <v>1.8947368421052633E-2</v>
      </c>
      <c r="F48" s="1">
        <v>24</v>
      </c>
      <c r="G48" s="1">
        <v>1</v>
      </c>
      <c r="H48" s="1">
        <v>2</v>
      </c>
      <c r="I48" s="1">
        <v>0</v>
      </c>
      <c r="J48" s="1">
        <v>2</v>
      </c>
      <c r="K48" s="1">
        <v>0</v>
      </c>
      <c r="L48" s="1">
        <v>10740</v>
      </c>
      <c r="M48" s="1">
        <v>0</v>
      </c>
    </row>
    <row r="49" spans="2:13" x14ac:dyDescent="0.25">
      <c r="B49" s="1">
        <v>0</v>
      </c>
      <c r="C49" s="1">
        <v>0</v>
      </c>
      <c r="D49" s="1">
        <v>0.99749999999999994</v>
      </c>
      <c r="E49" s="1">
        <v>2.5000000000000001E-3</v>
      </c>
      <c r="F49" s="1">
        <v>73</v>
      </c>
      <c r="G49" s="1">
        <v>1</v>
      </c>
      <c r="H49" s="1">
        <v>2</v>
      </c>
      <c r="I49" s="1">
        <v>1</v>
      </c>
      <c r="J49" s="1">
        <v>1</v>
      </c>
      <c r="K49" s="1">
        <v>0</v>
      </c>
      <c r="L49" s="1">
        <v>6770</v>
      </c>
      <c r="M49" s="1">
        <v>0</v>
      </c>
    </row>
    <row r="50" spans="2:13" x14ac:dyDescent="0.25">
      <c r="B50" s="1">
        <v>1</v>
      </c>
      <c r="C50" s="1">
        <v>1</v>
      </c>
      <c r="D50" s="1">
        <v>0.31818181818181818</v>
      </c>
      <c r="E50" s="1">
        <v>0.68181818181818188</v>
      </c>
      <c r="F50" s="1">
        <v>28</v>
      </c>
      <c r="G50" s="1">
        <v>0</v>
      </c>
      <c r="H50" s="1">
        <v>5</v>
      </c>
      <c r="I50" s="1">
        <v>2</v>
      </c>
      <c r="J50" s="1">
        <v>0</v>
      </c>
      <c r="K50" s="1">
        <v>0</v>
      </c>
      <c r="L50" s="1">
        <v>6795</v>
      </c>
      <c r="M50" s="1">
        <v>0</v>
      </c>
    </row>
    <row r="51" spans="2:13" x14ac:dyDescent="0.25">
      <c r="B51" s="1">
        <v>0</v>
      </c>
      <c r="C51" s="1">
        <v>0</v>
      </c>
      <c r="D51" s="1">
        <v>0.9810526315789474</v>
      </c>
      <c r="E51" s="1">
        <v>1.8947368421052633E-2</v>
      </c>
      <c r="F51" s="1">
        <v>27</v>
      </c>
      <c r="G51" s="1">
        <v>1</v>
      </c>
      <c r="H51" s="1">
        <v>3</v>
      </c>
      <c r="I51" s="1">
        <v>0</v>
      </c>
      <c r="J51" s="1">
        <v>0</v>
      </c>
      <c r="K51" s="1">
        <v>0</v>
      </c>
      <c r="L51" s="1">
        <v>6880</v>
      </c>
      <c r="M51" s="1">
        <v>0</v>
      </c>
    </row>
    <row r="52" spans="2:13" x14ac:dyDescent="0.25">
      <c r="B52" s="1">
        <v>0</v>
      </c>
      <c r="C52" s="1">
        <v>0</v>
      </c>
      <c r="D52" s="1">
        <v>0.99749999999999994</v>
      </c>
      <c r="E52" s="1">
        <v>2.5000000000000001E-3</v>
      </c>
      <c r="F52" s="1">
        <v>55</v>
      </c>
      <c r="G52" s="1">
        <v>1</v>
      </c>
      <c r="H52" s="1">
        <v>3</v>
      </c>
      <c r="I52" s="1">
        <v>3</v>
      </c>
      <c r="J52" s="1">
        <v>0</v>
      </c>
      <c r="K52" s="1">
        <v>0</v>
      </c>
      <c r="L52" s="1">
        <v>5821</v>
      </c>
      <c r="M52" s="1">
        <v>0</v>
      </c>
    </row>
    <row r="53" spans="2:13" x14ac:dyDescent="0.25">
      <c r="B53" s="1">
        <v>1</v>
      </c>
      <c r="C53" s="1">
        <v>1</v>
      </c>
      <c r="D53" s="1">
        <v>0</v>
      </c>
      <c r="E53" s="1">
        <v>1</v>
      </c>
      <c r="F53" s="1">
        <v>83</v>
      </c>
      <c r="G53" s="1">
        <v>0</v>
      </c>
      <c r="H53" s="1">
        <v>5</v>
      </c>
      <c r="I53" s="1">
        <v>5</v>
      </c>
      <c r="J53" s="1">
        <v>0</v>
      </c>
      <c r="K53" s="1">
        <v>1</v>
      </c>
      <c r="L53" s="1">
        <v>11851</v>
      </c>
      <c r="M53" s="1">
        <v>0</v>
      </c>
    </row>
    <row r="54" spans="2:13" x14ac:dyDescent="0.25">
      <c r="B54" s="1">
        <v>0</v>
      </c>
      <c r="C54" s="1">
        <v>0</v>
      </c>
      <c r="D54" s="1">
        <v>0.9810526315789474</v>
      </c>
      <c r="E54" s="1">
        <v>1.8947368421052633E-2</v>
      </c>
      <c r="F54" s="1">
        <v>24</v>
      </c>
      <c r="G54" s="1">
        <v>1</v>
      </c>
      <c r="H54" s="1">
        <v>2</v>
      </c>
      <c r="I54" s="1">
        <v>0</v>
      </c>
      <c r="J54" s="1">
        <v>4</v>
      </c>
      <c r="K54" s="1">
        <v>0</v>
      </c>
      <c r="L54" s="1">
        <v>9112</v>
      </c>
      <c r="M54" s="1">
        <v>0</v>
      </c>
    </row>
    <row r="55" spans="2:13" x14ac:dyDescent="0.25">
      <c r="B55" s="1">
        <v>0</v>
      </c>
      <c r="C55" s="1">
        <v>0</v>
      </c>
      <c r="D55" s="1">
        <v>0.9810526315789474</v>
      </c>
      <c r="E55" s="1">
        <v>1.8947368421052633E-2</v>
      </c>
      <c r="F55" s="1">
        <v>0</v>
      </c>
      <c r="G55" s="1">
        <v>0</v>
      </c>
      <c r="H55" s="1">
        <v>2</v>
      </c>
      <c r="I55" s="1">
        <v>0</v>
      </c>
      <c r="J55" s="1">
        <v>0</v>
      </c>
      <c r="K55" s="1">
        <v>0</v>
      </c>
      <c r="L55" s="1">
        <v>2067</v>
      </c>
      <c r="M55" s="1">
        <v>0</v>
      </c>
    </row>
    <row r="56" spans="2:13" x14ac:dyDescent="0.25">
      <c r="B56" s="1">
        <v>1</v>
      </c>
      <c r="C56" s="1">
        <v>1</v>
      </c>
      <c r="D56" s="1">
        <v>9.5238095238095233E-2</v>
      </c>
      <c r="E56" s="1">
        <v>0.90476190476190477</v>
      </c>
      <c r="F56" s="1">
        <v>53</v>
      </c>
      <c r="G56" s="1">
        <v>0</v>
      </c>
      <c r="H56" s="1">
        <v>7</v>
      </c>
      <c r="I56" s="1">
        <v>0</v>
      </c>
      <c r="J56" s="1">
        <v>0</v>
      </c>
      <c r="K56" s="1">
        <v>0</v>
      </c>
      <c r="L56" s="1">
        <v>28547</v>
      </c>
      <c r="M56" s="1">
        <v>0</v>
      </c>
    </row>
    <row r="57" spans="2:13" x14ac:dyDescent="0.25">
      <c r="B57" s="1">
        <v>1</v>
      </c>
      <c r="C57" s="1">
        <v>1</v>
      </c>
      <c r="D57" s="1">
        <v>0.16666666666666666</v>
      </c>
      <c r="E57" s="1">
        <v>0.83333333333333326</v>
      </c>
      <c r="F57" s="1">
        <v>0</v>
      </c>
      <c r="G57" s="1">
        <v>1</v>
      </c>
      <c r="H57" s="1">
        <v>43</v>
      </c>
      <c r="I57" s="1">
        <v>0</v>
      </c>
      <c r="J57" s="1">
        <v>5</v>
      </c>
      <c r="K57" s="1">
        <v>0</v>
      </c>
      <c r="L57" s="1">
        <v>103444</v>
      </c>
      <c r="M57" s="1">
        <v>0</v>
      </c>
    </row>
    <row r="58" spans="2:13" x14ac:dyDescent="0.25">
      <c r="B58" s="1">
        <v>0</v>
      </c>
      <c r="C58" s="1">
        <v>0</v>
      </c>
      <c r="D58" s="1">
        <v>0.9810526315789474</v>
      </c>
      <c r="E58" s="1">
        <v>1.8947368421052633E-2</v>
      </c>
      <c r="F58" s="1">
        <v>20</v>
      </c>
      <c r="G58" s="1">
        <v>1</v>
      </c>
      <c r="H58" s="1">
        <v>4</v>
      </c>
      <c r="I58" s="1">
        <v>3</v>
      </c>
      <c r="J58" s="1">
        <v>2</v>
      </c>
      <c r="K58" s="1">
        <v>0</v>
      </c>
      <c r="L58" s="1">
        <v>18747</v>
      </c>
      <c r="M58" s="1">
        <v>1</v>
      </c>
    </row>
    <row r="59" spans="2:13" x14ac:dyDescent="0.25">
      <c r="B59" s="1">
        <v>0</v>
      </c>
      <c r="C59" s="1">
        <v>0</v>
      </c>
      <c r="D59" s="1">
        <v>0.9810526315789474</v>
      </c>
      <c r="E59" s="1">
        <v>1.8947368421052633E-2</v>
      </c>
      <c r="F59" s="1">
        <v>0</v>
      </c>
      <c r="G59" s="1">
        <v>0</v>
      </c>
      <c r="H59" s="1">
        <v>3</v>
      </c>
      <c r="I59" s="1">
        <v>1</v>
      </c>
      <c r="J59" s="1">
        <v>0</v>
      </c>
      <c r="K59" s="1">
        <v>0</v>
      </c>
      <c r="L59" s="1">
        <v>4244</v>
      </c>
      <c r="M59" s="1">
        <v>0</v>
      </c>
    </row>
    <row r="60" spans="2:13" x14ac:dyDescent="0.25">
      <c r="B60" s="1">
        <v>0</v>
      </c>
      <c r="C60" s="1">
        <v>0</v>
      </c>
      <c r="D60" s="1">
        <v>0.68</v>
      </c>
      <c r="E60" s="1">
        <v>0.32</v>
      </c>
      <c r="F60" s="1">
        <v>98</v>
      </c>
      <c r="G60" s="1">
        <v>1</v>
      </c>
      <c r="H60" s="1">
        <v>5</v>
      </c>
      <c r="I60" s="1">
        <v>3</v>
      </c>
      <c r="J60" s="1">
        <v>0</v>
      </c>
      <c r="K60" s="1">
        <v>0</v>
      </c>
      <c r="L60" s="1">
        <v>10823</v>
      </c>
      <c r="M60" s="1">
        <v>0</v>
      </c>
    </row>
    <row r="61" spans="2:13" x14ac:dyDescent="0.25">
      <c r="B61" s="1">
        <v>0</v>
      </c>
      <c r="C61" s="1">
        <v>0</v>
      </c>
      <c r="D61" s="1">
        <v>0.99749999999999994</v>
      </c>
      <c r="E61" s="1">
        <v>2.5000000000000001E-3</v>
      </c>
      <c r="F61" s="1">
        <v>58</v>
      </c>
      <c r="G61" s="1">
        <v>0</v>
      </c>
      <c r="H61" s="1">
        <v>8</v>
      </c>
      <c r="I61" s="1">
        <v>7</v>
      </c>
      <c r="J61" s="1">
        <v>0</v>
      </c>
      <c r="K61" s="1">
        <v>0</v>
      </c>
      <c r="L61" s="1">
        <v>21746</v>
      </c>
      <c r="M61" s="1">
        <v>0</v>
      </c>
    </row>
    <row r="62" spans="2:13" x14ac:dyDescent="0.25">
      <c r="B62" s="1">
        <v>0</v>
      </c>
      <c r="C62" s="1">
        <v>0</v>
      </c>
      <c r="D62" s="1">
        <v>0.99749999999999994</v>
      </c>
      <c r="E62" s="1">
        <v>2.5000000000000001E-3</v>
      </c>
      <c r="F62" s="1">
        <v>67</v>
      </c>
      <c r="G62" s="1">
        <v>0</v>
      </c>
      <c r="H62" s="1">
        <v>6</v>
      </c>
      <c r="I62" s="1">
        <v>4</v>
      </c>
      <c r="J62" s="1">
        <v>1</v>
      </c>
      <c r="K62" s="1">
        <v>0</v>
      </c>
      <c r="L62" s="1">
        <v>20458</v>
      </c>
      <c r="M62" s="1">
        <v>0</v>
      </c>
    </row>
    <row r="63" spans="2:13" x14ac:dyDescent="0.25">
      <c r="B63" s="1">
        <v>0</v>
      </c>
      <c r="C63" s="1">
        <v>0</v>
      </c>
      <c r="D63" s="1">
        <v>0.9810526315789474</v>
      </c>
      <c r="E63" s="1">
        <v>1.8947368421052633E-2</v>
      </c>
      <c r="F63" s="1">
        <v>25</v>
      </c>
      <c r="G63" s="1">
        <v>1</v>
      </c>
      <c r="H63" s="1">
        <v>2</v>
      </c>
      <c r="I63" s="1">
        <v>0</v>
      </c>
      <c r="J63" s="1">
        <v>1</v>
      </c>
      <c r="K63" s="1">
        <v>0</v>
      </c>
      <c r="L63" s="1">
        <v>9053</v>
      </c>
      <c r="M63" s="1">
        <v>0</v>
      </c>
    </row>
    <row r="64" spans="2:13" x14ac:dyDescent="0.25">
      <c r="B64" s="1">
        <v>0</v>
      </c>
      <c r="C64" s="1">
        <v>0</v>
      </c>
      <c r="D64" s="1">
        <v>0.8571428571428571</v>
      </c>
      <c r="E64" s="1">
        <v>0.14285714285714288</v>
      </c>
      <c r="F64" s="1">
        <v>79</v>
      </c>
      <c r="G64" s="1">
        <v>0</v>
      </c>
      <c r="H64" s="1">
        <v>1</v>
      </c>
      <c r="I64" s="1">
        <v>6</v>
      </c>
      <c r="J64" s="1">
        <v>0</v>
      </c>
      <c r="K64" s="1">
        <v>0</v>
      </c>
      <c r="L64" s="1">
        <v>5947</v>
      </c>
      <c r="M64" s="1">
        <v>0</v>
      </c>
    </row>
    <row r="65" spans="2:13" x14ac:dyDescent="0.25">
      <c r="B65" s="1">
        <v>0</v>
      </c>
      <c r="C65" s="1">
        <v>0</v>
      </c>
      <c r="D65" s="1">
        <v>0.99749999999999994</v>
      </c>
      <c r="E65" s="1">
        <v>2.5000000000000001E-3</v>
      </c>
      <c r="F65" s="1">
        <v>55</v>
      </c>
      <c r="G65" s="1">
        <v>0</v>
      </c>
      <c r="H65" s="1">
        <v>3</v>
      </c>
      <c r="I65" s="1">
        <v>2</v>
      </c>
      <c r="J65" s="1">
        <v>0</v>
      </c>
      <c r="K65" s="1">
        <v>0</v>
      </c>
      <c r="L65" s="1">
        <v>7722</v>
      </c>
      <c r="M65" s="1">
        <v>0</v>
      </c>
    </row>
    <row r="66" spans="2:13" x14ac:dyDescent="0.25">
      <c r="B66" s="1">
        <v>0</v>
      </c>
      <c r="C66" s="1">
        <v>0</v>
      </c>
      <c r="D66" s="1">
        <v>0.99749999999999994</v>
      </c>
      <c r="E66" s="1">
        <v>2.5000000000000001E-3</v>
      </c>
      <c r="F66" s="1">
        <v>70</v>
      </c>
      <c r="G66" s="1">
        <v>1</v>
      </c>
      <c r="H66" s="1">
        <v>9</v>
      </c>
      <c r="I66" s="1">
        <v>4</v>
      </c>
      <c r="J66" s="1">
        <v>0</v>
      </c>
      <c r="K66" s="1">
        <v>0</v>
      </c>
      <c r="L66" s="1">
        <v>16434</v>
      </c>
      <c r="M66" s="1">
        <v>0</v>
      </c>
    </row>
    <row r="67" spans="2:13" x14ac:dyDescent="0.25">
      <c r="B67" s="1">
        <v>0</v>
      </c>
      <c r="C67" s="1">
        <v>0</v>
      </c>
      <c r="D67" s="1">
        <v>0.99749999999999994</v>
      </c>
      <c r="E67" s="1">
        <v>2.5000000000000001E-3</v>
      </c>
      <c r="F67" s="1">
        <v>67</v>
      </c>
      <c r="G67" s="1">
        <v>0</v>
      </c>
      <c r="H67" s="1">
        <v>2</v>
      </c>
      <c r="I67" s="1">
        <v>5</v>
      </c>
      <c r="J67" s="1">
        <v>0</v>
      </c>
      <c r="K67" s="1">
        <v>0</v>
      </c>
      <c r="L67" s="1">
        <v>11627</v>
      </c>
      <c r="M67" s="1">
        <v>0</v>
      </c>
    </row>
    <row r="68" spans="2:13" x14ac:dyDescent="0.25">
      <c r="B68" s="1">
        <v>0</v>
      </c>
      <c r="C68" s="1">
        <v>0</v>
      </c>
      <c r="D68" s="1">
        <v>0.99749999999999994</v>
      </c>
      <c r="E68" s="1">
        <v>2.5000000000000001E-3</v>
      </c>
      <c r="F68" s="1">
        <v>67</v>
      </c>
      <c r="G68" s="1">
        <v>1</v>
      </c>
      <c r="H68" s="1">
        <v>9</v>
      </c>
      <c r="I68" s="1">
        <v>4</v>
      </c>
      <c r="J68" s="1">
        <v>0</v>
      </c>
      <c r="K68" s="1">
        <v>0</v>
      </c>
      <c r="L68" s="1">
        <v>20797</v>
      </c>
      <c r="M68" s="1">
        <v>0</v>
      </c>
    </row>
    <row r="69" spans="2:13" x14ac:dyDescent="0.25">
      <c r="B69" s="1">
        <v>0</v>
      </c>
      <c r="C69" s="1">
        <v>0</v>
      </c>
      <c r="D69" s="1">
        <v>0.99749999999999994</v>
      </c>
      <c r="E69" s="1">
        <v>2.5000000000000001E-3</v>
      </c>
      <c r="F69" s="1">
        <v>57</v>
      </c>
      <c r="G69" s="1">
        <v>0</v>
      </c>
      <c r="H69" s="1">
        <v>2</v>
      </c>
      <c r="I69" s="1">
        <v>7</v>
      </c>
      <c r="J69" s="1">
        <v>0</v>
      </c>
      <c r="K69" s="1">
        <v>0</v>
      </c>
      <c r="L69" s="1">
        <v>8468</v>
      </c>
      <c r="M69" s="1">
        <v>0</v>
      </c>
    </row>
    <row r="70" spans="2:13" x14ac:dyDescent="0.25">
      <c r="B70" s="1">
        <v>0</v>
      </c>
      <c r="C70" s="1">
        <v>0</v>
      </c>
      <c r="D70" s="1">
        <v>0.99749999999999994</v>
      </c>
      <c r="E70" s="1">
        <v>2.5000000000000001E-3</v>
      </c>
      <c r="F70" s="1">
        <v>58</v>
      </c>
      <c r="G70" s="1">
        <v>0</v>
      </c>
      <c r="H70" s="1">
        <v>3</v>
      </c>
      <c r="I70" s="1">
        <v>1</v>
      </c>
      <c r="J70" s="1">
        <v>1</v>
      </c>
      <c r="K70" s="1">
        <v>0</v>
      </c>
      <c r="L70" s="1">
        <v>14950</v>
      </c>
      <c r="M70" s="1">
        <v>1</v>
      </c>
    </row>
    <row r="71" spans="2:13" x14ac:dyDescent="0.25">
      <c r="B71" s="1">
        <v>0</v>
      </c>
      <c r="C71" s="1">
        <v>0</v>
      </c>
      <c r="D71" s="1">
        <v>0.96666666666666667</v>
      </c>
      <c r="E71" s="1">
        <v>3.333333333333334E-2</v>
      </c>
      <c r="F71" s="1">
        <v>33</v>
      </c>
      <c r="G71" s="1">
        <v>1</v>
      </c>
      <c r="H71" s="1">
        <v>3</v>
      </c>
      <c r="I71" s="1">
        <v>1</v>
      </c>
      <c r="J71" s="1">
        <v>0</v>
      </c>
      <c r="K71" s="1">
        <v>0</v>
      </c>
      <c r="L71" s="1">
        <v>11506</v>
      </c>
      <c r="M71" s="1">
        <v>0</v>
      </c>
    </row>
    <row r="72" spans="2:13" x14ac:dyDescent="0.25">
      <c r="B72" s="1">
        <v>0</v>
      </c>
      <c r="C72" s="1">
        <v>0</v>
      </c>
      <c r="D72" s="1">
        <v>0.625</v>
      </c>
      <c r="E72" s="1">
        <v>0.37500000000000006</v>
      </c>
      <c r="F72" s="1">
        <v>92</v>
      </c>
      <c r="G72" s="1">
        <v>1</v>
      </c>
      <c r="H72" s="1">
        <v>6</v>
      </c>
      <c r="I72" s="1">
        <v>2</v>
      </c>
      <c r="J72" s="1">
        <v>0</v>
      </c>
      <c r="K72" s="1">
        <v>0</v>
      </c>
      <c r="L72" s="1">
        <v>24833</v>
      </c>
      <c r="M72" s="1">
        <v>0</v>
      </c>
    </row>
    <row r="73" spans="2:13" x14ac:dyDescent="0.25">
      <c r="B73" s="1">
        <v>0</v>
      </c>
      <c r="C73" s="1">
        <v>0</v>
      </c>
      <c r="D73" s="1">
        <v>0.99749999999999994</v>
      </c>
      <c r="E73" s="1">
        <v>2.5000000000000001E-3</v>
      </c>
      <c r="F73" s="1">
        <v>62</v>
      </c>
      <c r="G73" s="1">
        <v>0</v>
      </c>
      <c r="H73" s="1">
        <v>1</v>
      </c>
      <c r="I73" s="1">
        <v>5</v>
      </c>
      <c r="J73" s="1">
        <v>0</v>
      </c>
      <c r="K73" s="1">
        <v>0</v>
      </c>
      <c r="L73" s="1">
        <v>3182</v>
      </c>
      <c r="M73" s="1">
        <v>0</v>
      </c>
    </row>
    <row r="74" spans="2:13" x14ac:dyDescent="0.25">
      <c r="B74" s="1">
        <v>0</v>
      </c>
      <c r="C74" s="1">
        <v>0</v>
      </c>
      <c r="D74" s="1">
        <v>0.9810526315789474</v>
      </c>
      <c r="E74" s="1">
        <v>1.8947368421052633E-2</v>
      </c>
      <c r="F74" s="1">
        <v>27</v>
      </c>
      <c r="G74" s="1">
        <v>1</v>
      </c>
      <c r="H74" s="1">
        <v>1</v>
      </c>
      <c r="I74" s="1">
        <v>0</v>
      </c>
      <c r="J74" s="1">
        <v>0</v>
      </c>
      <c r="K74" s="1">
        <v>0</v>
      </c>
      <c r="L74" s="1">
        <v>3881</v>
      </c>
      <c r="M74" s="1">
        <v>0</v>
      </c>
    </row>
    <row r="75" spans="2:13" x14ac:dyDescent="0.25">
      <c r="B75" s="1">
        <v>0</v>
      </c>
      <c r="C75" s="1">
        <v>0</v>
      </c>
      <c r="D75" s="1">
        <v>0.99749999999999994</v>
      </c>
      <c r="E75" s="1">
        <v>2.5000000000000001E-3</v>
      </c>
      <c r="F75" s="1">
        <v>63</v>
      </c>
      <c r="G75" s="1">
        <v>0</v>
      </c>
      <c r="H75" s="1">
        <v>3</v>
      </c>
      <c r="I75" s="1">
        <v>4</v>
      </c>
      <c r="J75" s="1">
        <v>0</v>
      </c>
      <c r="K75" s="1">
        <v>0</v>
      </c>
      <c r="L75" s="1">
        <v>14711</v>
      </c>
      <c r="M75" s="1">
        <v>0</v>
      </c>
    </row>
    <row r="76" spans="2:13" x14ac:dyDescent="0.25">
      <c r="B76" s="1">
        <v>0</v>
      </c>
      <c r="C76" s="1">
        <v>0</v>
      </c>
      <c r="D76" s="1">
        <v>0.99749999999999994</v>
      </c>
      <c r="E76" s="1">
        <v>2.5000000000000001E-3</v>
      </c>
      <c r="F76" s="1">
        <v>66</v>
      </c>
      <c r="G76" s="1">
        <v>0</v>
      </c>
      <c r="H76" s="1">
        <v>3</v>
      </c>
      <c r="I76" s="1">
        <v>3</v>
      </c>
      <c r="J76" s="1">
        <v>0</v>
      </c>
      <c r="K76" s="1">
        <v>0</v>
      </c>
      <c r="L76" s="1">
        <v>11883</v>
      </c>
      <c r="M76" s="1">
        <v>0</v>
      </c>
    </row>
    <row r="77" spans="2:13" x14ac:dyDescent="0.25">
      <c r="B77" s="1">
        <v>0</v>
      </c>
      <c r="C77" s="1">
        <v>0</v>
      </c>
      <c r="D77" s="1">
        <v>0.8571428571428571</v>
      </c>
      <c r="E77" s="1">
        <v>0.14285714285714285</v>
      </c>
      <c r="F77" s="1">
        <v>51</v>
      </c>
      <c r="G77" s="1">
        <v>1</v>
      </c>
      <c r="H77" s="1">
        <v>9</v>
      </c>
      <c r="I77" s="1">
        <v>3</v>
      </c>
      <c r="J77" s="1">
        <v>0</v>
      </c>
      <c r="K77" s="1">
        <v>0</v>
      </c>
      <c r="L77" s="1">
        <v>16373</v>
      </c>
      <c r="M77" s="1">
        <v>0</v>
      </c>
    </row>
    <row r="78" spans="2:13" x14ac:dyDescent="0.25">
      <c r="B78" s="1">
        <v>0</v>
      </c>
      <c r="C78" s="1">
        <v>0</v>
      </c>
      <c r="D78" s="1">
        <v>0.625</v>
      </c>
      <c r="E78" s="1">
        <v>0.37500000000000006</v>
      </c>
      <c r="F78" s="1">
        <v>81</v>
      </c>
      <c r="G78" s="1">
        <v>0</v>
      </c>
      <c r="H78" s="1">
        <v>106</v>
      </c>
      <c r="I78" s="1">
        <v>2</v>
      </c>
      <c r="J78" s="1">
        <v>6</v>
      </c>
      <c r="K78" s="1">
        <v>0</v>
      </c>
      <c r="L78" s="1">
        <v>465207</v>
      </c>
      <c r="M78" s="1">
        <v>1</v>
      </c>
    </row>
    <row r="79" spans="2:13" x14ac:dyDescent="0.25">
      <c r="B79" s="17">
        <v>0</v>
      </c>
      <c r="C79" s="17">
        <v>1</v>
      </c>
      <c r="D79" s="17">
        <v>0.625</v>
      </c>
      <c r="E79" s="17">
        <v>0.37500000000000006</v>
      </c>
      <c r="F79" s="17">
        <v>81</v>
      </c>
      <c r="G79" s="17">
        <v>1</v>
      </c>
      <c r="H79" s="17">
        <v>34</v>
      </c>
      <c r="I79" s="17">
        <v>1</v>
      </c>
      <c r="J79" s="17">
        <v>5</v>
      </c>
      <c r="K79" s="17">
        <v>0</v>
      </c>
      <c r="L79" s="17">
        <v>226307</v>
      </c>
      <c r="M79" s="17">
        <v>1</v>
      </c>
    </row>
    <row r="80" spans="2:13" x14ac:dyDescent="0.25">
      <c r="B80" s="1">
        <v>0</v>
      </c>
      <c r="C80" s="1">
        <v>0</v>
      </c>
      <c r="D80" s="1">
        <v>0.9810526315789474</v>
      </c>
      <c r="E80" s="1">
        <v>1.8947368421052633E-2</v>
      </c>
      <c r="F80" s="1">
        <v>23</v>
      </c>
      <c r="G80" s="1">
        <v>0</v>
      </c>
      <c r="H80" s="1">
        <v>6</v>
      </c>
      <c r="I80" s="1">
        <v>4</v>
      </c>
      <c r="J80" s="1">
        <v>0</v>
      </c>
      <c r="K80" s="1">
        <v>0</v>
      </c>
      <c r="L80" s="1">
        <v>9011</v>
      </c>
      <c r="M80" s="1">
        <v>0</v>
      </c>
    </row>
    <row r="81" spans="2:13" x14ac:dyDescent="0.25">
      <c r="B81" s="1">
        <v>0</v>
      </c>
      <c r="C81" s="1">
        <v>0</v>
      </c>
      <c r="D81" s="1">
        <v>0.7142857142857143</v>
      </c>
      <c r="E81" s="1">
        <v>0.2857142857142857</v>
      </c>
      <c r="F81" s="1">
        <v>88</v>
      </c>
      <c r="G81" s="1">
        <v>1</v>
      </c>
      <c r="H81" s="1">
        <v>8</v>
      </c>
      <c r="I81" s="1">
        <v>5</v>
      </c>
      <c r="J81" s="1">
        <v>0</v>
      </c>
      <c r="K81" s="1">
        <v>0</v>
      </c>
      <c r="L81" s="1">
        <v>30798</v>
      </c>
      <c r="M81" s="1">
        <v>0</v>
      </c>
    </row>
    <row r="82" spans="2:13" x14ac:dyDescent="0.25">
      <c r="B82" s="1">
        <v>0</v>
      </c>
      <c r="C82" s="1">
        <v>0</v>
      </c>
      <c r="D82" s="1">
        <v>0.8571428571428571</v>
      </c>
      <c r="E82" s="1">
        <v>0.14285714285714285</v>
      </c>
      <c r="F82" s="1">
        <v>51</v>
      </c>
      <c r="G82" s="1">
        <v>1</v>
      </c>
      <c r="H82" s="1">
        <v>2</v>
      </c>
      <c r="I82" s="1">
        <v>3</v>
      </c>
      <c r="J82" s="1">
        <v>0</v>
      </c>
      <c r="K82" s="1">
        <v>0</v>
      </c>
      <c r="L82" s="1">
        <v>5928</v>
      </c>
      <c r="M82" s="1">
        <v>0</v>
      </c>
    </row>
    <row r="83" spans="2:13" x14ac:dyDescent="0.25">
      <c r="B83" s="1">
        <v>0</v>
      </c>
      <c r="C83" s="1">
        <v>0</v>
      </c>
      <c r="D83" s="1">
        <v>0.99749999999999994</v>
      </c>
      <c r="E83" s="1">
        <v>2.5000000000000001E-3</v>
      </c>
      <c r="F83" s="1">
        <v>73</v>
      </c>
      <c r="G83" s="1">
        <v>0</v>
      </c>
      <c r="H83" s="1">
        <v>9</v>
      </c>
      <c r="I83" s="1">
        <v>5</v>
      </c>
      <c r="J83" s="1">
        <v>0</v>
      </c>
      <c r="K83" s="1">
        <v>0</v>
      </c>
      <c r="L83" s="1">
        <v>46940</v>
      </c>
      <c r="M83" s="1">
        <v>0</v>
      </c>
    </row>
    <row r="84" spans="2:13" x14ac:dyDescent="0.25">
      <c r="B84" s="1">
        <v>0</v>
      </c>
      <c r="C84" s="1">
        <v>0</v>
      </c>
      <c r="D84" s="1">
        <v>0.9810526315789474</v>
      </c>
      <c r="E84" s="1">
        <v>1.8947368421052633E-2</v>
      </c>
      <c r="F84" s="1">
        <v>0</v>
      </c>
      <c r="G84" s="1">
        <v>1</v>
      </c>
      <c r="H84" s="1">
        <v>2</v>
      </c>
      <c r="I84" s="1">
        <v>0</v>
      </c>
      <c r="J84" s="1">
        <v>0</v>
      </c>
      <c r="K84" s="1">
        <v>0</v>
      </c>
      <c r="L84" s="1">
        <v>2056</v>
      </c>
      <c r="M84" s="1">
        <v>0</v>
      </c>
    </row>
    <row r="85" spans="2:13" x14ac:dyDescent="0.25">
      <c r="B85" s="1">
        <v>0</v>
      </c>
      <c r="C85" s="1">
        <v>0</v>
      </c>
      <c r="D85" s="1">
        <v>0.9810526315789474</v>
      </c>
      <c r="E85" s="1">
        <v>1.8947368421052633E-2</v>
      </c>
      <c r="F85" s="1">
        <v>22</v>
      </c>
      <c r="G85" s="1">
        <v>1</v>
      </c>
      <c r="H85" s="1">
        <v>4</v>
      </c>
      <c r="I85" s="1">
        <v>0</v>
      </c>
      <c r="J85" s="1">
        <v>0</v>
      </c>
      <c r="K85" s="1">
        <v>0</v>
      </c>
      <c r="L85" s="1">
        <v>9949</v>
      </c>
      <c r="M85" s="1">
        <v>0</v>
      </c>
    </row>
    <row r="86" spans="2:13" x14ac:dyDescent="0.25">
      <c r="B86" s="1">
        <v>0</v>
      </c>
      <c r="C86" s="1">
        <v>0</v>
      </c>
      <c r="D86" s="1">
        <v>0.99749999999999994</v>
      </c>
      <c r="E86" s="1">
        <v>2.5000000000000001E-3</v>
      </c>
      <c r="F86" s="1">
        <v>58</v>
      </c>
      <c r="G86" s="1">
        <v>0</v>
      </c>
      <c r="H86" s="1">
        <v>3</v>
      </c>
      <c r="I86" s="1">
        <v>0</v>
      </c>
      <c r="J86" s="1">
        <v>1</v>
      </c>
      <c r="K86" s="1">
        <v>0</v>
      </c>
      <c r="L86" s="1">
        <v>14035</v>
      </c>
      <c r="M86" s="1">
        <v>0</v>
      </c>
    </row>
    <row r="87" spans="2:13" x14ac:dyDescent="0.25">
      <c r="B87" s="1">
        <v>0</v>
      </c>
      <c r="C87" s="1">
        <v>0</v>
      </c>
      <c r="D87" s="1">
        <v>0.9810526315789474</v>
      </c>
      <c r="E87" s="1">
        <v>1.8947368421052633E-2</v>
      </c>
      <c r="F87" s="1">
        <v>20</v>
      </c>
      <c r="G87" s="1">
        <v>1</v>
      </c>
      <c r="H87" s="1">
        <v>2</v>
      </c>
      <c r="I87" s="1">
        <v>0</v>
      </c>
      <c r="J87" s="1">
        <v>2</v>
      </c>
      <c r="K87" s="1">
        <v>0</v>
      </c>
      <c r="L87" s="1">
        <v>8668</v>
      </c>
      <c r="M87" s="1">
        <v>0</v>
      </c>
    </row>
    <row r="88" spans="2:13" x14ac:dyDescent="0.25">
      <c r="B88" s="17">
        <v>0</v>
      </c>
      <c r="C88" s="17">
        <v>1</v>
      </c>
      <c r="D88" s="17">
        <v>0.8571428571428571</v>
      </c>
      <c r="E88" s="17">
        <v>0.14285714285714285</v>
      </c>
      <c r="F88" s="17">
        <v>51</v>
      </c>
      <c r="G88" s="17">
        <v>1</v>
      </c>
      <c r="H88" s="17">
        <v>3</v>
      </c>
      <c r="I88" s="17">
        <v>2</v>
      </c>
      <c r="J88" s="17">
        <v>1</v>
      </c>
      <c r="K88" s="17">
        <v>0</v>
      </c>
      <c r="L88" s="17">
        <v>18596</v>
      </c>
      <c r="M88" s="17">
        <v>1</v>
      </c>
    </row>
    <row r="89" spans="2:13" x14ac:dyDescent="0.25">
      <c r="B89" s="17">
        <v>1</v>
      </c>
      <c r="C89" s="17">
        <v>0</v>
      </c>
      <c r="D89" s="17">
        <v>9.5238095238095233E-2</v>
      </c>
      <c r="E89" s="17">
        <v>0.90476190476190477</v>
      </c>
      <c r="F89" s="17">
        <v>53</v>
      </c>
      <c r="G89" s="17">
        <v>0</v>
      </c>
      <c r="H89" s="17">
        <v>11</v>
      </c>
      <c r="I89" s="17">
        <v>5</v>
      </c>
      <c r="J89" s="17">
        <v>4</v>
      </c>
      <c r="K89" s="17">
        <v>0</v>
      </c>
      <c r="L89" s="17">
        <v>68908</v>
      </c>
      <c r="M89" s="17">
        <v>1</v>
      </c>
    </row>
    <row r="90" spans="2:13" x14ac:dyDescent="0.25">
      <c r="B90" s="1">
        <v>0</v>
      </c>
      <c r="C90" s="1">
        <v>0</v>
      </c>
      <c r="D90" s="1">
        <v>0.9810526315789474</v>
      </c>
      <c r="E90" s="1">
        <v>1.8947368421052633E-2</v>
      </c>
      <c r="F90" s="1">
        <v>19</v>
      </c>
      <c r="G90" s="1">
        <v>1</v>
      </c>
      <c r="H90" s="1">
        <v>3</v>
      </c>
      <c r="I90" s="1">
        <v>0</v>
      </c>
      <c r="J90" s="1">
        <v>1</v>
      </c>
      <c r="K90" s="1">
        <v>0</v>
      </c>
      <c r="L90" s="1">
        <v>9512</v>
      </c>
      <c r="M90" s="1">
        <v>1</v>
      </c>
    </row>
    <row r="91" spans="2:13" x14ac:dyDescent="0.25">
      <c r="B91" s="1">
        <v>0</v>
      </c>
      <c r="C91" s="1">
        <v>0</v>
      </c>
      <c r="D91" s="1">
        <v>0.9810526315789474</v>
      </c>
      <c r="E91" s="1">
        <v>1.8947368421052633E-2</v>
      </c>
      <c r="F91" s="1">
        <v>0</v>
      </c>
      <c r="G91" s="1">
        <v>1</v>
      </c>
      <c r="H91" s="1">
        <v>3</v>
      </c>
      <c r="I91" s="1">
        <v>0</v>
      </c>
      <c r="J91" s="1">
        <v>0</v>
      </c>
      <c r="K91" s="1">
        <v>0</v>
      </c>
      <c r="L91" s="1">
        <v>2502</v>
      </c>
      <c r="M91" s="1">
        <v>0</v>
      </c>
    </row>
    <row r="92" spans="2:13" x14ac:dyDescent="0.25">
      <c r="B92" s="1">
        <v>0</v>
      </c>
      <c r="C92" s="1">
        <v>0</v>
      </c>
      <c r="D92" s="1">
        <v>1</v>
      </c>
      <c r="E92" s="1">
        <v>0</v>
      </c>
      <c r="F92" s="1">
        <v>45</v>
      </c>
      <c r="G92" s="1">
        <v>1</v>
      </c>
      <c r="H92" s="1">
        <v>3</v>
      </c>
      <c r="I92" s="1">
        <v>1</v>
      </c>
      <c r="J92" s="1">
        <v>0</v>
      </c>
      <c r="K92" s="1">
        <v>0</v>
      </c>
      <c r="L92" s="1">
        <v>9682</v>
      </c>
      <c r="M92" s="1">
        <v>0</v>
      </c>
    </row>
    <row r="93" spans="2:13" x14ac:dyDescent="0.25">
      <c r="B93" s="1">
        <v>1</v>
      </c>
      <c r="C93" s="1">
        <v>1</v>
      </c>
      <c r="D93" s="1">
        <v>0</v>
      </c>
      <c r="E93" s="1">
        <v>1</v>
      </c>
      <c r="F93" s="1">
        <v>89</v>
      </c>
      <c r="G93" s="1">
        <v>1</v>
      </c>
      <c r="H93" s="1">
        <v>11</v>
      </c>
      <c r="I93" s="1">
        <v>6</v>
      </c>
      <c r="J93" s="1">
        <v>1</v>
      </c>
      <c r="K93" s="1">
        <v>1</v>
      </c>
      <c r="L93" s="1">
        <v>17863</v>
      </c>
      <c r="M93" s="1">
        <v>0</v>
      </c>
    </row>
    <row r="94" spans="2:13" x14ac:dyDescent="0.25">
      <c r="B94" s="1">
        <v>1</v>
      </c>
      <c r="C94" s="1">
        <v>1</v>
      </c>
      <c r="D94" s="1">
        <v>0</v>
      </c>
      <c r="E94" s="1">
        <v>1</v>
      </c>
      <c r="F94" s="1">
        <v>87</v>
      </c>
      <c r="G94" s="1">
        <v>0</v>
      </c>
      <c r="H94" s="1">
        <v>12</v>
      </c>
      <c r="I94" s="1">
        <v>2</v>
      </c>
      <c r="J94" s="1">
        <v>0</v>
      </c>
      <c r="K94" s="1">
        <v>1</v>
      </c>
      <c r="L94" s="1">
        <v>17448</v>
      </c>
      <c r="M94" s="1">
        <v>0</v>
      </c>
    </row>
    <row r="95" spans="2:13" x14ac:dyDescent="0.25">
      <c r="B95" s="17">
        <v>0</v>
      </c>
      <c r="C95" s="17">
        <v>1</v>
      </c>
      <c r="D95" s="17">
        <v>0.9810526315789474</v>
      </c>
      <c r="E95" s="17">
        <v>1.8947368421052633E-2</v>
      </c>
      <c r="F95" s="17">
        <v>0</v>
      </c>
      <c r="G95" s="17">
        <v>0</v>
      </c>
      <c r="H95" s="17">
        <v>2</v>
      </c>
      <c r="I95" s="17">
        <v>0</v>
      </c>
      <c r="J95" s="17">
        <v>0</v>
      </c>
      <c r="K95" s="17">
        <v>0</v>
      </c>
      <c r="L95" s="17">
        <v>1214</v>
      </c>
      <c r="M95" s="17">
        <v>0</v>
      </c>
    </row>
    <row r="96" spans="2:13" x14ac:dyDescent="0.25">
      <c r="B96" s="17">
        <v>1</v>
      </c>
      <c r="C96" s="17">
        <v>0</v>
      </c>
      <c r="D96" s="17">
        <v>0.16666666666666666</v>
      </c>
      <c r="E96" s="17">
        <v>0.83333333333333326</v>
      </c>
      <c r="F96" s="17">
        <v>17</v>
      </c>
      <c r="G96" s="17">
        <v>1</v>
      </c>
      <c r="H96" s="17">
        <v>43</v>
      </c>
      <c r="I96" s="17">
        <v>0</v>
      </c>
      <c r="J96" s="17">
        <v>1</v>
      </c>
      <c r="K96" s="17">
        <v>0</v>
      </c>
      <c r="L96" s="17">
        <v>74306</v>
      </c>
      <c r="M96" s="17">
        <v>1</v>
      </c>
    </row>
    <row r="97" spans="2:13" x14ac:dyDescent="0.25">
      <c r="B97" s="1">
        <v>0</v>
      </c>
      <c r="C97" s="1">
        <v>0</v>
      </c>
      <c r="D97" s="1">
        <v>0.9810526315789474</v>
      </c>
      <c r="E97" s="1">
        <v>1.8947368421052633E-2</v>
      </c>
      <c r="F97" s="1">
        <v>22</v>
      </c>
      <c r="G97" s="1">
        <v>1</v>
      </c>
      <c r="H97" s="1">
        <v>3</v>
      </c>
      <c r="I97" s="1">
        <v>0</v>
      </c>
      <c r="J97" s="1">
        <v>0</v>
      </c>
      <c r="K97" s="1">
        <v>0</v>
      </c>
      <c r="L97" s="1">
        <v>3782</v>
      </c>
      <c r="M97" s="1">
        <v>0</v>
      </c>
    </row>
    <row r="98" spans="2:13" x14ac:dyDescent="0.25">
      <c r="B98" s="1">
        <v>0</v>
      </c>
      <c r="C98" s="1">
        <v>0</v>
      </c>
      <c r="D98" s="1">
        <v>1</v>
      </c>
      <c r="E98" s="1">
        <v>0</v>
      </c>
      <c r="F98" s="1">
        <v>48</v>
      </c>
      <c r="G98" s="1">
        <v>0</v>
      </c>
      <c r="H98" s="1">
        <v>4</v>
      </c>
      <c r="I98" s="1">
        <v>5</v>
      </c>
      <c r="J98" s="1">
        <v>0</v>
      </c>
      <c r="K98" s="1">
        <v>0</v>
      </c>
      <c r="L98" s="1">
        <v>8889</v>
      </c>
      <c r="M98" s="1">
        <v>0</v>
      </c>
    </row>
    <row r="99" spans="2:13" x14ac:dyDescent="0.25">
      <c r="B99" s="1">
        <v>0</v>
      </c>
      <c r="C99" s="1">
        <v>0</v>
      </c>
      <c r="D99" s="1">
        <v>0.8571428571428571</v>
      </c>
      <c r="E99" s="1">
        <v>0.14285714285714288</v>
      </c>
      <c r="F99" s="1">
        <v>79</v>
      </c>
      <c r="G99" s="1">
        <v>0</v>
      </c>
      <c r="H99" s="1">
        <v>10</v>
      </c>
      <c r="I99" s="1">
        <v>3</v>
      </c>
      <c r="J99" s="1">
        <v>1</v>
      </c>
      <c r="K99" s="1">
        <v>0</v>
      </c>
      <c r="L99" s="1">
        <v>59313</v>
      </c>
      <c r="M99" s="1">
        <v>1</v>
      </c>
    </row>
    <row r="100" spans="2:13" x14ac:dyDescent="0.25">
      <c r="B100" s="1">
        <v>1</v>
      </c>
      <c r="C100" s="1">
        <v>1</v>
      </c>
      <c r="D100" s="1">
        <v>0</v>
      </c>
      <c r="E100" s="1">
        <v>1</v>
      </c>
      <c r="F100" s="1">
        <v>82</v>
      </c>
      <c r="G100" s="1">
        <v>1</v>
      </c>
      <c r="H100" s="1">
        <v>2</v>
      </c>
      <c r="I100" s="1">
        <v>3</v>
      </c>
      <c r="J100" s="1">
        <v>0</v>
      </c>
      <c r="K100" s="1">
        <v>1</v>
      </c>
      <c r="L100" s="1">
        <v>7799</v>
      </c>
      <c r="M100" s="1">
        <v>0</v>
      </c>
    </row>
    <row r="101" spans="2:13" x14ac:dyDescent="0.25">
      <c r="B101" s="1">
        <v>0</v>
      </c>
      <c r="C101" s="1">
        <v>0</v>
      </c>
      <c r="D101" s="1">
        <v>0.9810526315789474</v>
      </c>
      <c r="E101" s="1">
        <v>1.8947368421052633E-2</v>
      </c>
      <c r="F101" s="1">
        <v>24</v>
      </c>
      <c r="G101" s="1">
        <v>1</v>
      </c>
      <c r="H101" s="1">
        <v>3</v>
      </c>
      <c r="I101" s="1">
        <v>0</v>
      </c>
      <c r="J101" s="1">
        <v>2</v>
      </c>
      <c r="K101" s="1">
        <v>0</v>
      </c>
      <c r="L101" s="1">
        <v>6732</v>
      </c>
      <c r="M101" s="1">
        <v>0</v>
      </c>
    </row>
    <row r="102" spans="2:13" x14ac:dyDescent="0.25">
      <c r="B102" s="1">
        <v>0</v>
      </c>
      <c r="C102" s="1">
        <v>0</v>
      </c>
      <c r="D102" s="1">
        <v>1</v>
      </c>
      <c r="E102" s="1">
        <v>0</v>
      </c>
      <c r="F102" s="1">
        <v>49</v>
      </c>
      <c r="G102" s="1">
        <v>1</v>
      </c>
      <c r="H102" s="1">
        <v>3</v>
      </c>
      <c r="I102" s="1">
        <v>2</v>
      </c>
      <c r="J102" s="1">
        <v>1</v>
      </c>
      <c r="K102" s="1">
        <v>0</v>
      </c>
      <c r="L102" s="1">
        <v>17657</v>
      </c>
      <c r="M102" s="1">
        <v>0</v>
      </c>
    </row>
    <row r="103" spans="2:13" x14ac:dyDescent="0.25">
      <c r="B103" s="1">
        <v>0</v>
      </c>
      <c r="C103" s="1">
        <v>0</v>
      </c>
      <c r="D103" s="1">
        <v>0.9810526315789474</v>
      </c>
      <c r="E103" s="1">
        <v>1.8947368421052633E-2</v>
      </c>
      <c r="F103" s="1">
        <v>26</v>
      </c>
      <c r="G103" s="1">
        <v>1</v>
      </c>
      <c r="H103" s="1">
        <v>2</v>
      </c>
      <c r="I103" s="1">
        <v>0</v>
      </c>
      <c r="J103" s="1">
        <v>1</v>
      </c>
      <c r="K103" s="1">
        <v>0</v>
      </c>
      <c r="L103" s="1">
        <v>6977</v>
      </c>
      <c r="M103" s="1">
        <v>1</v>
      </c>
    </row>
    <row r="104" spans="2:13" x14ac:dyDescent="0.25">
      <c r="B104" s="1">
        <v>0</v>
      </c>
      <c r="C104" s="1">
        <v>0</v>
      </c>
      <c r="D104" s="1">
        <v>0.96666666666666667</v>
      </c>
      <c r="E104" s="1">
        <v>3.333333333333334E-2</v>
      </c>
      <c r="F104" s="1">
        <v>33</v>
      </c>
      <c r="G104" s="1">
        <v>1</v>
      </c>
      <c r="H104" s="1">
        <v>2</v>
      </c>
      <c r="I104" s="1">
        <v>0</v>
      </c>
      <c r="J104" s="1">
        <v>1</v>
      </c>
      <c r="K104" s="1">
        <v>0</v>
      </c>
      <c r="L104" s="1">
        <v>5933</v>
      </c>
      <c r="M104" s="1">
        <v>0</v>
      </c>
    </row>
    <row r="105" spans="2:13" x14ac:dyDescent="0.25">
      <c r="B105" s="1">
        <v>1</v>
      </c>
      <c r="C105" s="1">
        <v>1</v>
      </c>
      <c r="D105" s="1">
        <v>0</v>
      </c>
      <c r="E105" s="1">
        <v>1</v>
      </c>
      <c r="F105" s="1">
        <v>75</v>
      </c>
      <c r="G105" s="1">
        <v>0</v>
      </c>
      <c r="H105" s="1">
        <v>2</v>
      </c>
      <c r="I105" s="1">
        <v>4</v>
      </c>
      <c r="J105" s="1">
        <v>0</v>
      </c>
      <c r="K105" s="1">
        <v>1</v>
      </c>
      <c r="L105" s="1">
        <v>6455</v>
      </c>
      <c r="M105" s="1">
        <v>0</v>
      </c>
    </row>
    <row r="106" spans="2:13" x14ac:dyDescent="0.25">
      <c r="B106" s="1">
        <v>1</v>
      </c>
      <c r="C106" s="1">
        <v>1</v>
      </c>
      <c r="D106" s="1">
        <v>0</v>
      </c>
      <c r="E106" s="1">
        <v>1</v>
      </c>
      <c r="F106" s="1">
        <v>78</v>
      </c>
      <c r="G106" s="1">
        <v>1</v>
      </c>
      <c r="H106" s="1">
        <v>5</v>
      </c>
      <c r="I106" s="1">
        <v>5</v>
      </c>
      <c r="J106" s="1">
        <v>0</v>
      </c>
      <c r="K106" s="1">
        <v>1</v>
      </c>
      <c r="L106" s="1">
        <v>22303</v>
      </c>
      <c r="M106" s="1">
        <v>0</v>
      </c>
    </row>
    <row r="107" spans="2:13" x14ac:dyDescent="0.25">
      <c r="B107" s="1">
        <v>0</v>
      </c>
      <c r="C107" s="1">
        <v>0</v>
      </c>
      <c r="D107" s="1">
        <v>1</v>
      </c>
      <c r="E107" s="1">
        <v>0</v>
      </c>
      <c r="F107" s="1">
        <v>41</v>
      </c>
      <c r="G107" s="1">
        <v>1</v>
      </c>
      <c r="H107" s="1">
        <v>4</v>
      </c>
      <c r="I107" s="1">
        <v>4</v>
      </c>
      <c r="J107" s="1">
        <v>0</v>
      </c>
      <c r="K107" s="1">
        <v>0</v>
      </c>
      <c r="L107" s="1">
        <v>22605</v>
      </c>
      <c r="M107" s="1">
        <v>0</v>
      </c>
    </row>
    <row r="108" spans="2:13" x14ac:dyDescent="0.25">
      <c r="B108" s="17">
        <v>1</v>
      </c>
      <c r="C108" s="17">
        <v>0</v>
      </c>
      <c r="D108" s="17">
        <v>0.19999999999999996</v>
      </c>
      <c r="E108" s="17">
        <v>0.79999999999999993</v>
      </c>
      <c r="F108" s="17">
        <v>80</v>
      </c>
      <c r="G108" s="17">
        <v>0</v>
      </c>
      <c r="H108" s="17">
        <v>17</v>
      </c>
      <c r="I108" s="17">
        <v>5</v>
      </c>
      <c r="J108" s="17">
        <v>2</v>
      </c>
      <c r="K108" s="17">
        <v>0</v>
      </c>
      <c r="L108" s="17">
        <v>41581</v>
      </c>
      <c r="M108" s="17">
        <v>1</v>
      </c>
    </row>
    <row r="109" spans="2:13" x14ac:dyDescent="0.25">
      <c r="B109" s="1">
        <v>1</v>
      </c>
      <c r="C109" s="1">
        <v>1</v>
      </c>
      <c r="D109" s="1">
        <v>0</v>
      </c>
      <c r="E109" s="1">
        <v>1</v>
      </c>
      <c r="F109" s="1">
        <v>92</v>
      </c>
      <c r="G109" s="1">
        <v>0</v>
      </c>
      <c r="H109" s="1">
        <v>3</v>
      </c>
      <c r="I109" s="1">
        <v>6</v>
      </c>
      <c r="J109" s="1">
        <v>1</v>
      </c>
      <c r="K109" s="1">
        <v>1</v>
      </c>
      <c r="L109" s="1">
        <v>13973</v>
      </c>
      <c r="M109" s="1">
        <v>1</v>
      </c>
    </row>
    <row r="110" spans="2:13" x14ac:dyDescent="0.25">
      <c r="B110" s="1">
        <v>0</v>
      </c>
      <c r="C110" s="1">
        <v>0</v>
      </c>
      <c r="D110" s="1">
        <v>0.99749999999999994</v>
      </c>
      <c r="E110" s="1">
        <v>2.5000000000000001E-3</v>
      </c>
      <c r="F110" s="1">
        <v>71</v>
      </c>
      <c r="G110" s="1">
        <v>0</v>
      </c>
      <c r="H110" s="1">
        <v>1</v>
      </c>
      <c r="I110" s="1">
        <v>3</v>
      </c>
      <c r="J110" s="1">
        <v>0</v>
      </c>
      <c r="K110" s="1">
        <v>0</v>
      </c>
      <c r="L110" s="1">
        <v>10433</v>
      </c>
      <c r="M110" s="1">
        <v>0</v>
      </c>
    </row>
    <row r="111" spans="2:13" x14ac:dyDescent="0.25">
      <c r="B111" s="1">
        <v>0</v>
      </c>
      <c r="C111" s="1">
        <v>0</v>
      </c>
      <c r="D111" s="1">
        <v>1</v>
      </c>
      <c r="E111" s="1">
        <v>0</v>
      </c>
      <c r="F111" s="1">
        <v>42</v>
      </c>
      <c r="G111" s="1">
        <v>1</v>
      </c>
      <c r="H111" s="1">
        <v>5</v>
      </c>
      <c r="I111" s="1">
        <v>5</v>
      </c>
      <c r="J111" s="1">
        <v>0</v>
      </c>
      <c r="K111" s="1">
        <v>0</v>
      </c>
      <c r="L111" s="1">
        <v>13618</v>
      </c>
      <c r="M111" s="1">
        <v>0</v>
      </c>
    </row>
    <row r="112" spans="2:13" x14ac:dyDescent="0.25">
      <c r="B112" s="1">
        <v>0</v>
      </c>
      <c r="C112" s="1">
        <v>0</v>
      </c>
      <c r="D112" s="1">
        <v>0.99749999999999994</v>
      </c>
      <c r="E112" s="1">
        <v>2.5000000000000001E-3</v>
      </c>
      <c r="F112" s="1">
        <v>63</v>
      </c>
      <c r="G112" s="1">
        <v>1</v>
      </c>
      <c r="H112" s="1">
        <v>2</v>
      </c>
      <c r="I112" s="1">
        <v>4</v>
      </c>
      <c r="J112" s="1">
        <v>0</v>
      </c>
      <c r="K112" s="1">
        <v>0</v>
      </c>
      <c r="L112" s="1">
        <v>11440</v>
      </c>
      <c r="M112" s="1">
        <v>0</v>
      </c>
    </row>
    <row r="113" spans="2:13" x14ac:dyDescent="0.25">
      <c r="B113" s="1">
        <v>0</v>
      </c>
      <c r="C113" s="1">
        <v>0</v>
      </c>
      <c r="D113" s="1">
        <v>0.96666666666666667</v>
      </c>
      <c r="E113" s="1">
        <v>3.333333333333334E-2</v>
      </c>
      <c r="F113" s="1">
        <v>31</v>
      </c>
      <c r="G113" s="1">
        <v>1</v>
      </c>
      <c r="H113" s="1">
        <v>3</v>
      </c>
      <c r="I113" s="1">
        <v>4</v>
      </c>
      <c r="J113" s="1">
        <v>0</v>
      </c>
      <c r="K113" s="1">
        <v>0</v>
      </c>
      <c r="L113" s="1">
        <v>6674</v>
      </c>
      <c r="M113" s="1">
        <v>0</v>
      </c>
    </row>
    <row r="114" spans="2:13" x14ac:dyDescent="0.25">
      <c r="B114" s="1">
        <v>0</v>
      </c>
      <c r="C114" s="1">
        <v>0</v>
      </c>
      <c r="D114" s="1">
        <v>0.9810526315789474</v>
      </c>
      <c r="E114" s="1">
        <v>1.8947368421052633E-2</v>
      </c>
      <c r="F114" s="1">
        <v>0</v>
      </c>
      <c r="G114" s="1">
        <v>0</v>
      </c>
      <c r="H114" s="1">
        <v>2</v>
      </c>
      <c r="I114" s="1">
        <v>0</v>
      </c>
      <c r="J114" s="1">
        <v>0</v>
      </c>
      <c r="K114" s="1">
        <v>0</v>
      </c>
      <c r="L114" s="1">
        <v>1807</v>
      </c>
      <c r="M114" s="1">
        <v>0</v>
      </c>
    </row>
    <row r="115" spans="2:13" x14ac:dyDescent="0.25">
      <c r="B115" s="1">
        <v>1</v>
      </c>
      <c r="C115" s="1">
        <v>1</v>
      </c>
      <c r="D115" s="1">
        <v>9.5238095238095233E-2</v>
      </c>
      <c r="E115" s="1">
        <v>0.90476190476190477</v>
      </c>
      <c r="F115" s="1">
        <v>53</v>
      </c>
      <c r="G115" s="1">
        <v>0</v>
      </c>
      <c r="H115" s="1">
        <v>2</v>
      </c>
      <c r="I115" s="1">
        <v>0</v>
      </c>
      <c r="J115" s="1">
        <v>0</v>
      </c>
      <c r="K115" s="1">
        <v>0</v>
      </c>
      <c r="L115" s="1">
        <v>9459</v>
      </c>
      <c r="M115" s="1">
        <v>0</v>
      </c>
    </row>
    <row r="116" spans="2:13" x14ac:dyDescent="0.25">
      <c r="B116" s="1">
        <v>0</v>
      </c>
      <c r="C116" s="1">
        <v>0</v>
      </c>
      <c r="D116" s="1">
        <v>0.99749999999999994</v>
      </c>
      <c r="E116" s="1">
        <v>2.5000000000000001E-3</v>
      </c>
      <c r="F116" s="1">
        <v>56</v>
      </c>
      <c r="G116" s="1">
        <v>1</v>
      </c>
      <c r="H116" s="1">
        <v>3</v>
      </c>
      <c r="I116" s="1">
        <v>5</v>
      </c>
      <c r="J116" s="1">
        <v>0</v>
      </c>
      <c r="K116" s="1">
        <v>0</v>
      </c>
      <c r="L116" s="1">
        <v>12300</v>
      </c>
      <c r="M116" s="1">
        <v>0</v>
      </c>
    </row>
    <row r="117" spans="2:13" x14ac:dyDescent="0.25">
      <c r="B117" s="1">
        <v>0</v>
      </c>
      <c r="C117" s="1">
        <v>0</v>
      </c>
      <c r="D117" s="1">
        <v>0.99749999999999994</v>
      </c>
      <c r="E117" s="1">
        <v>2.5000000000000001E-3</v>
      </c>
      <c r="F117" s="1">
        <v>64</v>
      </c>
      <c r="G117" s="1">
        <v>1</v>
      </c>
      <c r="H117" s="1">
        <v>2</v>
      </c>
      <c r="I117" s="1">
        <v>1</v>
      </c>
      <c r="J117" s="1">
        <v>0</v>
      </c>
      <c r="K117" s="1">
        <v>0</v>
      </c>
      <c r="L117" s="1">
        <v>16044</v>
      </c>
      <c r="M117" s="1">
        <v>0</v>
      </c>
    </row>
    <row r="118" spans="2:13" x14ac:dyDescent="0.25">
      <c r="B118" s="1">
        <v>1</v>
      </c>
      <c r="C118" s="1">
        <v>1</v>
      </c>
      <c r="D118" s="1">
        <v>0.30769230769230771</v>
      </c>
      <c r="E118" s="1">
        <v>0.69230769230769229</v>
      </c>
      <c r="F118" s="1">
        <v>50</v>
      </c>
      <c r="G118" s="1">
        <v>1</v>
      </c>
      <c r="H118" s="1">
        <v>7</v>
      </c>
      <c r="I118" s="1">
        <v>3</v>
      </c>
      <c r="J118" s="1">
        <v>0</v>
      </c>
      <c r="K118" s="1">
        <v>0</v>
      </c>
      <c r="L118" s="1">
        <v>10841</v>
      </c>
      <c r="M118" s="1">
        <v>0</v>
      </c>
    </row>
    <row r="119" spans="2:13" x14ac:dyDescent="0.25">
      <c r="B119" s="1">
        <v>1</v>
      </c>
      <c r="C119" s="1">
        <v>1</v>
      </c>
      <c r="D119" s="1">
        <v>0</v>
      </c>
      <c r="E119" s="1">
        <v>1</v>
      </c>
      <c r="F119" s="1">
        <v>75</v>
      </c>
      <c r="G119" s="1">
        <v>1</v>
      </c>
      <c r="H119" s="1">
        <v>7</v>
      </c>
      <c r="I119" s="1">
        <v>2</v>
      </c>
      <c r="J119" s="1">
        <v>2</v>
      </c>
      <c r="K119" s="1">
        <v>1</v>
      </c>
      <c r="L119" s="1">
        <v>14571</v>
      </c>
      <c r="M119" s="1">
        <v>0</v>
      </c>
    </row>
    <row r="120" spans="2:13" x14ac:dyDescent="0.25">
      <c r="B120" s="1">
        <v>0</v>
      </c>
      <c r="C120" s="1">
        <v>0</v>
      </c>
      <c r="D120" s="1">
        <v>0.99749999999999994</v>
      </c>
      <c r="E120" s="1">
        <v>2.5000000000000001E-3</v>
      </c>
      <c r="F120" s="1">
        <v>57</v>
      </c>
      <c r="G120" s="1">
        <v>1</v>
      </c>
      <c r="H120" s="1">
        <v>8</v>
      </c>
      <c r="I120" s="1">
        <v>4</v>
      </c>
      <c r="J120" s="1">
        <v>1</v>
      </c>
      <c r="K120" s="1">
        <v>0</v>
      </c>
      <c r="L120" s="1">
        <v>31428</v>
      </c>
      <c r="M120" s="1">
        <v>0</v>
      </c>
    </row>
    <row r="121" spans="2:13" x14ac:dyDescent="0.25">
      <c r="B121" s="1">
        <v>0</v>
      </c>
      <c r="C121" s="1">
        <v>0</v>
      </c>
      <c r="D121" s="1">
        <v>1</v>
      </c>
      <c r="E121" s="1">
        <v>0</v>
      </c>
      <c r="F121" s="1">
        <v>38</v>
      </c>
      <c r="G121" s="1">
        <v>1</v>
      </c>
      <c r="H121" s="1">
        <v>4</v>
      </c>
      <c r="I121" s="1">
        <v>1</v>
      </c>
      <c r="J121" s="1">
        <v>0</v>
      </c>
      <c r="K121" s="1">
        <v>0</v>
      </c>
      <c r="L121" s="1">
        <v>7956</v>
      </c>
      <c r="M121" s="1">
        <v>0</v>
      </c>
    </row>
    <row r="122" spans="2:13" x14ac:dyDescent="0.25">
      <c r="B122" s="1">
        <v>0</v>
      </c>
      <c r="C122" s="1">
        <v>0</v>
      </c>
      <c r="D122" s="1">
        <v>1</v>
      </c>
      <c r="E122" s="1">
        <v>0</v>
      </c>
      <c r="F122" s="1">
        <v>48</v>
      </c>
      <c r="G122" s="1">
        <v>0</v>
      </c>
      <c r="H122" s="1">
        <v>2</v>
      </c>
      <c r="I122" s="1">
        <v>2</v>
      </c>
      <c r="J122" s="1">
        <v>0</v>
      </c>
      <c r="K122" s="1">
        <v>0</v>
      </c>
      <c r="L122" s="1">
        <v>3704</v>
      </c>
      <c r="M122" s="1">
        <v>0</v>
      </c>
    </row>
    <row r="123" spans="2:13" x14ac:dyDescent="0.25">
      <c r="B123" s="1">
        <v>0</v>
      </c>
      <c r="C123" s="1">
        <v>0</v>
      </c>
      <c r="D123" s="1">
        <v>0.99749999999999994</v>
      </c>
      <c r="E123" s="1">
        <v>2.5000000000000001E-3</v>
      </c>
      <c r="F123" s="1">
        <v>65</v>
      </c>
      <c r="G123" s="1">
        <v>0</v>
      </c>
      <c r="H123" s="1">
        <v>32</v>
      </c>
      <c r="I123" s="1">
        <v>3</v>
      </c>
      <c r="J123" s="1">
        <v>2</v>
      </c>
      <c r="K123" s="1">
        <v>0</v>
      </c>
      <c r="L123" s="1">
        <v>64164</v>
      </c>
      <c r="M123" s="1">
        <v>0</v>
      </c>
    </row>
    <row r="124" spans="2:13" x14ac:dyDescent="0.25">
      <c r="B124" s="1">
        <v>1</v>
      </c>
      <c r="C124" s="1">
        <v>1</v>
      </c>
      <c r="D124" s="1">
        <v>0.4375</v>
      </c>
      <c r="E124" s="1">
        <v>0.5625</v>
      </c>
      <c r="F124" s="1">
        <v>75</v>
      </c>
      <c r="G124" s="1">
        <v>0</v>
      </c>
      <c r="H124" s="1">
        <v>6</v>
      </c>
      <c r="I124" s="1">
        <v>5</v>
      </c>
      <c r="J124" s="1">
        <v>2</v>
      </c>
      <c r="K124" s="1">
        <v>0</v>
      </c>
      <c r="L124" s="1">
        <v>24842</v>
      </c>
      <c r="M124" s="1">
        <v>1</v>
      </c>
    </row>
    <row r="125" spans="2:13" x14ac:dyDescent="0.25">
      <c r="B125" s="1">
        <v>0</v>
      </c>
      <c r="C125" s="1">
        <v>0</v>
      </c>
      <c r="D125" s="1">
        <v>1</v>
      </c>
      <c r="E125" s="1">
        <v>0</v>
      </c>
      <c r="F125" s="1">
        <v>41</v>
      </c>
      <c r="G125" s="1">
        <v>1</v>
      </c>
      <c r="H125" s="1">
        <v>1</v>
      </c>
      <c r="I125" s="1">
        <v>3</v>
      </c>
      <c r="J125" s="1">
        <v>1</v>
      </c>
      <c r="K125" s="1">
        <v>0</v>
      </c>
      <c r="L125" s="1">
        <v>27631</v>
      </c>
      <c r="M125" s="1">
        <v>1</v>
      </c>
    </row>
    <row r="126" spans="2:13" x14ac:dyDescent="0.25">
      <c r="B126" s="1">
        <v>0</v>
      </c>
      <c r="C126" s="1">
        <v>0</v>
      </c>
      <c r="D126" s="1">
        <v>0.99749999999999994</v>
      </c>
      <c r="E126" s="1">
        <v>2.5000000000000001E-3</v>
      </c>
      <c r="F126" s="1">
        <v>66</v>
      </c>
      <c r="G126" s="1">
        <v>0</v>
      </c>
      <c r="H126" s="1">
        <v>6</v>
      </c>
      <c r="I126" s="1">
        <v>2</v>
      </c>
      <c r="J126" s="1">
        <v>1</v>
      </c>
      <c r="K126" s="1">
        <v>0</v>
      </c>
      <c r="L126" s="1">
        <v>28175</v>
      </c>
      <c r="M126" s="1">
        <v>0</v>
      </c>
    </row>
    <row r="127" spans="2:13" x14ac:dyDescent="0.25">
      <c r="B127" s="1">
        <v>1</v>
      </c>
      <c r="C127" s="1">
        <v>1</v>
      </c>
      <c r="D127" s="1">
        <v>0</v>
      </c>
      <c r="E127" s="1">
        <v>1</v>
      </c>
      <c r="F127" s="1">
        <v>84</v>
      </c>
      <c r="G127" s="1">
        <v>0</v>
      </c>
      <c r="H127" s="1">
        <v>8</v>
      </c>
      <c r="I127" s="1">
        <v>6</v>
      </c>
      <c r="J127" s="1">
        <v>1</v>
      </c>
      <c r="K127" s="1">
        <v>1</v>
      </c>
      <c r="L127" s="1">
        <v>38365</v>
      </c>
      <c r="M127" s="1">
        <v>1</v>
      </c>
    </row>
    <row r="128" spans="2:13" x14ac:dyDescent="0.25">
      <c r="B128" s="1">
        <v>0</v>
      </c>
      <c r="C128" s="1">
        <v>0</v>
      </c>
      <c r="D128" s="1">
        <v>0.9810526315789474</v>
      </c>
      <c r="E128" s="1">
        <v>1.8947368421052633E-2</v>
      </c>
      <c r="F128" s="1">
        <v>18</v>
      </c>
      <c r="G128" s="1">
        <v>1</v>
      </c>
      <c r="H128" s="1">
        <v>2</v>
      </c>
      <c r="I128" s="1">
        <v>0</v>
      </c>
      <c r="J128" s="1">
        <v>2</v>
      </c>
      <c r="K128" s="1">
        <v>0</v>
      </c>
      <c r="L128" s="1">
        <v>5793</v>
      </c>
      <c r="M128" s="1">
        <v>0</v>
      </c>
    </row>
    <row r="129" spans="2:13" x14ac:dyDescent="0.25">
      <c r="B129" s="17">
        <v>1</v>
      </c>
      <c r="C129" s="17">
        <v>0</v>
      </c>
      <c r="D129" s="17">
        <v>0.27272727272727276</v>
      </c>
      <c r="E129" s="17">
        <v>0.72727272727272729</v>
      </c>
      <c r="F129" s="17">
        <v>84</v>
      </c>
      <c r="G129" s="17">
        <v>1</v>
      </c>
      <c r="H129" s="17">
        <v>2</v>
      </c>
      <c r="I129" s="17">
        <v>4</v>
      </c>
      <c r="J129" s="17">
        <v>0</v>
      </c>
      <c r="K129" s="17">
        <v>0</v>
      </c>
      <c r="L129" s="17">
        <v>3544</v>
      </c>
      <c r="M129" s="17">
        <v>0</v>
      </c>
    </row>
    <row r="130" spans="2:13" x14ac:dyDescent="0.25">
      <c r="B130" s="17">
        <v>0</v>
      </c>
      <c r="C130" s="17">
        <v>1</v>
      </c>
      <c r="D130" s="17">
        <v>0.68</v>
      </c>
      <c r="E130" s="17">
        <v>0.32</v>
      </c>
      <c r="F130" s="17">
        <v>94</v>
      </c>
      <c r="G130" s="17">
        <v>1</v>
      </c>
      <c r="H130" s="17">
        <v>2</v>
      </c>
      <c r="I130" s="17">
        <v>5</v>
      </c>
      <c r="J130" s="17">
        <v>0</v>
      </c>
      <c r="K130" s="17">
        <v>0</v>
      </c>
      <c r="L130" s="17">
        <v>9368</v>
      </c>
      <c r="M130" s="17">
        <v>0</v>
      </c>
    </row>
    <row r="131" spans="2:13" x14ac:dyDescent="0.25">
      <c r="B131" s="1">
        <v>0</v>
      </c>
      <c r="C131" s="1">
        <v>0</v>
      </c>
      <c r="D131" s="1">
        <v>0.9810526315789474</v>
      </c>
      <c r="E131" s="1">
        <v>1.8947368421052633E-2</v>
      </c>
      <c r="F131" s="1">
        <v>0</v>
      </c>
      <c r="G131" s="1">
        <v>0</v>
      </c>
      <c r="H131" s="1">
        <v>2</v>
      </c>
      <c r="I131" s="1">
        <v>0</v>
      </c>
      <c r="J131" s="1">
        <v>0</v>
      </c>
      <c r="K131" s="1">
        <v>0</v>
      </c>
      <c r="L131" s="1">
        <v>2356</v>
      </c>
      <c r="M131" s="1">
        <v>0</v>
      </c>
    </row>
    <row r="132" spans="2:13" x14ac:dyDescent="0.25">
      <c r="B132" s="17">
        <v>0</v>
      </c>
      <c r="C132" s="17">
        <v>1</v>
      </c>
      <c r="D132" s="17">
        <v>0.8571428571428571</v>
      </c>
      <c r="E132" s="17">
        <v>0.14285714285714285</v>
      </c>
      <c r="F132" s="17">
        <v>51</v>
      </c>
      <c r="G132" s="17">
        <v>0</v>
      </c>
      <c r="H132" s="17">
        <v>16</v>
      </c>
      <c r="I132" s="17">
        <v>4</v>
      </c>
      <c r="J132" s="17">
        <v>1</v>
      </c>
      <c r="K132" s="17">
        <v>0</v>
      </c>
      <c r="L132" s="17">
        <v>61345</v>
      </c>
      <c r="M132" s="17">
        <v>1</v>
      </c>
    </row>
    <row r="133" spans="2:13" x14ac:dyDescent="0.25">
      <c r="B133" s="1">
        <v>1</v>
      </c>
      <c r="C133" s="1">
        <v>1</v>
      </c>
      <c r="D133" s="1">
        <v>0</v>
      </c>
      <c r="E133" s="1">
        <v>1</v>
      </c>
      <c r="F133" s="1">
        <v>74</v>
      </c>
      <c r="G133" s="1">
        <v>1</v>
      </c>
      <c r="H133" s="1">
        <v>8</v>
      </c>
      <c r="I133" s="1">
        <v>2</v>
      </c>
      <c r="J133" s="1">
        <v>0</v>
      </c>
      <c r="K133" s="1">
        <v>1</v>
      </c>
      <c r="L133" s="1">
        <v>16925</v>
      </c>
      <c r="M133" s="1">
        <v>0</v>
      </c>
    </row>
    <row r="134" spans="2:13" x14ac:dyDescent="0.25">
      <c r="B134" s="17">
        <v>1</v>
      </c>
      <c r="C134" s="17">
        <v>0</v>
      </c>
      <c r="D134" s="17">
        <v>0.4375</v>
      </c>
      <c r="E134" s="17">
        <v>0.5625</v>
      </c>
      <c r="F134" s="17">
        <v>75</v>
      </c>
      <c r="G134" s="17">
        <v>1</v>
      </c>
      <c r="H134" s="17">
        <v>2</v>
      </c>
      <c r="I134" s="17">
        <v>2</v>
      </c>
      <c r="J134" s="17">
        <v>0</v>
      </c>
      <c r="K134" s="17">
        <v>0</v>
      </c>
      <c r="L134" s="17">
        <v>11779</v>
      </c>
      <c r="M134" s="17">
        <v>0</v>
      </c>
    </row>
    <row r="135" spans="2:13" x14ac:dyDescent="0.25">
      <c r="B135" s="1">
        <v>0</v>
      </c>
      <c r="C135" s="1">
        <v>0</v>
      </c>
      <c r="D135" s="1">
        <v>0.9810526315789474</v>
      </c>
      <c r="E135" s="1">
        <v>1.8947368421052633E-2</v>
      </c>
      <c r="F135" s="1">
        <v>0</v>
      </c>
      <c r="G135" s="1">
        <v>0</v>
      </c>
      <c r="H135" s="1">
        <v>2</v>
      </c>
      <c r="I135" s="1">
        <v>0</v>
      </c>
      <c r="J135" s="1">
        <v>0</v>
      </c>
      <c r="K135" s="1">
        <v>0</v>
      </c>
      <c r="L135" s="1">
        <v>2247</v>
      </c>
      <c r="M135" s="1">
        <v>0</v>
      </c>
    </row>
    <row r="136" spans="2:13" x14ac:dyDescent="0.25">
      <c r="B136" s="1">
        <v>0</v>
      </c>
      <c r="C136" s="1">
        <v>0</v>
      </c>
      <c r="D136" s="1">
        <v>0.9810526315789474</v>
      </c>
      <c r="E136" s="1">
        <v>1.8947368421052633E-2</v>
      </c>
      <c r="F136" s="1">
        <v>0</v>
      </c>
      <c r="G136" s="1">
        <v>1</v>
      </c>
      <c r="H136" s="1">
        <v>3</v>
      </c>
      <c r="I136" s="1">
        <v>0</v>
      </c>
      <c r="J136" s="1">
        <v>1</v>
      </c>
      <c r="K136" s="1">
        <v>0</v>
      </c>
      <c r="L136" s="1">
        <v>3046</v>
      </c>
      <c r="M136" s="1">
        <v>0</v>
      </c>
    </row>
    <row r="137" spans="2:13" x14ac:dyDescent="0.25">
      <c r="B137" s="1">
        <v>0</v>
      </c>
      <c r="C137" s="1">
        <v>0</v>
      </c>
      <c r="D137" s="1">
        <v>1</v>
      </c>
      <c r="E137" s="1">
        <v>0</v>
      </c>
      <c r="F137" s="1">
        <v>41</v>
      </c>
      <c r="G137" s="1">
        <v>1</v>
      </c>
      <c r="H137" s="1">
        <v>2</v>
      </c>
      <c r="I137" s="1">
        <v>0</v>
      </c>
      <c r="J137" s="1">
        <v>2</v>
      </c>
      <c r="K137" s="1">
        <v>0</v>
      </c>
      <c r="L137" s="1">
        <v>11026</v>
      </c>
      <c r="M137" s="1">
        <v>1</v>
      </c>
    </row>
    <row r="138" spans="2:13" x14ac:dyDescent="0.25">
      <c r="B138" s="1">
        <v>1</v>
      </c>
      <c r="C138" s="1">
        <v>1</v>
      </c>
      <c r="D138" s="1">
        <v>0</v>
      </c>
      <c r="E138" s="1">
        <v>1</v>
      </c>
      <c r="F138" s="1">
        <v>76</v>
      </c>
      <c r="G138" s="1">
        <v>1</v>
      </c>
      <c r="H138" s="1">
        <v>2</v>
      </c>
      <c r="I138" s="1">
        <v>1</v>
      </c>
      <c r="J138" s="1">
        <v>3</v>
      </c>
      <c r="K138" s="1">
        <v>1</v>
      </c>
      <c r="L138" s="1">
        <v>30853</v>
      </c>
      <c r="M138" s="1">
        <v>1</v>
      </c>
    </row>
    <row r="139" spans="2:13" x14ac:dyDescent="0.25">
      <c r="B139" s="1">
        <v>1</v>
      </c>
      <c r="C139" s="1">
        <v>1</v>
      </c>
      <c r="D139" s="1">
        <v>0</v>
      </c>
      <c r="E139" s="1">
        <v>1</v>
      </c>
      <c r="F139" s="1">
        <v>74</v>
      </c>
      <c r="G139" s="1">
        <v>1</v>
      </c>
      <c r="H139" s="1">
        <v>2</v>
      </c>
      <c r="I139" s="1">
        <v>4</v>
      </c>
      <c r="J139" s="1">
        <v>0</v>
      </c>
      <c r="K139" s="1">
        <v>1</v>
      </c>
      <c r="L139" s="1">
        <v>5092</v>
      </c>
      <c r="M139" s="1">
        <v>0</v>
      </c>
    </row>
    <row r="140" spans="2:13" x14ac:dyDescent="0.25">
      <c r="B140" s="1">
        <v>0</v>
      </c>
      <c r="C140" s="1">
        <v>0</v>
      </c>
      <c r="D140" s="1">
        <v>0.9810526315789474</v>
      </c>
      <c r="E140" s="1">
        <v>1.8947368421052633E-2</v>
      </c>
      <c r="F140" s="1">
        <v>23</v>
      </c>
      <c r="G140" s="1">
        <v>1</v>
      </c>
      <c r="H140" s="1">
        <v>3</v>
      </c>
      <c r="I140" s="1">
        <v>0</v>
      </c>
      <c r="J140" s="1">
        <v>2</v>
      </c>
      <c r="K140" s="1">
        <v>0</v>
      </c>
      <c r="L140" s="1">
        <v>9911</v>
      </c>
      <c r="M140" s="1">
        <v>0</v>
      </c>
    </row>
    <row r="141" spans="2:13" x14ac:dyDescent="0.25">
      <c r="B141" s="1">
        <v>0</v>
      </c>
      <c r="C141" s="1">
        <v>0</v>
      </c>
      <c r="D141" s="1">
        <v>1</v>
      </c>
      <c r="E141" s="1">
        <v>0</v>
      </c>
      <c r="F141" s="1">
        <v>48</v>
      </c>
      <c r="G141" s="1">
        <v>1</v>
      </c>
      <c r="H141" s="1">
        <v>5</v>
      </c>
      <c r="I141" s="1">
        <v>2</v>
      </c>
      <c r="J141" s="1">
        <v>2</v>
      </c>
      <c r="K141" s="1">
        <v>0</v>
      </c>
      <c r="L141" s="1">
        <v>24258</v>
      </c>
      <c r="M141" s="1">
        <v>1</v>
      </c>
    </row>
    <row r="142" spans="2:13" x14ac:dyDescent="0.25">
      <c r="B142" s="1">
        <v>1</v>
      </c>
      <c r="C142" s="1">
        <v>1</v>
      </c>
      <c r="D142" s="1">
        <v>0</v>
      </c>
      <c r="E142" s="1">
        <v>1</v>
      </c>
      <c r="F142" s="1">
        <v>50</v>
      </c>
      <c r="G142" s="1">
        <v>0</v>
      </c>
      <c r="H142" s="1">
        <v>3</v>
      </c>
      <c r="I142" s="1">
        <v>4</v>
      </c>
      <c r="J142" s="1">
        <v>0</v>
      </c>
      <c r="K142" s="1">
        <v>1</v>
      </c>
      <c r="L142" s="1">
        <v>11795</v>
      </c>
      <c r="M142" s="1">
        <v>0</v>
      </c>
    </row>
    <row r="143" spans="2:13" x14ac:dyDescent="0.25">
      <c r="B143" s="1">
        <v>1</v>
      </c>
      <c r="C143" s="1">
        <v>1</v>
      </c>
      <c r="D143" s="1">
        <v>0</v>
      </c>
      <c r="E143" s="1">
        <v>1</v>
      </c>
      <c r="F143" s="1">
        <v>81</v>
      </c>
      <c r="G143" s="1">
        <v>1</v>
      </c>
      <c r="H143" s="1">
        <v>4</v>
      </c>
      <c r="I143" s="1">
        <v>4</v>
      </c>
      <c r="J143" s="1">
        <v>3</v>
      </c>
      <c r="K143" s="1">
        <v>1</v>
      </c>
      <c r="L143" s="1">
        <v>11552</v>
      </c>
      <c r="M143" s="1">
        <v>0</v>
      </c>
    </row>
    <row r="144" spans="2:13" x14ac:dyDescent="0.25">
      <c r="B144" s="1">
        <v>0</v>
      </c>
      <c r="C144" s="1">
        <v>0</v>
      </c>
      <c r="D144" s="1">
        <v>0.8571428571428571</v>
      </c>
      <c r="E144" s="1">
        <v>0.14285714285714288</v>
      </c>
      <c r="F144" s="1">
        <v>77</v>
      </c>
      <c r="G144" s="1">
        <v>0</v>
      </c>
      <c r="H144" s="1">
        <v>2</v>
      </c>
      <c r="I144" s="1">
        <v>3</v>
      </c>
      <c r="J144" s="1">
        <v>1</v>
      </c>
      <c r="K144" s="1">
        <v>0</v>
      </c>
      <c r="L144" s="1">
        <v>6978</v>
      </c>
      <c r="M144" s="1">
        <v>0</v>
      </c>
    </row>
    <row r="145" spans="2:13" x14ac:dyDescent="0.25">
      <c r="B145" s="1">
        <v>0</v>
      </c>
      <c r="C145" s="1">
        <v>0</v>
      </c>
      <c r="D145" s="1">
        <v>0.8571428571428571</v>
      </c>
      <c r="E145" s="1">
        <v>0.14285714285714288</v>
      </c>
      <c r="F145" s="1">
        <v>78</v>
      </c>
      <c r="G145" s="1">
        <v>0</v>
      </c>
      <c r="H145" s="1">
        <v>5</v>
      </c>
      <c r="I145" s="1">
        <v>3</v>
      </c>
      <c r="J145" s="1">
        <v>0</v>
      </c>
      <c r="K145" s="1">
        <v>0</v>
      </c>
      <c r="L145" s="1">
        <v>9097</v>
      </c>
      <c r="M145" s="1">
        <v>0</v>
      </c>
    </row>
    <row r="146" spans="2:13" x14ac:dyDescent="0.25">
      <c r="B146" s="1">
        <v>0</v>
      </c>
      <c r="C146" s="1">
        <v>0</v>
      </c>
      <c r="D146" s="1">
        <v>0.99749999999999994</v>
      </c>
      <c r="E146" s="1">
        <v>2.5000000000000001E-3</v>
      </c>
      <c r="F146" s="1">
        <v>62</v>
      </c>
      <c r="G146" s="1">
        <v>0</v>
      </c>
      <c r="H146" s="1">
        <v>3</v>
      </c>
      <c r="I146" s="1">
        <v>5</v>
      </c>
      <c r="J146" s="1">
        <v>0</v>
      </c>
      <c r="K146" s="1">
        <v>0</v>
      </c>
      <c r="L146" s="1">
        <v>14769</v>
      </c>
      <c r="M146" s="1">
        <v>0</v>
      </c>
    </row>
    <row r="147" spans="2:13" x14ac:dyDescent="0.25">
      <c r="B147" s="1">
        <v>0</v>
      </c>
      <c r="C147" s="1">
        <v>0</v>
      </c>
      <c r="D147" s="1">
        <v>0.99749999999999994</v>
      </c>
      <c r="E147" s="1">
        <v>2.5000000000000001E-3</v>
      </c>
      <c r="F147" s="1">
        <v>69</v>
      </c>
      <c r="G147" s="1">
        <v>1</v>
      </c>
      <c r="H147" s="1">
        <v>7</v>
      </c>
      <c r="I147" s="1">
        <v>5</v>
      </c>
      <c r="J147" s="1">
        <v>0</v>
      </c>
      <c r="K147" s="1">
        <v>0</v>
      </c>
      <c r="L147" s="1">
        <v>16333</v>
      </c>
      <c r="M147" s="1">
        <v>0</v>
      </c>
    </row>
    <row r="148" spans="2:13" x14ac:dyDescent="0.25">
      <c r="B148" s="1">
        <v>0</v>
      </c>
      <c r="C148" s="1">
        <v>0</v>
      </c>
      <c r="D148" s="1">
        <v>1</v>
      </c>
      <c r="E148" s="1">
        <v>0</v>
      </c>
      <c r="F148" s="1">
        <v>44</v>
      </c>
      <c r="G148" s="1">
        <v>1</v>
      </c>
      <c r="H148" s="1">
        <v>3</v>
      </c>
      <c r="I148" s="1">
        <v>0</v>
      </c>
      <c r="J148" s="1">
        <v>0</v>
      </c>
      <c r="K148" s="1">
        <v>0</v>
      </c>
      <c r="L148" s="1">
        <v>8820</v>
      </c>
      <c r="M148" s="1">
        <v>0</v>
      </c>
    </row>
    <row r="149" spans="2:13" x14ac:dyDescent="0.25">
      <c r="B149" s="1">
        <v>0</v>
      </c>
      <c r="C149" s="1">
        <v>0</v>
      </c>
      <c r="D149" s="1">
        <v>0.99749999999999994</v>
      </c>
      <c r="E149" s="1">
        <v>2.5000000000000001E-3</v>
      </c>
      <c r="F149" s="1">
        <v>70</v>
      </c>
      <c r="G149" s="1">
        <v>0</v>
      </c>
      <c r="H149" s="1">
        <v>2</v>
      </c>
      <c r="I149" s="1">
        <v>4</v>
      </c>
      <c r="J149" s="1">
        <v>2</v>
      </c>
      <c r="K149" s="1">
        <v>0</v>
      </c>
      <c r="L149" s="1">
        <v>9443</v>
      </c>
      <c r="M149" s="1">
        <v>0</v>
      </c>
    </row>
    <row r="150" spans="2:13" x14ac:dyDescent="0.25">
      <c r="B150" s="1">
        <v>1</v>
      </c>
      <c r="C150" s="1">
        <v>1</v>
      </c>
      <c r="D150" s="1">
        <v>0.30769230769230771</v>
      </c>
      <c r="E150" s="1">
        <v>0.69230769230769229</v>
      </c>
      <c r="F150" s="1">
        <v>50</v>
      </c>
      <c r="G150" s="1">
        <v>1</v>
      </c>
      <c r="H150" s="1">
        <v>5</v>
      </c>
      <c r="I150" s="1">
        <v>7</v>
      </c>
      <c r="J150" s="1">
        <v>0</v>
      </c>
      <c r="K150" s="1">
        <v>0</v>
      </c>
      <c r="L150" s="1">
        <v>13734</v>
      </c>
      <c r="M150" s="1">
        <v>0</v>
      </c>
    </row>
    <row r="151" spans="2:13" x14ac:dyDescent="0.25">
      <c r="B151" s="1">
        <v>0</v>
      </c>
      <c r="C151" s="1">
        <v>0</v>
      </c>
      <c r="D151" s="1">
        <v>1</v>
      </c>
      <c r="E151" s="1">
        <v>0</v>
      </c>
      <c r="F151" s="1">
        <v>47</v>
      </c>
      <c r="G151" s="1">
        <v>0</v>
      </c>
      <c r="H151" s="1">
        <v>26</v>
      </c>
      <c r="I151" s="1">
        <v>3</v>
      </c>
      <c r="J151" s="1">
        <v>0</v>
      </c>
      <c r="K151" s="1">
        <v>0</v>
      </c>
      <c r="L151" s="1">
        <v>40045</v>
      </c>
      <c r="M151" s="1">
        <v>0</v>
      </c>
    </row>
    <row r="152" spans="2:13" x14ac:dyDescent="0.25">
      <c r="B152" s="1">
        <v>0</v>
      </c>
      <c r="C152" s="1">
        <v>0</v>
      </c>
      <c r="D152" s="1">
        <v>0.9810526315789474</v>
      </c>
      <c r="E152" s="1">
        <v>1.8947368421052633E-2</v>
      </c>
      <c r="F152" s="1">
        <v>0</v>
      </c>
      <c r="G152" s="1">
        <v>0</v>
      </c>
      <c r="H152" s="1">
        <v>4</v>
      </c>
      <c r="I152" s="1">
        <v>0</v>
      </c>
      <c r="J152" s="1">
        <v>0</v>
      </c>
      <c r="K152" s="1">
        <v>0</v>
      </c>
      <c r="L152" s="1">
        <v>6250</v>
      </c>
      <c r="M152" s="1">
        <v>0</v>
      </c>
    </row>
    <row r="153" spans="2:13" x14ac:dyDescent="0.25">
      <c r="B153" s="1">
        <v>0</v>
      </c>
      <c r="C153" s="1">
        <v>0</v>
      </c>
      <c r="D153" s="1">
        <v>0.9810526315789474</v>
      </c>
      <c r="E153" s="1">
        <v>1.8947368421052633E-2</v>
      </c>
      <c r="F153" s="1">
        <v>26</v>
      </c>
      <c r="G153" s="1">
        <v>1</v>
      </c>
      <c r="H153" s="1">
        <v>9</v>
      </c>
      <c r="I153" s="1">
        <v>3</v>
      </c>
      <c r="J153" s="1">
        <v>0</v>
      </c>
      <c r="K153" s="1">
        <v>0</v>
      </c>
      <c r="L153" s="1">
        <v>13507</v>
      </c>
      <c r="M153" s="1">
        <v>0</v>
      </c>
    </row>
    <row r="154" spans="2:13" x14ac:dyDescent="0.25">
      <c r="B154" s="1">
        <v>0</v>
      </c>
      <c r="C154" s="1">
        <v>0</v>
      </c>
      <c r="D154" s="1">
        <v>0.96666666666666667</v>
      </c>
      <c r="E154" s="1">
        <v>3.333333333333334E-2</v>
      </c>
      <c r="F154" s="1">
        <v>30</v>
      </c>
      <c r="G154" s="1">
        <v>1</v>
      </c>
      <c r="H154" s="1">
        <v>2</v>
      </c>
      <c r="I154" s="1">
        <v>1</v>
      </c>
      <c r="J154" s="1">
        <v>0</v>
      </c>
      <c r="K154" s="1">
        <v>0</v>
      </c>
      <c r="L154" s="1">
        <v>7977</v>
      </c>
      <c r="M154" s="1">
        <v>0</v>
      </c>
    </row>
    <row r="155" spans="2:13" x14ac:dyDescent="0.25">
      <c r="B155" s="1">
        <v>0</v>
      </c>
      <c r="C155" s="1">
        <v>0</v>
      </c>
      <c r="D155" s="1">
        <v>1</v>
      </c>
      <c r="E155" s="1">
        <v>0</v>
      </c>
      <c r="F155" s="1">
        <v>43</v>
      </c>
      <c r="G155" s="1">
        <v>0</v>
      </c>
      <c r="H155" s="1">
        <v>2</v>
      </c>
      <c r="I155" s="1">
        <v>6</v>
      </c>
      <c r="J155" s="1">
        <v>0</v>
      </c>
      <c r="K155" s="1">
        <v>0</v>
      </c>
      <c r="L155" s="1">
        <v>7594</v>
      </c>
      <c r="M155" s="1">
        <v>0</v>
      </c>
    </row>
    <row r="156" spans="2:13" x14ac:dyDescent="0.25">
      <c r="B156" s="1">
        <v>0</v>
      </c>
      <c r="C156" s="1">
        <v>0</v>
      </c>
      <c r="D156" s="1">
        <v>0.9810526315789474</v>
      </c>
      <c r="E156" s="1">
        <v>1.8947368421052633E-2</v>
      </c>
      <c r="F156" s="1">
        <v>24</v>
      </c>
      <c r="G156" s="1">
        <v>1</v>
      </c>
      <c r="H156" s="1">
        <v>4</v>
      </c>
      <c r="I156" s="1">
        <v>0</v>
      </c>
      <c r="J156" s="1">
        <v>0</v>
      </c>
      <c r="K156" s="1">
        <v>0</v>
      </c>
      <c r="L156" s="1">
        <v>6180</v>
      </c>
      <c r="M156" s="1">
        <v>0</v>
      </c>
    </row>
    <row r="157" spans="2:13" x14ac:dyDescent="0.25">
      <c r="B157" s="1">
        <v>1</v>
      </c>
      <c r="C157" s="1">
        <v>1</v>
      </c>
      <c r="D157" s="1">
        <v>0</v>
      </c>
      <c r="E157" s="1">
        <v>1</v>
      </c>
      <c r="F157" s="1">
        <v>81</v>
      </c>
      <c r="G157" s="1">
        <v>0</v>
      </c>
      <c r="H157" s="1">
        <v>2</v>
      </c>
      <c r="I157" s="1">
        <v>6</v>
      </c>
      <c r="J157" s="1">
        <v>0</v>
      </c>
      <c r="K157" s="1">
        <v>1</v>
      </c>
      <c r="L157" s="1">
        <v>8915</v>
      </c>
      <c r="M157" s="1">
        <v>0</v>
      </c>
    </row>
    <row r="158" spans="2:13" x14ac:dyDescent="0.25">
      <c r="B158" s="17">
        <v>0</v>
      </c>
      <c r="C158" s="17">
        <v>1</v>
      </c>
      <c r="D158" s="17">
        <v>0.96666666666666667</v>
      </c>
      <c r="E158" s="17">
        <v>3.333333333333334E-2</v>
      </c>
      <c r="F158" s="17">
        <v>29</v>
      </c>
      <c r="G158" s="17">
        <v>1</v>
      </c>
      <c r="H158" s="17">
        <v>3</v>
      </c>
      <c r="I158" s="17">
        <v>0</v>
      </c>
      <c r="J158" s="17">
        <v>1</v>
      </c>
      <c r="K158" s="17">
        <v>0</v>
      </c>
      <c r="L158" s="17">
        <v>11053</v>
      </c>
      <c r="M158" s="17">
        <v>1</v>
      </c>
    </row>
    <row r="159" spans="2:13" x14ac:dyDescent="0.25">
      <c r="B159" s="1">
        <v>0</v>
      </c>
      <c r="C159" s="1">
        <v>0</v>
      </c>
      <c r="D159" s="1">
        <v>1</v>
      </c>
      <c r="E159" s="1">
        <v>0</v>
      </c>
      <c r="F159" s="1">
        <v>48</v>
      </c>
      <c r="G159" s="1">
        <v>0</v>
      </c>
      <c r="H159" s="1">
        <v>10</v>
      </c>
      <c r="I159" s="1">
        <v>4</v>
      </c>
      <c r="J159" s="1">
        <v>0</v>
      </c>
      <c r="K159" s="1">
        <v>0</v>
      </c>
      <c r="L159" s="1">
        <v>23199</v>
      </c>
      <c r="M159" s="1">
        <v>0</v>
      </c>
    </row>
    <row r="160" spans="2:13" x14ac:dyDescent="0.25">
      <c r="B160" s="1">
        <v>0</v>
      </c>
      <c r="C160" s="1">
        <v>0</v>
      </c>
      <c r="D160" s="1">
        <v>0.9810526315789474</v>
      </c>
      <c r="E160" s="1">
        <v>1.8947368421052633E-2</v>
      </c>
      <c r="F160" s="1">
        <v>24</v>
      </c>
      <c r="G160" s="1">
        <v>1</v>
      </c>
      <c r="H160" s="1">
        <v>3</v>
      </c>
      <c r="I160" s="1">
        <v>0</v>
      </c>
      <c r="J160" s="1">
        <v>2</v>
      </c>
      <c r="K160" s="1">
        <v>0</v>
      </c>
      <c r="L160" s="1">
        <v>12964</v>
      </c>
      <c r="M160" s="1">
        <v>1</v>
      </c>
    </row>
    <row r="161" spans="2:13" x14ac:dyDescent="0.25">
      <c r="B161" s="17">
        <v>0</v>
      </c>
      <c r="C161" s="17">
        <v>1</v>
      </c>
      <c r="D161" s="17">
        <v>0.9810526315789474</v>
      </c>
      <c r="E161" s="17">
        <v>1.8947368421052633E-2</v>
      </c>
      <c r="F161" s="17">
        <v>0</v>
      </c>
      <c r="G161" s="17">
        <v>1</v>
      </c>
      <c r="H161" s="17">
        <v>2</v>
      </c>
      <c r="I161" s="17">
        <v>0</v>
      </c>
      <c r="J161" s="17">
        <v>0</v>
      </c>
      <c r="K161" s="17">
        <v>0</v>
      </c>
      <c r="L161" s="17">
        <v>3533</v>
      </c>
      <c r="M161" s="17">
        <v>0</v>
      </c>
    </row>
    <row r="162" spans="2:13" x14ac:dyDescent="0.25">
      <c r="B162" s="1">
        <v>0</v>
      </c>
      <c r="C162" s="1">
        <v>0</v>
      </c>
      <c r="D162" s="1">
        <v>0.99749999999999994</v>
      </c>
      <c r="E162" s="1">
        <v>2.5000000000000001E-3</v>
      </c>
      <c r="F162" s="1">
        <v>58</v>
      </c>
      <c r="G162" s="1">
        <v>0</v>
      </c>
      <c r="H162" s="1">
        <v>6</v>
      </c>
      <c r="I162" s="1">
        <v>6</v>
      </c>
      <c r="J162" s="1">
        <v>0</v>
      </c>
      <c r="K162" s="1">
        <v>0</v>
      </c>
      <c r="L162" s="1">
        <v>13309</v>
      </c>
      <c r="M162" s="1">
        <v>0</v>
      </c>
    </row>
    <row r="163" spans="2:13" x14ac:dyDescent="0.25">
      <c r="B163" s="1">
        <v>1</v>
      </c>
      <c r="C163" s="1">
        <v>1</v>
      </c>
      <c r="D163" s="1">
        <v>0</v>
      </c>
      <c r="E163" s="1">
        <v>1</v>
      </c>
      <c r="F163" s="1">
        <v>51</v>
      </c>
      <c r="G163" s="1">
        <v>0</v>
      </c>
      <c r="H163" s="1">
        <v>6</v>
      </c>
      <c r="I163" s="1">
        <v>4</v>
      </c>
      <c r="J163" s="1">
        <v>1</v>
      </c>
      <c r="K163" s="1">
        <v>1</v>
      </c>
      <c r="L163" s="1">
        <v>29665</v>
      </c>
      <c r="M163" s="1">
        <v>1</v>
      </c>
    </row>
    <row r="164" spans="2:13" x14ac:dyDescent="0.25">
      <c r="B164" s="1">
        <v>0</v>
      </c>
      <c r="C164" s="1">
        <v>0</v>
      </c>
      <c r="D164" s="1">
        <v>1</v>
      </c>
      <c r="E164" s="1">
        <v>0</v>
      </c>
      <c r="F164" s="1">
        <v>42</v>
      </c>
      <c r="G164" s="1">
        <v>0</v>
      </c>
      <c r="H164" s="1">
        <v>1</v>
      </c>
      <c r="I164" s="1">
        <v>5</v>
      </c>
      <c r="J164" s="1">
        <v>0</v>
      </c>
      <c r="K164" s="1">
        <v>0</v>
      </c>
      <c r="L164" s="1">
        <v>13038</v>
      </c>
      <c r="M164" s="1">
        <v>0</v>
      </c>
    </row>
    <row r="165" spans="2:13" x14ac:dyDescent="0.25">
      <c r="B165" s="1">
        <v>1</v>
      </c>
      <c r="C165" s="1">
        <v>1</v>
      </c>
      <c r="D165" s="1">
        <v>0</v>
      </c>
      <c r="E165" s="1">
        <v>1</v>
      </c>
      <c r="F165" s="1">
        <v>53</v>
      </c>
      <c r="G165" s="1">
        <v>0</v>
      </c>
      <c r="H165" s="1">
        <v>7</v>
      </c>
      <c r="I165" s="1">
        <v>1</v>
      </c>
      <c r="J165" s="1">
        <v>2</v>
      </c>
      <c r="K165" s="1">
        <v>1</v>
      </c>
      <c r="L165" s="1">
        <v>21712</v>
      </c>
      <c r="M165" s="1">
        <v>0</v>
      </c>
    </row>
    <row r="166" spans="2:13" x14ac:dyDescent="0.25">
      <c r="B166" s="1">
        <v>0</v>
      </c>
      <c r="C166" s="1">
        <v>0</v>
      </c>
      <c r="D166" s="1">
        <v>0.96666666666666667</v>
      </c>
      <c r="E166" s="1">
        <v>3.333333333333334E-2</v>
      </c>
      <c r="F166" s="1">
        <v>29</v>
      </c>
      <c r="G166" s="1">
        <v>1</v>
      </c>
      <c r="H166" s="1">
        <v>3</v>
      </c>
      <c r="I166" s="1">
        <v>0</v>
      </c>
      <c r="J166" s="1">
        <v>0</v>
      </c>
      <c r="K166" s="1">
        <v>0</v>
      </c>
      <c r="L166" s="1">
        <v>11096</v>
      </c>
      <c r="M166" s="1">
        <v>0</v>
      </c>
    </row>
    <row r="167" spans="2:13" x14ac:dyDescent="0.25">
      <c r="B167" s="1">
        <v>1</v>
      </c>
      <c r="C167" s="1">
        <v>1</v>
      </c>
      <c r="D167" s="1">
        <v>0.31818181818181818</v>
      </c>
      <c r="E167" s="1">
        <v>0.68181818181818188</v>
      </c>
      <c r="F167" s="1">
        <v>28</v>
      </c>
      <c r="G167" s="1">
        <v>1</v>
      </c>
      <c r="H167" s="1">
        <v>2</v>
      </c>
      <c r="I167" s="1">
        <v>0</v>
      </c>
      <c r="J167" s="1">
        <v>2</v>
      </c>
      <c r="K167" s="1">
        <v>0</v>
      </c>
      <c r="L167" s="1">
        <v>6013</v>
      </c>
      <c r="M167" s="1">
        <v>0</v>
      </c>
    </row>
    <row r="168" spans="2:13" x14ac:dyDescent="0.25">
      <c r="B168" s="1">
        <v>0</v>
      </c>
      <c r="C168" s="1">
        <v>0</v>
      </c>
      <c r="D168" s="1">
        <v>1</v>
      </c>
      <c r="E168" s="1">
        <v>0</v>
      </c>
      <c r="F168" s="1">
        <v>48</v>
      </c>
      <c r="G168" s="1">
        <v>1</v>
      </c>
      <c r="H168" s="1">
        <v>5</v>
      </c>
      <c r="I168" s="1">
        <v>6</v>
      </c>
      <c r="J168" s="1">
        <v>0</v>
      </c>
      <c r="K168" s="1">
        <v>0</v>
      </c>
      <c r="L168" s="1">
        <v>10420</v>
      </c>
      <c r="M168" s="1">
        <v>0</v>
      </c>
    </row>
    <row r="169" spans="2:13" x14ac:dyDescent="0.25">
      <c r="B169" s="17">
        <v>0</v>
      </c>
      <c r="C169" s="17">
        <v>1</v>
      </c>
      <c r="D169" s="17">
        <v>0.9810526315789474</v>
      </c>
      <c r="E169" s="17">
        <v>1.8947368421052633E-2</v>
      </c>
      <c r="F169" s="17">
        <v>0</v>
      </c>
      <c r="G169" s="17">
        <v>0</v>
      </c>
      <c r="H169" s="17">
        <v>2</v>
      </c>
      <c r="I169" s="17">
        <v>0</v>
      </c>
      <c r="J169" s="17">
        <v>0</v>
      </c>
      <c r="K169" s="17">
        <v>0</v>
      </c>
      <c r="L169" s="17">
        <v>1107</v>
      </c>
      <c r="M169" s="17">
        <v>0</v>
      </c>
    </row>
    <row r="170" spans="2:13" x14ac:dyDescent="0.25">
      <c r="B170" s="17">
        <v>1</v>
      </c>
      <c r="C170" s="17">
        <v>0</v>
      </c>
      <c r="D170" s="17">
        <v>0.36</v>
      </c>
      <c r="E170" s="17">
        <v>0.64</v>
      </c>
      <c r="F170" s="17">
        <v>80</v>
      </c>
      <c r="G170" s="17">
        <v>1</v>
      </c>
      <c r="H170" s="17">
        <v>5</v>
      </c>
      <c r="I170" s="17">
        <v>4</v>
      </c>
      <c r="J170" s="17">
        <v>0</v>
      </c>
      <c r="K170" s="17">
        <v>0</v>
      </c>
      <c r="L170" s="17">
        <v>18523</v>
      </c>
      <c r="M170" s="17">
        <v>0</v>
      </c>
    </row>
    <row r="171" spans="2:13" x14ac:dyDescent="0.25">
      <c r="B171" s="1">
        <v>0</v>
      </c>
      <c r="C171" s="1">
        <v>0</v>
      </c>
      <c r="D171" s="1">
        <v>0.8571428571428571</v>
      </c>
      <c r="E171" s="1">
        <v>0.14285714285714288</v>
      </c>
      <c r="F171" s="1">
        <v>79</v>
      </c>
      <c r="G171" s="1">
        <v>0</v>
      </c>
      <c r="H171" s="1">
        <v>9</v>
      </c>
      <c r="I171" s="1">
        <v>4</v>
      </c>
      <c r="J171" s="1">
        <v>1</v>
      </c>
      <c r="K171" s="1">
        <v>0</v>
      </c>
      <c r="L171" s="1">
        <v>35687</v>
      </c>
      <c r="M171" s="1">
        <v>1</v>
      </c>
    </row>
    <row r="172" spans="2:13" x14ac:dyDescent="0.25">
      <c r="B172" s="1">
        <v>0</v>
      </c>
      <c r="C172" s="1">
        <v>0</v>
      </c>
      <c r="D172" s="1">
        <v>0.9810526315789474</v>
      </c>
      <c r="E172" s="1">
        <v>1.8947368421052633E-2</v>
      </c>
      <c r="F172" s="1">
        <v>0</v>
      </c>
      <c r="G172" s="1">
        <v>0</v>
      </c>
      <c r="H172" s="1">
        <v>5</v>
      </c>
      <c r="I172" s="1">
        <v>0</v>
      </c>
      <c r="J172" s="1">
        <v>2</v>
      </c>
      <c r="K172" s="1">
        <v>0</v>
      </c>
      <c r="L172" s="1">
        <v>10273</v>
      </c>
      <c r="M172" s="1">
        <v>0</v>
      </c>
    </row>
    <row r="173" spans="2:13" x14ac:dyDescent="0.25">
      <c r="B173" s="1">
        <v>1</v>
      </c>
      <c r="C173" s="1">
        <v>1</v>
      </c>
      <c r="D173" s="1">
        <v>0</v>
      </c>
      <c r="E173" s="1">
        <v>1</v>
      </c>
      <c r="F173" s="1">
        <v>88</v>
      </c>
      <c r="G173" s="1">
        <v>1</v>
      </c>
      <c r="H173" s="1">
        <v>3</v>
      </c>
      <c r="I173" s="1">
        <v>4</v>
      </c>
      <c r="J173" s="1">
        <v>0</v>
      </c>
      <c r="K173" s="1">
        <v>0</v>
      </c>
      <c r="L173" s="1">
        <v>13370</v>
      </c>
      <c r="M173" s="1">
        <v>0</v>
      </c>
    </row>
    <row r="174" spans="2:13" x14ac:dyDescent="0.25">
      <c r="B174" s="1">
        <v>1</v>
      </c>
      <c r="C174" s="1">
        <v>1</v>
      </c>
      <c r="D174" s="1">
        <v>0.36</v>
      </c>
      <c r="E174" s="1">
        <v>0.64</v>
      </c>
      <c r="F174" s="1">
        <v>82</v>
      </c>
      <c r="G174" s="1">
        <v>1</v>
      </c>
      <c r="H174" s="1">
        <v>6</v>
      </c>
      <c r="I174" s="1">
        <v>5</v>
      </c>
      <c r="J174" s="1">
        <v>0</v>
      </c>
      <c r="K174" s="1">
        <v>0</v>
      </c>
      <c r="L174" s="1">
        <v>15909</v>
      </c>
      <c r="M174" s="1">
        <v>0</v>
      </c>
    </row>
    <row r="175" spans="2:13" x14ac:dyDescent="0.25">
      <c r="B175" s="1">
        <v>0</v>
      </c>
      <c r="C175" s="1">
        <v>0</v>
      </c>
      <c r="D175" s="1">
        <v>0.8571428571428571</v>
      </c>
      <c r="E175" s="1">
        <v>0.14285714285714288</v>
      </c>
      <c r="F175" s="1">
        <v>77</v>
      </c>
      <c r="G175" s="1">
        <v>0</v>
      </c>
      <c r="H175" s="1">
        <v>4</v>
      </c>
      <c r="I175" s="1">
        <v>5</v>
      </c>
      <c r="J175" s="1">
        <v>0</v>
      </c>
      <c r="K175" s="1">
        <v>0</v>
      </c>
      <c r="L175" s="1">
        <v>13027</v>
      </c>
      <c r="M175" s="1">
        <v>0</v>
      </c>
    </row>
    <row r="176" spans="2:13" x14ac:dyDescent="0.25">
      <c r="B176" s="1">
        <v>0</v>
      </c>
      <c r="C176" s="1">
        <v>0</v>
      </c>
      <c r="D176" s="1">
        <v>1</v>
      </c>
      <c r="E176" s="1">
        <v>0</v>
      </c>
      <c r="F176" s="1">
        <v>45</v>
      </c>
      <c r="G176" s="1">
        <v>1</v>
      </c>
      <c r="H176" s="1">
        <v>4</v>
      </c>
      <c r="I176" s="1">
        <v>1</v>
      </c>
      <c r="J176" s="1">
        <v>0</v>
      </c>
      <c r="K176" s="1">
        <v>0</v>
      </c>
      <c r="L176" s="1">
        <v>5897</v>
      </c>
      <c r="M176" s="1">
        <v>0</v>
      </c>
    </row>
    <row r="177" spans="2:13" x14ac:dyDescent="0.25">
      <c r="B177" s="17">
        <v>1</v>
      </c>
      <c r="C177" s="17">
        <v>0</v>
      </c>
      <c r="D177" s="17">
        <v>0.16666666666666666</v>
      </c>
      <c r="E177" s="17">
        <v>0.83333333333333326</v>
      </c>
      <c r="F177" s="17">
        <v>24</v>
      </c>
      <c r="G177" s="17">
        <v>0</v>
      </c>
      <c r="H177" s="17">
        <v>44</v>
      </c>
      <c r="I177" s="17">
        <v>1</v>
      </c>
      <c r="J177" s="17">
        <v>6</v>
      </c>
      <c r="K177" s="17">
        <v>0</v>
      </c>
      <c r="L177" s="17">
        <v>347068</v>
      </c>
      <c r="M177" s="17">
        <v>1</v>
      </c>
    </row>
    <row r="178" spans="2:13" x14ac:dyDescent="0.25">
      <c r="B178" s="1">
        <v>1</v>
      </c>
      <c r="C178" s="1">
        <v>1</v>
      </c>
      <c r="D178" s="1">
        <v>0</v>
      </c>
      <c r="E178" s="1">
        <v>1</v>
      </c>
      <c r="F178" s="1">
        <v>89</v>
      </c>
      <c r="G178" s="1">
        <v>1</v>
      </c>
      <c r="H178" s="1">
        <v>3</v>
      </c>
      <c r="I178" s="1">
        <v>3</v>
      </c>
      <c r="J178" s="1">
        <v>0</v>
      </c>
      <c r="K178" s="1">
        <v>1</v>
      </c>
      <c r="L178" s="1">
        <v>10182</v>
      </c>
      <c r="M178" s="1">
        <v>0</v>
      </c>
    </row>
    <row r="179" spans="2:13" x14ac:dyDescent="0.25">
      <c r="B179" s="1">
        <v>0</v>
      </c>
      <c r="C179" s="1">
        <v>0</v>
      </c>
      <c r="D179" s="1">
        <v>0.99749999999999994</v>
      </c>
      <c r="E179" s="1">
        <v>2.5000000000000001E-3</v>
      </c>
      <c r="F179" s="1">
        <v>67</v>
      </c>
      <c r="G179" s="1">
        <v>0</v>
      </c>
      <c r="H179" s="1">
        <v>5</v>
      </c>
      <c r="I179" s="1">
        <v>6</v>
      </c>
      <c r="J179" s="1">
        <v>0</v>
      </c>
      <c r="K179" s="1">
        <v>0</v>
      </c>
      <c r="L179" s="1">
        <v>12990</v>
      </c>
      <c r="M179" s="1">
        <v>0</v>
      </c>
    </row>
    <row r="180" spans="2:13" x14ac:dyDescent="0.25">
      <c r="B180" s="17">
        <v>1</v>
      </c>
      <c r="C180" s="17">
        <v>0</v>
      </c>
      <c r="D180" s="17">
        <v>0.31818181818181818</v>
      </c>
      <c r="E180" s="17">
        <v>0.68181818181818188</v>
      </c>
      <c r="F180" s="17">
        <v>28</v>
      </c>
      <c r="G180" s="17">
        <v>1</v>
      </c>
      <c r="H180" s="17">
        <v>3</v>
      </c>
      <c r="I180" s="17">
        <v>0</v>
      </c>
      <c r="J180" s="17">
        <v>1</v>
      </c>
      <c r="K180" s="17">
        <v>0</v>
      </c>
      <c r="L180" s="17">
        <v>18373</v>
      </c>
      <c r="M180" s="17">
        <v>1</v>
      </c>
    </row>
    <row r="181" spans="2:13" x14ac:dyDescent="0.25">
      <c r="B181" s="1">
        <v>1</v>
      </c>
      <c r="C181" s="1">
        <v>1</v>
      </c>
      <c r="D181" s="1">
        <v>0.19999999999999998</v>
      </c>
      <c r="E181" s="1">
        <v>0.79999999999999993</v>
      </c>
      <c r="F181" s="1">
        <v>37</v>
      </c>
      <c r="G181" s="1">
        <v>0</v>
      </c>
      <c r="H181" s="1">
        <v>7</v>
      </c>
      <c r="I181" s="1">
        <v>1</v>
      </c>
      <c r="J181" s="1">
        <v>0</v>
      </c>
      <c r="K181" s="1">
        <v>0</v>
      </c>
      <c r="L181" s="1">
        <v>11026</v>
      </c>
      <c r="M181" s="1">
        <v>0</v>
      </c>
    </row>
    <row r="182" spans="2:13" x14ac:dyDescent="0.25">
      <c r="B182" s="17">
        <v>1</v>
      </c>
      <c r="C182" s="17">
        <v>0</v>
      </c>
      <c r="D182" s="17">
        <v>0.19999999999999996</v>
      </c>
      <c r="E182" s="17">
        <v>0.79999999999999993</v>
      </c>
      <c r="F182" s="17">
        <v>82</v>
      </c>
      <c r="G182" s="17">
        <v>0</v>
      </c>
      <c r="H182" s="17">
        <v>13</v>
      </c>
      <c r="I182" s="17">
        <v>5</v>
      </c>
      <c r="J182" s="17">
        <v>1</v>
      </c>
      <c r="K182" s="17">
        <v>0</v>
      </c>
      <c r="L182" s="17">
        <v>28742</v>
      </c>
      <c r="M182" s="17">
        <v>0</v>
      </c>
    </row>
    <row r="183" spans="2:13" x14ac:dyDescent="0.25">
      <c r="B183" s="1">
        <v>0</v>
      </c>
      <c r="C183" s="1">
        <v>0</v>
      </c>
      <c r="D183" s="1">
        <v>0.9810526315789474</v>
      </c>
      <c r="E183" s="1">
        <v>1.8947368421052633E-2</v>
      </c>
      <c r="F183" s="1">
        <v>26</v>
      </c>
      <c r="G183" s="1">
        <v>1</v>
      </c>
      <c r="H183" s="1">
        <v>2</v>
      </c>
      <c r="I183" s="1">
        <v>0</v>
      </c>
      <c r="J183" s="1">
        <v>2</v>
      </c>
      <c r="K183" s="1">
        <v>0</v>
      </c>
      <c r="L183" s="1">
        <v>6621</v>
      </c>
      <c r="M183" s="1">
        <v>0</v>
      </c>
    </row>
    <row r="184" spans="2:13" x14ac:dyDescent="0.25">
      <c r="B184" s="1">
        <v>1</v>
      </c>
      <c r="C184" s="1">
        <v>1</v>
      </c>
      <c r="D184" s="1">
        <v>0</v>
      </c>
      <c r="E184" s="1">
        <v>1</v>
      </c>
      <c r="F184" s="1">
        <v>83</v>
      </c>
      <c r="G184" s="1">
        <v>1</v>
      </c>
      <c r="H184" s="1">
        <v>13</v>
      </c>
      <c r="I184" s="1">
        <v>3</v>
      </c>
      <c r="J184" s="1">
        <v>1</v>
      </c>
      <c r="K184" s="1">
        <v>1</v>
      </c>
      <c r="L184" s="1">
        <v>25554</v>
      </c>
      <c r="M184" s="1">
        <v>1</v>
      </c>
    </row>
    <row r="185" spans="2:13" x14ac:dyDescent="0.25">
      <c r="B185" s="1">
        <v>0</v>
      </c>
      <c r="C185" s="1">
        <v>0</v>
      </c>
      <c r="D185" s="1">
        <v>0.9810526315789474</v>
      </c>
      <c r="E185" s="1">
        <v>1.8947368421052633E-2</v>
      </c>
      <c r="F185" s="1">
        <v>0</v>
      </c>
      <c r="G185" s="1">
        <v>1</v>
      </c>
      <c r="H185" s="1">
        <v>4</v>
      </c>
      <c r="I185" s="1">
        <v>0</v>
      </c>
      <c r="J185" s="1">
        <v>0</v>
      </c>
      <c r="K185" s="1">
        <v>0</v>
      </c>
      <c r="L185" s="1">
        <v>4447</v>
      </c>
      <c r="M185" s="1">
        <v>0</v>
      </c>
    </row>
    <row r="186" spans="2:13" x14ac:dyDescent="0.25">
      <c r="B186" s="1">
        <v>0</v>
      </c>
      <c r="C186" s="1">
        <v>0</v>
      </c>
      <c r="D186" s="1">
        <v>0.99749999999999994</v>
      </c>
      <c r="E186" s="1">
        <v>2.5000000000000001E-3</v>
      </c>
      <c r="F186" s="1">
        <v>62</v>
      </c>
      <c r="G186" s="1">
        <v>1</v>
      </c>
      <c r="H186" s="1">
        <v>2</v>
      </c>
      <c r="I186" s="1">
        <v>7</v>
      </c>
      <c r="J186" s="1">
        <v>0</v>
      </c>
      <c r="K186" s="1">
        <v>0</v>
      </c>
      <c r="L186" s="1">
        <v>9653</v>
      </c>
      <c r="M186" s="1">
        <v>0</v>
      </c>
    </row>
    <row r="187" spans="2:13" x14ac:dyDescent="0.25">
      <c r="B187" s="1">
        <v>0</v>
      </c>
      <c r="C187" s="1">
        <v>0</v>
      </c>
      <c r="D187" s="1">
        <v>0.9810526315789474</v>
      </c>
      <c r="E187" s="1">
        <v>1.8947368421052633E-2</v>
      </c>
      <c r="F187" s="1">
        <v>0</v>
      </c>
      <c r="G187" s="1">
        <v>1</v>
      </c>
      <c r="H187" s="1">
        <v>15</v>
      </c>
      <c r="I187" s="1">
        <v>0</v>
      </c>
      <c r="J187" s="1">
        <v>0</v>
      </c>
      <c r="K187" s="1">
        <v>0</v>
      </c>
      <c r="L187" s="1">
        <v>21244</v>
      </c>
      <c r="M187" s="1">
        <v>0</v>
      </c>
    </row>
    <row r="188" spans="2:13" x14ac:dyDescent="0.25">
      <c r="B188" s="1">
        <v>0</v>
      </c>
      <c r="C188" s="1">
        <v>0</v>
      </c>
      <c r="D188" s="1">
        <v>0.9810526315789474</v>
      </c>
      <c r="E188" s="1">
        <v>1.8947368421052633E-2</v>
      </c>
      <c r="F188" s="1">
        <v>0</v>
      </c>
      <c r="G188" s="1">
        <v>1</v>
      </c>
      <c r="H188" s="1">
        <v>2</v>
      </c>
      <c r="I188" s="1">
        <v>0</v>
      </c>
      <c r="J188" s="1">
        <v>0</v>
      </c>
      <c r="K188" s="1">
        <v>0</v>
      </c>
      <c r="L188" s="1">
        <v>7532</v>
      </c>
      <c r="M188" s="1">
        <v>0</v>
      </c>
    </row>
    <row r="189" spans="2:13" x14ac:dyDescent="0.25">
      <c r="B189" s="1">
        <v>0</v>
      </c>
      <c r="C189" s="1">
        <v>0</v>
      </c>
      <c r="D189" s="1">
        <v>0.9810526315789474</v>
      </c>
      <c r="E189" s="1">
        <v>1.8947368421052633E-2</v>
      </c>
      <c r="F189" s="1">
        <v>18</v>
      </c>
      <c r="G189" s="1">
        <v>1</v>
      </c>
      <c r="H189" s="1">
        <v>5</v>
      </c>
      <c r="I189" s="1">
        <v>0</v>
      </c>
      <c r="J189" s="1">
        <v>0</v>
      </c>
      <c r="K189" s="1">
        <v>0</v>
      </c>
      <c r="L189" s="1">
        <v>13088</v>
      </c>
      <c r="M189" s="1">
        <v>0</v>
      </c>
    </row>
    <row r="190" spans="2:13" x14ac:dyDescent="0.25">
      <c r="B190" s="1">
        <v>0</v>
      </c>
      <c r="C190" s="1">
        <v>0</v>
      </c>
      <c r="D190" s="1">
        <v>0.9810526315789474</v>
      </c>
      <c r="E190" s="1">
        <v>1.8947368421052633E-2</v>
      </c>
      <c r="F190" s="1">
        <v>24</v>
      </c>
      <c r="G190" s="1">
        <v>1</v>
      </c>
      <c r="H190" s="1">
        <v>2</v>
      </c>
      <c r="I190" s="1">
        <v>0</v>
      </c>
      <c r="J190" s="1">
        <v>1</v>
      </c>
      <c r="K190" s="1">
        <v>0</v>
      </c>
      <c r="L190" s="1">
        <v>5512</v>
      </c>
      <c r="M190" s="1">
        <v>0</v>
      </c>
    </row>
    <row r="191" spans="2:13" x14ac:dyDescent="0.25">
      <c r="B191" s="1">
        <v>0</v>
      </c>
      <c r="C191" s="1">
        <v>0</v>
      </c>
      <c r="D191" s="1">
        <v>0.99749999999999994</v>
      </c>
      <c r="E191" s="1">
        <v>2.5000000000000001E-3</v>
      </c>
      <c r="F191" s="1">
        <v>60</v>
      </c>
      <c r="G191" s="1">
        <v>0</v>
      </c>
      <c r="H191" s="1">
        <v>2</v>
      </c>
      <c r="I191" s="1">
        <v>3</v>
      </c>
      <c r="J191" s="1">
        <v>0</v>
      </c>
      <c r="K191" s="1">
        <v>0</v>
      </c>
      <c r="L191" s="1">
        <v>19296</v>
      </c>
      <c r="M191" s="1">
        <v>0</v>
      </c>
    </row>
    <row r="192" spans="2:13" x14ac:dyDescent="0.25">
      <c r="B192" s="17">
        <v>0</v>
      </c>
      <c r="C192" s="17">
        <v>1</v>
      </c>
      <c r="D192" s="17">
        <v>0.68</v>
      </c>
      <c r="E192" s="17">
        <v>0.32</v>
      </c>
      <c r="F192" s="17">
        <v>80</v>
      </c>
      <c r="G192" s="17">
        <v>1</v>
      </c>
      <c r="H192" s="17">
        <v>6</v>
      </c>
      <c r="I192" s="17">
        <v>6</v>
      </c>
      <c r="J192" s="17">
        <v>0</v>
      </c>
      <c r="K192" s="17">
        <v>0</v>
      </c>
      <c r="L192" s="17">
        <v>10242</v>
      </c>
      <c r="M192" s="17">
        <v>0</v>
      </c>
    </row>
    <row r="193" spans="2:13" x14ac:dyDescent="0.25">
      <c r="B193" s="1">
        <v>0</v>
      </c>
      <c r="C193" s="1">
        <v>0</v>
      </c>
      <c r="D193" s="1">
        <v>0.96666666666666667</v>
      </c>
      <c r="E193" s="1">
        <v>3.333333333333334E-2</v>
      </c>
      <c r="F193" s="1">
        <v>35</v>
      </c>
      <c r="G193" s="1">
        <v>1</v>
      </c>
      <c r="H193" s="1">
        <v>1</v>
      </c>
      <c r="I193" s="1">
        <v>3</v>
      </c>
      <c r="J193" s="1">
        <v>0</v>
      </c>
      <c r="K193" s="1">
        <v>0</v>
      </c>
      <c r="L193" s="1">
        <v>7743</v>
      </c>
      <c r="M193" s="1">
        <v>0</v>
      </c>
    </row>
    <row r="194" spans="2:13" x14ac:dyDescent="0.25">
      <c r="B194" s="1">
        <v>1</v>
      </c>
      <c r="C194" s="1">
        <v>1</v>
      </c>
      <c r="D194" s="1">
        <v>0</v>
      </c>
      <c r="E194" s="1">
        <v>1</v>
      </c>
      <c r="F194" s="1">
        <v>74</v>
      </c>
      <c r="G194" s="1">
        <v>0</v>
      </c>
      <c r="H194" s="1">
        <v>10</v>
      </c>
      <c r="I194" s="1">
        <v>5</v>
      </c>
      <c r="J194" s="1">
        <v>1</v>
      </c>
      <c r="K194" s="1">
        <v>1</v>
      </c>
      <c r="L194" s="1">
        <v>21453</v>
      </c>
      <c r="M194" s="1">
        <v>0</v>
      </c>
    </row>
    <row r="195" spans="2:13" x14ac:dyDescent="0.25">
      <c r="B195" s="1">
        <v>0</v>
      </c>
      <c r="C195" s="1">
        <v>0</v>
      </c>
      <c r="D195" s="1">
        <v>0.99749999999999994</v>
      </c>
      <c r="E195" s="1">
        <v>2.5000000000000001E-3</v>
      </c>
      <c r="F195" s="1">
        <v>54</v>
      </c>
      <c r="G195" s="1">
        <v>0</v>
      </c>
      <c r="H195" s="1">
        <v>2</v>
      </c>
      <c r="I195" s="1">
        <v>3</v>
      </c>
      <c r="J195" s="1">
        <v>2</v>
      </c>
      <c r="K195" s="1">
        <v>0</v>
      </c>
      <c r="L195" s="1">
        <v>12897</v>
      </c>
      <c r="M195" s="1">
        <v>1</v>
      </c>
    </row>
    <row r="196" spans="2:13" x14ac:dyDescent="0.25">
      <c r="B196" s="17">
        <v>0</v>
      </c>
      <c r="C196" s="17">
        <v>1</v>
      </c>
      <c r="D196" s="17">
        <v>0.8571428571428571</v>
      </c>
      <c r="E196" s="17">
        <v>0.14285714285714288</v>
      </c>
      <c r="F196" s="17">
        <v>78</v>
      </c>
      <c r="G196" s="17">
        <v>1</v>
      </c>
      <c r="H196" s="17">
        <v>1</v>
      </c>
      <c r="I196" s="17">
        <v>8</v>
      </c>
      <c r="J196" s="17">
        <v>0</v>
      </c>
      <c r="K196" s="17">
        <v>0</v>
      </c>
      <c r="L196" s="17">
        <v>10175</v>
      </c>
      <c r="M196" s="17">
        <v>0</v>
      </c>
    </row>
    <row r="197" spans="2:13" x14ac:dyDescent="0.25">
      <c r="B197" s="1">
        <v>1</v>
      </c>
      <c r="C197" s="1">
        <v>1</v>
      </c>
      <c r="D197" s="1">
        <v>0</v>
      </c>
      <c r="E197" s="1">
        <v>1</v>
      </c>
      <c r="F197" s="1">
        <v>83</v>
      </c>
      <c r="G197" s="1">
        <v>0</v>
      </c>
      <c r="H197" s="1">
        <v>7</v>
      </c>
      <c r="I197" s="1">
        <v>7</v>
      </c>
      <c r="J197" s="1">
        <v>3</v>
      </c>
      <c r="K197" s="1">
        <v>1</v>
      </c>
      <c r="L197" s="1">
        <v>29995</v>
      </c>
      <c r="M197" s="1">
        <v>0</v>
      </c>
    </row>
    <row r="198" spans="2:13" x14ac:dyDescent="0.25">
      <c r="B198" s="1">
        <v>1</v>
      </c>
      <c r="C198" s="1">
        <v>1</v>
      </c>
      <c r="D198" s="1">
        <v>0</v>
      </c>
      <c r="E198" s="1">
        <v>1</v>
      </c>
      <c r="F198" s="1">
        <v>75</v>
      </c>
      <c r="G198" s="1">
        <v>1</v>
      </c>
      <c r="H198" s="1">
        <v>8</v>
      </c>
      <c r="I198" s="1">
        <v>3</v>
      </c>
      <c r="J198" s="1">
        <v>1</v>
      </c>
      <c r="K198" s="1">
        <v>1</v>
      </c>
      <c r="L198" s="1">
        <v>27815</v>
      </c>
      <c r="M198" s="1">
        <v>0</v>
      </c>
    </row>
    <row r="199" spans="2:13" x14ac:dyDescent="0.25">
      <c r="B199" s="1">
        <v>0</v>
      </c>
      <c r="C199" s="1">
        <v>0</v>
      </c>
      <c r="D199" s="1">
        <v>1</v>
      </c>
      <c r="E199" s="1">
        <v>0</v>
      </c>
      <c r="F199" s="1">
        <v>45</v>
      </c>
      <c r="G199" s="1">
        <v>1</v>
      </c>
      <c r="H199" s="1">
        <v>3</v>
      </c>
      <c r="I199" s="1">
        <v>4</v>
      </c>
      <c r="J199" s="1">
        <v>0</v>
      </c>
      <c r="K199" s="1">
        <v>0</v>
      </c>
      <c r="L199" s="1">
        <v>4781</v>
      </c>
      <c r="M199" s="1">
        <v>0</v>
      </c>
    </row>
    <row r="200" spans="2:13" x14ac:dyDescent="0.25">
      <c r="B200" s="1">
        <v>0</v>
      </c>
      <c r="C200" s="1">
        <v>0</v>
      </c>
      <c r="D200" s="1">
        <v>0.99749999999999994</v>
      </c>
      <c r="E200" s="1">
        <v>2.5000000000000001E-3</v>
      </c>
      <c r="F200" s="1">
        <v>60</v>
      </c>
      <c r="G200" s="1">
        <v>0</v>
      </c>
      <c r="H200" s="1">
        <v>9</v>
      </c>
      <c r="I200" s="1">
        <v>4</v>
      </c>
      <c r="J200" s="1">
        <v>1</v>
      </c>
      <c r="K200" s="1">
        <v>0</v>
      </c>
      <c r="L200" s="1">
        <v>31088</v>
      </c>
      <c r="M200" s="1">
        <v>0</v>
      </c>
    </row>
    <row r="201" spans="2:13" x14ac:dyDescent="0.25">
      <c r="B201" s="1">
        <v>1</v>
      </c>
      <c r="C201" s="1">
        <v>1</v>
      </c>
      <c r="D201" s="1">
        <v>0.19999999999999998</v>
      </c>
      <c r="E201" s="1">
        <v>0.79999999999999993</v>
      </c>
      <c r="F201" s="1">
        <v>37</v>
      </c>
      <c r="G201" s="1">
        <v>1</v>
      </c>
      <c r="H201" s="1">
        <v>5</v>
      </c>
      <c r="I201" s="1">
        <v>1</v>
      </c>
      <c r="J201" s="1">
        <v>0</v>
      </c>
      <c r="K201" s="1">
        <v>0</v>
      </c>
      <c r="L201" s="1">
        <v>10280</v>
      </c>
      <c r="M201" s="1">
        <v>0</v>
      </c>
    </row>
    <row r="202" spans="2:13" x14ac:dyDescent="0.25">
      <c r="B202" s="1">
        <v>0</v>
      </c>
      <c r="C202" s="1">
        <v>0</v>
      </c>
      <c r="D202" s="1">
        <v>0.8571428571428571</v>
      </c>
      <c r="E202" s="1">
        <v>0.14285714285714288</v>
      </c>
      <c r="F202" s="1">
        <v>78</v>
      </c>
      <c r="G202" s="1">
        <v>1</v>
      </c>
      <c r="H202" s="1">
        <v>3</v>
      </c>
      <c r="I202" s="1">
        <v>5</v>
      </c>
      <c r="J202" s="1">
        <v>0</v>
      </c>
      <c r="K202" s="1">
        <v>0</v>
      </c>
      <c r="L202" s="1">
        <v>9770</v>
      </c>
      <c r="M202" s="1">
        <v>0</v>
      </c>
    </row>
    <row r="203" spans="2:13" x14ac:dyDescent="0.25">
      <c r="B203" s="1">
        <v>1</v>
      </c>
      <c r="C203" s="1">
        <v>1</v>
      </c>
      <c r="D203" s="1">
        <v>0</v>
      </c>
      <c r="E203" s="1">
        <v>1</v>
      </c>
      <c r="F203" s="1">
        <v>83</v>
      </c>
      <c r="G203" s="1">
        <v>1</v>
      </c>
      <c r="H203" s="1">
        <v>2</v>
      </c>
      <c r="I203" s="1">
        <v>7</v>
      </c>
      <c r="J203" s="1">
        <v>1</v>
      </c>
      <c r="K203" s="1">
        <v>1</v>
      </c>
      <c r="L203" s="1">
        <v>14857</v>
      </c>
      <c r="M203" s="1">
        <v>1</v>
      </c>
    </row>
    <row r="204" spans="2:13" x14ac:dyDescent="0.25">
      <c r="B204" s="1">
        <v>0</v>
      </c>
      <c r="C204" s="1">
        <v>0</v>
      </c>
      <c r="D204" s="1">
        <v>0.99749999999999994</v>
      </c>
      <c r="E204" s="1">
        <v>2.5000000000000001E-3</v>
      </c>
      <c r="F204" s="1">
        <v>54</v>
      </c>
      <c r="G204" s="1">
        <v>1</v>
      </c>
      <c r="H204" s="1">
        <v>10</v>
      </c>
      <c r="I204" s="1">
        <v>7</v>
      </c>
      <c r="J204" s="1">
        <v>4</v>
      </c>
      <c r="K204" s="1">
        <v>0</v>
      </c>
      <c r="L204" s="1">
        <v>29875</v>
      </c>
      <c r="M204" s="1">
        <v>0</v>
      </c>
    </row>
    <row r="205" spans="2:13" x14ac:dyDescent="0.25">
      <c r="B205" s="17">
        <v>0</v>
      </c>
      <c r="C205" s="17">
        <v>1</v>
      </c>
      <c r="D205" s="17">
        <v>0.9810526315789474</v>
      </c>
      <c r="E205" s="17">
        <v>1.8947368421052633E-2</v>
      </c>
      <c r="F205" s="17">
        <v>0</v>
      </c>
      <c r="G205" s="17">
        <v>1</v>
      </c>
      <c r="H205" s="17">
        <v>16</v>
      </c>
      <c r="I205" s="17">
        <v>0</v>
      </c>
      <c r="J205" s="17">
        <v>0</v>
      </c>
      <c r="K205" s="17">
        <v>0</v>
      </c>
      <c r="L205" s="17">
        <v>26598</v>
      </c>
      <c r="M205" s="17">
        <v>0</v>
      </c>
    </row>
    <row r="206" spans="2:13" x14ac:dyDescent="0.25">
      <c r="B206" s="1">
        <v>1</v>
      </c>
      <c r="C206" s="1">
        <v>1</v>
      </c>
      <c r="D206" s="1">
        <v>0</v>
      </c>
      <c r="E206" s="1">
        <v>1</v>
      </c>
      <c r="F206" s="1">
        <v>89</v>
      </c>
      <c r="G206" s="1">
        <v>1</v>
      </c>
      <c r="H206" s="1">
        <v>2</v>
      </c>
      <c r="I206" s="1">
        <v>6</v>
      </c>
      <c r="J206" s="1">
        <v>0</v>
      </c>
      <c r="K206" s="1">
        <v>1</v>
      </c>
      <c r="L206" s="1">
        <v>8645</v>
      </c>
      <c r="M206" s="1">
        <v>0</v>
      </c>
    </row>
    <row r="207" spans="2:13" x14ac:dyDescent="0.25">
      <c r="B207" s="1">
        <v>0</v>
      </c>
      <c r="C207" s="1">
        <v>0</v>
      </c>
      <c r="D207" s="1">
        <v>0.99749999999999994</v>
      </c>
      <c r="E207" s="1">
        <v>2.5000000000000001E-3</v>
      </c>
      <c r="F207" s="1">
        <v>67</v>
      </c>
      <c r="G207" s="1">
        <v>1</v>
      </c>
      <c r="H207" s="1">
        <v>22</v>
      </c>
      <c r="I207" s="1">
        <v>5</v>
      </c>
      <c r="J207" s="1">
        <v>6</v>
      </c>
      <c r="K207" s="1">
        <v>0</v>
      </c>
      <c r="L207" s="1">
        <v>195157</v>
      </c>
      <c r="M207" s="1">
        <v>1</v>
      </c>
    </row>
    <row r="208" spans="2:13" x14ac:dyDescent="0.25">
      <c r="B208" s="1">
        <v>0</v>
      </c>
      <c r="C208" s="1">
        <v>0</v>
      </c>
      <c r="D208" s="1">
        <v>0.96666666666666667</v>
      </c>
      <c r="E208" s="1">
        <v>3.333333333333334E-2</v>
      </c>
      <c r="F208" s="1">
        <v>30</v>
      </c>
      <c r="G208" s="1">
        <v>1</v>
      </c>
      <c r="H208" s="1">
        <v>2</v>
      </c>
      <c r="I208" s="1">
        <v>0</v>
      </c>
      <c r="J208" s="1">
        <v>2</v>
      </c>
      <c r="K208" s="1">
        <v>0</v>
      </c>
      <c r="L208" s="1">
        <v>13352</v>
      </c>
      <c r="M208" s="1">
        <v>1</v>
      </c>
    </row>
    <row r="209" spans="2:13" x14ac:dyDescent="0.25">
      <c r="B209" s="1">
        <v>1</v>
      </c>
      <c r="C209" s="1">
        <v>1</v>
      </c>
      <c r="D209" s="1">
        <v>0</v>
      </c>
      <c r="E209" s="1">
        <v>1</v>
      </c>
      <c r="F209" s="1">
        <v>80</v>
      </c>
      <c r="G209" s="1">
        <v>0</v>
      </c>
      <c r="H209" s="1">
        <v>10</v>
      </c>
      <c r="I209" s="1">
        <v>3</v>
      </c>
      <c r="J209" s="1">
        <v>2</v>
      </c>
      <c r="K209" s="1">
        <v>1</v>
      </c>
      <c r="L209" s="1">
        <v>19621</v>
      </c>
      <c r="M209" s="1">
        <v>0</v>
      </c>
    </row>
    <row r="210" spans="2:13" x14ac:dyDescent="0.25">
      <c r="B210" s="17">
        <v>0</v>
      </c>
      <c r="C210" s="17">
        <v>1</v>
      </c>
      <c r="D210" s="17">
        <v>0.68</v>
      </c>
      <c r="E210" s="17">
        <v>0.32</v>
      </c>
      <c r="F210" s="17">
        <v>89</v>
      </c>
      <c r="G210" s="17">
        <v>1</v>
      </c>
      <c r="H210" s="17">
        <v>1</v>
      </c>
      <c r="I210" s="17">
        <v>4</v>
      </c>
      <c r="J210" s="17">
        <v>0</v>
      </c>
      <c r="K210" s="17">
        <v>0</v>
      </c>
      <c r="L210" s="17">
        <v>8041</v>
      </c>
      <c r="M210" s="17">
        <v>0</v>
      </c>
    </row>
    <row r="211" spans="2:13" x14ac:dyDescent="0.25">
      <c r="B211" s="1">
        <v>0</v>
      </c>
      <c r="C211" s="1">
        <v>0</v>
      </c>
      <c r="D211" s="1">
        <v>0.8571428571428571</v>
      </c>
      <c r="E211" s="1">
        <v>0.14285714285714288</v>
      </c>
      <c r="F211" s="1">
        <v>79</v>
      </c>
      <c r="G211" s="1">
        <v>0</v>
      </c>
      <c r="H211" s="1">
        <v>4</v>
      </c>
      <c r="I211" s="1">
        <v>7</v>
      </c>
      <c r="J211" s="1">
        <v>1</v>
      </c>
      <c r="K211" s="1">
        <v>0</v>
      </c>
      <c r="L211" s="1">
        <v>15334</v>
      </c>
      <c r="M211" s="1">
        <v>0</v>
      </c>
    </row>
    <row r="212" spans="2:13" x14ac:dyDescent="0.25">
      <c r="B212" s="1">
        <v>0</v>
      </c>
      <c r="C212" s="1">
        <v>0</v>
      </c>
      <c r="D212" s="1">
        <v>0.8571428571428571</v>
      </c>
      <c r="E212" s="1">
        <v>0.14285714285714288</v>
      </c>
      <c r="F212" s="1">
        <v>77</v>
      </c>
      <c r="G212" s="1">
        <v>1</v>
      </c>
      <c r="H212" s="1">
        <v>2</v>
      </c>
      <c r="I212" s="1">
        <v>4</v>
      </c>
      <c r="J212" s="1">
        <v>2</v>
      </c>
      <c r="K212" s="1">
        <v>0</v>
      </c>
      <c r="L212" s="1">
        <v>8922</v>
      </c>
      <c r="M212" s="1">
        <v>0</v>
      </c>
    </row>
    <row r="213" spans="2:13" x14ac:dyDescent="0.25">
      <c r="B213" s="1">
        <v>0</v>
      </c>
      <c r="C213" s="1">
        <v>0</v>
      </c>
      <c r="D213" s="1">
        <v>0.99749999999999994</v>
      </c>
      <c r="E213" s="1">
        <v>2.5000000000000001E-3</v>
      </c>
      <c r="F213" s="1">
        <v>55</v>
      </c>
      <c r="G213" s="1">
        <v>1</v>
      </c>
      <c r="H213" s="1">
        <v>8</v>
      </c>
      <c r="I213" s="1">
        <v>6</v>
      </c>
      <c r="J213" s="1">
        <v>2</v>
      </c>
      <c r="K213" s="1">
        <v>0</v>
      </c>
      <c r="L213" s="1">
        <v>51642</v>
      </c>
      <c r="M213" s="1">
        <v>1</v>
      </c>
    </row>
    <row r="214" spans="2:13" x14ac:dyDescent="0.25">
      <c r="B214" s="1">
        <v>0</v>
      </c>
      <c r="C214" s="1">
        <v>0</v>
      </c>
      <c r="D214" s="1">
        <v>0.99749999999999994</v>
      </c>
      <c r="E214" s="1">
        <v>2.5000000000000001E-3</v>
      </c>
      <c r="F214" s="1">
        <v>57</v>
      </c>
      <c r="G214" s="1">
        <v>0</v>
      </c>
      <c r="H214" s="1">
        <v>7</v>
      </c>
      <c r="I214" s="1">
        <v>4</v>
      </c>
      <c r="J214" s="1">
        <v>0</v>
      </c>
      <c r="K214" s="1">
        <v>0</v>
      </c>
      <c r="L214" s="1">
        <v>13587</v>
      </c>
      <c r="M214" s="1">
        <v>0</v>
      </c>
    </row>
    <row r="215" spans="2:13" x14ac:dyDescent="0.25">
      <c r="B215" s="1">
        <v>0</v>
      </c>
      <c r="C215" s="1">
        <v>0</v>
      </c>
      <c r="D215" s="1">
        <v>0.96666666666666667</v>
      </c>
      <c r="E215" s="1">
        <v>3.333333333333334E-2</v>
      </c>
      <c r="F215" s="1">
        <v>31</v>
      </c>
      <c r="G215" s="1">
        <v>0</v>
      </c>
      <c r="H215" s="1">
        <v>0</v>
      </c>
      <c r="I215" s="1">
        <v>2</v>
      </c>
      <c r="J215" s="1">
        <v>0</v>
      </c>
      <c r="K215" s="1">
        <v>0</v>
      </c>
      <c r="L215" s="1">
        <v>1411</v>
      </c>
      <c r="M215" s="1">
        <v>0</v>
      </c>
    </row>
    <row r="216" spans="2:13" x14ac:dyDescent="0.25">
      <c r="B216" s="1">
        <v>1</v>
      </c>
      <c r="C216" s="1">
        <v>1</v>
      </c>
      <c r="D216" s="1">
        <v>0</v>
      </c>
      <c r="E216" s="1">
        <v>1</v>
      </c>
      <c r="F216" s="1">
        <v>75</v>
      </c>
      <c r="G216" s="1">
        <v>0</v>
      </c>
      <c r="H216" s="1">
        <v>15</v>
      </c>
      <c r="I216" s="1">
        <v>4</v>
      </c>
      <c r="J216" s="1">
        <v>0</v>
      </c>
      <c r="K216" s="1">
        <v>1</v>
      </c>
      <c r="L216" s="1">
        <v>27847</v>
      </c>
      <c r="M216" s="1">
        <v>0</v>
      </c>
    </row>
    <row r="217" spans="2:13" x14ac:dyDescent="0.25">
      <c r="B217" s="1">
        <v>0</v>
      </c>
      <c r="C217" s="1">
        <v>0</v>
      </c>
      <c r="D217" s="1">
        <v>0.9810526315789474</v>
      </c>
      <c r="E217" s="1">
        <v>1.8947368421052633E-2</v>
      </c>
      <c r="F217" s="1">
        <v>25</v>
      </c>
      <c r="G217" s="1">
        <v>1</v>
      </c>
      <c r="H217" s="1">
        <v>3</v>
      </c>
      <c r="I217" s="1">
        <v>1</v>
      </c>
      <c r="J217" s="1">
        <v>0</v>
      </c>
      <c r="K217" s="1">
        <v>0</v>
      </c>
      <c r="L217" s="1">
        <v>11102</v>
      </c>
      <c r="M217" s="1">
        <v>0</v>
      </c>
    </row>
    <row r="218" spans="2:13" x14ac:dyDescent="0.25">
      <c r="B218" s="1">
        <v>0</v>
      </c>
      <c r="C218" s="1">
        <v>0</v>
      </c>
      <c r="D218" s="1">
        <v>0.99749999999999994</v>
      </c>
      <c r="E218" s="1">
        <v>2.5000000000000001E-3</v>
      </c>
      <c r="F218" s="1">
        <v>66</v>
      </c>
      <c r="G218" s="1">
        <v>1</v>
      </c>
      <c r="H218" s="1">
        <v>6</v>
      </c>
      <c r="I218" s="1">
        <v>5</v>
      </c>
      <c r="J218" s="1">
        <v>0</v>
      </c>
      <c r="K218" s="1">
        <v>0</v>
      </c>
      <c r="L218" s="1">
        <v>14644</v>
      </c>
      <c r="M218" s="1">
        <v>0</v>
      </c>
    </row>
    <row r="219" spans="2:13" x14ac:dyDescent="0.25">
      <c r="B219" s="1">
        <v>0</v>
      </c>
      <c r="C219" s="1">
        <v>0</v>
      </c>
      <c r="D219" s="1">
        <v>0.99749999999999994</v>
      </c>
      <c r="E219" s="1">
        <v>2.5000000000000001E-3</v>
      </c>
      <c r="F219" s="1">
        <v>63</v>
      </c>
      <c r="G219" s="1">
        <v>1</v>
      </c>
      <c r="H219" s="1">
        <v>2</v>
      </c>
      <c r="I219" s="1">
        <v>7</v>
      </c>
      <c r="J219" s="1">
        <v>2</v>
      </c>
      <c r="K219" s="1">
        <v>0</v>
      </c>
      <c r="L219" s="1">
        <v>24117</v>
      </c>
      <c r="M219" s="1">
        <v>1</v>
      </c>
    </row>
    <row r="220" spans="2:13" x14ac:dyDescent="0.25">
      <c r="B220" s="1">
        <v>1</v>
      </c>
      <c r="C220" s="1">
        <v>1</v>
      </c>
      <c r="D220" s="1">
        <v>0.36</v>
      </c>
      <c r="E220" s="1">
        <v>0.64</v>
      </c>
      <c r="F220" s="1">
        <v>89</v>
      </c>
      <c r="G220" s="1">
        <v>1</v>
      </c>
      <c r="H220" s="1">
        <v>3</v>
      </c>
      <c r="I220" s="1">
        <v>4</v>
      </c>
      <c r="J220" s="1">
        <v>0</v>
      </c>
      <c r="K220" s="1">
        <v>0</v>
      </c>
      <c r="L220" s="1">
        <v>14478</v>
      </c>
      <c r="M220" s="1">
        <v>0</v>
      </c>
    </row>
    <row r="221" spans="2:13" x14ac:dyDescent="0.25">
      <c r="B221" s="1">
        <v>0</v>
      </c>
      <c r="C221" s="1">
        <v>0</v>
      </c>
      <c r="D221" s="1">
        <v>0.9810526315789474</v>
      </c>
      <c r="E221" s="1">
        <v>1.8947368421052633E-2</v>
      </c>
      <c r="F221" s="1">
        <v>0</v>
      </c>
      <c r="G221" s="1">
        <v>0</v>
      </c>
      <c r="H221" s="1">
        <v>2</v>
      </c>
      <c r="I221" s="1">
        <v>0</v>
      </c>
      <c r="J221" s="1">
        <v>0</v>
      </c>
      <c r="K221" s="1">
        <v>0</v>
      </c>
      <c r="L221" s="1">
        <v>1463</v>
      </c>
      <c r="M221" s="1">
        <v>0</v>
      </c>
    </row>
    <row r="222" spans="2:13" x14ac:dyDescent="0.25">
      <c r="B222" s="1">
        <v>1</v>
      </c>
      <c r="C222" s="1">
        <v>1</v>
      </c>
      <c r="D222" s="1">
        <v>0</v>
      </c>
      <c r="E222" s="1">
        <v>1</v>
      </c>
      <c r="F222" s="1">
        <v>82</v>
      </c>
      <c r="G222" s="1">
        <v>0</v>
      </c>
      <c r="H222" s="1">
        <v>2</v>
      </c>
      <c r="I222" s="1">
        <v>5</v>
      </c>
      <c r="J222" s="1">
        <v>0</v>
      </c>
      <c r="K222" s="1">
        <v>1</v>
      </c>
      <c r="L222" s="1">
        <v>10895</v>
      </c>
      <c r="M222" s="1">
        <v>0</v>
      </c>
    </row>
    <row r="223" spans="2:13" x14ac:dyDescent="0.25">
      <c r="B223" s="1">
        <v>0</v>
      </c>
      <c r="C223" s="1">
        <v>0</v>
      </c>
      <c r="D223" s="1">
        <v>0.96666666666666667</v>
      </c>
      <c r="E223" s="1">
        <v>3.333333333333334E-2</v>
      </c>
      <c r="F223" s="1">
        <v>29</v>
      </c>
      <c r="G223" s="1">
        <v>0</v>
      </c>
      <c r="H223" s="1">
        <v>4</v>
      </c>
      <c r="I223" s="1">
        <v>1</v>
      </c>
      <c r="J223" s="1">
        <v>0</v>
      </c>
      <c r="K223" s="1">
        <v>0</v>
      </c>
      <c r="L223" s="1">
        <v>7124</v>
      </c>
      <c r="M223" s="1">
        <v>0</v>
      </c>
    </row>
    <row r="224" spans="2:13" x14ac:dyDescent="0.25">
      <c r="B224" s="1">
        <v>0</v>
      </c>
      <c r="C224" s="1">
        <v>0</v>
      </c>
      <c r="D224" s="1">
        <v>0.9810526315789474</v>
      </c>
      <c r="E224" s="1">
        <v>1.8947368421052633E-2</v>
      </c>
      <c r="F224" s="1">
        <v>11</v>
      </c>
      <c r="G224" s="1">
        <v>0</v>
      </c>
      <c r="H224" s="1">
        <v>2</v>
      </c>
      <c r="I224" s="1">
        <v>0</v>
      </c>
      <c r="J224" s="1">
        <v>2</v>
      </c>
      <c r="K224" s="1">
        <v>0</v>
      </c>
      <c r="L224" s="1">
        <v>6465</v>
      </c>
      <c r="M224" s="1">
        <v>1</v>
      </c>
    </row>
    <row r="225" spans="2:13" x14ac:dyDescent="0.25">
      <c r="B225" s="1">
        <v>0</v>
      </c>
      <c r="C225" s="1">
        <v>0</v>
      </c>
      <c r="D225" s="1">
        <v>0.625</v>
      </c>
      <c r="E225" s="1">
        <v>0.37500000000000006</v>
      </c>
      <c r="F225" s="1">
        <v>84</v>
      </c>
      <c r="G225" s="1">
        <v>0</v>
      </c>
      <c r="H225" s="1">
        <v>5</v>
      </c>
      <c r="I225" s="1">
        <v>3</v>
      </c>
      <c r="J225" s="1">
        <v>0</v>
      </c>
      <c r="K225" s="1">
        <v>0</v>
      </c>
      <c r="L225" s="1">
        <v>18114</v>
      </c>
      <c r="M225" s="1">
        <v>0</v>
      </c>
    </row>
    <row r="226" spans="2:13" x14ac:dyDescent="0.25">
      <c r="B226" s="1">
        <v>0</v>
      </c>
      <c r="C226" s="1">
        <v>0</v>
      </c>
      <c r="D226" s="1">
        <v>0.99749999999999994</v>
      </c>
      <c r="E226" s="1">
        <v>2.5000000000000001E-3</v>
      </c>
      <c r="F226" s="1">
        <v>70</v>
      </c>
      <c r="G226" s="1">
        <v>1</v>
      </c>
      <c r="H226" s="1">
        <v>28</v>
      </c>
      <c r="I226" s="1">
        <v>4</v>
      </c>
      <c r="J226" s="1">
        <v>0</v>
      </c>
      <c r="K226" s="1">
        <v>0</v>
      </c>
      <c r="L226" s="1">
        <v>46301</v>
      </c>
      <c r="M226" s="1">
        <v>0</v>
      </c>
    </row>
    <row r="227" spans="2:13" x14ac:dyDescent="0.25">
      <c r="B227" s="1">
        <v>0</v>
      </c>
      <c r="C227" s="1">
        <v>0</v>
      </c>
      <c r="D227" s="1">
        <v>0.99749999999999994</v>
      </c>
      <c r="E227" s="1">
        <v>2.5000000000000001E-3</v>
      </c>
      <c r="F227" s="1">
        <v>56</v>
      </c>
      <c r="G227" s="1">
        <v>1</v>
      </c>
      <c r="H227" s="1">
        <v>24</v>
      </c>
      <c r="I227" s="1">
        <v>0</v>
      </c>
      <c r="J227" s="1">
        <v>1</v>
      </c>
      <c r="K227" s="1">
        <v>0</v>
      </c>
      <c r="L227" s="1">
        <v>58437</v>
      </c>
      <c r="M227" s="1">
        <v>0</v>
      </c>
    </row>
    <row r="228" spans="2:13" x14ac:dyDescent="0.25">
      <c r="B228" s="1">
        <v>0</v>
      </c>
      <c r="C228" s="1">
        <v>0</v>
      </c>
      <c r="D228" s="1">
        <v>0.96666666666666667</v>
      </c>
      <c r="E228" s="1">
        <v>3.333333333333334E-2</v>
      </c>
      <c r="F228" s="1">
        <v>33</v>
      </c>
      <c r="G228" s="1">
        <v>0</v>
      </c>
      <c r="H228" s="1">
        <v>3</v>
      </c>
      <c r="I228" s="1">
        <v>4</v>
      </c>
      <c r="J228" s="1">
        <v>0</v>
      </c>
      <c r="K228" s="1">
        <v>0</v>
      </c>
      <c r="L228" s="1">
        <v>4170</v>
      </c>
      <c r="M228" s="1">
        <v>0</v>
      </c>
    </row>
    <row r="229" spans="2:13" x14ac:dyDescent="0.25">
      <c r="B229" s="1">
        <v>0</v>
      </c>
      <c r="C229" s="1">
        <v>0</v>
      </c>
      <c r="D229" s="1">
        <v>0.99749999999999994</v>
      </c>
      <c r="E229" s="1">
        <v>2.5000000000000001E-3</v>
      </c>
      <c r="F229" s="1">
        <v>71</v>
      </c>
      <c r="G229" s="1">
        <v>0</v>
      </c>
      <c r="H229" s="1">
        <v>1</v>
      </c>
      <c r="I229" s="1">
        <v>4</v>
      </c>
      <c r="J229" s="1">
        <v>1</v>
      </c>
      <c r="K229" s="1">
        <v>0</v>
      </c>
      <c r="L229" s="1">
        <v>6008</v>
      </c>
      <c r="M229" s="1">
        <v>0</v>
      </c>
    </row>
    <row r="230" spans="2:13" x14ac:dyDescent="0.25">
      <c r="B230" s="1">
        <v>0</v>
      </c>
      <c r="C230" s="1">
        <v>0</v>
      </c>
      <c r="D230" s="1">
        <v>0.625</v>
      </c>
      <c r="E230" s="1">
        <v>0.37500000000000006</v>
      </c>
      <c r="F230" s="1">
        <v>95</v>
      </c>
      <c r="G230" s="1">
        <v>0</v>
      </c>
      <c r="H230" s="1">
        <v>6</v>
      </c>
      <c r="I230" s="1">
        <v>3</v>
      </c>
      <c r="J230" s="1">
        <v>0</v>
      </c>
      <c r="K230" s="1">
        <v>0</v>
      </c>
      <c r="L230" s="1">
        <v>17441</v>
      </c>
      <c r="M230" s="1">
        <v>0</v>
      </c>
    </row>
    <row r="231" spans="2:13" x14ac:dyDescent="0.25">
      <c r="B231" s="1">
        <v>0</v>
      </c>
      <c r="C231" s="1">
        <v>0</v>
      </c>
      <c r="D231" s="1">
        <v>0.9810526315789474</v>
      </c>
      <c r="E231" s="1">
        <v>1.8947368421052633E-2</v>
      </c>
      <c r="F231" s="1">
        <v>0</v>
      </c>
      <c r="G231" s="1">
        <v>1</v>
      </c>
      <c r="H231" s="1">
        <v>2</v>
      </c>
      <c r="I231" s="1">
        <v>0</v>
      </c>
      <c r="J231" s="1">
        <v>0</v>
      </c>
      <c r="K231" s="1">
        <v>0</v>
      </c>
      <c r="L231" s="1">
        <v>1533</v>
      </c>
      <c r="M231" s="1">
        <v>0</v>
      </c>
    </row>
    <row r="232" spans="2:13" x14ac:dyDescent="0.25">
      <c r="B232" s="1">
        <v>0</v>
      </c>
      <c r="C232" s="1">
        <v>0</v>
      </c>
      <c r="D232" s="1">
        <v>0.99749999999999994</v>
      </c>
      <c r="E232" s="1">
        <v>2.5000000000000001E-3</v>
      </c>
      <c r="F232" s="1">
        <v>65</v>
      </c>
      <c r="G232" s="1">
        <v>0</v>
      </c>
      <c r="H232" s="1">
        <v>4</v>
      </c>
      <c r="I232" s="1">
        <v>8</v>
      </c>
      <c r="J232" s="1">
        <v>1</v>
      </c>
      <c r="K232" s="1">
        <v>0</v>
      </c>
      <c r="L232" s="1">
        <v>11882</v>
      </c>
      <c r="M232" s="1">
        <v>0</v>
      </c>
    </row>
    <row r="233" spans="2:13" x14ac:dyDescent="0.25">
      <c r="B233" s="1">
        <v>1</v>
      </c>
      <c r="C233" s="1">
        <v>1</v>
      </c>
      <c r="D233" s="1">
        <v>0</v>
      </c>
      <c r="E233" s="1">
        <v>1</v>
      </c>
      <c r="F233" s="1">
        <v>91</v>
      </c>
      <c r="G233" s="1">
        <v>1</v>
      </c>
      <c r="H233" s="1">
        <v>4</v>
      </c>
      <c r="I233" s="1">
        <v>3</v>
      </c>
      <c r="J233" s="1">
        <v>0</v>
      </c>
      <c r="K233" s="1">
        <v>1</v>
      </c>
      <c r="L233" s="1">
        <v>14289</v>
      </c>
      <c r="M233" s="1">
        <v>0</v>
      </c>
    </row>
    <row r="234" spans="2:13" x14ac:dyDescent="0.25">
      <c r="B234" s="1">
        <v>0</v>
      </c>
      <c r="C234" s="1">
        <v>0</v>
      </c>
      <c r="D234" s="1">
        <v>0.9810526315789474</v>
      </c>
      <c r="E234" s="1">
        <v>1.8947368421052633E-2</v>
      </c>
      <c r="F234" s="1">
        <v>27</v>
      </c>
      <c r="G234" s="1">
        <v>1</v>
      </c>
      <c r="H234" s="1">
        <v>3</v>
      </c>
      <c r="I234" s="1">
        <v>0</v>
      </c>
      <c r="J234" s="1">
        <v>1</v>
      </c>
      <c r="K234" s="1">
        <v>0</v>
      </c>
      <c r="L234" s="1">
        <v>9617</v>
      </c>
      <c r="M234" s="1">
        <v>0</v>
      </c>
    </row>
    <row r="235" spans="2:13" x14ac:dyDescent="0.25">
      <c r="B235" s="1">
        <v>0</v>
      </c>
      <c r="C235" s="1">
        <v>0</v>
      </c>
      <c r="D235" s="1">
        <v>1</v>
      </c>
      <c r="E235" s="1">
        <v>0</v>
      </c>
      <c r="F235" s="1">
        <v>48</v>
      </c>
      <c r="G235" s="1">
        <v>1</v>
      </c>
      <c r="H235" s="1">
        <v>2</v>
      </c>
      <c r="I235" s="1">
        <v>2</v>
      </c>
      <c r="J235" s="1">
        <v>1</v>
      </c>
      <c r="K235" s="1">
        <v>0</v>
      </c>
      <c r="L235" s="1">
        <v>11421</v>
      </c>
      <c r="M235" s="1">
        <v>1</v>
      </c>
    </row>
    <row r="236" spans="2:13" x14ac:dyDescent="0.25">
      <c r="B236" s="1">
        <v>0</v>
      </c>
      <c r="C236" s="1">
        <v>0</v>
      </c>
      <c r="D236" s="1">
        <v>0.99749999999999994</v>
      </c>
      <c r="E236" s="1">
        <v>2.5000000000000001E-3</v>
      </c>
      <c r="F236" s="1">
        <v>63</v>
      </c>
      <c r="G236" s="1">
        <v>1</v>
      </c>
      <c r="H236" s="1">
        <v>2</v>
      </c>
      <c r="I236" s="1">
        <v>2</v>
      </c>
      <c r="J236" s="1">
        <v>5</v>
      </c>
      <c r="K236" s="1">
        <v>0</v>
      </c>
      <c r="L236" s="1">
        <v>24757</v>
      </c>
      <c r="M236" s="1">
        <v>0</v>
      </c>
    </row>
    <row r="237" spans="2:13" x14ac:dyDescent="0.25">
      <c r="B237" s="1">
        <v>0</v>
      </c>
      <c r="C237" s="1">
        <v>0</v>
      </c>
      <c r="D237" s="1">
        <v>0.9810526315789474</v>
      </c>
      <c r="E237" s="1">
        <v>1.8947368421052633E-2</v>
      </c>
      <c r="F237" s="1">
        <v>22</v>
      </c>
      <c r="G237" s="1">
        <v>1</v>
      </c>
      <c r="H237" s="1">
        <v>2</v>
      </c>
      <c r="I237" s="1">
        <v>2</v>
      </c>
      <c r="J237" s="1">
        <v>3</v>
      </c>
      <c r="K237" s="1">
        <v>0</v>
      </c>
      <c r="L237" s="1">
        <v>8758</v>
      </c>
      <c r="M237" s="1">
        <v>0</v>
      </c>
    </row>
    <row r="238" spans="2:13" x14ac:dyDescent="0.25">
      <c r="B238" s="1">
        <v>0</v>
      </c>
      <c r="C238" s="1">
        <v>0</v>
      </c>
      <c r="D238" s="1">
        <v>0.9810526315789474</v>
      </c>
      <c r="E238" s="1">
        <v>1.8947368421052633E-2</v>
      </c>
      <c r="F238" s="1">
        <v>23</v>
      </c>
      <c r="G238" s="1">
        <v>1</v>
      </c>
      <c r="H238" s="1">
        <v>3</v>
      </c>
      <c r="I238" s="1">
        <v>0</v>
      </c>
      <c r="J238" s="1">
        <v>2</v>
      </c>
      <c r="K238" s="1">
        <v>0</v>
      </c>
      <c r="L238" s="1">
        <v>7232</v>
      </c>
      <c r="M238" s="1">
        <v>0</v>
      </c>
    </row>
    <row r="239" spans="2:13" x14ac:dyDescent="0.25">
      <c r="B239" s="17">
        <v>0</v>
      </c>
      <c r="C239" s="17">
        <v>1</v>
      </c>
      <c r="D239" s="17">
        <v>0.7142857142857143</v>
      </c>
      <c r="E239" s="17">
        <v>0.2857142857142857</v>
      </c>
      <c r="F239" s="17">
        <v>83</v>
      </c>
      <c r="G239" s="17">
        <v>1</v>
      </c>
      <c r="H239" s="17">
        <v>8</v>
      </c>
      <c r="I239" s="17">
        <v>6</v>
      </c>
      <c r="J239" s="17">
        <v>1</v>
      </c>
      <c r="K239" s="17">
        <v>0</v>
      </c>
      <c r="L239" s="17">
        <v>28523</v>
      </c>
      <c r="M239" s="17">
        <v>1</v>
      </c>
    </row>
    <row r="240" spans="2:13" x14ac:dyDescent="0.25">
      <c r="B240" s="1">
        <v>0</v>
      </c>
      <c r="C240" s="1">
        <v>0</v>
      </c>
      <c r="D240" s="1">
        <v>0.99749999999999994</v>
      </c>
      <c r="E240" s="1">
        <v>2.5000000000000001E-3</v>
      </c>
      <c r="F240" s="1">
        <v>61</v>
      </c>
      <c r="G240" s="1">
        <v>0</v>
      </c>
      <c r="H240" s="1">
        <v>5</v>
      </c>
      <c r="I240" s="1">
        <v>7</v>
      </c>
      <c r="J240" s="1">
        <v>1</v>
      </c>
      <c r="K240" s="1">
        <v>0</v>
      </c>
      <c r="L240" s="1">
        <v>11081</v>
      </c>
      <c r="M240" s="1">
        <v>0</v>
      </c>
    </row>
    <row r="241" spans="2:13" x14ac:dyDescent="0.25">
      <c r="B241" s="1">
        <v>0</v>
      </c>
      <c r="C241" s="1">
        <v>0</v>
      </c>
      <c r="D241" s="1">
        <v>1</v>
      </c>
      <c r="E241" s="1">
        <v>0</v>
      </c>
      <c r="F241" s="1">
        <v>40</v>
      </c>
      <c r="G241" s="1">
        <v>1</v>
      </c>
      <c r="H241" s="1">
        <v>11</v>
      </c>
      <c r="I241" s="1">
        <v>4</v>
      </c>
      <c r="J241" s="1">
        <v>6</v>
      </c>
      <c r="K241" s="1">
        <v>0</v>
      </c>
      <c r="L241" s="1">
        <v>72193</v>
      </c>
      <c r="M241" s="1">
        <v>1</v>
      </c>
    </row>
    <row r="242" spans="2:13" x14ac:dyDescent="0.25">
      <c r="B242" s="1">
        <v>0</v>
      </c>
      <c r="C242" s="1">
        <v>0</v>
      </c>
      <c r="D242" s="1">
        <v>0.8571428571428571</v>
      </c>
      <c r="E242" s="1">
        <v>0.14285714285714285</v>
      </c>
      <c r="F242" s="1">
        <v>51</v>
      </c>
      <c r="G242" s="1">
        <v>1</v>
      </c>
      <c r="H242" s="1">
        <v>3</v>
      </c>
      <c r="I242" s="1">
        <v>5</v>
      </c>
      <c r="J242" s="1">
        <v>0</v>
      </c>
      <c r="K242" s="1">
        <v>0</v>
      </c>
      <c r="L242" s="1">
        <v>17423</v>
      </c>
      <c r="M242" s="1">
        <v>0</v>
      </c>
    </row>
    <row r="243" spans="2:13" x14ac:dyDescent="0.25">
      <c r="B243" s="1">
        <v>0</v>
      </c>
      <c r="C243" s="1">
        <v>0</v>
      </c>
      <c r="D243" s="1">
        <v>0.99749999999999994</v>
      </c>
      <c r="E243" s="1">
        <v>2.5000000000000001E-3</v>
      </c>
      <c r="F243" s="1">
        <v>54</v>
      </c>
      <c r="G243" s="1">
        <v>1</v>
      </c>
      <c r="H243" s="1">
        <v>3</v>
      </c>
      <c r="I243" s="1">
        <v>5</v>
      </c>
      <c r="J243" s="1">
        <v>0</v>
      </c>
      <c r="K243" s="1">
        <v>0</v>
      </c>
      <c r="L243" s="1">
        <v>6786</v>
      </c>
      <c r="M243" s="1">
        <v>0</v>
      </c>
    </row>
    <row r="244" spans="2:13" x14ac:dyDescent="0.25">
      <c r="B244" s="1">
        <v>1</v>
      </c>
      <c r="C244" s="1">
        <v>1</v>
      </c>
      <c r="D244" s="1">
        <v>0</v>
      </c>
      <c r="E244" s="1">
        <v>1</v>
      </c>
      <c r="F244" s="1">
        <v>83</v>
      </c>
      <c r="G244" s="1">
        <v>0</v>
      </c>
      <c r="H244" s="1">
        <v>2</v>
      </c>
      <c r="I244" s="1">
        <v>3</v>
      </c>
      <c r="J244" s="1">
        <v>1</v>
      </c>
      <c r="K244" s="1">
        <v>1</v>
      </c>
      <c r="L244" s="1">
        <v>11426</v>
      </c>
      <c r="M244" s="1">
        <v>0</v>
      </c>
    </row>
    <row r="245" spans="2:13" x14ac:dyDescent="0.25">
      <c r="B245" s="1">
        <v>0</v>
      </c>
      <c r="C245" s="1">
        <v>0</v>
      </c>
      <c r="D245" s="1">
        <v>1</v>
      </c>
      <c r="E245" s="1">
        <v>0</v>
      </c>
      <c r="F245" s="1">
        <v>38</v>
      </c>
      <c r="G245" s="1">
        <v>1</v>
      </c>
      <c r="H245" s="1">
        <v>9</v>
      </c>
      <c r="I245" s="1">
        <v>4</v>
      </c>
      <c r="J245" s="1">
        <v>0</v>
      </c>
      <c r="K245" s="1">
        <v>0</v>
      </c>
      <c r="L245" s="1">
        <v>17633</v>
      </c>
      <c r="M245" s="1">
        <v>0</v>
      </c>
    </row>
    <row r="246" spans="2:13" x14ac:dyDescent="0.25">
      <c r="B246" s="1">
        <v>0</v>
      </c>
      <c r="C246" s="1">
        <v>0</v>
      </c>
      <c r="D246" s="1">
        <v>0.9810526315789474</v>
      </c>
      <c r="E246" s="1">
        <v>1.8947368421052633E-2</v>
      </c>
      <c r="F246" s="1">
        <v>3</v>
      </c>
      <c r="G246" s="1">
        <v>0</v>
      </c>
      <c r="H246" s="1">
        <v>2</v>
      </c>
      <c r="I246" s="1">
        <v>0</v>
      </c>
      <c r="J246" s="1">
        <v>1</v>
      </c>
      <c r="K246" s="1">
        <v>0</v>
      </c>
      <c r="L246" s="1">
        <v>9687</v>
      </c>
      <c r="M246" s="1">
        <v>0</v>
      </c>
    </row>
    <row r="247" spans="2:13" x14ac:dyDescent="0.25">
      <c r="B247" s="1">
        <v>0</v>
      </c>
      <c r="C247" s="1">
        <v>0</v>
      </c>
      <c r="D247" s="1">
        <v>0.9810526315789474</v>
      </c>
      <c r="E247" s="1">
        <v>1.8947368421052633E-2</v>
      </c>
      <c r="F247" s="1">
        <v>27</v>
      </c>
      <c r="G247" s="1">
        <v>0</v>
      </c>
      <c r="H247" s="1">
        <v>7</v>
      </c>
      <c r="I247" s="1">
        <v>3</v>
      </c>
      <c r="J247" s="1">
        <v>0</v>
      </c>
      <c r="K247" s="1">
        <v>0</v>
      </c>
      <c r="L247" s="1">
        <v>10260</v>
      </c>
      <c r="M247" s="1">
        <v>0</v>
      </c>
    </row>
    <row r="248" spans="2:13" x14ac:dyDescent="0.25">
      <c r="B248" s="1">
        <v>1</v>
      </c>
      <c r="C248" s="1">
        <v>1</v>
      </c>
      <c r="D248" s="1">
        <v>0</v>
      </c>
      <c r="E248" s="1">
        <v>1</v>
      </c>
      <c r="F248" s="1">
        <v>51</v>
      </c>
      <c r="G248" s="1">
        <v>0</v>
      </c>
      <c r="H248" s="1">
        <v>24</v>
      </c>
      <c r="I248" s="1">
        <v>3</v>
      </c>
      <c r="J248" s="1">
        <v>4</v>
      </c>
      <c r="K248" s="1">
        <v>1</v>
      </c>
      <c r="L248" s="1">
        <v>88376</v>
      </c>
      <c r="M248" s="1">
        <v>0</v>
      </c>
    </row>
    <row r="249" spans="2:13" x14ac:dyDescent="0.25">
      <c r="B249" s="1">
        <v>0</v>
      </c>
      <c r="C249" s="1">
        <v>0</v>
      </c>
      <c r="D249" s="1">
        <v>1</v>
      </c>
      <c r="E249" s="1">
        <v>0</v>
      </c>
      <c r="F249" s="1">
        <v>44</v>
      </c>
      <c r="G249" s="1">
        <v>1</v>
      </c>
      <c r="H249" s="1">
        <v>3</v>
      </c>
      <c r="I249" s="1">
        <v>2</v>
      </c>
      <c r="J249" s="1">
        <v>1</v>
      </c>
      <c r="K249" s="1">
        <v>0</v>
      </c>
      <c r="L249" s="1">
        <v>16199</v>
      </c>
      <c r="M249" s="1">
        <v>1</v>
      </c>
    </row>
    <row r="250" spans="2:13" x14ac:dyDescent="0.25">
      <c r="B250" s="1">
        <v>1</v>
      </c>
      <c r="C250" s="1">
        <v>1</v>
      </c>
      <c r="D250" s="1">
        <v>9.5238095238095233E-2</v>
      </c>
      <c r="E250" s="1">
        <v>0.90476190476190477</v>
      </c>
      <c r="F250" s="1">
        <v>53</v>
      </c>
      <c r="G250" s="1">
        <v>1</v>
      </c>
      <c r="H250" s="1">
        <v>3</v>
      </c>
      <c r="I250" s="1">
        <v>2</v>
      </c>
      <c r="J250" s="1">
        <v>1</v>
      </c>
      <c r="K250" s="1">
        <v>0</v>
      </c>
      <c r="L250" s="1">
        <v>8193</v>
      </c>
      <c r="M250" s="1">
        <v>0</v>
      </c>
    </row>
    <row r="251" spans="2:13" x14ac:dyDescent="0.25">
      <c r="B251" s="17">
        <v>0</v>
      </c>
      <c r="C251" s="17">
        <v>1</v>
      </c>
      <c r="D251" s="17">
        <v>0.68</v>
      </c>
      <c r="E251" s="17">
        <v>0.32</v>
      </c>
      <c r="F251" s="17">
        <v>93</v>
      </c>
      <c r="G251" s="17">
        <v>1</v>
      </c>
      <c r="H251" s="17">
        <v>1</v>
      </c>
      <c r="I251" s="17">
        <v>4</v>
      </c>
      <c r="J251" s="17">
        <v>0</v>
      </c>
      <c r="K251" s="17">
        <v>0</v>
      </c>
      <c r="L251" s="17">
        <v>11904</v>
      </c>
      <c r="M251" s="17">
        <v>0</v>
      </c>
    </row>
    <row r="252" spans="2:13" x14ac:dyDescent="0.25">
      <c r="B252" s="1">
        <v>0</v>
      </c>
      <c r="C252" s="1">
        <v>0</v>
      </c>
      <c r="D252" s="1">
        <v>0.9810526315789474</v>
      </c>
      <c r="E252" s="1">
        <v>1.8947368421052633E-2</v>
      </c>
      <c r="F252" s="1">
        <v>0</v>
      </c>
      <c r="G252" s="1">
        <v>0</v>
      </c>
      <c r="H252" s="1">
        <v>3</v>
      </c>
      <c r="I252" s="1">
        <v>0</v>
      </c>
      <c r="J252" s="1">
        <v>0</v>
      </c>
      <c r="K252" s="1">
        <v>0</v>
      </c>
      <c r="L252" s="1">
        <v>3090</v>
      </c>
      <c r="M252" s="1">
        <v>0</v>
      </c>
    </row>
    <row r="253" spans="2:13" x14ac:dyDescent="0.25">
      <c r="B253" s="1">
        <v>0</v>
      </c>
      <c r="C253" s="1">
        <v>0</v>
      </c>
      <c r="D253" s="1">
        <v>1</v>
      </c>
      <c r="E253" s="1">
        <v>0</v>
      </c>
      <c r="F253" s="1">
        <v>41</v>
      </c>
      <c r="G253" s="1">
        <v>1</v>
      </c>
      <c r="H253" s="1">
        <v>5</v>
      </c>
      <c r="I253" s="1">
        <v>6</v>
      </c>
      <c r="J253" s="1">
        <v>0</v>
      </c>
      <c r="K253" s="1">
        <v>0</v>
      </c>
      <c r="L253" s="1">
        <v>19849</v>
      </c>
      <c r="M253" s="1">
        <v>0</v>
      </c>
    </row>
    <row r="254" spans="2:13" x14ac:dyDescent="0.25">
      <c r="B254" s="17">
        <v>1</v>
      </c>
      <c r="C254" s="17">
        <v>0</v>
      </c>
      <c r="D254" s="17">
        <v>0.30769230769230771</v>
      </c>
      <c r="E254" s="17">
        <v>0.69230769230769229</v>
      </c>
      <c r="F254" s="17">
        <v>50</v>
      </c>
      <c r="G254" s="17">
        <v>0</v>
      </c>
      <c r="H254" s="17">
        <v>6</v>
      </c>
      <c r="I254" s="17">
        <v>7</v>
      </c>
      <c r="J254" s="17">
        <v>5</v>
      </c>
      <c r="K254" s="17">
        <v>0</v>
      </c>
      <c r="L254" s="17">
        <v>32268</v>
      </c>
      <c r="M254" s="17">
        <v>1</v>
      </c>
    </row>
    <row r="255" spans="2:13" x14ac:dyDescent="0.25">
      <c r="B255" s="1">
        <v>0</v>
      </c>
      <c r="C255" s="1">
        <v>0</v>
      </c>
      <c r="D255" s="1">
        <v>0.9810526315789474</v>
      </c>
      <c r="E255" s="1">
        <v>1.8947368421052633E-2</v>
      </c>
      <c r="F255" s="1">
        <v>0</v>
      </c>
      <c r="G255" s="1">
        <v>0</v>
      </c>
      <c r="H255" s="1">
        <v>3</v>
      </c>
      <c r="I255" s="1">
        <v>0</v>
      </c>
      <c r="J255" s="1">
        <v>0</v>
      </c>
      <c r="K255" s="1">
        <v>0</v>
      </c>
      <c r="L255" s="1">
        <v>2489</v>
      </c>
      <c r="M255" s="1">
        <v>0</v>
      </c>
    </row>
    <row r="256" spans="2:13" x14ac:dyDescent="0.25">
      <c r="B256" s="1">
        <v>0</v>
      </c>
      <c r="C256" s="1">
        <v>0</v>
      </c>
      <c r="D256" s="1">
        <v>0.68</v>
      </c>
      <c r="E256" s="1">
        <v>0.32</v>
      </c>
      <c r="F256" s="1">
        <v>87</v>
      </c>
      <c r="G256" s="1">
        <v>0</v>
      </c>
      <c r="H256" s="1">
        <v>1</v>
      </c>
      <c r="I256" s="1">
        <v>5</v>
      </c>
      <c r="J256" s="1">
        <v>2</v>
      </c>
      <c r="K256" s="1">
        <v>0</v>
      </c>
      <c r="L256" s="1">
        <v>7084</v>
      </c>
      <c r="M256" s="1">
        <v>0</v>
      </c>
    </row>
    <row r="257" spans="2:13" x14ac:dyDescent="0.25">
      <c r="B257" s="1">
        <v>0</v>
      </c>
      <c r="C257" s="1">
        <v>0</v>
      </c>
      <c r="D257" s="1">
        <v>0.8571428571428571</v>
      </c>
      <c r="E257" s="1">
        <v>0.14285714285714288</v>
      </c>
      <c r="F257" s="1">
        <v>76</v>
      </c>
      <c r="G257" s="1">
        <v>1</v>
      </c>
      <c r="H257" s="1">
        <v>12</v>
      </c>
      <c r="I257" s="1">
        <v>2</v>
      </c>
      <c r="J257" s="1">
        <v>0</v>
      </c>
      <c r="K257" s="1">
        <v>0</v>
      </c>
      <c r="L257" s="1">
        <v>23553</v>
      </c>
      <c r="M257" s="1">
        <v>0</v>
      </c>
    </row>
    <row r="258" spans="2:13" x14ac:dyDescent="0.25">
      <c r="B258" s="1">
        <v>0</v>
      </c>
      <c r="C258" s="1">
        <v>0</v>
      </c>
      <c r="D258" s="1">
        <v>0.99749999999999994</v>
      </c>
      <c r="E258" s="1">
        <v>2.5000000000000001E-3</v>
      </c>
      <c r="F258" s="1">
        <v>54</v>
      </c>
      <c r="G258" s="1">
        <v>0</v>
      </c>
      <c r="H258" s="1">
        <v>8</v>
      </c>
      <c r="I258" s="1">
        <v>2</v>
      </c>
      <c r="J258" s="1">
        <v>0</v>
      </c>
      <c r="K258" s="1">
        <v>0</v>
      </c>
      <c r="L258" s="1">
        <v>15172</v>
      </c>
      <c r="M258" s="1">
        <v>0</v>
      </c>
    </row>
    <row r="259" spans="2:13" x14ac:dyDescent="0.25">
      <c r="B259" s="1">
        <v>0</v>
      </c>
      <c r="C259" s="1">
        <v>0</v>
      </c>
      <c r="D259" s="1">
        <v>1</v>
      </c>
      <c r="E259" s="1">
        <v>0</v>
      </c>
      <c r="F259" s="1">
        <v>46</v>
      </c>
      <c r="G259" s="1">
        <v>1</v>
      </c>
      <c r="H259" s="1">
        <v>5</v>
      </c>
      <c r="I259" s="1">
        <v>4</v>
      </c>
      <c r="J259" s="1">
        <v>1</v>
      </c>
      <c r="K259" s="1">
        <v>0</v>
      </c>
      <c r="L259" s="1">
        <v>18938</v>
      </c>
      <c r="M259" s="1">
        <v>0</v>
      </c>
    </row>
    <row r="260" spans="2:13" x14ac:dyDescent="0.25">
      <c r="B260" s="1">
        <v>0</v>
      </c>
      <c r="C260" s="1">
        <v>0</v>
      </c>
      <c r="D260" s="1">
        <v>0.99749999999999994</v>
      </c>
      <c r="E260" s="1">
        <v>2.5000000000000001E-3</v>
      </c>
      <c r="F260" s="1">
        <v>54</v>
      </c>
      <c r="G260" s="1">
        <v>1</v>
      </c>
      <c r="H260" s="1">
        <v>1</v>
      </c>
      <c r="I260" s="1">
        <v>2</v>
      </c>
      <c r="J260" s="1">
        <v>1</v>
      </c>
      <c r="K260" s="1">
        <v>0</v>
      </c>
      <c r="L260" s="1">
        <v>21475</v>
      </c>
      <c r="M260" s="1">
        <v>1</v>
      </c>
    </row>
    <row r="261" spans="2:13" x14ac:dyDescent="0.25">
      <c r="B261" s="1">
        <v>0</v>
      </c>
      <c r="C261" s="1">
        <v>0</v>
      </c>
      <c r="D261" s="1">
        <v>0.9810526315789474</v>
      </c>
      <c r="E261" s="1">
        <v>1.8947368421052633E-2</v>
      </c>
      <c r="F261" s="1">
        <v>0</v>
      </c>
      <c r="G261" s="1">
        <v>1</v>
      </c>
      <c r="H261" s="1">
        <v>22</v>
      </c>
      <c r="I261" s="1">
        <v>0</v>
      </c>
      <c r="J261" s="1">
        <v>0</v>
      </c>
      <c r="K261" s="1">
        <v>0</v>
      </c>
      <c r="L261" s="1">
        <v>31399</v>
      </c>
      <c r="M261" s="1">
        <v>0</v>
      </c>
    </row>
    <row r="262" spans="2:13" x14ac:dyDescent="0.25">
      <c r="B262" s="1">
        <v>0</v>
      </c>
      <c r="C262" s="1">
        <v>0</v>
      </c>
      <c r="D262" s="1">
        <v>0.9810526315789474</v>
      </c>
      <c r="E262" s="1">
        <v>1.8947368421052633E-2</v>
      </c>
      <c r="F262" s="1">
        <v>0</v>
      </c>
      <c r="G262" s="1">
        <v>0</v>
      </c>
      <c r="H262" s="1">
        <v>2</v>
      </c>
      <c r="I262" s="1">
        <v>0</v>
      </c>
      <c r="J262" s="1">
        <v>1</v>
      </c>
      <c r="K262" s="1">
        <v>0</v>
      </c>
      <c r="L262" s="1">
        <v>1866</v>
      </c>
      <c r="M262" s="1">
        <v>1</v>
      </c>
    </row>
    <row r="263" spans="2:13" x14ac:dyDescent="0.25">
      <c r="B263" s="1">
        <v>0</v>
      </c>
      <c r="C263" s="1">
        <v>0</v>
      </c>
      <c r="D263" s="1">
        <v>0.9810526315789474</v>
      </c>
      <c r="E263" s="1">
        <v>1.8947368421052633E-2</v>
      </c>
      <c r="F263" s="1">
        <v>25</v>
      </c>
      <c r="G263" s="1">
        <v>1</v>
      </c>
      <c r="H263" s="1">
        <v>2</v>
      </c>
      <c r="I263" s="1">
        <v>0</v>
      </c>
      <c r="J263" s="1">
        <v>1</v>
      </c>
      <c r="K263" s="1">
        <v>0</v>
      </c>
      <c r="L263" s="1">
        <v>4937</v>
      </c>
      <c r="M263" s="1">
        <v>0</v>
      </c>
    </row>
    <row r="264" spans="2:13" x14ac:dyDescent="0.25">
      <c r="B264" s="1">
        <v>1</v>
      </c>
      <c r="C264" s="1">
        <v>1</v>
      </c>
      <c r="D264" s="1">
        <v>0</v>
      </c>
      <c r="E264" s="1">
        <v>1</v>
      </c>
      <c r="F264" s="1">
        <v>88</v>
      </c>
      <c r="G264" s="1">
        <v>1</v>
      </c>
      <c r="H264" s="1">
        <v>5</v>
      </c>
      <c r="I264" s="1">
        <v>5</v>
      </c>
      <c r="J264" s="1">
        <v>0</v>
      </c>
      <c r="K264" s="1">
        <v>1</v>
      </c>
      <c r="L264" s="1">
        <v>21081</v>
      </c>
      <c r="M264" s="1">
        <v>0</v>
      </c>
    </row>
    <row r="265" spans="2:13" x14ac:dyDescent="0.25">
      <c r="B265" s="17">
        <v>1</v>
      </c>
      <c r="C265" s="17">
        <v>0</v>
      </c>
      <c r="D265" s="17">
        <v>0.4375</v>
      </c>
      <c r="E265" s="17">
        <v>0.5625</v>
      </c>
      <c r="F265" s="17">
        <v>75</v>
      </c>
      <c r="G265" s="17">
        <v>0</v>
      </c>
      <c r="H265" s="17">
        <v>20</v>
      </c>
      <c r="I265" s="17">
        <v>4</v>
      </c>
      <c r="J265" s="17">
        <v>0</v>
      </c>
      <c r="K265" s="17">
        <v>0</v>
      </c>
      <c r="L265" s="17">
        <v>34612</v>
      </c>
      <c r="M265" s="17">
        <v>0</v>
      </c>
    </row>
    <row r="266" spans="2:13" x14ac:dyDescent="0.25">
      <c r="B266" s="1">
        <v>0</v>
      </c>
      <c r="C266" s="1">
        <v>0</v>
      </c>
      <c r="D266" s="1">
        <v>0.99749999999999994</v>
      </c>
      <c r="E266" s="1">
        <v>2.5000000000000001E-3</v>
      </c>
      <c r="F266" s="1">
        <v>54</v>
      </c>
      <c r="G266" s="1">
        <v>1</v>
      </c>
      <c r="H266" s="1">
        <v>8</v>
      </c>
      <c r="I266" s="1">
        <v>6</v>
      </c>
      <c r="J266" s="1">
        <v>1</v>
      </c>
      <c r="K266" s="1">
        <v>0</v>
      </c>
      <c r="L266" s="1">
        <v>19399</v>
      </c>
      <c r="M266" s="1">
        <v>0</v>
      </c>
    </row>
    <row r="267" spans="2:13" x14ac:dyDescent="0.25">
      <c r="B267" s="1">
        <v>0</v>
      </c>
      <c r="C267" s="1">
        <v>0</v>
      </c>
      <c r="D267" s="1">
        <v>0.99749999999999994</v>
      </c>
      <c r="E267" s="1">
        <v>2.5000000000000001E-3</v>
      </c>
      <c r="F267" s="1">
        <v>57</v>
      </c>
      <c r="G267" s="1">
        <v>0</v>
      </c>
      <c r="H267" s="1">
        <v>11</v>
      </c>
      <c r="I267" s="1">
        <v>3</v>
      </c>
      <c r="J267" s="1">
        <v>1</v>
      </c>
      <c r="K267" s="1">
        <v>0</v>
      </c>
      <c r="L267" s="1">
        <v>41717</v>
      </c>
      <c r="M267" s="1">
        <v>0</v>
      </c>
    </row>
    <row r="268" spans="2:13" x14ac:dyDescent="0.25">
      <c r="B268" s="1">
        <v>1</v>
      </c>
      <c r="C268" s="1">
        <v>1</v>
      </c>
      <c r="D268" s="1">
        <v>0</v>
      </c>
      <c r="E268" s="1">
        <v>1</v>
      </c>
      <c r="F268" s="1">
        <v>94</v>
      </c>
      <c r="G268" s="1">
        <v>1</v>
      </c>
      <c r="H268" s="1">
        <v>10</v>
      </c>
      <c r="I268" s="1">
        <v>5</v>
      </c>
      <c r="J268" s="1">
        <v>0</v>
      </c>
      <c r="K268" s="1">
        <v>1</v>
      </c>
      <c r="L268" s="1">
        <v>16098</v>
      </c>
      <c r="M268" s="1">
        <v>0</v>
      </c>
    </row>
    <row r="269" spans="2:13" x14ac:dyDescent="0.25">
      <c r="B269" s="1">
        <v>0</v>
      </c>
      <c r="C269" s="1">
        <v>0</v>
      </c>
      <c r="D269" s="1">
        <v>1</v>
      </c>
      <c r="E269" s="1">
        <v>0</v>
      </c>
      <c r="F269" s="1">
        <v>93</v>
      </c>
      <c r="G269" s="1">
        <v>1</v>
      </c>
      <c r="H269" s="1">
        <v>6</v>
      </c>
      <c r="I269" s="1">
        <v>6</v>
      </c>
      <c r="J269" s="1">
        <v>0</v>
      </c>
      <c r="K269" s="1">
        <v>0</v>
      </c>
      <c r="L269" s="1">
        <v>19528</v>
      </c>
      <c r="M269" s="1">
        <v>0</v>
      </c>
    </row>
    <row r="270" spans="2:13" x14ac:dyDescent="0.25">
      <c r="B270" s="1">
        <v>0</v>
      </c>
      <c r="C270" s="1">
        <v>0</v>
      </c>
      <c r="D270" s="1">
        <v>0.9810526315789474</v>
      </c>
      <c r="E270" s="1">
        <v>1.8947368421052633E-2</v>
      </c>
      <c r="F270" s="1">
        <v>23</v>
      </c>
      <c r="G270" s="1">
        <v>1</v>
      </c>
      <c r="H270" s="1">
        <v>3</v>
      </c>
      <c r="I270" s="1">
        <v>2</v>
      </c>
      <c r="J270" s="1">
        <v>0</v>
      </c>
      <c r="K270" s="1">
        <v>0</v>
      </c>
      <c r="L270" s="1">
        <v>7375</v>
      </c>
      <c r="M270" s="1">
        <v>0</v>
      </c>
    </row>
    <row r="271" spans="2:13" x14ac:dyDescent="0.25">
      <c r="B271" s="17">
        <v>0</v>
      </c>
      <c r="C271" s="17">
        <v>1</v>
      </c>
      <c r="D271" s="17">
        <v>0.68</v>
      </c>
      <c r="E271" s="17">
        <v>0.32</v>
      </c>
      <c r="F271" s="17">
        <v>91</v>
      </c>
      <c r="G271" s="17">
        <v>1</v>
      </c>
      <c r="H271" s="17">
        <v>2</v>
      </c>
      <c r="I271" s="17">
        <v>5</v>
      </c>
      <c r="J271" s="17">
        <v>0</v>
      </c>
      <c r="K271" s="17">
        <v>0</v>
      </c>
      <c r="L271" s="17">
        <v>11278</v>
      </c>
      <c r="M271" s="17">
        <v>0</v>
      </c>
    </row>
    <row r="272" spans="2:13" x14ac:dyDescent="0.25">
      <c r="B272" s="1">
        <v>0</v>
      </c>
      <c r="C272" s="1">
        <v>0</v>
      </c>
      <c r="D272" s="1">
        <v>0.9810526315789474</v>
      </c>
      <c r="E272" s="1">
        <v>1.8947368421052633E-2</v>
      </c>
      <c r="F272" s="1">
        <v>0</v>
      </c>
      <c r="G272" s="1">
        <v>0</v>
      </c>
      <c r="H272" s="1">
        <v>3</v>
      </c>
      <c r="I272" s="1">
        <v>0</v>
      </c>
      <c r="J272" s="1">
        <v>0</v>
      </c>
      <c r="K272" s="1">
        <v>0</v>
      </c>
      <c r="L272" s="1">
        <v>2111</v>
      </c>
      <c r="M272" s="1">
        <v>0</v>
      </c>
    </row>
    <row r="273" spans="2:13" x14ac:dyDescent="0.25">
      <c r="B273" s="1">
        <v>1</v>
      </c>
      <c r="C273" s="1">
        <v>1</v>
      </c>
      <c r="D273" s="1">
        <v>0</v>
      </c>
      <c r="E273" s="1">
        <v>1</v>
      </c>
      <c r="F273" s="1">
        <v>86</v>
      </c>
      <c r="G273" s="1">
        <v>0</v>
      </c>
      <c r="H273" s="1">
        <v>6</v>
      </c>
      <c r="I273" s="1">
        <v>4</v>
      </c>
      <c r="J273" s="1">
        <v>0</v>
      </c>
      <c r="K273" s="1">
        <v>1</v>
      </c>
      <c r="L273" s="1">
        <v>9792</v>
      </c>
      <c r="M273" s="1">
        <v>0</v>
      </c>
    </row>
    <row r="274" spans="2:13" x14ac:dyDescent="0.25">
      <c r="B274" s="1">
        <v>1</v>
      </c>
      <c r="C274" s="1">
        <v>1</v>
      </c>
      <c r="D274" s="1">
        <v>0</v>
      </c>
      <c r="E274" s="1">
        <v>1</v>
      </c>
      <c r="F274" s="1">
        <v>74</v>
      </c>
      <c r="G274" s="1">
        <v>1</v>
      </c>
      <c r="H274" s="1">
        <v>7</v>
      </c>
      <c r="I274" s="1">
        <v>4</v>
      </c>
      <c r="J274" s="1">
        <v>0</v>
      </c>
      <c r="K274" s="1">
        <v>1</v>
      </c>
      <c r="L274" s="1">
        <v>10479</v>
      </c>
      <c r="M274" s="1">
        <v>0</v>
      </c>
    </row>
    <row r="275" spans="2:13" x14ac:dyDescent="0.25">
      <c r="B275" s="1">
        <v>0</v>
      </c>
      <c r="C275" s="1">
        <v>0</v>
      </c>
      <c r="D275" s="1">
        <v>0.9810526315789474</v>
      </c>
      <c r="E275" s="1">
        <v>1.8947368421052633E-2</v>
      </c>
      <c r="F275" s="1">
        <v>0</v>
      </c>
      <c r="G275" s="1">
        <v>1</v>
      </c>
      <c r="H275" s="1">
        <v>2</v>
      </c>
      <c r="I275" s="1">
        <v>0</v>
      </c>
      <c r="J275" s="1">
        <v>0</v>
      </c>
      <c r="K275" s="1">
        <v>0</v>
      </c>
      <c r="L275" s="1">
        <v>1814</v>
      </c>
      <c r="M275" s="1">
        <v>0</v>
      </c>
    </row>
    <row r="276" spans="2:13" x14ac:dyDescent="0.25">
      <c r="B276" s="1">
        <v>0</v>
      </c>
      <c r="C276" s="1">
        <v>0</v>
      </c>
      <c r="D276" s="1">
        <v>0.96666666666666667</v>
      </c>
      <c r="E276" s="1">
        <v>3.333333333333334E-2</v>
      </c>
      <c r="F276" s="1">
        <v>30</v>
      </c>
      <c r="G276" s="1">
        <v>1</v>
      </c>
      <c r="H276" s="1">
        <v>2</v>
      </c>
      <c r="I276" s="1">
        <v>0</v>
      </c>
      <c r="J276" s="1">
        <v>1</v>
      </c>
      <c r="K276" s="1">
        <v>0</v>
      </c>
      <c r="L276" s="1">
        <v>19577</v>
      </c>
      <c r="M276" s="1">
        <v>1</v>
      </c>
    </row>
    <row r="277" spans="2:13" x14ac:dyDescent="0.25">
      <c r="B277" s="1">
        <v>1</v>
      </c>
      <c r="C277" s="1">
        <v>1</v>
      </c>
      <c r="D277" s="1">
        <v>0</v>
      </c>
      <c r="E277" s="1">
        <v>1</v>
      </c>
      <c r="F277" s="1">
        <v>85</v>
      </c>
      <c r="G277" s="1">
        <v>1</v>
      </c>
      <c r="H277" s="1">
        <v>2</v>
      </c>
      <c r="I277" s="1">
        <v>7</v>
      </c>
      <c r="J277" s="1">
        <v>0</v>
      </c>
      <c r="K277" s="1">
        <v>0</v>
      </c>
      <c r="L277" s="1">
        <v>13978</v>
      </c>
      <c r="M277" s="1">
        <v>0</v>
      </c>
    </row>
    <row r="278" spans="2:13" x14ac:dyDescent="0.25">
      <c r="B278" s="1">
        <v>0</v>
      </c>
      <c r="C278" s="1">
        <v>0</v>
      </c>
      <c r="D278" s="1">
        <v>0.99749999999999994</v>
      </c>
      <c r="E278" s="1">
        <v>2.5000000000000001E-3</v>
      </c>
      <c r="F278" s="1">
        <v>63</v>
      </c>
      <c r="G278" s="1">
        <v>1</v>
      </c>
      <c r="H278" s="1">
        <v>26</v>
      </c>
      <c r="I278" s="1">
        <v>1</v>
      </c>
      <c r="J278" s="1">
        <v>2</v>
      </c>
      <c r="K278" s="1">
        <v>0</v>
      </c>
      <c r="L278" s="1">
        <v>98049</v>
      </c>
      <c r="M278" s="1">
        <v>0</v>
      </c>
    </row>
    <row r="279" spans="2:13" x14ac:dyDescent="0.25">
      <c r="B279" s="1">
        <v>0</v>
      </c>
      <c r="C279" s="1">
        <v>0</v>
      </c>
      <c r="D279" s="1">
        <v>0.99749999999999994</v>
      </c>
      <c r="E279" s="1">
        <v>2.5000000000000001E-3</v>
      </c>
      <c r="F279" s="1">
        <v>56</v>
      </c>
      <c r="G279" s="1">
        <v>0</v>
      </c>
      <c r="H279" s="1">
        <v>1</v>
      </c>
      <c r="I279" s="1">
        <v>7</v>
      </c>
      <c r="J279" s="1">
        <v>0</v>
      </c>
      <c r="K279" s="1">
        <v>0</v>
      </c>
      <c r="L279" s="1">
        <v>17118</v>
      </c>
      <c r="M279" s="1">
        <v>0</v>
      </c>
    </row>
    <row r="280" spans="2:13" x14ac:dyDescent="0.25">
      <c r="B280" s="1">
        <v>0</v>
      </c>
      <c r="C280" s="1">
        <v>0</v>
      </c>
      <c r="D280" s="1">
        <v>0.99749999999999994</v>
      </c>
      <c r="E280" s="1">
        <v>2.5000000000000001E-3</v>
      </c>
      <c r="F280" s="1">
        <v>69</v>
      </c>
      <c r="G280" s="1">
        <v>1</v>
      </c>
      <c r="H280" s="1">
        <v>21</v>
      </c>
      <c r="I280" s="1">
        <v>3</v>
      </c>
      <c r="J280" s="1">
        <v>0</v>
      </c>
      <c r="K280" s="1">
        <v>0</v>
      </c>
      <c r="L280" s="1">
        <v>32948</v>
      </c>
      <c r="M280" s="1">
        <v>0</v>
      </c>
    </row>
    <row r="281" spans="2:13" x14ac:dyDescent="0.25">
      <c r="B281" s="1">
        <v>0</v>
      </c>
      <c r="C281" s="1">
        <v>0</v>
      </c>
      <c r="D281" s="1">
        <v>0.9810526315789474</v>
      </c>
      <c r="E281" s="1">
        <v>1.8947368421052633E-2</v>
      </c>
      <c r="F281" s="1">
        <v>25</v>
      </c>
      <c r="G281" s="1">
        <v>1</v>
      </c>
      <c r="H281" s="1">
        <v>3</v>
      </c>
      <c r="I281" s="1">
        <v>0</v>
      </c>
      <c r="J281" s="1">
        <v>1</v>
      </c>
      <c r="K281" s="1">
        <v>0</v>
      </c>
      <c r="L281" s="1">
        <v>8014</v>
      </c>
      <c r="M281" s="1">
        <v>0</v>
      </c>
    </row>
    <row r="282" spans="2:13" x14ac:dyDescent="0.25">
      <c r="B282" s="1">
        <v>0</v>
      </c>
      <c r="C282" s="1">
        <v>0</v>
      </c>
      <c r="D282" s="1">
        <v>0.99749999999999994</v>
      </c>
      <c r="E282" s="1">
        <v>2.5000000000000001E-3</v>
      </c>
      <c r="F282" s="1">
        <v>73</v>
      </c>
      <c r="G282" s="1">
        <v>1</v>
      </c>
      <c r="H282" s="1">
        <v>7</v>
      </c>
      <c r="I282" s="1">
        <v>4</v>
      </c>
      <c r="J282" s="1">
        <v>5</v>
      </c>
      <c r="K282" s="1">
        <v>0</v>
      </c>
      <c r="L282" s="1">
        <v>52973</v>
      </c>
      <c r="M282" s="1">
        <v>1</v>
      </c>
    </row>
    <row r="283" spans="2:13" x14ac:dyDescent="0.25">
      <c r="B283" s="1">
        <v>0</v>
      </c>
      <c r="C283" s="1">
        <v>0</v>
      </c>
      <c r="D283" s="1">
        <v>0.9810526315789474</v>
      </c>
      <c r="E283" s="1">
        <v>1.8947368421052633E-2</v>
      </c>
      <c r="F283" s="1">
        <v>0</v>
      </c>
      <c r="G283" s="1">
        <v>0</v>
      </c>
      <c r="H283" s="1">
        <v>2</v>
      </c>
      <c r="I283" s="1">
        <v>0</v>
      </c>
      <c r="J283" s="1">
        <v>1</v>
      </c>
      <c r="K283" s="1">
        <v>0</v>
      </c>
      <c r="L283" s="1">
        <v>1245</v>
      </c>
      <c r="M283" s="1">
        <v>1</v>
      </c>
    </row>
    <row r="284" spans="2:13" x14ac:dyDescent="0.25">
      <c r="B284" s="17">
        <v>0</v>
      </c>
      <c r="C284" s="17">
        <v>1</v>
      </c>
      <c r="D284" s="17">
        <v>0.68</v>
      </c>
      <c r="E284" s="17">
        <v>0.32</v>
      </c>
      <c r="F284" s="17">
        <v>98</v>
      </c>
      <c r="G284" s="17">
        <v>1</v>
      </c>
      <c r="H284" s="17">
        <v>4</v>
      </c>
      <c r="I284" s="17">
        <v>1</v>
      </c>
      <c r="J284" s="17">
        <v>0</v>
      </c>
      <c r="K284" s="17">
        <v>0</v>
      </c>
      <c r="L284" s="17">
        <v>7835</v>
      </c>
      <c r="M284" s="17">
        <v>0</v>
      </c>
    </row>
    <row r="285" spans="2:13" x14ac:dyDescent="0.25">
      <c r="B285" s="1">
        <v>0</v>
      </c>
      <c r="C285" s="1">
        <v>0</v>
      </c>
      <c r="D285" s="1">
        <v>1</v>
      </c>
      <c r="E285" s="1">
        <v>0</v>
      </c>
      <c r="F285" s="1">
        <v>48</v>
      </c>
      <c r="G285" s="1">
        <v>1</v>
      </c>
      <c r="H285" s="1">
        <v>11</v>
      </c>
      <c r="I285" s="1">
        <v>3</v>
      </c>
      <c r="J285" s="1">
        <v>1</v>
      </c>
      <c r="K285" s="1">
        <v>0</v>
      </c>
      <c r="L285" s="1">
        <v>17482</v>
      </c>
      <c r="M285" s="1">
        <v>0</v>
      </c>
    </row>
    <row r="286" spans="2:13" x14ac:dyDescent="0.25">
      <c r="B286" s="1">
        <v>0</v>
      </c>
      <c r="C286" s="1">
        <v>0</v>
      </c>
      <c r="D286" s="1">
        <v>0.99749999999999994</v>
      </c>
      <c r="E286" s="1">
        <v>2.5000000000000001E-3</v>
      </c>
      <c r="F286" s="1">
        <v>71</v>
      </c>
      <c r="G286" s="1">
        <v>0</v>
      </c>
      <c r="H286" s="1">
        <v>5</v>
      </c>
      <c r="I286" s="1">
        <v>3</v>
      </c>
      <c r="J286" s="1">
        <v>0</v>
      </c>
      <c r="K286" s="1">
        <v>0</v>
      </c>
      <c r="L286" s="1">
        <v>17100</v>
      </c>
      <c r="M286" s="1">
        <v>0</v>
      </c>
    </row>
    <row r="287" spans="2:13" x14ac:dyDescent="0.25">
      <c r="B287" s="1">
        <v>0</v>
      </c>
      <c r="C287" s="1">
        <v>0</v>
      </c>
      <c r="D287" s="1">
        <v>0.99749999999999994</v>
      </c>
      <c r="E287" s="1">
        <v>2.5000000000000001E-3</v>
      </c>
      <c r="F287" s="1">
        <v>61</v>
      </c>
      <c r="G287" s="1">
        <v>1</v>
      </c>
      <c r="H287" s="1">
        <v>1</v>
      </c>
      <c r="I287" s="1">
        <v>2</v>
      </c>
      <c r="J287" s="1">
        <v>0</v>
      </c>
      <c r="K287" s="1">
        <v>0</v>
      </c>
      <c r="L287" s="1">
        <v>5390</v>
      </c>
      <c r="M287" s="1">
        <v>0</v>
      </c>
    </row>
    <row r="288" spans="2:13" x14ac:dyDescent="0.25">
      <c r="B288" s="1">
        <v>0</v>
      </c>
      <c r="C288" s="1">
        <v>0</v>
      </c>
      <c r="D288" s="1">
        <v>1</v>
      </c>
      <c r="E288" s="1">
        <v>0</v>
      </c>
      <c r="F288" s="1">
        <v>49</v>
      </c>
      <c r="G288" s="1">
        <v>1</v>
      </c>
      <c r="H288" s="1">
        <v>2</v>
      </c>
      <c r="I288" s="1">
        <v>0</v>
      </c>
      <c r="J288" s="1">
        <v>1</v>
      </c>
      <c r="K288" s="1">
        <v>0</v>
      </c>
      <c r="L288" s="1">
        <v>29567</v>
      </c>
      <c r="M288" s="1">
        <v>1</v>
      </c>
    </row>
    <row r="289" spans="2:13" x14ac:dyDescent="0.25">
      <c r="B289" s="1">
        <v>1</v>
      </c>
      <c r="C289" s="1">
        <v>1</v>
      </c>
      <c r="D289" s="1">
        <v>0.4375</v>
      </c>
      <c r="E289" s="1">
        <v>0.5625</v>
      </c>
      <c r="F289" s="1">
        <v>75</v>
      </c>
      <c r="G289" s="1">
        <v>0</v>
      </c>
      <c r="H289" s="1">
        <v>3</v>
      </c>
      <c r="I289" s="1">
        <v>2</v>
      </c>
      <c r="J289" s="1">
        <v>0</v>
      </c>
      <c r="K289" s="1">
        <v>0</v>
      </c>
      <c r="L289" s="1">
        <v>7281</v>
      </c>
      <c r="M289" s="1">
        <v>0</v>
      </c>
    </row>
    <row r="290" spans="2:13" x14ac:dyDescent="0.25">
      <c r="B290" s="1">
        <v>0</v>
      </c>
      <c r="C290" s="1">
        <v>0</v>
      </c>
      <c r="D290" s="1">
        <v>0.9810526315789474</v>
      </c>
      <c r="E290" s="1">
        <v>1.8947368421052633E-2</v>
      </c>
      <c r="F290" s="1">
        <v>0</v>
      </c>
      <c r="G290" s="1">
        <v>0</v>
      </c>
      <c r="H290" s="1">
        <v>2</v>
      </c>
      <c r="I290" s="1">
        <v>0</v>
      </c>
      <c r="J290" s="1">
        <v>0</v>
      </c>
      <c r="K290" s="1">
        <v>0</v>
      </c>
      <c r="L290" s="1">
        <v>1966</v>
      </c>
      <c r="M290" s="1">
        <v>0</v>
      </c>
    </row>
    <row r="291" spans="2:13" x14ac:dyDescent="0.25">
      <c r="B291" s="1">
        <v>0</v>
      </c>
      <c r="C291" s="1">
        <v>0</v>
      </c>
      <c r="D291" s="1">
        <v>0.99749999999999994</v>
      </c>
      <c r="E291" s="1">
        <v>2.5000000000000001E-3</v>
      </c>
      <c r="F291" s="1">
        <v>58</v>
      </c>
      <c r="G291" s="1">
        <v>1</v>
      </c>
      <c r="H291" s="1">
        <v>2</v>
      </c>
      <c r="I291" s="1">
        <v>4</v>
      </c>
      <c r="J291" s="1">
        <v>2</v>
      </c>
      <c r="K291" s="1">
        <v>0</v>
      </c>
      <c r="L291" s="1">
        <v>23864</v>
      </c>
      <c r="M291" s="1">
        <v>0</v>
      </c>
    </row>
    <row r="292" spans="2:13" x14ac:dyDescent="0.25">
      <c r="B292" s="1">
        <v>0</v>
      </c>
      <c r="C292" s="1">
        <v>0</v>
      </c>
      <c r="D292" s="1">
        <v>0.9810526315789474</v>
      </c>
      <c r="E292" s="1">
        <v>1.8947368421052633E-2</v>
      </c>
      <c r="F292" s="1">
        <v>0</v>
      </c>
      <c r="G292" s="1">
        <v>0</v>
      </c>
      <c r="H292" s="1">
        <v>4</v>
      </c>
      <c r="I292" s="1">
        <v>0</v>
      </c>
      <c r="J292" s="1">
        <v>0</v>
      </c>
      <c r="K292" s="1">
        <v>0</v>
      </c>
      <c r="L292" s="1">
        <v>6520</v>
      </c>
      <c r="M292" s="1">
        <v>0</v>
      </c>
    </row>
    <row r="293" spans="2:13" x14ac:dyDescent="0.25">
      <c r="B293" s="1">
        <v>0</v>
      </c>
      <c r="C293" s="1">
        <v>0</v>
      </c>
      <c r="D293" s="1">
        <v>1</v>
      </c>
      <c r="E293" s="1">
        <v>0</v>
      </c>
      <c r="F293" s="1">
        <v>41</v>
      </c>
      <c r="G293" s="1">
        <v>0</v>
      </c>
      <c r="H293" s="1">
        <v>20</v>
      </c>
      <c r="I293" s="1">
        <v>6</v>
      </c>
      <c r="J293" s="1">
        <v>0</v>
      </c>
      <c r="K293" s="1">
        <v>0</v>
      </c>
      <c r="L293" s="1">
        <v>57293</v>
      </c>
      <c r="M293" s="1">
        <v>0</v>
      </c>
    </row>
    <row r="294" spans="2:13" x14ac:dyDescent="0.25">
      <c r="B294" s="1">
        <v>0</v>
      </c>
      <c r="C294" s="1">
        <v>0</v>
      </c>
      <c r="D294" s="1">
        <v>0.8571428571428571</v>
      </c>
      <c r="E294" s="1">
        <v>0.14285714285714288</v>
      </c>
      <c r="F294" s="1">
        <v>76</v>
      </c>
      <c r="G294" s="1">
        <v>0</v>
      </c>
      <c r="H294" s="1">
        <v>1</v>
      </c>
      <c r="I294" s="1">
        <v>8</v>
      </c>
      <c r="J294" s="1">
        <v>0</v>
      </c>
      <c r="K294" s="1">
        <v>0</v>
      </c>
      <c r="L294" s="1">
        <v>4831</v>
      </c>
      <c r="M294" s="1">
        <v>0</v>
      </c>
    </row>
    <row r="295" spans="2:13" x14ac:dyDescent="0.25">
      <c r="B295" s="1">
        <v>0</v>
      </c>
      <c r="C295" s="1">
        <v>0</v>
      </c>
      <c r="D295" s="1">
        <v>0.9810526315789474</v>
      </c>
      <c r="E295" s="1">
        <v>1.8947368421052633E-2</v>
      </c>
      <c r="F295" s="1">
        <v>0</v>
      </c>
      <c r="G295" s="1">
        <v>0</v>
      </c>
      <c r="H295" s="1">
        <v>2</v>
      </c>
      <c r="I295" s="1">
        <v>0</v>
      </c>
      <c r="J295" s="1">
        <v>0</v>
      </c>
      <c r="K295" s="1">
        <v>0</v>
      </c>
      <c r="L295" s="1">
        <v>1191</v>
      </c>
      <c r="M295" s="1">
        <v>0</v>
      </c>
    </row>
    <row r="296" spans="2:13" x14ac:dyDescent="0.25">
      <c r="B296" s="1">
        <v>1</v>
      </c>
      <c r="C296" s="1">
        <v>1</v>
      </c>
      <c r="D296" s="1">
        <v>0</v>
      </c>
      <c r="E296" s="1">
        <v>1</v>
      </c>
      <c r="F296" s="1">
        <v>74</v>
      </c>
      <c r="G296" s="1">
        <v>0</v>
      </c>
      <c r="H296" s="1">
        <v>7</v>
      </c>
      <c r="I296" s="1">
        <v>5</v>
      </c>
      <c r="J296" s="1">
        <v>1</v>
      </c>
      <c r="K296" s="1">
        <v>1</v>
      </c>
      <c r="L296" s="1">
        <v>24706</v>
      </c>
      <c r="M296" s="1">
        <v>0</v>
      </c>
    </row>
    <row r="297" spans="2:13" x14ac:dyDescent="0.25">
      <c r="B297" s="1">
        <v>0</v>
      </c>
      <c r="C297" s="1">
        <v>0</v>
      </c>
      <c r="D297" s="1">
        <v>0.99749999999999994</v>
      </c>
      <c r="E297" s="1">
        <v>2.5000000000000001E-3</v>
      </c>
      <c r="F297" s="1">
        <v>66</v>
      </c>
      <c r="G297" s="1">
        <v>1</v>
      </c>
      <c r="H297" s="1">
        <v>8</v>
      </c>
      <c r="I297" s="1">
        <v>3</v>
      </c>
      <c r="J297" s="1">
        <v>0</v>
      </c>
      <c r="K297" s="1">
        <v>0</v>
      </c>
      <c r="L297" s="1">
        <v>28966</v>
      </c>
      <c r="M297" s="1">
        <v>0</v>
      </c>
    </row>
    <row r="298" spans="2:13" x14ac:dyDescent="0.25">
      <c r="B298" s="1">
        <v>0</v>
      </c>
      <c r="C298" s="1">
        <v>0</v>
      </c>
      <c r="D298" s="1">
        <v>0.9810526315789474</v>
      </c>
      <c r="E298" s="1">
        <v>1.8947368421052633E-2</v>
      </c>
      <c r="F298" s="1">
        <v>27</v>
      </c>
      <c r="G298" s="1">
        <v>1</v>
      </c>
      <c r="H298" s="1">
        <v>3</v>
      </c>
      <c r="I298" s="1">
        <v>0</v>
      </c>
      <c r="J298" s="1">
        <v>0</v>
      </c>
      <c r="K298" s="1">
        <v>0</v>
      </c>
      <c r="L298" s="1">
        <v>6423</v>
      </c>
      <c r="M298" s="1">
        <v>0</v>
      </c>
    </row>
    <row r="299" spans="2:13" x14ac:dyDescent="0.25">
      <c r="B299" s="1">
        <v>0</v>
      </c>
      <c r="C299" s="1">
        <v>0</v>
      </c>
      <c r="D299" s="1">
        <v>0.96666666666666667</v>
      </c>
      <c r="E299" s="1">
        <v>3.333333333333334E-2</v>
      </c>
      <c r="F299" s="1">
        <v>31</v>
      </c>
      <c r="G299" s="1">
        <v>1</v>
      </c>
      <c r="H299" s="1">
        <v>3</v>
      </c>
      <c r="I299" s="1">
        <v>0</v>
      </c>
      <c r="J299" s="1">
        <v>0</v>
      </c>
      <c r="K299" s="1">
        <v>0</v>
      </c>
      <c r="L299" s="1">
        <v>3968</v>
      </c>
      <c r="M299" s="1">
        <v>0</v>
      </c>
    </row>
    <row r="300" spans="2:13" x14ac:dyDescent="0.25">
      <c r="B300" s="17">
        <v>1</v>
      </c>
      <c r="C300" s="17">
        <v>0</v>
      </c>
      <c r="D300" s="17">
        <v>0.4375</v>
      </c>
      <c r="E300" s="17">
        <v>0.5625</v>
      </c>
      <c r="F300" s="17">
        <v>75</v>
      </c>
      <c r="G300" s="17">
        <v>1</v>
      </c>
      <c r="H300" s="17">
        <v>20</v>
      </c>
      <c r="I300" s="17">
        <v>6</v>
      </c>
      <c r="J300" s="17">
        <v>5</v>
      </c>
      <c r="K300" s="17">
        <v>0</v>
      </c>
      <c r="L300" s="17">
        <v>114306</v>
      </c>
      <c r="M300" s="17">
        <v>0</v>
      </c>
    </row>
    <row r="301" spans="2:13" x14ac:dyDescent="0.25">
      <c r="B301" s="1">
        <v>0</v>
      </c>
      <c r="C301" s="1">
        <v>0</v>
      </c>
      <c r="D301" s="1">
        <v>1</v>
      </c>
      <c r="E301" s="1">
        <v>0</v>
      </c>
      <c r="F301" s="1">
        <v>49</v>
      </c>
      <c r="G301" s="1">
        <v>0</v>
      </c>
      <c r="H301" s="1">
        <v>12</v>
      </c>
      <c r="I301" s="1">
        <v>4</v>
      </c>
      <c r="J301" s="1">
        <v>0</v>
      </c>
      <c r="K301" s="1">
        <v>0</v>
      </c>
      <c r="L301" s="1">
        <v>19873</v>
      </c>
      <c r="M301" s="1">
        <v>0</v>
      </c>
    </row>
    <row r="302" spans="2:13" x14ac:dyDescent="0.25">
      <c r="B302" s="1">
        <v>0</v>
      </c>
      <c r="C302" s="1">
        <v>0</v>
      </c>
      <c r="D302" s="1">
        <v>0.9810526315789474</v>
      </c>
      <c r="E302" s="1">
        <v>1.8947368421052633E-2</v>
      </c>
      <c r="F302" s="1">
        <v>0</v>
      </c>
      <c r="G302" s="1">
        <v>0</v>
      </c>
      <c r="H302" s="1">
        <v>7</v>
      </c>
      <c r="I302" s="1">
        <v>0</v>
      </c>
      <c r="J302" s="1">
        <v>1</v>
      </c>
      <c r="K302" s="1">
        <v>0</v>
      </c>
      <c r="L302" s="1">
        <v>10869</v>
      </c>
      <c r="M302" s="1">
        <v>1</v>
      </c>
    </row>
    <row r="303" spans="2:13" x14ac:dyDescent="0.25">
      <c r="B303" s="1">
        <v>0</v>
      </c>
      <c r="C303" s="1">
        <v>0</v>
      </c>
      <c r="D303" s="1">
        <v>0.99749999999999994</v>
      </c>
      <c r="E303" s="1">
        <v>2.5000000000000001E-3</v>
      </c>
      <c r="F303" s="1">
        <v>58</v>
      </c>
      <c r="G303" s="1">
        <v>1</v>
      </c>
      <c r="H303" s="1">
        <v>1</v>
      </c>
      <c r="I303" s="1">
        <v>5</v>
      </c>
      <c r="J303" s="1">
        <v>0</v>
      </c>
      <c r="K303" s="1">
        <v>0</v>
      </c>
      <c r="L303" s="1">
        <v>2972</v>
      </c>
      <c r="M303" s="1">
        <v>0</v>
      </c>
    </row>
    <row r="304" spans="2:13" x14ac:dyDescent="0.25">
      <c r="B304" s="1">
        <v>0</v>
      </c>
      <c r="C304" s="1">
        <v>0</v>
      </c>
      <c r="D304" s="1">
        <v>0.9810526315789474</v>
      </c>
      <c r="E304" s="1">
        <v>1.8947368421052633E-2</v>
      </c>
      <c r="F304" s="1">
        <v>26</v>
      </c>
      <c r="G304" s="1">
        <v>1</v>
      </c>
      <c r="H304" s="1">
        <v>3</v>
      </c>
      <c r="I304" s="1">
        <v>3</v>
      </c>
      <c r="J304" s="1">
        <v>0</v>
      </c>
      <c r="K304" s="1">
        <v>0</v>
      </c>
      <c r="L304" s="1">
        <v>17820</v>
      </c>
      <c r="M304" s="1">
        <v>0</v>
      </c>
    </row>
    <row r="305" spans="2:13" x14ac:dyDescent="0.25">
      <c r="B305" s="1">
        <v>0</v>
      </c>
      <c r="C305" s="1">
        <v>0</v>
      </c>
      <c r="D305" s="1">
        <v>0.99749999999999994</v>
      </c>
      <c r="E305" s="1">
        <v>2.5000000000000001E-3</v>
      </c>
      <c r="F305" s="1">
        <v>57</v>
      </c>
      <c r="G305" s="1">
        <v>1</v>
      </c>
      <c r="H305" s="1">
        <v>7</v>
      </c>
      <c r="I305" s="1">
        <v>3</v>
      </c>
      <c r="J305" s="1">
        <v>1</v>
      </c>
      <c r="K305" s="1">
        <v>0</v>
      </c>
      <c r="L305" s="1">
        <v>27470</v>
      </c>
      <c r="M305" s="1">
        <v>1</v>
      </c>
    </row>
    <row r="306" spans="2:13" x14ac:dyDescent="0.25">
      <c r="B306" s="1">
        <v>0</v>
      </c>
      <c r="C306" s="1">
        <v>0</v>
      </c>
      <c r="D306" s="1">
        <v>0.99749999999999994</v>
      </c>
      <c r="E306" s="1">
        <v>2.5000000000000001E-3</v>
      </c>
      <c r="F306" s="1">
        <v>69</v>
      </c>
      <c r="G306" s="1">
        <v>0</v>
      </c>
      <c r="H306" s="1">
        <v>7</v>
      </c>
      <c r="I306" s="1">
        <v>4</v>
      </c>
      <c r="J306" s="1">
        <v>2</v>
      </c>
      <c r="K306" s="1">
        <v>0</v>
      </c>
      <c r="L306" s="1">
        <v>34110</v>
      </c>
      <c r="M306" s="1">
        <v>0</v>
      </c>
    </row>
    <row r="307" spans="2:13" x14ac:dyDescent="0.25">
      <c r="B307" s="1">
        <v>0</v>
      </c>
      <c r="C307" s="1">
        <v>0</v>
      </c>
      <c r="D307" s="1">
        <v>0.9810526315789474</v>
      </c>
      <c r="E307" s="1">
        <v>1.8947368421052633E-2</v>
      </c>
      <c r="F307" s="1">
        <v>23</v>
      </c>
      <c r="G307" s="1">
        <v>0</v>
      </c>
      <c r="H307" s="1">
        <v>3</v>
      </c>
      <c r="I307" s="1">
        <v>3</v>
      </c>
      <c r="J307" s="1">
        <v>0</v>
      </c>
      <c r="K307" s="1">
        <v>0</v>
      </c>
      <c r="L307" s="1">
        <v>7644</v>
      </c>
      <c r="M307" s="1">
        <v>0</v>
      </c>
    </row>
    <row r="308" spans="2:13" x14ac:dyDescent="0.25">
      <c r="B308" s="1">
        <v>1</v>
      </c>
      <c r="C308" s="1">
        <v>1</v>
      </c>
      <c r="D308" s="1">
        <v>0.31818181818181818</v>
      </c>
      <c r="E308" s="1">
        <v>0.68181818181818188</v>
      </c>
      <c r="F308" s="1">
        <v>28</v>
      </c>
      <c r="G308" s="1">
        <v>1</v>
      </c>
      <c r="H308" s="1">
        <v>2</v>
      </c>
      <c r="I308" s="1">
        <v>0</v>
      </c>
      <c r="J308" s="1">
        <v>2</v>
      </c>
      <c r="K308" s="1">
        <v>0</v>
      </c>
      <c r="L308" s="1">
        <v>9076</v>
      </c>
      <c r="M308" s="1">
        <v>0</v>
      </c>
    </row>
    <row r="309" spans="2:13" x14ac:dyDescent="0.25">
      <c r="B309" s="1">
        <v>0</v>
      </c>
      <c r="C309" s="1">
        <v>0</v>
      </c>
      <c r="D309" s="1">
        <v>0.8571428571428571</v>
      </c>
      <c r="E309" s="1">
        <v>0.14285714285714285</v>
      </c>
      <c r="F309" s="1">
        <v>52</v>
      </c>
      <c r="G309" s="1">
        <v>1</v>
      </c>
      <c r="H309" s="1">
        <v>3</v>
      </c>
      <c r="I309" s="1">
        <v>5</v>
      </c>
      <c r="J309" s="1">
        <v>0</v>
      </c>
      <c r="K309" s="1">
        <v>0</v>
      </c>
      <c r="L309" s="1">
        <v>11438</v>
      </c>
      <c r="M309" s="1">
        <v>0</v>
      </c>
    </row>
    <row r="310" spans="2:13" x14ac:dyDescent="0.25">
      <c r="B310" s="1">
        <v>0</v>
      </c>
      <c r="C310" s="1">
        <v>0</v>
      </c>
      <c r="D310" s="1">
        <v>0.99749999999999994</v>
      </c>
      <c r="E310" s="1">
        <v>2.5000000000000001E-3</v>
      </c>
      <c r="F310" s="1">
        <v>62</v>
      </c>
      <c r="G310" s="1">
        <v>0</v>
      </c>
      <c r="H310" s="1">
        <v>2</v>
      </c>
      <c r="I310" s="1">
        <v>1</v>
      </c>
      <c r="J310" s="1">
        <v>4</v>
      </c>
      <c r="K310" s="1">
        <v>0</v>
      </c>
      <c r="L310" s="1">
        <v>11896</v>
      </c>
      <c r="M310" s="1">
        <v>0</v>
      </c>
    </row>
    <row r="311" spans="2:13" x14ac:dyDescent="0.25">
      <c r="B311" s="1">
        <v>0</v>
      </c>
      <c r="C311" s="1">
        <v>0</v>
      </c>
      <c r="D311" s="1">
        <v>0.9810526315789474</v>
      </c>
      <c r="E311" s="1">
        <v>1.8947368421052633E-2</v>
      </c>
      <c r="F311" s="1">
        <v>20</v>
      </c>
      <c r="G311" s="1">
        <v>1</v>
      </c>
      <c r="H311" s="1">
        <v>2</v>
      </c>
      <c r="I311" s="1">
        <v>0</v>
      </c>
      <c r="J311" s="1">
        <v>1</v>
      </c>
      <c r="K311" s="1">
        <v>0</v>
      </c>
      <c r="L311" s="1">
        <v>4780</v>
      </c>
      <c r="M311" s="1">
        <v>0</v>
      </c>
    </row>
    <row r="312" spans="2:13" x14ac:dyDescent="0.25">
      <c r="B312" s="1">
        <v>0</v>
      </c>
      <c r="C312" s="1">
        <v>0</v>
      </c>
      <c r="D312" s="1">
        <v>0.99749999999999994</v>
      </c>
      <c r="E312" s="1">
        <v>2.5000000000000001E-3</v>
      </c>
      <c r="F312" s="1">
        <v>55</v>
      </c>
      <c r="G312" s="1">
        <v>1</v>
      </c>
      <c r="H312" s="1">
        <v>6</v>
      </c>
      <c r="I312" s="1">
        <v>2</v>
      </c>
      <c r="J312" s="1">
        <v>2</v>
      </c>
      <c r="K312" s="1">
        <v>0</v>
      </c>
      <c r="L312" s="1">
        <v>23291</v>
      </c>
      <c r="M312" s="1">
        <v>0</v>
      </c>
    </row>
    <row r="313" spans="2:13" x14ac:dyDescent="0.25">
      <c r="B313" s="1">
        <v>0</v>
      </c>
      <c r="C313" s="1">
        <v>0</v>
      </c>
      <c r="D313" s="1">
        <v>0.8571428571428571</v>
      </c>
      <c r="E313" s="1">
        <v>0.14285714285714288</v>
      </c>
      <c r="F313" s="1">
        <v>79</v>
      </c>
      <c r="G313" s="1">
        <v>0</v>
      </c>
      <c r="H313" s="1">
        <v>8</v>
      </c>
      <c r="I313" s="1">
        <v>0</v>
      </c>
      <c r="J313" s="1">
        <v>0</v>
      </c>
      <c r="K313" s="1">
        <v>0</v>
      </c>
      <c r="L313" s="1">
        <v>24824</v>
      </c>
      <c r="M313" s="1">
        <v>0</v>
      </c>
    </row>
    <row r="314" spans="2:13" x14ac:dyDescent="0.25">
      <c r="B314" s="1">
        <v>1</v>
      </c>
      <c r="C314" s="1">
        <v>1</v>
      </c>
      <c r="D314" s="1">
        <v>0.36</v>
      </c>
      <c r="E314" s="1">
        <v>0.64</v>
      </c>
      <c r="F314" s="1">
        <v>88</v>
      </c>
      <c r="G314" s="1">
        <v>0</v>
      </c>
      <c r="H314" s="1">
        <v>5</v>
      </c>
      <c r="I314" s="1">
        <v>4</v>
      </c>
      <c r="J314" s="1">
        <v>2</v>
      </c>
      <c r="K314" s="1">
        <v>0</v>
      </c>
      <c r="L314" s="1">
        <v>26326</v>
      </c>
      <c r="M314" s="1">
        <v>0</v>
      </c>
    </row>
    <row r="315" spans="2:13" x14ac:dyDescent="0.25">
      <c r="B315" s="1">
        <v>0</v>
      </c>
      <c r="C315" s="1">
        <v>0</v>
      </c>
      <c r="D315" s="1">
        <v>0.9810526315789474</v>
      </c>
      <c r="E315" s="1">
        <v>1.8947368421052633E-2</v>
      </c>
      <c r="F315" s="1">
        <v>23</v>
      </c>
      <c r="G315" s="1">
        <v>1</v>
      </c>
      <c r="H315" s="1">
        <v>2</v>
      </c>
      <c r="I315" s="1">
        <v>0</v>
      </c>
      <c r="J315" s="1">
        <v>1</v>
      </c>
      <c r="K315" s="1">
        <v>0</v>
      </c>
      <c r="L315" s="1">
        <v>5839</v>
      </c>
      <c r="M315" s="1">
        <v>0</v>
      </c>
    </row>
    <row r="316" spans="2:13" x14ac:dyDescent="0.25">
      <c r="B316" s="1">
        <v>0</v>
      </c>
      <c r="C316" s="1">
        <v>0</v>
      </c>
      <c r="D316" s="1">
        <v>0.99749999999999994</v>
      </c>
      <c r="E316" s="1">
        <v>2.5000000000000001E-3</v>
      </c>
      <c r="F316" s="1">
        <v>72</v>
      </c>
      <c r="G316" s="1">
        <v>1</v>
      </c>
      <c r="H316" s="1">
        <v>30</v>
      </c>
      <c r="I316" s="1">
        <v>4</v>
      </c>
      <c r="J316" s="1">
        <v>2</v>
      </c>
      <c r="K316" s="1">
        <v>0</v>
      </c>
      <c r="L316" s="1">
        <v>84360</v>
      </c>
      <c r="M316" s="1">
        <v>0</v>
      </c>
    </row>
    <row r="317" spans="2:13" x14ac:dyDescent="0.25">
      <c r="B317" s="1">
        <v>1</v>
      </c>
      <c r="C317" s="1">
        <v>1</v>
      </c>
      <c r="D317" s="1">
        <v>0.30769230769230771</v>
      </c>
      <c r="E317" s="1">
        <v>0.69230769230769229</v>
      </c>
      <c r="F317" s="1">
        <v>50</v>
      </c>
      <c r="G317" s="1">
        <v>0</v>
      </c>
      <c r="H317" s="1">
        <v>5</v>
      </c>
      <c r="I317" s="1">
        <v>5</v>
      </c>
      <c r="J317" s="1">
        <v>0</v>
      </c>
      <c r="K317" s="1">
        <v>0</v>
      </c>
      <c r="L317" s="1">
        <v>8778</v>
      </c>
      <c r="M317" s="1">
        <v>0</v>
      </c>
    </row>
    <row r="318" spans="2:13" x14ac:dyDescent="0.25">
      <c r="B318" s="1">
        <v>0</v>
      </c>
      <c r="C318" s="1">
        <v>0</v>
      </c>
      <c r="D318" s="1">
        <v>0.99749999999999994</v>
      </c>
      <c r="E318" s="1">
        <v>2.5000000000000001E-3</v>
      </c>
      <c r="F318" s="1">
        <v>56</v>
      </c>
      <c r="G318" s="1">
        <v>1</v>
      </c>
      <c r="H318" s="1">
        <v>26</v>
      </c>
      <c r="I318" s="1">
        <v>5</v>
      </c>
      <c r="J318" s="1">
        <v>2</v>
      </c>
      <c r="K318" s="1">
        <v>0</v>
      </c>
      <c r="L318" s="1">
        <v>109060</v>
      </c>
      <c r="M318" s="1">
        <v>0</v>
      </c>
    </row>
    <row r="319" spans="2:13" x14ac:dyDescent="0.25">
      <c r="B319" s="1">
        <v>1</v>
      </c>
      <c r="C319" s="1">
        <v>1</v>
      </c>
      <c r="D319" s="1">
        <v>0</v>
      </c>
      <c r="E319" s="1">
        <v>1</v>
      </c>
      <c r="F319" s="1">
        <v>74</v>
      </c>
      <c r="G319" s="1">
        <v>0</v>
      </c>
      <c r="H319" s="1">
        <v>1</v>
      </c>
      <c r="I319" s="1">
        <v>4</v>
      </c>
      <c r="J319" s="1">
        <v>0</v>
      </c>
      <c r="K319" s="1">
        <v>1</v>
      </c>
      <c r="L319" s="1">
        <v>17273</v>
      </c>
      <c r="M319" s="1">
        <v>0</v>
      </c>
    </row>
    <row r="320" spans="2:13" x14ac:dyDescent="0.25">
      <c r="B320" s="1">
        <v>0</v>
      </c>
      <c r="C320" s="1">
        <v>0</v>
      </c>
      <c r="D320" s="1">
        <v>0.99749999999999994</v>
      </c>
      <c r="E320" s="1">
        <v>2.5000000000000001E-3</v>
      </c>
      <c r="F320" s="1">
        <v>68</v>
      </c>
      <c r="G320" s="1">
        <v>1</v>
      </c>
      <c r="H320" s="1">
        <v>4</v>
      </c>
      <c r="I320" s="1">
        <v>8</v>
      </c>
      <c r="J320" s="1">
        <v>0</v>
      </c>
      <c r="K320" s="1">
        <v>0</v>
      </c>
      <c r="L320" s="1">
        <v>15480</v>
      </c>
      <c r="M320" s="1">
        <v>0</v>
      </c>
    </row>
    <row r="321" spans="2:13" x14ac:dyDescent="0.25">
      <c r="B321" s="1">
        <v>0</v>
      </c>
      <c r="C321" s="1">
        <v>0</v>
      </c>
      <c r="D321" s="1">
        <v>0.99749999999999994</v>
      </c>
      <c r="E321" s="1">
        <v>2.5000000000000001E-3</v>
      </c>
      <c r="F321" s="1">
        <v>70</v>
      </c>
      <c r="G321" s="1">
        <v>1</v>
      </c>
      <c r="H321" s="1">
        <v>3</v>
      </c>
      <c r="I321" s="1">
        <v>6</v>
      </c>
      <c r="J321" s="1">
        <v>0</v>
      </c>
      <c r="K321" s="1">
        <v>0</v>
      </c>
      <c r="L321" s="1">
        <v>16731</v>
      </c>
      <c r="M321" s="1">
        <v>0</v>
      </c>
    </row>
    <row r="322" spans="2:13" x14ac:dyDescent="0.25">
      <c r="B322" s="1">
        <v>1</v>
      </c>
      <c r="C322" s="1">
        <v>1</v>
      </c>
      <c r="D322" s="1">
        <v>0</v>
      </c>
      <c r="E322" s="1">
        <v>1</v>
      </c>
      <c r="F322" s="1">
        <v>85</v>
      </c>
      <c r="G322" s="1">
        <v>1</v>
      </c>
      <c r="H322" s="1">
        <v>5</v>
      </c>
      <c r="I322" s="1">
        <v>0</v>
      </c>
      <c r="J322" s="1">
        <v>3</v>
      </c>
      <c r="K322" s="1">
        <v>1</v>
      </c>
      <c r="L322" s="1">
        <v>16388</v>
      </c>
      <c r="M322" s="1">
        <v>1</v>
      </c>
    </row>
    <row r="323" spans="2:13" x14ac:dyDescent="0.25">
      <c r="B323" s="1">
        <v>0</v>
      </c>
      <c r="C323" s="1">
        <v>0</v>
      </c>
      <c r="D323" s="1">
        <v>0.9810526315789474</v>
      </c>
      <c r="E323" s="1">
        <v>1.8947368421052633E-2</v>
      </c>
      <c r="F323" s="1">
        <v>0</v>
      </c>
      <c r="G323" s="1">
        <v>1</v>
      </c>
      <c r="H323" s="1">
        <v>2</v>
      </c>
      <c r="I323" s="1">
        <v>0</v>
      </c>
      <c r="J323" s="1">
        <v>0</v>
      </c>
      <c r="K323" s="1">
        <v>0</v>
      </c>
      <c r="L323" s="1">
        <v>1216</v>
      </c>
      <c r="M323" s="1">
        <v>0</v>
      </c>
    </row>
    <row r="324" spans="2:13" x14ac:dyDescent="0.25">
      <c r="B324" s="1">
        <v>1</v>
      </c>
      <c r="C324" s="1">
        <v>1</v>
      </c>
      <c r="D324" s="1">
        <v>0</v>
      </c>
      <c r="E324" s="1">
        <v>1</v>
      </c>
      <c r="F324" s="1">
        <v>37</v>
      </c>
      <c r="G324" s="1">
        <v>1</v>
      </c>
      <c r="H324" s="1">
        <v>4</v>
      </c>
      <c r="I324" s="1">
        <v>1</v>
      </c>
      <c r="J324" s="1">
        <v>3</v>
      </c>
      <c r="K324" s="1">
        <v>1</v>
      </c>
      <c r="L324" s="1">
        <v>12797</v>
      </c>
      <c r="M324" s="1">
        <v>0</v>
      </c>
    </row>
    <row r="325" spans="2:13" x14ac:dyDescent="0.25">
      <c r="B325" s="1">
        <v>0</v>
      </c>
      <c r="C325" s="1">
        <v>0</v>
      </c>
      <c r="D325" s="1">
        <v>0.9810526315789474</v>
      </c>
      <c r="E325" s="1">
        <v>1.8947368421052633E-2</v>
      </c>
      <c r="F325" s="1">
        <v>0</v>
      </c>
      <c r="G325" s="1">
        <v>1</v>
      </c>
      <c r="H325" s="1">
        <v>2</v>
      </c>
      <c r="I325" s="1">
        <v>0</v>
      </c>
      <c r="J325" s="1">
        <v>0</v>
      </c>
      <c r="K325" s="1">
        <v>0</v>
      </c>
      <c r="L325" s="1">
        <v>1045</v>
      </c>
      <c r="M325" s="1">
        <v>0</v>
      </c>
    </row>
    <row r="326" spans="2:13" x14ac:dyDescent="0.25">
      <c r="B326" s="1">
        <v>0</v>
      </c>
      <c r="C326" s="1">
        <v>0</v>
      </c>
      <c r="D326" s="1">
        <v>0.99749999999999994</v>
      </c>
      <c r="E326" s="1">
        <v>2.5000000000000001E-3</v>
      </c>
      <c r="F326" s="1">
        <v>67</v>
      </c>
      <c r="G326" s="1">
        <v>1</v>
      </c>
      <c r="H326" s="1">
        <v>3</v>
      </c>
      <c r="I326" s="1">
        <v>4</v>
      </c>
      <c r="J326" s="1">
        <v>1</v>
      </c>
      <c r="K326" s="1">
        <v>0</v>
      </c>
      <c r="L326" s="1">
        <v>9123</v>
      </c>
      <c r="M326" s="1">
        <v>0</v>
      </c>
    </row>
    <row r="327" spans="2:13" x14ac:dyDescent="0.25">
      <c r="B327" s="1">
        <v>0</v>
      </c>
      <c r="C327" s="1">
        <v>0</v>
      </c>
      <c r="D327" s="1">
        <v>0.99749999999999994</v>
      </c>
      <c r="E327" s="1">
        <v>2.5000000000000001E-3</v>
      </c>
      <c r="F327" s="1">
        <v>56</v>
      </c>
      <c r="G327" s="1">
        <v>1</v>
      </c>
      <c r="H327" s="1">
        <v>4</v>
      </c>
      <c r="I327" s="1">
        <v>3</v>
      </c>
      <c r="J327" s="1">
        <v>0</v>
      </c>
      <c r="K327" s="1">
        <v>0</v>
      </c>
      <c r="L327" s="1">
        <v>12914</v>
      </c>
      <c r="M327" s="1">
        <v>0</v>
      </c>
    </row>
    <row r="328" spans="2:13" x14ac:dyDescent="0.25">
      <c r="B328" s="1">
        <v>1</v>
      </c>
      <c r="C328" s="1">
        <v>1</v>
      </c>
      <c r="D328" s="1">
        <v>0.36</v>
      </c>
      <c r="E328" s="1">
        <v>0.64</v>
      </c>
      <c r="F328" s="1">
        <v>89</v>
      </c>
      <c r="G328" s="1">
        <v>1</v>
      </c>
      <c r="H328" s="1">
        <v>5</v>
      </c>
      <c r="I328" s="1">
        <v>5</v>
      </c>
      <c r="J328" s="1">
        <v>1</v>
      </c>
      <c r="K328" s="1">
        <v>0</v>
      </c>
      <c r="L328" s="1">
        <v>24270</v>
      </c>
      <c r="M328" s="1">
        <v>1</v>
      </c>
    </row>
    <row r="329" spans="2:13" x14ac:dyDescent="0.25">
      <c r="B329" s="1">
        <v>0</v>
      </c>
      <c r="C329" s="1">
        <v>0</v>
      </c>
      <c r="D329" s="1">
        <v>0.96666666666666667</v>
      </c>
      <c r="E329" s="1">
        <v>3.333333333333334E-2</v>
      </c>
      <c r="F329" s="1">
        <v>32</v>
      </c>
      <c r="G329" s="1">
        <v>0</v>
      </c>
      <c r="H329" s="1">
        <v>6</v>
      </c>
      <c r="I329" s="1">
        <v>2</v>
      </c>
      <c r="J329" s="1">
        <v>0</v>
      </c>
      <c r="K329" s="1">
        <v>0</v>
      </c>
      <c r="L329" s="1">
        <v>9644</v>
      </c>
      <c r="M329" s="1">
        <v>0</v>
      </c>
    </row>
    <row r="330" spans="2:13" x14ac:dyDescent="0.25">
      <c r="B330" s="1">
        <v>0</v>
      </c>
      <c r="C330" s="1">
        <v>0</v>
      </c>
      <c r="D330" s="1">
        <v>0.99749999999999994</v>
      </c>
      <c r="E330" s="1">
        <v>2.5000000000000001E-3</v>
      </c>
      <c r="F330" s="1">
        <v>64</v>
      </c>
      <c r="G330" s="1">
        <v>0</v>
      </c>
      <c r="H330" s="1">
        <v>19</v>
      </c>
      <c r="I330" s="1">
        <v>4</v>
      </c>
      <c r="J330" s="1">
        <v>6</v>
      </c>
      <c r="K330" s="1">
        <v>0</v>
      </c>
      <c r="L330" s="1">
        <v>63934</v>
      </c>
      <c r="M330" s="1">
        <v>1</v>
      </c>
    </row>
    <row r="331" spans="2:13" x14ac:dyDescent="0.25">
      <c r="B331" s="1">
        <v>1</v>
      </c>
      <c r="C331" s="1">
        <v>1</v>
      </c>
      <c r="D331" s="1">
        <v>0</v>
      </c>
      <c r="E331" s="1">
        <v>1</v>
      </c>
      <c r="F331" s="1">
        <v>80</v>
      </c>
      <c r="G331" s="1">
        <v>0</v>
      </c>
      <c r="H331" s="1">
        <v>13</v>
      </c>
      <c r="I331" s="1">
        <v>6</v>
      </c>
      <c r="J331" s="1">
        <v>1</v>
      </c>
      <c r="K331" s="1">
        <v>1</v>
      </c>
      <c r="L331" s="1">
        <v>45343</v>
      </c>
      <c r="M331" s="1">
        <v>0</v>
      </c>
    </row>
    <row r="332" spans="2:13" x14ac:dyDescent="0.25">
      <c r="B332" s="1">
        <v>1</v>
      </c>
      <c r="C332" s="1">
        <v>1</v>
      </c>
      <c r="D332" s="1">
        <v>0</v>
      </c>
      <c r="E332" s="1">
        <v>1</v>
      </c>
      <c r="F332" s="1">
        <v>80</v>
      </c>
      <c r="G332" s="1">
        <v>1</v>
      </c>
      <c r="H332" s="1">
        <v>4</v>
      </c>
      <c r="I332" s="1">
        <v>4</v>
      </c>
      <c r="J332" s="1">
        <v>2</v>
      </c>
      <c r="K332" s="1">
        <v>1</v>
      </c>
      <c r="L332" s="1">
        <v>13569</v>
      </c>
      <c r="M332" s="1">
        <v>0</v>
      </c>
    </row>
    <row r="333" spans="2:13" x14ac:dyDescent="0.25">
      <c r="B333" s="1">
        <v>0</v>
      </c>
      <c r="C333" s="1">
        <v>0</v>
      </c>
      <c r="D333" s="1">
        <v>0.9810526315789474</v>
      </c>
      <c r="E333" s="1">
        <v>1.8947368421052633E-2</v>
      </c>
      <c r="F333" s="1">
        <v>25</v>
      </c>
      <c r="G333" s="1">
        <v>1</v>
      </c>
      <c r="H333" s="1">
        <v>2</v>
      </c>
      <c r="I333" s="1">
        <v>0</v>
      </c>
      <c r="J333" s="1">
        <v>3</v>
      </c>
      <c r="K333" s="1">
        <v>0</v>
      </c>
      <c r="L333" s="1">
        <v>11208</v>
      </c>
      <c r="M333" s="1">
        <v>1</v>
      </c>
    </row>
    <row r="334" spans="2:13" x14ac:dyDescent="0.25">
      <c r="B334" s="1">
        <v>0</v>
      </c>
      <c r="C334" s="1">
        <v>0</v>
      </c>
      <c r="D334" s="1">
        <v>0.9810526315789474</v>
      </c>
      <c r="E334" s="1">
        <v>1.8947368421052633E-2</v>
      </c>
      <c r="F334" s="1">
        <v>27</v>
      </c>
      <c r="G334" s="1">
        <v>1</v>
      </c>
      <c r="H334" s="1">
        <v>13</v>
      </c>
      <c r="I334" s="1">
        <v>1</v>
      </c>
      <c r="J334" s="1">
        <v>0</v>
      </c>
      <c r="K334" s="1">
        <v>0</v>
      </c>
      <c r="L334" s="1">
        <v>20972</v>
      </c>
      <c r="M334" s="1">
        <v>0</v>
      </c>
    </row>
    <row r="335" spans="2:13" x14ac:dyDescent="0.25">
      <c r="B335" s="1">
        <v>1</v>
      </c>
      <c r="C335" s="1">
        <v>1</v>
      </c>
      <c r="D335" s="1">
        <v>0</v>
      </c>
      <c r="E335" s="1">
        <v>1</v>
      </c>
      <c r="F335" s="1">
        <v>76</v>
      </c>
      <c r="G335" s="1">
        <v>0</v>
      </c>
      <c r="H335" s="1">
        <v>2</v>
      </c>
      <c r="I335" s="1">
        <v>5</v>
      </c>
      <c r="J335" s="1">
        <v>0</v>
      </c>
      <c r="K335" s="1">
        <v>1</v>
      </c>
      <c r="L335" s="1">
        <v>12134</v>
      </c>
      <c r="M335" s="1">
        <v>0</v>
      </c>
    </row>
    <row r="336" spans="2:13" x14ac:dyDescent="0.25">
      <c r="B336" s="1">
        <v>0</v>
      </c>
      <c r="C336" s="1">
        <v>0</v>
      </c>
      <c r="D336" s="1">
        <v>0.99749999999999994</v>
      </c>
      <c r="E336" s="1">
        <v>2.5000000000000001E-3</v>
      </c>
      <c r="F336" s="1">
        <v>68</v>
      </c>
      <c r="G336" s="1">
        <v>1</v>
      </c>
      <c r="H336" s="1">
        <v>4</v>
      </c>
      <c r="I336" s="1">
        <v>3</v>
      </c>
      <c r="J336" s="1">
        <v>0</v>
      </c>
      <c r="K336" s="1">
        <v>0</v>
      </c>
      <c r="L336" s="1">
        <v>13536</v>
      </c>
      <c r="M336" s="1">
        <v>0</v>
      </c>
    </row>
    <row r="337" spans="2:13" x14ac:dyDescent="0.25">
      <c r="B337" s="1">
        <v>0</v>
      </c>
      <c r="C337" s="1">
        <v>0</v>
      </c>
      <c r="D337" s="1">
        <v>1</v>
      </c>
      <c r="E337" s="1">
        <v>0</v>
      </c>
      <c r="F337" s="1">
        <v>39</v>
      </c>
      <c r="G337" s="1">
        <v>0</v>
      </c>
      <c r="H337" s="1">
        <v>6</v>
      </c>
      <c r="I337" s="1">
        <v>2</v>
      </c>
      <c r="J337" s="1">
        <v>2</v>
      </c>
      <c r="K337" s="1">
        <v>0</v>
      </c>
      <c r="L337" s="1">
        <v>24000</v>
      </c>
      <c r="M337" s="1">
        <v>1</v>
      </c>
    </row>
    <row r="338" spans="2:13" x14ac:dyDescent="0.25">
      <c r="B338" s="1">
        <v>0</v>
      </c>
      <c r="C338" s="1">
        <v>0</v>
      </c>
      <c r="D338" s="1">
        <v>0.9810526315789474</v>
      </c>
      <c r="E338" s="1">
        <v>1.8947368421052633E-2</v>
      </c>
      <c r="F338" s="1">
        <v>16</v>
      </c>
      <c r="G338" s="1">
        <v>1</v>
      </c>
      <c r="H338" s="1">
        <v>3</v>
      </c>
      <c r="I338" s="1">
        <v>0</v>
      </c>
      <c r="J338" s="1">
        <v>3</v>
      </c>
      <c r="K338" s="1">
        <v>0</v>
      </c>
      <c r="L338" s="1">
        <v>9739</v>
      </c>
      <c r="M338" s="1">
        <v>0</v>
      </c>
    </row>
    <row r="339" spans="2:13" x14ac:dyDescent="0.25">
      <c r="B339" s="1">
        <v>0</v>
      </c>
      <c r="C339" s="1">
        <v>0</v>
      </c>
      <c r="D339" s="1">
        <v>1</v>
      </c>
      <c r="E339" s="1">
        <v>0</v>
      </c>
      <c r="F339" s="1">
        <v>90</v>
      </c>
      <c r="G339" s="1">
        <v>1</v>
      </c>
      <c r="H339" s="1">
        <v>7</v>
      </c>
      <c r="I339" s="1">
        <v>4</v>
      </c>
      <c r="J339" s="1">
        <v>1</v>
      </c>
      <c r="K339" s="1">
        <v>0</v>
      </c>
      <c r="L339" s="1">
        <v>49657</v>
      </c>
      <c r="M339" s="1">
        <v>1</v>
      </c>
    </row>
    <row r="340" spans="2:13" x14ac:dyDescent="0.25">
      <c r="B340" s="1">
        <v>1</v>
      </c>
      <c r="C340" s="1">
        <v>1</v>
      </c>
      <c r="D340" s="1">
        <v>0</v>
      </c>
      <c r="E340" s="1">
        <v>1</v>
      </c>
      <c r="F340" s="1">
        <v>82</v>
      </c>
      <c r="G340" s="1">
        <v>0</v>
      </c>
      <c r="H340" s="1">
        <v>3</v>
      </c>
      <c r="I340" s="1">
        <v>5</v>
      </c>
      <c r="J340" s="1">
        <v>0</v>
      </c>
      <c r="K340" s="1">
        <v>1</v>
      </c>
      <c r="L340" s="1">
        <v>12275</v>
      </c>
      <c r="M340" s="1">
        <v>0</v>
      </c>
    </row>
    <row r="341" spans="2:13" x14ac:dyDescent="0.25">
      <c r="B341" s="1">
        <v>0</v>
      </c>
      <c r="C341" s="1">
        <v>0</v>
      </c>
      <c r="D341" s="1">
        <v>0.99749999999999994</v>
      </c>
      <c r="E341" s="1">
        <v>2.5000000000000001E-3</v>
      </c>
      <c r="F341" s="1">
        <v>57</v>
      </c>
      <c r="G341" s="1">
        <v>0</v>
      </c>
      <c r="H341" s="1">
        <v>2</v>
      </c>
      <c r="I341" s="1">
        <v>7</v>
      </c>
      <c r="J341" s="1">
        <v>0</v>
      </c>
      <c r="K341" s="1">
        <v>0</v>
      </c>
      <c r="L341" s="1">
        <v>10833</v>
      </c>
      <c r="M341" s="1">
        <v>0</v>
      </c>
    </row>
    <row r="342" spans="2:13" x14ac:dyDescent="0.25">
      <c r="B342" s="1">
        <v>0</v>
      </c>
      <c r="C342" s="1">
        <v>0</v>
      </c>
      <c r="D342" s="1">
        <v>0.99749999999999994</v>
      </c>
      <c r="E342" s="1">
        <v>2.5000000000000001E-3</v>
      </c>
      <c r="F342" s="1">
        <v>72</v>
      </c>
      <c r="G342" s="1">
        <v>0</v>
      </c>
      <c r="H342" s="1">
        <v>4</v>
      </c>
      <c r="I342" s="1">
        <v>3</v>
      </c>
      <c r="J342" s="1">
        <v>1</v>
      </c>
      <c r="K342" s="1">
        <v>0</v>
      </c>
      <c r="L342" s="1">
        <v>8138</v>
      </c>
      <c r="M342" s="1">
        <v>0</v>
      </c>
    </row>
    <row r="343" spans="2:13" x14ac:dyDescent="0.25">
      <c r="B343" s="1">
        <v>1</v>
      </c>
      <c r="C343" s="1">
        <v>1</v>
      </c>
      <c r="D343" s="1">
        <v>0</v>
      </c>
      <c r="E343" s="1">
        <v>1</v>
      </c>
      <c r="F343" s="1">
        <v>80</v>
      </c>
      <c r="G343" s="1">
        <v>0</v>
      </c>
      <c r="H343" s="1">
        <v>1</v>
      </c>
      <c r="I343" s="1">
        <v>5</v>
      </c>
      <c r="J343" s="1">
        <v>1</v>
      </c>
      <c r="K343" s="1">
        <v>1</v>
      </c>
      <c r="L343" s="1">
        <v>10057</v>
      </c>
      <c r="M343" s="1">
        <v>0</v>
      </c>
    </row>
    <row r="344" spans="2:13" x14ac:dyDescent="0.25">
      <c r="B344" s="1">
        <v>0</v>
      </c>
      <c r="C344" s="1">
        <v>0</v>
      </c>
      <c r="D344" s="1">
        <v>1</v>
      </c>
      <c r="E344" s="1">
        <v>0</v>
      </c>
      <c r="F344" s="1">
        <v>48</v>
      </c>
      <c r="G344" s="1">
        <v>0</v>
      </c>
      <c r="H344" s="1">
        <v>13</v>
      </c>
      <c r="I344" s="1">
        <v>1</v>
      </c>
      <c r="J344" s="1">
        <v>0</v>
      </c>
      <c r="K344" s="1">
        <v>0</v>
      </c>
      <c r="L344" s="1">
        <v>21980</v>
      </c>
      <c r="M344" s="1">
        <v>0</v>
      </c>
    </row>
    <row r="345" spans="2:13" x14ac:dyDescent="0.25">
      <c r="B345" s="1">
        <v>0</v>
      </c>
      <c r="C345" s="1">
        <v>0</v>
      </c>
      <c r="D345" s="1">
        <v>0.99749999999999994</v>
      </c>
      <c r="E345" s="1">
        <v>2.5000000000000001E-3</v>
      </c>
      <c r="F345" s="1">
        <v>57</v>
      </c>
      <c r="G345" s="1">
        <v>0</v>
      </c>
      <c r="H345" s="1">
        <v>2</v>
      </c>
      <c r="I345" s="1">
        <v>2</v>
      </c>
      <c r="J345" s="1">
        <v>0</v>
      </c>
      <c r="K345" s="1">
        <v>0</v>
      </c>
      <c r="L345" s="1">
        <v>7127</v>
      </c>
      <c r="M345" s="1">
        <v>0</v>
      </c>
    </row>
    <row r="346" spans="2:13" x14ac:dyDescent="0.25">
      <c r="B346" s="1">
        <v>1</v>
      </c>
      <c r="C346" s="1">
        <v>1</v>
      </c>
      <c r="D346" s="1">
        <v>0</v>
      </c>
      <c r="E346" s="1">
        <v>1</v>
      </c>
      <c r="F346" s="1">
        <v>37</v>
      </c>
      <c r="G346" s="1">
        <v>0</v>
      </c>
      <c r="H346" s="1">
        <v>1</v>
      </c>
      <c r="I346" s="1">
        <v>3</v>
      </c>
      <c r="J346" s="1">
        <v>0</v>
      </c>
      <c r="K346" s="1">
        <v>1</v>
      </c>
      <c r="L346" s="1">
        <v>2657</v>
      </c>
      <c r="M346" s="1">
        <v>0</v>
      </c>
    </row>
    <row r="347" spans="2:13" x14ac:dyDescent="0.25">
      <c r="B347" s="1">
        <v>0</v>
      </c>
      <c r="C347" s="1">
        <v>0</v>
      </c>
      <c r="D347" s="1">
        <v>0.99749999999999994</v>
      </c>
      <c r="E347" s="1">
        <v>2.5000000000000001E-3</v>
      </c>
      <c r="F347" s="1">
        <v>60</v>
      </c>
      <c r="G347" s="1">
        <v>0</v>
      </c>
      <c r="H347" s="1">
        <v>6</v>
      </c>
      <c r="I347" s="1">
        <v>6</v>
      </c>
      <c r="J347" s="1">
        <v>0</v>
      </c>
      <c r="K347" s="1">
        <v>0</v>
      </c>
      <c r="L347" s="1">
        <v>24969</v>
      </c>
      <c r="M347" s="1">
        <v>0</v>
      </c>
    </row>
    <row r="348" spans="2:13" x14ac:dyDescent="0.25">
      <c r="B348" s="1">
        <v>0</v>
      </c>
      <c r="C348" s="1">
        <v>0</v>
      </c>
      <c r="D348" s="1">
        <v>1</v>
      </c>
      <c r="E348" s="1">
        <v>0</v>
      </c>
      <c r="F348" s="1">
        <v>46</v>
      </c>
      <c r="G348" s="1">
        <v>0</v>
      </c>
      <c r="H348" s="1">
        <v>3</v>
      </c>
      <c r="I348" s="1">
        <v>3</v>
      </c>
      <c r="J348" s="1">
        <v>4</v>
      </c>
      <c r="K348" s="1">
        <v>0</v>
      </c>
      <c r="L348" s="1">
        <v>29746</v>
      </c>
      <c r="M348" s="1">
        <v>1</v>
      </c>
    </row>
    <row r="349" spans="2:13" x14ac:dyDescent="0.25">
      <c r="B349" s="1">
        <v>0</v>
      </c>
      <c r="C349" s="1">
        <v>0</v>
      </c>
      <c r="D349" s="1">
        <v>0.96666666666666667</v>
      </c>
      <c r="E349" s="1">
        <v>3.333333333333334E-2</v>
      </c>
      <c r="F349" s="1">
        <v>29</v>
      </c>
      <c r="G349" s="1">
        <v>1</v>
      </c>
      <c r="H349" s="1">
        <v>2</v>
      </c>
      <c r="I349" s="1">
        <v>0</v>
      </c>
      <c r="J349" s="1">
        <v>2</v>
      </c>
      <c r="K349" s="1">
        <v>0</v>
      </c>
      <c r="L349" s="1">
        <v>7972</v>
      </c>
      <c r="M349" s="1">
        <v>0</v>
      </c>
    </row>
    <row r="350" spans="2:13" x14ac:dyDescent="0.25">
      <c r="B350" s="1">
        <v>0</v>
      </c>
      <c r="C350" s="1">
        <v>0</v>
      </c>
      <c r="D350" s="1">
        <v>0.9810526315789474</v>
      </c>
      <c r="E350" s="1">
        <v>1.8947368421052633E-2</v>
      </c>
      <c r="F350" s="1">
        <v>0</v>
      </c>
      <c r="G350" s="1">
        <v>0</v>
      </c>
      <c r="H350" s="1">
        <v>2</v>
      </c>
      <c r="I350" s="1">
        <v>0</v>
      </c>
      <c r="J350" s="1">
        <v>0</v>
      </c>
      <c r="K350" s="1">
        <v>0</v>
      </c>
      <c r="L350" s="1">
        <v>2006</v>
      </c>
      <c r="M350" s="1">
        <v>0</v>
      </c>
    </row>
    <row r="351" spans="2:13" x14ac:dyDescent="0.25">
      <c r="B351" s="1">
        <v>0</v>
      </c>
      <c r="C351" s="1">
        <v>0</v>
      </c>
      <c r="D351" s="1">
        <v>0.99749999999999994</v>
      </c>
      <c r="E351" s="1">
        <v>2.5000000000000001E-3</v>
      </c>
      <c r="F351" s="1">
        <v>63</v>
      </c>
      <c r="G351" s="1">
        <v>1</v>
      </c>
      <c r="H351" s="1">
        <v>5</v>
      </c>
      <c r="I351" s="1">
        <v>6</v>
      </c>
      <c r="J351" s="1">
        <v>0</v>
      </c>
      <c r="K351" s="1">
        <v>0</v>
      </c>
      <c r="L351" s="1">
        <v>9888</v>
      </c>
      <c r="M351" s="1">
        <v>0</v>
      </c>
    </row>
    <row r="352" spans="2:13" x14ac:dyDescent="0.25">
      <c r="B352" s="1">
        <v>0</v>
      </c>
      <c r="C352" s="1">
        <v>0</v>
      </c>
      <c r="D352" s="1">
        <v>1</v>
      </c>
      <c r="E352" s="1">
        <v>0</v>
      </c>
      <c r="F352" s="1">
        <v>46</v>
      </c>
      <c r="G352" s="1">
        <v>1</v>
      </c>
      <c r="H352" s="1">
        <v>3</v>
      </c>
      <c r="I352" s="1">
        <v>2</v>
      </c>
      <c r="J352" s="1">
        <v>0</v>
      </c>
      <c r="K352" s="1">
        <v>0</v>
      </c>
      <c r="L352" s="1">
        <v>10658</v>
      </c>
      <c r="M352" s="1">
        <v>0</v>
      </c>
    </row>
    <row r="353" spans="2:13" x14ac:dyDescent="0.25">
      <c r="B353" s="1">
        <v>0</v>
      </c>
      <c r="C353" s="1">
        <v>0</v>
      </c>
      <c r="D353" s="1">
        <v>0.99749999999999994</v>
      </c>
      <c r="E353" s="1">
        <v>2.5000000000000001E-3</v>
      </c>
      <c r="F353" s="1">
        <v>57</v>
      </c>
      <c r="G353" s="1">
        <v>0</v>
      </c>
      <c r="H353" s="1">
        <v>2</v>
      </c>
      <c r="I353" s="1">
        <v>6</v>
      </c>
      <c r="J353" s="1">
        <v>0</v>
      </c>
      <c r="K353" s="1">
        <v>0</v>
      </c>
      <c r="L353" s="1">
        <v>11888</v>
      </c>
      <c r="M353" s="1">
        <v>0</v>
      </c>
    </row>
    <row r="354" spans="2:13" x14ac:dyDescent="0.25">
      <c r="B354" s="1">
        <v>0</v>
      </c>
      <c r="C354" s="1">
        <v>0</v>
      </c>
      <c r="D354" s="1">
        <v>0.96666666666666667</v>
      </c>
      <c r="E354" s="1">
        <v>3.333333333333334E-2</v>
      </c>
      <c r="F354" s="1">
        <v>31</v>
      </c>
      <c r="G354" s="1">
        <v>0</v>
      </c>
      <c r="H354" s="1">
        <v>2</v>
      </c>
      <c r="I354" s="1">
        <v>1</v>
      </c>
      <c r="J354" s="1">
        <v>2</v>
      </c>
      <c r="K354" s="1">
        <v>0</v>
      </c>
      <c r="L354" s="1">
        <v>12666</v>
      </c>
      <c r="M354" s="1">
        <v>1</v>
      </c>
    </row>
    <row r="355" spans="2:13" x14ac:dyDescent="0.25">
      <c r="B355" s="1">
        <v>1</v>
      </c>
      <c r="C355" s="1">
        <v>1</v>
      </c>
      <c r="D355" s="1">
        <v>0</v>
      </c>
      <c r="E355" s="1">
        <v>1</v>
      </c>
      <c r="F355" s="1">
        <v>82</v>
      </c>
      <c r="G355" s="1">
        <v>0</v>
      </c>
      <c r="H355" s="1">
        <v>2</v>
      </c>
      <c r="I355" s="1">
        <v>5</v>
      </c>
      <c r="J355" s="1">
        <v>0</v>
      </c>
      <c r="K355" s="1">
        <v>1</v>
      </c>
      <c r="L355" s="1">
        <v>11871</v>
      </c>
      <c r="M355" s="1">
        <v>0</v>
      </c>
    </row>
    <row r="356" spans="2:13" x14ac:dyDescent="0.25">
      <c r="B356" s="1">
        <v>1</v>
      </c>
      <c r="C356" s="1">
        <v>1</v>
      </c>
      <c r="D356" s="1">
        <v>0</v>
      </c>
      <c r="E356" s="1">
        <v>1</v>
      </c>
      <c r="F356" s="1">
        <v>85</v>
      </c>
      <c r="G356" s="1">
        <v>1</v>
      </c>
      <c r="H356" s="1">
        <v>4</v>
      </c>
      <c r="I356" s="1">
        <v>3</v>
      </c>
      <c r="J356" s="1">
        <v>1</v>
      </c>
      <c r="K356" s="1">
        <v>1</v>
      </c>
      <c r="L356" s="1">
        <v>43165</v>
      </c>
      <c r="M356" s="1">
        <v>1</v>
      </c>
    </row>
    <row r="357" spans="2:13" x14ac:dyDescent="0.25">
      <c r="B357" s="1">
        <v>0</v>
      </c>
      <c r="C357" s="1">
        <v>0</v>
      </c>
      <c r="D357" s="1">
        <v>0.9810526315789474</v>
      </c>
      <c r="E357" s="1">
        <v>1.8947368421052633E-2</v>
      </c>
      <c r="F357" s="1">
        <v>0</v>
      </c>
      <c r="G357" s="1">
        <v>1</v>
      </c>
      <c r="H357" s="1">
        <v>2</v>
      </c>
      <c r="I357" s="1">
        <v>0</v>
      </c>
      <c r="J357" s="1">
        <v>0</v>
      </c>
      <c r="K357" s="1">
        <v>0</v>
      </c>
      <c r="L357" s="1">
        <v>2529</v>
      </c>
      <c r="M357" s="1">
        <v>0</v>
      </c>
    </row>
    <row r="358" spans="2:13" x14ac:dyDescent="0.25">
      <c r="B358" s="1">
        <v>0</v>
      </c>
      <c r="C358" s="1">
        <v>0</v>
      </c>
      <c r="D358" s="1">
        <v>0.9810526315789474</v>
      </c>
      <c r="E358" s="1">
        <v>1.8947368421052633E-2</v>
      </c>
      <c r="F358" s="1">
        <v>23</v>
      </c>
      <c r="G358" s="1">
        <v>1</v>
      </c>
      <c r="H358" s="1">
        <v>3</v>
      </c>
      <c r="I358" s="1">
        <v>0</v>
      </c>
      <c r="J358" s="1">
        <v>2</v>
      </c>
      <c r="K358" s="1">
        <v>0</v>
      </c>
      <c r="L358" s="1">
        <v>10104</v>
      </c>
      <c r="M358" s="1">
        <v>0</v>
      </c>
    </row>
    <row r="359" spans="2:13" x14ac:dyDescent="0.25">
      <c r="B359" s="1">
        <v>0</v>
      </c>
      <c r="C359" s="1">
        <v>0</v>
      </c>
      <c r="D359" s="1">
        <v>0.99749999999999994</v>
      </c>
      <c r="E359" s="1">
        <v>2.5000000000000001E-3</v>
      </c>
      <c r="F359" s="1">
        <v>59</v>
      </c>
      <c r="G359" s="1">
        <v>0</v>
      </c>
      <c r="H359" s="1">
        <v>2</v>
      </c>
      <c r="I359" s="1">
        <v>3</v>
      </c>
      <c r="J359" s="1">
        <v>1</v>
      </c>
      <c r="K359" s="1">
        <v>0</v>
      </c>
      <c r="L359" s="1">
        <v>11188</v>
      </c>
      <c r="M359" s="1">
        <v>0</v>
      </c>
    </row>
    <row r="360" spans="2:13" x14ac:dyDescent="0.25">
      <c r="B360" s="1">
        <v>0</v>
      </c>
      <c r="C360" s="1">
        <v>0</v>
      </c>
      <c r="D360" s="1">
        <v>0.68</v>
      </c>
      <c r="E360" s="1">
        <v>0.32</v>
      </c>
      <c r="F360" s="1">
        <v>80</v>
      </c>
      <c r="G360" s="1">
        <v>1</v>
      </c>
      <c r="H360" s="1">
        <v>2</v>
      </c>
      <c r="I360" s="1">
        <v>7</v>
      </c>
      <c r="J360" s="1">
        <v>0</v>
      </c>
      <c r="K360" s="1">
        <v>0</v>
      </c>
      <c r="L360" s="1">
        <v>10150</v>
      </c>
      <c r="M360" s="1">
        <v>0</v>
      </c>
    </row>
    <row r="361" spans="2:13" x14ac:dyDescent="0.25">
      <c r="B361" s="1">
        <v>0</v>
      </c>
      <c r="C361" s="1">
        <v>0</v>
      </c>
      <c r="D361" s="1">
        <v>0.9810526315789474</v>
      </c>
      <c r="E361" s="1">
        <v>1.8947368421052633E-2</v>
      </c>
      <c r="F361" s="1">
        <v>27</v>
      </c>
      <c r="G361" s="1">
        <v>1</v>
      </c>
      <c r="H361" s="1">
        <v>2</v>
      </c>
      <c r="I361" s="1">
        <v>0</v>
      </c>
      <c r="J361" s="1">
        <v>3</v>
      </c>
      <c r="K361" s="1">
        <v>0</v>
      </c>
      <c r="L361" s="1">
        <v>16372</v>
      </c>
      <c r="M361" s="1">
        <v>1</v>
      </c>
    </row>
    <row r="362" spans="2:13" x14ac:dyDescent="0.25">
      <c r="B362" s="1">
        <v>0</v>
      </c>
      <c r="C362" s="1">
        <v>0</v>
      </c>
      <c r="D362" s="1">
        <v>0.68</v>
      </c>
      <c r="E362" s="1">
        <v>0.32</v>
      </c>
      <c r="F362" s="1">
        <v>82</v>
      </c>
      <c r="G362" s="1">
        <v>1</v>
      </c>
      <c r="H362" s="1">
        <v>7</v>
      </c>
      <c r="I362" s="1">
        <v>4</v>
      </c>
      <c r="J362" s="1">
        <v>0</v>
      </c>
      <c r="K362" s="1">
        <v>0</v>
      </c>
      <c r="L362" s="1">
        <v>8465</v>
      </c>
      <c r="M362" s="1">
        <v>0</v>
      </c>
    </row>
    <row r="363" spans="2:13" x14ac:dyDescent="0.25">
      <c r="B363" s="1">
        <v>0</v>
      </c>
      <c r="C363" s="1">
        <v>0</v>
      </c>
      <c r="D363" s="1">
        <v>0.99749999999999994</v>
      </c>
      <c r="E363" s="1">
        <v>2.5000000000000001E-3</v>
      </c>
      <c r="F363" s="1">
        <v>64</v>
      </c>
      <c r="G363" s="1">
        <v>1</v>
      </c>
      <c r="H363" s="1">
        <v>1</v>
      </c>
      <c r="I363" s="1">
        <v>1</v>
      </c>
      <c r="J363" s="1">
        <v>0</v>
      </c>
      <c r="K363" s="1">
        <v>0</v>
      </c>
      <c r="L363" s="1">
        <v>8601</v>
      </c>
      <c r="M363" s="1">
        <v>0</v>
      </c>
    </row>
    <row r="364" spans="2:13" x14ac:dyDescent="0.25">
      <c r="B364" s="1">
        <v>0</v>
      </c>
      <c r="C364" s="1">
        <v>0</v>
      </c>
      <c r="D364" s="1">
        <v>0.9810526315789474</v>
      </c>
      <c r="E364" s="1">
        <v>1.8947368421052633E-2</v>
      </c>
      <c r="F364" s="1">
        <v>19</v>
      </c>
      <c r="G364" s="1">
        <v>0</v>
      </c>
      <c r="H364" s="1">
        <v>8</v>
      </c>
      <c r="I364" s="1">
        <v>2</v>
      </c>
      <c r="J364" s="1">
        <v>0</v>
      </c>
      <c r="K364" s="1">
        <v>0</v>
      </c>
      <c r="L364" s="1">
        <v>11918</v>
      </c>
      <c r="M364" s="1">
        <v>0</v>
      </c>
    </row>
    <row r="365" spans="2:13" x14ac:dyDescent="0.25">
      <c r="B365" s="1">
        <v>1</v>
      </c>
      <c r="C365" s="1">
        <v>1</v>
      </c>
      <c r="D365" s="1">
        <v>0</v>
      </c>
      <c r="E365" s="1">
        <v>1</v>
      </c>
      <c r="F365" s="1">
        <v>74</v>
      </c>
      <c r="G365" s="1">
        <v>1</v>
      </c>
      <c r="H365" s="1">
        <v>3</v>
      </c>
      <c r="I365" s="1">
        <v>6</v>
      </c>
      <c r="J365" s="1">
        <v>0</v>
      </c>
      <c r="K365" s="1">
        <v>1</v>
      </c>
      <c r="L365" s="1">
        <v>14172</v>
      </c>
      <c r="M365" s="1">
        <v>0</v>
      </c>
    </row>
    <row r="366" spans="2:13" x14ac:dyDescent="0.25">
      <c r="B366" s="1">
        <v>1</v>
      </c>
      <c r="C366" s="1">
        <v>1</v>
      </c>
      <c r="D366" s="1">
        <v>0.19999999999999998</v>
      </c>
      <c r="E366" s="1">
        <v>0.79999999999999993</v>
      </c>
      <c r="F366" s="1">
        <v>36</v>
      </c>
      <c r="G366" s="1">
        <v>1</v>
      </c>
      <c r="H366" s="1">
        <v>1</v>
      </c>
      <c r="I366" s="1">
        <v>0</v>
      </c>
      <c r="J366" s="1">
        <v>3</v>
      </c>
      <c r="K366" s="1">
        <v>0</v>
      </c>
      <c r="L366" s="1">
        <v>8028</v>
      </c>
      <c r="M366" s="1">
        <v>1</v>
      </c>
    </row>
    <row r="367" spans="2:13" x14ac:dyDescent="0.25">
      <c r="B367" s="17">
        <v>0</v>
      </c>
      <c r="C367" s="17">
        <v>1</v>
      </c>
      <c r="D367" s="17">
        <v>0.68</v>
      </c>
      <c r="E367" s="17">
        <v>0.32</v>
      </c>
      <c r="F367" s="17">
        <v>81</v>
      </c>
      <c r="G367" s="17">
        <v>0</v>
      </c>
      <c r="H367" s="17">
        <v>3</v>
      </c>
      <c r="I367" s="17">
        <v>4</v>
      </c>
      <c r="J367" s="17">
        <v>0</v>
      </c>
      <c r="K367" s="17">
        <v>0</v>
      </c>
      <c r="L367" s="17">
        <v>11285</v>
      </c>
      <c r="M367" s="17">
        <v>0</v>
      </c>
    </row>
    <row r="368" spans="2:13" x14ac:dyDescent="0.25">
      <c r="B368" s="1">
        <v>0</v>
      </c>
      <c r="C368" s="1">
        <v>0</v>
      </c>
      <c r="D368" s="1">
        <v>0.9810526315789474</v>
      </c>
      <c r="E368" s="1">
        <v>1.8947368421052633E-2</v>
      </c>
      <c r="F368" s="1">
        <v>0</v>
      </c>
      <c r="G368" s="1">
        <v>0</v>
      </c>
      <c r="H368" s="1">
        <v>3</v>
      </c>
      <c r="I368" s="1">
        <v>0</v>
      </c>
      <c r="J368" s="1">
        <v>0</v>
      </c>
      <c r="K368" s="1">
        <v>0</v>
      </c>
      <c r="L368" s="1">
        <v>2396</v>
      </c>
      <c r="M368" s="1">
        <v>0</v>
      </c>
    </row>
    <row r="369" spans="2:13" x14ac:dyDescent="0.25">
      <c r="B369" s="17">
        <v>1</v>
      </c>
      <c r="C369" s="17">
        <v>0</v>
      </c>
      <c r="D369" s="17">
        <v>0.19999999999999996</v>
      </c>
      <c r="E369" s="17">
        <v>0.79999999999999993</v>
      </c>
      <c r="F369" s="17">
        <v>85</v>
      </c>
      <c r="G369" s="17">
        <v>1</v>
      </c>
      <c r="H369" s="17">
        <v>10</v>
      </c>
      <c r="I369" s="17">
        <v>5</v>
      </c>
      <c r="J369" s="17">
        <v>0</v>
      </c>
      <c r="K369" s="17">
        <v>0</v>
      </c>
      <c r="L369" s="17">
        <v>24553</v>
      </c>
      <c r="M369" s="17">
        <v>0</v>
      </c>
    </row>
    <row r="370" spans="2:13" x14ac:dyDescent="0.25">
      <c r="B370" s="1">
        <v>0</v>
      </c>
      <c r="C370" s="1">
        <v>0</v>
      </c>
      <c r="D370" s="1">
        <v>0.99749999999999994</v>
      </c>
      <c r="E370" s="1">
        <v>2.5000000000000001E-3</v>
      </c>
      <c r="F370" s="1">
        <v>71</v>
      </c>
      <c r="G370" s="1">
        <v>0</v>
      </c>
      <c r="H370" s="1">
        <v>5</v>
      </c>
      <c r="I370" s="1">
        <v>4</v>
      </c>
      <c r="J370" s="1">
        <v>0</v>
      </c>
      <c r="K370" s="1">
        <v>0</v>
      </c>
      <c r="L370" s="1">
        <v>11827</v>
      </c>
      <c r="M370" s="1">
        <v>0</v>
      </c>
    </row>
    <row r="371" spans="2:13" x14ac:dyDescent="0.25">
      <c r="B371" s="1">
        <v>0</v>
      </c>
      <c r="C371" s="1">
        <v>0</v>
      </c>
      <c r="D371" s="1">
        <v>0.99749999999999994</v>
      </c>
      <c r="E371" s="1">
        <v>2.5000000000000001E-3</v>
      </c>
      <c r="F371" s="1">
        <v>57</v>
      </c>
      <c r="G371" s="1">
        <v>1</v>
      </c>
      <c r="H371" s="1">
        <v>10</v>
      </c>
      <c r="I371" s="1">
        <v>4</v>
      </c>
      <c r="J371" s="1">
        <v>2</v>
      </c>
      <c r="K371" s="1">
        <v>0</v>
      </c>
      <c r="L371" s="1">
        <v>24633</v>
      </c>
      <c r="M371" s="1">
        <v>1</v>
      </c>
    </row>
    <row r="372" spans="2:13" x14ac:dyDescent="0.25">
      <c r="B372" s="17">
        <v>0</v>
      </c>
      <c r="C372" s="17">
        <v>1</v>
      </c>
      <c r="D372" s="17">
        <v>0.96666666666666667</v>
      </c>
      <c r="E372" s="17">
        <v>3.333333333333334E-2</v>
      </c>
      <c r="F372" s="17">
        <v>29</v>
      </c>
      <c r="G372" s="17">
        <v>1</v>
      </c>
      <c r="H372" s="17">
        <v>2</v>
      </c>
      <c r="I372" s="17">
        <v>0</v>
      </c>
      <c r="J372" s="17">
        <v>0</v>
      </c>
      <c r="K372" s="17">
        <v>0</v>
      </c>
      <c r="L372" s="17">
        <v>10739</v>
      </c>
      <c r="M372" s="17">
        <v>0</v>
      </c>
    </row>
    <row r="373" spans="2:13" x14ac:dyDescent="0.25">
      <c r="B373" s="1">
        <v>1</v>
      </c>
      <c r="C373" s="1">
        <v>1</v>
      </c>
      <c r="D373" s="1">
        <v>0</v>
      </c>
      <c r="E373" s="1">
        <v>1</v>
      </c>
      <c r="F373" s="1">
        <v>78</v>
      </c>
      <c r="G373" s="1">
        <v>0</v>
      </c>
      <c r="H373" s="1">
        <v>3</v>
      </c>
      <c r="I373" s="1">
        <v>5</v>
      </c>
      <c r="J373" s="1">
        <v>0</v>
      </c>
      <c r="K373" s="1">
        <v>1</v>
      </c>
      <c r="L373" s="1">
        <v>7095</v>
      </c>
      <c r="M373" s="1">
        <v>0</v>
      </c>
    </row>
    <row r="374" spans="2:13" x14ac:dyDescent="0.25">
      <c r="B374" s="1">
        <v>0</v>
      </c>
      <c r="C374" s="1">
        <v>0</v>
      </c>
      <c r="D374" s="1">
        <v>0.96666666666666667</v>
      </c>
      <c r="E374" s="1">
        <v>3.333333333333334E-2</v>
      </c>
      <c r="F374" s="1">
        <v>30</v>
      </c>
      <c r="G374" s="1">
        <v>1</v>
      </c>
      <c r="H374" s="1">
        <v>16</v>
      </c>
      <c r="I374" s="1">
        <v>3</v>
      </c>
      <c r="J374" s="1">
        <v>0</v>
      </c>
      <c r="K374" s="1">
        <v>0</v>
      </c>
      <c r="L374" s="1">
        <v>27522</v>
      </c>
      <c r="M374" s="1">
        <v>0</v>
      </c>
    </row>
    <row r="375" spans="2:13" x14ac:dyDescent="0.25">
      <c r="B375" s="1">
        <v>0</v>
      </c>
      <c r="C375" s="1">
        <v>0</v>
      </c>
      <c r="D375" s="1">
        <v>0.9810526315789474</v>
      </c>
      <c r="E375" s="1">
        <v>1.8947368421052633E-2</v>
      </c>
      <c r="F375" s="1">
        <v>18</v>
      </c>
      <c r="G375" s="1">
        <v>1</v>
      </c>
      <c r="H375" s="1">
        <v>3</v>
      </c>
      <c r="I375" s="1">
        <v>2</v>
      </c>
      <c r="J375" s="1">
        <v>2</v>
      </c>
      <c r="K375" s="1">
        <v>0</v>
      </c>
      <c r="L375" s="1">
        <v>9475</v>
      </c>
      <c r="M375" s="1">
        <v>0</v>
      </c>
    </row>
    <row r="376" spans="2:13" x14ac:dyDescent="0.25">
      <c r="B376" s="1">
        <v>0</v>
      </c>
      <c r="C376" s="1">
        <v>0</v>
      </c>
      <c r="D376" s="1">
        <v>0.9810526315789474</v>
      </c>
      <c r="E376" s="1">
        <v>1.8947368421052633E-2</v>
      </c>
      <c r="F376" s="1">
        <v>0</v>
      </c>
      <c r="G376" s="1">
        <v>1</v>
      </c>
      <c r="H376" s="1">
        <v>3</v>
      </c>
      <c r="I376" s="1">
        <v>0</v>
      </c>
      <c r="J376" s="1">
        <v>0</v>
      </c>
      <c r="K376" s="1">
        <v>0</v>
      </c>
      <c r="L376" s="1">
        <v>4475</v>
      </c>
      <c r="M376" s="1">
        <v>0</v>
      </c>
    </row>
    <row r="377" spans="2:13" x14ac:dyDescent="0.25">
      <c r="B377" s="1">
        <v>0</v>
      </c>
      <c r="C377" s="1">
        <v>0</v>
      </c>
      <c r="D377" s="1">
        <v>0.99749999999999994</v>
      </c>
      <c r="E377" s="1">
        <v>2.5000000000000001E-3</v>
      </c>
      <c r="F377" s="1">
        <v>61</v>
      </c>
      <c r="G377" s="1">
        <v>1</v>
      </c>
      <c r="H377" s="1">
        <v>6</v>
      </c>
      <c r="I377" s="1">
        <v>4</v>
      </c>
      <c r="J377" s="1">
        <v>0</v>
      </c>
      <c r="K377" s="1">
        <v>0</v>
      </c>
      <c r="L377" s="1">
        <v>37862</v>
      </c>
      <c r="M377" s="1">
        <v>0</v>
      </c>
    </row>
    <row r="378" spans="2:13" x14ac:dyDescent="0.25">
      <c r="B378" s="17">
        <v>0</v>
      </c>
      <c r="C378" s="17">
        <v>1</v>
      </c>
      <c r="D378" s="17">
        <v>0.625</v>
      </c>
      <c r="E378" s="17">
        <v>0.37500000000000006</v>
      </c>
      <c r="F378" s="17">
        <v>96</v>
      </c>
      <c r="G378" s="17">
        <v>1</v>
      </c>
      <c r="H378" s="17">
        <v>3</v>
      </c>
      <c r="I378" s="17">
        <v>3</v>
      </c>
      <c r="J378" s="17">
        <v>0</v>
      </c>
      <c r="K378" s="17">
        <v>0</v>
      </c>
      <c r="L378" s="17">
        <v>14106</v>
      </c>
      <c r="M378" s="17">
        <v>0</v>
      </c>
    </row>
    <row r="379" spans="2:13" x14ac:dyDescent="0.25">
      <c r="B379" s="17">
        <v>0</v>
      </c>
      <c r="C379" s="17">
        <v>1</v>
      </c>
      <c r="D379" s="17">
        <v>0.68</v>
      </c>
      <c r="E379" s="17">
        <v>0.32</v>
      </c>
      <c r="F379" s="17">
        <v>97</v>
      </c>
      <c r="G379" s="17">
        <v>1</v>
      </c>
      <c r="H379" s="17">
        <v>2</v>
      </c>
      <c r="I379" s="17">
        <v>3</v>
      </c>
      <c r="J379" s="17">
        <v>2</v>
      </c>
      <c r="K379" s="17">
        <v>0</v>
      </c>
      <c r="L379" s="17">
        <v>10271</v>
      </c>
      <c r="M379" s="17">
        <v>0</v>
      </c>
    </row>
    <row r="380" spans="2:13" x14ac:dyDescent="0.25">
      <c r="B380" s="1">
        <v>0</v>
      </c>
      <c r="C380" s="1">
        <v>0</v>
      </c>
      <c r="D380" s="1">
        <v>0.9810526315789474</v>
      </c>
      <c r="E380" s="1">
        <v>1.8947368421052633E-2</v>
      </c>
      <c r="F380" s="1">
        <v>0</v>
      </c>
      <c r="G380" s="1">
        <v>1</v>
      </c>
      <c r="H380" s="1">
        <v>2</v>
      </c>
      <c r="I380" s="1">
        <v>0</v>
      </c>
      <c r="J380" s="1">
        <v>0</v>
      </c>
      <c r="K380" s="1">
        <v>0</v>
      </c>
      <c r="L380" s="1">
        <v>1068</v>
      </c>
      <c r="M380" s="1">
        <v>0</v>
      </c>
    </row>
    <row r="381" spans="2:13" x14ac:dyDescent="0.25">
      <c r="B381" s="1">
        <v>0</v>
      </c>
      <c r="C381" s="1">
        <v>0</v>
      </c>
      <c r="D381" s="1">
        <v>0.99749999999999994</v>
      </c>
      <c r="E381" s="1">
        <v>2.5000000000000001E-3</v>
      </c>
      <c r="F381" s="1">
        <v>56</v>
      </c>
      <c r="G381" s="1">
        <v>1</v>
      </c>
      <c r="H381" s="1">
        <v>17</v>
      </c>
      <c r="I381" s="1">
        <v>4</v>
      </c>
      <c r="J381" s="1">
        <v>0</v>
      </c>
      <c r="K381" s="1">
        <v>0</v>
      </c>
      <c r="L381" s="1">
        <v>26649</v>
      </c>
      <c r="M381" s="1">
        <v>0</v>
      </c>
    </row>
    <row r="382" spans="2:13" x14ac:dyDescent="0.25">
      <c r="B382" s="1">
        <v>0</v>
      </c>
      <c r="C382" s="1">
        <v>0</v>
      </c>
      <c r="D382" s="1">
        <v>0.8571428571428571</v>
      </c>
      <c r="E382" s="1">
        <v>0.14285714285714285</v>
      </c>
      <c r="F382" s="1">
        <v>52</v>
      </c>
      <c r="G382" s="1">
        <v>1</v>
      </c>
      <c r="H382" s="1">
        <v>4</v>
      </c>
      <c r="I382" s="1">
        <v>6</v>
      </c>
      <c r="J382" s="1">
        <v>0</v>
      </c>
      <c r="K382" s="1">
        <v>0</v>
      </c>
      <c r="L382" s="1">
        <v>8031</v>
      </c>
      <c r="M382" s="1">
        <v>0</v>
      </c>
    </row>
    <row r="383" spans="2:13" x14ac:dyDescent="0.25">
      <c r="B383" s="1">
        <v>0</v>
      </c>
      <c r="C383" s="1">
        <v>0</v>
      </c>
      <c r="D383" s="1">
        <v>0.9810526315789474</v>
      </c>
      <c r="E383" s="1">
        <v>1.8947368421052633E-2</v>
      </c>
      <c r="F383" s="1">
        <v>25</v>
      </c>
      <c r="G383" s="1">
        <v>1</v>
      </c>
      <c r="H383" s="1">
        <v>7</v>
      </c>
      <c r="I383" s="1">
        <v>5</v>
      </c>
      <c r="J383" s="1">
        <v>0</v>
      </c>
      <c r="K383" s="1">
        <v>0</v>
      </c>
      <c r="L383" s="1">
        <v>33881</v>
      </c>
      <c r="M383" s="1">
        <v>0</v>
      </c>
    </row>
    <row r="384" spans="2:13" x14ac:dyDescent="0.25">
      <c r="B384" s="1">
        <v>0</v>
      </c>
      <c r="C384" s="1">
        <v>0</v>
      </c>
      <c r="D384" s="1">
        <v>1</v>
      </c>
      <c r="E384" s="1">
        <v>0</v>
      </c>
      <c r="F384" s="1">
        <v>91</v>
      </c>
      <c r="G384" s="1">
        <v>1</v>
      </c>
      <c r="H384" s="1">
        <v>5</v>
      </c>
      <c r="I384" s="1">
        <v>4</v>
      </c>
      <c r="J384" s="1">
        <v>2</v>
      </c>
      <c r="K384" s="1">
        <v>0</v>
      </c>
      <c r="L384" s="1">
        <v>17160</v>
      </c>
      <c r="M384" s="1">
        <v>0</v>
      </c>
    </row>
    <row r="385" spans="2:13" x14ac:dyDescent="0.25">
      <c r="B385" s="1">
        <v>0</v>
      </c>
      <c r="C385" s="1">
        <v>0</v>
      </c>
      <c r="D385" s="1">
        <v>0.9810526315789474</v>
      </c>
      <c r="E385" s="1">
        <v>1.8947368421052633E-2</v>
      </c>
      <c r="F385" s="1">
        <v>27</v>
      </c>
      <c r="G385" s="1">
        <v>1</v>
      </c>
      <c r="H385" s="1">
        <v>3</v>
      </c>
      <c r="I385" s="1">
        <v>0</v>
      </c>
      <c r="J385" s="1">
        <v>1</v>
      </c>
      <c r="K385" s="1">
        <v>0</v>
      </c>
      <c r="L385" s="1">
        <v>18529</v>
      </c>
      <c r="M385" s="1">
        <v>1</v>
      </c>
    </row>
    <row r="386" spans="2:13" x14ac:dyDescent="0.25">
      <c r="B386" s="1">
        <v>0</v>
      </c>
      <c r="C386" s="1">
        <v>0</v>
      </c>
      <c r="D386" s="1">
        <v>0.9810526315789474</v>
      </c>
      <c r="E386" s="1">
        <v>1.8947368421052633E-2</v>
      </c>
      <c r="F386" s="1">
        <v>0</v>
      </c>
      <c r="G386" s="1">
        <v>1</v>
      </c>
      <c r="H386" s="1">
        <v>3</v>
      </c>
      <c r="I386" s="1">
        <v>0</v>
      </c>
      <c r="J386" s="1">
        <v>0</v>
      </c>
      <c r="K386" s="1">
        <v>0</v>
      </c>
      <c r="L386" s="1">
        <v>2655</v>
      </c>
      <c r="M386" s="1">
        <v>0</v>
      </c>
    </row>
    <row r="387" spans="2:13" x14ac:dyDescent="0.25">
      <c r="B387" s="1">
        <v>0</v>
      </c>
      <c r="C387" s="1">
        <v>0</v>
      </c>
      <c r="D387" s="1">
        <v>1</v>
      </c>
      <c r="E387" s="1">
        <v>0</v>
      </c>
      <c r="F387" s="1">
        <v>41</v>
      </c>
      <c r="G387" s="1">
        <v>0</v>
      </c>
      <c r="H387" s="1">
        <v>0</v>
      </c>
      <c r="I387" s="1">
        <v>3</v>
      </c>
      <c r="J387" s="1">
        <v>0</v>
      </c>
      <c r="K387" s="1">
        <v>0</v>
      </c>
      <c r="L387" s="1">
        <v>6231</v>
      </c>
      <c r="M387" s="1">
        <v>0</v>
      </c>
    </row>
    <row r="388" spans="2:13" x14ac:dyDescent="0.25">
      <c r="B388" s="1">
        <v>0</v>
      </c>
      <c r="C388" s="1">
        <v>0</v>
      </c>
      <c r="D388" s="1">
        <v>0.9810526315789474</v>
      </c>
      <c r="E388" s="1">
        <v>1.8947368421052633E-2</v>
      </c>
      <c r="F388" s="1">
        <v>0</v>
      </c>
      <c r="G388" s="1">
        <v>0</v>
      </c>
      <c r="H388" s="1">
        <v>2</v>
      </c>
      <c r="I388" s="1">
        <v>0</v>
      </c>
      <c r="J388" s="1">
        <v>0</v>
      </c>
      <c r="K388" s="1">
        <v>0</v>
      </c>
      <c r="L388" s="1">
        <v>1875</v>
      </c>
      <c r="M388" s="1">
        <v>0</v>
      </c>
    </row>
    <row r="389" spans="2:13" x14ac:dyDescent="0.25">
      <c r="B389" s="1">
        <v>0</v>
      </c>
      <c r="C389" s="1">
        <v>0</v>
      </c>
      <c r="D389" s="1">
        <v>0.9810526315789474</v>
      </c>
      <c r="E389" s="1">
        <v>1.8947368421052633E-2</v>
      </c>
      <c r="F389" s="1">
        <v>17</v>
      </c>
      <c r="G389" s="1">
        <v>1</v>
      </c>
      <c r="H389" s="1">
        <v>2</v>
      </c>
      <c r="I389" s="1">
        <v>0</v>
      </c>
      <c r="J389" s="1">
        <v>2</v>
      </c>
      <c r="K389" s="1">
        <v>0</v>
      </c>
      <c r="L389" s="1">
        <v>6066</v>
      </c>
      <c r="M389" s="1">
        <v>0</v>
      </c>
    </row>
    <row r="390" spans="2:13" x14ac:dyDescent="0.25">
      <c r="B390" s="17">
        <v>1</v>
      </c>
      <c r="C390" s="17">
        <v>0</v>
      </c>
      <c r="D390" s="17">
        <v>0.16666666666666666</v>
      </c>
      <c r="E390" s="17">
        <v>0.83333333333333326</v>
      </c>
      <c r="F390" s="17">
        <v>23</v>
      </c>
      <c r="G390" s="17">
        <v>0</v>
      </c>
      <c r="H390" s="17">
        <v>13</v>
      </c>
      <c r="I390" s="17">
        <v>3</v>
      </c>
      <c r="J390" s="17">
        <v>1</v>
      </c>
      <c r="K390" s="17">
        <v>0</v>
      </c>
      <c r="L390" s="17">
        <v>59332</v>
      </c>
      <c r="M390" s="17">
        <v>0</v>
      </c>
    </row>
    <row r="391" spans="2:13" x14ac:dyDescent="0.25">
      <c r="B391" s="1">
        <v>0</v>
      </c>
      <c r="C391" s="1">
        <v>0</v>
      </c>
      <c r="D391" s="1">
        <v>0.99749999999999994</v>
      </c>
      <c r="E391" s="1">
        <v>2.5000000000000001E-3</v>
      </c>
      <c r="F391" s="1">
        <v>64</v>
      </c>
      <c r="G391" s="1">
        <v>1</v>
      </c>
      <c r="H391" s="1">
        <v>2</v>
      </c>
      <c r="I391" s="1">
        <v>1</v>
      </c>
      <c r="J391" s="1">
        <v>1</v>
      </c>
      <c r="K391" s="1">
        <v>0</v>
      </c>
      <c r="L391" s="1">
        <v>11246</v>
      </c>
      <c r="M391" s="1">
        <v>0</v>
      </c>
    </row>
    <row r="392" spans="2:13" x14ac:dyDescent="0.25">
      <c r="B392" s="1">
        <v>0</v>
      </c>
      <c r="C392" s="1">
        <v>0</v>
      </c>
      <c r="D392" s="1">
        <v>0.9810526315789474</v>
      </c>
      <c r="E392" s="1">
        <v>1.8947368421052633E-2</v>
      </c>
      <c r="F392" s="1">
        <v>0</v>
      </c>
      <c r="G392" s="1">
        <v>0</v>
      </c>
      <c r="H392" s="1">
        <v>3</v>
      </c>
      <c r="I392" s="1">
        <v>0</v>
      </c>
      <c r="J392" s="1">
        <v>1</v>
      </c>
      <c r="K392" s="1">
        <v>0</v>
      </c>
      <c r="L392" s="1">
        <v>1668</v>
      </c>
      <c r="M392" s="1">
        <v>1</v>
      </c>
    </row>
    <row r="393" spans="2:13" x14ac:dyDescent="0.25">
      <c r="B393" s="1">
        <v>0</v>
      </c>
      <c r="C393" s="1">
        <v>0</v>
      </c>
      <c r="D393" s="1">
        <v>0.9810526315789474</v>
      </c>
      <c r="E393" s="1">
        <v>1.8947368421052633E-2</v>
      </c>
      <c r="F393" s="1">
        <v>0</v>
      </c>
      <c r="G393" s="1">
        <v>0</v>
      </c>
      <c r="H393" s="1">
        <v>2</v>
      </c>
      <c r="I393" s="1">
        <v>0</v>
      </c>
      <c r="J393" s="1">
        <v>0</v>
      </c>
      <c r="K393" s="1">
        <v>0</v>
      </c>
      <c r="L393" s="1">
        <v>2231</v>
      </c>
      <c r="M393" s="1">
        <v>0</v>
      </c>
    </row>
    <row r="394" spans="2:13" x14ac:dyDescent="0.25">
      <c r="B394" s="1">
        <v>0</v>
      </c>
      <c r="C394" s="1">
        <v>0</v>
      </c>
      <c r="D394" s="1">
        <v>0.96666666666666667</v>
      </c>
      <c r="E394" s="1">
        <v>3.333333333333334E-2</v>
      </c>
      <c r="F394" s="1">
        <v>31</v>
      </c>
      <c r="G394" s="1">
        <v>0</v>
      </c>
      <c r="H394" s="1">
        <v>3</v>
      </c>
      <c r="I394" s="1">
        <v>2</v>
      </c>
      <c r="J394" s="1">
        <v>4</v>
      </c>
      <c r="K394" s="1">
        <v>0</v>
      </c>
      <c r="L394" s="1">
        <v>17228</v>
      </c>
      <c r="M394" s="1">
        <v>0</v>
      </c>
    </row>
    <row r="395" spans="2:13" x14ac:dyDescent="0.25">
      <c r="B395" s="1">
        <v>1</v>
      </c>
      <c r="C395" s="1">
        <v>1</v>
      </c>
      <c r="D395" s="1">
        <v>0</v>
      </c>
      <c r="E395" s="1">
        <v>1</v>
      </c>
      <c r="F395" s="1">
        <v>76</v>
      </c>
      <c r="G395" s="1">
        <v>0</v>
      </c>
      <c r="H395" s="1">
        <v>6</v>
      </c>
      <c r="I395" s="1">
        <v>5</v>
      </c>
      <c r="J395" s="1">
        <v>4</v>
      </c>
      <c r="K395" s="1">
        <v>1</v>
      </c>
      <c r="L395" s="1">
        <v>19252</v>
      </c>
      <c r="M395" s="1">
        <v>1</v>
      </c>
    </row>
    <row r="396" spans="2:13" x14ac:dyDescent="0.25">
      <c r="B396" s="1">
        <v>0</v>
      </c>
      <c r="C396" s="1">
        <v>0</v>
      </c>
      <c r="D396" s="1">
        <v>0.96666666666666667</v>
      </c>
      <c r="E396" s="1">
        <v>3.333333333333334E-2</v>
      </c>
      <c r="F396" s="1">
        <v>35</v>
      </c>
      <c r="G396" s="1">
        <v>0</v>
      </c>
      <c r="H396" s="1">
        <v>3</v>
      </c>
      <c r="I396" s="1">
        <v>2</v>
      </c>
      <c r="J396" s="1">
        <v>1</v>
      </c>
      <c r="K396" s="1">
        <v>0</v>
      </c>
      <c r="L396" s="1">
        <v>9745</v>
      </c>
      <c r="M396" s="1">
        <v>0</v>
      </c>
    </row>
    <row r="397" spans="2:13" x14ac:dyDescent="0.25">
      <c r="B397" s="1">
        <v>0</v>
      </c>
      <c r="C397" s="1">
        <v>0</v>
      </c>
      <c r="D397" s="1">
        <v>0.99749999999999994</v>
      </c>
      <c r="E397" s="1">
        <v>2.5000000000000001E-3</v>
      </c>
      <c r="F397" s="1">
        <v>66</v>
      </c>
      <c r="G397" s="1">
        <v>0</v>
      </c>
      <c r="H397" s="1">
        <v>2</v>
      </c>
      <c r="I397" s="1">
        <v>3</v>
      </c>
      <c r="J397" s="1">
        <v>1</v>
      </c>
      <c r="K397" s="1">
        <v>0</v>
      </c>
      <c r="L397" s="1">
        <v>7607</v>
      </c>
      <c r="M397" s="1">
        <v>0</v>
      </c>
    </row>
    <row r="398" spans="2:13" x14ac:dyDescent="0.25">
      <c r="B398" s="1">
        <v>0</v>
      </c>
      <c r="C398" s="1">
        <v>0</v>
      </c>
      <c r="D398" s="1">
        <v>0.68</v>
      </c>
      <c r="E398" s="1">
        <v>0.32</v>
      </c>
      <c r="F398" s="1">
        <v>81</v>
      </c>
      <c r="G398" s="1">
        <v>1</v>
      </c>
      <c r="H398" s="1">
        <v>2</v>
      </c>
      <c r="I398" s="1">
        <v>5</v>
      </c>
      <c r="J398" s="1">
        <v>0</v>
      </c>
      <c r="K398" s="1">
        <v>0</v>
      </c>
      <c r="L398" s="1">
        <v>9426</v>
      </c>
      <c r="M398" s="1">
        <v>0</v>
      </c>
    </row>
    <row r="399" spans="2:13" x14ac:dyDescent="0.25">
      <c r="B399" s="1">
        <v>0</v>
      </c>
      <c r="C399" s="1">
        <v>0</v>
      </c>
      <c r="D399" s="1">
        <v>0.8571428571428571</v>
      </c>
      <c r="E399" s="1">
        <v>0.14285714285714288</v>
      </c>
      <c r="F399" s="1">
        <v>77</v>
      </c>
      <c r="G399" s="1">
        <v>0</v>
      </c>
      <c r="H399" s="1">
        <v>6</v>
      </c>
      <c r="I399" s="1">
        <v>4</v>
      </c>
      <c r="J399" s="1">
        <v>0</v>
      </c>
      <c r="K399" s="1">
        <v>0</v>
      </c>
      <c r="L399" s="1">
        <v>25219</v>
      </c>
      <c r="M399" s="1">
        <v>0</v>
      </c>
    </row>
    <row r="400" spans="2:13" x14ac:dyDescent="0.25">
      <c r="B400" s="1">
        <v>1</v>
      </c>
      <c r="C400" s="1">
        <v>1</v>
      </c>
      <c r="D400" s="1">
        <v>0</v>
      </c>
      <c r="E400" s="1">
        <v>1</v>
      </c>
      <c r="F400" s="1">
        <v>83</v>
      </c>
      <c r="G400" s="1">
        <v>1</v>
      </c>
      <c r="H400" s="1">
        <v>5</v>
      </c>
      <c r="I400" s="1">
        <v>3</v>
      </c>
      <c r="J400" s="1">
        <v>1</v>
      </c>
      <c r="K400" s="1">
        <v>1</v>
      </c>
      <c r="L400" s="1">
        <v>31892</v>
      </c>
      <c r="M400" s="1">
        <v>1</v>
      </c>
    </row>
    <row r="401" spans="2:13" x14ac:dyDescent="0.25">
      <c r="B401" s="1">
        <v>1</v>
      </c>
      <c r="C401" s="1">
        <v>1</v>
      </c>
      <c r="D401" s="1">
        <v>0.36</v>
      </c>
      <c r="E401" s="1">
        <v>0.64</v>
      </c>
      <c r="F401" s="1">
        <v>85</v>
      </c>
      <c r="G401" s="1">
        <v>1</v>
      </c>
      <c r="H401" s="1">
        <v>5</v>
      </c>
      <c r="I401" s="1">
        <v>8</v>
      </c>
      <c r="J401" s="1">
        <v>0</v>
      </c>
      <c r="K401" s="1">
        <v>0</v>
      </c>
      <c r="L401" s="1">
        <v>16268</v>
      </c>
      <c r="M401" s="1">
        <v>0</v>
      </c>
    </row>
    <row r="402" spans="2:13" x14ac:dyDescent="0.25">
      <c r="B402" s="1">
        <v>0</v>
      </c>
      <c r="C402" s="1">
        <v>0</v>
      </c>
      <c r="D402" s="1">
        <v>0.99749999999999994</v>
      </c>
      <c r="E402" s="1">
        <v>2.5000000000000001E-3</v>
      </c>
      <c r="F402" s="1">
        <v>68</v>
      </c>
      <c r="G402" s="1">
        <v>1</v>
      </c>
      <c r="H402" s="1">
        <v>4</v>
      </c>
      <c r="I402" s="1">
        <v>3</v>
      </c>
      <c r="J402" s="1">
        <v>0</v>
      </c>
      <c r="K402" s="1">
        <v>0</v>
      </c>
      <c r="L402" s="1">
        <v>11920</v>
      </c>
      <c r="M402" s="1">
        <v>0</v>
      </c>
    </row>
    <row r="403" spans="2:13" x14ac:dyDescent="0.25">
      <c r="B403" s="1">
        <v>0</v>
      </c>
      <c r="C403" s="1">
        <v>0</v>
      </c>
      <c r="D403" s="1">
        <v>0.9810526315789474</v>
      </c>
      <c r="E403" s="1">
        <v>1.8947368421052633E-2</v>
      </c>
      <c r="F403" s="1">
        <v>24</v>
      </c>
      <c r="G403" s="1">
        <v>1</v>
      </c>
      <c r="H403" s="1">
        <v>2</v>
      </c>
      <c r="I403" s="1">
        <v>1</v>
      </c>
      <c r="J403" s="1">
        <v>1</v>
      </c>
      <c r="K403" s="1">
        <v>0</v>
      </c>
      <c r="L403" s="1">
        <v>8731</v>
      </c>
      <c r="M403" s="1">
        <v>0</v>
      </c>
    </row>
    <row r="404" spans="2:13" x14ac:dyDescent="0.25">
      <c r="B404" s="1">
        <v>1</v>
      </c>
      <c r="C404" s="1">
        <v>1</v>
      </c>
      <c r="D404" s="1">
        <v>0</v>
      </c>
      <c r="E404" s="1">
        <v>1</v>
      </c>
      <c r="F404" s="1">
        <v>51</v>
      </c>
      <c r="G404" s="1">
        <v>1</v>
      </c>
      <c r="H404" s="1">
        <v>5</v>
      </c>
      <c r="I404" s="1">
        <v>0</v>
      </c>
      <c r="J404" s="1">
        <v>3</v>
      </c>
      <c r="K404" s="1">
        <v>1</v>
      </c>
      <c r="L404" s="1">
        <v>10723</v>
      </c>
      <c r="M404" s="1">
        <v>0</v>
      </c>
    </row>
    <row r="405" spans="2:13" x14ac:dyDescent="0.25">
      <c r="B405" s="1">
        <v>0</v>
      </c>
      <c r="C405" s="1">
        <v>0</v>
      </c>
      <c r="D405" s="1">
        <v>0.9810526315789474</v>
      </c>
      <c r="E405" s="1">
        <v>1.8947368421052633E-2</v>
      </c>
      <c r="F405" s="1">
        <v>27</v>
      </c>
      <c r="G405" s="1">
        <v>1</v>
      </c>
      <c r="H405" s="1">
        <v>9</v>
      </c>
      <c r="I405" s="1">
        <v>0</v>
      </c>
      <c r="J405" s="1">
        <v>2</v>
      </c>
      <c r="K405" s="1">
        <v>0</v>
      </c>
      <c r="L405" s="1">
        <v>25884</v>
      </c>
      <c r="M405" s="1">
        <v>0</v>
      </c>
    </row>
    <row r="406" spans="2:13" x14ac:dyDescent="0.25">
      <c r="B406" s="1">
        <v>0</v>
      </c>
      <c r="C406" s="1">
        <v>0</v>
      </c>
      <c r="D406" s="1">
        <v>0.8571428571428571</v>
      </c>
      <c r="E406" s="1">
        <v>0.14285714285714288</v>
      </c>
      <c r="F406" s="1">
        <v>76</v>
      </c>
      <c r="G406" s="1">
        <v>0</v>
      </c>
      <c r="H406" s="1">
        <v>4</v>
      </c>
      <c r="I406" s="1">
        <v>6</v>
      </c>
      <c r="J406" s="1">
        <v>0</v>
      </c>
      <c r="K406" s="1">
        <v>0</v>
      </c>
      <c r="L406" s="1">
        <v>23750</v>
      </c>
      <c r="M406" s="1">
        <v>0</v>
      </c>
    </row>
    <row r="407" spans="2:13" x14ac:dyDescent="0.25">
      <c r="B407" s="1">
        <v>0</v>
      </c>
      <c r="C407" s="1">
        <v>0</v>
      </c>
      <c r="D407" s="1">
        <v>0.99749999999999994</v>
      </c>
      <c r="E407" s="1">
        <v>2.5000000000000001E-3</v>
      </c>
      <c r="F407" s="1">
        <v>57</v>
      </c>
      <c r="G407" s="1">
        <v>0</v>
      </c>
      <c r="H407" s="1">
        <v>14</v>
      </c>
      <c r="I407" s="1">
        <v>2</v>
      </c>
      <c r="J407" s="1">
        <v>0</v>
      </c>
      <c r="K407" s="1">
        <v>0</v>
      </c>
      <c r="L407" s="1">
        <v>23544</v>
      </c>
      <c r="M407" s="1">
        <v>0</v>
      </c>
    </row>
    <row r="408" spans="2:13" x14ac:dyDescent="0.25">
      <c r="B408" s="1">
        <v>0</v>
      </c>
      <c r="C408" s="1">
        <v>0</v>
      </c>
      <c r="D408" s="1">
        <v>0.9810526315789474</v>
      </c>
      <c r="E408" s="1">
        <v>1.8947368421052633E-2</v>
      </c>
      <c r="F408" s="1">
        <v>0</v>
      </c>
      <c r="G408" s="1">
        <v>0</v>
      </c>
      <c r="H408" s="1">
        <v>2</v>
      </c>
      <c r="I408" s="1">
        <v>1</v>
      </c>
      <c r="J408" s="1">
        <v>0</v>
      </c>
      <c r="K408" s="1">
        <v>0</v>
      </c>
      <c r="L408" s="1">
        <v>1990</v>
      </c>
      <c r="M408" s="1">
        <v>0</v>
      </c>
    </row>
    <row r="409" spans="2:13" x14ac:dyDescent="0.25">
      <c r="B409" s="1">
        <v>0</v>
      </c>
      <c r="C409" s="1">
        <v>0</v>
      </c>
      <c r="D409" s="1">
        <v>1</v>
      </c>
      <c r="E409" s="1">
        <v>0</v>
      </c>
      <c r="F409" s="1">
        <v>41</v>
      </c>
      <c r="G409" s="1">
        <v>0</v>
      </c>
      <c r="H409" s="1">
        <v>4</v>
      </c>
      <c r="I409" s="1">
        <v>2</v>
      </c>
      <c r="J409" s="1">
        <v>0</v>
      </c>
      <c r="K409" s="1">
        <v>0</v>
      </c>
      <c r="L409" s="1">
        <v>6355</v>
      </c>
      <c r="M409" s="1">
        <v>0</v>
      </c>
    </row>
    <row r="410" spans="2:13" x14ac:dyDescent="0.25">
      <c r="B410" s="1">
        <v>0</v>
      </c>
      <c r="C410" s="1">
        <v>0</v>
      </c>
      <c r="D410" s="1">
        <v>0.99749999999999994</v>
      </c>
      <c r="E410" s="1">
        <v>2.5000000000000001E-3</v>
      </c>
      <c r="F410" s="1">
        <v>57</v>
      </c>
      <c r="G410" s="1">
        <v>0</v>
      </c>
      <c r="H410" s="1">
        <v>1</v>
      </c>
      <c r="I410" s="1">
        <v>5</v>
      </c>
      <c r="J410" s="1">
        <v>0</v>
      </c>
      <c r="K410" s="1">
        <v>0</v>
      </c>
      <c r="L410" s="1">
        <v>5428</v>
      </c>
      <c r="M410" s="1">
        <v>0</v>
      </c>
    </row>
    <row r="411" spans="2:13" x14ac:dyDescent="0.25">
      <c r="B411" s="1">
        <v>0</v>
      </c>
      <c r="C411" s="1">
        <v>0</v>
      </c>
      <c r="D411" s="1">
        <v>0.9810526315789474</v>
      </c>
      <c r="E411" s="1">
        <v>1.8947368421052633E-2</v>
      </c>
      <c r="F411" s="1">
        <v>0</v>
      </c>
      <c r="G411" s="1">
        <v>0</v>
      </c>
      <c r="H411" s="1">
        <v>3</v>
      </c>
      <c r="I411" s="1">
        <v>0</v>
      </c>
      <c r="J411" s="1">
        <v>0</v>
      </c>
      <c r="K411" s="1">
        <v>0</v>
      </c>
      <c r="L411" s="1">
        <v>2924</v>
      </c>
      <c r="M411" s="1">
        <v>0</v>
      </c>
    </row>
    <row r="412" spans="2:13" x14ac:dyDescent="0.25">
      <c r="B412" s="1">
        <v>0</v>
      </c>
      <c r="C412" s="1">
        <v>0</v>
      </c>
      <c r="D412" s="1">
        <v>0.99749999999999994</v>
      </c>
      <c r="E412" s="1">
        <v>2.5000000000000001E-3</v>
      </c>
      <c r="F412" s="1">
        <v>66</v>
      </c>
      <c r="G412" s="1">
        <v>1</v>
      </c>
      <c r="H412" s="1">
        <v>11</v>
      </c>
      <c r="I412" s="1">
        <v>6</v>
      </c>
      <c r="J412" s="1">
        <v>0</v>
      </c>
      <c r="K412" s="1">
        <v>0</v>
      </c>
      <c r="L412" s="1">
        <v>22320</v>
      </c>
      <c r="M412" s="1">
        <v>0</v>
      </c>
    </row>
    <row r="413" spans="2:13" x14ac:dyDescent="0.25">
      <c r="B413" s="1">
        <v>0</v>
      </c>
      <c r="C413" s="1">
        <v>0</v>
      </c>
      <c r="D413" s="1">
        <v>1</v>
      </c>
      <c r="E413" s="1">
        <v>0</v>
      </c>
      <c r="F413" s="1">
        <v>40</v>
      </c>
      <c r="G413" s="1">
        <v>1</v>
      </c>
      <c r="H413" s="1">
        <v>3</v>
      </c>
      <c r="I413" s="1">
        <v>1</v>
      </c>
      <c r="J413" s="1">
        <v>0</v>
      </c>
      <c r="K413" s="1">
        <v>0</v>
      </c>
      <c r="L413" s="1">
        <v>4310</v>
      </c>
      <c r="M413" s="1">
        <v>0</v>
      </c>
    </row>
    <row r="414" spans="2:13" x14ac:dyDescent="0.25">
      <c r="B414" s="1">
        <v>1</v>
      </c>
      <c r="C414" s="1">
        <v>1</v>
      </c>
      <c r="D414" s="1">
        <v>0</v>
      </c>
      <c r="E414" s="1">
        <v>1</v>
      </c>
      <c r="F414" s="1">
        <v>78</v>
      </c>
      <c r="G414" s="1">
        <v>1</v>
      </c>
      <c r="H414" s="1">
        <v>5</v>
      </c>
      <c r="I414" s="1">
        <v>4</v>
      </c>
      <c r="J414" s="1">
        <v>0</v>
      </c>
      <c r="K414" s="1">
        <v>1</v>
      </c>
      <c r="L414" s="1">
        <v>7942</v>
      </c>
      <c r="M414" s="1">
        <v>0</v>
      </c>
    </row>
    <row r="415" spans="2:13" x14ac:dyDescent="0.25">
      <c r="B415" s="1">
        <v>0</v>
      </c>
      <c r="C415" s="1">
        <v>0</v>
      </c>
      <c r="D415" s="1">
        <v>0.8571428571428571</v>
      </c>
      <c r="E415" s="1">
        <v>0.14285714285714285</v>
      </c>
      <c r="F415" s="1">
        <v>52</v>
      </c>
      <c r="G415" s="1">
        <v>1</v>
      </c>
      <c r="H415" s="1">
        <v>4</v>
      </c>
      <c r="I415" s="1">
        <v>4</v>
      </c>
      <c r="J415" s="1">
        <v>0</v>
      </c>
      <c r="K415" s="1">
        <v>0</v>
      </c>
      <c r="L415" s="1">
        <v>6662</v>
      </c>
      <c r="M415" s="1">
        <v>0</v>
      </c>
    </row>
    <row r="416" spans="2:13" x14ac:dyDescent="0.25">
      <c r="B416" s="1">
        <v>0</v>
      </c>
      <c r="C416" s="1">
        <v>0</v>
      </c>
      <c r="D416" s="1">
        <v>1</v>
      </c>
      <c r="E416" s="1">
        <v>0</v>
      </c>
      <c r="F416" s="1">
        <v>46</v>
      </c>
      <c r="G416" s="1">
        <v>1</v>
      </c>
      <c r="H416" s="1">
        <v>8</v>
      </c>
      <c r="I416" s="1">
        <v>5</v>
      </c>
      <c r="J416" s="1">
        <v>0</v>
      </c>
      <c r="K416" s="1">
        <v>0</v>
      </c>
      <c r="L416" s="1">
        <v>22923</v>
      </c>
      <c r="M416" s="1">
        <v>0</v>
      </c>
    </row>
    <row r="417" spans="2:13" x14ac:dyDescent="0.25">
      <c r="B417" s="1">
        <v>1</v>
      </c>
      <c r="C417" s="1">
        <v>1</v>
      </c>
      <c r="D417" s="1">
        <v>9.9999999999999992E-2</v>
      </c>
      <c r="E417" s="1">
        <v>0.9</v>
      </c>
      <c r="F417" s="1">
        <v>74</v>
      </c>
      <c r="G417" s="1">
        <v>1</v>
      </c>
      <c r="H417" s="1">
        <v>6</v>
      </c>
      <c r="I417" s="1">
        <v>4</v>
      </c>
      <c r="J417" s="1">
        <v>0</v>
      </c>
      <c r="K417" s="1">
        <v>0</v>
      </c>
      <c r="L417" s="1">
        <v>29229</v>
      </c>
      <c r="M417" s="1">
        <v>0</v>
      </c>
    </row>
    <row r="418" spans="2:13" x14ac:dyDescent="0.25">
      <c r="B418" s="17">
        <v>0</v>
      </c>
      <c r="C418" s="17">
        <v>1</v>
      </c>
      <c r="D418" s="17">
        <v>0.625</v>
      </c>
      <c r="E418" s="17">
        <v>0.37500000000000006</v>
      </c>
      <c r="F418" s="17">
        <v>80</v>
      </c>
      <c r="G418" s="17">
        <v>1</v>
      </c>
      <c r="H418" s="17">
        <v>3</v>
      </c>
      <c r="I418" s="17">
        <v>3</v>
      </c>
      <c r="J418" s="17">
        <v>1</v>
      </c>
      <c r="K418" s="17">
        <v>0</v>
      </c>
      <c r="L418" s="17">
        <v>24451</v>
      </c>
      <c r="M418" s="17">
        <v>1</v>
      </c>
    </row>
    <row r="419" spans="2:13" x14ac:dyDescent="0.25">
      <c r="B419" s="1">
        <v>0</v>
      </c>
      <c r="C419" s="1">
        <v>0</v>
      </c>
      <c r="D419" s="1">
        <v>0.9810526315789474</v>
      </c>
      <c r="E419" s="1">
        <v>1.8947368421052633E-2</v>
      </c>
      <c r="F419" s="1">
        <v>0</v>
      </c>
      <c r="G419" s="1">
        <v>1</v>
      </c>
      <c r="H419" s="1">
        <v>1</v>
      </c>
      <c r="I419" s="1">
        <v>0</v>
      </c>
      <c r="J419" s="1">
        <v>1</v>
      </c>
      <c r="K419" s="1">
        <v>0</v>
      </c>
      <c r="L419" s="1">
        <v>906</v>
      </c>
      <c r="M419" s="1">
        <v>0</v>
      </c>
    </row>
    <row r="420" spans="2:13" x14ac:dyDescent="0.25">
      <c r="B420" s="1">
        <v>0</v>
      </c>
      <c r="C420" s="1">
        <v>0</v>
      </c>
      <c r="D420" s="1">
        <v>1</v>
      </c>
      <c r="E420" s="1">
        <v>0</v>
      </c>
      <c r="F420" s="1">
        <v>48</v>
      </c>
      <c r="G420" s="1">
        <v>0</v>
      </c>
      <c r="H420" s="1">
        <v>0</v>
      </c>
      <c r="I420" s="1">
        <v>4</v>
      </c>
      <c r="J420" s="1">
        <v>0</v>
      </c>
      <c r="K420" s="1">
        <v>0</v>
      </c>
      <c r="L420" s="1">
        <v>3878</v>
      </c>
      <c r="M420" s="1">
        <v>0</v>
      </c>
    </row>
    <row r="421" spans="2:13" x14ac:dyDescent="0.25">
      <c r="B421" s="1">
        <v>0</v>
      </c>
      <c r="C421" s="1">
        <v>0</v>
      </c>
      <c r="D421" s="1">
        <v>0.99749999999999994</v>
      </c>
      <c r="E421" s="1">
        <v>2.5000000000000001E-3</v>
      </c>
      <c r="F421" s="1">
        <v>71</v>
      </c>
      <c r="G421" s="1">
        <v>0</v>
      </c>
      <c r="H421" s="1">
        <v>2</v>
      </c>
      <c r="I421" s="1">
        <v>5</v>
      </c>
      <c r="J421" s="1">
        <v>0</v>
      </c>
      <c r="K421" s="1">
        <v>0</v>
      </c>
      <c r="L421" s="1">
        <v>10640</v>
      </c>
      <c r="M421" s="1">
        <v>0</v>
      </c>
    </row>
    <row r="422" spans="2:13" x14ac:dyDescent="0.25">
      <c r="B422" s="1">
        <v>0</v>
      </c>
      <c r="C422" s="1">
        <v>0</v>
      </c>
      <c r="D422" s="1">
        <v>0.8571428571428571</v>
      </c>
      <c r="E422" s="1">
        <v>0.14285714285714288</v>
      </c>
      <c r="F422" s="1">
        <v>76</v>
      </c>
      <c r="G422" s="1">
        <v>1</v>
      </c>
      <c r="H422" s="1">
        <v>5</v>
      </c>
      <c r="I422" s="1">
        <v>7</v>
      </c>
      <c r="J422" s="1">
        <v>0</v>
      </c>
      <c r="K422" s="1">
        <v>0</v>
      </c>
      <c r="L422" s="1">
        <v>21787</v>
      </c>
      <c r="M422" s="1">
        <v>0</v>
      </c>
    </row>
    <row r="423" spans="2:13" x14ac:dyDescent="0.25">
      <c r="B423" s="1">
        <v>1</v>
      </c>
      <c r="C423" s="1">
        <v>1</v>
      </c>
      <c r="D423" s="1">
        <v>0</v>
      </c>
      <c r="E423" s="1">
        <v>1</v>
      </c>
      <c r="F423" s="1">
        <v>80</v>
      </c>
      <c r="G423" s="1">
        <v>0</v>
      </c>
      <c r="H423" s="1">
        <v>2</v>
      </c>
      <c r="I423" s="1">
        <v>7</v>
      </c>
      <c r="J423" s="1">
        <v>0</v>
      </c>
      <c r="K423" s="1">
        <v>1</v>
      </c>
      <c r="L423" s="1">
        <v>9681</v>
      </c>
      <c r="M423" s="1">
        <v>0</v>
      </c>
    </row>
    <row r="424" spans="2:13" x14ac:dyDescent="0.25">
      <c r="B424" s="1">
        <v>0</v>
      </c>
      <c r="C424" s="1">
        <v>0</v>
      </c>
      <c r="D424" s="1">
        <v>1</v>
      </c>
      <c r="E424" s="1">
        <v>0</v>
      </c>
      <c r="F424" s="1">
        <v>42</v>
      </c>
      <c r="G424" s="1">
        <v>1</v>
      </c>
      <c r="H424" s="1">
        <v>1</v>
      </c>
      <c r="I424" s="1">
        <v>0</v>
      </c>
      <c r="J424" s="1">
        <v>0</v>
      </c>
      <c r="K424" s="1">
        <v>0</v>
      </c>
      <c r="L424" s="1">
        <v>8095</v>
      </c>
      <c r="M424" s="1">
        <v>0</v>
      </c>
    </row>
    <row r="425" spans="2:13" x14ac:dyDescent="0.25">
      <c r="B425" s="1">
        <v>1</v>
      </c>
      <c r="C425" s="1">
        <v>1</v>
      </c>
      <c r="D425" s="1">
        <v>0</v>
      </c>
      <c r="E425" s="1">
        <v>1</v>
      </c>
      <c r="F425" s="1">
        <v>75</v>
      </c>
      <c r="G425" s="1">
        <v>1</v>
      </c>
      <c r="H425" s="1">
        <v>5</v>
      </c>
      <c r="I425" s="1">
        <v>3</v>
      </c>
      <c r="J425" s="1">
        <v>5</v>
      </c>
      <c r="K425" s="1">
        <v>1</v>
      </c>
      <c r="L425" s="1">
        <v>23329</v>
      </c>
      <c r="M425" s="1">
        <v>0</v>
      </c>
    </row>
    <row r="426" spans="2:13" x14ac:dyDescent="0.25">
      <c r="B426" s="1">
        <v>0</v>
      </c>
      <c r="C426" s="1">
        <v>0</v>
      </c>
      <c r="D426" s="1">
        <v>0.9810526315789474</v>
      </c>
      <c r="E426" s="1">
        <v>1.8947368421052633E-2</v>
      </c>
      <c r="F426" s="1">
        <v>25</v>
      </c>
      <c r="G426" s="1">
        <v>0</v>
      </c>
      <c r="H426" s="1">
        <v>2</v>
      </c>
      <c r="I426" s="1">
        <v>0</v>
      </c>
      <c r="J426" s="1">
        <v>0</v>
      </c>
      <c r="K426" s="1">
        <v>0</v>
      </c>
      <c r="L426" s="1">
        <v>2787</v>
      </c>
      <c r="M426" s="1">
        <v>0</v>
      </c>
    </row>
    <row r="427" spans="2:13" x14ac:dyDescent="0.25">
      <c r="B427" s="1">
        <v>1</v>
      </c>
      <c r="C427" s="1">
        <v>1</v>
      </c>
      <c r="D427" s="1">
        <v>0</v>
      </c>
      <c r="E427" s="1">
        <v>1</v>
      </c>
      <c r="F427" s="1">
        <v>89</v>
      </c>
      <c r="G427" s="1">
        <v>1</v>
      </c>
      <c r="H427" s="1">
        <v>6</v>
      </c>
      <c r="I427" s="1">
        <v>5</v>
      </c>
      <c r="J427" s="1">
        <v>0</v>
      </c>
      <c r="K427" s="1">
        <v>1</v>
      </c>
      <c r="L427" s="1">
        <v>11430</v>
      </c>
      <c r="M427" s="1">
        <v>0</v>
      </c>
    </row>
    <row r="428" spans="2:13" x14ac:dyDescent="0.25">
      <c r="B428" s="1">
        <v>0</v>
      </c>
      <c r="C428" s="1">
        <v>0</v>
      </c>
      <c r="D428" s="1">
        <v>1</v>
      </c>
      <c r="E428" s="1">
        <v>0</v>
      </c>
      <c r="F428" s="1">
        <v>46</v>
      </c>
      <c r="G428" s="1">
        <v>0</v>
      </c>
      <c r="H428" s="1">
        <v>6</v>
      </c>
      <c r="I428" s="1">
        <v>2</v>
      </c>
      <c r="J428" s="1">
        <v>0</v>
      </c>
      <c r="K428" s="1">
        <v>0</v>
      </c>
      <c r="L428" s="1">
        <v>14741</v>
      </c>
      <c r="M428" s="1">
        <v>0</v>
      </c>
    </row>
    <row r="429" spans="2:13" x14ac:dyDescent="0.25">
      <c r="B429" s="1">
        <v>1</v>
      </c>
      <c r="C429" s="1">
        <v>1</v>
      </c>
      <c r="D429" s="1">
        <v>0</v>
      </c>
      <c r="E429" s="1">
        <v>1</v>
      </c>
      <c r="F429" s="1">
        <v>76</v>
      </c>
      <c r="G429" s="1">
        <v>1</v>
      </c>
      <c r="H429" s="1">
        <v>3</v>
      </c>
      <c r="I429" s="1">
        <v>3</v>
      </c>
      <c r="J429" s="1">
        <v>2</v>
      </c>
      <c r="K429" s="1">
        <v>1</v>
      </c>
      <c r="L429" s="1">
        <v>45606</v>
      </c>
      <c r="M429" s="1">
        <v>1</v>
      </c>
    </row>
    <row r="430" spans="2:13" x14ac:dyDescent="0.25">
      <c r="B430" s="1">
        <v>0</v>
      </c>
      <c r="C430" s="1">
        <v>0</v>
      </c>
      <c r="D430" s="1">
        <v>0.9810526315789474</v>
      </c>
      <c r="E430" s="1">
        <v>1.8947368421052633E-2</v>
      </c>
      <c r="F430" s="1">
        <v>25</v>
      </c>
      <c r="G430" s="1">
        <v>1</v>
      </c>
      <c r="H430" s="1">
        <v>2</v>
      </c>
      <c r="I430" s="1">
        <v>0</v>
      </c>
      <c r="J430" s="1">
        <v>2</v>
      </c>
      <c r="K430" s="1">
        <v>0</v>
      </c>
      <c r="L430" s="1">
        <v>5531</v>
      </c>
      <c r="M430" s="1">
        <v>0</v>
      </c>
    </row>
    <row r="431" spans="2:13" x14ac:dyDescent="0.25">
      <c r="B431" s="1">
        <v>0</v>
      </c>
      <c r="C431" s="1">
        <v>0</v>
      </c>
      <c r="D431" s="1">
        <v>0.9810526315789474</v>
      </c>
      <c r="E431" s="1">
        <v>1.8947368421052633E-2</v>
      </c>
      <c r="F431" s="1">
        <v>0</v>
      </c>
      <c r="G431" s="1">
        <v>0</v>
      </c>
      <c r="H431" s="1">
        <v>2</v>
      </c>
      <c r="I431" s="1">
        <v>0</v>
      </c>
      <c r="J431" s="1">
        <v>1</v>
      </c>
      <c r="K431" s="1">
        <v>0</v>
      </c>
      <c r="L431" s="1">
        <v>1452</v>
      </c>
      <c r="M431" s="1">
        <v>1</v>
      </c>
    </row>
    <row r="432" spans="2:13" x14ac:dyDescent="0.25">
      <c r="B432" s="17">
        <v>1</v>
      </c>
      <c r="C432" s="17">
        <v>0</v>
      </c>
      <c r="D432" s="17">
        <v>9.5238095238095233E-2</v>
      </c>
      <c r="E432" s="17">
        <v>0.90476190476190477</v>
      </c>
      <c r="F432" s="17">
        <v>53</v>
      </c>
      <c r="G432" s="17">
        <v>1</v>
      </c>
      <c r="H432" s="17">
        <v>7</v>
      </c>
      <c r="I432" s="17">
        <v>5</v>
      </c>
      <c r="J432" s="17">
        <v>0</v>
      </c>
      <c r="K432" s="17">
        <v>0</v>
      </c>
      <c r="L432" s="17">
        <v>11872</v>
      </c>
      <c r="M432" s="17">
        <v>0</v>
      </c>
    </row>
    <row r="433" spans="2:13" x14ac:dyDescent="0.25">
      <c r="B433" s="1">
        <v>1</v>
      </c>
      <c r="C433" s="1">
        <v>1</v>
      </c>
      <c r="D433" s="1">
        <v>0</v>
      </c>
      <c r="E433" s="1">
        <v>1</v>
      </c>
      <c r="F433" s="1">
        <v>51</v>
      </c>
      <c r="G433" s="1">
        <v>1</v>
      </c>
      <c r="H433" s="1">
        <v>5</v>
      </c>
      <c r="I433" s="1">
        <v>5</v>
      </c>
      <c r="J433" s="1">
        <v>2</v>
      </c>
      <c r="K433" s="1">
        <v>1</v>
      </c>
      <c r="L433" s="1">
        <v>15900</v>
      </c>
      <c r="M433" s="1">
        <v>0</v>
      </c>
    </row>
    <row r="434" spans="2:13" x14ac:dyDescent="0.25">
      <c r="B434" s="1">
        <v>0</v>
      </c>
      <c r="C434" s="1">
        <v>0</v>
      </c>
      <c r="D434" s="1">
        <v>0.68</v>
      </c>
      <c r="E434" s="1">
        <v>0.32</v>
      </c>
      <c r="F434" s="1">
        <v>86</v>
      </c>
      <c r="G434" s="1">
        <v>1</v>
      </c>
      <c r="H434" s="1">
        <v>3</v>
      </c>
      <c r="I434" s="1">
        <v>3</v>
      </c>
      <c r="J434" s="1">
        <v>0</v>
      </c>
      <c r="K434" s="1">
        <v>0</v>
      </c>
      <c r="L434" s="1">
        <v>7682</v>
      </c>
      <c r="M434" s="1">
        <v>0</v>
      </c>
    </row>
    <row r="435" spans="2:13" x14ac:dyDescent="0.25">
      <c r="B435" s="1">
        <v>1</v>
      </c>
      <c r="C435" s="1">
        <v>1</v>
      </c>
      <c r="D435" s="1">
        <v>0</v>
      </c>
      <c r="E435" s="1">
        <v>1</v>
      </c>
      <c r="F435" s="1">
        <v>85</v>
      </c>
      <c r="G435" s="1">
        <v>1</v>
      </c>
      <c r="H435" s="1">
        <v>14</v>
      </c>
      <c r="I435" s="1">
        <v>4</v>
      </c>
      <c r="J435" s="1">
        <v>0</v>
      </c>
      <c r="K435" s="1">
        <v>1</v>
      </c>
      <c r="L435" s="1">
        <v>22479</v>
      </c>
      <c r="M435" s="1">
        <v>0</v>
      </c>
    </row>
    <row r="436" spans="2:13" x14ac:dyDescent="0.25">
      <c r="B436" s="1">
        <v>0</v>
      </c>
      <c r="C436" s="1">
        <v>0</v>
      </c>
      <c r="D436" s="1">
        <v>0.9810526315789474</v>
      </c>
      <c r="E436" s="1">
        <v>1.8947368421052633E-2</v>
      </c>
      <c r="F436" s="1">
        <v>26</v>
      </c>
      <c r="G436" s="1">
        <v>1</v>
      </c>
      <c r="H436" s="1">
        <v>3</v>
      </c>
      <c r="I436" s="1">
        <v>0</v>
      </c>
      <c r="J436" s="1">
        <v>3</v>
      </c>
      <c r="K436" s="1">
        <v>0</v>
      </c>
      <c r="L436" s="1">
        <v>7589</v>
      </c>
      <c r="M436" s="1">
        <v>0</v>
      </c>
    </row>
    <row r="437" spans="2:13" x14ac:dyDescent="0.25">
      <c r="B437" s="1">
        <v>0</v>
      </c>
      <c r="C437" s="1">
        <v>0</v>
      </c>
      <c r="D437" s="1">
        <v>0.99749999999999994</v>
      </c>
      <c r="E437" s="1">
        <v>2.5000000000000001E-3</v>
      </c>
      <c r="F437" s="1">
        <v>54</v>
      </c>
      <c r="G437" s="1">
        <v>1</v>
      </c>
      <c r="H437" s="1">
        <v>1</v>
      </c>
      <c r="I437" s="1">
        <v>3</v>
      </c>
      <c r="J437" s="1">
        <v>0</v>
      </c>
      <c r="K437" s="1">
        <v>0</v>
      </c>
      <c r="L437" s="1">
        <v>8855</v>
      </c>
      <c r="M437" s="1">
        <v>0</v>
      </c>
    </row>
    <row r="438" spans="2:13" x14ac:dyDescent="0.25">
      <c r="B438" s="1">
        <v>0</v>
      </c>
      <c r="C438" s="1">
        <v>0</v>
      </c>
      <c r="D438" s="1">
        <v>0.99749999999999994</v>
      </c>
      <c r="E438" s="1">
        <v>2.5000000000000001E-3</v>
      </c>
      <c r="F438" s="1">
        <v>73</v>
      </c>
      <c r="G438" s="1">
        <v>1</v>
      </c>
      <c r="H438" s="1">
        <v>0</v>
      </c>
      <c r="I438" s="1">
        <v>6</v>
      </c>
      <c r="J438" s="1">
        <v>0</v>
      </c>
      <c r="K438" s="1">
        <v>0</v>
      </c>
      <c r="L438" s="1">
        <v>2827</v>
      </c>
      <c r="M438" s="1">
        <v>0</v>
      </c>
    </row>
    <row r="439" spans="2:13" x14ac:dyDescent="0.25">
      <c r="B439" s="1">
        <v>0</v>
      </c>
      <c r="C439" s="1">
        <v>0</v>
      </c>
      <c r="D439" s="1">
        <v>1</v>
      </c>
      <c r="E439" s="1">
        <v>0</v>
      </c>
      <c r="F439" s="1">
        <v>38</v>
      </c>
      <c r="G439" s="1">
        <v>1</v>
      </c>
      <c r="H439" s="1">
        <v>3</v>
      </c>
      <c r="I439" s="1">
        <v>0</v>
      </c>
      <c r="J439" s="1">
        <v>2</v>
      </c>
      <c r="K439" s="1">
        <v>0</v>
      </c>
      <c r="L439" s="1">
        <v>8121</v>
      </c>
      <c r="M439" s="1">
        <v>0</v>
      </c>
    </row>
    <row r="440" spans="2:13" x14ac:dyDescent="0.25">
      <c r="B440" s="1">
        <v>0</v>
      </c>
      <c r="C440" s="1">
        <v>0</v>
      </c>
      <c r="D440" s="1">
        <v>0.9810526315789474</v>
      </c>
      <c r="E440" s="1">
        <v>1.8947368421052633E-2</v>
      </c>
      <c r="F440" s="1">
        <v>0</v>
      </c>
      <c r="G440" s="1">
        <v>0</v>
      </c>
      <c r="H440" s="1">
        <v>2</v>
      </c>
      <c r="I440" s="1">
        <v>0</v>
      </c>
      <c r="J440" s="1">
        <v>1</v>
      </c>
      <c r="K440" s="1">
        <v>0</v>
      </c>
      <c r="L440" s="1">
        <v>2649</v>
      </c>
      <c r="M440" s="1">
        <v>1</v>
      </c>
    </row>
    <row r="441" spans="2:13" x14ac:dyDescent="0.25">
      <c r="B441" s="1">
        <v>0</v>
      </c>
      <c r="C441" s="1">
        <v>0</v>
      </c>
      <c r="D441" s="1">
        <v>0.9810526315789474</v>
      </c>
      <c r="E441" s="1">
        <v>1.8947368421052633E-2</v>
      </c>
      <c r="F441" s="1">
        <v>0</v>
      </c>
      <c r="G441" s="1">
        <v>1</v>
      </c>
      <c r="H441" s="1">
        <v>2</v>
      </c>
      <c r="I441" s="1">
        <v>0</v>
      </c>
      <c r="J441" s="1">
        <v>0</v>
      </c>
      <c r="K441" s="1">
        <v>0</v>
      </c>
      <c r="L441" s="1">
        <v>1463</v>
      </c>
      <c r="M441" s="1">
        <v>0</v>
      </c>
    </row>
    <row r="442" spans="2:13" x14ac:dyDescent="0.25">
      <c r="B442" s="1">
        <v>0</v>
      </c>
      <c r="C442" s="1">
        <v>0</v>
      </c>
      <c r="D442" s="1">
        <v>0.99749999999999994</v>
      </c>
      <c r="E442" s="1">
        <v>2.5000000000000001E-3</v>
      </c>
      <c r="F442" s="1">
        <v>58</v>
      </c>
      <c r="G442" s="1">
        <v>1</v>
      </c>
      <c r="H442" s="1">
        <v>2</v>
      </c>
      <c r="I442" s="1">
        <v>3</v>
      </c>
      <c r="J442" s="1">
        <v>0</v>
      </c>
      <c r="K442" s="1">
        <v>0</v>
      </c>
      <c r="L442" s="1">
        <v>11724</v>
      </c>
      <c r="M442" s="1">
        <v>0</v>
      </c>
    </row>
    <row r="443" spans="2:13" x14ac:dyDescent="0.25">
      <c r="B443" s="1">
        <v>0</v>
      </c>
      <c r="C443" s="1">
        <v>0</v>
      </c>
      <c r="D443" s="1">
        <v>0.9810526315789474</v>
      </c>
      <c r="E443" s="1">
        <v>1.8947368421052633E-2</v>
      </c>
      <c r="F443" s="1">
        <v>21</v>
      </c>
      <c r="G443" s="1">
        <v>1</v>
      </c>
      <c r="H443" s="1">
        <v>2</v>
      </c>
      <c r="I443" s="1">
        <v>1</v>
      </c>
      <c r="J443" s="1">
        <v>1</v>
      </c>
      <c r="K443" s="1">
        <v>0</v>
      </c>
      <c r="L443" s="1">
        <v>5539</v>
      </c>
      <c r="M443" s="1">
        <v>0</v>
      </c>
    </row>
    <row r="444" spans="2:13" x14ac:dyDescent="0.25">
      <c r="B444" s="1">
        <v>0</v>
      </c>
      <c r="C444" s="1">
        <v>0</v>
      </c>
      <c r="D444" s="1">
        <v>1</v>
      </c>
      <c r="E444" s="1">
        <v>0</v>
      </c>
      <c r="F444" s="1">
        <v>38</v>
      </c>
      <c r="G444" s="1">
        <v>1</v>
      </c>
      <c r="H444" s="1">
        <v>6</v>
      </c>
      <c r="I444" s="1">
        <v>3</v>
      </c>
      <c r="J444" s="1">
        <v>3</v>
      </c>
      <c r="K444" s="1">
        <v>0</v>
      </c>
      <c r="L444" s="1">
        <v>21283</v>
      </c>
      <c r="M444" s="1">
        <v>0</v>
      </c>
    </row>
    <row r="445" spans="2:13" x14ac:dyDescent="0.25">
      <c r="B445" s="1">
        <v>0</v>
      </c>
      <c r="C445" s="1">
        <v>0</v>
      </c>
      <c r="D445" s="1">
        <v>0.99749999999999994</v>
      </c>
      <c r="E445" s="1">
        <v>2.5000000000000001E-3</v>
      </c>
      <c r="F445" s="1">
        <v>65</v>
      </c>
      <c r="G445" s="1">
        <v>0</v>
      </c>
      <c r="H445" s="1">
        <v>2</v>
      </c>
      <c r="I445" s="1">
        <v>6</v>
      </c>
      <c r="J445" s="1">
        <v>0</v>
      </c>
      <c r="K445" s="1">
        <v>0</v>
      </c>
      <c r="L445" s="1">
        <v>10997</v>
      </c>
      <c r="M445" s="1">
        <v>0</v>
      </c>
    </row>
    <row r="446" spans="2:13" x14ac:dyDescent="0.25">
      <c r="B446" s="1">
        <v>0</v>
      </c>
      <c r="C446" s="1">
        <v>0</v>
      </c>
      <c r="D446" s="1">
        <v>0.9810526315789474</v>
      </c>
      <c r="E446" s="1">
        <v>1.8947368421052633E-2</v>
      </c>
      <c r="F446" s="1">
        <v>0</v>
      </c>
      <c r="G446" s="1">
        <v>1</v>
      </c>
      <c r="H446" s="1">
        <v>2</v>
      </c>
      <c r="I446" s="1">
        <v>0</v>
      </c>
      <c r="J446" s="1">
        <v>0</v>
      </c>
      <c r="K446" s="1">
        <v>0</v>
      </c>
      <c r="L446" s="1">
        <v>1692</v>
      </c>
      <c r="M446" s="1">
        <v>0</v>
      </c>
    </row>
    <row r="447" spans="2:13" x14ac:dyDescent="0.25">
      <c r="B447" s="1">
        <v>0</v>
      </c>
      <c r="C447" s="1">
        <v>0</v>
      </c>
      <c r="D447" s="1">
        <v>0.8571428571428571</v>
      </c>
      <c r="E447" s="1">
        <v>0.14285714285714288</v>
      </c>
      <c r="F447" s="1">
        <v>78</v>
      </c>
      <c r="G447" s="1">
        <v>1</v>
      </c>
      <c r="H447" s="1">
        <v>6</v>
      </c>
      <c r="I447" s="1">
        <v>1</v>
      </c>
      <c r="J447" s="1">
        <v>2</v>
      </c>
      <c r="K447" s="1">
        <v>0</v>
      </c>
      <c r="L447" s="1">
        <v>49575</v>
      </c>
      <c r="M447" s="1">
        <v>1</v>
      </c>
    </row>
    <row r="448" spans="2:13" x14ac:dyDescent="0.25">
      <c r="B448" s="1">
        <v>0</v>
      </c>
      <c r="C448" s="1">
        <v>0</v>
      </c>
      <c r="D448" s="1">
        <v>0.99749999999999994</v>
      </c>
      <c r="E448" s="1">
        <v>2.5000000000000001E-3</v>
      </c>
      <c r="F448" s="1">
        <v>58</v>
      </c>
      <c r="G448" s="1">
        <v>1</v>
      </c>
      <c r="H448" s="1">
        <v>17</v>
      </c>
      <c r="I448" s="1">
        <v>1</v>
      </c>
      <c r="J448" s="1">
        <v>6</v>
      </c>
      <c r="K448" s="1">
        <v>0</v>
      </c>
      <c r="L448" s="1">
        <v>173110</v>
      </c>
      <c r="M448" s="1">
        <v>1</v>
      </c>
    </row>
    <row r="449" spans="2:13" x14ac:dyDescent="0.25">
      <c r="B449" s="1">
        <v>0</v>
      </c>
      <c r="C449" s="1">
        <v>0</v>
      </c>
      <c r="D449" s="1">
        <v>0.9810526315789474</v>
      </c>
      <c r="E449" s="1">
        <v>1.8947368421052633E-2</v>
      </c>
      <c r="F449" s="1">
        <v>0</v>
      </c>
      <c r="G449" s="1">
        <v>0</v>
      </c>
      <c r="H449" s="1">
        <v>2</v>
      </c>
      <c r="I449" s="1">
        <v>0</v>
      </c>
      <c r="J449" s="1">
        <v>1</v>
      </c>
      <c r="K449" s="1">
        <v>0</v>
      </c>
      <c r="L449" s="1">
        <v>1369</v>
      </c>
      <c r="M449" s="1">
        <v>1</v>
      </c>
    </row>
    <row r="450" spans="2:13" x14ac:dyDescent="0.25">
      <c r="B450" s="1">
        <v>0</v>
      </c>
      <c r="C450" s="1">
        <v>0</v>
      </c>
      <c r="D450" s="1">
        <v>0.9810526315789474</v>
      </c>
      <c r="E450" s="1">
        <v>1.8947368421052633E-2</v>
      </c>
      <c r="F450" s="1">
        <v>26</v>
      </c>
      <c r="G450" s="1">
        <v>1</v>
      </c>
      <c r="H450" s="1">
        <v>7</v>
      </c>
      <c r="I450" s="1">
        <v>0</v>
      </c>
      <c r="J450" s="1">
        <v>1</v>
      </c>
      <c r="K450" s="1">
        <v>0</v>
      </c>
      <c r="L450" s="1">
        <v>22862</v>
      </c>
      <c r="M450" s="1">
        <v>0</v>
      </c>
    </row>
    <row r="451" spans="2:13" x14ac:dyDescent="0.25">
      <c r="B451" s="1">
        <v>0</v>
      </c>
      <c r="C451" s="1">
        <v>0</v>
      </c>
      <c r="D451" s="1">
        <v>0.99749999999999994</v>
      </c>
      <c r="E451" s="1">
        <v>2.5000000000000001E-3</v>
      </c>
      <c r="F451" s="1">
        <v>63</v>
      </c>
      <c r="G451" s="1">
        <v>0</v>
      </c>
      <c r="H451" s="1">
        <v>10</v>
      </c>
      <c r="I451" s="1">
        <v>7</v>
      </c>
      <c r="J451" s="1">
        <v>0</v>
      </c>
      <c r="K451" s="1">
        <v>0</v>
      </c>
      <c r="L451" s="1">
        <v>46563</v>
      </c>
      <c r="M451" s="1">
        <v>0</v>
      </c>
    </row>
    <row r="452" spans="2:13" x14ac:dyDescent="0.25">
      <c r="B452" s="1">
        <v>0</v>
      </c>
      <c r="C452" s="1">
        <v>0</v>
      </c>
      <c r="D452" s="1">
        <v>1</v>
      </c>
      <c r="E452" s="1">
        <v>0</v>
      </c>
      <c r="F452" s="1">
        <v>44</v>
      </c>
      <c r="G452" s="1">
        <v>1</v>
      </c>
      <c r="H452" s="1">
        <v>4</v>
      </c>
      <c r="I452" s="1">
        <v>4</v>
      </c>
      <c r="J452" s="1">
        <v>0</v>
      </c>
      <c r="K452" s="1">
        <v>0</v>
      </c>
      <c r="L452" s="1">
        <v>9777</v>
      </c>
      <c r="M452" s="1">
        <v>0</v>
      </c>
    </row>
    <row r="453" spans="2:13" x14ac:dyDescent="0.25">
      <c r="B453" s="17">
        <v>1</v>
      </c>
      <c r="C453" s="17">
        <v>0</v>
      </c>
      <c r="D453" s="17">
        <v>0.36</v>
      </c>
      <c r="E453" s="17">
        <v>0.64</v>
      </c>
      <c r="F453" s="17">
        <v>86</v>
      </c>
      <c r="G453" s="17">
        <v>1</v>
      </c>
      <c r="H453" s="17">
        <v>5</v>
      </c>
      <c r="I453" s="17">
        <v>6</v>
      </c>
      <c r="J453" s="17">
        <v>0</v>
      </c>
      <c r="K453" s="17">
        <v>0</v>
      </c>
      <c r="L453" s="17">
        <v>25855</v>
      </c>
      <c r="M453" s="17">
        <v>0</v>
      </c>
    </row>
    <row r="454" spans="2:13" x14ac:dyDescent="0.25">
      <c r="B454" s="1">
        <v>0</v>
      </c>
      <c r="C454" s="1">
        <v>0</v>
      </c>
      <c r="D454" s="1">
        <v>0.99749999999999994</v>
      </c>
      <c r="E454" s="1">
        <v>2.5000000000000001E-3</v>
      </c>
      <c r="F454" s="1">
        <v>58</v>
      </c>
      <c r="G454" s="1">
        <v>1</v>
      </c>
      <c r="H454" s="1">
        <v>5</v>
      </c>
      <c r="I454" s="1">
        <v>4</v>
      </c>
      <c r="J454" s="1">
        <v>2</v>
      </c>
      <c r="K454" s="1">
        <v>0</v>
      </c>
      <c r="L454" s="1">
        <v>43938</v>
      </c>
      <c r="M454" s="1">
        <v>1</v>
      </c>
    </row>
    <row r="455" spans="2:13" x14ac:dyDescent="0.25">
      <c r="B455" s="1">
        <v>0</v>
      </c>
      <c r="C455" s="1">
        <v>0</v>
      </c>
      <c r="D455" s="1">
        <v>1</v>
      </c>
      <c r="E455" s="1">
        <v>0</v>
      </c>
      <c r="F455" s="1">
        <v>45</v>
      </c>
      <c r="G455" s="1">
        <v>1</v>
      </c>
      <c r="H455" s="1">
        <v>2</v>
      </c>
      <c r="I455" s="1">
        <v>2</v>
      </c>
      <c r="J455" s="1">
        <v>1</v>
      </c>
      <c r="K455" s="1">
        <v>0</v>
      </c>
      <c r="L455" s="1">
        <v>15035</v>
      </c>
      <c r="M455" s="1">
        <v>1</v>
      </c>
    </row>
    <row r="456" spans="2:13" x14ac:dyDescent="0.25">
      <c r="B456" s="1">
        <v>0</v>
      </c>
      <c r="C456" s="1">
        <v>0</v>
      </c>
      <c r="D456" s="1">
        <v>0.9810526315789474</v>
      </c>
      <c r="E456" s="1">
        <v>1.8947368421052633E-2</v>
      </c>
      <c r="F456" s="1">
        <v>21</v>
      </c>
      <c r="G456" s="1">
        <v>1</v>
      </c>
      <c r="H456" s="1">
        <v>3</v>
      </c>
      <c r="I456" s="1">
        <v>0</v>
      </c>
      <c r="J456" s="1">
        <v>1</v>
      </c>
      <c r="K456" s="1">
        <v>0</v>
      </c>
      <c r="L456" s="1">
        <v>13492</v>
      </c>
      <c r="M456" s="1">
        <v>1</v>
      </c>
    </row>
    <row r="457" spans="2:13" x14ac:dyDescent="0.25">
      <c r="B457" s="17">
        <v>0</v>
      </c>
      <c r="C457" s="17">
        <v>1</v>
      </c>
      <c r="D457" s="17">
        <v>0.96666666666666667</v>
      </c>
      <c r="E457" s="17">
        <v>3.333333333333334E-2</v>
      </c>
      <c r="F457" s="17">
        <v>29</v>
      </c>
      <c r="G457" s="17">
        <v>1</v>
      </c>
      <c r="H457" s="17">
        <v>2</v>
      </c>
      <c r="I457" s="17">
        <v>0</v>
      </c>
      <c r="J457" s="17">
        <v>1</v>
      </c>
      <c r="K457" s="17">
        <v>0</v>
      </c>
      <c r="L457" s="17">
        <v>12102</v>
      </c>
      <c r="M457" s="17">
        <v>1</v>
      </c>
    </row>
    <row r="458" spans="2:13" x14ac:dyDescent="0.25">
      <c r="B458" s="1">
        <v>0</v>
      </c>
      <c r="C458" s="1">
        <v>0</v>
      </c>
      <c r="D458" s="1">
        <v>1</v>
      </c>
      <c r="E458" s="1">
        <v>0</v>
      </c>
      <c r="F458" s="1">
        <v>38</v>
      </c>
      <c r="G458" s="1">
        <v>1</v>
      </c>
      <c r="H458" s="1">
        <v>4</v>
      </c>
      <c r="I458" s="1">
        <v>3</v>
      </c>
      <c r="J458" s="1">
        <v>1</v>
      </c>
      <c r="K458" s="1">
        <v>0</v>
      </c>
      <c r="L458" s="1">
        <v>14490</v>
      </c>
      <c r="M458" s="1">
        <v>0</v>
      </c>
    </row>
    <row r="459" spans="2:13" x14ac:dyDescent="0.25">
      <c r="B459" s="1">
        <v>0</v>
      </c>
      <c r="C459" s="1">
        <v>0</v>
      </c>
      <c r="D459" s="1">
        <v>0.99749999999999994</v>
      </c>
      <c r="E459" s="1">
        <v>2.5000000000000001E-3</v>
      </c>
      <c r="F459" s="1">
        <v>55</v>
      </c>
      <c r="G459" s="1">
        <v>0</v>
      </c>
      <c r="H459" s="1">
        <v>1</v>
      </c>
      <c r="I459" s="1">
        <v>5</v>
      </c>
      <c r="J459" s="1">
        <v>0</v>
      </c>
      <c r="K459" s="1">
        <v>0</v>
      </c>
      <c r="L459" s="1">
        <v>5491</v>
      </c>
      <c r="M459" s="1">
        <v>0</v>
      </c>
    </row>
    <row r="460" spans="2:13" x14ac:dyDescent="0.25">
      <c r="B460" s="1">
        <v>0</v>
      </c>
      <c r="C460" s="1">
        <v>0</v>
      </c>
      <c r="D460" s="1">
        <v>0.9810526315789474</v>
      </c>
      <c r="E460" s="1">
        <v>1.8947368421052633E-2</v>
      </c>
      <c r="F460" s="1">
        <v>22</v>
      </c>
      <c r="G460" s="1">
        <v>0</v>
      </c>
      <c r="H460" s="1">
        <v>5</v>
      </c>
      <c r="I460" s="1">
        <v>4</v>
      </c>
      <c r="J460" s="1">
        <v>0</v>
      </c>
      <c r="K460" s="1">
        <v>0</v>
      </c>
      <c r="L460" s="1">
        <v>9617</v>
      </c>
      <c r="M460" s="1">
        <v>0</v>
      </c>
    </row>
    <row r="461" spans="2:13" x14ac:dyDescent="0.25">
      <c r="B461" s="17">
        <v>1</v>
      </c>
      <c r="C461" s="17">
        <v>0</v>
      </c>
      <c r="D461" s="17">
        <v>0.19999999999999996</v>
      </c>
      <c r="E461" s="17">
        <v>0.79999999999999993</v>
      </c>
      <c r="F461" s="17">
        <v>90</v>
      </c>
      <c r="G461" s="17">
        <v>1</v>
      </c>
      <c r="H461" s="17">
        <v>10</v>
      </c>
      <c r="I461" s="17">
        <v>4</v>
      </c>
      <c r="J461" s="17">
        <v>1</v>
      </c>
      <c r="K461" s="17">
        <v>0</v>
      </c>
      <c r="L461" s="17">
        <v>32906</v>
      </c>
      <c r="M461" s="17">
        <v>1</v>
      </c>
    </row>
    <row r="462" spans="2:13" x14ac:dyDescent="0.25">
      <c r="B462" s="1">
        <v>1</v>
      </c>
      <c r="C462" s="1">
        <v>1</v>
      </c>
      <c r="D462" s="1">
        <v>0</v>
      </c>
      <c r="E462" s="1">
        <v>1</v>
      </c>
      <c r="F462" s="1">
        <v>51</v>
      </c>
      <c r="G462" s="1">
        <v>1</v>
      </c>
      <c r="H462" s="1">
        <v>15</v>
      </c>
      <c r="I462" s="1">
        <v>4</v>
      </c>
      <c r="J462" s="1">
        <v>0</v>
      </c>
      <c r="K462" s="1">
        <v>1</v>
      </c>
      <c r="L462" s="1">
        <v>38068</v>
      </c>
      <c r="M462" s="1">
        <v>0</v>
      </c>
    </row>
    <row r="463" spans="2:13" x14ac:dyDescent="0.25">
      <c r="B463" s="1">
        <v>0</v>
      </c>
      <c r="C463" s="1">
        <v>0</v>
      </c>
      <c r="D463" s="1">
        <v>0.9810526315789474</v>
      </c>
      <c r="E463" s="1">
        <v>1.8947368421052633E-2</v>
      </c>
      <c r="F463" s="1">
        <v>24</v>
      </c>
      <c r="G463" s="1">
        <v>1</v>
      </c>
      <c r="H463" s="1">
        <v>3</v>
      </c>
      <c r="I463" s="1">
        <v>0</v>
      </c>
      <c r="J463" s="1">
        <v>2</v>
      </c>
      <c r="K463" s="1">
        <v>0</v>
      </c>
      <c r="L463" s="1">
        <v>17978</v>
      </c>
      <c r="M463" s="1">
        <v>1</v>
      </c>
    </row>
    <row r="464" spans="2:13" x14ac:dyDescent="0.25">
      <c r="B464" s="1">
        <v>0</v>
      </c>
      <c r="C464" s="1">
        <v>0</v>
      </c>
      <c r="D464" s="1">
        <v>1</v>
      </c>
      <c r="E464" s="1">
        <v>0</v>
      </c>
      <c r="F464" s="1">
        <v>48</v>
      </c>
      <c r="G464" s="1">
        <v>1</v>
      </c>
      <c r="H464" s="1">
        <v>3</v>
      </c>
      <c r="I464" s="1">
        <v>1</v>
      </c>
      <c r="J464" s="1">
        <v>0</v>
      </c>
      <c r="K464" s="1">
        <v>0</v>
      </c>
      <c r="L464" s="1">
        <v>10091</v>
      </c>
      <c r="M464" s="1">
        <v>0</v>
      </c>
    </row>
    <row r="465" spans="2:13" x14ac:dyDescent="0.25">
      <c r="B465" s="1">
        <v>1</v>
      </c>
      <c r="C465" s="1">
        <v>1</v>
      </c>
      <c r="D465" s="1">
        <v>0.30769230769230771</v>
      </c>
      <c r="E465" s="1">
        <v>0.69230769230769229</v>
      </c>
      <c r="F465" s="1">
        <v>50</v>
      </c>
      <c r="G465" s="1">
        <v>0</v>
      </c>
      <c r="H465" s="1">
        <v>30</v>
      </c>
      <c r="I465" s="1">
        <v>3</v>
      </c>
      <c r="J465" s="1">
        <v>0</v>
      </c>
      <c r="K465" s="1">
        <v>0</v>
      </c>
      <c r="L465" s="1">
        <v>50416</v>
      </c>
      <c r="M465" s="1">
        <v>0</v>
      </c>
    </row>
    <row r="466" spans="2:13" x14ac:dyDescent="0.25">
      <c r="B466" s="17">
        <v>1</v>
      </c>
      <c r="C466" s="17">
        <v>0</v>
      </c>
      <c r="D466" s="17">
        <v>0.27272727272727276</v>
      </c>
      <c r="E466" s="17">
        <v>0.72727272727272729</v>
      </c>
      <c r="F466" s="17">
        <v>0</v>
      </c>
      <c r="G466" s="17">
        <v>1</v>
      </c>
      <c r="H466" s="17">
        <v>62</v>
      </c>
      <c r="I466" s="17">
        <v>1</v>
      </c>
      <c r="J466" s="17">
        <v>0</v>
      </c>
      <c r="K466" s="17">
        <v>0</v>
      </c>
      <c r="L466" s="17">
        <v>147092</v>
      </c>
      <c r="M466" s="17">
        <v>0</v>
      </c>
    </row>
    <row r="467" spans="2:13" x14ac:dyDescent="0.25">
      <c r="B467" s="1">
        <v>1</v>
      </c>
      <c r="C467" s="1">
        <v>1</v>
      </c>
      <c r="D467" s="1">
        <v>0.19999999999999998</v>
      </c>
      <c r="E467" s="1">
        <v>0.79999999999999993</v>
      </c>
      <c r="F467" s="1">
        <v>37</v>
      </c>
      <c r="G467" s="1">
        <v>0</v>
      </c>
      <c r="H467" s="1">
        <v>12</v>
      </c>
      <c r="I467" s="1">
        <v>4</v>
      </c>
      <c r="J467" s="1">
        <v>0</v>
      </c>
      <c r="K467" s="1">
        <v>0</v>
      </c>
      <c r="L467" s="1">
        <v>22399</v>
      </c>
      <c r="M467" s="1">
        <v>0</v>
      </c>
    </row>
    <row r="468" spans="2:13" x14ac:dyDescent="0.25">
      <c r="B468" s="1">
        <v>0</v>
      </c>
      <c r="C468" s="1">
        <v>0</v>
      </c>
      <c r="D468" s="1">
        <v>1</v>
      </c>
      <c r="E468" s="1">
        <v>0</v>
      </c>
      <c r="F468" s="1">
        <v>49</v>
      </c>
      <c r="G468" s="1">
        <v>0</v>
      </c>
      <c r="H468" s="1">
        <v>18</v>
      </c>
      <c r="I468" s="1">
        <v>3</v>
      </c>
      <c r="J468" s="1">
        <v>1</v>
      </c>
      <c r="K468" s="1">
        <v>0</v>
      </c>
      <c r="L468" s="1">
        <v>49168</v>
      </c>
      <c r="M468" s="1">
        <v>0</v>
      </c>
    </row>
    <row r="469" spans="2:13" x14ac:dyDescent="0.25">
      <c r="B469" s="1">
        <v>0</v>
      </c>
      <c r="C469" s="1">
        <v>0</v>
      </c>
      <c r="D469" s="1">
        <v>0.9810526315789474</v>
      </c>
      <c r="E469" s="1">
        <v>1.8947368421052633E-2</v>
      </c>
      <c r="F469" s="1">
        <v>22</v>
      </c>
      <c r="G469" s="1">
        <v>1</v>
      </c>
      <c r="H469" s="1">
        <v>2</v>
      </c>
      <c r="I469" s="1">
        <v>0</v>
      </c>
      <c r="J469" s="1">
        <v>0</v>
      </c>
      <c r="K469" s="1">
        <v>0</v>
      </c>
      <c r="L469" s="1">
        <v>7300</v>
      </c>
      <c r="M469" s="1">
        <v>0</v>
      </c>
    </row>
    <row r="470" spans="2:13" x14ac:dyDescent="0.25">
      <c r="B470" s="17">
        <v>1</v>
      </c>
      <c r="C470" s="17">
        <v>0</v>
      </c>
      <c r="D470" s="17">
        <v>9.9999999999999992E-2</v>
      </c>
      <c r="E470" s="17">
        <v>0.9</v>
      </c>
      <c r="F470" s="17">
        <v>74</v>
      </c>
      <c r="G470" s="17">
        <v>1</v>
      </c>
      <c r="H470" s="17">
        <v>7</v>
      </c>
      <c r="I470" s="17">
        <v>3</v>
      </c>
      <c r="J470" s="17">
        <v>1</v>
      </c>
      <c r="K470" s="17">
        <v>0</v>
      </c>
      <c r="L470" s="17">
        <v>15210</v>
      </c>
      <c r="M470" s="17">
        <v>1</v>
      </c>
    </row>
    <row r="471" spans="2:13" x14ac:dyDescent="0.25">
      <c r="B471" s="17">
        <v>1</v>
      </c>
      <c r="C471" s="17">
        <v>0</v>
      </c>
      <c r="D471" s="17">
        <v>0.31818181818181818</v>
      </c>
      <c r="E471" s="17">
        <v>0.68181818181818188</v>
      </c>
      <c r="F471" s="17">
        <v>28</v>
      </c>
      <c r="G471" s="17">
        <v>1</v>
      </c>
      <c r="H471" s="17">
        <v>2</v>
      </c>
      <c r="I471" s="17">
        <v>3</v>
      </c>
      <c r="J471" s="17">
        <v>1</v>
      </c>
      <c r="K471" s="17">
        <v>0</v>
      </c>
      <c r="L471" s="17">
        <v>4871</v>
      </c>
      <c r="M471" s="17">
        <v>1</v>
      </c>
    </row>
    <row r="472" spans="2:13" x14ac:dyDescent="0.25">
      <c r="B472" s="1">
        <v>0</v>
      </c>
      <c r="C472" s="1">
        <v>0</v>
      </c>
      <c r="D472" s="1">
        <v>1</v>
      </c>
      <c r="E472" s="1">
        <v>0</v>
      </c>
      <c r="F472" s="1">
        <v>47</v>
      </c>
      <c r="G472" s="1">
        <v>0</v>
      </c>
      <c r="H472" s="1">
        <v>3</v>
      </c>
      <c r="I472" s="1">
        <v>1</v>
      </c>
      <c r="J472" s="1">
        <v>1</v>
      </c>
      <c r="K472" s="1">
        <v>0</v>
      </c>
      <c r="L472" s="1">
        <v>16384</v>
      </c>
      <c r="M472" s="1">
        <v>0</v>
      </c>
    </row>
    <row r="473" spans="2:13" x14ac:dyDescent="0.25">
      <c r="B473" s="1">
        <v>0</v>
      </c>
      <c r="C473" s="1">
        <v>0</v>
      </c>
      <c r="D473" s="1">
        <v>0.68</v>
      </c>
      <c r="E473" s="1">
        <v>0.32</v>
      </c>
      <c r="F473" s="1">
        <v>87</v>
      </c>
      <c r="G473" s="1">
        <v>0</v>
      </c>
      <c r="H473" s="1">
        <v>1</v>
      </c>
      <c r="I473" s="1">
        <v>3</v>
      </c>
      <c r="J473" s="1">
        <v>0</v>
      </c>
      <c r="K473" s="1">
        <v>0</v>
      </c>
      <c r="L473" s="1">
        <v>8526</v>
      </c>
      <c r="M473" s="1">
        <v>0</v>
      </c>
    </row>
    <row r="474" spans="2:13" x14ac:dyDescent="0.25">
      <c r="B474" s="1">
        <v>1</v>
      </c>
      <c r="C474" s="1">
        <v>1</v>
      </c>
      <c r="D474" s="1">
        <v>0.4375</v>
      </c>
      <c r="E474" s="1">
        <v>0.5625</v>
      </c>
      <c r="F474" s="1">
        <v>75</v>
      </c>
      <c r="G474" s="1">
        <v>0</v>
      </c>
      <c r="H474" s="1">
        <v>4</v>
      </c>
      <c r="I474" s="1">
        <v>2</v>
      </c>
      <c r="J474" s="1">
        <v>0</v>
      </c>
      <c r="K474" s="1">
        <v>0</v>
      </c>
      <c r="L474" s="1">
        <v>8305</v>
      </c>
      <c r="M474" s="1">
        <v>0</v>
      </c>
    </row>
    <row r="475" spans="2:13" x14ac:dyDescent="0.25">
      <c r="B475" s="1">
        <v>0</v>
      </c>
      <c r="C475" s="1">
        <v>0</v>
      </c>
      <c r="D475" s="1">
        <v>0.99749999999999994</v>
      </c>
      <c r="E475" s="1">
        <v>2.5000000000000001E-3</v>
      </c>
      <c r="F475" s="1">
        <v>55</v>
      </c>
      <c r="G475" s="1">
        <v>0</v>
      </c>
      <c r="H475" s="1">
        <v>3</v>
      </c>
      <c r="I475" s="1">
        <v>6</v>
      </c>
      <c r="J475" s="1">
        <v>0</v>
      </c>
      <c r="K475" s="1">
        <v>0</v>
      </c>
      <c r="L475" s="1">
        <v>11040</v>
      </c>
      <c r="M475" s="1">
        <v>0</v>
      </c>
    </row>
    <row r="476" spans="2:13" x14ac:dyDescent="0.25">
      <c r="B476" s="1">
        <v>1</v>
      </c>
      <c r="C476" s="1">
        <v>1</v>
      </c>
      <c r="D476" s="1">
        <v>0.36</v>
      </c>
      <c r="E476" s="1">
        <v>0.64</v>
      </c>
      <c r="F476" s="1">
        <v>86</v>
      </c>
      <c r="G476" s="1">
        <v>1</v>
      </c>
      <c r="H476" s="1">
        <v>3</v>
      </c>
      <c r="I476" s="1">
        <v>7</v>
      </c>
      <c r="J476" s="1">
        <v>0</v>
      </c>
      <c r="K476" s="1">
        <v>0</v>
      </c>
      <c r="L476" s="1">
        <v>16838</v>
      </c>
      <c r="M476" s="1">
        <v>0</v>
      </c>
    </row>
    <row r="477" spans="2:13" x14ac:dyDescent="0.25">
      <c r="B477" s="1">
        <v>0</v>
      </c>
      <c r="C477" s="1">
        <v>0</v>
      </c>
      <c r="D477" s="1">
        <v>0.625</v>
      </c>
      <c r="E477" s="1">
        <v>0.37500000000000006</v>
      </c>
      <c r="F477" s="1">
        <v>86</v>
      </c>
      <c r="G477" s="1">
        <v>0</v>
      </c>
      <c r="H477" s="1">
        <v>4</v>
      </c>
      <c r="I477" s="1">
        <v>3</v>
      </c>
      <c r="J477" s="1">
        <v>1</v>
      </c>
      <c r="K477" s="1">
        <v>0</v>
      </c>
      <c r="L477" s="1">
        <v>28625</v>
      </c>
      <c r="M477" s="1">
        <v>1</v>
      </c>
    </row>
    <row r="478" spans="2:13" x14ac:dyDescent="0.25">
      <c r="B478" s="1">
        <v>0</v>
      </c>
      <c r="C478" s="1">
        <v>0</v>
      </c>
      <c r="D478" s="1">
        <v>0.99749999999999994</v>
      </c>
      <c r="E478" s="1">
        <v>2.5000000000000001E-3</v>
      </c>
      <c r="F478" s="1">
        <v>70</v>
      </c>
      <c r="G478" s="1">
        <v>1</v>
      </c>
      <c r="H478" s="1">
        <v>2</v>
      </c>
      <c r="I478" s="1">
        <v>8</v>
      </c>
      <c r="J478" s="1">
        <v>0</v>
      </c>
      <c r="K478" s="1">
        <v>0</v>
      </c>
      <c r="L478" s="1">
        <v>7770</v>
      </c>
      <c r="M478" s="1">
        <v>0</v>
      </c>
    </row>
    <row r="479" spans="2:13" x14ac:dyDescent="0.25">
      <c r="B479" s="1">
        <v>0</v>
      </c>
      <c r="C479" s="1">
        <v>0</v>
      </c>
      <c r="D479" s="1">
        <v>1</v>
      </c>
      <c r="E479" s="1">
        <v>0</v>
      </c>
      <c r="F479" s="1">
        <v>49</v>
      </c>
      <c r="G479" s="1">
        <v>1</v>
      </c>
      <c r="H479" s="1">
        <v>1</v>
      </c>
      <c r="I479" s="1">
        <v>3</v>
      </c>
      <c r="J479" s="1">
        <v>4</v>
      </c>
      <c r="K479" s="1">
        <v>0</v>
      </c>
      <c r="L479" s="1">
        <v>11445</v>
      </c>
      <c r="M479" s="1">
        <v>0</v>
      </c>
    </row>
    <row r="480" spans="2:13" x14ac:dyDescent="0.25">
      <c r="B480" s="1">
        <v>0</v>
      </c>
      <c r="C480" s="1">
        <v>0</v>
      </c>
      <c r="D480" s="1">
        <v>0.8571428571428571</v>
      </c>
      <c r="E480" s="1">
        <v>0.14285714285714285</v>
      </c>
      <c r="F480" s="1">
        <v>51</v>
      </c>
      <c r="G480" s="1">
        <v>0</v>
      </c>
      <c r="H480" s="1">
        <v>3</v>
      </c>
      <c r="I480" s="1">
        <v>5</v>
      </c>
      <c r="J480" s="1">
        <v>0</v>
      </c>
      <c r="K480" s="1">
        <v>0</v>
      </c>
      <c r="L480" s="1">
        <v>21810</v>
      </c>
      <c r="M480" s="1">
        <v>0</v>
      </c>
    </row>
    <row r="481" spans="2:13" x14ac:dyDescent="0.25">
      <c r="B481" s="1">
        <v>0</v>
      </c>
      <c r="C481" s="1">
        <v>0</v>
      </c>
      <c r="D481" s="1">
        <v>0.9810526315789474</v>
      </c>
      <c r="E481" s="1">
        <v>1.8947368421052633E-2</v>
      </c>
      <c r="F481" s="1">
        <v>0</v>
      </c>
      <c r="G481" s="1">
        <v>1</v>
      </c>
      <c r="H481" s="1">
        <v>2</v>
      </c>
      <c r="I481" s="1">
        <v>0</v>
      </c>
      <c r="J481" s="1">
        <v>0</v>
      </c>
      <c r="K481" s="1">
        <v>0</v>
      </c>
      <c r="L481" s="1">
        <v>1602</v>
      </c>
      <c r="M481" s="1">
        <v>0</v>
      </c>
    </row>
    <row r="482" spans="2:13" x14ac:dyDescent="0.25">
      <c r="B482" s="1">
        <v>0</v>
      </c>
      <c r="C482" s="1">
        <v>0</v>
      </c>
      <c r="D482" s="1">
        <v>0.96666666666666667</v>
      </c>
      <c r="E482" s="1">
        <v>3.333333333333334E-2</v>
      </c>
      <c r="F482" s="1">
        <v>32</v>
      </c>
      <c r="G482" s="1">
        <v>1</v>
      </c>
      <c r="H482" s="1">
        <v>3</v>
      </c>
      <c r="I482" s="1">
        <v>0</v>
      </c>
      <c r="J482" s="1">
        <v>4</v>
      </c>
      <c r="K482" s="1">
        <v>0</v>
      </c>
      <c r="L482" s="1">
        <v>8688</v>
      </c>
      <c r="M482" s="1">
        <v>0</v>
      </c>
    </row>
    <row r="483" spans="2:13" x14ac:dyDescent="0.25">
      <c r="B483" s="1">
        <v>0</v>
      </c>
      <c r="C483" s="1">
        <v>0</v>
      </c>
      <c r="D483" s="1">
        <v>1</v>
      </c>
      <c r="E483" s="1">
        <v>0</v>
      </c>
      <c r="F483" s="1">
        <v>49</v>
      </c>
      <c r="G483" s="1">
        <v>0</v>
      </c>
      <c r="H483" s="1">
        <v>13</v>
      </c>
      <c r="I483" s="1">
        <v>3</v>
      </c>
      <c r="J483" s="1">
        <v>0</v>
      </c>
      <c r="K483" s="1">
        <v>0</v>
      </c>
      <c r="L483" s="1">
        <v>22149</v>
      </c>
      <c r="M483" s="1">
        <v>0</v>
      </c>
    </row>
    <row r="484" spans="2:13" x14ac:dyDescent="0.25">
      <c r="B484" s="1">
        <v>0</v>
      </c>
      <c r="C484" s="1">
        <v>0</v>
      </c>
      <c r="D484" s="1">
        <v>0.96666666666666667</v>
      </c>
      <c r="E484" s="1">
        <v>3.333333333333334E-2</v>
      </c>
      <c r="F484" s="1">
        <v>29</v>
      </c>
      <c r="G484" s="1">
        <v>1</v>
      </c>
      <c r="H484" s="1">
        <v>3</v>
      </c>
      <c r="I484" s="1">
        <v>0</v>
      </c>
      <c r="J484" s="1">
        <v>2</v>
      </c>
      <c r="K484" s="1">
        <v>0</v>
      </c>
      <c r="L484" s="1">
        <v>9999</v>
      </c>
      <c r="M484" s="1">
        <v>0</v>
      </c>
    </row>
    <row r="485" spans="2:13" x14ac:dyDescent="0.25">
      <c r="B485" s="17">
        <v>1</v>
      </c>
      <c r="C485" s="17">
        <v>0</v>
      </c>
      <c r="D485" s="17">
        <v>0.27272727272727276</v>
      </c>
      <c r="E485" s="17">
        <v>0.72727272727272729</v>
      </c>
      <c r="F485" s="17">
        <v>85</v>
      </c>
      <c r="G485" s="17">
        <v>1</v>
      </c>
      <c r="H485" s="17">
        <v>1</v>
      </c>
      <c r="I485" s="17">
        <v>6</v>
      </c>
      <c r="J485" s="17">
        <v>0</v>
      </c>
      <c r="K485" s="17">
        <v>0</v>
      </c>
      <c r="L485" s="17">
        <v>4266</v>
      </c>
      <c r="M485" s="17">
        <v>0</v>
      </c>
    </row>
    <row r="486" spans="2:13" x14ac:dyDescent="0.25">
      <c r="B486" s="1">
        <v>0</v>
      </c>
      <c r="C486" s="1">
        <v>0</v>
      </c>
      <c r="D486" s="1">
        <v>0.99749999999999994</v>
      </c>
      <c r="E486" s="1">
        <v>2.5000000000000001E-3</v>
      </c>
      <c r="F486" s="1">
        <v>64</v>
      </c>
      <c r="G486" s="1">
        <v>0</v>
      </c>
      <c r="H486" s="1">
        <v>5</v>
      </c>
      <c r="I486" s="1">
        <v>5</v>
      </c>
      <c r="J486" s="1">
        <v>0</v>
      </c>
      <c r="K486" s="1">
        <v>0</v>
      </c>
      <c r="L486" s="1">
        <v>14196</v>
      </c>
      <c r="M486" s="1">
        <v>0</v>
      </c>
    </row>
    <row r="487" spans="2:13" x14ac:dyDescent="0.25">
      <c r="B487" s="1">
        <v>0</v>
      </c>
      <c r="C487" s="1">
        <v>0</v>
      </c>
      <c r="D487" s="1">
        <v>0.9810526315789474</v>
      </c>
      <c r="E487" s="1">
        <v>1.8947368421052633E-2</v>
      </c>
      <c r="F487" s="1">
        <v>23</v>
      </c>
      <c r="G487" s="1">
        <v>1</v>
      </c>
      <c r="H487" s="1">
        <v>2</v>
      </c>
      <c r="I487" s="1">
        <v>0</v>
      </c>
      <c r="J487" s="1">
        <v>1</v>
      </c>
      <c r="K487" s="1">
        <v>0</v>
      </c>
      <c r="L487" s="1">
        <v>5775</v>
      </c>
      <c r="M487" s="1">
        <v>0</v>
      </c>
    </row>
    <row r="488" spans="2:13" x14ac:dyDescent="0.25">
      <c r="B488" s="1">
        <v>0</v>
      </c>
      <c r="C488" s="1">
        <v>0</v>
      </c>
      <c r="D488" s="1">
        <v>0.96666666666666667</v>
      </c>
      <c r="E488" s="1">
        <v>3.333333333333334E-2</v>
      </c>
      <c r="F488" s="1">
        <v>29</v>
      </c>
      <c r="G488" s="1">
        <v>1</v>
      </c>
      <c r="H488" s="1">
        <v>2</v>
      </c>
      <c r="I488" s="1">
        <v>0</v>
      </c>
      <c r="J488" s="1">
        <v>2</v>
      </c>
      <c r="K488" s="1">
        <v>0</v>
      </c>
      <c r="L488" s="1">
        <v>8110</v>
      </c>
      <c r="M488" s="1">
        <v>0</v>
      </c>
    </row>
    <row r="489" spans="2:13" x14ac:dyDescent="0.25">
      <c r="B489" s="1">
        <v>0</v>
      </c>
      <c r="C489" s="1">
        <v>0</v>
      </c>
      <c r="D489" s="1">
        <v>0.9810526315789474</v>
      </c>
      <c r="E489" s="1">
        <v>1.8947368421052633E-2</v>
      </c>
      <c r="F489" s="1">
        <v>0</v>
      </c>
      <c r="G489" s="1">
        <v>0</v>
      </c>
      <c r="H489" s="1">
        <v>3</v>
      </c>
      <c r="I489" s="1">
        <v>0</v>
      </c>
      <c r="J489" s="1">
        <v>0</v>
      </c>
      <c r="K489" s="1">
        <v>0</v>
      </c>
      <c r="L489" s="1">
        <v>3082</v>
      </c>
      <c r="M489" s="1">
        <v>0</v>
      </c>
    </row>
    <row r="490" spans="2:13" x14ac:dyDescent="0.25">
      <c r="B490" s="1">
        <v>0</v>
      </c>
      <c r="C490" s="1">
        <v>0</v>
      </c>
      <c r="D490" s="1">
        <v>0.9810526315789474</v>
      </c>
      <c r="E490" s="1">
        <v>1.8947368421052633E-2</v>
      </c>
      <c r="F490" s="1">
        <v>0</v>
      </c>
      <c r="G490" s="1">
        <v>1</v>
      </c>
      <c r="H490" s="1">
        <v>3</v>
      </c>
      <c r="I490" s="1">
        <v>0</v>
      </c>
      <c r="J490" s="1">
        <v>0</v>
      </c>
      <c r="K490" s="1">
        <v>0</v>
      </c>
      <c r="L490" s="1">
        <v>4441</v>
      </c>
      <c r="M490" s="1">
        <v>0</v>
      </c>
    </row>
    <row r="491" spans="2:13" x14ac:dyDescent="0.25">
      <c r="B491" s="1">
        <v>0</v>
      </c>
      <c r="C491" s="1">
        <v>0</v>
      </c>
      <c r="D491" s="1">
        <v>0.99749999999999994</v>
      </c>
      <c r="E491" s="1">
        <v>2.5000000000000001E-3</v>
      </c>
      <c r="F491" s="1">
        <v>58</v>
      </c>
      <c r="G491" s="1">
        <v>1</v>
      </c>
      <c r="H491" s="1">
        <v>3</v>
      </c>
      <c r="I491" s="1">
        <v>4</v>
      </c>
      <c r="J491" s="1">
        <v>0</v>
      </c>
      <c r="K491" s="1">
        <v>0</v>
      </c>
      <c r="L491" s="1">
        <v>10512</v>
      </c>
      <c r="M491" s="1">
        <v>0</v>
      </c>
    </row>
    <row r="492" spans="2:13" x14ac:dyDescent="0.25">
      <c r="B492" s="1">
        <v>0</v>
      </c>
      <c r="C492" s="1">
        <v>0</v>
      </c>
      <c r="D492" s="1">
        <v>0.9810526315789474</v>
      </c>
      <c r="E492" s="1">
        <v>1.8947368421052633E-2</v>
      </c>
      <c r="F492" s="1">
        <v>0</v>
      </c>
      <c r="G492" s="1">
        <v>1</v>
      </c>
      <c r="H492" s="1">
        <v>2</v>
      </c>
      <c r="I492" s="1">
        <v>0</v>
      </c>
      <c r="J492" s="1">
        <v>0</v>
      </c>
      <c r="K492" s="1">
        <v>0</v>
      </c>
      <c r="L492" s="1">
        <v>2064</v>
      </c>
      <c r="M492" s="1">
        <v>0</v>
      </c>
    </row>
    <row r="493" spans="2:13" x14ac:dyDescent="0.25">
      <c r="B493" s="17">
        <v>1</v>
      </c>
      <c r="C493" s="17">
        <v>0</v>
      </c>
      <c r="D493" s="17">
        <v>0.31818181818181818</v>
      </c>
      <c r="E493" s="17">
        <v>0.68181818181818188</v>
      </c>
      <c r="F493" s="17">
        <v>28</v>
      </c>
      <c r="G493" s="17">
        <v>0</v>
      </c>
      <c r="H493" s="17">
        <v>5</v>
      </c>
      <c r="I493" s="17">
        <v>3</v>
      </c>
      <c r="J493" s="17">
        <v>1</v>
      </c>
      <c r="K493" s="17">
        <v>0</v>
      </c>
      <c r="L493" s="17">
        <v>14669</v>
      </c>
      <c r="M493" s="17">
        <v>1</v>
      </c>
    </row>
    <row r="494" spans="2:13" x14ac:dyDescent="0.25">
      <c r="B494" s="1">
        <v>0</v>
      </c>
      <c r="C494" s="1">
        <v>0</v>
      </c>
      <c r="D494" s="1">
        <v>0.99749999999999994</v>
      </c>
      <c r="E494" s="1">
        <v>2.5000000000000001E-3</v>
      </c>
      <c r="F494" s="1">
        <v>63</v>
      </c>
      <c r="G494" s="1">
        <v>0</v>
      </c>
      <c r="H494" s="1">
        <v>1</v>
      </c>
      <c r="I494" s="1">
        <v>5</v>
      </c>
      <c r="J494" s="1">
        <v>2</v>
      </c>
      <c r="K494" s="1">
        <v>0</v>
      </c>
      <c r="L494" s="1">
        <v>10767</v>
      </c>
      <c r="M494" s="1">
        <v>0</v>
      </c>
    </row>
    <row r="495" spans="2:13" x14ac:dyDescent="0.25">
      <c r="B495" s="1">
        <v>0</v>
      </c>
      <c r="C495" s="1">
        <v>0</v>
      </c>
      <c r="D495" s="1">
        <v>1</v>
      </c>
      <c r="E495" s="1">
        <v>0</v>
      </c>
      <c r="F495" s="1">
        <v>40</v>
      </c>
      <c r="G495" s="1">
        <v>1</v>
      </c>
      <c r="H495" s="1">
        <v>2</v>
      </c>
      <c r="I495" s="1">
        <v>2</v>
      </c>
      <c r="J495" s="1">
        <v>1</v>
      </c>
      <c r="K495" s="1">
        <v>0</v>
      </c>
      <c r="L495" s="1">
        <v>22199</v>
      </c>
      <c r="M495" s="1">
        <v>1</v>
      </c>
    </row>
    <row r="496" spans="2:13" x14ac:dyDescent="0.25">
      <c r="B496" s="17">
        <v>1</v>
      </c>
      <c r="C496" s="17">
        <v>0</v>
      </c>
      <c r="D496" s="17">
        <v>0.31818181818181818</v>
      </c>
      <c r="E496" s="17">
        <v>0.68181818181818188</v>
      </c>
      <c r="F496" s="17">
        <v>28</v>
      </c>
      <c r="G496" s="17">
        <v>1</v>
      </c>
      <c r="H496" s="17">
        <v>4</v>
      </c>
      <c r="I496" s="17">
        <v>1</v>
      </c>
      <c r="J496" s="17">
        <v>1</v>
      </c>
      <c r="K496" s="17">
        <v>0</v>
      </c>
      <c r="L496" s="17">
        <v>13186</v>
      </c>
      <c r="M496" s="17">
        <v>1</v>
      </c>
    </row>
    <row r="497" spans="2:13" x14ac:dyDescent="0.25">
      <c r="B497" s="1">
        <v>0</v>
      </c>
      <c r="C497" s="1">
        <v>0</v>
      </c>
      <c r="D497" s="1">
        <v>1</v>
      </c>
      <c r="E497" s="1">
        <v>0</v>
      </c>
      <c r="F497" s="1">
        <v>47</v>
      </c>
      <c r="G497" s="1">
        <v>0</v>
      </c>
      <c r="H497" s="1">
        <v>4</v>
      </c>
      <c r="I497" s="1">
        <v>3</v>
      </c>
      <c r="J497" s="1">
        <v>0</v>
      </c>
      <c r="K497" s="1">
        <v>0</v>
      </c>
      <c r="L497" s="1">
        <v>8653</v>
      </c>
      <c r="M497" s="1">
        <v>0</v>
      </c>
    </row>
    <row r="498" spans="2:13" x14ac:dyDescent="0.25">
      <c r="B498" s="1">
        <v>1</v>
      </c>
      <c r="C498" s="1">
        <v>1</v>
      </c>
      <c r="D498" s="1">
        <v>0.19999999999999998</v>
      </c>
      <c r="E498" s="1">
        <v>0.79999999999999993</v>
      </c>
      <c r="F498" s="1">
        <v>36</v>
      </c>
      <c r="G498" s="1">
        <v>0</v>
      </c>
      <c r="H498" s="1">
        <v>5</v>
      </c>
      <c r="I498" s="1">
        <v>2</v>
      </c>
      <c r="J498" s="1">
        <v>2</v>
      </c>
      <c r="K498" s="1">
        <v>0</v>
      </c>
      <c r="L498" s="1">
        <v>17606</v>
      </c>
      <c r="M498" s="1">
        <v>0</v>
      </c>
    </row>
    <row r="499" spans="2:13" x14ac:dyDescent="0.25">
      <c r="B499" s="1">
        <v>1</v>
      </c>
      <c r="C499" s="1">
        <v>1</v>
      </c>
      <c r="D499" s="1">
        <v>0</v>
      </c>
      <c r="E499" s="1">
        <v>1</v>
      </c>
      <c r="F499" s="1">
        <v>75</v>
      </c>
      <c r="G499" s="1">
        <v>0</v>
      </c>
      <c r="H499" s="1">
        <v>2</v>
      </c>
      <c r="I499" s="1">
        <v>5</v>
      </c>
      <c r="J499" s="1">
        <v>6</v>
      </c>
      <c r="K499" s="1">
        <v>1</v>
      </c>
      <c r="L499" s="1">
        <v>27945</v>
      </c>
      <c r="M499" s="1">
        <v>1</v>
      </c>
    </row>
    <row r="500" spans="2:13" x14ac:dyDescent="0.25">
      <c r="B500" s="1">
        <v>0</v>
      </c>
      <c r="C500" s="1">
        <v>0</v>
      </c>
      <c r="D500" s="1">
        <v>1</v>
      </c>
      <c r="E500" s="1">
        <v>0</v>
      </c>
      <c r="F500" s="1">
        <v>39</v>
      </c>
      <c r="G500" s="1">
        <v>1</v>
      </c>
      <c r="H500" s="1">
        <v>3</v>
      </c>
      <c r="I500" s="1">
        <v>2</v>
      </c>
      <c r="J500" s="1">
        <v>2</v>
      </c>
      <c r="K500" s="1">
        <v>0</v>
      </c>
      <c r="L500" s="1">
        <v>22921</v>
      </c>
      <c r="M500" s="1">
        <v>1</v>
      </c>
    </row>
    <row r="501" spans="2:13" x14ac:dyDescent="0.25">
      <c r="B501" s="1">
        <v>0</v>
      </c>
      <c r="C501" s="1">
        <v>0</v>
      </c>
      <c r="D501" s="1">
        <v>0.99749999999999994</v>
      </c>
      <c r="E501" s="1">
        <v>2.5000000000000001E-3</v>
      </c>
      <c r="F501" s="1">
        <v>66</v>
      </c>
      <c r="G501" s="1">
        <v>0</v>
      </c>
      <c r="H501" s="1">
        <v>1</v>
      </c>
      <c r="I501" s="1">
        <v>3</v>
      </c>
      <c r="J501" s="1">
        <v>0</v>
      </c>
      <c r="K501" s="1">
        <v>0</v>
      </c>
      <c r="L501" s="1">
        <v>8097</v>
      </c>
      <c r="M501" s="1">
        <v>0</v>
      </c>
    </row>
    <row r="502" spans="2:13" x14ac:dyDescent="0.25">
      <c r="B502" s="1">
        <v>0</v>
      </c>
      <c r="C502" s="1">
        <v>0</v>
      </c>
      <c r="D502" s="1">
        <v>0.625</v>
      </c>
      <c r="E502" s="1">
        <v>0.37500000000000006</v>
      </c>
      <c r="F502" s="1">
        <v>88</v>
      </c>
      <c r="G502" s="1">
        <v>1</v>
      </c>
      <c r="H502" s="1">
        <v>13</v>
      </c>
      <c r="I502" s="1">
        <v>2</v>
      </c>
      <c r="J502" s="1">
        <v>5</v>
      </c>
      <c r="K502" s="1">
        <v>0</v>
      </c>
      <c r="L502" s="1">
        <v>72919</v>
      </c>
      <c r="M502" s="1">
        <v>1</v>
      </c>
    </row>
    <row r="503" spans="2:13" x14ac:dyDescent="0.25">
      <c r="B503" s="1">
        <v>0</v>
      </c>
      <c r="C503" s="1">
        <v>0</v>
      </c>
      <c r="D503" s="1">
        <v>0.9810526315789474</v>
      </c>
      <c r="E503" s="1">
        <v>1.8947368421052633E-2</v>
      </c>
      <c r="F503" s="1">
        <v>27</v>
      </c>
      <c r="G503" s="1">
        <v>1</v>
      </c>
      <c r="H503" s="1">
        <v>3</v>
      </c>
      <c r="I503" s="1">
        <v>0</v>
      </c>
      <c r="J503" s="1">
        <v>2</v>
      </c>
      <c r="K503" s="1">
        <v>0</v>
      </c>
      <c r="L503" s="1">
        <v>8724</v>
      </c>
      <c r="M503" s="1">
        <v>1</v>
      </c>
    </row>
    <row r="504" spans="2:13" x14ac:dyDescent="0.25">
      <c r="B504" s="17">
        <v>0</v>
      </c>
      <c r="C504" s="17">
        <v>1</v>
      </c>
      <c r="D504" s="17">
        <v>0.625</v>
      </c>
      <c r="E504" s="17">
        <v>0.37500000000000006</v>
      </c>
      <c r="F504" s="17">
        <v>85</v>
      </c>
      <c r="G504" s="17">
        <v>1</v>
      </c>
      <c r="H504" s="17">
        <v>4</v>
      </c>
      <c r="I504" s="17">
        <v>3</v>
      </c>
      <c r="J504" s="17">
        <v>0</v>
      </c>
      <c r="K504" s="17">
        <v>0</v>
      </c>
      <c r="L504" s="17">
        <v>20651</v>
      </c>
      <c r="M504" s="17">
        <v>0</v>
      </c>
    </row>
    <row r="505" spans="2:13" x14ac:dyDescent="0.25">
      <c r="B505" s="17">
        <v>0</v>
      </c>
      <c r="C505" s="17">
        <v>1</v>
      </c>
      <c r="D505" s="17">
        <v>0.8571428571428571</v>
      </c>
      <c r="E505" s="17">
        <v>0.14285714285714288</v>
      </c>
      <c r="F505" s="17">
        <v>78</v>
      </c>
      <c r="G505" s="17">
        <v>1</v>
      </c>
      <c r="H505" s="17">
        <v>9</v>
      </c>
      <c r="I505" s="17">
        <v>7</v>
      </c>
      <c r="J505" s="17">
        <v>0</v>
      </c>
      <c r="K505" s="17">
        <v>0</v>
      </c>
      <c r="L505" s="17">
        <v>29594</v>
      </c>
      <c r="M505" s="17">
        <v>0</v>
      </c>
    </row>
    <row r="506" spans="2:13" x14ac:dyDescent="0.25">
      <c r="B506" s="1">
        <v>0</v>
      </c>
      <c r="C506" s="1">
        <v>0</v>
      </c>
      <c r="D506" s="1">
        <v>1</v>
      </c>
      <c r="E506" s="1">
        <v>0</v>
      </c>
      <c r="F506" s="1">
        <v>45</v>
      </c>
      <c r="G506" s="1">
        <v>0</v>
      </c>
      <c r="H506" s="1">
        <v>3</v>
      </c>
      <c r="I506" s="1">
        <v>2</v>
      </c>
      <c r="J506" s="1">
        <v>1</v>
      </c>
      <c r="K506" s="1">
        <v>0</v>
      </c>
      <c r="L506" s="1">
        <v>5612</v>
      </c>
      <c r="M506" s="1">
        <v>0</v>
      </c>
    </row>
    <row r="507" spans="2:13" x14ac:dyDescent="0.25">
      <c r="B507" s="1">
        <v>0</v>
      </c>
      <c r="C507" s="1">
        <v>0</v>
      </c>
      <c r="D507" s="1">
        <v>0.99749999999999994</v>
      </c>
      <c r="E507" s="1">
        <v>2.5000000000000001E-3</v>
      </c>
      <c r="F507" s="1">
        <v>71</v>
      </c>
      <c r="G507" s="1">
        <v>0</v>
      </c>
      <c r="H507" s="1">
        <v>2</v>
      </c>
      <c r="I507" s="1">
        <v>1</v>
      </c>
      <c r="J507" s="1">
        <v>0</v>
      </c>
      <c r="K507" s="1">
        <v>0</v>
      </c>
      <c r="L507" s="1">
        <v>5472</v>
      </c>
      <c r="M507" s="1">
        <v>0</v>
      </c>
    </row>
    <row r="508" spans="2:13" x14ac:dyDescent="0.25">
      <c r="B508" s="17">
        <v>0</v>
      </c>
      <c r="C508" s="17">
        <v>1</v>
      </c>
      <c r="D508" s="17">
        <v>0.8571428571428571</v>
      </c>
      <c r="E508" s="17">
        <v>0.14285714285714288</v>
      </c>
      <c r="F508" s="17">
        <v>78</v>
      </c>
      <c r="G508" s="17">
        <v>0</v>
      </c>
      <c r="H508" s="17">
        <v>2</v>
      </c>
      <c r="I508" s="17">
        <v>5</v>
      </c>
      <c r="J508" s="17">
        <v>0</v>
      </c>
      <c r="K508" s="17">
        <v>0</v>
      </c>
      <c r="L508" s="17">
        <v>4076</v>
      </c>
      <c r="M508" s="17">
        <v>0</v>
      </c>
    </row>
    <row r="509" spans="2:13" x14ac:dyDescent="0.25">
      <c r="B509" s="1">
        <v>0</v>
      </c>
      <c r="C509" s="1">
        <v>0</v>
      </c>
      <c r="D509" s="1">
        <v>0.99749999999999994</v>
      </c>
      <c r="E509" s="1">
        <v>2.5000000000000001E-3</v>
      </c>
      <c r="F509" s="1">
        <v>68</v>
      </c>
      <c r="G509" s="1">
        <v>0</v>
      </c>
      <c r="H509" s="1">
        <v>5</v>
      </c>
      <c r="I509" s="1">
        <v>8</v>
      </c>
      <c r="J509" s="1">
        <v>0</v>
      </c>
      <c r="K509" s="1">
        <v>0</v>
      </c>
      <c r="L509" s="1">
        <v>16214</v>
      </c>
      <c r="M509" s="1">
        <v>0</v>
      </c>
    </row>
    <row r="510" spans="2:13" x14ac:dyDescent="0.25">
      <c r="B510" s="1">
        <v>0</v>
      </c>
      <c r="C510" s="1">
        <v>0</v>
      </c>
      <c r="D510" s="1">
        <v>0.96666666666666667</v>
      </c>
      <c r="E510" s="1">
        <v>3.333333333333334E-2</v>
      </c>
      <c r="F510" s="1">
        <v>30</v>
      </c>
      <c r="G510" s="1">
        <v>1</v>
      </c>
      <c r="H510" s="1">
        <v>5</v>
      </c>
      <c r="I510" s="1">
        <v>2</v>
      </c>
      <c r="J510" s="1">
        <v>0</v>
      </c>
      <c r="K510" s="1">
        <v>0</v>
      </c>
      <c r="L510" s="1">
        <v>7597</v>
      </c>
      <c r="M510" s="1">
        <v>0</v>
      </c>
    </row>
    <row r="511" spans="2:13" x14ac:dyDescent="0.25">
      <c r="B511" s="1">
        <v>0</v>
      </c>
      <c r="C511" s="1">
        <v>0</v>
      </c>
      <c r="D511" s="1">
        <v>0.9810526315789474</v>
      </c>
      <c r="E511" s="1">
        <v>1.8947368421052633E-2</v>
      </c>
      <c r="F511" s="1">
        <v>22</v>
      </c>
      <c r="G511" s="1">
        <v>1</v>
      </c>
      <c r="H511" s="1">
        <v>10</v>
      </c>
      <c r="I511" s="1">
        <v>2</v>
      </c>
      <c r="J511" s="1">
        <v>0</v>
      </c>
      <c r="K511" s="1">
        <v>0</v>
      </c>
      <c r="L511" s="1">
        <v>17470</v>
      </c>
      <c r="M511" s="1">
        <v>0</v>
      </c>
    </row>
    <row r="512" spans="2:13" x14ac:dyDescent="0.25">
      <c r="B512" s="1">
        <v>0</v>
      </c>
      <c r="C512" s="1">
        <v>0</v>
      </c>
      <c r="D512" s="1">
        <v>1</v>
      </c>
      <c r="E512" s="1">
        <v>0</v>
      </c>
      <c r="F512" s="1">
        <v>42</v>
      </c>
      <c r="G512" s="1">
        <v>1</v>
      </c>
      <c r="H512" s="1">
        <v>3</v>
      </c>
      <c r="I512" s="1">
        <v>2</v>
      </c>
      <c r="J512" s="1">
        <v>1</v>
      </c>
      <c r="K512" s="1">
        <v>0</v>
      </c>
      <c r="L512" s="1">
        <v>37366</v>
      </c>
      <c r="M512" s="1">
        <v>1</v>
      </c>
    </row>
    <row r="513" spans="2:13" x14ac:dyDescent="0.25">
      <c r="B513" s="1">
        <v>0</v>
      </c>
      <c r="C513" s="1">
        <v>0</v>
      </c>
      <c r="D513" s="1">
        <v>0.9810526315789474</v>
      </c>
      <c r="E513" s="1">
        <v>1.8947368421052633E-2</v>
      </c>
      <c r="F513" s="1">
        <v>0</v>
      </c>
      <c r="G513" s="1">
        <v>0</v>
      </c>
      <c r="H513" s="1">
        <v>3</v>
      </c>
      <c r="I513" s="1">
        <v>0</v>
      </c>
      <c r="J513" s="1">
        <v>0</v>
      </c>
      <c r="K513" s="1">
        <v>0</v>
      </c>
      <c r="L513" s="1">
        <v>1738</v>
      </c>
      <c r="M513" s="1">
        <v>0</v>
      </c>
    </row>
    <row r="514" spans="2:13" x14ac:dyDescent="0.25">
      <c r="B514" s="1">
        <v>1</v>
      </c>
      <c r="C514" s="1">
        <v>1</v>
      </c>
      <c r="D514" s="1">
        <v>0</v>
      </c>
      <c r="E514" s="1">
        <v>1</v>
      </c>
      <c r="F514" s="1">
        <v>75</v>
      </c>
      <c r="G514" s="1">
        <v>0</v>
      </c>
      <c r="H514" s="1">
        <v>9</v>
      </c>
      <c r="I514" s="1">
        <v>4</v>
      </c>
      <c r="J514" s="1">
        <v>6</v>
      </c>
      <c r="K514" s="1">
        <v>1</v>
      </c>
      <c r="L514" s="1">
        <v>67698</v>
      </c>
      <c r="M514" s="1">
        <v>1</v>
      </c>
    </row>
    <row r="515" spans="2:13" x14ac:dyDescent="0.25">
      <c r="B515" s="1">
        <v>0</v>
      </c>
      <c r="C515" s="1">
        <v>0</v>
      </c>
      <c r="D515" s="1">
        <v>0.99749999999999994</v>
      </c>
      <c r="E515" s="1">
        <v>2.5000000000000001E-3</v>
      </c>
      <c r="F515" s="1">
        <v>70</v>
      </c>
      <c r="G515" s="1">
        <v>0</v>
      </c>
      <c r="H515" s="1">
        <v>4</v>
      </c>
      <c r="I515" s="1">
        <v>5</v>
      </c>
      <c r="J515" s="1">
        <v>1</v>
      </c>
      <c r="K515" s="1">
        <v>0</v>
      </c>
      <c r="L515" s="1">
        <v>12217</v>
      </c>
      <c r="M515" s="1">
        <v>0</v>
      </c>
    </row>
    <row r="516" spans="2:13" x14ac:dyDescent="0.25">
      <c r="B516" s="1">
        <v>1</v>
      </c>
      <c r="C516" s="1">
        <v>1</v>
      </c>
      <c r="D516" s="1">
        <v>0</v>
      </c>
      <c r="E516" s="1">
        <v>1</v>
      </c>
      <c r="F516" s="1">
        <v>50</v>
      </c>
      <c r="G516" s="1">
        <v>0</v>
      </c>
      <c r="H516" s="1">
        <v>35</v>
      </c>
      <c r="I516" s="1">
        <v>4</v>
      </c>
      <c r="J516" s="1">
        <v>0</v>
      </c>
      <c r="K516" s="1">
        <v>1</v>
      </c>
      <c r="L516" s="1">
        <v>60609</v>
      </c>
      <c r="M516" s="1">
        <v>0</v>
      </c>
    </row>
    <row r="517" spans="2:13" x14ac:dyDescent="0.25">
      <c r="B517" s="1">
        <v>0</v>
      </c>
      <c r="C517" s="1">
        <v>0</v>
      </c>
      <c r="D517" s="1">
        <v>0.9810526315789474</v>
      </c>
      <c r="E517" s="1">
        <v>1.8947368421052633E-2</v>
      </c>
      <c r="F517" s="1">
        <v>23</v>
      </c>
      <c r="G517" s="1">
        <v>0</v>
      </c>
      <c r="H517" s="1">
        <v>6</v>
      </c>
      <c r="I517" s="1">
        <v>5</v>
      </c>
      <c r="J517" s="1">
        <v>0</v>
      </c>
      <c r="K517" s="1">
        <v>0</v>
      </c>
      <c r="L517" s="1">
        <v>8441</v>
      </c>
      <c r="M517" s="1">
        <v>0</v>
      </c>
    </row>
    <row r="518" spans="2:13" x14ac:dyDescent="0.25">
      <c r="B518" s="1">
        <v>1</v>
      </c>
      <c r="C518" s="1">
        <v>1</v>
      </c>
      <c r="D518" s="1">
        <v>0</v>
      </c>
      <c r="E518" s="1">
        <v>1</v>
      </c>
      <c r="F518" s="1">
        <v>86</v>
      </c>
      <c r="G518" s="1">
        <v>1</v>
      </c>
      <c r="H518" s="1">
        <v>7</v>
      </c>
      <c r="I518" s="1">
        <v>4</v>
      </c>
      <c r="J518" s="1">
        <v>3</v>
      </c>
      <c r="K518" s="1">
        <v>1</v>
      </c>
      <c r="L518" s="1">
        <v>26851</v>
      </c>
      <c r="M518" s="1">
        <v>0</v>
      </c>
    </row>
    <row r="519" spans="2:13" x14ac:dyDescent="0.25">
      <c r="B519" s="1">
        <v>0</v>
      </c>
      <c r="C519" s="1">
        <v>0</v>
      </c>
      <c r="D519" s="1">
        <v>0.99749999999999994</v>
      </c>
      <c r="E519" s="1">
        <v>2.5000000000000001E-3</v>
      </c>
      <c r="F519" s="1">
        <v>61</v>
      </c>
      <c r="G519" s="1">
        <v>0</v>
      </c>
      <c r="H519" s="1">
        <v>2</v>
      </c>
      <c r="I519" s="1">
        <v>2</v>
      </c>
      <c r="J519" s="1">
        <v>0</v>
      </c>
      <c r="K519" s="1">
        <v>0</v>
      </c>
      <c r="L519" s="1">
        <v>5774</v>
      </c>
      <c r="M519" s="1">
        <v>0</v>
      </c>
    </row>
    <row r="520" spans="2:13" x14ac:dyDescent="0.25">
      <c r="B520" s="1">
        <v>0</v>
      </c>
      <c r="C520" s="1">
        <v>0</v>
      </c>
      <c r="D520" s="1">
        <v>0.99749999999999994</v>
      </c>
      <c r="E520" s="1">
        <v>2.5000000000000001E-3</v>
      </c>
      <c r="F520" s="1">
        <v>55</v>
      </c>
      <c r="G520" s="1">
        <v>1</v>
      </c>
      <c r="H520" s="1">
        <v>3</v>
      </c>
      <c r="I520" s="1">
        <v>2</v>
      </c>
      <c r="J520" s="1">
        <v>1</v>
      </c>
      <c r="K520" s="1">
        <v>0</v>
      </c>
      <c r="L520" s="1">
        <v>13338</v>
      </c>
      <c r="M520" s="1">
        <v>0</v>
      </c>
    </row>
    <row r="521" spans="2:13" x14ac:dyDescent="0.25">
      <c r="B521" s="1">
        <v>0</v>
      </c>
      <c r="C521" s="1">
        <v>0</v>
      </c>
      <c r="D521" s="1">
        <v>0.9810526315789474</v>
      </c>
      <c r="E521" s="1">
        <v>1.8947368421052633E-2</v>
      </c>
      <c r="F521" s="1">
        <v>0</v>
      </c>
      <c r="G521" s="1">
        <v>1</v>
      </c>
      <c r="H521" s="1">
        <v>3</v>
      </c>
      <c r="I521" s="1">
        <v>0</v>
      </c>
      <c r="J521" s="1">
        <v>0</v>
      </c>
      <c r="K521" s="1">
        <v>0</v>
      </c>
      <c r="L521" s="1">
        <v>2288</v>
      </c>
      <c r="M521" s="1">
        <v>0</v>
      </c>
    </row>
    <row r="522" spans="2:13" x14ac:dyDescent="0.25">
      <c r="B522" s="17">
        <v>1</v>
      </c>
      <c r="C522" s="17">
        <v>0</v>
      </c>
      <c r="D522" s="17">
        <v>0.36</v>
      </c>
      <c r="E522" s="17">
        <v>0.64</v>
      </c>
      <c r="F522" s="17">
        <v>85</v>
      </c>
      <c r="G522" s="17">
        <v>1</v>
      </c>
      <c r="H522" s="17">
        <v>2</v>
      </c>
      <c r="I522" s="17">
        <v>6</v>
      </c>
      <c r="J522" s="17">
        <v>4</v>
      </c>
      <c r="K522" s="17">
        <v>0</v>
      </c>
      <c r="L522" s="17">
        <v>16486</v>
      </c>
      <c r="M522" s="17">
        <v>1</v>
      </c>
    </row>
    <row r="523" spans="2:13" x14ac:dyDescent="0.25">
      <c r="B523" s="1">
        <v>0</v>
      </c>
      <c r="C523" s="1">
        <v>0</v>
      </c>
      <c r="D523" s="1">
        <v>1</v>
      </c>
      <c r="E523" s="1">
        <v>0</v>
      </c>
      <c r="F523" s="1">
        <v>41</v>
      </c>
      <c r="G523" s="1">
        <v>0</v>
      </c>
      <c r="H523" s="1">
        <v>4</v>
      </c>
      <c r="I523" s="1">
        <v>2</v>
      </c>
      <c r="J523" s="1">
        <v>0</v>
      </c>
      <c r="K523" s="1">
        <v>0</v>
      </c>
      <c r="L523" s="1">
        <v>6022</v>
      </c>
      <c r="M523" s="1">
        <v>0</v>
      </c>
    </row>
    <row r="524" spans="2:13" x14ac:dyDescent="0.25">
      <c r="B524" s="1">
        <v>1</v>
      </c>
      <c r="C524" s="1">
        <v>1</v>
      </c>
      <c r="D524" s="1">
        <v>0</v>
      </c>
      <c r="E524" s="1">
        <v>1</v>
      </c>
      <c r="F524" s="1">
        <v>83</v>
      </c>
      <c r="G524" s="1">
        <v>1</v>
      </c>
      <c r="H524" s="1">
        <v>20</v>
      </c>
      <c r="I524" s="1">
        <v>4</v>
      </c>
      <c r="J524" s="1">
        <v>0</v>
      </c>
      <c r="K524" s="1">
        <v>1</v>
      </c>
      <c r="L524" s="1">
        <v>39040</v>
      </c>
      <c r="M524" s="1">
        <v>0</v>
      </c>
    </row>
    <row r="525" spans="2:13" x14ac:dyDescent="0.25">
      <c r="B525" s="1">
        <v>0</v>
      </c>
      <c r="C525" s="1">
        <v>0</v>
      </c>
      <c r="D525" s="1">
        <v>0.9810526315789474</v>
      </c>
      <c r="E525" s="1">
        <v>1.8947368421052633E-2</v>
      </c>
      <c r="F525" s="1">
        <v>20</v>
      </c>
      <c r="G525" s="1">
        <v>1</v>
      </c>
      <c r="H525" s="1">
        <v>5</v>
      </c>
      <c r="I525" s="1">
        <v>2</v>
      </c>
      <c r="J525" s="1">
        <v>0</v>
      </c>
      <c r="K525" s="1">
        <v>0</v>
      </c>
      <c r="L525" s="1">
        <v>7916</v>
      </c>
      <c r="M525" s="1">
        <v>0</v>
      </c>
    </row>
    <row r="526" spans="2:13" x14ac:dyDescent="0.25">
      <c r="B526" s="1">
        <v>0</v>
      </c>
      <c r="C526" s="1">
        <v>0</v>
      </c>
      <c r="D526" s="1">
        <v>0.99749999999999994</v>
      </c>
      <c r="E526" s="1">
        <v>2.5000000000000001E-3</v>
      </c>
      <c r="F526" s="1">
        <v>54</v>
      </c>
      <c r="G526" s="1">
        <v>1</v>
      </c>
      <c r="H526" s="1">
        <v>3</v>
      </c>
      <c r="I526" s="1">
        <v>5</v>
      </c>
      <c r="J526" s="1">
        <v>1</v>
      </c>
      <c r="K526" s="1">
        <v>0</v>
      </c>
      <c r="L526" s="1">
        <v>25013</v>
      </c>
      <c r="M526" s="1">
        <v>1</v>
      </c>
    </row>
    <row r="527" spans="2:13" x14ac:dyDescent="0.25">
      <c r="B527" s="1">
        <v>0</v>
      </c>
      <c r="C527" s="1">
        <v>0</v>
      </c>
      <c r="D527" s="1">
        <v>0.9810526315789474</v>
      </c>
      <c r="E527" s="1">
        <v>1.8947368421052633E-2</v>
      </c>
      <c r="F527" s="1">
        <v>24</v>
      </c>
      <c r="G527" s="1">
        <v>1</v>
      </c>
      <c r="H527" s="1">
        <v>5</v>
      </c>
      <c r="I527" s="1">
        <v>2</v>
      </c>
      <c r="J527" s="1">
        <v>5</v>
      </c>
      <c r="K527" s="1">
        <v>0</v>
      </c>
      <c r="L527" s="1">
        <v>34700</v>
      </c>
      <c r="M527" s="1">
        <v>1</v>
      </c>
    </row>
    <row r="528" spans="2:13" x14ac:dyDescent="0.25">
      <c r="B528" s="1">
        <v>1</v>
      </c>
      <c r="C528" s="1">
        <v>1</v>
      </c>
      <c r="D528" s="1">
        <v>0</v>
      </c>
      <c r="E528" s="1">
        <v>1</v>
      </c>
      <c r="F528" s="1">
        <v>80</v>
      </c>
      <c r="G528" s="1">
        <v>0</v>
      </c>
      <c r="H528" s="1">
        <v>9</v>
      </c>
      <c r="I528" s="1">
        <v>5</v>
      </c>
      <c r="J528" s="1">
        <v>3</v>
      </c>
      <c r="K528" s="1">
        <v>1</v>
      </c>
      <c r="L528" s="1">
        <v>23432</v>
      </c>
      <c r="M528" s="1">
        <v>0</v>
      </c>
    </row>
    <row r="529" spans="2:13" x14ac:dyDescent="0.25">
      <c r="B529" s="1">
        <v>0</v>
      </c>
      <c r="C529" s="1">
        <v>0</v>
      </c>
      <c r="D529" s="1">
        <v>0.9810526315789474</v>
      </c>
      <c r="E529" s="1">
        <v>1.8947368421052633E-2</v>
      </c>
      <c r="F529" s="1">
        <v>25</v>
      </c>
      <c r="G529" s="1">
        <v>1</v>
      </c>
      <c r="H529" s="1">
        <v>3</v>
      </c>
      <c r="I529" s="1">
        <v>0</v>
      </c>
      <c r="J529" s="1">
        <v>2</v>
      </c>
      <c r="K529" s="1">
        <v>0</v>
      </c>
      <c r="L529" s="1">
        <v>10004</v>
      </c>
      <c r="M529" s="1">
        <v>0</v>
      </c>
    </row>
    <row r="530" spans="2:13" x14ac:dyDescent="0.25">
      <c r="B530" s="1">
        <v>0</v>
      </c>
      <c r="C530" s="1">
        <v>0</v>
      </c>
      <c r="D530" s="1">
        <v>1</v>
      </c>
      <c r="E530" s="1">
        <v>0</v>
      </c>
      <c r="F530" s="1">
        <v>41</v>
      </c>
      <c r="G530" s="1">
        <v>0</v>
      </c>
      <c r="H530" s="1">
        <v>3</v>
      </c>
      <c r="I530" s="1">
        <v>1</v>
      </c>
      <c r="J530" s="1">
        <v>1</v>
      </c>
      <c r="K530" s="1">
        <v>0</v>
      </c>
      <c r="L530" s="1">
        <v>17264</v>
      </c>
      <c r="M530" s="1">
        <v>0</v>
      </c>
    </row>
    <row r="531" spans="2:13" x14ac:dyDescent="0.25">
      <c r="B531" s="17">
        <v>0</v>
      </c>
      <c r="C531" s="17">
        <v>1</v>
      </c>
      <c r="D531" s="17">
        <v>0.68</v>
      </c>
      <c r="E531" s="17">
        <v>0.32</v>
      </c>
      <c r="F531" s="17">
        <v>83</v>
      </c>
      <c r="G531" s="17">
        <v>1</v>
      </c>
      <c r="H531" s="17">
        <v>2</v>
      </c>
      <c r="I531" s="17">
        <v>7</v>
      </c>
      <c r="J531" s="17">
        <v>1</v>
      </c>
      <c r="K531" s="17">
        <v>0</v>
      </c>
      <c r="L531" s="17">
        <v>11809</v>
      </c>
      <c r="M531" s="17">
        <v>0</v>
      </c>
    </row>
    <row r="532" spans="2:13" x14ac:dyDescent="0.25">
      <c r="B532" s="1">
        <v>0</v>
      </c>
      <c r="C532" s="1">
        <v>0</v>
      </c>
      <c r="D532" s="1">
        <v>0.99749999999999994</v>
      </c>
      <c r="E532" s="1">
        <v>2.5000000000000001E-3</v>
      </c>
      <c r="F532" s="1">
        <v>63</v>
      </c>
      <c r="G532" s="1">
        <v>1</v>
      </c>
      <c r="H532" s="1">
        <v>2</v>
      </c>
      <c r="I532" s="1">
        <v>7</v>
      </c>
      <c r="J532" s="1">
        <v>0</v>
      </c>
      <c r="K532" s="1">
        <v>0</v>
      </c>
      <c r="L532" s="1">
        <v>11483</v>
      </c>
      <c r="M532" s="1">
        <v>0</v>
      </c>
    </row>
    <row r="533" spans="2:13" x14ac:dyDescent="0.25">
      <c r="B533" s="1">
        <v>0</v>
      </c>
      <c r="C533" s="1">
        <v>0</v>
      </c>
      <c r="D533" s="1">
        <v>1</v>
      </c>
      <c r="E533" s="1">
        <v>0</v>
      </c>
      <c r="F533" s="1">
        <v>49</v>
      </c>
      <c r="G533" s="1">
        <v>1</v>
      </c>
      <c r="H533" s="1">
        <v>5</v>
      </c>
      <c r="I533" s="1">
        <v>4</v>
      </c>
      <c r="J533" s="1">
        <v>2</v>
      </c>
      <c r="K533" s="1">
        <v>0</v>
      </c>
      <c r="L533" s="1">
        <v>17934</v>
      </c>
      <c r="M533" s="1">
        <v>0</v>
      </c>
    </row>
    <row r="534" spans="2:13" x14ac:dyDescent="0.25">
      <c r="B534" s="1">
        <v>1</v>
      </c>
      <c r="C534" s="1">
        <v>1</v>
      </c>
      <c r="D534" s="1">
        <v>0</v>
      </c>
      <c r="E534" s="1">
        <v>1</v>
      </c>
      <c r="F534" s="1">
        <v>50</v>
      </c>
      <c r="G534" s="1">
        <v>1</v>
      </c>
      <c r="H534" s="1">
        <v>3</v>
      </c>
      <c r="I534" s="1">
        <v>7</v>
      </c>
      <c r="J534" s="1">
        <v>0</v>
      </c>
      <c r="K534" s="1">
        <v>1</v>
      </c>
      <c r="L534" s="1">
        <v>6032</v>
      </c>
      <c r="M534" s="1">
        <v>0</v>
      </c>
    </row>
    <row r="535" spans="2:13" x14ac:dyDescent="0.25">
      <c r="B535" s="1">
        <v>0</v>
      </c>
      <c r="C535" s="1">
        <v>0</v>
      </c>
      <c r="D535" s="1">
        <v>0.9810526315789474</v>
      </c>
      <c r="E535" s="1">
        <v>1.8947368421052633E-2</v>
      </c>
      <c r="F535" s="1">
        <v>22</v>
      </c>
      <c r="G535" s="1">
        <v>1</v>
      </c>
      <c r="H535" s="1">
        <v>5</v>
      </c>
      <c r="I535" s="1">
        <v>2</v>
      </c>
      <c r="J535" s="1">
        <v>1</v>
      </c>
      <c r="K535" s="1">
        <v>0</v>
      </c>
      <c r="L535" s="1">
        <v>12091</v>
      </c>
      <c r="M535" s="1">
        <v>1</v>
      </c>
    </row>
    <row r="536" spans="2:13" x14ac:dyDescent="0.25">
      <c r="B536" s="1">
        <v>0</v>
      </c>
      <c r="C536" s="1">
        <v>0</v>
      </c>
      <c r="D536" s="1">
        <v>0.9810526315789474</v>
      </c>
      <c r="E536" s="1">
        <v>1.8947368421052633E-2</v>
      </c>
      <c r="F536" s="1">
        <v>25</v>
      </c>
      <c r="G536" s="1">
        <v>0</v>
      </c>
      <c r="H536" s="1">
        <v>13</v>
      </c>
      <c r="I536" s="1">
        <v>1</v>
      </c>
      <c r="J536" s="1">
        <v>0</v>
      </c>
      <c r="K536" s="1">
        <v>0</v>
      </c>
      <c r="L536" s="1">
        <v>20464</v>
      </c>
      <c r="M536" s="1">
        <v>0</v>
      </c>
    </row>
    <row r="537" spans="2:13" x14ac:dyDescent="0.25">
      <c r="B537" s="1">
        <v>0</v>
      </c>
      <c r="C537" s="1">
        <v>0</v>
      </c>
      <c r="D537" s="1">
        <v>0.9810526315789474</v>
      </c>
      <c r="E537" s="1">
        <v>1.8947368421052633E-2</v>
      </c>
      <c r="F537" s="1">
        <v>18</v>
      </c>
      <c r="G537" s="1">
        <v>1</v>
      </c>
      <c r="H537" s="1">
        <v>3</v>
      </c>
      <c r="I537" s="1">
        <v>0</v>
      </c>
      <c r="J537" s="1">
        <v>2</v>
      </c>
      <c r="K537" s="1">
        <v>0</v>
      </c>
      <c r="L537" s="1">
        <v>8903</v>
      </c>
      <c r="M537" s="1">
        <v>0</v>
      </c>
    </row>
    <row r="538" spans="2:13" x14ac:dyDescent="0.25">
      <c r="B538" s="1">
        <v>0</v>
      </c>
      <c r="C538" s="1">
        <v>0</v>
      </c>
      <c r="D538" s="1">
        <v>0.96666666666666667</v>
      </c>
      <c r="E538" s="1">
        <v>3.333333333333334E-2</v>
      </c>
      <c r="F538" s="1">
        <v>34</v>
      </c>
      <c r="G538" s="1">
        <v>0</v>
      </c>
      <c r="H538" s="1">
        <v>2</v>
      </c>
      <c r="I538" s="1">
        <v>2</v>
      </c>
      <c r="J538" s="1">
        <v>2</v>
      </c>
      <c r="K538" s="1">
        <v>0</v>
      </c>
      <c r="L538" s="1">
        <v>9188</v>
      </c>
      <c r="M538" s="1">
        <v>1</v>
      </c>
    </row>
    <row r="539" spans="2:13" x14ac:dyDescent="0.25">
      <c r="B539" s="1">
        <v>0</v>
      </c>
      <c r="C539" s="1">
        <v>0</v>
      </c>
      <c r="D539" s="1">
        <v>0.625</v>
      </c>
      <c r="E539" s="1">
        <v>0.37500000000000006</v>
      </c>
      <c r="F539" s="1">
        <v>86</v>
      </c>
      <c r="G539" s="1">
        <v>1</v>
      </c>
      <c r="H539" s="1">
        <v>11</v>
      </c>
      <c r="I539" s="1">
        <v>2</v>
      </c>
      <c r="J539" s="1">
        <v>2</v>
      </c>
      <c r="K539" s="1">
        <v>0</v>
      </c>
      <c r="L539" s="1">
        <v>59212</v>
      </c>
      <c r="M539" s="1">
        <v>1</v>
      </c>
    </row>
    <row r="540" spans="2:13" x14ac:dyDescent="0.25">
      <c r="B540" s="1">
        <v>0</v>
      </c>
      <c r="C540" s="1">
        <v>0</v>
      </c>
      <c r="D540" s="1">
        <v>1</v>
      </c>
      <c r="E540" s="1">
        <v>0</v>
      </c>
      <c r="F540" s="1">
        <v>39</v>
      </c>
      <c r="G540" s="1">
        <v>1</v>
      </c>
      <c r="H540" s="1">
        <v>4</v>
      </c>
      <c r="I540" s="1">
        <v>2</v>
      </c>
      <c r="J540" s="1">
        <v>1</v>
      </c>
      <c r="K540" s="1">
        <v>0</v>
      </c>
      <c r="L540" s="1">
        <v>12656</v>
      </c>
      <c r="M540" s="1">
        <v>1</v>
      </c>
    </row>
    <row r="541" spans="2:13" x14ac:dyDescent="0.25">
      <c r="B541" s="1">
        <v>0</v>
      </c>
      <c r="C541" s="1">
        <v>0</v>
      </c>
      <c r="D541" s="1">
        <v>0.99749999999999994</v>
      </c>
      <c r="E541" s="1">
        <v>2.5000000000000001E-3</v>
      </c>
      <c r="F541" s="1">
        <v>62</v>
      </c>
      <c r="G541" s="1">
        <v>0</v>
      </c>
      <c r="H541" s="1">
        <v>1</v>
      </c>
      <c r="I541" s="1">
        <v>0</v>
      </c>
      <c r="J541" s="1">
        <v>1</v>
      </c>
      <c r="K541" s="1">
        <v>0</v>
      </c>
      <c r="L541" s="1">
        <v>7979</v>
      </c>
      <c r="M541" s="1">
        <v>1</v>
      </c>
    </row>
    <row r="542" spans="2:13" x14ac:dyDescent="0.25">
      <c r="B542" s="1">
        <v>0</v>
      </c>
      <c r="C542" s="1">
        <v>0</v>
      </c>
      <c r="D542" s="1">
        <v>1</v>
      </c>
      <c r="E542" s="1">
        <v>0</v>
      </c>
      <c r="F542" s="1">
        <v>47</v>
      </c>
      <c r="G542" s="1">
        <v>0</v>
      </c>
      <c r="H542" s="1">
        <v>3</v>
      </c>
      <c r="I542" s="1">
        <v>4</v>
      </c>
      <c r="J542" s="1">
        <v>0</v>
      </c>
      <c r="K542" s="1">
        <v>0</v>
      </c>
      <c r="L542" s="1">
        <v>14554</v>
      </c>
      <c r="M542" s="1">
        <v>0</v>
      </c>
    </row>
    <row r="543" spans="2:13" x14ac:dyDescent="0.25">
      <c r="B543" s="1">
        <v>0</v>
      </c>
      <c r="C543" s="1">
        <v>0</v>
      </c>
      <c r="D543" s="1">
        <v>0.8571428571428571</v>
      </c>
      <c r="E543" s="1">
        <v>0.14285714285714288</v>
      </c>
      <c r="F543" s="1">
        <v>77</v>
      </c>
      <c r="G543" s="1">
        <v>1</v>
      </c>
      <c r="H543" s="1">
        <v>3</v>
      </c>
      <c r="I543" s="1">
        <v>2</v>
      </c>
      <c r="J543" s="1">
        <v>2</v>
      </c>
      <c r="K543" s="1">
        <v>0</v>
      </c>
      <c r="L543" s="1">
        <v>51824</v>
      </c>
      <c r="M543" s="1">
        <v>1</v>
      </c>
    </row>
    <row r="544" spans="2:13" x14ac:dyDescent="0.25">
      <c r="B544" s="1">
        <v>1</v>
      </c>
      <c r="C544" s="1">
        <v>1</v>
      </c>
      <c r="D544" s="1">
        <v>9.5238095238095233E-2</v>
      </c>
      <c r="E544" s="1">
        <v>0.90476190476190477</v>
      </c>
      <c r="F544" s="1">
        <v>53</v>
      </c>
      <c r="G544" s="1">
        <v>0</v>
      </c>
      <c r="H544" s="1">
        <v>5</v>
      </c>
      <c r="I544" s="1">
        <v>6</v>
      </c>
      <c r="J544" s="1">
        <v>0</v>
      </c>
      <c r="K544" s="1">
        <v>0</v>
      </c>
      <c r="L544" s="1">
        <v>12609</v>
      </c>
      <c r="M544" s="1">
        <v>0</v>
      </c>
    </row>
    <row r="545" spans="2:13" x14ac:dyDescent="0.25">
      <c r="B545" s="1">
        <v>0</v>
      </c>
      <c r="C545" s="1">
        <v>0</v>
      </c>
      <c r="D545" s="1">
        <v>0.8571428571428571</v>
      </c>
      <c r="E545" s="1">
        <v>0.14285714285714288</v>
      </c>
      <c r="F545" s="1">
        <v>79</v>
      </c>
      <c r="G545" s="1">
        <v>0</v>
      </c>
      <c r="H545" s="1">
        <v>10</v>
      </c>
      <c r="I545" s="1">
        <v>0</v>
      </c>
      <c r="J545" s="1">
        <v>1</v>
      </c>
      <c r="K545" s="1">
        <v>0</v>
      </c>
      <c r="L545" s="1">
        <v>35499</v>
      </c>
      <c r="M545" s="1">
        <v>1</v>
      </c>
    </row>
    <row r="546" spans="2:13" x14ac:dyDescent="0.25">
      <c r="B546" s="1">
        <v>1</v>
      </c>
      <c r="C546" s="1">
        <v>1</v>
      </c>
      <c r="D546" s="1">
        <v>0.31818181818181818</v>
      </c>
      <c r="E546" s="1">
        <v>0.68181818181818188</v>
      </c>
      <c r="F546" s="1">
        <v>28</v>
      </c>
      <c r="G546" s="1">
        <v>1</v>
      </c>
      <c r="H546" s="1">
        <v>2</v>
      </c>
      <c r="I546" s="1">
        <v>0</v>
      </c>
      <c r="J546" s="1">
        <v>1</v>
      </c>
      <c r="K546" s="1">
        <v>0</v>
      </c>
      <c r="L546" s="1">
        <v>4785</v>
      </c>
      <c r="M546" s="1">
        <v>0</v>
      </c>
    </row>
    <row r="547" spans="2:13" x14ac:dyDescent="0.25">
      <c r="B547" s="1">
        <v>1</v>
      </c>
      <c r="C547" s="1">
        <v>1</v>
      </c>
      <c r="D547" s="1">
        <v>0</v>
      </c>
      <c r="E547" s="1">
        <v>1</v>
      </c>
      <c r="F547" s="1">
        <v>50</v>
      </c>
      <c r="G547" s="1">
        <v>0</v>
      </c>
      <c r="H547" s="1">
        <v>14</v>
      </c>
      <c r="I547" s="1">
        <v>2</v>
      </c>
      <c r="J547" s="1">
        <v>0</v>
      </c>
      <c r="K547" s="1">
        <v>1</v>
      </c>
      <c r="L547" s="1">
        <v>37417</v>
      </c>
      <c r="M547" s="1">
        <v>0</v>
      </c>
    </row>
    <row r="548" spans="2:13" x14ac:dyDescent="0.25">
      <c r="B548" s="1">
        <v>0</v>
      </c>
      <c r="C548" s="1">
        <v>0</v>
      </c>
      <c r="D548" s="1">
        <v>1</v>
      </c>
      <c r="E548" s="1">
        <v>0</v>
      </c>
      <c r="F548" s="1">
        <v>39</v>
      </c>
      <c r="G548" s="1">
        <v>1</v>
      </c>
      <c r="H548" s="1">
        <v>7</v>
      </c>
      <c r="I548" s="1">
        <v>4</v>
      </c>
      <c r="J548" s="1">
        <v>0</v>
      </c>
      <c r="K548" s="1">
        <v>0</v>
      </c>
      <c r="L548" s="1">
        <v>10291</v>
      </c>
      <c r="M548" s="1">
        <v>0</v>
      </c>
    </row>
    <row r="549" spans="2:13" x14ac:dyDescent="0.25">
      <c r="B549" s="1">
        <v>0</v>
      </c>
      <c r="C549" s="1">
        <v>0</v>
      </c>
      <c r="D549" s="1">
        <v>0.8571428571428571</v>
      </c>
      <c r="E549" s="1">
        <v>0.14285714285714288</v>
      </c>
      <c r="F549" s="1">
        <v>77</v>
      </c>
      <c r="G549" s="1">
        <v>1</v>
      </c>
      <c r="H549" s="1">
        <v>3</v>
      </c>
      <c r="I549" s="1">
        <v>3</v>
      </c>
      <c r="J549" s="1">
        <v>2</v>
      </c>
      <c r="K549" s="1">
        <v>0</v>
      </c>
      <c r="L549" s="1">
        <v>10684</v>
      </c>
      <c r="M549" s="1">
        <v>0</v>
      </c>
    </row>
    <row r="550" spans="2:13" x14ac:dyDescent="0.25">
      <c r="B550" s="1">
        <v>1</v>
      </c>
      <c r="C550" s="1">
        <v>1</v>
      </c>
      <c r="D550" s="1">
        <v>0.31818181818181818</v>
      </c>
      <c r="E550" s="1">
        <v>0.68181818181818188</v>
      </c>
      <c r="F550" s="1">
        <v>28</v>
      </c>
      <c r="G550" s="1">
        <v>1</v>
      </c>
      <c r="H550" s="1">
        <v>2</v>
      </c>
      <c r="I550" s="1">
        <v>0</v>
      </c>
      <c r="J550" s="1">
        <v>2</v>
      </c>
      <c r="K550" s="1">
        <v>0</v>
      </c>
      <c r="L550" s="1">
        <v>5776</v>
      </c>
      <c r="M550" s="1">
        <v>0</v>
      </c>
    </row>
    <row r="551" spans="2:13" x14ac:dyDescent="0.25">
      <c r="B551" s="17">
        <v>1</v>
      </c>
      <c r="C551" s="17">
        <v>0</v>
      </c>
      <c r="D551" s="17">
        <v>0.27272727272727276</v>
      </c>
      <c r="E551" s="17">
        <v>0.72727272727272729</v>
      </c>
      <c r="F551" s="17">
        <v>93</v>
      </c>
      <c r="G551" s="17">
        <v>1</v>
      </c>
      <c r="H551" s="17">
        <v>2</v>
      </c>
      <c r="I551" s="17">
        <v>4</v>
      </c>
      <c r="J551" s="17">
        <v>1</v>
      </c>
      <c r="K551" s="17">
        <v>0</v>
      </c>
      <c r="L551" s="17">
        <v>5608</v>
      </c>
      <c r="M551" s="17">
        <v>0</v>
      </c>
    </row>
    <row r="552" spans="2:13" x14ac:dyDescent="0.25">
      <c r="B552" s="1">
        <v>0</v>
      </c>
      <c r="C552" s="1">
        <v>0</v>
      </c>
      <c r="D552" s="1">
        <v>0.99749999999999994</v>
      </c>
      <c r="E552" s="1">
        <v>2.5000000000000001E-3</v>
      </c>
      <c r="F552" s="1">
        <v>55</v>
      </c>
      <c r="G552" s="1">
        <v>1</v>
      </c>
      <c r="H552" s="1">
        <v>5</v>
      </c>
      <c r="I552" s="1">
        <v>3</v>
      </c>
      <c r="J552" s="1">
        <v>0</v>
      </c>
      <c r="K552" s="1">
        <v>0</v>
      </c>
      <c r="L552" s="1">
        <v>12391</v>
      </c>
      <c r="M552" s="1">
        <v>0</v>
      </c>
    </row>
    <row r="553" spans="2:13" x14ac:dyDescent="0.25">
      <c r="B553" s="1">
        <v>1</v>
      </c>
      <c r="C553" s="1">
        <v>1</v>
      </c>
      <c r="D553" s="1">
        <v>0</v>
      </c>
      <c r="E553" s="1">
        <v>1</v>
      </c>
      <c r="F553" s="1">
        <v>86</v>
      </c>
      <c r="G553" s="1">
        <v>1</v>
      </c>
      <c r="H553" s="1">
        <v>2</v>
      </c>
      <c r="I553" s="1">
        <v>2</v>
      </c>
      <c r="J553" s="1">
        <v>0</v>
      </c>
      <c r="K553" s="1">
        <v>1</v>
      </c>
      <c r="L553" s="1">
        <v>7110</v>
      </c>
      <c r="M553" s="1">
        <v>0</v>
      </c>
    </row>
    <row r="554" spans="2:13" x14ac:dyDescent="0.25">
      <c r="B554" s="1">
        <v>1</v>
      </c>
      <c r="C554" s="1">
        <v>1</v>
      </c>
      <c r="D554" s="1">
        <v>0</v>
      </c>
      <c r="E554" s="1">
        <v>1</v>
      </c>
      <c r="F554" s="1">
        <v>81</v>
      </c>
      <c r="G554" s="1">
        <v>0</v>
      </c>
      <c r="H554" s="1">
        <v>16</v>
      </c>
      <c r="I554" s="1">
        <v>3</v>
      </c>
      <c r="J554" s="1">
        <v>0</v>
      </c>
      <c r="K554" s="1">
        <v>1</v>
      </c>
      <c r="L554" s="1">
        <v>19291</v>
      </c>
      <c r="M554" s="1">
        <v>0</v>
      </c>
    </row>
    <row r="555" spans="2:13" x14ac:dyDescent="0.25">
      <c r="B555" s="1">
        <v>0</v>
      </c>
      <c r="C555" s="1">
        <v>0</v>
      </c>
      <c r="D555" s="1">
        <v>0.96666666666666667</v>
      </c>
      <c r="E555" s="1">
        <v>3.333333333333334E-2</v>
      </c>
      <c r="F555" s="1">
        <v>30</v>
      </c>
      <c r="G555" s="1">
        <v>1</v>
      </c>
      <c r="H555" s="1">
        <v>2</v>
      </c>
      <c r="I555" s="1">
        <v>0</v>
      </c>
      <c r="J555" s="1">
        <v>3</v>
      </c>
      <c r="K555" s="1">
        <v>0</v>
      </c>
      <c r="L555" s="1">
        <v>7661</v>
      </c>
      <c r="M555" s="1">
        <v>0</v>
      </c>
    </row>
    <row r="556" spans="2:13" x14ac:dyDescent="0.25">
      <c r="B556" s="17">
        <v>1</v>
      </c>
      <c r="C556" s="17">
        <v>0</v>
      </c>
      <c r="D556" s="17">
        <v>0</v>
      </c>
      <c r="E556" s="17">
        <v>1</v>
      </c>
      <c r="F556" s="17">
        <v>82</v>
      </c>
      <c r="G556" s="17">
        <v>1</v>
      </c>
      <c r="H556" s="17">
        <v>4</v>
      </c>
      <c r="I556" s="17">
        <v>6</v>
      </c>
      <c r="J556" s="17">
        <v>1</v>
      </c>
      <c r="K556" s="17">
        <v>0</v>
      </c>
      <c r="L556" s="17">
        <v>13994</v>
      </c>
      <c r="M556" s="17">
        <v>1</v>
      </c>
    </row>
    <row r="557" spans="2:13" x14ac:dyDescent="0.25">
      <c r="B557" s="1">
        <v>0</v>
      </c>
      <c r="C557" s="1">
        <v>0</v>
      </c>
      <c r="D557" s="1">
        <v>0.96666666666666667</v>
      </c>
      <c r="E557" s="1">
        <v>3.333333333333334E-2</v>
      </c>
      <c r="F557" s="1">
        <v>29</v>
      </c>
      <c r="G557" s="1">
        <v>0</v>
      </c>
      <c r="H557" s="1">
        <v>7</v>
      </c>
      <c r="I557" s="1">
        <v>2</v>
      </c>
      <c r="J557" s="1">
        <v>0</v>
      </c>
      <c r="K557" s="1">
        <v>0</v>
      </c>
      <c r="L557" s="1">
        <v>9165</v>
      </c>
      <c r="M557" s="1">
        <v>0</v>
      </c>
    </row>
    <row r="558" spans="2:13" x14ac:dyDescent="0.25">
      <c r="B558" s="1">
        <v>1</v>
      </c>
      <c r="C558" s="1">
        <v>1</v>
      </c>
      <c r="D558" s="1">
        <v>0</v>
      </c>
      <c r="E558" s="1">
        <v>1</v>
      </c>
      <c r="F558" s="1">
        <v>85</v>
      </c>
      <c r="G558" s="1">
        <v>0</v>
      </c>
      <c r="H558" s="1">
        <v>3</v>
      </c>
      <c r="I558" s="1">
        <v>5</v>
      </c>
      <c r="J558" s="1">
        <v>0</v>
      </c>
      <c r="K558" s="1">
        <v>1</v>
      </c>
      <c r="L558" s="1">
        <v>6356</v>
      </c>
      <c r="M558" s="1">
        <v>0</v>
      </c>
    </row>
    <row r="559" spans="2:13" x14ac:dyDescent="0.25">
      <c r="B559" s="1">
        <v>1</v>
      </c>
      <c r="C559" s="1">
        <v>1</v>
      </c>
      <c r="D559" s="1">
        <v>0</v>
      </c>
      <c r="E559" s="1">
        <v>1</v>
      </c>
      <c r="F559" s="1">
        <v>75</v>
      </c>
      <c r="G559" s="1">
        <v>0</v>
      </c>
      <c r="H559" s="1">
        <v>4</v>
      </c>
      <c r="I559" s="1">
        <v>2</v>
      </c>
      <c r="J559" s="1">
        <v>0</v>
      </c>
      <c r="K559" s="1">
        <v>1</v>
      </c>
      <c r="L559" s="1">
        <v>3789</v>
      </c>
      <c r="M559" s="1">
        <v>0</v>
      </c>
    </row>
    <row r="560" spans="2:13" x14ac:dyDescent="0.25">
      <c r="B560" s="1">
        <v>0</v>
      </c>
      <c r="C560" s="1">
        <v>0</v>
      </c>
      <c r="D560" s="1">
        <v>0.9810526315789474</v>
      </c>
      <c r="E560" s="1">
        <v>1.8947368421052633E-2</v>
      </c>
      <c r="F560" s="1">
        <v>0</v>
      </c>
      <c r="G560" s="1">
        <v>0</v>
      </c>
      <c r="H560" s="1">
        <v>2</v>
      </c>
      <c r="I560" s="1">
        <v>0</v>
      </c>
      <c r="J560" s="1">
        <v>0</v>
      </c>
      <c r="K560" s="1">
        <v>0</v>
      </c>
      <c r="L560" s="1">
        <v>1897</v>
      </c>
      <c r="M560" s="1">
        <v>0</v>
      </c>
    </row>
    <row r="561" spans="2:13" x14ac:dyDescent="0.25">
      <c r="B561" s="1">
        <v>0</v>
      </c>
      <c r="C561" s="1">
        <v>0</v>
      </c>
      <c r="D561" s="1">
        <v>0.8571428571428571</v>
      </c>
      <c r="E561" s="1">
        <v>0.14285714285714288</v>
      </c>
      <c r="F561" s="1">
        <v>79</v>
      </c>
      <c r="G561" s="1">
        <v>0</v>
      </c>
      <c r="H561" s="1">
        <v>3</v>
      </c>
      <c r="I561" s="1">
        <v>5</v>
      </c>
      <c r="J561" s="1">
        <v>2</v>
      </c>
      <c r="K561" s="1">
        <v>0</v>
      </c>
      <c r="L561" s="1">
        <v>9100</v>
      </c>
      <c r="M561" s="1">
        <v>0</v>
      </c>
    </row>
    <row r="562" spans="2:13" x14ac:dyDescent="0.25">
      <c r="B562" s="1">
        <v>1</v>
      </c>
      <c r="C562" s="1">
        <v>1</v>
      </c>
      <c r="D562" s="1">
        <v>0</v>
      </c>
      <c r="E562" s="1">
        <v>1</v>
      </c>
      <c r="F562" s="1">
        <v>74</v>
      </c>
      <c r="G562" s="1">
        <v>1</v>
      </c>
      <c r="H562" s="1">
        <v>2</v>
      </c>
      <c r="I562" s="1">
        <v>5</v>
      </c>
      <c r="J562" s="1">
        <v>0</v>
      </c>
      <c r="K562" s="1">
        <v>1</v>
      </c>
      <c r="L562" s="1">
        <v>8632</v>
      </c>
      <c r="M562" s="1">
        <v>0</v>
      </c>
    </row>
    <row r="563" spans="2:13" x14ac:dyDescent="0.25">
      <c r="B563" s="1">
        <v>0</v>
      </c>
      <c r="C563" s="1">
        <v>0</v>
      </c>
      <c r="D563" s="1">
        <v>0.8571428571428571</v>
      </c>
      <c r="E563" s="1">
        <v>0.14285714285714285</v>
      </c>
      <c r="F563" s="1">
        <v>52</v>
      </c>
      <c r="G563" s="1">
        <v>1</v>
      </c>
      <c r="H563" s="1">
        <v>1</v>
      </c>
      <c r="I563" s="1">
        <v>6</v>
      </c>
      <c r="J563" s="1">
        <v>0</v>
      </c>
      <c r="K563" s="1">
        <v>0</v>
      </c>
      <c r="L563" s="1">
        <v>6119</v>
      </c>
      <c r="M563" s="1">
        <v>0</v>
      </c>
    </row>
    <row r="564" spans="2:13" x14ac:dyDescent="0.25">
      <c r="B564" s="1">
        <v>0</v>
      </c>
      <c r="C564" s="1">
        <v>0</v>
      </c>
      <c r="D564" s="1">
        <v>1</v>
      </c>
      <c r="E564" s="1">
        <v>0</v>
      </c>
      <c r="F564" s="1">
        <v>49</v>
      </c>
      <c r="G564" s="1">
        <v>0</v>
      </c>
      <c r="H564" s="1">
        <v>3</v>
      </c>
      <c r="I564" s="1">
        <v>2</v>
      </c>
      <c r="J564" s="1">
        <v>1</v>
      </c>
      <c r="K564" s="1">
        <v>0</v>
      </c>
      <c r="L564" s="1">
        <v>24921</v>
      </c>
      <c r="M564" s="1">
        <v>1</v>
      </c>
    </row>
    <row r="565" spans="2:13" x14ac:dyDescent="0.25">
      <c r="B565" s="1">
        <v>0</v>
      </c>
      <c r="C565" s="1">
        <v>0</v>
      </c>
      <c r="D565" s="1">
        <v>0.9810526315789474</v>
      </c>
      <c r="E565" s="1">
        <v>1.8947368421052633E-2</v>
      </c>
      <c r="F565" s="1">
        <v>0</v>
      </c>
      <c r="G565" s="1">
        <v>0</v>
      </c>
      <c r="H565" s="1">
        <v>2</v>
      </c>
      <c r="I565" s="1">
        <v>0</v>
      </c>
      <c r="J565" s="1">
        <v>0</v>
      </c>
      <c r="K565" s="1">
        <v>0</v>
      </c>
      <c r="L565" s="1">
        <v>2275</v>
      </c>
      <c r="M565" s="1">
        <v>0</v>
      </c>
    </row>
    <row r="566" spans="2:13" x14ac:dyDescent="0.25">
      <c r="B566" s="1">
        <v>1</v>
      </c>
      <c r="C566" s="1">
        <v>1</v>
      </c>
      <c r="D566" s="1">
        <v>0.36</v>
      </c>
      <c r="E566" s="1">
        <v>0.64</v>
      </c>
      <c r="F566" s="1">
        <v>87</v>
      </c>
      <c r="G566" s="1">
        <v>0</v>
      </c>
      <c r="H566" s="1">
        <v>4</v>
      </c>
      <c r="I566" s="1">
        <v>7</v>
      </c>
      <c r="J566" s="1">
        <v>0</v>
      </c>
      <c r="K566" s="1">
        <v>0</v>
      </c>
      <c r="L566" s="1">
        <v>15034</v>
      </c>
      <c r="M566" s="1">
        <v>0</v>
      </c>
    </row>
    <row r="567" spans="2:13" x14ac:dyDescent="0.25">
      <c r="B567" s="1">
        <v>0</v>
      </c>
      <c r="C567" s="1">
        <v>0</v>
      </c>
      <c r="D567" s="1">
        <v>0.99749999999999994</v>
      </c>
      <c r="E567" s="1">
        <v>2.5000000000000001E-3</v>
      </c>
      <c r="F567" s="1">
        <v>66</v>
      </c>
      <c r="G567" s="1">
        <v>0</v>
      </c>
      <c r="H567" s="1">
        <v>6</v>
      </c>
      <c r="I567" s="1">
        <v>3</v>
      </c>
      <c r="J567" s="1">
        <v>0</v>
      </c>
      <c r="K567" s="1">
        <v>0</v>
      </c>
      <c r="L567" s="1">
        <v>16269</v>
      </c>
      <c r="M567" s="1">
        <v>0</v>
      </c>
    </row>
    <row r="568" spans="2:13" x14ac:dyDescent="0.25">
      <c r="B568" s="1">
        <v>0</v>
      </c>
      <c r="C568" s="1">
        <v>0</v>
      </c>
      <c r="D568" s="1">
        <v>0.9810526315789474</v>
      </c>
      <c r="E568" s="1">
        <v>1.8947368421052633E-2</v>
      </c>
      <c r="F568" s="1">
        <v>0</v>
      </c>
      <c r="G568" s="1">
        <v>1</v>
      </c>
      <c r="H568" s="1">
        <v>2</v>
      </c>
      <c r="I568" s="1">
        <v>0</v>
      </c>
      <c r="J568" s="1">
        <v>0</v>
      </c>
      <c r="K568" s="1">
        <v>0</v>
      </c>
      <c r="L568" s="1">
        <v>2113</v>
      </c>
      <c r="M568" s="1">
        <v>0</v>
      </c>
    </row>
    <row r="569" spans="2:13" x14ac:dyDescent="0.25">
      <c r="B569" s="1">
        <v>1</v>
      </c>
      <c r="C569" s="1">
        <v>1</v>
      </c>
      <c r="D569" s="1">
        <v>0.19999999999999998</v>
      </c>
      <c r="E569" s="1">
        <v>0.79999999999999993</v>
      </c>
      <c r="F569" s="1">
        <v>36</v>
      </c>
      <c r="G569" s="1">
        <v>0</v>
      </c>
      <c r="H569" s="1">
        <v>2</v>
      </c>
      <c r="I569" s="1">
        <v>3</v>
      </c>
      <c r="J569" s="1">
        <v>0</v>
      </c>
      <c r="K569" s="1">
        <v>0</v>
      </c>
      <c r="L569" s="1">
        <v>2607</v>
      </c>
      <c r="M569" s="1">
        <v>0</v>
      </c>
    </row>
    <row r="570" spans="2:13" x14ac:dyDescent="0.25">
      <c r="B570" s="1">
        <v>0</v>
      </c>
      <c r="C570" s="1">
        <v>0</v>
      </c>
      <c r="D570" s="1">
        <v>0.99749999999999994</v>
      </c>
      <c r="E570" s="1">
        <v>2.5000000000000001E-3</v>
      </c>
      <c r="F570" s="1">
        <v>71</v>
      </c>
      <c r="G570" s="1">
        <v>1</v>
      </c>
      <c r="H570" s="1">
        <v>5</v>
      </c>
      <c r="I570" s="1">
        <v>5</v>
      </c>
      <c r="J570" s="1">
        <v>1</v>
      </c>
      <c r="K570" s="1">
        <v>0</v>
      </c>
      <c r="L570" s="1">
        <v>22655</v>
      </c>
      <c r="M570" s="1">
        <v>1</v>
      </c>
    </row>
    <row r="571" spans="2:13" x14ac:dyDescent="0.25">
      <c r="B571" s="1">
        <v>0</v>
      </c>
      <c r="C571" s="1">
        <v>0</v>
      </c>
      <c r="D571" s="1">
        <v>0.9810526315789474</v>
      </c>
      <c r="E571" s="1">
        <v>1.8947368421052633E-2</v>
      </c>
      <c r="F571" s="1">
        <v>0</v>
      </c>
      <c r="G571" s="1">
        <v>0</v>
      </c>
      <c r="H571" s="1">
        <v>2</v>
      </c>
      <c r="I571" s="1">
        <v>0</v>
      </c>
      <c r="J571" s="1">
        <v>1</v>
      </c>
      <c r="K571" s="1">
        <v>0</v>
      </c>
      <c r="L571" s="1">
        <v>1391</v>
      </c>
      <c r="M571" s="1">
        <v>1</v>
      </c>
    </row>
    <row r="572" spans="2:13" x14ac:dyDescent="0.25">
      <c r="B572" s="1">
        <v>1</v>
      </c>
      <c r="C572" s="1">
        <v>1</v>
      </c>
      <c r="D572" s="1">
        <v>0</v>
      </c>
      <c r="E572" s="1">
        <v>1</v>
      </c>
      <c r="F572" s="1">
        <v>74</v>
      </c>
      <c r="G572" s="1">
        <v>1</v>
      </c>
      <c r="H572" s="1">
        <v>4</v>
      </c>
      <c r="I572" s="1">
        <v>6</v>
      </c>
      <c r="J572" s="1">
        <v>1</v>
      </c>
      <c r="K572" s="1">
        <v>1</v>
      </c>
      <c r="L572" s="1">
        <v>14207</v>
      </c>
      <c r="M572" s="1">
        <v>0</v>
      </c>
    </row>
    <row r="573" spans="2:13" x14ac:dyDescent="0.25">
      <c r="B573" s="1">
        <v>0</v>
      </c>
      <c r="C573" s="1">
        <v>0</v>
      </c>
      <c r="D573" s="1">
        <v>0.8571428571428571</v>
      </c>
      <c r="E573" s="1">
        <v>0.14285714285714285</v>
      </c>
      <c r="F573" s="1">
        <v>51</v>
      </c>
      <c r="G573" s="1">
        <v>0</v>
      </c>
      <c r="H573" s="1">
        <v>2</v>
      </c>
      <c r="I573" s="1">
        <v>6</v>
      </c>
      <c r="J573" s="1">
        <v>0</v>
      </c>
      <c r="K573" s="1">
        <v>0</v>
      </c>
      <c r="L573" s="1">
        <v>14141</v>
      </c>
      <c r="M573" s="1">
        <v>0</v>
      </c>
    </row>
    <row r="574" spans="2:13" x14ac:dyDescent="0.25">
      <c r="B574" s="1">
        <v>0</v>
      </c>
      <c r="C574" s="1">
        <v>0</v>
      </c>
      <c r="D574" s="1">
        <v>1</v>
      </c>
      <c r="E574" s="1">
        <v>0</v>
      </c>
      <c r="F574" s="1">
        <v>38</v>
      </c>
      <c r="G574" s="1">
        <v>1</v>
      </c>
      <c r="H574" s="1">
        <v>9</v>
      </c>
      <c r="I574" s="1">
        <v>3</v>
      </c>
      <c r="J574" s="1">
        <v>0</v>
      </c>
      <c r="K574" s="1">
        <v>0</v>
      </c>
      <c r="L574" s="1">
        <v>23434</v>
      </c>
      <c r="M574" s="1">
        <v>0</v>
      </c>
    </row>
    <row r="575" spans="2:13" x14ac:dyDescent="0.25">
      <c r="B575" s="1">
        <v>0</v>
      </c>
      <c r="C575" s="1">
        <v>0</v>
      </c>
      <c r="D575" s="1">
        <v>0.9810526315789474</v>
      </c>
      <c r="E575" s="1">
        <v>1.8947368421052633E-2</v>
      </c>
      <c r="F575" s="1">
        <v>20</v>
      </c>
      <c r="G575" s="1">
        <v>0</v>
      </c>
      <c r="H575" s="1">
        <v>2</v>
      </c>
      <c r="I575" s="1">
        <v>1</v>
      </c>
      <c r="J575" s="1">
        <v>0</v>
      </c>
      <c r="K575" s="1">
        <v>0</v>
      </c>
      <c r="L575" s="1">
        <v>9382</v>
      </c>
      <c r="M575" s="1">
        <v>0</v>
      </c>
    </row>
    <row r="576" spans="2:13" x14ac:dyDescent="0.25">
      <c r="B576" s="1">
        <v>1</v>
      </c>
      <c r="C576" s="1">
        <v>1</v>
      </c>
      <c r="D576" s="1">
        <v>9.9999999999999992E-2</v>
      </c>
      <c r="E576" s="1">
        <v>0.9</v>
      </c>
      <c r="F576" s="1">
        <v>74</v>
      </c>
      <c r="G576" s="1">
        <v>0</v>
      </c>
      <c r="H576" s="1">
        <v>3</v>
      </c>
      <c r="I576" s="1">
        <v>6</v>
      </c>
      <c r="J576" s="1">
        <v>0</v>
      </c>
      <c r="K576" s="1">
        <v>0</v>
      </c>
      <c r="L576" s="1">
        <v>12437</v>
      </c>
      <c r="M576" s="1">
        <v>0</v>
      </c>
    </row>
    <row r="577" spans="2:13" x14ac:dyDescent="0.25">
      <c r="B577" s="1">
        <v>0</v>
      </c>
      <c r="C577" s="1">
        <v>0</v>
      </c>
      <c r="D577" s="1">
        <v>0.9810526315789474</v>
      </c>
      <c r="E577" s="1">
        <v>1.8947368421052633E-2</v>
      </c>
      <c r="F577" s="1">
        <v>23</v>
      </c>
      <c r="G577" s="1">
        <v>1</v>
      </c>
      <c r="H577" s="1">
        <v>1</v>
      </c>
      <c r="I577" s="1">
        <v>1</v>
      </c>
      <c r="J577" s="1">
        <v>1</v>
      </c>
      <c r="K577" s="1">
        <v>0</v>
      </c>
      <c r="L577" s="1">
        <v>9533</v>
      </c>
      <c r="M577" s="1">
        <v>0</v>
      </c>
    </row>
    <row r="578" spans="2:13" x14ac:dyDescent="0.25">
      <c r="B578" s="1">
        <v>1</v>
      </c>
      <c r="C578" s="1">
        <v>1</v>
      </c>
      <c r="D578" s="1">
        <v>0</v>
      </c>
      <c r="E578" s="1">
        <v>1</v>
      </c>
      <c r="F578" s="1">
        <v>82</v>
      </c>
      <c r="G578" s="1">
        <v>1</v>
      </c>
      <c r="H578" s="1">
        <v>4</v>
      </c>
      <c r="I578" s="1">
        <v>5</v>
      </c>
      <c r="J578" s="1">
        <v>0</v>
      </c>
      <c r="K578" s="1">
        <v>1</v>
      </c>
      <c r="L578" s="1">
        <v>12461</v>
      </c>
      <c r="M578" s="1">
        <v>0</v>
      </c>
    </row>
    <row r="579" spans="2:13" x14ac:dyDescent="0.25">
      <c r="B579" s="1">
        <v>1</v>
      </c>
      <c r="C579" s="1">
        <v>1</v>
      </c>
      <c r="D579" s="1">
        <v>0.19999999999999998</v>
      </c>
      <c r="E579" s="1">
        <v>0.79999999999999993</v>
      </c>
      <c r="F579" s="1">
        <v>36</v>
      </c>
      <c r="G579" s="1">
        <v>0</v>
      </c>
      <c r="H579" s="1">
        <v>5</v>
      </c>
      <c r="I579" s="1">
        <v>4</v>
      </c>
      <c r="J579" s="1">
        <v>0</v>
      </c>
      <c r="K579" s="1">
        <v>0</v>
      </c>
      <c r="L579" s="1">
        <v>9575</v>
      </c>
      <c r="M579" s="1">
        <v>0</v>
      </c>
    </row>
    <row r="580" spans="2:13" x14ac:dyDescent="0.25">
      <c r="B580" s="1">
        <v>1</v>
      </c>
      <c r="C580" s="1">
        <v>1</v>
      </c>
      <c r="D580" s="1">
        <v>0</v>
      </c>
      <c r="E580" s="1">
        <v>1</v>
      </c>
      <c r="F580" s="1">
        <v>85</v>
      </c>
      <c r="G580" s="1">
        <v>0</v>
      </c>
      <c r="H580" s="1">
        <v>9</v>
      </c>
      <c r="I580" s="1">
        <v>2</v>
      </c>
      <c r="J580" s="1">
        <v>0</v>
      </c>
      <c r="K580" s="1">
        <v>1</v>
      </c>
      <c r="L580" s="1">
        <v>36333</v>
      </c>
      <c r="M580" s="1">
        <v>0</v>
      </c>
    </row>
    <row r="581" spans="2:13" x14ac:dyDescent="0.25">
      <c r="B581" s="1">
        <v>0</v>
      </c>
      <c r="C581" s="1">
        <v>0</v>
      </c>
      <c r="D581" s="1">
        <v>0.9810526315789474</v>
      </c>
      <c r="E581" s="1">
        <v>1.8947368421052633E-2</v>
      </c>
      <c r="F581" s="1">
        <v>18</v>
      </c>
      <c r="G581" s="1">
        <v>0</v>
      </c>
      <c r="H581" s="1">
        <v>4</v>
      </c>
      <c r="I581" s="1">
        <v>0</v>
      </c>
      <c r="J581" s="1">
        <v>1</v>
      </c>
      <c r="K581" s="1">
        <v>0</v>
      </c>
      <c r="L581" s="1">
        <v>17645</v>
      </c>
      <c r="M581" s="1">
        <v>0</v>
      </c>
    </row>
    <row r="582" spans="2:13" x14ac:dyDescent="0.25">
      <c r="B582" s="1">
        <v>0</v>
      </c>
      <c r="C582" s="1">
        <v>0</v>
      </c>
      <c r="D582" s="1">
        <v>0.9810526315789474</v>
      </c>
      <c r="E582" s="1">
        <v>1.8947368421052633E-2</v>
      </c>
      <c r="F582" s="1">
        <v>20</v>
      </c>
      <c r="G582" s="1">
        <v>0</v>
      </c>
      <c r="H582" s="1">
        <v>1</v>
      </c>
      <c r="I582" s="1">
        <v>0</v>
      </c>
      <c r="J582" s="1">
        <v>0</v>
      </c>
      <c r="K582" s="1">
        <v>0</v>
      </c>
      <c r="L582" s="1">
        <v>11786</v>
      </c>
      <c r="M582" s="1">
        <v>0</v>
      </c>
    </row>
    <row r="583" spans="2:13" x14ac:dyDescent="0.25">
      <c r="B583" s="1">
        <v>0</v>
      </c>
      <c r="C583" s="1">
        <v>0</v>
      </c>
      <c r="D583" s="1">
        <v>0.99749999999999994</v>
      </c>
      <c r="E583" s="1">
        <v>2.5000000000000001E-3</v>
      </c>
      <c r="F583" s="1">
        <v>67</v>
      </c>
      <c r="G583" s="1">
        <v>1</v>
      </c>
      <c r="H583" s="1">
        <v>5</v>
      </c>
      <c r="I583" s="1">
        <v>5</v>
      </c>
      <c r="J583" s="1">
        <v>1</v>
      </c>
      <c r="K583" s="1">
        <v>0</v>
      </c>
      <c r="L583" s="1">
        <v>24519</v>
      </c>
      <c r="M583" s="1">
        <v>1</v>
      </c>
    </row>
    <row r="584" spans="2:13" x14ac:dyDescent="0.25">
      <c r="B584" s="1">
        <v>0</v>
      </c>
      <c r="C584" s="1">
        <v>0</v>
      </c>
      <c r="D584" s="1">
        <v>1</v>
      </c>
      <c r="E584" s="1">
        <v>0</v>
      </c>
      <c r="F584" s="1">
        <v>49</v>
      </c>
      <c r="G584" s="1">
        <v>1</v>
      </c>
      <c r="H584" s="1">
        <v>2</v>
      </c>
      <c r="I584" s="1">
        <v>4</v>
      </c>
      <c r="J584" s="1">
        <v>0</v>
      </c>
      <c r="K584" s="1">
        <v>0</v>
      </c>
      <c r="L584" s="1">
        <v>8408</v>
      </c>
      <c r="M584" s="1">
        <v>0</v>
      </c>
    </row>
    <row r="585" spans="2:13" x14ac:dyDescent="0.25">
      <c r="B585" s="17">
        <v>0</v>
      </c>
      <c r="C585" s="17">
        <v>1</v>
      </c>
      <c r="D585" s="17">
        <v>0.9810526315789474</v>
      </c>
      <c r="E585" s="17">
        <v>1.8947368421052633E-2</v>
      </c>
      <c r="F585" s="17">
        <v>0</v>
      </c>
      <c r="G585" s="17">
        <v>0</v>
      </c>
      <c r="H585" s="17">
        <v>5</v>
      </c>
      <c r="I585" s="17">
        <v>0</v>
      </c>
      <c r="J585" s="17">
        <v>1</v>
      </c>
      <c r="K585" s="17">
        <v>0</v>
      </c>
      <c r="L585" s="17">
        <v>2896</v>
      </c>
      <c r="M585" s="17">
        <v>0</v>
      </c>
    </row>
    <row r="586" spans="2:13" x14ac:dyDescent="0.25">
      <c r="B586" s="1">
        <v>0</v>
      </c>
      <c r="C586" s="1">
        <v>0</v>
      </c>
      <c r="D586" s="1">
        <v>0.9810526315789474</v>
      </c>
      <c r="E586" s="1">
        <v>1.8947368421052633E-2</v>
      </c>
      <c r="F586" s="1">
        <v>20</v>
      </c>
      <c r="G586" s="1">
        <v>1</v>
      </c>
      <c r="H586" s="1">
        <v>6</v>
      </c>
      <c r="I586" s="1">
        <v>1</v>
      </c>
      <c r="J586" s="1">
        <v>0</v>
      </c>
      <c r="K586" s="1">
        <v>0</v>
      </c>
      <c r="L586" s="1">
        <v>7883</v>
      </c>
      <c r="M586" s="1">
        <v>0</v>
      </c>
    </row>
    <row r="587" spans="2:13" x14ac:dyDescent="0.25">
      <c r="B587" s="17">
        <v>0</v>
      </c>
      <c r="C587" s="17">
        <v>1</v>
      </c>
      <c r="D587" s="17">
        <v>0.625</v>
      </c>
      <c r="E587" s="17">
        <v>0.37500000000000006</v>
      </c>
      <c r="F587" s="17">
        <v>98</v>
      </c>
      <c r="G587" s="17">
        <v>1</v>
      </c>
      <c r="H587" s="17">
        <v>5</v>
      </c>
      <c r="I587" s="17">
        <v>3</v>
      </c>
      <c r="J587" s="17">
        <v>1</v>
      </c>
      <c r="K587" s="17">
        <v>0</v>
      </c>
      <c r="L587" s="17">
        <v>22285</v>
      </c>
      <c r="M587" s="17">
        <v>0</v>
      </c>
    </row>
    <row r="588" spans="2:13" x14ac:dyDescent="0.25">
      <c r="B588" s="1">
        <v>0</v>
      </c>
      <c r="C588" s="1">
        <v>0</v>
      </c>
      <c r="D588" s="1">
        <v>0.99749999999999994</v>
      </c>
      <c r="E588" s="1">
        <v>2.5000000000000001E-3</v>
      </c>
      <c r="F588" s="1">
        <v>67</v>
      </c>
      <c r="G588" s="1">
        <v>1</v>
      </c>
      <c r="H588" s="1">
        <v>4</v>
      </c>
      <c r="I588" s="1">
        <v>7</v>
      </c>
      <c r="J588" s="1">
        <v>0</v>
      </c>
      <c r="K588" s="1">
        <v>0</v>
      </c>
      <c r="L588" s="1">
        <v>16458</v>
      </c>
      <c r="M588" s="1">
        <v>0</v>
      </c>
    </row>
    <row r="589" spans="2:13" x14ac:dyDescent="0.25">
      <c r="B589" s="1">
        <v>0</v>
      </c>
      <c r="C589" s="1">
        <v>0</v>
      </c>
      <c r="D589" s="1">
        <v>1</v>
      </c>
      <c r="E589" s="1">
        <v>0</v>
      </c>
      <c r="F589" s="1">
        <v>44</v>
      </c>
      <c r="G589" s="1">
        <v>0</v>
      </c>
      <c r="H589" s="1">
        <v>4</v>
      </c>
      <c r="I589" s="1">
        <v>2</v>
      </c>
      <c r="J589" s="1">
        <v>0</v>
      </c>
      <c r="K589" s="1">
        <v>0</v>
      </c>
      <c r="L589" s="1">
        <v>22117</v>
      </c>
      <c r="M589" s="1">
        <v>0</v>
      </c>
    </row>
    <row r="590" spans="2:13" x14ac:dyDescent="0.25">
      <c r="B590" s="1">
        <v>1</v>
      </c>
      <c r="C590" s="1">
        <v>1</v>
      </c>
      <c r="D590" s="1">
        <v>0</v>
      </c>
      <c r="E590" s="1">
        <v>1</v>
      </c>
      <c r="F590" s="1">
        <v>80</v>
      </c>
      <c r="G590" s="1">
        <v>1</v>
      </c>
      <c r="H590" s="1">
        <v>10</v>
      </c>
      <c r="I590" s="1">
        <v>2</v>
      </c>
      <c r="J590" s="1">
        <v>1</v>
      </c>
      <c r="K590" s="1">
        <v>1</v>
      </c>
      <c r="L590" s="1">
        <v>25533</v>
      </c>
      <c r="M590" s="1">
        <v>0</v>
      </c>
    </row>
    <row r="591" spans="2:13" x14ac:dyDescent="0.25">
      <c r="B591" s="1">
        <v>0</v>
      </c>
      <c r="C591" s="1">
        <v>0</v>
      </c>
      <c r="D591" s="1">
        <v>0.99749999999999994</v>
      </c>
      <c r="E591" s="1">
        <v>2.5000000000000001E-3</v>
      </c>
      <c r="F591" s="1">
        <v>70</v>
      </c>
      <c r="G591" s="1">
        <v>0</v>
      </c>
      <c r="H591" s="1">
        <v>2</v>
      </c>
      <c r="I591" s="1">
        <v>6</v>
      </c>
      <c r="J591" s="1">
        <v>0</v>
      </c>
      <c r="K591" s="1">
        <v>0</v>
      </c>
      <c r="L591" s="1">
        <v>5853</v>
      </c>
      <c r="M591" s="1">
        <v>0</v>
      </c>
    </row>
    <row r="592" spans="2:13" x14ac:dyDescent="0.25">
      <c r="B592" s="1">
        <v>0</v>
      </c>
      <c r="C592" s="1">
        <v>0</v>
      </c>
      <c r="D592" s="1">
        <v>0.99749999999999994</v>
      </c>
      <c r="E592" s="1">
        <v>2.5000000000000001E-3</v>
      </c>
      <c r="F592" s="1">
        <v>67</v>
      </c>
      <c r="G592" s="1">
        <v>1</v>
      </c>
      <c r="H592" s="1">
        <v>20</v>
      </c>
      <c r="I592" s="1">
        <v>5</v>
      </c>
      <c r="J592" s="1">
        <v>0</v>
      </c>
      <c r="K592" s="1">
        <v>0</v>
      </c>
      <c r="L592" s="1">
        <v>28697</v>
      </c>
      <c r="M592" s="1">
        <v>0</v>
      </c>
    </row>
    <row r="593" spans="2:13" x14ac:dyDescent="0.25">
      <c r="B593" s="1">
        <v>0</v>
      </c>
      <c r="C593" s="1">
        <v>0</v>
      </c>
      <c r="D593" s="1">
        <v>1</v>
      </c>
      <c r="E593" s="1">
        <v>0</v>
      </c>
      <c r="F593" s="1">
        <v>44</v>
      </c>
      <c r="G593" s="1">
        <v>1</v>
      </c>
      <c r="H593" s="1">
        <v>3</v>
      </c>
      <c r="I593" s="1">
        <v>4</v>
      </c>
      <c r="J593" s="1">
        <v>0</v>
      </c>
      <c r="K593" s="1">
        <v>0</v>
      </c>
      <c r="L593" s="1">
        <v>12681</v>
      </c>
      <c r="M593" s="1">
        <v>0</v>
      </c>
    </row>
    <row r="594" spans="2:13" x14ac:dyDescent="0.25">
      <c r="B594" s="1">
        <v>0</v>
      </c>
      <c r="C594" s="1">
        <v>0</v>
      </c>
      <c r="D594" s="1">
        <v>0.99749999999999994</v>
      </c>
      <c r="E594" s="1">
        <v>2.5000000000000001E-3</v>
      </c>
      <c r="F594" s="1">
        <v>56</v>
      </c>
      <c r="G594" s="1">
        <v>0</v>
      </c>
      <c r="H594" s="1">
        <v>2</v>
      </c>
      <c r="I594" s="1">
        <v>6</v>
      </c>
      <c r="J594" s="1">
        <v>0</v>
      </c>
      <c r="K594" s="1">
        <v>0</v>
      </c>
      <c r="L594" s="1">
        <v>17833</v>
      </c>
      <c r="M594" s="1">
        <v>0</v>
      </c>
    </row>
    <row r="595" spans="2:13" x14ac:dyDescent="0.25">
      <c r="B595" s="1">
        <v>0</v>
      </c>
      <c r="C595" s="1">
        <v>0</v>
      </c>
      <c r="D595" s="1">
        <v>0.99749999999999994</v>
      </c>
      <c r="E595" s="1">
        <v>2.5000000000000001E-3</v>
      </c>
      <c r="F595" s="1">
        <v>57</v>
      </c>
      <c r="G595" s="1">
        <v>0</v>
      </c>
      <c r="H595" s="1">
        <v>3</v>
      </c>
      <c r="I595" s="1">
        <v>3</v>
      </c>
      <c r="J595" s="1">
        <v>0</v>
      </c>
      <c r="K595" s="1">
        <v>0</v>
      </c>
      <c r="L595" s="1">
        <v>12382</v>
      </c>
      <c r="M595" s="1">
        <v>0</v>
      </c>
    </row>
    <row r="596" spans="2:13" x14ac:dyDescent="0.25">
      <c r="B596" s="1">
        <v>0</v>
      </c>
      <c r="C596" s="1">
        <v>0</v>
      </c>
      <c r="D596" s="1">
        <v>0.99749999999999994</v>
      </c>
      <c r="E596" s="1">
        <v>2.5000000000000001E-3</v>
      </c>
      <c r="F596" s="1">
        <v>73</v>
      </c>
      <c r="G596" s="1">
        <v>1</v>
      </c>
      <c r="H596" s="1">
        <v>5</v>
      </c>
      <c r="I596" s="1">
        <v>3</v>
      </c>
      <c r="J596" s="1">
        <v>0</v>
      </c>
      <c r="K596" s="1">
        <v>0</v>
      </c>
      <c r="L596" s="1">
        <v>11150</v>
      </c>
      <c r="M596" s="1">
        <v>0</v>
      </c>
    </row>
    <row r="597" spans="2:13" x14ac:dyDescent="0.25">
      <c r="B597" s="1">
        <v>0</v>
      </c>
      <c r="C597" s="1">
        <v>0</v>
      </c>
      <c r="D597" s="1">
        <v>0.9810526315789474</v>
      </c>
      <c r="E597" s="1">
        <v>1.8947368421052633E-2</v>
      </c>
      <c r="F597" s="1">
        <v>22</v>
      </c>
      <c r="G597" s="1">
        <v>0</v>
      </c>
      <c r="H597" s="1">
        <v>6</v>
      </c>
      <c r="I597" s="1">
        <v>3</v>
      </c>
      <c r="J597" s="1">
        <v>0</v>
      </c>
      <c r="K597" s="1">
        <v>0</v>
      </c>
      <c r="L597" s="1">
        <v>8890</v>
      </c>
      <c r="M597" s="1">
        <v>0</v>
      </c>
    </row>
    <row r="598" spans="2:13" x14ac:dyDescent="0.25">
      <c r="B598" s="1">
        <v>0</v>
      </c>
      <c r="C598" s="1">
        <v>0</v>
      </c>
      <c r="D598" s="1">
        <v>0.99749999999999994</v>
      </c>
      <c r="E598" s="1">
        <v>2.5000000000000001E-3</v>
      </c>
      <c r="F598" s="1">
        <v>68</v>
      </c>
      <c r="G598" s="1">
        <v>1</v>
      </c>
      <c r="H598" s="1">
        <v>4</v>
      </c>
      <c r="I598" s="1">
        <v>8</v>
      </c>
      <c r="J598" s="1">
        <v>6</v>
      </c>
      <c r="K598" s="1">
        <v>0</v>
      </c>
      <c r="L598" s="1">
        <v>50167</v>
      </c>
      <c r="M598" s="1">
        <v>1</v>
      </c>
    </row>
    <row r="599" spans="2:13" x14ac:dyDescent="0.25">
      <c r="B599" s="1">
        <v>0</v>
      </c>
      <c r="C599" s="1">
        <v>0</v>
      </c>
      <c r="D599" s="1">
        <v>0.9810526315789474</v>
      </c>
      <c r="E599" s="1">
        <v>1.8947368421052633E-2</v>
      </c>
      <c r="F599" s="1">
        <v>22</v>
      </c>
      <c r="G599" s="1">
        <v>0</v>
      </c>
      <c r="H599" s="1">
        <v>5</v>
      </c>
      <c r="I599" s="1">
        <v>2</v>
      </c>
      <c r="J599" s="1">
        <v>0</v>
      </c>
      <c r="K599" s="1">
        <v>0</v>
      </c>
      <c r="L599" s="1">
        <v>9352</v>
      </c>
      <c r="M599" s="1">
        <v>0</v>
      </c>
    </row>
    <row r="600" spans="2:13" x14ac:dyDescent="0.25">
      <c r="B600" s="1">
        <v>1</v>
      </c>
      <c r="C600" s="1">
        <v>1</v>
      </c>
      <c r="D600" s="1">
        <v>0</v>
      </c>
      <c r="E600" s="1">
        <v>1</v>
      </c>
      <c r="F600" s="1">
        <v>75</v>
      </c>
      <c r="G600" s="1">
        <v>1</v>
      </c>
      <c r="H600" s="1">
        <v>2</v>
      </c>
      <c r="I600" s="1">
        <v>7</v>
      </c>
      <c r="J600" s="1">
        <v>1</v>
      </c>
      <c r="K600" s="1">
        <v>1</v>
      </c>
      <c r="L600" s="1">
        <v>12511</v>
      </c>
      <c r="M600" s="1">
        <v>0</v>
      </c>
    </row>
    <row r="601" spans="2:13" x14ac:dyDescent="0.25">
      <c r="B601" s="1">
        <v>0</v>
      </c>
      <c r="C601" s="1">
        <v>0</v>
      </c>
      <c r="D601" s="1">
        <v>0.625</v>
      </c>
      <c r="E601" s="1">
        <v>0.37500000000000006</v>
      </c>
      <c r="F601" s="1">
        <v>86</v>
      </c>
      <c r="G601" s="1">
        <v>1</v>
      </c>
      <c r="H601" s="1">
        <v>10</v>
      </c>
      <c r="I601" s="1">
        <v>3</v>
      </c>
      <c r="J601" s="1">
        <v>2</v>
      </c>
      <c r="K601" s="1">
        <v>0</v>
      </c>
      <c r="L601" s="1">
        <v>33134</v>
      </c>
      <c r="M601" s="1">
        <v>1</v>
      </c>
    </row>
    <row r="602" spans="2:13" x14ac:dyDescent="0.25">
      <c r="B602" s="1">
        <v>1</v>
      </c>
      <c r="C602" s="1">
        <v>1</v>
      </c>
      <c r="D602" s="1">
        <v>0</v>
      </c>
      <c r="E602" s="1">
        <v>1</v>
      </c>
      <c r="F602" s="1">
        <v>82</v>
      </c>
      <c r="G602" s="1">
        <v>0</v>
      </c>
      <c r="H602" s="1">
        <v>3</v>
      </c>
      <c r="I602" s="1">
        <v>6</v>
      </c>
      <c r="J602" s="1">
        <v>0</v>
      </c>
      <c r="K602" s="1">
        <v>1</v>
      </c>
      <c r="L602" s="1">
        <v>13750</v>
      </c>
      <c r="M602" s="1">
        <v>0</v>
      </c>
    </row>
    <row r="603" spans="2:13" x14ac:dyDescent="0.25">
      <c r="B603" s="1">
        <v>1</v>
      </c>
      <c r="C603" s="1">
        <v>1</v>
      </c>
      <c r="D603" s="1">
        <v>0</v>
      </c>
      <c r="E603" s="1">
        <v>1</v>
      </c>
      <c r="F603" s="1">
        <v>78</v>
      </c>
      <c r="G603" s="1">
        <v>1</v>
      </c>
      <c r="H603" s="1">
        <v>5</v>
      </c>
      <c r="I603" s="1">
        <v>1</v>
      </c>
      <c r="J603" s="1">
        <v>0</v>
      </c>
      <c r="K603" s="1">
        <v>1</v>
      </c>
      <c r="L603" s="1">
        <v>11371</v>
      </c>
      <c r="M603" s="1">
        <v>0</v>
      </c>
    </row>
    <row r="604" spans="2:13" x14ac:dyDescent="0.25">
      <c r="B604" s="1">
        <v>0</v>
      </c>
      <c r="C604" s="1">
        <v>0</v>
      </c>
      <c r="D604" s="1">
        <v>0.9810526315789474</v>
      </c>
      <c r="E604" s="1">
        <v>1.8947368421052633E-2</v>
      </c>
      <c r="F604" s="1">
        <v>18</v>
      </c>
      <c r="G604" s="1">
        <v>1</v>
      </c>
      <c r="H604" s="1">
        <v>3</v>
      </c>
      <c r="I604" s="1">
        <v>0</v>
      </c>
      <c r="J604" s="1">
        <v>2</v>
      </c>
      <c r="K604" s="1">
        <v>0</v>
      </c>
      <c r="L604" s="1">
        <v>17027</v>
      </c>
      <c r="M604" s="1">
        <v>1</v>
      </c>
    </row>
    <row r="605" spans="2:13" x14ac:dyDescent="0.25">
      <c r="B605" s="1">
        <v>1</v>
      </c>
      <c r="C605" s="1">
        <v>1</v>
      </c>
      <c r="D605" s="1">
        <v>0.31818181818181818</v>
      </c>
      <c r="E605" s="1">
        <v>0.68181818181818188</v>
      </c>
      <c r="F605" s="1">
        <v>28</v>
      </c>
      <c r="G605" s="1">
        <v>0</v>
      </c>
      <c r="H605" s="1">
        <v>6</v>
      </c>
      <c r="I605" s="1">
        <v>2</v>
      </c>
      <c r="J605" s="1">
        <v>0</v>
      </c>
      <c r="K605" s="1">
        <v>0</v>
      </c>
      <c r="L605" s="1">
        <v>8056</v>
      </c>
      <c r="M605" s="1">
        <v>0</v>
      </c>
    </row>
    <row r="606" spans="2:13" x14ac:dyDescent="0.25">
      <c r="B606" s="1">
        <v>0</v>
      </c>
      <c r="C606" s="1">
        <v>0</v>
      </c>
      <c r="D606" s="1">
        <v>0.99749999999999994</v>
      </c>
      <c r="E606" s="1">
        <v>2.5000000000000001E-3</v>
      </c>
      <c r="F606" s="1">
        <v>57</v>
      </c>
      <c r="G606" s="1">
        <v>0</v>
      </c>
      <c r="H606" s="1">
        <v>1</v>
      </c>
      <c r="I606" s="1">
        <v>4</v>
      </c>
      <c r="J606" s="1">
        <v>0</v>
      </c>
      <c r="K606" s="1">
        <v>0</v>
      </c>
      <c r="L606" s="1">
        <v>6543</v>
      </c>
      <c r="M606" s="1">
        <v>0</v>
      </c>
    </row>
    <row r="607" spans="2:13" x14ac:dyDescent="0.25">
      <c r="B607" s="1">
        <v>0</v>
      </c>
      <c r="C607" s="1">
        <v>0</v>
      </c>
      <c r="D607" s="1">
        <v>0.99749999999999994</v>
      </c>
      <c r="E607" s="1">
        <v>2.5000000000000001E-3</v>
      </c>
      <c r="F607" s="1">
        <v>55</v>
      </c>
      <c r="G607" s="1">
        <v>1</v>
      </c>
      <c r="H607" s="1">
        <v>1</v>
      </c>
      <c r="I607" s="1">
        <v>2</v>
      </c>
      <c r="J607" s="1">
        <v>0</v>
      </c>
      <c r="K607" s="1">
        <v>0</v>
      </c>
      <c r="L607" s="1">
        <v>12873</v>
      </c>
      <c r="M607" s="1">
        <v>0</v>
      </c>
    </row>
    <row r="608" spans="2:13" x14ac:dyDescent="0.25">
      <c r="B608" s="1">
        <v>0</v>
      </c>
      <c r="C608" s="1">
        <v>0</v>
      </c>
      <c r="D608" s="1">
        <v>0.9810526315789474</v>
      </c>
      <c r="E608" s="1">
        <v>1.8947368421052633E-2</v>
      </c>
      <c r="F608" s="1">
        <v>21</v>
      </c>
      <c r="G608" s="1">
        <v>1</v>
      </c>
      <c r="H608" s="1">
        <v>2</v>
      </c>
      <c r="I608" s="1">
        <v>2</v>
      </c>
      <c r="J608" s="1">
        <v>1</v>
      </c>
      <c r="K608" s="1">
        <v>0</v>
      </c>
      <c r="L608" s="1">
        <v>6079</v>
      </c>
      <c r="M608" s="1">
        <v>0</v>
      </c>
    </row>
    <row r="609" spans="2:13" x14ac:dyDescent="0.25">
      <c r="B609" s="1">
        <v>0</v>
      </c>
      <c r="C609" s="1">
        <v>0</v>
      </c>
      <c r="D609" s="1">
        <v>0.99749999999999994</v>
      </c>
      <c r="E609" s="1">
        <v>2.5000000000000001E-3</v>
      </c>
      <c r="F609" s="1">
        <v>71</v>
      </c>
      <c r="G609" s="1">
        <v>1</v>
      </c>
      <c r="H609" s="1">
        <v>8</v>
      </c>
      <c r="I609" s="1">
        <v>6</v>
      </c>
      <c r="J609" s="1">
        <v>3</v>
      </c>
      <c r="K609" s="1">
        <v>0</v>
      </c>
      <c r="L609" s="1">
        <v>30148</v>
      </c>
      <c r="M609" s="1">
        <v>1</v>
      </c>
    </row>
    <row r="610" spans="2:13" x14ac:dyDescent="0.25">
      <c r="B610" s="1">
        <v>0</v>
      </c>
      <c r="C610" s="1">
        <v>0</v>
      </c>
      <c r="D610" s="1">
        <v>0.9810526315789474</v>
      </c>
      <c r="E610" s="1">
        <v>1.8947368421052633E-2</v>
      </c>
      <c r="F610" s="1">
        <v>24</v>
      </c>
      <c r="G610" s="1">
        <v>1</v>
      </c>
      <c r="H610" s="1">
        <v>2</v>
      </c>
      <c r="I610" s="1">
        <v>0</v>
      </c>
      <c r="J610" s="1">
        <v>1</v>
      </c>
      <c r="K610" s="1">
        <v>0</v>
      </c>
      <c r="L610" s="1">
        <v>6671</v>
      </c>
      <c r="M610" s="1">
        <v>0</v>
      </c>
    </row>
    <row r="611" spans="2:13" x14ac:dyDescent="0.25">
      <c r="B611" s="17">
        <v>0</v>
      </c>
      <c r="C611" s="17">
        <v>1</v>
      </c>
      <c r="D611" s="17">
        <v>0.9810526315789474</v>
      </c>
      <c r="E611" s="17">
        <v>1.8947368421052633E-2</v>
      </c>
      <c r="F611" s="17">
        <v>0</v>
      </c>
      <c r="G611" s="17">
        <v>0</v>
      </c>
      <c r="H611" s="17">
        <v>2</v>
      </c>
      <c r="I611" s="17">
        <v>0</v>
      </c>
      <c r="J611" s="17">
        <v>0</v>
      </c>
      <c r="K611" s="17">
        <v>0</v>
      </c>
      <c r="L611" s="17">
        <v>2047</v>
      </c>
      <c r="M611" s="17">
        <v>0</v>
      </c>
    </row>
    <row r="612" spans="2:13" x14ac:dyDescent="0.25">
      <c r="B612" s="1">
        <v>0</v>
      </c>
      <c r="C612" s="1">
        <v>0</v>
      </c>
      <c r="D612" s="1">
        <v>0.68</v>
      </c>
      <c r="E612" s="1">
        <v>0.32</v>
      </c>
      <c r="F612" s="1">
        <v>82</v>
      </c>
      <c r="G612" s="1">
        <v>1</v>
      </c>
      <c r="H612" s="1">
        <v>1</v>
      </c>
      <c r="I612" s="1">
        <v>6</v>
      </c>
      <c r="J612" s="1">
        <v>0</v>
      </c>
      <c r="K612" s="1">
        <v>0</v>
      </c>
      <c r="L612" s="1">
        <v>8686</v>
      </c>
      <c r="M612" s="1">
        <v>0</v>
      </c>
    </row>
    <row r="613" spans="2:13" x14ac:dyDescent="0.25">
      <c r="B613" s="1">
        <v>1</v>
      </c>
      <c r="C613" s="1">
        <v>1</v>
      </c>
      <c r="D613" s="1">
        <v>0</v>
      </c>
      <c r="E613" s="1">
        <v>1</v>
      </c>
      <c r="F613" s="1">
        <v>85</v>
      </c>
      <c r="G613" s="1">
        <v>1</v>
      </c>
      <c r="H613" s="1">
        <v>3</v>
      </c>
      <c r="I613" s="1">
        <v>6</v>
      </c>
      <c r="J613" s="1">
        <v>1</v>
      </c>
      <c r="K613" s="1">
        <v>1</v>
      </c>
      <c r="L613" s="1">
        <v>11140</v>
      </c>
      <c r="M613" s="1">
        <v>0</v>
      </c>
    </row>
    <row r="614" spans="2:13" x14ac:dyDescent="0.25">
      <c r="B614" s="17">
        <v>0</v>
      </c>
      <c r="C614" s="17">
        <v>1</v>
      </c>
      <c r="D614" s="17">
        <v>0.625</v>
      </c>
      <c r="E614" s="17">
        <v>0.37500000000000006</v>
      </c>
      <c r="F614" s="17">
        <v>91</v>
      </c>
      <c r="G614" s="17">
        <v>1</v>
      </c>
      <c r="H614" s="17">
        <v>5</v>
      </c>
      <c r="I614" s="17">
        <v>0</v>
      </c>
      <c r="J614" s="17">
        <v>1</v>
      </c>
      <c r="K614" s="17">
        <v>0</v>
      </c>
      <c r="L614" s="17">
        <v>39043</v>
      </c>
      <c r="M614" s="17">
        <v>1</v>
      </c>
    </row>
    <row r="615" spans="2:13" x14ac:dyDescent="0.25">
      <c r="B615" s="1">
        <v>0</v>
      </c>
      <c r="C615" s="1">
        <v>0</v>
      </c>
      <c r="D615" s="1">
        <v>0.99749999999999994</v>
      </c>
      <c r="E615" s="1">
        <v>2.5000000000000001E-3</v>
      </c>
      <c r="F615" s="1">
        <v>61</v>
      </c>
      <c r="G615" s="1">
        <v>1</v>
      </c>
      <c r="H615" s="1">
        <v>8</v>
      </c>
      <c r="I615" s="1">
        <v>4</v>
      </c>
      <c r="J615" s="1">
        <v>4</v>
      </c>
      <c r="K615" s="1">
        <v>0</v>
      </c>
      <c r="L615" s="1">
        <v>34506</v>
      </c>
      <c r="M615" s="1">
        <v>1</v>
      </c>
    </row>
    <row r="616" spans="2:13" x14ac:dyDescent="0.25">
      <c r="B616" s="1">
        <v>0</v>
      </c>
      <c r="C616" s="1">
        <v>0</v>
      </c>
      <c r="D616" s="1">
        <v>0.99749999999999994</v>
      </c>
      <c r="E616" s="1">
        <v>2.5000000000000001E-3</v>
      </c>
      <c r="F616" s="1">
        <v>58</v>
      </c>
      <c r="G616" s="1">
        <v>1</v>
      </c>
      <c r="H616" s="1">
        <v>7</v>
      </c>
      <c r="I616" s="1">
        <v>4</v>
      </c>
      <c r="J616" s="1">
        <v>0</v>
      </c>
      <c r="K616" s="1">
        <v>0</v>
      </c>
      <c r="L616" s="1">
        <v>9063</v>
      </c>
      <c r="M616" s="1">
        <v>0</v>
      </c>
    </row>
    <row r="617" spans="2:13" x14ac:dyDescent="0.25">
      <c r="B617" s="17">
        <v>0</v>
      </c>
      <c r="C617" s="17">
        <v>1</v>
      </c>
      <c r="D617" s="17">
        <v>0.96666666666666667</v>
      </c>
      <c r="E617" s="17">
        <v>3.333333333333334E-2</v>
      </c>
      <c r="F617" s="17">
        <v>29</v>
      </c>
      <c r="G617" s="17">
        <v>1</v>
      </c>
      <c r="H617" s="17">
        <v>2</v>
      </c>
      <c r="I617" s="17">
        <v>5</v>
      </c>
      <c r="J617" s="17">
        <v>1</v>
      </c>
      <c r="K617" s="17">
        <v>0</v>
      </c>
      <c r="L617" s="17">
        <v>11880</v>
      </c>
      <c r="M617" s="17">
        <v>1</v>
      </c>
    </row>
    <row r="618" spans="2:13" x14ac:dyDescent="0.25">
      <c r="B618" s="1">
        <v>0</v>
      </c>
      <c r="C618" s="1">
        <v>0</v>
      </c>
      <c r="D618" s="1">
        <v>0.9810526315789474</v>
      </c>
      <c r="E618" s="1">
        <v>1.8947368421052633E-2</v>
      </c>
      <c r="F618" s="1">
        <v>17</v>
      </c>
      <c r="G618" s="1">
        <v>1</v>
      </c>
      <c r="H618" s="1">
        <v>3</v>
      </c>
      <c r="I618" s="1">
        <v>3</v>
      </c>
      <c r="J618" s="1">
        <v>0</v>
      </c>
      <c r="K618" s="1">
        <v>0</v>
      </c>
      <c r="L618" s="1">
        <v>2201</v>
      </c>
      <c r="M618" s="1">
        <v>0</v>
      </c>
    </row>
    <row r="619" spans="2:13" x14ac:dyDescent="0.25">
      <c r="B619" s="1">
        <v>1</v>
      </c>
      <c r="C619" s="1">
        <v>1</v>
      </c>
      <c r="D619" s="1">
        <v>0</v>
      </c>
      <c r="E619" s="1">
        <v>1</v>
      </c>
      <c r="F619" s="1">
        <v>88</v>
      </c>
      <c r="G619" s="1">
        <v>1</v>
      </c>
      <c r="H619" s="1">
        <v>2</v>
      </c>
      <c r="I619" s="1">
        <v>2</v>
      </c>
      <c r="J619" s="1">
        <v>0</v>
      </c>
      <c r="K619" s="1">
        <v>1</v>
      </c>
      <c r="L619" s="1">
        <v>7290</v>
      </c>
      <c r="M619" s="1">
        <v>0</v>
      </c>
    </row>
    <row r="620" spans="2:13" x14ac:dyDescent="0.25">
      <c r="B620" s="1">
        <v>0</v>
      </c>
      <c r="C620" s="1">
        <v>0</v>
      </c>
      <c r="D620" s="1">
        <v>0.96666666666666667</v>
      </c>
      <c r="E620" s="1">
        <v>3.333333333333334E-2</v>
      </c>
      <c r="F620" s="1">
        <v>30</v>
      </c>
      <c r="G620" s="1">
        <v>1</v>
      </c>
      <c r="H620" s="1">
        <v>5</v>
      </c>
      <c r="I620" s="1">
        <v>1</v>
      </c>
      <c r="J620" s="1">
        <v>1</v>
      </c>
      <c r="K620" s="1">
        <v>0</v>
      </c>
      <c r="L620" s="1">
        <v>21110</v>
      </c>
      <c r="M620" s="1">
        <v>0</v>
      </c>
    </row>
    <row r="621" spans="2:13" x14ac:dyDescent="0.25">
      <c r="B621" s="1">
        <v>1</v>
      </c>
      <c r="C621" s="1">
        <v>1</v>
      </c>
      <c r="D621" s="1">
        <v>0</v>
      </c>
      <c r="E621" s="1">
        <v>1</v>
      </c>
      <c r="F621" s="1">
        <v>78</v>
      </c>
      <c r="G621" s="1">
        <v>0</v>
      </c>
      <c r="H621" s="1">
        <v>4</v>
      </c>
      <c r="I621" s="1">
        <v>4</v>
      </c>
      <c r="J621" s="1">
        <v>1</v>
      </c>
      <c r="K621" s="1">
        <v>1</v>
      </c>
      <c r="L621" s="1">
        <v>20844</v>
      </c>
      <c r="M621" s="1">
        <v>0</v>
      </c>
    </row>
    <row r="622" spans="2:13" x14ac:dyDescent="0.25">
      <c r="B622" s="1">
        <v>1</v>
      </c>
      <c r="C622" s="1">
        <v>1</v>
      </c>
      <c r="D622" s="1">
        <v>0</v>
      </c>
      <c r="E622" s="1">
        <v>1</v>
      </c>
      <c r="F622" s="1">
        <v>89</v>
      </c>
      <c r="G622" s="1">
        <v>1</v>
      </c>
      <c r="H622" s="1">
        <v>18</v>
      </c>
      <c r="I622" s="1">
        <v>3</v>
      </c>
      <c r="J622" s="1">
        <v>0</v>
      </c>
      <c r="K622" s="1">
        <v>1</v>
      </c>
      <c r="L622" s="1">
        <v>34039</v>
      </c>
      <c r="M622" s="1">
        <v>0</v>
      </c>
    </row>
    <row r="623" spans="2:13" x14ac:dyDescent="0.25">
      <c r="B623" s="1">
        <v>0</v>
      </c>
      <c r="C623" s="1">
        <v>0</v>
      </c>
      <c r="D623" s="1">
        <v>0.9810526315789474</v>
      </c>
      <c r="E623" s="1">
        <v>1.8947368421052633E-2</v>
      </c>
      <c r="F623" s="1">
        <v>20</v>
      </c>
      <c r="G623" s="1">
        <v>1</v>
      </c>
      <c r="H623" s="1">
        <v>7</v>
      </c>
      <c r="I623" s="1">
        <v>0</v>
      </c>
      <c r="J623" s="1">
        <v>1</v>
      </c>
      <c r="K623" s="1">
        <v>0</v>
      </c>
      <c r="L623" s="1">
        <v>21235</v>
      </c>
      <c r="M623" s="1">
        <v>1</v>
      </c>
    </row>
    <row r="624" spans="2:13" x14ac:dyDescent="0.25">
      <c r="B624" s="1">
        <v>0</v>
      </c>
      <c r="C624" s="1">
        <v>0</v>
      </c>
      <c r="D624" s="1">
        <v>0.9810526315789474</v>
      </c>
      <c r="E624" s="1">
        <v>1.8947368421052633E-2</v>
      </c>
      <c r="F624" s="1">
        <v>27</v>
      </c>
      <c r="G624" s="1">
        <v>1</v>
      </c>
      <c r="H624" s="1">
        <v>2</v>
      </c>
      <c r="I624" s="1">
        <v>0</v>
      </c>
      <c r="J624" s="1">
        <v>2</v>
      </c>
      <c r="K624" s="1">
        <v>0</v>
      </c>
      <c r="L624" s="1">
        <v>4948</v>
      </c>
      <c r="M624" s="1">
        <v>0</v>
      </c>
    </row>
    <row r="625" spans="2:13" x14ac:dyDescent="0.25">
      <c r="B625" s="1">
        <v>0</v>
      </c>
      <c r="C625" s="1">
        <v>0</v>
      </c>
      <c r="D625" s="1">
        <v>0.9810526315789474</v>
      </c>
      <c r="E625" s="1">
        <v>1.8947368421052633E-2</v>
      </c>
      <c r="F625" s="1">
        <v>0</v>
      </c>
      <c r="G625" s="1">
        <v>0</v>
      </c>
      <c r="H625" s="1">
        <v>4</v>
      </c>
      <c r="I625" s="1">
        <v>0</v>
      </c>
      <c r="J625" s="1">
        <v>2</v>
      </c>
      <c r="K625" s="1">
        <v>0</v>
      </c>
      <c r="L625" s="1">
        <v>4265</v>
      </c>
      <c r="M625" s="1">
        <v>1</v>
      </c>
    </row>
    <row r="626" spans="2:13" x14ac:dyDescent="0.25">
      <c r="B626" s="1">
        <v>0</v>
      </c>
      <c r="C626" s="1">
        <v>0</v>
      </c>
      <c r="D626" s="1">
        <v>0.9810526315789474</v>
      </c>
      <c r="E626" s="1">
        <v>1.8947368421052633E-2</v>
      </c>
      <c r="F626" s="1">
        <v>0</v>
      </c>
      <c r="G626" s="1">
        <v>0</v>
      </c>
      <c r="H626" s="1">
        <v>5</v>
      </c>
      <c r="I626" s="1">
        <v>0</v>
      </c>
      <c r="J626" s="1">
        <v>0</v>
      </c>
      <c r="K626" s="1">
        <v>0</v>
      </c>
      <c r="L626" s="1">
        <v>7328</v>
      </c>
      <c r="M626" s="1">
        <v>0</v>
      </c>
    </row>
    <row r="627" spans="2:13" x14ac:dyDescent="0.25">
      <c r="B627" s="1">
        <v>1</v>
      </c>
      <c r="C627" s="1">
        <v>1</v>
      </c>
      <c r="D627" s="1">
        <v>0.36</v>
      </c>
      <c r="E627" s="1">
        <v>0.64</v>
      </c>
      <c r="F627" s="1">
        <v>85</v>
      </c>
      <c r="G627" s="1">
        <v>1</v>
      </c>
      <c r="H627" s="1">
        <v>3</v>
      </c>
      <c r="I627" s="1">
        <v>5</v>
      </c>
      <c r="J627" s="1">
        <v>0</v>
      </c>
      <c r="K627" s="1">
        <v>0</v>
      </c>
      <c r="L627" s="1">
        <v>15278</v>
      </c>
      <c r="M627" s="1">
        <v>0</v>
      </c>
    </row>
    <row r="628" spans="2:13" x14ac:dyDescent="0.25">
      <c r="B628" s="1">
        <v>0</v>
      </c>
      <c r="C628" s="1">
        <v>0</v>
      </c>
      <c r="D628" s="1">
        <v>0.8571428571428571</v>
      </c>
      <c r="E628" s="1">
        <v>0.14285714285714285</v>
      </c>
      <c r="F628" s="1">
        <v>52</v>
      </c>
      <c r="G628" s="1">
        <v>1</v>
      </c>
      <c r="H628" s="1">
        <v>1</v>
      </c>
      <c r="I628" s="1">
        <v>3</v>
      </c>
      <c r="J628" s="1">
        <v>0</v>
      </c>
      <c r="K628" s="1">
        <v>0</v>
      </c>
      <c r="L628" s="1">
        <v>10854</v>
      </c>
      <c r="M628" s="1">
        <v>0</v>
      </c>
    </row>
    <row r="629" spans="2:13" x14ac:dyDescent="0.25">
      <c r="B629" s="17">
        <v>0</v>
      </c>
      <c r="C629" s="17">
        <v>1</v>
      </c>
      <c r="D629" s="17">
        <v>0.68</v>
      </c>
      <c r="E629" s="17">
        <v>0.32</v>
      </c>
      <c r="F629" s="17">
        <v>82</v>
      </c>
      <c r="G629" s="17">
        <v>1</v>
      </c>
      <c r="H629" s="17">
        <v>2</v>
      </c>
      <c r="I629" s="17">
        <v>1</v>
      </c>
      <c r="J629" s="17">
        <v>0</v>
      </c>
      <c r="K629" s="17">
        <v>0</v>
      </c>
      <c r="L629" s="17">
        <v>10633</v>
      </c>
      <c r="M629" s="17">
        <v>0</v>
      </c>
    </row>
    <row r="630" spans="2:13" x14ac:dyDescent="0.25">
      <c r="B630" s="1">
        <v>0</v>
      </c>
      <c r="C630" s="1">
        <v>0</v>
      </c>
      <c r="D630" s="1">
        <v>0.625</v>
      </c>
      <c r="E630" s="1">
        <v>0.37500000000000006</v>
      </c>
      <c r="F630" s="1">
        <v>90</v>
      </c>
      <c r="G630" s="1">
        <v>0</v>
      </c>
      <c r="H630" s="1">
        <v>17</v>
      </c>
      <c r="I630" s="1">
        <v>3</v>
      </c>
      <c r="J630" s="1">
        <v>6</v>
      </c>
      <c r="K630" s="1">
        <v>0</v>
      </c>
      <c r="L630" s="1">
        <v>87919</v>
      </c>
      <c r="M630" s="1">
        <v>1</v>
      </c>
    </row>
    <row r="631" spans="2:13" x14ac:dyDescent="0.25">
      <c r="B631" s="1">
        <v>0</v>
      </c>
      <c r="C631" s="1">
        <v>0</v>
      </c>
      <c r="D631" s="1">
        <v>0.99749999999999994</v>
      </c>
      <c r="E631" s="1">
        <v>2.5000000000000001E-3</v>
      </c>
      <c r="F631" s="1">
        <v>64</v>
      </c>
      <c r="G631" s="1">
        <v>1</v>
      </c>
      <c r="H631" s="1">
        <v>6</v>
      </c>
      <c r="I631" s="1">
        <v>7</v>
      </c>
      <c r="J631" s="1">
        <v>0</v>
      </c>
      <c r="K631" s="1">
        <v>0</v>
      </c>
      <c r="L631" s="1">
        <v>9678</v>
      </c>
      <c r="M631" s="1">
        <v>0</v>
      </c>
    </row>
    <row r="632" spans="2:13" x14ac:dyDescent="0.25">
      <c r="B632" s="1">
        <v>0</v>
      </c>
      <c r="C632" s="1">
        <v>0</v>
      </c>
      <c r="D632" s="1">
        <v>0.99749999999999994</v>
      </c>
      <c r="E632" s="1">
        <v>2.5000000000000001E-3</v>
      </c>
      <c r="F632" s="1">
        <v>55</v>
      </c>
      <c r="G632" s="1">
        <v>0</v>
      </c>
      <c r="H632" s="1">
        <v>0</v>
      </c>
      <c r="I632" s="1">
        <v>6</v>
      </c>
      <c r="J632" s="1">
        <v>0</v>
      </c>
      <c r="K632" s="1">
        <v>0</v>
      </c>
      <c r="L632" s="1">
        <v>11495</v>
      </c>
      <c r="M632" s="1">
        <v>0</v>
      </c>
    </row>
    <row r="633" spans="2:13" x14ac:dyDescent="0.25">
      <c r="B633" s="1">
        <v>0</v>
      </c>
      <c r="C633" s="1">
        <v>0</v>
      </c>
      <c r="D633" s="1">
        <v>0.68</v>
      </c>
      <c r="E633" s="1">
        <v>0.32</v>
      </c>
      <c r="F633" s="1">
        <v>92</v>
      </c>
      <c r="G633" s="1">
        <v>1</v>
      </c>
      <c r="H633" s="1">
        <v>3</v>
      </c>
      <c r="I633" s="1">
        <v>5</v>
      </c>
      <c r="J633" s="1">
        <v>0</v>
      </c>
      <c r="K633" s="1">
        <v>0</v>
      </c>
      <c r="L633" s="1">
        <v>9196</v>
      </c>
      <c r="M633" s="1">
        <v>0</v>
      </c>
    </row>
    <row r="634" spans="2:13" x14ac:dyDescent="0.25">
      <c r="B634" s="1">
        <v>1</v>
      </c>
      <c r="C634" s="1">
        <v>1</v>
      </c>
      <c r="D634" s="1">
        <v>0.31818181818181818</v>
      </c>
      <c r="E634" s="1">
        <v>0.68181818181818188</v>
      </c>
      <c r="F634" s="1">
        <v>28</v>
      </c>
      <c r="G634" s="1">
        <v>1</v>
      </c>
      <c r="H634" s="1">
        <v>6</v>
      </c>
      <c r="I634" s="1">
        <v>0</v>
      </c>
      <c r="J634" s="1">
        <v>0</v>
      </c>
      <c r="K634" s="1">
        <v>0</v>
      </c>
      <c r="L634" s="1">
        <v>8352</v>
      </c>
      <c r="M634" s="1">
        <v>0</v>
      </c>
    </row>
    <row r="635" spans="2:13" x14ac:dyDescent="0.25">
      <c r="B635" s="1">
        <v>0</v>
      </c>
      <c r="C635" s="1">
        <v>0</v>
      </c>
      <c r="D635" s="1">
        <v>0.9810526315789474</v>
      </c>
      <c r="E635" s="1">
        <v>1.8947368421052633E-2</v>
      </c>
      <c r="F635" s="1">
        <v>26</v>
      </c>
      <c r="G635" s="1">
        <v>1</v>
      </c>
      <c r="H635" s="1">
        <v>4</v>
      </c>
      <c r="I635" s="1">
        <v>0</v>
      </c>
      <c r="J635" s="1">
        <v>0</v>
      </c>
      <c r="K635" s="1">
        <v>0</v>
      </c>
      <c r="L635" s="1">
        <v>5525</v>
      </c>
      <c r="M635" s="1">
        <v>0</v>
      </c>
    </row>
    <row r="636" spans="2:13" x14ac:dyDescent="0.25">
      <c r="B636" s="1">
        <v>0</v>
      </c>
      <c r="C636" s="1">
        <v>0</v>
      </c>
      <c r="D636" s="1">
        <v>0.68</v>
      </c>
      <c r="E636" s="1">
        <v>0.32</v>
      </c>
      <c r="F636" s="1">
        <v>92</v>
      </c>
      <c r="G636" s="1">
        <v>1</v>
      </c>
      <c r="H636" s="1">
        <v>3</v>
      </c>
      <c r="I636" s="1">
        <v>5</v>
      </c>
      <c r="J636" s="1">
        <v>0</v>
      </c>
      <c r="K636" s="1">
        <v>0</v>
      </c>
      <c r="L636" s="1">
        <v>7757</v>
      </c>
      <c r="M636" s="1">
        <v>0</v>
      </c>
    </row>
    <row r="637" spans="2:13" x14ac:dyDescent="0.25">
      <c r="B637" s="1">
        <v>0</v>
      </c>
      <c r="C637" s="1">
        <v>0</v>
      </c>
      <c r="D637" s="1">
        <v>0.9810526315789474</v>
      </c>
      <c r="E637" s="1">
        <v>1.8947368421052633E-2</v>
      </c>
      <c r="F637" s="1">
        <v>0</v>
      </c>
      <c r="G637" s="1">
        <v>1</v>
      </c>
      <c r="H637" s="1">
        <v>2</v>
      </c>
      <c r="I637" s="1">
        <v>0</v>
      </c>
      <c r="J637" s="1">
        <v>0</v>
      </c>
      <c r="K637" s="1">
        <v>0</v>
      </c>
      <c r="L637" s="1">
        <v>1045</v>
      </c>
      <c r="M637" s="1">
        <v>0</v>
      </c>
    </row>
    <row r="638" spans="2:13" x14ac:dyDescent="0.25">
      <c r="B638" s="1">
        <v>0</v>
      </c>
      <c r="C638" s="1">
        <v>0</v>
      </c>
      <c r="D638" s="1">
        <v>0.9810526315789474</v>
      </c>
      <c r="E638" s="1">
        <v>1.8947368421052633E-2</v>
      </c>
      <c r="F638" s="1">
        <v>0</v>
      </c>
      <c r="G638" s="1">
        <v>0</v>
      </c>
      <c r="H638" s="1">
        <v>2</v>
      </c>
      <c r="I638" s="1">
        <v>1</v>
      </c>
      <c r="J638" s="1">
        <v>1</v>
      </c>
      <c r="K638" s="1">
        <v>0</v>
      </c>
      <c r="L638" s="1">
        <v>1416</v>
      </c>
      <c r="M638" s="1">
        <v>1</v>
      </c>
    </row>
    <row r="639" spans="2:13" x14ac:dyDescent="0.25">
      <c r="B639" s="1">
        <v>0</v>
      </c>
      <c r="C639" s="1">
        <v>0</v>
      </c>
      <c r="D639" s="1">
        <v>1</v>
      </c>
      <c r="E639" s="1">
        <v>0</v>
      </c>
      <c r="F639" s="1">
        <v>48</v>
      </c>
      <c r="G639" s="1">
        <v>1</v>
      </c>
      <c r="H639" s="1">
        <v>4</v>
      </c>
      <c r="I639" s="1">
        <v>7</v>
      </c>
      <c r="J639" s="1">
        <v>0</v>
      </c>
      <c r="K639" s="1">
        <v>0</v>
      </c>
      <c r="L639" s="1">
        <v>9588</v>
      </c>
      <c r="M639" s="1">
        <v>0</v>
      </c>
    </row>
    <row r="640" spans="2:13" x14ac:dyDescent="0.25">
      <c r="B640" s="1">
        <v>1</v>
      </c>
      <c r="C640" s="1">
        <v>1</v>
      </c>
      <c r="D640" s="1">
        <v>0</v>
      </c>
      <c r="E640" s="1">
        <v>1</v>
      </c>
      <c r="F640" s="1">
        <v>78</v>
      </c>
      <c r="G640" s="1">
        <v>1</v>
      </c>
      <c r="H640" s="1">
        <v>2</v>
      </c>
      <c r="I640" s="1">
        <v>5</v>
      </c>
      <c r="J640" s="1">
        <v>0</v>
      </c>
      <c r="K640" s="1">
        <v>1</v>
      </c>
      <c r="L640" s="1">
        <v>8551</v>
      </c>
      <c r="M640" s="1">
        <v>0</v>
      </c>
    </row>
    <row r="641" spans="2:13" x14ac:dyDescent="0.25">
      <c r="B641" s="1">
        <v>0</v>
      </c>
      <c r="C641" s="1">
        <v>0</v>
      </c>
      <c r="D641" s="1">
        <v>0.96666666666666667</v>
      </c>
      <c r="E641" s="1">
        <v>3.333333333333334E-2</v>
      </c>
      <c r="F641" s="1">
        <v>32</v>
      </c>
      <c r="G641" s="1">
        <v>0</v>
      </c>
      <c r="H641" s="1">
        <v>5</v>
      </c>
      <c r="I641" s="1">
        <v>4</v>
      </c>
      <c r="J641" s="1">
        <v>0</v>
      </c>
      <c r="K641" s="1">
        <v>0</v>
      </c>
      <c r="L641" s="1">
        <v>7151</v>
      </c>
      <c r="M641" s="1">
        <v>0</v>
      </c>
    </row>
    <row r="642" spans="2:13" x14ac:dyDescent="0.25">
      <c r="B642" s="1">
        <v>0</v>
      </c>
      <c r="C642" s="1">
        <v>0</v>
      </c>
      <c r="D642" s="1">
        <v>0.99749999999999994</v>
      </c>
      <c r="E642" s="1">
        <v>2.5000000000000001E-3</v>
      </c>
      <c r="F642" s="1">
        <v>54</v>
      </c>
      <c r="G642" s="1">
        <v>1</v>
      </c>
      <c r="H642" s="1">
        <v>10</v>
      </c>
      <c r="I642" s="1">
        <v>2</v>
      </c>
      <c r="J642" s="1">
        <v>0</v>
      </c>
      <c r="K642" s="1">
        <v>0</v>
      </c>
      <c r="L642" s="1">
        <v>18562</v>
      </c>
      <c r="M642" s="1">
        <v>0</v>
      </c>
    </row>
    <row r="643" spans="2:13" x14ac:dyDescent="0.25">
      <c r="B643" s="1">
        <v>1</v>
      </c>
      <c r="C643" s="1">
        <v>1</v>
      </c>
      <c r="D643" s="1">
        <v>0</v>
      </c>
      <c r="E643" s="1">
        <v>1</v>
      </c>
      <c r="F643" s="1">
        <v>75</v>
      </c>
      <c r="G643" s="1">
        <v>1</v>
      </c>
      <c r="H643" s="1">
        <v>10</v>
      </c>
      <c r="I643" s="1">
        <v>6</v>
      </c>
      <c r="J643" s="1">
        <v>0</v>
      </c>
      <c r="K643" s="1">
        <v>1</v>
      </c>
      <c r="L643" s="1">
        <v>32341</v>
      </c>
      <c r="M643" s="1">
        <v>0</v>
      </c>
    </row>
    <row r="644" spans="2:13" x14ac:dyDescent="0.25">
      <c r="B644" s="1">
        <v>0</v>
      </c>
      <c r="C644" s="1">
        <v>0</v>
      </c>
      <c r="D644" s="1">
        <v>0.99749999999999994</v>
      </c>
      <c r="E644" s="1">
        <v>2.5000000000000001E-3</v>
      </c>
      <c r="F644" s="1">
        <v>60</v>
      </c>
      <c r="G644" s="1">
        <v>1</v>
      </c>
      <c r="H644" s="1">
        <v>13</v>
      </c>
      <c r="I644" s="1">
        <v>7</v>
      </c>
      <c r="J644" s="1">
        <v>2</v>
      </c>
      <c r="K644" s="1">
        <v>0</v>
      </c>
      <c r="L644" s="1">
        <v>48528</v>
      </c>
      <c r="M644" s="1">
        <v>0</v>
      </c>
    </row>
    <row r="645" spans="2:13" x14ac:dyDescent="0.25">
      <c r="B645" s="1">
        <v>1</v>
      </c>
      <c r="C645" s="1">
        <v>1</v>
      </c>
      <c r="D645" s="1">
        <v>0</v>
      </c>
      <c r="E645" s="1">
        <v>1</v>
      </c>
      <c r="F645" s="1">
        <v>83</v>
      </c>
      <c r="G645" s="1">
        <v>0</v>
      </c>
      <c r="H645" s="1">
        <v>24</v>
      </c>
      <c r="I645" s="1">
        <v>6</v>
      </c>
      <c r="J645" s="1">
        <v>3</v>
      </c>
      <c r="K645" s="1">
        <v>1</v>
      </c>
      <c r="L645" s="1">
        <v>71537</v>
      </c>
      <c r="M645" s="1">
        <v>0</v>
      </c>
    </row>
    <row r="646" spans="2:13" x14ac:dyDescent="0.25">
      <c r="B646" s="1">
        <v>0</v>
      </c>
      <c r="C646" s="1">
        <v>0</v>
      </c>
      <c r="D646" s="1">
        <v>0.99749999999999994</v>
      </c>
      <c r="E646" s="1">
        <v>2.5000000000000001E-3</v>
      </c>
      <c r="F646" s="1">
        <v>61</v>
      </c>
      <c r="G646" s="1">
        <v>0</v>
      </c>
      <c r="H646" s="1">
        <v>3</v>
      </c>
      <c r="I646" s="1">
        <v>4</v>
      </c>
      <c r="J646" s="1">
        <v>0</v>
      </c>
      <c r="K646" s="1">
        <v>0</v>
      </c>
      <c r="L646" s="1">
        <v>13449</v>
      </c>
      <c r="M646" s="1">
        <v>0</v>
      </c>
    </row>
    <row r="647" spans="2:13" x14ac:dyDescent="0.25">
      <c r="B647" s="1">
        <v>0</v>
      </c>
      <c r="C647" s="1">
        <v>0</v>
      </c>
      <c r="D647" s="1">
        <v>0.9810526315789474</v>
      </c>
      <c r="E647" s="1">
        <v>1.8947368421052633E-2</v>
      </c>
      <c r="F647" s="1">
        <v>27</v>
      </c>
      <c r="G647" s="1">
        <v>1</v>
      </c>
      <c r="H647" s="1">
        <v>6</v>
      </c>
      <c r="I647" s="1">
        <v>0</v>
      </c>
      <c r="J647" s="1">
        <v>0</v>
      </c>
      <c r="K647" s="1">
        <v>0</v>
      </c>
      <c r="L647" s="1">
        <v>7784</v>
      </c>
      <c r="M647" s="1">
        <v>0</v>
      </c>
    </row>
    <row r="648" spans="2:13" x14ac:dyDescent="0.25">
      <c r="B648" s="1">
        <v>0</v>
      </c>
      <c r="C648" s="1">
        <v>0</v>
      </c>
      <c r="D648" s="1">
        <v>0.9810526315789474</v>
      </c>
      <c r="E648" s="1">
        <v>1.8947368421052633E-2</v>
      </c>
      <c r="F648" s="1">
        <v>0</v>
      </c>
      <c r="G648" s="1">
        <v>0</v>
      </c>
      <c r="H648" s="1">
        <v>1</v>
      </c>
      <c r="I648" s="1">
        <v>0</v>
      </c>
      <c r="J648" s="1">
        <v>0</v>
      </c>
      <c r="K648" s="1">
        <v>0</v>
      </c>
      <c r="L648" s="1">
        <v>768</v>
      </c>
      <c r="M648" s="1">
        <v>0</v>
      </c>
    </row>
    <row r="649" spans="2:13" x14ac:dyDescent="0.25">
      <c r="B649" s="1">
        <v>0</v>
      </c>
      <c r="C649" s="1">
        <v>0</v>
      </c>
      <c r="D649" s="1">
        <v>0.99749999999999994</v>
      </c>
      <c r="E649" s="1">
        <v>2.5000000000000001E-3</v>
      </c>
      <c r="F649" s="1">
        <v>55</v>
      </c>
      <c r="G649" s="1">
        <v>1</v>
      </c>
      <c r="H649" s="1">
        <v>11</v>
      </c>
      <c r="I649" s="1">
        <v>2</v>
      </c>
      <c r="J649" s="1">
        <v>0</v>
      </c>
      <c r="K649" s="1">
        <v>0</v>
      </c>
      <c r="L649" s="1">
        <v>22923</v>
      </c>
      <c r="M649" s="1">
        <v>0</v>
      </c>
    </row>
    <row r="650" spans="2:13" x14ac:dyDescent="0.25">
      <c r="B650" s="1">
        <v>0</v>
      </c>
      <c r="C650" s="1">
        <v>0</v>
      </c>
      <c r="D650" s="1">
        <v>1</v>
      </c>
      <c r="E650" s="1">
        <v>0</v>
      </c>
      <c r="F650" s="1">
        <v>48</v>
      </c>
      <c r="G650" s="1">
        <v>0</v>
      </c>
      <c r="H650" s="1">
        <v>2</v>
      </c>
      <c r="I650" s="1">
        <v>8</v>
      </c>
      <c r="J650" s="1">
        <v>0</v>
      </c>
      <c r="K650" s="1">
        <v>0</v>
      </c>
      <c r="L650" s="1">
        <v>11588</v>
      </c>
      <c r="M650" s="1">
        <v>0</v>
      </c>
    </row>
    <row r="651" spans="2:13" x14ac:dyDescent="0.25">
      <c r="B651" s="1">
        <v>0</v>
      </c>
      <c r="C651" s="1">
        <v>0</v>
      </c>
      <c r="D651" s="1">
        <v>0.9810526315789474</v>
      </c>
      <c r="E651" s="1">
        <v>1.8947368421052633E-2</v>
      </c>
      <c r="F651" s="1">
        <v>25</v>
      </c>
      <c r="G651" s="1">
        <v>1</v>
      </c>
      <c r="H651" s="1">
        <v>3</v>
      </c>
      <c r="I651" s="1">
        <v>0</v>
      </c>
      <c r="J651" s="1">
        <v>1</v>
      </c>
      <c r="K651" s="1">
        <v>0</v>
      </c>
      <c r="L651" s="1">
        <v>14242</v>
      </c>
      <c r="M651" s="1">
        <v>1</v>
      </c>
    </row>
    <row r="652" spans="2:13" x14ac:dyDescent="0.25">
      <c r="B652" s="1">
        <v>0</v>
      </c>
      <c r="C652" s="1">
        <v>0</v>
      </c>
      <c r="D652" s="1">
        <v>0.9810526315789474</v>
      </c>
      <c r="E652" s="1">
        <v>1.8947368421052633E-2</v>
      </c>
      <c r="F652" s="1">
        <v>22</v>
      </c>
      <c r="G652" s="1">
        <v>1</v>
      </c>
      <c r="H652" s="1">
        <v>2</v>
      </c>
      <c r="I652" s="1">
        <v>1</v>
      </c>
      <c r="J652" s="1">
        <v>2</v>
      </c>
      <c r="K652" s="1">
        <v>0</v>
      </c>
      <c r="L652" s="1">
        <v>7328</v>
      </c>
      <c r="M652" s="1">
        <v>0</v>
      </c>
    </row>
    <row r="653" spans="2:13" x14ac:dyDescent="0.25">
      <c r="B653" s="1">
        <v>1</v>
      </c>
      <c r="C653" s="1">
        <v>1</v>
      </c>
      <c r="D653" s="1">
        <v>0</v>
      </c>
      <c r="E653" s="1">
        <v>1</v>
      </c>
      <c r="F653" s="1">
        <v>78</v>
      </c>
      <c r="G653" s="1">
        <v>0</v>
      </c>
      <c r="H653" s="1">
        <v>3</v>
      </c>
      <c r="I653" s="1">
        <v>6</v>
      </c>
      <c r="J653" s="1">
        <v>1</v>
      </c>
      <c r="K653" s="1">
        <v>1</v>
      </c>
      <c r="L653" s="1">
        <v>10873</v>
      </c>
      <c r="M653" s="1">
        <v>0</v>
      </c>
    </row>
    <row r="654" spans="2:13" x14ac:dyDescent="0.25">
      <c r="B654" s="1">
        <v>0</v>
      </c>
      <c r="C654" s="1">
        <v>0</v>
      </c>
      <c r="D654" s="1">
        <v>1</v>
      </c>
      <c r="E654" s="1">
        <v>0</v>
      </c>
      <c r="F654" s="1">
        <v>47</v>
      </c>
      <c r="G654" s="1">
        <v>1</v>
      </c>
      <c r="H654" s="1">
        <v>7</v>
      </c>
      <c r="I654" s="1">
        <v>3</v>
      </c>
      <c r="J654" s="1">
        <v>0</v>
      </c>
      <c r="K654" s="1">
        <v>0</v>
      </c>
      <c r="L654" s="1">
        <v>10839</v>
      </c>
      <c r="M654" s="1">
        <v>0</v>
      </c>
    </row>
    <row r="655" spans="2:13" x14ac:dyDescent="0.25">
      <c r="B655" s="1">
        <v>0</v>
      </c>
      <c r="C655" s="1">
        <v>0</v>
      </c>
      <c r="D655" s="1">
        <v>0.99749999999999994</v>
      </c>
      <c r="E655" s="1">
        <v>2.5000000000000001E-3</v>
      </c>
      <c r="F655" s="1">
        <v>65</v>
      </c>
      <c r="G655" s="1">
        <v>1</v>
      </c>
      <c r="H655" s="1">
        <v>3</v>
      </c>
      <c r="I655" s="1">
        <v>6</v>
      </c>
      <c r="J655" s="1">
        <v>0</v>
      </c>
      <c r="K655" s="1">
        <v>0</v>
      </c>
      <c r="L655" s="1">
        <v>14392</v>
      </c>
      <c r="M655" s="1">
        <v>0</v>
      </c>
    </row>
    <row r="656" spans="2:13" x14ac:dyDescent="0.25">
      <c r="B656" s="1">
        <v>1</v>
      </c>
      <c r="C656" s="1">
        <v>1</v>
      </c>
      <c r="D656" s="1">
        <v>0</v>
      </c>
      <c r="E656" s="1">
        <v>1</v>
      </c>
      <c r="F656" s="1">
        <v>81</v>
      </c>
      <c r="G656" s="1">
        <v>1</v>
      </c>
      <c r="H656" s="1">
        <v>11</v>
      </c>
      <c r="I656" s="1">
        <v>6</v>
      </c>
      <c r="J656" s="1">
        <v>0</v>
      </c>
      <c r="K656" s="1">
        <v>1</v>
      </c>
      <c r="L656" s="1">
        <v>33143</v>
      </c>
      <c r="M656" s="1">
        <v>0</v>
      </c>
    </row>
    <row r="657" spans="2:13" x14ac:dyDescent="0.25">
      <c r="B657" s="1">
        <v>1</v>
      </c>
      <c r="C657" s="1">
        <v>1</v>
      </c>
      <c r="D657" s="1">
        <v>0</v>
      </c>
      <c r="E657" s="1">
        <v>1</v>
      </c>
      <c r="F657" s="1">
        <v>86</v>
      </c>
      <c r="G657" s="1">
        <v>0</v>
      </c>
      <c r="H657" s="1">
        <v>4</v>
      </c>
      <c r="I657" s="1">
        <v>5</v>
      </c>
      <c r="J657" s="1">
        <v>0</v>
      </c>
      <c r="K657" s="1">
        <v>0</v>
      </c>
      <c r="L657" s="1">
        <v>13367</v>
      </c>
      <c r="M657" s="1">
        <v>0</v>
      </c>
    </row>
    <row r="658" spans="2:13" x14ac:dyDescent="0.25">
      <c r="B658" s="17">
        <v>0</v>
      </c>
      <c r="C658" s="17">
        <v>1</v>
      </c>
      <c r="D658" s="17">
        <v>0.625</v>
      </c>
      <c r="E658" s="17">
        <v>0.37500000000000006</v>
      </c>
      <c r="F658" s="17">
        <v>82</v>
      </c>
      <c r="G658" s="17">
        <v>1</v>
      </c>
      <c r="H658" s="17">
        <v>4</v>
      </c>
      <c r="I658" s="17">
        <v>1</v>
      </c>
      <c r="J658" s="17">
        <v>0</v>
      </c>
      <c r="K658" s="17">
        <v>0</v>
      </c>
      <c r="L658" s="17">
        <v>16523</v>
      </c>
      <c r="M658" s="17">
        <v>0</v>
      </c>
    </row>
    <row r="659" spans="2:13" x14ac:dyDescent="0.25">
      <c r="B659" s="1">
        <v>1</v>
      </c>
      <c r="C659" s="1">
        <v>1</v>
      </c>
      <c r="D659" s="1">
        <v>0</v>
      </c>
      <c r="E659" s="1">
        <v>1</v>
      </c>
      <c r="F659" s="1">
        <v>87</v>
      </c>
      <c r="G659" s="1">
        <v>0</v>
      </c>
      <c r="H659" s="1">
        <v>7</v>
      </c>
      <c r="I659" s="1">
        <v>3</v>
      </c>
      <c r="J659" s="1">
        <v>1</v>
      </c>
      <c r="K659" s="1">
        <v>1</v>
      </c>
      <c r="L659" s="1">
        <v>38409</v>
      </c>
      <c r="M659" s="1">
        <v>1</v>
      </c>
    </row>
    <row r="660" spans="2:13" x14ac:dyDescent="0.25">
      <c r="B660" s="1">
        <v>0</v>
      </c>
      <c r="C660" s="1">
        <v>0</v>
      </c>
      <c r="D660" s="1">
        <v>0.99749999999999994</v>
      </c>
      <c r="E660" s="1">
        <v>2.5000000000000001E-3</v>
      </c>
      <c r="F660" s="1">
        <v>71</v>
      </c>
      <c r="G660" s="1">
        <v>0</v>
      </c>
      <c r="H660" s="1">
        <v>0</v>
      </c>
      <c r="I660" s="1">
        <v>5</v>
      </c>
      <c r="J660" s="1">
        <v>0</v>
      </c>
      <c r="K660" s="1">
        <v>0</v>
      </c>
      <c r="L660" s="1">
        <v>2611</v>
      </c>
      <c r="M660" s="1">
        <v>0</v>
      </c>
    </row>
    <row r="661" spans="2:13" x14ac:dyDescent="0.25">
      <c r="B661" s="1">
        <v>0</v>
      </c>
      <c r="C661" s="1">
        <v>0</v>
      </c>
      <c r="D661" s="1">
        <v>1</v>
      </c>
      <c r="E661" s="1">
        <v>0</v>
      </c>
      <c r="F661" s="1">
        <v>44</v>
      </c>
      <c r="G661" s="1">
        <v>1</v>
      </c>
      <c r="H661" s="1">
        <v>2</v>
      </c>
      <c r="I661" s="1">
        <v>6</v>
      </c>
      <c r="J661" s="1">
        <v>2</v>
      </c>
      <c r="K661" s="1">
        <v>0</v>
      </c>
      <c r="L661" s="1">
        <v>14870</v>
      </c>
      <c r="M661" s="1">
        <v>0</v>
      </c>
    </row>
    <row r="662" spans="2:13" x14ac:dyDescent="0.25">
      <c r="B662" s="17">
        <v>0</v>
      </c>
      <c r="C662" s="17">
        <v>1</v>
      </c>
      <c r="D662" s="17">
        <v>0.8571428571428571</v>
      </c>
      <c r="E662" s="17">
        <v>0.14285714285714285</v>
      </c>
      <c r="F662" s="17">
        <v>51</v>
      </c>
      <c r="G662" s="17">
        <v>0</v>
      </c>
      <c r="H662" s="17">
        <v>7</v>
      </c>
      <c r="I662" s="17">
        <v>4</v>
      </c>
      <c r="J662" s="17">
        <v>2</v>
      </c>
      <c r="K662" s="17">
        <v>0</v>
      </c>
      <c r="L662" s="17">
        <v>29935</v>
      </c>
      <c r="M662" s="17">
        <v>1</v>
      </c>
    </row>
    <row r="663" spans="2:13" x14ac:dyDescent="0.25">
      <c r="B663" s="1">
        <v>1</v>
      </c>
      <c r="C663" s="1">
        <v>1</v>
      </c>
      <c r="D663" s="1">
        <v>0</v>
      </c>
      <c r="E663" s="1">
        <v>1</v>
      </c>
      <c r="F663" s="1">
        <v>87</v>
      </c>
      <c r="G663" s="1">
        <v>1</v>
      </c>
      <c r="H663" s="1">
        <v>18</v>
      </c>
      <c r="I663" s="1">
        <v>4</v>
      </c>
      <c r="J663" s="1">
        <v>3</v>
      </c>
      <c r="K663" s="1">
        <v>1</v>
      </c>
      <c r="L663" s="1">
        <v>42159</v>
      </c>
      <c r="M663" s="1">
        <v>0</v>
      </c>
    </row>
    <row r="664" spans="2:13" x14ac:dyDescent="0.25">
      <c r="B664" s="1">
        <v>0</v>
      </c>
      <c r="C664" s="1">
        <v>0</v>
      </c>
      <c r="D664" s="1">
        <v>1</v>
      </c>
      <c r="E664" s="1">
        <v>0</v>
      </c>
      <c r="F664" s="1">
        <v>49</v>
      </c>
      <c r="G664" s="1">
        <v>0</v>
      </c>
      <c r="H664" s="1">
        <v>5</v>
      </c>
      <c r="I664" s="1">
        <v>4</v>
      </c>
      <c r="J664" s="1">
        <v>2</v>
      </c>
      <c r="K664" s="1">
        <v>0</v>
      </c>
      <c r="L664" s="1">
        <v>20874</v>
      </c>
      <c r="M664" s="1">
        <v>1</v>
      </c>
    </row>
    <row r="665" spans="2:13" x14ac:dyDescent="0.25">
      <c r="B665" s="1">
        <v>0</v>
      </c>
      <c r="C665" s="1">
        <v>0</v>
      </c>
      <c r="D665" s="1">
        <v>0.96666666666666667</v>
      </c>
      <c r="E665" s="1">
        <v>3.333333333333334E-2</v>
      </c>
      <c r="F665" s="1">
        <v>35</v>
      </c>
      <c r="G665" s="1">
        <v>1</v>
      </c>
      <c r="H665" s="1">
        <v>2</v>
      </c>
      <c r="I665" s="1">
        <v>0</v>
      </c>
      <c r="J665" s="1">
        <v>2</v>
      </c>
      <c r="K665" s="1">
        <v>0</v>
      </c>
      <c r="L665" s="1">
        <v>7080</v>
      </c>
      <c r="M665" s="1">
        <v>0</v>
      </c>
    </row>
    <row r="666" spans="2:13" x14ac:dyDescent="0.25">
      <c r="B666" s="1">
        <v>0</v>
      </c>
      <c r="C666" s="1">
        <v>0</v>
      </c>
      <c r="D666" s="1">
        <v>1</v>
      </c>
      <c r="E666" s="1">
        <v>0</v>
      </c>
      <c r="F666" s="1">
        <v>93</v>
      </c>
      <c r="G666" s="1">
        <v>1</v>
      </c>
      <c r="H666" s="1">
        <v>7</v>
      </c>
      <c r="I666" s="1">
        <v>4</v>
      </c>
      <c r="J666" s="1">
        <v>0</v>
      </c>
      <c r="K666" s="1">
        <v>0</v>
      </c>
      <c r="L666" s="1">
        <v>18595</v>
      </c>
      <c r="M666" s="1">
        <v>0</v>
      </c>
    </row>
    <row r="667" spans="2:13" x14ac:dyDescent="0.25">
      <c r="B667" s="17">
        <v>0</v>
      </c>
      <c r="C667" s="17">
        <v>1</v>
      </c>
      <c r="D667" s="17">
        <v>0.68</v>
      </c>
      <c r="E667" s="17">
        <v>0.32</v>
      </c>
      <c r="F667" s="17">
        <v>85</v>
      </c>
      <c r="G667" s="17">
        <v>1</v>
      </c>
      <c r="H667" s="17">
        <v>2</v>
      </c>
      <c r="I667" s="17">
        <v>3</v>
      </c>
      <c r="J667" s="17">
        <v>0</v>
      </c>
      <c r="K667" s="17">
        <v>0</v>
      </c>
      <c r="L667" s="17">
        <v>6559</v>
      </c>
      <c r="M667" s="17">
        <v>0</v>
      </c>
    </row>
    <row r="668" spans="2:13" x14ac:dyDescent="0.25">
      <c r="B668" s="1">
        <v>1</v>
      </c>
      <c r="C668" s="1">
        <v>1</v>
      </c>
      <c r="D668" s="1">
        <v>0.19999999999999998</v>
      </c>
      <c r="E668" s="1">
        <v>0.79999999999999993</v>
      </c>
      <c r="F668" s="1">
        <v>37</v>
      </c>
      <c r="G668" s="1">
        <v>1</v>
      </c>
      <c r="H668" s="1">
        <v>3</v>
      </c>
      <c r="I668" s="1">
        <v>1</v>
      </c>
      <c r="J668" s="1">
        <v>1</v>
      </c>
      <c r="K668" s="1">
        <v>0</v>
      </c>
      <c r="L668" s="1">
        <v>11906</v>
      </c>
      <c r="M668" s="1">
        <v>1</v>
      </c>
    </row>
    <row r="669" spans="2:13" x14ac:dyDescent="0.25">
      <c r="B669" s="1">
        <v>0</v>
      </c>
      <c r="C669" s="1">
        <v>0</v>
      </c>
      <c r="D669" s="1">
        <v>0.96666666666666667</v>
      </c>
      <c r="E669" s="1">
        <v>3.333333333333334E-2</v>
      </c>
      <c r="F669" s="1">
        <v>32</v>
      </c>
      <c r="G669" s="1">
        <v>0</v>
      </c>
      <c r="H669" s="1">
        <v>4</v>
      </c>
      <c r="I669" s="1">
        <v>1</v>
      </c>
      <c r="J669" s="1">
        <v>0</v>
      </c>
      <c r="K669" s="1">
        <v>0</v>
      </c>
      <c r="L669" s="1">
        <v>5405</v>
      </c>
      <c r="M669" s="1">
        <v>0</v>
      </c>
    </row>
    <row r="670" spans="2:13" x14ac:dyDescent="0.25">
      <c r="B670" s="1">
        <v>0</v>
      </c>
      <c r="C670" s="1">
        <v>0</v>
      </c>
      <c r="D670" s="1">
        <v>0.68</v>
      </c>
      <c r="E670" s="1">
        <v>0.32</v>
      </c>
      <c r="F670" s="1">
        <v>84</v>
      </c>
      <c r="G670" s="1">
        <v>1</v>
      </c>
      <c r="H670" s="1">
        <v>4</v>
      </c>
      <c r="I670" s="1">
        <v>7</v>
      </c>
      <c r="J670" s="1">
        <v>0</v>
      </c>
      <c r="K670" s="1">
        <v>0</v>
      </c>
      <c r="L670" s="1">
        <v>6903</v>
      </c>
      <c r="M670" s="1">
        <v>0</v>
      </c>
    </row>
    <row r="671" spans="2:13" x14ac:dyDescent="0.25">
      <c r="B671" s="1">
        <v>1</v>
      </c>
      <c r="C671" s="1">
        <v>1</v>
      </c>
      <c r="D671" s="1">
        <v>0</v>
      </c>
      <c r="E671" s="1">
        <v>1</v>
      </c>
      <c r="F671" s="1">
        <v>80</v>
      </c>
      <c r="G671" s="1">
        <v>1</v>
      </c>
      <c r="H671" s="1">
        <v>10</v>
      </c>
      <c r="I671" s="1">
        <v>4</v>
      </c>
      <c r="J671" s="1">
        <v>1</v>
      </c>
      <c r="K671" s="1">
        <v>1</v>
      </c>
      <c r="L671" s="1">
        <v>26040</v>
      </c>
      <c r="M671" s="1">
        <v>0</v>
      </c>
    </row>
    <row r="672" spans="2:13" x14ac:dyDescent="0.25">
      <c r="B672" s="1">
        <v>0</v>
      </c>
      <c r="C672" s="1">
        <v>0</v>
      </c>
      <c r="D672" s="1">
        <v>0.99749999999999994</v>
      </c>
      <c r="E672" s="1">
        <v>2.5000000000000001E-3</v>
      </c>
      <c r="F672" s="1">
        <v>57</v>
      </c>
      <c r="G672" s="1">
        <v>0</v>
      </c>
      <c r="H672" s="1">
        <v>2</v>
      </c>
      <c r="I672" s="1">
        <v>5</v>
      </c>
      <c r="J672" s="1">
        <v>0</v>
      </c>
      <c r="K672" s="1">
        <v>0</v>
      </c>
      <c r="L672" s="1">
        <v>9868</v>
      </c>
      <c r="M672" s="1">
        <v>0</v>
      </c>
    </row>
    <row r="673" spans="2:13" x14ac:dyDescent="0.25">
      <c r="B673" s="1">
        <v>1</v>
      </c>
      <c r="C673" s="1">
        <v>1</v>
      </c>
      <c r="D673" s="1">
        <v>0</v>
      </c>
      <c r="E673" s="1">
        <v>1</v>
      </c>
      <c r="F673" s="1">
        <v>83</v>
      </c>
      <c r="G673" s="1">
        <v>0</v>
      </c>
      <c r="H673" s="1">
        <v>13</v>
      </c>
      <c r="I673" s="1">
        <v>3</v>
      </c>
      <c r="J673" s="1">
        <v>6</v>
      </c>
      <c r="K673" s="1">
        <v>1</v>
      </c>
      <c r="L673" s="1">
        <v>67898</v>
      </c>
      <c r="M673" s="1">
        <v>0</v>
      </c>
    </row>
    <row r="674" spans="2:13" x14ac:dyDescent="0.25">
      <c r="B674" s="1">
        <v>1</v>
      </c>
      <c r="C674" s="1">
        <v>1</v>
      </c>
      <c r="D674" s="1">
        <v>0</v>
      </c>
      <c r="E674" s="1">
        <v>1</v>
      </c>
      <c r="F674" s="1">
        <v>80</v>
      </c>
      <c r="G674" s="1">
        <v>1</v>
      </c>
      <c r="H674" s="1">
        <v>2</v>
      </c>
      <c r="I674" s="1">
        <v>6</v>
      </c>
      <c r="J674" s="1">
        <v>3</v>
      </c>
      <c r="K674" s="1">
        <v>1</v>
      </c>
      <c r="L674" s="1">
        <v>17770</v>
      </c>
      <c r="M674" s="1">
        <v>0</v>
      </c>
    </row>
    <row r="675" spans="2:13" x14ac:dyDescent="0.25">
      <c r="B675" s="1">
        <v>0</v>
      </c>
      <c r="C675" s="1">
        <v>0</v>
      </c>
      <c r="D675" s="1">
        <v>1</v>
      </c>
      <c r="E675" s="1">
        <v>0</v>
      </c>
      <c r="F675" s="1">
        <v>45</v>
      </c>
      <c r="G675" s="1">
        <v>1</v>
      </c>
      <c r="H675" s="1">
        <v>3</v>
      </c>
      <c r="I675" s="1">
        <v>1</v>
      </c>
      <c r="J675" s="1">
        <v>0</v>
      </c>
      <c r="K675" s="1">
        <v>0</v>
      </c>
      <c r="L675" s="1">
        <v>15238</v>
      </c>
      <c r="M675" s="1">
        <v>0</v>
      </c>
    </row>
    <row r="676" spans="2:13" x14ac:dyDescent="0.25">
      <c r="B676" s="1">
        <v>0</v>
      </c>
      <c r="C676" s="1">
        <v>0</v>
      </c>
      <c r="D676" s="1">
        <v>1</v>
      </c>
      <c r="E676" s="1">
        <v>0</v>
      </c>
      <c r="F676" s="1">
        <v>38</v>
      </c>
      <c r="G676" s="1">
        <v>0</v>
      </c>
      <c r="H676" s="1">
        <v>5</v>
      </c>
      <c r="I676" s="1">
        <v>4</v>
      </c>
      <c r="J676" s="1">
        <v>0</v>
      </c>
      <c r="K676" s="1">
        <v>0</v>
      </c>
      <c r="L676" s="1">
        <v>9137</v>
      </c>
      <c r="M676" s="1">
        <v>0</v>
      </c>
    </row>
    <row r="677" spans="2:13" x14ac:dyDescent="0.25">
      <c r="B677" s="1">
        <v>0</v>
      </c>
      <c r="C677" s="1">
        <v>0</v>
      </c>
      <c r="D677" s="1">
        <v>0.9810526315789474</v>
      </c>
      <c r="E677" s="1">
        <v>1.8947368421052633E-2</v>
      </c>
      <c r="F677" s="1">
        <v>0</v>
      </c>
      <c r="G677" s="1">
        <v>0</v>
      </c>
      <c r="H677" s="1">
        <v>4</v>
      </c>
      <c r="I677" s="1">
        <v>0</v>
      </c>
      <c r="J677" s="1">
        <v>0</v>
      </c>
      <c r="K677" s="1">
        <v>0</v>
      </c>
      <c r="L677" s="1">
        <v>5825</v>
      </c>
      <c r="M677" s="1">
        <v>0</v>
      </c>
    </row>
    <row r="678" spans="2:13" x14ac:dyDescent="0.25">
      <c r="B678" s="1">
        <v>0</v>
      </c>
      <c r="C678" s="1">
        <v>0</v>
      </c>
      <c r="D678" s="1">
        <v>0.96666666666666667</v>
      </c>
      <c r="E678" s="1">
        <v>3.333333333333334E-2</v>
      </c>
      <c r="F678" s="1">
        <v>34</v>
      </c>
      <c r="G678" s="1">
        <v>1</v>
      </c>
      <c r="H678" s="1">
        <v>2</v>
      </c>
      <c r="I678" s="1">
        <v>2</v>
      </c>
      <c r="J678" s="1">
        <v>0</v>
      </c>
      <c r="K678" s="1">
        <v>0</v>
      </c>
      <c r="L678" s="1">
        <v>10480</v>
      </c>
      <c r="M678" s="1">
        <v>0</v>
      </c>
    </row>
    <row r="679" spans="2:13" x14ac:dyDescent="0.25">
      <c r="B679" s="1">
        <v>0</v>
      </c>
      <c r="C679" s="1">
        <v>0</v>
      </c>
      <c r="D679" s="1">
        <v>0.625</v>
      </c>
      <c r="E679" s="1">
        <v>0.37500000000000006</v>
      </c>
      <c r="F679" s="1">
        <v>84</v>
      </c>
      <c r="G679" s="1">
        <v>1</v>
      </c>
      <c r="H679" s="1">
        <v>12</v>
      </c>
      <c r="I679" s="1">
        <v>3</v>
      </c>
      <c r="J679" s="1">
        <v>0</v>
      </c>
      <c r="K679" s="1">
        <v>0</v>
      </c>
      <c r="L679" s="1">
        <v>19534</v>
      </c>
      <c r="M679" s="1">
        <v>0</v>
      </c>
    </row>
    <row r="680" spans="2:13" x14ac:dyDescent="0.25">
      <c r="B680" s="1">
        <v>0</v>
      </c>
      <c r="C680" s="1">
        <v>0</v>
      </c>
      <c r="D680" s="1">
        <v>0.9810526315789474</v>
      </c>
      <c r="E680" s="1">
        <v>1.8947368421052633E-2</v>
      </c>
      <c r="F680" s="1">
        <v>16</v>
      </c>
      <c r="G680" s="1">
        <v>1</v>
      </c>
      <c r="H680" s="1">
        <v>3</v>
      </c>
      <c r="I680" s="1">
        <v>0</v>
      </c>
      <c r="J680" s="1">
        <v>3</v>
      </c>
      <c r="K680" s="1">
        <v>0</v>
      </c>
      <c r="L680" s="1">
        <v>12588</v>
      </c>
      <c r="M680" s="1">
        <v>0</v>
      </c>
    </row>
    <row r="681" spans="2:13" x14ac:dyDescent="0.25">
      <c r="B681" s="1">
        <v>0</v>
      </c>
      <c r="C681" s="1">
        <v>0</v>
      </c>
      <c r="D681" s="1">
        <v>0.9810526315789474</v>
      </c>
      <c r="E681" s="1">
        <v>1.8947368421052633E-2</v>
      </c>
      <c r="F681" s="1">
        <v>0</v>
      </c>
      <c r="G681" s="1">
        <v>0</v>
      </c>
      <c r="H681" s="1">
        <v>5</v>
      </c>
      <c r="I681" s="1">
        <v>1</v>
      </c>
      <c r="J681" s="1">
        <v>0</v>
      </c>
      <c r="K681" s="1">
        <v>0</v>
      </c>
      <c r="L681" s="1">
        <v>10423</v>
      </c>
      <c r="M681" s="1">
        <v>0</v>
      </c>
    </row>
    <row r="682" spans="2:13" x14ac:dyDescent="0.25">
      <c r="B682" s="17">
        <v>1</v>
      </c>
      <c r="C682" s="17">
        <v>0</v>
      </c>
      <c r="D682" s="17">
        <v>0.27272727272727276</v>
      </c>
      <c r="E682" s="17">
        <v>0.72727272727272729</v>
      </c>
      <c r="F682" s="17">
        <v>86</v>
      </c>
      <c r="G682" s="17">
        <v>1</v>
      </c>
      <c r="H682" s="17">
        <v>4</v>
      </c>
      <c r="I682" s="17">
        <v>5</v>
      </c>
      <c r="J682" s="17">
        <v>0</v>
      </c>
      <c r="K682" s="17">
        <v>0</v>
      </c>
      <c r="L682" s="17">
        <v>3748</v>
      </c>
      <c r="M682" s="17">
        <v>0</v>
      </c>
    </row>
    <row r="683" spans="2:13" x14ac:dyDescent="0.25">
      <c r="B683" s="1">
        <v>0</v>
      </c>
      <c r="C683" s="1">
        <v>0</v>
      </c>
      <c r="D683" s="1">
        <v>0.9810526315789474</v>
      </c>
      <c r="E683" s="1">
        <v>1.8947368421052633E-2</v>
      </c>
      <c r="F683" s="1">
        <v>26</v>
      </c>
      <c r="G683" s="1">
        <v>0</v>
      </c>
      <c r="H683" s="1">
        <v>10</v>
      </c>
      <c r="I683" s="1">
        <v>4</v>
      </c>
      <c r="J683" s="1">
        <v>0</v>
      </c>
      <c r="K683" s="1">
        <v>0</v>
      </c>
      <c r="L683" s="1">
        <v>16720</v>
      </c>
      <c r="M683" s="1">
        <v>0</v>
      </c>
    </row>
    <row r="684" spans="2:13" x14ac:dyDescent="0.25">
      <c r="B684" s="1">
        <v>1</v>
      </c>
      <c r="C684" s="1">
        <v>1</v>
      </c>
      <c r="D684" s="1">
        <v>0</v>
      </c>
      <c r="E684" s="1">
        <v>1</v>
      </c>
      <c r="F684" s="1">
        <v>78</v>
      </c>
      <c r="G684" s="1">
        <v>1</v>
      </c>
      <c r="H684" s="1">
        <v>3</v>
      </c>
      <c r="I684" s="1">
        <v>4</v>
      </c>
      <c r="J684" s="1">
        <v>0</v>
      </c>
      <c r="K684" s="1">
        <v>1</v>
      </c>
      <c r="L684" s="1">
        <v>10472</v>
      </c>
      <c r="M684" s="1">
        <v>0</v>
      </c>
    </row>
    <row r="685" spans="2:13" x14ac:dyDescent="0.25">
      <c r="B685" s="1">
        <v>0</v>
      </c>
      <c r="C685" s="1">
        <v>0</v>
      </c>
      <c r="D685" s="1">
        <v>0.9810526315789474</v>
      </c>
      <c r="E685" s="1">
        <v>1.8947368421052633E-2</v>
      </c>
      <c r="F685" s="1">
        <v>0</v>
      </c>
      <c r="G685" s="1">
        <v>0</v>
      </c>
      <c r="H685" s="1">
        <v>2</v>
      </c>
      <c r="I685" s="1">
        <v>0</v>
      </c>
      <c r="J685" s="1">
        <v>1</v>
      </c>
      <c r="K685" s="1">
        <v>0</v>
      </c>
      <c r="L685" s="1">
        <v>3700</v>
      </c>
      <c r="M685" s="1">
        <v>0</v>
      </c>
    </row>
    <row r="686" spans="2:13" x14ac:dyDescent="0.25">
      <c r="B686" s="1">
        <v>1</v>
      </c>
      <c r="C686" s="1">
        <v>1</v>
      </c>
      <c r="D686" s="1">
        <v>0.27272727272727276</v>
      </c>
      <c r="E686" s="1">
        <v>0.72727272727272729</v>
      </c>
      <c r="F686" s="1">
        <v>0</v>
      </c>
      <c r="G686" s="1">
        <v>1</v>
      </c>
      <c r="H686" s="1">
        <v>51</v>
      </c>
      <c r="I686" s="1">
        <v>0</v>
      </c>
      <c r="J686" s="1">
        <v>6</v>
      </c>
      <c r="K686" s="1">
        <v>0</v>
      </c>
      <c r="L686" s="1">
        <v>106603</v>
      </c>
      <c r="M686" s="1">
        <v>0</v>
      </c>
    </row>
    <row r="687" spans="2:13" x14ac:dyDescent="0.25">
      <c r="B687" s="1">
        <v>0</v>
      </c>
      <c r="C687" s="1">
        <v>0</v>
      </c>
      <c r="D687" s="1">
        <v>1</v>
      </c>
      <c r="E687" s="1">
        <v>0</v>
      </c>
      <c r="F687" s="1">
        <v>39</v>
      </c>
      <c r="G687" s="1">
        <v>1</v>
      </c>
      <c r="H687" s="1">
        <v>4</v>
      </c>
      <c r="I687" s="1">
        <v>5</v>
      </c>
      <c r="J687" s="1">
        <v>0</v>
      </c>
      <c r="K687" s="1">
        <v>0</v>
      </c>
      <c r="L687" s="1">
        <v>6343</v>
      </c>
      <c r="M687" s="1">
        <v>0</v>
      </c>
    </row>
    <row r="688" spans="2:13" x14ac:dyDescent="0.25">
      <c r="B688" s="1">
        <v>1</v>
      </c>
      <c r="C688" s="1">
        <v>1</v>
      </c>
      <c r="D688" s="1">
        <v>0</v>
      </c>
      <c r="E688" s="1">
        <v>1</v>
      </c>
      <c r="F688" s="1">
        <v>85</v>
      </c>
      <c r="G688" s="1">
        <v>1</v>
      </c>
      <c r="H688" s="1">
        <v>9</v>
      </c>
      <c r="I688" s="1">
        <v>5</v>
      </c>
      <c r="J688" s="1">
        <v>2</v>
      </c>
      <c r="K688" s="1">
        <v>1</v>
      </c>
      <c r="L688" s="1">
        <v>17201</v>
      </c>
      <c r="M688" s="1">
        <v>0</v>
      </c>
    </row>
    <row r="689" spans="2:13" x14ac:dyDescent="0.25">
      <c r="B689" s="1">
        <v>0</v>
      </c>
      <c r="C689" s="1">
        <v>0</v>
      </c>
      <c r="D689" s="1">
        <v>0.8571428571428571</v>
      </c>
      <c r="E689" s="1">
        <v>0.14285714285714288</v>
      </c>
      <c r="F689" s="1">
        <v>77</v>
      </c>
      <c r="G689" s="1">
        <v>0</v>
      </c>
      <c r="H689" s="1">
        <v>2</v>
      </c>
      <c r="I689" s="1">
        <v>5</v>
      </c>
      <c r="J689" s="1">
        <v>0</v>
      </c>
      <c r="K689" s="1">
        <v>0</v>
      </c>
      <c r="L689" s="1">
        <v>8548</v>
      </c>
      <c r="M689" s="1">
        <v>0</v>
      </c>
    </row>
    <row r="690" spans="2:13" x14ac:dyDescent="0.25">
      <c r="B690" s="1">
        <v>1</v>
      </c>
      <c r="C690" s="1">
        <v>1</v>
      </c>
      <c r="D690" s="1">
        <v>0</v>
      </c>
      <c r="E690" s="1">
        <v>1</v>
      </c>
      <c r="F690" s="1">
        <v>50</v>
      </c>
      <c r="G690" s="1">
        <v>1</v>
      </c>
      <c r="H690" s="1">
        <v>5</v>
      </c>
      <c r="I690" s="1">
        <v>2</v>
      </c>
      <c r="J690" s="1">
        <v>0</v>
      </c>
      <c r="K690" s="1">
        <v>1</v>
      </c>
      <c r="L690" s="1">
        <v>10719</v>
      </c>
      <c r="M690" s="1">
        <v>0</v>
      </c>
    </row>
    <row r="691" spans="2:13" x14ac:dyDescent="0.25">
      <c r="B691" s="1">
        <v>1</v>
      </c>
      <c r="C691" s="1">
        <v>1</v>
      </c>
      <c r="D691" s="1">
        <v>0</v>
      </c>
      <c r="E691" s="1">
        <v>1</v>
      </c>
      <c r="F691" s="1">
        <v>75</v>
      </c>
      <c r="G691" s="1">
        <v>0</v>
      </c>
      <c r="H691" s="1">
        <v>7</v>
      </c>
      <c r="I691" s="1">
        <v>4</v>
      </c>
      <c r="J691" s="1">
        <v>6</v>
      </c>
      <c r="K691" s="1">
        <v>1</v>
      </c>
      <c r="L691" s="1">
        <v>57950</v>
      </c>
      <c r="M691" s="1">
        <v>1</v>
      </c>
    </row>
    <row r="692" spans="2:13" x14ac:dyDescent="0.25">
      <c r="B692" s="1">
        <v>0</v>
      </c>
      <c r="C692" s="1">
        <v>0</v>
      </c>
      <c r="D692" s="1">
        <v>1</v>
      </c>
      <c r="E692" s="1">
        <v>0</v>
      </c>
      <c r="F692" s="1">
        <v>46</v>
      </c>
      <c r="G692" s="1">
        <v>0</v>
      </c>
      <c r="H692" s="1">
        <v>3</v>
      </c>
      <c r="I692" s="1">
        <v>5</v>
      </c>
      <c r="J692" s="1">
        <v>0</v>
      </c>
      <c r="K692" s="1">
        <v>0</v>
      </c>
      <c r="L692" s="1">
        <v>9914</v>
      </c>
      <c r="M692" s="1">
        <v>0</v>
      </c>
    </row>
    <row r="693" spans="2:13" x14ac:dyDescent="0.25">
      <c r="B693" s="17">
        <v>0</v>
      </c>
      <c r="C693" s="17">
        <v>1</v>
      </c>
      <c r="D693" s="17">
        <v>0.96666666666666667</v>
      </c>
      <c r="E693" s="17">
        <v>3.333333333333334E-2</v>
      </c>
      <c r="F693" s="17">
        <v>29</v>
      </c>
      <c r="G693" s="17">
        <v>0</v>
      </c>
      <c r="H693" s="17">
        <v>11</v>
      </c>
      <c r="I693" s="17">
        <v>0</v>
      </c>
      <c r="J693" s="17">
        <v>4</v>
      </c>
      <c r="K693" s="17">
        <v>0</v>
      </c>
      <c r="L693" s="17">
        <v>52895</v>
      </c>
      <c r="M693" s="17">
        <v>1</v>
      </c>
    </row>
    <row r="694" spans="2:13" x14ac:dyDescent="0.25">
      <c r="B694" s="17">
        <v>1</v>
      </c>
      <c r="C694" s="17">
        <v>0</v>
      </c>
      <c r="D694" s="17">
        <v>0.27272727272727276</v>
      </c>
      <c r="E694" s="17">
        <v>0.72727272727272729</v>
      </c>
      <c r="F694" s="17">
        <v>95</v>
      </c>
      <c r="G694" s="17">
        <v>0</v>
      </c>
      <c r="H694" s="17">
        <v>3</v>
      </c>
      <c r="I694" s="17">
        <v>3</v>
      </c>
      <c r="J694" s="17">
        <v>0</v>
      </c>
      <c r="K694" s="17">
        <v>0</v>
      </c>
      <c r="L694" s="17">
        <v>5715</v>
      </c>
      <c r="M694" s="17">
        <v>0</v>
      </c>
    </row>
    <row r="695" spans="2:13" x14ac:dyDescent="0.25">
      <c r="B695" s="1">
        <v>0</v>
      </c>
      <c r="C695" s="1">
        <v>0</v>
      </c>
      <c r="D695" s="1">
        <v>0.9810526315789474</v>
      </c>
      <c r="E695" s="1">
        <v>1.8947368421052633E-2</v>
      </c>
      <c r="F695" s="1">
        <v>25</v>
      </c>
      <c r="G695" s="1">
        <v>1</v>
      </c>
      <c r="H695" s="1">
        <v>3</v>
      </c>
      <c r="I695" s="1">
        <v>1</v>
      </c>
      <c r="J695" s="1">
        <v>1</v>
      </c>
      <c r="K695" s="1">
        <v>0</v>
      </c>
      <c r="L695" s="1">
        <v>11698</v>
      </c>
      <c r="M695" s="1">
        <v>1</v>
      </c>
    </row>
    <row r="696" spans="2:13" x14ac:dyDescent="0.25">
      <c r="B696" s="1">
        <v>0</v>
      </c>
      <c r="C696" s="1">
        <v>0</v>
      </c>
      <c r="D696" s="1">
        <v>0.99749999999999994</v>
      </c>
      <c r="E696" s="1">
        <v>2.5000000000000001E-3</v>
      </c>
      <c r="F696" s="1">
        <v>73</v>
      </c>
      <c r="G696" s="1">
        <v>0</v>
      </c>
      <c r="H696" s="1">
        <v>17</v>
      </c>
      <c r="I696" s="1">
        <v>3</v>
      </c>
      <c r="J696" s="1">
        <v>1</v>
      </c>
      <c r="K696" s="1">
        <v>0</v>
      </c>
      <c r="L696" s="1">
        <v>60430</v>
      </c>
      <c r="M696" s="1">
        <v>0</v>
      </c>
    </row>
    <row r="697" spans="2:13" x14ac:dyDescent="0.25">
      <c r="B697" s="1">
        <v>0</v>
      </c>
      <c r="C697" s="1">
        <v>0</v>
      </c>
      <c r="D697" s="1">
        <v>0.8571428571428571</v>
      </c>
      <c r="E697" s="1">
        <v>0.14285714285714285</v>
      </c>
      <c r="F697" s="1">
        <v>52</v>
      </c>
      <c r="G697" s="1">
        <v>0</v>
      </c>
      <c r="H697" s="1">
        <v>5</v>
      </c>
      <c r="I697" s="1">
        <v>4</v>
      </c>
      <c r="J697" s="1">
        <v>0</v>
      </c>
      <c r="K697" s="1">
        <v>0</v>
      </c>
      <c r="L697" s="1">
        <v>17006</v>
      </c>
      <c r="M697" s="1">
        <v>0</v>
      </c>
    </row>
    <row r="698" spans="2:13" x14ac:dyDescent="0.25">
      <c r="B698" s="1">
        <v>0</v>
      </c>
      <c r="C698" s="1">
        <v>0</v>
      </c>
      <c r="D698" s="1">
        <v>0.99749999999999994</v>
      </c>
      <c r="E698" s="1">
        <v>2.5000000000000001E-3</v>
      </c>
      <c r="F698" s="1">
        <v>55</v>
      </c>
      <c r="G698" s="1">
        <v>0</v>
      </c>
      <c r="H698" s="1">
        <v>2</v>
      </c>
      <c r="I698" s="1">
        <v>3</v>
      </c>
      <c r="J698" s="1">
        <v>0</v>
      </c>
      <c r="K698" s="1">
        <v>0</v>
      </c>
      <c r="L698" s="1">
        <v>15776</v>
      </c>
      <c r="M698" s="1">
        <v>0</v>
      </c>
    </row>
    <row r="699" spans="2:13" x14ac:dyDescent="0.25">
      <c r="B699" s="1">
        <v>0</v>
      </c>
      <c r="C699" s="1">
        <v>0</v>
      </c>
      <c r="D699" s="1">
        <v>1</v>
      </c>
      <c r="E699" s="1">
        <v>0</v>
      </c>
      <c r="F699" s="1">
        <v>43</v>
      </c>
      <c r="G699" s="1">
        <v>0</v>
      </c>
      <c r="H699" s="1">
        <v>3</v>
      </c>
      <c r="I699" s="1">
        <v>4</v>
      </c>
      <c r="J699" s="1">
        <v>3</v>
      </c>
      <c r="K699" s="1">
        <v>0</v>
      </c>
      <c r="L699" s="1">
        <v>20593</v>
      </c>
      <c r="M699" s="1">
        <v>0</v>
      </c>
    </row>
    <row r="700" spans="2:13" x14ac:dyDescent="0.25">
      <c r="B700" s="1">
        <v>0</v>
      </c>
      <c r="C700" s="1">
        <v>0</v>
      </c>
      <c r="D700" s="1">
        <v>0.99749999999999994</v>
      </c>
      <c r="E700" s="1">
        <v>2.5000000000000001E-3</v>
      </c>
      <c r="F700" s="1">
        <v>64</v>
      </c>
      <c r="G700" s="1">
        <v>0</v>
      </c>
      <c r="H700" s="1">
        <v>2</v>
      </c>
      <c r="I700" s="1">
        <v>4</v>
      </c>
      <c r="J700" s="1">
        <v>0</v>
      </c>
      <c r="K700" s="1">
        <v>0</v>
      </c>
      <c r="L700" s="1">
        <v>10279</v>
      </c>
      <c r="M700" s="1">
        <v>0</v>
      </c>
    </row>
    <row r="701" spans="2:13" x14ac:dyDescent="0.25">
      <c r="B701" s="1">
        <v>0</v>
      </c>
      <c r="C701" s="1">
        <v>0</v>
      </c>
      <c r="D701" s="1">
        <v>0.9810526315789474</v>
      </c>
      <c r="E701" s="1">
        <v>1.8947368421052633E-2</v>
      </c>
      <c r="F701" s="1">
        <v>0</v>
      </c>
      <c r="G701" s="1">
        <v>1</v>
      </c>
      <c r="H701" s="1">
        <v>2</v>
      </c>
      <c r="I701" s="1">
        <v>0</v>
      </c>
      <c r="J701" s="1">
        <v>0</v>
      </c>
      <c r="K701" s="1">
        <v>0</v>
      </c>
      <c r="L701" s="1">
        <v>1878</v>
      </c>
      <c r="M701" s="1">
        <v>0</v>
      </c>
    </row>
    <row r="702" spans="2:13" x14ac:dyDescent="0.25">
      <c r="B702" s="1">
        <v>0</v>
      </c>
      <c r="C702" s="1">
        <v>0</v>
      </c>
      <c r="D702" s="1">
        <v>0.99749999999999994</v>
      </c>
      <c r="E702" s="1">
        <v>2.5000000000000001E-3</v>
      </c>
      <c r="F702" s="1">
        <v>73</v>
      </c>
      <c r="G702" s="1">
        <v>1</v>
      </c>
      <c r="H702" s="1">
        <v>0</v>
      </c>
      <c r="I702" s="1">
        <v>3</v>
      </c>
      <c r="J702" s="1">
        <v>2</v>
      </c>
      <c r="K702" s="1">
        <v>0</v>
      </c>
      <c r="L702" s="1">
        <v>17149</v>
      </c>
      <c r="M702" s="1">
        <v>0</v>
      </c>
    </row>
    <row r="703" spans="2:13" x14ac:dyDescent="0.25">
      <c r="B703" s="1">
        <v>0</v>
      </c>
      <c r="C703" s="1">
        <v>0</v>
      </c>
      <c r="D703" s="1">
        <v>0.99749999999999994</v>
      </c>
      <c r="E703" s="1">
        <v>2.5000000000000001E-3</v>
      </c>
      <c r="F703" s="1">
        <v>58</v>
      </c>
      <c r="G703" s="1">
        <v>0</v>
      </c>
      <c r="H703" s="1">
        <v>10</v>
      </c>
      <c r="I703" s="1">
        <v>5</v>
      </c>
      <c r="J703" s="1">
        <v>0</v>
      </c>
      <c r="K703" s="1">
        <v>0</v>
      </c>
      <c r="L703" s="1">
        <v>23255</v>
      </c>
      <c r="M703" s="1">
        <v>0</v>
      </c>
    </row>
    <row r="704" spans="2:13" x14ac:dyDescent="0.25">
      <c r="B704" s="1">
        <v>1</v>
      </c>
      <c r="C704" s="1">
        <v>1</v>
      </c>
      <c r="D704" s="1">
        <v>0</v>
      </c>
      <c r="E704" s="1">
        <v>1</v>
      </c>
      <c r="F704" s="1">
        <v>87</v>
      </c>
      <c r="G704" s="1">
        <v>1</v>
      </c>
      <c r="H704" s="1">
        <v>7</v>
      </c>
      <c r="I704" s="1">
        <v>6</v>
      </c>
      <c r="J704" s="1">
        <v>0</v>
      </c>
      <c r="K704" s="1">
        <v>1</v>
      </c>
      <c r="L704" s="1">
        <v>15667</v>
      </c>
      <c r="M704" s="1">
        <v>0</v>
      </c>
    </row>
    <row r="705" spans="2:13" x14ac:dyDescent="0.25">
      <c r="B705" s="1">
        <v>0</v>
      </c>
      <c r="C705" s="1">
        <v>0</v>
      </c>
      <c r="D705" s="1">
        <v>0.9810526315789474</v>
      </c>
      <c r="E705" s="1">
        <v>1.8947368421052633E-2</v>
      </c>
      <c r="F705" s="1">
        <v>27</v>
      </c>
      <c r="G705" s="1">
        <v>0</v>
      </c>
      <c r="H705" s="1">
        <v>3</v>
      </c>
      <c r="I705" s="1">
        <v>2</v>
      </c>
      <c r="J705" s="1">
        <v>0</v>
      </c>
      <c r="K705" s="1">
        <v>0</v>
      </c>
      <c r="L705" s="1">
        <v>7903</v>
      </c>
      <c r="M705" s="1">
        <v>0</v>
      </c>
    </row>
    <row r="706" spans="2:13" x14ac:dyDescent="0.25">
      <c r="B706" s="1">
        <v>0</v>
      </c>
      <c r="C706" s="1">
        <v>0</v>
      </c>
      <c r="D706" s="1">
        <v>0.99749999999999994</v>
      </c>
      <c r="E706" s="1">
        <v>2.5000000000000001E-3</v>
      </c>
      <c r="F706" s="1">
        <v>64</v>
      </c>
      <c r="G706" s="1">
        <v>0</v>
      </c>
      <c r="H706" s="1">
        <v>5</v>
      </c>
      <c r="I706" s="1">
        <v>5</v>
      </c>
      <c r="J706" s="1">
        <v>0</v>
      </c>
      <c r="K706" s="1">
        <v>0</v>
      </c>
      <c r="L706" s="1">
        <v>12134</v>
      </c>
      <c r="M706" s="1">
        <v>0</v>
      </c>
    </row>
    <row r="707" spans="2:13" x14ac:dyDescent="0.25">
      <c r="B707" s="1">
        <v>0</v>
      </c>
      <c r="C707" s="1">
        <v>0</v>
      </c>
      <c r="D707" s="1">
        <v>0.9810526315789474</v>
      </c>
      <c r="E707" s="1">
        <v>1.8947368421052633E-2</v>
      </c>
      <c r="F707" s="1">
        <v>18</v>
      </c>
      <c r="G707" s="1">
        <v>1</v>
      </c>
      <c r="H707" s="1">
        <v>2</v>
      </c>
      <c r="I707" s="1">
        <v>0</v>
      </c>
      <c r="J707" s="1">
        <v>2</v>
      </c>
      <c r="K707" s="1">
        <v>0</v>
      </c>
      <c r="L707" s="1">
        <v>6463</v>
      </c>
      <c r="M707" s="1">
        <v>0</v>
      </c>
    </row>
    <row r="708" spans="2:13" x14ac:dyDescent="0.25">
      <c r="B708" s="1">
        <v>1</v>
      </c>
      <c r="C708" s="1">
        <v>1</v>
      </c>
      <c r="D708" s="1">
        <v>0</v>
      </c>
      <c r="E708" s="1">
        <v>1</v>
      </c>
      <c r="F708" s="1">
        <v>91</v>
      </c>
      <c r="G708" s="1">
        <v>1</v>
      </c>
      <c r="H708" s="1">
        <v>7</v>
      </c>
      <c r="I708" s="1">
        <v>6</v>
      </c>
      <c r="J708" s="1">
        <v>0</v>
      </c>
      <c r="K708" s="1">
        <v>1</v>
      </c>
      <c r="L708" s="1">
        <v>14374</v>
      </c>
      <c r="M708" s="1">
        <v>0</v>
      </c>
    </row>
    <row r="709" spans="2:13" x14ac:dyDescent="0.25">
      <c r="B709" s="1">
        <v>1</v>
      </c>
      <c r="C709" s="1">
        <v>1</v>
      </c>
      <c r="D709" s="1">
        <v>0</v>
      </c>
      <c r="E709" s="1">
        <v>1</v>
      </c>
      <c r="F709" s="1">
        <v>92</v>
      </c>
      <c r="G709" s="1">
        <v>1</v>
      </c>
      <c r="H709" s="1">
        <v>4</v>
      </c>
      <c r="I709" s="1">
        <v>3</v>
      </c>
      <c r="J709" s="1">
        <v>2</v>
      </c>
      <c r="K709" s="1">
        <v>1</v>
      </c>
      <c r="L709" s="1">
        <v>23649</v>
      </c>
      <c r="M709" s="1">
        <v>1</v>
      </c>
    </row>
    <row r="710" spans="2:13" x14ac:dyDescent="0.25">
      <c r="B710" s="1">
        <v>1</v>
      </c>
      <c r="C710" s="1">
        <v>1</v>
      </c>
      <c r="D710" s="1">
        <v>0</v>
      </c>
      <c r="E710" s="1">
        <v>1</v>
      </c>
      <c r="F710" s="1">
        <v>50</v>
      </c>
      <c r="G710" s="1">
        <v>0</v>
      </c>
      <c r="H710" s="1">
        <v>10</v>
      </c>
      <c r="I710" s="1">
        <v>5</v>
      </c>
      <c r="J710" s="1">
        <v>0</v>
      </c>
      <c r="K710" s="1">
        <v>1</v>
      </c>
      <c r="L710" s="1">
        <v>13736</v>
      </c>
      <c r="M710" s="1">
        <v>0</v>
      </c>
    </row>
    <row r="711" spans="2:13" x14ac:dyDescent="0.25">
      <c r="B711" s="1">
        <v>1</v>
      </c>
      <c r="C711" s="1">
        <v>1</v>
      </c>
      <c r="D711" s="1">
        <v>0</v>
      </c>
      <c r="E711" s="1">
        <v>1</v>
      </c>
      <c r="F711" s="1">
        <v>50</v>
      </c>
      <c r="G711" s="1">
        <v>1</v>
      </c>
      <c r="H711" s="1">
        <v>1</v>
      </c>
      <c r="I711" s="1">
        <v>2</v>
      </c>
      <c r="J711" s="1">
        <v>2</v>
      </c>
      <c r="K711" s="1">
        <v>1</v>
      </c>
      <c r="L711" s="1">
        <v>29370</v>
      </c>
      <c r="M711" s="1">
        <v>1</v>
      </c>
    </row>
    <row r="712" spans="2:13" x14ac:dyDescent="0.25">
      <c r="B712" s="1">
        <v>1</v>
      </c>
      <c r="C712" s="1">
        <v>1</v>
      </c>
      <c r="D712" s="1">
        <v>0.19999999999999998</v>
      </c>
      <c r="E712" s="1">
        <v>0.79999999999999993</v>
      </c>
      <c r="F712" s="1">
        <v>36</v>
      </c>
      <c r="G712" s="1">
        <v>1</v>
      </c>
      <c r="H712" s="1">
        <v>3</v>
      </c>
      <c r="I712" s="1">
        <v>4</v>
      </c>
      <c r="J712" s="1">
        <v>3</v>
      </c>
      <c r="K712" s="1">
        <v>0</v>
      </c>
      <c r="L712" s="1">
        <v>16801</v>
      </c>
      <c r="M712" s="1">
        <v>0</v>
      </c>
    </row>
    <row r="713" spans="2:13" x14ac:dyDescent="0.25">
      <c r="B713" s="1">
        <v>0</v>
      </c>
      <c r="C713" s="1">
        <v>0</v>
      </c>
      <c r="D713" s="1">
        <v>0.9810526315789474</v>
      </c>
      <c r="E713" s="1">
        <v>1.8947368421052633E-2</v>
      </c>
      <c r="F713" s="1">
        <v>26</v>
      </c>
      <c r="G713" s="1">
        <v>1</v>
      </c>
      <c r="H713" s="1">
        <v>2</v>
      </c>
      <c r="I713" s="1">
        <v>2</v>
      </c>
      <c r="J713" s="1">
        <v>3</v>
      </c>
      <c r="K713" s="1">
        <v>0</v>
      </c>
      <c r="L713" s="1">
        <v>7942</v>
      </c>
      <c r="M713" s="1">
        <v>0</v>
      </c>
    </row>
    <row r="714" spans="2:13" x14ac:dyDescent="0.25">
      <c r="B714" s="1">
        <v>0</v>
      </c>
      <c r="C714" s="1">
        <v>0</v>
      </c>
      <c r="D714" s="1">
        <v>0.99749999999999994</v>
      </c>
      <c r="E714" s="1">
        <v>2.5000000000000001E-3</v>
      </c>
      <c r="F714" s="1">
        <v>69</v>
      </c>
      <c r="G714" s="1">
        <v>1</v>
      </c>
      <c r="H714" s="1">
        <v>3</v>
      </c>
      <c r="I714" s="1">
        <v>3</v>
      </c>
      <c r="J714" s="1">
        <v>0</v>
      </c>
      <c r="K714" s="1">
        <v>0</v>
      </c>
      <c r="L714" s="1">
        <v>2932</v>
      </c>
      <c r="M714" s="1">
        <v>0</v>
      </c>
    </row>
    <row r="715" spans="2:13" x14ac:dyDescent="0.25">
      <c r="B715" s="1">
        <v>1</v>
      </c>
      <c r="C715" s="1">
        <v>1</v>
      </c>
      <c r="D715" s="1">
        <v>9.9999999999999992E-2</v>
      </c>
      <c r="E715" s="1">
        <v>0.9</v>
      </c>
      <c r="F715" s="1">
        <v>74</v>
      </c>
      <c r="G715" s="1">
        <v>0</v>
      </c>
      <c r="H715" s="1">
        <v>8</v>
      </c>
      <c r="I715" s="1">
        <v>4</v>
      </c>
      <c r="J715" s="1">
        <v>0</v>
      </c>
      <c r="K715" s="1">
        <v>0</v>
      </c>
      <c r="L715" s="1">
        <v>12937</v>
      </c>
      <c r="M715" s="1">
        <v>0</v>
      </c>
    </row>
    <row r="716" spans="2:13" x14ac:dyDescent="0.25">
      <c r="B716" s="1">
        <v>0</v>
      </c>
      <c r="C716" s="1">
        <v>0</v>
      </c>
      <c r="D716" s="1">
        <v>0.99749999999999994</v>
      </c>
      <c r="E716" s="1">
        <v>2.5000000000000001E-3</v>
      </c>
      <c r="F716" s="1">
        <v>58</v>
      </c>
      <c r="G716" s="1">
        <v>1</v>
      </c>
      <c r="H716" s="1">
        <v>4</v>
      </c>
      <c r="I716" s="1">
        <v>1</v>
      </c>
      <c r="J716" s="1">
        <v>2</v>
      </c>
      <c r="K716" s="1">
        <v>0</v>
      </c>
      <c r="L716" s="1">
        <v>22637</v>
      </c>
      <c r="M716" s="1">
        <v>1</v>
      </c>
    </row>
    <row r="717" spans="2:13" x14ac:dyDescent="0.25">
      <c r="B717" s="1">
        <v>1</v>
      </c>
      <c r="C717" s="1">
        <v>1</v>
      </c>
      <c r="D717" s="1">
        <v>0</v>
      </c>
      <c r="E717" s="1">
        <v>1</v>
      </c>
      <c r="F717" s="1">
        <v>78</v>
      </c>
      <c r="G717" s="1">
        <v>1</v>
      </c>
      <c r="H717" s="1">
        <v>4</v>
      </c>
      <c r="I717" s="1">
        <v>3</v>
      </c>
      <c r="J717" s="1">
        <v>0</v>
      </c>
      <c r="K717" s="1">
        <v>1</v>
      </c>
      <c r="L717" s="1">
        <v>10331</v>
      </c>
      <c r="M717" s="1">
        <v>0</v>
      </c>
    </row>
    <row r="718" spans="2:13" x14ac:dyDescent="0.25">
      <c r="B718" s="1">
        <v>0</v>
      </c>
      <c r="C718" s="1">
        <v>0</v>
      </c>
      <c r="D718" s="1">
        <v>0.9810526315789474</v>
      </c>
      <c r="E718" s="1">
        <v>1.8947368421052633E-2</v>
      </c>
      <c r="F718" s="1">
        <v>22</v>
      </c>
      <c r="G718" s="1">
        <v>1</v>
      </c>
      <c r="H718" s="1">
        <v>6</v>
      </c>
      <c r="I718" s="1">
        <v>0</v>
      </c>
      <c r="J718" s="1">
        <v>3</v>
      </c>
      <c r="K718" s="1">
        <v>0</v>
      </c>
      <c r="L718" s="1">
        <v>22276</v>
      </c>
      <c r="M718" s="1">
        <v>0</v>
      </c>
    </row>
    <row r="719" spans="2:13" x14ac:dyDescent="0.25">
      <c r="B719" s="1">
        <v>1</v>
      </c>
      <c r="C719" s="1">
        <v>1</v>
      </c>
      <c r="D719" s="1">
        <v>9.9999999999999992E-2</v>
      </c>
      <c r="E719" s="1">
        <v>0.9</v>
      </c>
      <c r="F719" s="1">
        <v>74</v>
      </c>
      <c r="G719" s="1">
        <v>1</v>
      </c>
      <c r="H719" s="1">
        <v>1</v>
      </c>
      <c r="I719" s="1">
        <v>6</v>
      </c>
      <c r="J719" s="1">
        <v>0</v>
      </c>
      <c r="K719" s="1">
        <v>0</v>
      </c>
      <c r="L719" s="1">
        <v>6424</v>
      </c>
      <c r="M719" s="1">
        <v>0</v>
      </c>
    </row>
    <row r="720" spans="2:13" x14ac:dyDescent="0.25">
      <c r="B720" s="1">
        <v>0</v>
      </c>
      <c r="C720" s="1">
        <v>0</v>
      </c>
      <c r="D720" s="1">
        <v>0.99749999999999994</v>
      </c>
      <c r="E720" s="1">
        <v>2.5000000000000001E-3</v>
      </c>
      <c r="F720" s="1">
        <v>63</v>
      </c>
      <c r="G720" s="1">
        <v>0</v>
      </c>
      <c r="H720" s="1">
        <v>8</v>
      </c>
      <c r="I720" s="1">
        <v>6</v>
      </c>
      <c r="J720" s="1">
        <v>1</v>
      </c>
      <c r="K720" s="1">
        <v>0</v>
      </c>
      <c r="L720" s="1">
        <v>26800</v>
      </c>
      <c r="M720" s="1">
        <v>0</v>
      </c>
    </row>
    <row r="721" spans="2:13" x14ac:dyDescent="0.25">
      <c r="B721" s="1">
        <v>0</v>
      </c>
      <c r="C721" s="1">
        <v>0</v>
      </c>
      <c r="D721" s="1">
        <v>0.9810526315789474</v>
      </c>
      <c r="E721" s="1">
        <v>1.8947368421052633E-2</v>
      </c>
      <c r="F721" s="1">
        <v>20</v>
      </c>
      <c r="G721" s="1">
        <v>1</v>
      </c>
      <c r="H721" s="1">
        <v>3</v>
      </c>
      <c r="I721" s="1">
        <v>0</v>
      </c>
      <c r="J721" s="1">
        <v>2</v>
      </c>
      <c r="K721" s="1">
        <v>0</v>
      </c>
      <c r="L721" s="1">
        <v>6880</v>
      </c>
      <c r="M721" s="1">
        <v>0</v>
      </c>
    </row>
    <row r="722" spans="2:13" x14ac:dyDescent="0.25">
      <c r="B722" s="1">
        <v>0</v>
      </c>
      <c r="C722" s="1">
        <v>0</v>
      </c>
      <c r="D722" s="1">
        <v>0.99749999999999994</v>
      </c>
      <c r="E722" s="1">
        <v>2.5000000000000001E-3</v>
      </c>
      <c r="F722" s="1">
        <v>59</v>
      </c>
      <c r="G722" s="1">
        <v>1</v>
      </c>
      <c r="H722" s="1">
        <v>8</v>
      </c>
      <c r="I722" s="1">
        <v>4</v>
      </c>
      <c r="J722" s="1">
        <v>0</v>
      </c>
      <c r="K722" s="1">
        <v>0</v>
      </c>
      <c r="L722" s="1">
        <v>18747</v>
      </c>
      <c r="M722" s="1">
        <v>0</v>
      </c>
    </row>
    <row r="723" spans="2:13" x14ac:dyDescent="0.25">
      <c r="B723" s="1">
        <v>0</v>
      </c>
      <c r="C723" s="1">
        <v>0</v>
      </c>
      <c r="D723" s="1">
        <v>1</v>
      </c>
      <c r="E723" s="1">
        <v>0</v>
      </c>
      <c r="F723" s="1">
        <v>45</v>
      </c>
      <c r="G723" s="1">
        <v>0</v>
      </c>
      <c r="H723" s="1">
        <v>3</v>
      </c>
      <c r="I723" s="1">
        <v>2</v>
      </c>
      <c r="J723" s="1">
        <v>0</v>
      </c>
      <c r="K723" s="1">
        <v>0</v>
      </c>
      <c r="L723" s="1">
        <v>4213</v>
      </c>
      <c r="M723" s="1">
        <v>0</v>
      </c>
    </row>
    <row r="724" spans="2:13" x14ac:dyDescent="0.25">
      <c r="B724" s="1">
        <v>0</v>
      </c>
      <c r="C724" s="1">
        <v>0</v>
      </c>
      <c r="D724" s="1">
        <v>0.8571428571428571</v>
      </c>
      <c r="E724" s="1">
        <v>0.14285714285714288</v>
      </c>
      <c r="F724" s="1">
        <v>78</v>
      </c>
      <c r="G724" s="1">
        <v>1</v>
      </c>
      <c r="H724" s="1">
        <v>4</v>
      </c>
      <c r="I724" s="1">
        <v>3</v>
      </c>
      <c r="J724" s="1">
        <v>1</v>
      </c>
      <c r="K724" s="1">
        <v>0</v>
      </c>
      <c r="L724" s="1">
        <v>16836</v>
      </c>
      <c r="M724" s="1">
        <v>0</v>
      </c>
    </row>
    <row r="725" spans="2:13" x14ac:dyDescent="0.25">
      <c r="B725" s="1">
        <v>0</v>
      </c>
      <c r="C725" s="1">
        <v>0</v>
      </c>
      <c r="D725" s="1">
        <v>0.99749999999999994</v>
      </c>
      <c r="E725" s="1">
        <v>2.5000000000000001E-3</v>
      </c>
      <c r="F725" s="1">
        <v>54</v>
      </c>
      <c r="G725" s="1">
        <v>1</v>
      </c>
      <c r="H725" s="1">
        <v>3</v>
      </c>
      <c r="I725" s="1">
        <v>6</v>
      </c>
      <c r="J725" s="1">
        <v>0</v>
      </c>
      <c r="K725" s="1">
        <v>0</v>
      </c>
      <c r="L725" s="1">
        <v>11809</v>
      </c>
      <c r="M725" s="1">
        <v>0</v>
      </c>
    </row>
    <row r="726" spans="2:13" x14ac:dyDescent="0.25">
      <c r="B726" s="1">
        <v>0</v>
      </c>
      <c r="C726" s="1">
        <v>0</v>
      </c>
      <c r="D726" s="1">
        <v>0.8571428571428571</v>
      </c>
      <c r="E726" s="1">
        <v>0.14285714285714288</v>
      </c>
      <c r="F726" s="1">
        <v>76</v>
      </c>
      <c r="G726" s="1">
        <v>1</v>
      </c>
      <c r="H726" s="1">
        <v>3</v>
      </c>
      <c r="I726" s="1">
        <v>2</v>
      </c>
      <c r="J726" s="1">
        <v>0</v>
      </c>
      <c r="K726" s="1">
        <v>0</v>
      </c>
      <c r="L726" s="1">
        <v>15864</v>
      </c>
      <c r="M726" s="1">
        <v>0</v>
      </c>
    </row>
    <row r="727" spans="2:13" x14ac:dyDescent="0.25">
      <c r="B727" s="1">
        <v>1</v>
      </c>
      <c r="C727" s="1">
        <v>1</v>
      </c>
      <c r="D727" s="1">
        <v>0</v>
      </c>
      <c r="E727" s="1">
        <v>1</v>
      </c>
      <c r="F727" s="1">
        <v>76</v>
      </c>
      <c r="G727" s="1">
        <v>0</v>
      </c>
      <c r="H727" s="1">
        <v>9</v>
      </c>
      <c r="I727" s="1">
        <v>5</v>
      </c>
      <c r="J727" s="1">
        <v>1</v>
      </c>
      <c r="K727" s="1">
        <v>1</v>
      </c>
      <c r="L727" s="1">
        <v>25987</v>
      </c>
      <c r="M727" s="1">
        <v>1</v>
      </c>
    </row>
    <row r="728" spans="2:13" x14ac:dyDescent="0.25">
      <c r="B728" s="1">
        <v>0</v>
      </c>
      <c r="C728" s="1">
        <v>0</v>
      </c>
      <c r="D728" s="1">
        <v>1</v>
      </c>
      <c r="E728" s="1">
        <v>0</v>
      </c>
      <c r="F728" s="1">
        <v>39</v>
      </c>
      <c r="G728" s="1">
        <v>0</v>
      </c>
      <c r="H728" s="1">
        <v>8</v>
      </c>
      <c r="I728" s="1">
        <v>4</v>
      </c>
      <c r="J728" s="1">
        <v>0</v>
      </c>
      <c r="K728" s="1">
        <v>0</v>
      </c>
      <c r="L728" s="1">
        <v>13768</v>
      </c>
      <c r="M728" s="1">
        <v>0</v>
      </c>
    </row>
    <row r="729" spans="2:13" x14ac:dyDescent="0.25">
      <c r="B729" s="1">
        <v>0</v>
      </c>
      <c r="C729" s="1">
        <v>0</v>
      </c>
      <c r="D729" s="1">
        <v>0.99749999999999994</v>
      </c>
      <c r="E729" s="1">
        <v>2.5000000000000001E-3</v>
      </c>
      <c r="F729" s="1">
        <v>72</v>
      </c>
      <c r="G729" s="1">
        <v>0</v>
      </c>
      <c r="H729" s="1">
        <v>4</v>
      </c>
      <c r="I729" s="1">
        <v>0</v>
      </c>
      <c r="J729" s="1">
        <v>0</v>
      </c>
      <c r="K729" s="1">
        <v>0</v>
      </c>
      <c r="L729" s="1">
        <v>13466</v>
      </c>
      <c r="M729" s="1">
        <v>0</v>
      </c>
    </row>
    <row r="730" spans="2:13" x14ac:dyDescent="0.25">
      <c r="B730" s="1">
        <v>0</v>
      </c>
      <c r="C730" s="1">
        <v>0</v>
      </c>
      <c r="D730" s="1">
        <v>0.9810526315789474</v>
      </c>
      <c r="E730" s="1">
        <v>1.8947368421052633E-2</v>
      </c>
      <c r="F730" s="1">
        <v>27</v>
      </c>
      <c r="G730" s="1">
        <v>1</v>
      </c>
      <c r="H730" s="1">
        <v>2</v>
      </c>
      <c r="I730" s="1">
        <v>0</v>
      </c>
      <c r="J730" s="1">
        <v>1</v>
      </c>
      <c r="K730" s="1">
        <v>0</v>
      </c>
      <c r="L730" s="1">
        <v>5769</v>
      </c>
      <c r="M730" s="1">
        <v>0</v>
      </c>
    </row>
    <row r="731" spans="2:13" x14ac:dyDescent="0.25">
      <c r="B731" s="1">
        <v>1</v>
      </c>
      <c r="C731" s="1">
        <v>1</v>
      </c>
      <c r="D731" s="1">
        <v>0</v>
      </c>
      <c r="E731" s="1">
        <v>1</v>
      </c>
      <c r="F731" s="1">
        <v>83</v>
      </c>
      <c r="G731" s="1">
        <v>1</v>
      </c>
      <c r="H731" s="1">
        <v>2</v>
      </c>
      <c r="I731" s="1">
        <v>4</v>
      </c>
      <c r="J731" s="1">
        <v>0</v>
      </c>
      <c r="K731" s="1">
        <v>1</v>
      </c>
      <c r="L731" s="1">
        <v>7857</v>
      </c>
      <c r="M731" s="1">
        <v>0</v>
      </c>
    </row>
    <row r="732" spans="2:13" x14ac:dyDescent="0.25">
      <c r="B732" s="1">
        <v>0</v>
      </c>
      <c r="C732" s="1">
        <v>0</v>
      </c>
      <c r="D732" s="1">
        <v>1</v>
      </c>
      <c r="E732" s="1">
        <v>0</v>
      </c>
      <c r="F732" s="1">
        <v>42</v>
      </c>
      <c r="G732" s="1">
        <v>0</v>
      </c>
      <c r="H732" s="1">
        <v>4</v>
      </c>
      <c r="I732" s="1">
        <v>2</v>
      </c>
      <c r="J732" s="1">
        <v>1</v>
      </c>
      <c r="K732" s="1">
        <v>0</v>
      </c>
      <c r="L732" s="1">
        <v>24999</v>
      </c>
      <c r="M732" s="1">
        <v>0</v>
      </c>
    </row>
    <row r="733" spans="2:13" x14ac:dyDescent="0.25">
      <c r="B733" s="17">
        <v>1</v>
      </c>
      <c r="C733" s="17">
        <v>0</v>
      </c>
      <c r="D733" s="17">
        <v>0.31818181818181818</v>
      </c>
      <c r="E733" s="17">
        <v>0.68181818181818188</v>
      </c>
      <c r="F733" s="17">
        <v>28</v>
      </c>
      <c r="G733" s="17">
        <v>1</v>
      </c>
      <c r="H733" s="17">
        <v>22</v>
      </c>
      <c r="I733" s="17">
        <v>1</v>
      </c>
      <c r="J733" s="17">
        <v>2</v>
      </c>
      <c r="K733" s="17">
        <v>0</v>
      </c>
      <c r="L733" s="17">
        <v>51522</v>
      </c>
      <c r="M733" s="17">
        <v>1</v>
      </c>
    </row>
    <row r="734" spans="2:13" x14ac:dyDescent="0.25">
      <c r="B734" s="17">
        <v>1</v>
      </c>
      <c r="C734" s="17">
        <v>0</v>
      </c>
      <c r="D734" s="17">
        <v>0.31818181818181818</v>
      </c>
      <c r="E734" s="17">
        <v>0.68181818181818188</v>
      </c>
      <c r="F734" s="17">
        <v>28</v>
      </c>
      <c r="G734" s="17">
        <v>1</v>
      </c>
      <c r="H734" s="17">
        <v>3</v>
      </c>
      <c r="I734" s="17">
        <v>0</v>
      </c>
      <c r="J734" s="17">
        <v>4</v>
      </c>
      <c r="K734" s="17">
        <v>0</v>
      </c>
      <c r="L734" s="17">
        <v>19292</v>
      </c>
      <c r="M734" s="17">
        <v>1</v>
      </c>
    </row>
    <row r="735" spans="2:13" x14ac:dyDescent="0.25">
      <c r="B735" s="1">
        <v>0</v>
      </c>
      <c r="C735" s="1">
        <v>0</v>
      </c>
      <c r="D735" s="1">
        <v>0.9810526315789474</v>
      </c>
      <c r="E735" s="1">
        <v>1.8947368421052633E-2</v>
      </c>
      <c r="F735" s="1">
        <v>6</v>
      </c>
      <c r="G735" s="1">
        <v>0</v>
      </c>
      <c r="H735" s="1">
        <v>7</v>
      </c>
      <c r="I735" s="1">
        <v>1</v>
      </c>
      <c r="J735" s="1">
        <v>0</v>
      </c>
      <c r="K735" s="1">
        <v>0</v>
      </c>
      <c r="L735" s="1">
        <v>21059</v>
      </c>
      <c r="M735" s="1">
        <v>0</v>
      </c>
    </row>
    <row r="736" spans="2:13" x14ac:dyDescent="0.25">
      <c r="B736" s="1">
        <v>0</v>
      </c>
      <c r="C736" s="1">
        <v>0</v>
      </c>
      <c r="D736" s="1">
        <v>0.9810526315789474</v>
      </c>
      <c r="E736" s="1">
        <v>1.8947368421052633E-2</v>
      </c>
      <c r="F736" s="1">
        <v>24</v>
      </c>
      <c r="G736" s="1">
        <v>1</v>
      </c>
      <c r="H736" s="1">
        <v>2</v>
      </c>
      <c r="I736" s="1">
        <v>3</v>
      </c>
      <c r="J736" s="1">
        <v>0</v>
      </c>
      <c r="K736" s="1">
        <v>0</v>
      </c>
      <c r="L736" s="1">
        <v>9316</v>
      </c>
      <c r="M736" s="1">
        <v>0</v>
      </c>
    </row>
    <row r="737" spans="2:13" x14ac:dyDescent="0.25">
      <c r="B737" s="1">
        <v>1</v>
      </c>
      <c r="C737" s="1">
        <v>1</v>
      </c>
      <c r="D737" s="1">
        <v>0</v>
      </c>
      <c r="E737" s="1">
        <v>1</v>
      </c>
      <c r="F737" s="1">
        <v>82</v>
      </c>
      <c r="G737" s="1">
        <v>1</v>
      </c>
      <c r="H737" s="1">
        <v>1</v>
      </c>
      <c r="I737" s="1">
        <v>3</v>
      </c>
      <c r="J737" s="1">
        <v>0</v>
      </c>
      <c r="K737" s="1">
        <v>1</v>
      </c>
      <c r="L737" s="1">
        <v>10084</v>
      </c>
      <c r="M737" s="1">
        <v>0</v>
      </c>
    </row>
    <row r="738" spans="2:13" x14ac:dyDescent="0.25">
      <c r="B738" s="1">
        <v>1</v>
      </c>
      <c r="C738" s="1">
        <v>1</v>
      </c>
      <c r="D738" s="1">
        <v>9.9999999999999992E-2</v>
      </c>
      <c r="E738" s="1">
        <v>0.9</v>
      </c>
      <c r="F738" s="1">
        <v>74</v>
      </c>
      <c r="G738" s="1">
        <v>1</v>
      </c>
      <c r="H738" s="1">
        <v>10</v>
      </c>
      <c r="I738" s="1">
        <v>2</v>
      </c>
      <c r="J738" s="1">
        <v>1</v>
      </c>
      <c r="K738" s="1">
        <v>0</v>
      </c>
      <c r="L738" s="1">
        <v>42599</v>
      </c>
      <c r="M738" s="1">
        <v>0</v>
      </c>
    </row>
    <row r="739" spans="2:13" x14ac:dyDescent="0.25">
      <c r="B739" s="1">
        <v>1</v>
      </c>
      <c r="C739" s="1">
        <v>1</v>
      </c>
      <c r="D739" s="1">
        <v>0</v>
      </c>
      <c r="E739" s="1">
        <v>1</v>
      </c>
      <c r="F739" s="1">
        <v>50</v>
      </c>
      <c r="G739" s="1">
        <v>0</v>
      </c>
      <c r="H739" s="1">
        <v>24</v>
      </c>
      <c r="I739" s="1">
        <v>4</v>
      </c>
      <c r="J739" s="1">
        <v>4</v>
      </c>
      <c r="K739" s="1">
        <v>1</v>
      </c>
      <c r="L739" s="1">
        <v>79846</v>
      </c>
      <c r="M739" s="1">
        <v>0</v>
      </c>
    </row>
    <row r="740" spans="2:13" x14ac:dyDescent="0.25">
      <c r="B740" s="1">
        <v>1</v>
      </c>
      <c r="C740" s="1">
        <v>1</v>
      </c>
      <c r="D740" s="1">
        <v>0</v>
      </c>
      <c r="E740" s="1">
        <v>1</v>
      </c>
      <c r="F740" s="1">
        <v>54</v>
      </c>
      <c r="G740" s="1">
        <v>0</v>
      </c>
      <c r="H740" s="1">
        <v>4</v>
      </c>
      <c r="I740" s="1">
        <v>4</v>
      </c>
      <c r="J740" s="1">
        <v>6</v>
      </c>
      <c r="K740" s="1">
        <v>1</v>
      </c>
      <c r="L740" s="1">
        <v>24378</v>
      </c>
      <c r="M740" s="1">
        <v>1</v>
      </c>
    </row>
    <row r="741" spans="2:13" x14ac:dyDescent="0.25">
      <c r="B741" s="1">
        <v>0</v>
      </c>
      <c r="C741" s="1">
        <v>0</v>
      </c>
      <c r="D741" s="1">
        <v>1</v>
      </c>
      <c r="E741" s="1">
        <v>0</v>
      </c>
      <c r="F741" s="1">
        <v>44</v>
      </c>
      <c r="G741" s="1">
        <v>1</v>
      </c>
      <c r="H741" s="1">
        <v>2</v>
      </c>
      <c r="I741" s="1">
        <v>1</v>
      </c>
      <c r="J741" s="1">
        <v>2</v>
      </c>
      <c r="K741" s="1">
        <v>0</v>
      </c>
      <c r="L741" s="1">
        <v>16220</v>
      </c>
      <c r="M741" s="1">
        <v>1</v>
      </c>
    </row>
    <row r="742" spans="2:13" x14ac:dyDescent="0.25">
      <c r="B742" s="1">
        <v>0</v>
      </c>
      <c r="C742" s="1">
        <v>0</v>
      </c>
      <c r="D742" s="1">
        <v>0.96666666666666667</v>
      </c>
      <c r="E742" s="1">
        <v>3.333333333333334E-2</v>
      </c>
      <c r="F742" s="1">
        <v>31</v>
      </c>
      <c r="G742" s="1">
        <v>1</v>
      </c>
      <c r="H742" s="1">
        <v>4</v>
      </c>
      <c r="I742" s="1">
        <v>5</v>
      </c>
      <c r="J742" s="1">
        <v>0</v>
      </c>
      <c r="K742" s="1">
        <v>0</v>
      </c>
      <c r="L742" s="1">
        <v>10824</v>
      </c>
      <c r="M742" s="1">
        <v>0</v>
      </c>
    </row>
    <row r="743" spans="2:13" x14ac:dyDescent="0.25">
      <c r="B743" s="1">
        <v>0</v>
      </c>
      <c r="C743" s="1">
        <v>0</v>
      </c>
      <c r="D743" s="1">
        <v>0.9810526315789474</v>
      </c>
      <c r="E743" s="1">
        <v>1.8947368421052633E-2</v>
      </c>
      <c r="F743" s="1">
        <v>27</v>
      </c>
      <c r="G743" s="1">
        <v>0</v>
      </c>
      <c r="H743" s="1">
        <v>3</v>
      </c>
      <c r="I743" s="1">
        <v>5</v>
      </c>
      <c r="J743" s="1">
        <v>0</v>
      </c>
      <c r="K743" s="1">
        <v>0</v>
      </c>
      <c r="L743" s="1">
        <v>9408</v>
      </c>
      <c r="M743" s="1">
        <v>0</v>
      </c>
    </row>
    <row r="744" spans="2:13" x14ac:dyDescent="0.25">
      <c r="B744" s="1">
        <v>0</v>
      </c>
      <c r="C744" s="1">
        <v>0</v>
      </c>
      <c r="D744" s="1">
        <v>0.99749999999999994</v>
      </c>
      <c r="E744" s="1">
        <v>2.5000000000000001E-3</v>
      </c>
      <c r="F744" s="1">
        <v>71</v>
      </c>
      <c r="G744" s="1">
        <v>0</v>
      </c>
      <c r="H744" s="1">
        <v>6</v>
      </c>
      <c r="I744" s="1">
        <v>7</v>
      </c>
      <c r="J744" s="1">
        <v>0</v>
      </c>
      <c r="K744" s="1">
        <v>0</v>
      </c>
      <c r="L744" s="1">
        <v>11341</v>
      </c>
      <c r="M744" s="1">
        <v>0</v>
      </c>
    </row>
    <row r="745" spans="2:13" x14ac:dyDescent="0.25">
      <c r="B745" s="1">
        <v>0</v>
      </c>
      <c r="C745" s="1">
        <v>0</v>
      </c>
      <c r="D745" s="1">
        <v>0.99749999999999994</v>
      </c>
      <c r="E745" s="1">
        <v>2.5000000000000001E-3</v>
      </c>
      <c r="F745" s="1">
        <v>64</v>
      </c>
      <c r="G745" s="1">
        <v>0</v>
      </c>
      <c r="H745" s="1">
        <v>3</v>
      </c>
      <c r="I745" s="1">
        <v>7</v>
      </c>
      <c r="J745" s="1">
        <v>0</v>
      </c>
      <c r="K745" s="1">
        <v>0</v>
      </c>
      <c r="L745" s="1">
        <v>12680</v>
      </c>
      <c r="M745" s="1">
        <v>0</v>
      </c>
    </row>
    <row r="746" spans="2:13" x14ac:dyDescent="0.25">
      <c r="B746" s="1">
        <v>0</v>
      </c>
      <c r="C746" s="1">
        <v>0</v>
      </c>
      <c r="D746" s="1">
        <v>0.9810526315789474</v>
      </c>
      <c r="E746" s="1">
        <v>1.8947368421052633E-2</v>
      </c>
      <c r="F746" s="1">
        <v>0</v>
      </c>
      <c r="G746" s="1">
        <v>1</v>
      </c>
      <c r="H746" s="1">
        <v>3</v>
      </c>
      <c r="I746" s="1">
        <v>0</v>
      </c>
      <c r="J746" s="1">
        <v>0</v>
      </c>
      <c r="K746" s="1">
        <v>0</v>
      </c>
      <c r="L746" s="1">
        <v>1614</v>
      </c>
      <c r="M746" s="1">
        <v>0</v>
      </c>
    </row>
    <row r="747" spans="2:13" x14ac:dyDescent="0.25">
      <c r="B747" s="1">
        <v>0</v>
      </c>
      <c r="C747" s="1">
        <v>0</v>
      </c>
      <c r="D747" s="1">
        <v>0.99749999999999994</v>
      </c>
      <c r="E747" s="1">
        <v>2.5000000000000001E-3</v>
      </c>
      <c r="F747" s="1">
        <v>57</v>
      </c>
      <c r="G747" s="1">
        <v>0</v>
      </c>
      <c r="H747" s="1">
        <v>11</v>
      </c>
      <c r="I747" s="1">
        <v>4</v>
      </c>
      <c r="J747" s="1">
        <v>2</v>
      </c>
      <c r="K747" s="1">
        <v>0</v>
      </c>
      <c r="L747" s="1">
        <v>38507</v>
      </c>
      <c r="M747" s="1">
        <v>1</v>
      </c>
    </row>
    <row r="748" spans="2:13" x14ac:dyDescent="0.25">
      <c r="B748" s="1">
        <v>0</v>
      </c>
      <c r="C748" s="1">
        <v>0</v>
      </c>
      <c r="D748" s="1">
        <v>0.9810526315789474</v>
      </c>
      <c r="E748" s="1">
        <v>1.8947368421052633E-2</v>
      </c>
      <c r="F748" s="1">
        <v>11</v>
      </c>
      <c r="G748" s="1">
        <v>0</v>
      </c>
      <c r="H748" s="1">
        <v>2</v>
      </c>
      <c r="I748" s="1">
        <v>0</v>
      </c>
      <c r="J748" s="1">
        <v>1</v>
      </c>
      <c r="K748" s="1">
        <v>0</v>
      </c>
      <c r="L748" s="1">
        <v>13822</v>
      </c>
      <c r="M748" s="1">
        <v>1</v>
      </c>
    </row>
    <row r="749" spans="2:13" x14ac:dyDescent="0.25">
      <c r="B749" s="1">
        <v>1</v>
      </c>
      <c r="C749" s="1">
        <v>1</v>
      </c>
      <c r="D749" s="1">
        <v>0</v>
      </c>
      <c r="E749" s="1">
        <v>1</v>
      </c>
      <c r="F749" s="1">
        <v>78</v>
      </c>
      <c r="G749" s="1">
        <v>0</v>
      </c>
      <c r="H749" s="1">
        <v>3</v>
      </c>
      <c r="I749" s="1">
        <v>8</v>
      </c>
      <c r="J749" s="1">
        <v>0</v>
      </c>
      <c r="K749" s="1">
        <v>1</v>
      </c>
      <c r="L749" s="1">
        <v>12318</v>
      </c>
      <c r="M749" s="1">
        <v>0</v>
      </c>
    </row>
    <row r="750" spans="2:13" x14ac:dyDescent="0.25">
      <c r="B750" s="1">
        <v>0</v>
      </c>
      <c r="C750" s="1">
        <v>0</v>
      </c>
      <c r="D750" s="1">
        <v>0.9810526315789474</v>
      </c>
      <c r="E750" s="1">
        <v>1.8947368421052633E-2</v>
      </c>
      <c r="F750" s="1">
        <v>24</v>
      </c>
      <c r="G750" s="1">
        <v>1</v>
      </c>
      <c r="H750" s="1">
        <v>17</v>
      </c>
      <c r="I750" s="1">
        <v>1</v>
      </c>
      <c r="J750" s="1">
        <v>0</v>
      </c>
      <c r="K750" s="1">
        <v>0</v>
      </c>
      <c r="L750" s="1">
        <v>27318</v>
      </c>
      <c r="M750" s="1">
        <v>0</v>
      </c>
    </row>
    <row r="751" spans="2:13" x14ac:dyDescent="0.25">
      <c r="B751" s="1">
        <v>0</v>
      </c>
      <c r="C751" s="1">
        <v>0</v>
      </c>
      <c r="D751" s="1">
        <v>0.99749999999999994</v>
      </c>
      <c r="E751" s="1">
        <v>2.5000000000000001E-3</v>
      </c>
      <c r="F751" s="1">
        <v>66</v>
      </c>
      <c r="G751" s="1">
        <v>0</v>
      </c>
      <c r="H751" s="1">
        <v>9</v>
      </c>
      <c r="I751" s="1">
        <v>6</v>
      </c>
      <c r="J751" s="1">
        <v>0</v>
      </c>
      <c r="K751" s="1">
        <v>0</v>
      </c>
      <c r="L751" s="1">
        <v>27797</v>
      </c>
      <c r="M751" s="1">
        <v>0</v>
      </c>
    </row>
    <row r="752" spans="2:13" x14ac:dyDescent="0.25">
      <c r="B752" s="1">
        <v>1</v>
      </c>
      <c r="C752" s="1">
        <v>1</v>
      </c>
      <c r="D752" s="1">
        <v>9.5238095238095233E-2</v>
      </c>
      <c r="E752" s="1">
        <v>0.90476190476190477</v>
      </c>
      <c r="F752" s="1">
        <v>53</v>
      </c>
      <c r="G752" s="1">
        <v>1</v>
      </c>
      <c r="H752" s="1">
        <v>1</v>
      </c>
      <c r="I752" s="1">
        <v>4</v>
      </c>
      <c r="J752" s="1">
        <v>0</v>
      </c>
      <c r="K752" s="1">
        <v>0</v>
      </c>
      <c r="L752" s="1">
        <v>6793</v>
      </c>
      <c r="M752" s="1">
        <v>0</v>
      </c>
    </row>
    <row r="753" spans="2:13" x14ac:dyDescent="0.25">
      <c r="B753" s="1">
        <v>0</v>
      </c>
      <c r="C753" s="1">
        <v>0</v>
      </c>
      <c r="D753" s="1">
        <v>0.96666666666666667</v>
      </c>
      <c r="E753" s="1">
        <v>3.333333333333334E-2</v>
      </c>
      <c r="F753" s="1">
        <v>30</v>
      </c>
      <c r="G753" s="1">
        <v>1</v>
      </c>
      <c r="H753" s="1">
        <v>2</v>
      </c>
      <c r="I753" s="1">
        <v>0</v>
      </c>
      <c r="J753" s="1">
        <v>2</v>
      </c>
      <c r="K753" s="1">
        <v>0</v>
      </c>
      <c r="L753" s="1">
        <v>18742</v>
      </c>
      <c r="M753" s="1">
        <v>1</v>
      </c>
    </row>
    <row r="754" spans="2:13" x14ac:dyDescent="0.25">
      <c r="B754" s="1">
        <v>0</v>
      </c>
      <c r="C754" s="1">
        <v>0</v>
      </c>
      <c r="D754" s="1">
        <v>0.99749999999999994</v>
      </c>
      <c r="E754" s="1">
        <v>2.5000000000000001E-3</v>
      </c>
      <c r="F754" s="1">
        <v>64</v>
      </c>
      <c r="G754" s="1">
        <v>0</v>
      </c>
      <c r="H754" s="1">
        <v>5</v>
      </c>
      <c r="I754" s="1">
        <v>5</v>
      </c>
      <c r="J754" s="1">
        <v>0</v>
      </c>
      <c r="K754" s="1">
        <v>0</v>
      </c>
      <c r="L754" s="1">
        <v>20161</v>
      </c>
      <c r="M754" s="1">
        <v>0</v>
      </c>
    </row>
    <row r="755" spans="2:13" x14ac:dyDescent="0.25">
      <c r="B755" s="1">
        <v>0</v>
      </c>
      <c r="C755" s="1">
        <v>0</v>
      </c>
      <c r="D755" s="1">
        <v>0.99749999999999994</v>
      </c>
      <c r="E755" s="1">
        <v>2.5000000000000001E-3</v>
      </c>
      <c r="F755" s="1">
        <v>61</v>
      </c>
      <c r="G755" s="1">
        <v>1</v>
      </c>
      <c r="H755" s="1">
        <v>3</v>
      </c>
      <c r="I755" s="1">
        <v>4</v>
      </c>
      <c r="J755" s="1">
        <v>1</v>
      </c>
      <c r="K755" s="1">
        <v>0</v>
      </c>
      <c r="L755" s="1">
        <v>14374</v>
      </c>
      <c r="M755" s="1">
        <v>1</v>
      </c>
    </row>
    <row r="756" spans="2:13" x14ac:dyDescent="0.25">
      <c r="B756" s="1">
        <v>0</v>
      </c>
      <c r="C756" s="1">
        <v>0</v>
      </c>
      <c r="D756" s="1">
        <v>0.9810526315789474</v>
      </c>
      <c r="E756" s="1">
        <v>1.8947368421052633E-2</v>
      </c>
      <c r="F756" s="1">
        <v>0</v>
      </c>
      <c r="G756" s="1">
        <v>1</v>
      </c>
      <c r="H756" s="1">
        <v>4</v>
      </c>
      <c r="I756" s="1">
        <v>0</v>
      </c>
      <c r="J756" s="1">
        <v>0</v>
      </c>
      <c r="K756" s="1">
        <v>0</v>
      </c>
      <c r="L756" s="1">
        <v>5913</v>
      </c>
      <c r="M756" s="1">
        <v>0</v>
      </c>
    </row>
    <row r="757" spans="2:13" x14ac:dyDescent="0.25">
      <c r="B757" s="1">
        <v>0</v>
      </c>
      <c r="C757" s="1">
        <v>0</v>
      </c>
      <c r="D757" s="1">
        <v>1</v>
      </c>
      <c r="E757" s="1">
        <v>0</v>
      </c>
      <c r="F757" s="1">
        <v>41</v>
      </c>
      <c r="G757" s="1">
        <v>1</v>
      </c>
      <c r="H757" s="1">
        <v>5</v>
      </c>
      <c r="I757" s="1">
        <v>5</v>
      </c>
      <c r="J757" s="1">
        <v>0</v>
      </c>
      <c r="K757" s="1">
        <v>0</v>
      </c>
      <c r="L757" s="1">
        <v>14416</v>
      </c>
      <c r="M757" s="1">
        <v>0</v>
      </c>
    </row>
    <row r="758" spans="2:13" x14ac:dyDescent="0.25">
      <c r="B758" s="1">
        <v>0</v>
      </c>
      <c r="C758" s="1">
        <v>0</v>
      </c>
      <c r="D758" s="1">
        <v>0.96666666666666667</v>
      </c>
      <c r="E758" s="1">
        <v>3.333333333333334E-2</v>
      </c>
      <c r="F758" s="1">
        <v>29</v>
      </c>
      <c r="G758" s="1">
        <v>1</v>
      </c>
      <c r="H758" s="1">
        <v>2</v>
      </c>
      <c r="I758" s="1">
        <v>1</v>
      </c>
      <c r="J758" s="1">
        <v>1</v>
      </c>
      <c r="K758" s="1">
        <v>0</v>
      </c>
      <c r="L758" s="1">
        <v>5176</v>
      </c>
      <c r="M758" s="1">
        <v>0</v>
      </c>
    </row>
    <row r="759" spans="2:13" x14ac:dyDescent="0.25">
      <c r="B759" s="1">
        <v>1</v>
      </c>
      <c r="C759" s="1">
        <v>1</v>
      </c>
      <c r="D759" s="1">
        <v>0</v>
      </c>
      <c r="E759" s="1">
        <v>1</v>
      </c>
      <c r="F759" s="1">
        <v>83</v>
      </c>
      <c r="G759" s="1">
        <v>0</v>
      </c>
      <c r="H759" s="1">
        <v>3</v>
      </c>
      <c r="I759" s="1">
        <v>7</v>
      </c>
      <c r="J759" s="1">
        <v>1</v>
      </c>
      <c r="K759" s="1">
        <v>1</v>
      </c>
      <c r="L759" s="1">
        <v>8759</v>
      </c>
      <c r="M759" s="1">
        <v>0</v>
      </c>
    </row>
    <row r="760" spans="2:13" x14ac:dyDescent="0.25">
      <c r="B760" s="17">
        <v>0</v>
      </c>
      <c r="C760" s="17">
        <v>1</v>
      </c>
      <c r="D760" s="17">
        <v>0.625</v>
      </c>
      <c r="E760" s="17">
        <v>0.37500000000000006</v>
      </c>
      <c r="F760" s="17">
        <v>97</v>
      </c>
      <c r="G760" s="17">
        <v>1</v>
      </c>
      <c r="H760" s="17">
        <v>7</v>
      </c>
      <c r="I760" s="17">
        <v>2</v>
      </c>
      <c r="J760" s="17">
        <v>0</v>
      </c>
      <c r="K760" s="17">
        <v>0</v>
      </c>
      <c r="L760" s="17">
        <v>16113</v>
      </c>
      <c r="M760" s="17">
        <v>0</v>
      </c>
    </row>
    <row r="761" spans="2:13" x14ac:dyDescent="0.25">
      <c r="B761" s="1">
        <v>0</v>
      </c>
      <c r="C761" s="1">
        <v>0</v>
      </c>
      <c r="D761" s="1">
        <v>0.99749999999999994</v>
      </c>
      <c r="E761" s="1">
        <v>2.5000000000000001E-3</v>
      </c>
      <c r="F761" s="1">
        <v>54</v>
      </c>
      <c r="G761" s="1">
        <v>0</v>
      </c>
      <c r="H761" s="1">
        <v>1</v>
      </c>
      <c r="I761" s="1">
        <v>2</v>
      </c>
      <c r="J761" s="1">
        <v>3</v>
      </c>
      <c r="K761" s="1">
        <v>0</v>
      </c>
      <c r="L761" s="1">
        <v>8654</v>
      </c>
      <c r="M761" s="1">
        <v>1</v>
      </c>
    </row>
    <row r="762" spans="2:13" x14ac:dyDescent="0.25">
      <c r="B762" s="1">
        <v>0</v>
      </c>
      <c r="C762" s="1">
        <v>0</v>
      </c>
      <c r="D762" s="1">
        <v>0.9810526315789474</v>
      </c>
      <c r="E762" s="1">
        <v>1.8947368421052633E-2</v>
      </c>
      <c r="F762" s="1">
        <v>0</v>
      </c>
      <c r="G762" s="1">
        <v>1</v>
      </c>
      <c r="H762" s="1">
        <v>2</v>
      </c>
      <c r="I762" s="1">
        <v>0</v>
      </c>
      <c r="J762" s="1">
        <v>0</v>
      </c>
      <c r="K762" s="1">
        <v>0</v>
      </c>
      <c r="L762" s="1">
        <v>1966</v>
      </c>
      <c r="M762" s="1">
        <v>0</v>
      </c>
    </row>
    <row r="763" spans="2:13" x14ac:dyDescent="0.25">
      <c r="B763" s="1">
        <v>0</v>
      </c>
      <c r="C763" s="1">
        <v>0</v>
      </c>
      <c r="D763" s="1">
        <v>0.99749999999999994</v>
      </c>
      <c r="E763" s="1">
        <v>2.5000000000000001E-3</v>
      </c>
      <c r="F763" s="1">
        <v>68</v>
      </c>
      <c r="G763" s="1">
        <v>0</v>
      </c>
      <c r="H763" s="1">
        <v>1</v>
      </c>
      <c r="I763" s="1">
        <v>3</v>
      </c>
      <c r="J763" s="1">
        <v>4</v>
      </c>
      <c r="K763" s="1">
        <v>0</v>
      </c>
      <c r="L763" s="1">
        <v>14828</v>
      </c>
      <c r="M763" s="1">
        <v>0</v>
      </c>
    </row>
    <row r="764" spans="2:13" x14ac:dyDescent="0.25">
      <c r="B764" s="17">
        <v>0</v>
      </c>
      <c r="C764" s="17">
        <v>1</v>
      </c>
      <c r="D764" s="17">
        <v>0.68</v>
      </c>
      <c r="E764" s="17">
        <v>0.32</v>
      </c>
      <c r="F764" s="17">
        <v>83</v>
      </c>
      <c r="G764" s="17">
        <v>0</v>
      </c>
      <c r="H764" s="17">
        <v>3</v>
      </c>
      <c r="I764" s="17">
        <v>1</v>
      </c>
      <c r="J764" s="17">
        <v>0</v>
      </c>
      <c r="K764" s="17">
        <v>0</v>
      </c>
      <c r="L764" s="17">
        <v>8399</v>
      </c>
      <c r="M764" s="17">
        <v>0</v>
      </c>
    </row>
    <row r="765" spans="2:13" x14ac:dyDescent="0.25">
      <c r="B765" s="1">
        <v>0</v>
      </c>
      <c r="C765" s="1">
        <v>0</v>
      </c>
      <c r="D765" s="1">
        <v>0.9810526315789474</v>
      </c>
      <c r="E765" s="1">
        <v>1.8947368421052633E-2</v>
      </c>
      <c r="F765" s="1">
        <v>0</v>
      </c>
      <c r="G765" s="1">
        <v>1</v>
      </c>
      <c r="H765" s="1">
        <v>4</v>
      </c>
      <c r="I765" s="1">
        <v>0</v>
      </c>
      <c r="J765" s="1">
        <v>0</v>
      </c>
      <c r="K765" s="1">
        <v>0</v>
      </c>
      <c r="L765" s="1">
        <v>3164</v>
      </c>
      <c r="M765" s="1">
        <v>0</v>
      </c>
    </row>
    <row r="766" spans="2:13" x14ac:dyDescent="0.25">
      <c r="B766" s="1">
        <v>0</v>
      </c>
      <c r="C766" s="1">
        <v>0</v>
      </c>
      <c r="D766" s="1">
        <v>1</v>
      </c>
      <c r="E766" s="1">
        <v>0</v>
      </c>
      <c r="F766" s="1">
        <v>38</v>
      </c>
      <c r="G766" s="1">
        <v>1</v>
      </c>
      <c r="H766" s="1">
        <v>44</v>
      </c>
      <c r="I766" s="1">
        <v>0</v>
      </c>
      <c r="J766" s="1">
        <v>2</v>
      </c>
      <c r="K766" s="1">
        <v>0</v>
      </c>
      <c r="L766" s="1">
        <v>67449</v>
      </c>
      <c r="M766" s="1">
        <v>1</v>
      </c>
    </row>
    <row r="767" spans="2:13" x14ac:dyDescent="0.25">
      <c r="B767" s="1">
        <v>1</v>
      </c>
      <c r="C767" s="1">
        <v>1</v>
      </c>
      <c r="D767" s="1">
        <v>0.31818181818181818</v>
      </c>
      <c r="E767" s="1">
        <v>0.68181818181818188</v>
      </c>
      <c r="F767" s="1">
        <v>28</v>
      </c>
      <c r="G767" s="1">
        <v>0</v>
      </c>
      <c r="H767" s="1">
        <v>7</v>
      </c>
      <c r="I767" s="1">
        <v>1</v>
      </c>
      <c r="J767" s="1">
        <v>0</v>
      </c>
      <c r="K767" s="1">
        <v>0</v>
      </c>
      <c r="L767" s="1">
        <v>9692</v>
      </c>
      <c r="M767" s="1">
        <v>0</v>
      </c>
    </row>
    <row r="768" spans="2:13" x14ac:dyDescent="0.25">
      <c r="B768" s="17">
        <v>1</v>
      </c>
      <c r="C768" s="17">
        <v>0</v>
      </c>
      <c r="D768" s="17">
        <v>0.16666666666666666</v>
      </c>
      <c r="E768" s="17">
        <v>0.83333333333333326</v>
      </c>
      <c r="F768" s="17">
        <v>23</v>
      </c>
      <c r="G768" s="17">
        <v>1</v>
      </c>
      <c r="H768" s="17">
        <v>7</v>
      </c>
      <c r="I768" s="17">
        <v>3</v>
      </c>
      <c r="J768" s="17">
        <v>1</v>
      </c>
      <c r="K768" s="17">
        <v>0</v>
      </c>
      <c r="L768" s="17">
        <v>72938</v>
      </c>
      <c r="M768" s="17">
        <v>0</v>
      </c>
    </row>
    <row r="769" spans="2:13" x14ac:dyDescent="0.25">
      <c r="B769" s="1">
        <v>0</v>
      </c>
      <c r="C769" s="1">
        <v>0</v>
      </c>
      <c r="D769" s="1">
        <v>0.8571428571428571</v>
      </c>
      <c r="E769" s="1">
        <v>0.14285714285714288</v>
      </c>
      <c r="F769" s="1">
        <v>76</v>
      </c>
      <c r="G769" s="1">
        <v>0</v>
      </c>
      <c r="H769" s="1">
        <v>4</v>
      </c>
      <c r="I769" s="1">
        <v>8</v>
      </c>
      <c r="J769" s="1">
        <v>0</v>
      </c>
      <c r="K769" s="1">
        <v>0</v>
      </c>
      <c r="L769" s="1">
        <v>17024</v>
      </c>
      <c r="M769" s="1">
        <v>0</v>
      </c>
    </row>
    <row r="770" spans="2:13" x14ac:dyDescent="0.25">
      <c r="B770" s="1">
        <v>0</v>
      </c>
      <c r="C770" s="1">
        <v>0</v>
      </c>
      <c r="D770" s="1">
        <v>0.9810526315789474</v>
      </c>
      <c r="E770" s="1">
        <v>1.8947368421052633E-2</v>
      </c>
      <c r="F770" s="1">
        <v>24</v>
      </c>
      <c r="G770" s="1">
        <v>1</v>
      </c>
      <c r="H770" s="1">
        <v>5</v>
      </c>
      <c r="I770" s="1">
        <v>4</v>
      </c>
      <c r="J770" s="1">
        <v>0</v>
      </c>
      <c r="K770" s="1">
        <v>0</v>
      </c>
      <c r="L770" s="1">
        <v>9128</v>
      </c>
      <c r="M770" s="1">
        <v>0</v>
      </c>
    </row>
    <row r="771" spans="2:13" x14ac:dyDescent="0.25">
      <c r="B771" s="1">
        <v>0</v>
      </c>
      <c r="C771" s="1">
        <v>0</v>
      </c>
      <c r="D771" s="1">
        <v>1</v>
      </c>
      <c r="E771" s="1">
        <v>0</v>
      </c>
      <c r="F771" s="1">
        <v>47</v>
      </c>
      <c r="G771" s="1">
        <v>1</v>
      </c>
      <c r="H771" s="1">
        <v>2</v>
      </c>
      <c r="I771" s="1">
        <v>4</v>
      </c>
      <c r="J771" s="1">
        <v>0</v>
      </c>
      <c r="K771" s="1">
        <v>0</v>
      </c>
      <c r="L771" s="1">
        <v>10468</v>
      </c>
      <c r="M771" s="1">
        <v>0</v>
      </c>
    </row>
    <row r="772" spans="2:13" x14ac:dyDescent="0.25">
      <c r="B772" s="1">
        <v>0</v>
      </c>
      <c r="C772" s="1">
        <v>0</v>
      </c>
      <c r="D772" s="1">
        <v>0.99749999999999994</v>
      </c>
      <c r="E772" s="1">
        <v>2.5000000000000001E-3</v>
      </c>
      <c r="F772" s="1">
        <v>62</v>
      </c>
      <c r="G772" s="1">
        <v>0</v>
      </c>
      <c r="H772" s="1">
        <v>14</v>
      </c>
      <c r="I772" s="1">
        <v>4</v>
      </c>
      <c r="J772" s="1">
        <v>0</v>
      </c>
      <c r="K772" s="1">
        <v>0</v>
      </c>
      <c r="L772" s="1">
        <v>26301</v>
      </c>
      <c r="M772" s="1">
        <v>0</v>
      </c>
    </row>
    <row r="773" spans="2:13" x14ac:dyDescent="0.25">
      <c r="B773" s="1">
        <v>0</v>
      </c>
      <c r="C773" s="1">
        <v>0</v>
      </c>
      <c r="D773" s="1">
        <v>0.9810526315789474</v>
      </c>
      <c r="E773" s="1">
        <v>1.8947368421052633E-2</v>
      </c>
      <c r="F773" s="1">
        <v>25</v>
      </c>
      <c r="G773" s="1">
        <v>1</v>
      </c>
      <c r="H773" s="1">
        <v>2</v>
      </c>
      <c r="I773" s="1">
        <v>0</v>
      </c>
      <c r="J773" s="1">
        <v>1</v>
      </c>
      <c r="K773" s="1">
        <v>0</v>
      </c>
      <c r="L773" s="1">
        <v>5761</v>
      </c>
      <c r="M773" s="1">
        <v>0</v>
      </c>
    </row>
    <row r="774" spans="2:13" x14ac:dyDescent="0.25">
      <c r="B774" s="1">
        <v>0</v>
      </c>
      <c r="C774" s="1">
        <v>0</v>
      </c>
      <c r="D774" s="1">
        <v>0.625</v>
      </c>
      <c r="E774" s="1">
        <v>0.37500000000000006</v>
      </c>
      <c r="F774" s="1">
        <v>84</v>
      </c>
      <c r="G774" s="1">
        <v>0</v>
      </c>
      <c r="H774" s="1">
        <v>4</v>
      </c>
      <c r="I774" s="1">
        <v>3</v>
      </c>
      <c r="J774" s="1">
        <v>0</v>
      </c>
      <c r="K774" s="1">
        <v>0</v>
      </c>
      <c r="L774" s="1">
        <v>13899</v>
      </c>
      <c r="M774" s="1">
        <v>0</v>
      </c>
    </row>
    <row r="775" spans="2:13" x14ac:dyDescent="0.25">
      <c r="B775" s="1">
        <v>0</v>
      </c>
      <c r="C775" s="1">
        <v>0</v>
      </c>
      <c r="D775" s="1">
        <v>0.9810526315789474</v>
      </c>
      <c r="E775" s="1">
        <v>1.8947368421052633E-2</v>
      </c>
      <c r="F775" s="1">
        <v>27</v>
      </c>
      <c r="G775" s="1">
        <v>1</v>
      </c>
      <c r="H775" s="1">
        <v>7</v>
      </c>
      <c r="I775" s="1">
        <v>4</v>
      </c>
      <c r="J775" s="1">
        <v>0</v>
      </c>
      <c r="K775" s="1">
        <v>0</v>
      </c>
      <c r="L775" s="1">
        <v>9773</v>
      </c>
      <c r="M775" s="1">
        <v>0</v>
      </c>
    </row>
    <row r="776" spans="2:13" x14ac:dyDescent="0.25">
      <c r="B776" s="1">
        <v>0</v>
      </c>
      <c r="C776" s="1">
        <v>0</v>
      </c>
      <c r="D776" s="1">
        <v>0.9810526315789474</v>
      </c>
      <c r="E776" s="1">
        <v>1.8947368421052633E-2</v>
      </c>
      <c r="F776" s="1">
        <v>0</v>
      </c>
      <c r="G776" s="1">
        <v>1</v>
      </c>
      <c r="H776" s="1">
        <v>0</v>
      </c>
      <c r="I776" s="1">
        <v>0</v>
      </c>
      <c r="J776" s="1">
        <v>1</v>
      </c>
      <c r="K776" s="1">
        <v>0</v>
      </c>
      <c r="L776" s="1">
        <v>3543</v>
      </c>
      <c r="M776" s="1">
        <v>0</v>
      </c>
    </row>
    <row r="777" spans="2:13" x14ac:dyDescent="0.25">
      <c r="B777" s="1">
        <v>0</v>
      </c>
      <c r="C777" s="1">
        <v>0</v>
      </c>
      <c r="D777" s="1">
        <v>0.9810526315789474</v>
      </c>
      <c r="E777" s="1">
        <v>1.8947368421052633E-2</v>
      </c>
      <c r="F777" s="1">
        <v>23</v>
      </c>
      <c r="G777" s="1">
        <v>1</v>
      </c>
      <c r="H777" s="1">
        <v>2</v>
      </c>
      <c r="I777" s="1">
        <v>0</v>
      </c>
      <c r="J777" s="1">
        <v>3</v>
      </c>
      <c r="K777" s="1">
        <v>0</v>
      </c>
      <c r="L777" s="1">
        <v>8734</v>
      </c>
      <c r="M777" s="1">
        <v>0</v>
      </c>
    </row>
    <row r="778" spans="2:13" x14ac:dyDescent="0.25">
      <c r="B778" s="1">
        <v>0</v>
      </c>
      <c r="C778" s="1">
        <v>0</v>
      </c>
      <c r="D778" s="1">
        <v>0.99749999999999994</v>
      </c>
      <c r="E778" s="1">
        <v>2.5000000000000001E-3</v>
      </c>
      <c r="F778" s="1">
        <v>71</v>
      </c>
      <c r="G778" s="1">
        <v>1</v>
      </c>
      <c r="H778" s="1">
        <v>2</v>
      </c>
      <c r="I778" s="1">
        <v>5</v>
      </c>
      <c r="J778" s="1">
        <v>0</v>
      </c>
      <c r="K778" s="1">
        <v>0</v>
      </c>
      <c r="L778" s="1">
        <v>7522</v>
      </c>
      <c r="M778" s="1">
        <v>0</v>
      </c>
    </row>
    <row r="779" spans="2:13" x14ac:dyDescent="0.25">
      <c r="B779" s="1">
        <v>0</v>
      </c>
      <c r="C779" s="1">
        <v>0</v>
      </c>
      <c r="D779" s="1">
        <v>0.99749999999999994</v>
      </c>
      <c r="E779" s="1">
        <v>2.5000000000000001E-3</v>
      </c>
      <c r="F779" s="1">
        <v>58</v>
      </c>
      <c r="G779" s="1">
        <v>1</v>
      </c>
      <c r="H779" s="1">
        <v>5</v>
      </c>
      <c r="I779" s="1">
        <v>2</v>
      </c>
      <c r="J779" s="1">
        <v>0</v>
      </c>
      <c r="K779" s="1">
        <v>0</v>
      </c>
      <c r="L779" s="1">
        <v>18035</v>
      </c>
      <c r="M779" s="1">
        <v>0</v>
      </c>
    </row>
    <row r="780" spans="2:13" x14ac:dyDescent="0.25">
      <c r="B780" s="17">
        <v>0</v>
      </c>
      <c r="C780" s="17">
        <v>1</v>
      </c>
      <c r="D780" s="17">
        <v>0.625</v>
      </c>
      <c r="E780" s="17">
        <v>0.37500000000000006</v>
      </c>
      <c r="F780" s="17">
        <v>89</v>
      </c>
      <c r="G780" s="17">
        <v>0</v>
      </c>
      <c r="H780" s="17">
        <v>9</v>
      </c>
      <c r="I780" s="17">
        <v>0</v>
      </c>
      <c r="J780" s="17">
        <v>2</v>
      </c>
      <c r="K780" s="17">
        <v>0</v>
      </c>
      <c r="L780" s="17">
        <v>46675</v>
      </c>
      <c r="M780" s="17">
        <v>0</v>
      </c>
    </row>
    <row r="781" spans="2:13" x14ac:dyDescent="0.25">
      <c r="B781" s="1">
        <v>1</v>
      </c>
      <c r="C781" s="1">
        <v>1</v>
      </c>
      <c r="D781" s="1">
        <v>0</v>
      </c>
      <c r="E781" s="1">
        <v>1</v>
      </c>
      <c r="F781" s="1">
        <v>75</v>
      </c>
      <c r="G781" s="1">
        <v>1</v>
      </c>
      <c r="H781" s="1">
        <v>1</v>
      </c>
      <c r="I781" s="1">
        <v>6</v>
      </c>
      <c r="J781" s="1">
        <v>0</v>
      </c>
      <c r="K781" s="1">
        <v>1</v>
      </c>
      <c r="L781" s="1">
        <v>10857</v>
      </c>
      <c r="M781" s="1">
        <v>0</v>
      </c>
    </row>
    <row r="782" spans="2:13" x14ac:dyDescent="0.25">
      <c r="B782" s="1">
        <v>0</v>
      </c>
      <c r="C782" s="1">
        <v>0</v>
      </c>
      <c r="D782" s="1">
        <v>0.9810526315789474</v>
      </c>
      <c r="E782" s="1">
        <v>1.8947368421052633E-2</v>
      </c>
      <c r="F782" s="1">
        <v>22</v>
      </c>
      <c r="G782" s="1">
        <v>1</v>
      </c>
      <c r="H782" s="1">
        <v>3</v>
      </c>
      <c r="I782" s="1">
        <v>1</v>
      </c>
      <c r="J782" s="1">
        <v>0</v>
      </c>
      <c r="K782" s="1">
        <v>0</v>
      </c>
      <c r="L782" s="1">
        <v>13756</v>
      </c>
      <c r="M782" s="1">
        <v>0</v>
      </c>
    </row>
    <row r="783" spans="2:13" x14ac:dyDescent="0.25">
      <c r="B783" s="1">
        <v>0</v>
      </c>
      <c r="C783" s="1">
        <v>0</v>
      </c>
      <c r="D783" s="1">
        <v>0.8571428571428571</v>
      </c>
      <c r="E783" s="1">
        <v>0.14285714285714288</v>
      </c>
      <c r="F783" s="1">
        <v>79</v>
      </c>
      <c r="G783" s="1">
        <v>1</v>
      </c>
      <c r="H783" s="1">
        <v>1</v>
      </c>
      <c r="I783" s="1">
        <v>2</v>
      </c>
      <c r="J783" s="1">
        <v>0</v>
      </c>
      <c r="K783" s="1">
        <v>0</v>
      </c>
      <c r="L783" s="1">
        <v>5736</v>
      </c>
      <c r="M783" s="1">
        <v>0</v>
      </c>
    </row>
    <row r="784" spans="2:13" x14ac:dyDescent="0.25">
      <c r="B784" s="1">
        <v>0</v>
      </c>
      <c r="C784" s="1">
        <v>0</v>
      </c>
      <c r="D784" s="1">
        <v>0.9810526315789474</v>
      </c>
      <c r="E784" s="1">
        <v>1.8947368421052633E-2</v>
      </c>
      <c r="F784" s="1">
        <v>22</v>
      </c>
      <c r="G784" s="1">
        <v>1</v>
      </c>
      <c r="H784" s="1">
        <v>2</v>
      </c>
      <c r="I784" s="1">
        <v>1</v>
      </c>
      <c r="J784" s="1">
        <v>3</v>
      </c>
      <c r="K784" s="1">
        <v>0</v>
      </c>
      <c r="L784" s="1">
        <v>9139</v>
      </c>
      <c r="M784" s="1">
        <v>0</v>
      </c>
    </row>
    <row r="785" spans="2:13" x14ac:dyDescent="0.25">
      <c r="B785" s="1">
        <v>1</v>
      </c>
      <c r="C785" s="1">
        <v>1</v>
      </c>
      <c r="D785" s="1">
        <v>0</v>
      </c>
      <c r="E785" s="1">
        <v>1</v>
      </c>
      <c r="F785" s="1">
        <v>80</v>
      </c>
      <c r="G785" s="1">
        <v>0</v>
      </c>
      <c r="H785" s="1">
        <v>7</v>
      </c>
      <c r="I785" s="1">
        <v>4</v>
      </c>
      <c r="J785" s="1">
        <v>0</v>
      </c>
      <c r="K785" s="1">
        <v>1</v>
      </c>
      <c r="L785" s="1">
        <v>16190</v>
      </c>
      <c r="M785" s="1">
        <v>0</v>
      </c>
    </row>
    <row r="786" spans="2:13" x14ac:dyDescent="0.25">
      <c r="B786" s="1">
        <v>0</v>
      </c>
      <c r="C786" s="1">
        <v>0</v>
      </c>
      <c r="D786" s="1">
        <v>0.99749999999999994</v>
      </c>
      <c r="E786" s="1">
        <v>2.5000000000000001E-3</v>
      </c>
      <c r="F786" s="1">
        <v>72</v>
      </c>
      <c r="G786" s="1">
        <v>1</v>
      </c>
      <c r="H786" s="1">
        <v>2</v>
      </c>
      <c r="I786" s="1">
        <v>7</v>
      </c>
      <c r="J786" s="1">
        <v>0</v>
      </c>
      <c r="K786" s="1">
        <v>0</v>
      </c>
      <c r="L786" s="1">
        <v>17912</v>
      </c>
      <c r="M786" s="1">
        <v>0</v>
      </c>
    </row>
    <row r="787" spans="2:13" x14ac:dyDescent="0.25">
      <c r="B787" s="1">
        <v>1</v>
      </c>
      <c r="C787" s="1">
        <v>1</v>
      </c>
      <c r="D787" s="1">
        <v>0</v>
      </c>
      <c r="E787" s="1">
        <v>1</v>
      </c>
      <c r="F787" s="1">
        <v>51</v>
      </c>
      <c r="G787" s="1">
        <v>1</v>
      </c>
      <c r="H787" s="1">
        <v>2</v>
      </c>
      <c r="I787" s="1">
        <v>2</v>
      </c>
      <c r="J787" s="1">
        <v>1</v>
      </c>
      <c r="K787" s="1">
        <v>1</v>
      </c>
      <c r="L787" s="1">
        <v>12315</v>
      </c>
      <c r="M787" s="1">
        <v>0</v>
      </c>
    </row>
    <row r="788" spans="2:13" x14ac:dyDescent="0.25">
      <c r="B788" s="1">
        <v>1</v>
      </c>
      <c r="C788" s="1">
        <v>1</v>
      </c>
      <c r="D788" s="1">
        <v>0</v>
      </c>
      <c r="E788" s="1">
        <v>1</v>
      </c>
      <c r="F788" s="1">
        <v>78</v>
      </c>
      <c r="G788" s="1">
        <v>1</v>
      </c>
      <c r="H788" s="1">
        <v>5</v>
      </c>
      <c r="I788" s="1">
        <v>5</v>
      </c>
      <c r="J788" s="1">
        <v>2</v>
      </c>
      <c r="K788" s="1">
        <v>1</v>
      </c>
      <c r="L788" s="1">
        <v>13347</v>
      </c>
      <c r="M788" s="1">
        <v>0</v>
      </c>
    </row>
    <row r="789" spans="2:13" x14ac:dyDescent="0.25">
      <c r="B789" s="17">
        <v>1</v>
      </c>
      <c r="C789" s="17">
        <v>0</v>
      </c>
      <c r="D789" s="17">
        <v>0.36</v>
      </c>
      <c r="E789" s="17">
        <v>0.64</v>
      </c>
      <c r="F789" s="17">
        <v>82</v>
      </c>
      <c r="G789" s="17">
        <v>1</v>
      </c>
      <c r="H789" s="17">
        <v>7</v>
      </c>
      <c r="I789" s="17">
        <v>4</v>
      </c>
      <c r="J789" s="17">
        <v>0</v>
      </c>
      <c r="K789" s="17">
        <v>0</v>
      </c>
      <c r="L789" s="17">
        <v>25829</v>
      </c>
      <c r="M789" s="17">
        <v>0</v>
      </c>
    </row>
    <row r="790" spans="2:13" x14ac:dyDescent="0.25">
      <c r="B790" s="1">
        <v>0</v>
      </c>
      <c r="C790" s="1">
        <v>0</v>
      </c>
      <c r="D790" s="1">
        <v>0.9810526315789474</v>
      </c>
      <c r="E790" s="1">
        <v>1.8947368421052633E-2</v>
      </c>
      <c r="F790" s="1">
        <v>15</v>
      </c>
      <c r="G790" s="1">
        <v>1</v>
      </c>
      <c r="H790" s="1">
        <v>3</v>
      </c>
      <c r="I790" s="1">
        <v>0</v>
      </c>
      <c r="J790" s="1">
        <v>0</v>
      </c>
      <c r="K790" s="1">
        <v>0</v>
      </c>
      <c r="L790" s="1">
        <v>4173</v>
      </c>
      <c r="M790" s="1">
        <v>0</v>
      </c>
    </row>
    <row r="791" spans="2:13" x14ac:dyDescent="0.25">
      <c r="B791" s="1">
        <v>0</v>
      </c>
      <c r="C791" s="1">
        <v>0</v>
      </c>
      <c r="D791" s="1">
        <v>0.99749999999999994</v>
      </c>
      <c r="E791" s="1">
        <v>2.5000000000000001E-3</v>
      </c>
      <c r="F791" s="1">
        <v>68</v>
      </c>
      <c r="G791" s="1">
        <v>1</v>
      </c>
      <c r="H791" s="1">
        <v>4</v>
      </c>
      <c r="I791" s="1">
        <v>5</v>
      </c>
      <c r="J791" s="1">
        <v>0</v>
      </c>
      <c r="K791" s="1">
        <v>0</v>
      </c>
      <c r="L791" s="1">
        <v>12796</v>
      </c>
      <c r="M791" s="1">
        <v>0</v>
      </c>
    </row>
    <row r="792" spans="2:13" x14ac:dyDescent="0.25">
      <c r="B792" s="1">
        <v>1</v>
      </c>
      <c r="C792" s="1">
        <v>1</v>
      </c>
      <c r="D792" s="1">
        <v>0.36</v>
      </c>
      <c r="E792" s="1">
        <v>0.64</v>
      </c>
      <c r="F792" s="1">
        <v>85</v>
      </c>
      <c r="G792" s="1">
        <v>1</v>
      </c>
      <c r="H792" s="1">
        <v>5</v>
      </c>
      <c r="I792" s="1">
        <v>5</v>
      </c>
      <c r="J792" s="1">
        <v>1</v>
      </c>
      <c r="K792" s="1">
        <v>0</v>
      </c>
      <c r="L792" s="1">
        <v>16340</v>
      </c>
      <c r="M792" s="1">
        <v>0</v>
      </c>
    </row>
    <row r="793" spans="2:13" x14ac:dyDescent="0.25">
      <c r="B793" s="1">
        <v>0</v>
      </c>
      <c r="C793" s="1">
        <v>0</v>
      </c>
      <c r="D793" s="1">
        <v>1</v>
      </c>
      <c r="E793" s="1">
        <v>0</v>
      </c>
      <c r="F793" s="1">
        <v>95</v>
      </c>
      <c r="G793" s="1">
        <v>0</v>
      </c>
      <c r="H793" s="1">
        <v>5</v>
      </c>
      <c r="I793" s="1">
        <v>6</v>
      </c>
      <c r="J793" s="1">
        <v>0</v>
      </c>
      <c r="K793" s="1">
        <v>0</v>
      </c>
      <c r="L793" s="1">
        <v>15963</v>
      </c>
      <c r="M793" s="1">
        <v>0</v>
      </c>
    </row>
    <row r="794" spans="2:13" x14ac:dyDescent="0.25">
      <c r="B794" s="1">
        <v>0</v>
      </c>
      <c r="C794" s="1">
        <v>0</v>
      </c>
      <c r="D794" s="1">
        <v>1</v>
      </c>
      <c r="E794" s="1">
        <v>0</v>
      </c>
      <c r="F794" s="1">
        <v>45</v>
      </c>
      <c r="G794" s="1">
        <v>0</v>
      </c>
      <c r="H794" s="1">
        <v>1</v>
      </c>
      <c r="I794" s="1">
        <v>3</v>
      </c>
      <c r="J794" s="1">
        <v>2</v>
      </c>
      <c r="K794" s="1">
        <v>0</v>
      </c>
      <c r="L794" s="1">
        <v>19629</v>
      </c>
      <c r="M794" s="1">
        <v>0</v>
      </c>
    </row>
    <row r="795" spans="2:13" x14ac:dyDescent="0.25">
      <c r="B795" s="1">
        <v>1</v>
      </c>
      <c r="C795" s="1">
        <v>1</v>
      </c>
      <c r="D795" s="1">
        <v>0.19999999999999996</v>
      </c>
      <c r="E795" s="1">
        <v>0.79999999999999993</v>
      </c>
      <c r="F795" s="1">
        <v>83</v>
      </c>
      <c r="G795" s="1">
        <v>1</v>
      </c>
      <c r="H795" s="1">
        <v>12</v>
      </c>
      <c r="I795" s="1">
        <v>6</v>
      </c>
      <c r="J795" s="1">
        <v>1</v>
      </c>
      <c r="K795" s="1">
        <v>0</v>
      </c>
      <c r="L795" s="1">
        <v>39791</v>
      </c>
      <c r="M795" s="1">
        <v>0</v>
      </c>
    </row>
    <row r="796" spans="2:13" x14ac:dyDescent="0.25">
      <c r="B796" s="1">
        <v>0</v>
      </c>
      <c r="C796" s="1">
        <v>0</v>
      </c>
      <c r="D796" s="1">
        <v>0.99749999999999994</v>
      </c>
      <c r="E796" s="1">
        <v>2.5000000000000001E-3</v>
      </c>
      <c r="F796" s="1">
        <v>72</v>
      </c>
      <c r="G796" s="1">
        <v>0</v>
      </c>
      <c r="H796" s="1">
        <v>1</v>
      </c>
      <c r="I796" s="1">
        <v>1</v>
      </c>
      <c r="J796" s="1">
        <v>1</v>
      </c>
      <c r="K796" s="1">
        <v>0</v>
      </c>
      <c r="L796" s="1">
        <v>16690</v>
      </c>
      <c r="M796" s="1">
        <v>1</v>
      </c>
    </row>
    <row r="797" spans="2:13" x14ac:dyDescent="0.25">
      <c r="B797" s="1">
        <v>0</v>
      </c>
      <c r="C797" s="1">
        <v>0</v>
      </c>
      <c r="D797" s="1">
        <v>0.99749999999999994</v>
      </c>
      <c r="E797" s="1">
        <v>2.5000000000000001E-3</v>
      </c>
      <c r="F797" s="1">
        <v>67</v>
      </c>
      <c r="G797" s="1">
        <v>0</v>
      </c>
      <c r="H797" s="1">
        <v>4</v>
      </c>
      <c r="I797" s="1">
        <v>7</v>
      </c>
      <c r="J797" s="1">
        <v>2</v>
      </c>
      <c r="K797" s="1">
        <v>0</v>
      </c>
      <c r="L797" s="1">
        <v>8209</v>
      </c>
      <c r="M797" s="1">
        <v>0</v>
      </c>
    </row>
    <row r="798" spans="2:13" x14ac:dyDescent="0.25">
      <c r="B798" s="1">
        <v>0</v>
      </c>
      <c r="C798" s="1">
        <v>0</v>
      </c>
      <c r="D798" s="1">
        <v>0.99749999999999994</v>
      </c>
      <c r="E798" s="1">
        <v>2.5000000000000001E-3</v>
      </c>
      <c r="F798" s="1">
        <v>68</v>
      </c>
      <c r="G798" s="1">
        <v>1</v>
      </c>
      <c r="H798" s="1">
        <v>1</v>
      </c>
      <c r="I798" s="1">
        <v>3</v>
      </c>
      <c r="J798" s="1">
        <v>0</v>
      </c>
      <c r="K798" s="1">
        <v>0</v>
      </c>
      <c r="L798" s="1">
        <v>3705</v>
      </c>
      <c r="M798" s="1">
        <v>0</v>
      </c>
    </row>
    <row r="799" spans="2:13" x14ac:dyDescent="0.25">
      <c r="B799" s="1">
        <v>0</v>
      </c>
      <c r="C799" s="1">
        <v>0</v>
      </c>
      <c r="D799" s="1">
        <v>0.99749999999999994</v>
      </c>
      <c r="E799" s="1">
        <v>2.5000000000000001E-3</v>
      </c>
      <c r="F799" s="1">
        <v>70</v>
      </c>
      <c r="G799" s="1">
        <v>1</v>
      </c>
      <c r="H799" s="1">
        <v>3</v>
      </c>
      <c r="I799" s="1">
        <v>2</v>
      </c>
      <c r="J799" s="1">
        <v>1</v>
      </c>
      <c r="K799" s="1">
        <v>0</v>
      </c>
      <c r="L799" s="1">
        <v>10631</v>
      </c>
      <c r="M799" s="1">
        <v>1</v>
      </c>
    </row>
    <row r="800" spans="2:13" x14ac:dyDescent="0.25">
      <c r="B800" s="1">
        <v>1</v>
      </c>
      <c r="C800" s="1">
        <v>1</v>
      </c>
      <c r="D800" s="1">
        <v>0.19999999999999998</v>
      </c>
      <c r="E800" s="1">
        <v>0.79999999999999993</v>
      </c>
      <c r="F800" s="1">
        <v>36</v>
      </c>
      <c r="G800" s="1">
        <v>1</v>
      </c>
      <c r="H800" s="1">
        <v>4</v>
      </c>
      <c r="I800" s="1">
        <v>2</v>
      </c>
      <c r="J800" s="1">
        <v>0</v>
      </c>
      <c r="K800" s="1">
        <v>0</v>
      </c>
      <c r="L800" s="1">
        <v>7073</v>
      </c>
      <c r="M800" s="1">
        <v>0</v>
      </c>
    </row>
    <row r="801" spans="2:13" x14ac:dyDescent="0.25">
      <c r="B801" s="1">
        <v>0</v>
      </c>
      <c r="C801" s="1">
        <v>0</v>
      </c>
      <c r="D801" s="1">
        <v>0.99749999999999994</v>
      </c>
      <c r="E801" s="1">
        <v>2.5000000000000001E-3</v>
      </c>
      <c r="F801" s="1">
        <v>58</v>
      </c>
      <c r="G801" s="1">
        <v>1</v>
      </c>
      <c r="H801" s="1">
        <v>6</v>
      </c>
      <c r="I801" s="1">
        <v>5</v>
      </c>
      <c r="J801" s="1">
        <v>0</v>
      </c>
      <c r="K801" s="1">
        <v>0</v>
      </c>
      <c r="L801" s="1">
        <v>29290</v>
      </c>
      <c r="M801" s="1">
        <v>0</v>
      </c>
    </row>
    <row r="802" spans="2:13" x14ac:dyDescent="0.25">
      <c r="B802" s="17">
        <v>1</v>
      </c>
      <c r="C802" s="17">
        <v>0</v>
      </c>
      <c r="D802" s="17">
        <v>0.27272727272727276</v>
      </c>
      <c r="E802" s="17">
        <v>0.72727272727272729</v>
      </c>
      <c r="F802" s="17">
        <v>71</v>
      </c>
      <c r="G802" s="17">
        <v>0</v>
      </c>
      <c r="H802" s="17">
        <v>46</v>
      </c>
      <c r="I802" s="17">
        <v>5</v>
      </c>
      <c r="J802" s="17">
        <v>6</v>
      </c>
      <c r="K802" s="17">
        <v>0</v>
      </c>
      <c r="L802" s="17">
        <v>117531</v>
      </c>
      <c r="M802" s="17">
        <v>0</v>
      </c>
    </row>
    <row r="803" spans="2:13" x14ac:dyDescent="0.25">
      <c r="B803" s="1">
        <v>1</v>
      </c>
      <c r="C803" s="1">
        <v>1</v>
      </c>
      <c r="D803" s="1">
        <v>0</v>
      </c>
      <c r="E803" s="1">
        <v>1</v>
      </c>
      <c r="F803" s="1">
        <v>89</v>
      </c>
      <c r="G803" s="1">
        <v>1</v>
      </c>
      <c r="H803" s="1">
        <v>8</v>
      </c>
      <c r="I803" s="1">
        <v>2</v>
      </c>
      <c r="J803" s="1">
        <v>1</v>
      </c>
      <c r="K803" s="1">
        <v>1</v>
      </c>
      <c r="L803" s="1">
        <v>15370</v>
      </c>
      <c r="M803" s="1">
        <v>0</v>
      </c>
    </row>
    <row r="804" spans="2:13" x14ac:dyDescent="0.25">
      <c r="B804" s="1">
        <v>0</v>
      </c>
      <c r="C804" s="1">
        <v>0</v>
      </c>
      <c r="D804" s="1">
        <v>0.8571428571428571</v>
      </c>
      <c r="E804" s="1">
        <v>0.14285714285714288</v>
      </c>
      <c r="F804" s="1">
        <v>77</v>
      </c>
      <c r="G804" s="1">
        <v>1</v>
      </c>
      <c r="H804" s="1">
        <v>4</v>
      </c>
      <c r="I804" s="1">
        <v>2</v>
      </c>
      <c r="J804" s="1">
        <v>1</v>
      </c>
      <c r="K804" s="1">
        <v>0</v>
      </c>
      <c r="L804" s="1">
        <v>15894</v>
      </c>
      <c r="M804" s="1">
        <v>1</v>
      </c>
    </row>
    <row r="805" spans="2:13" x14ac:dyDescent="0.25">
      <c r="B805" s="1">
        <v>0</v>
      </c>
      <c r="C805" s="1">
        <v>0</v>
      </c>
      <c r="D805" s="1">
        <v>0.9810526315789474</v>
      </c>
      <c r="E805" s="1">
        <v>1.8947368421052633E-2</v>
      </c>
      <c r="F805" s="1">
        <v>27</v>
      </c>
      <c r="G805" s="1">
        <v>1</v>
      </c>
      <c r="H805" s="1">
        <v>3</v>
      </c>
      <c r="I805" s="1">
        <v>0</v>
      </c>
      <c r="J805" s="1">
        <v>3</v>
      </c>
      <c r="K805" s="1">
        <v>0</v>
      </c>
      <c r="L805" s="1">
        <v>33711</v>
      </c>
      <c r="M805" s="1">
        <v>1</v>
      </c>
    </row>
    <row r="806" spans="2:13" x14ac:dyDescent="0.25">
      <c r="B806" s="1">
        <v>0</v>
      </c>
      <c r="C806" s="1">
        <v>0</v>
      </c>
      <c r="D806" s="1">
        <v>0.9810526315789474</v>
      </c>
      <c r="E806" s="1">
        <v>1.8947368421052633E-2</v>
      </c>
      <c r="F806" s="1">
        <v>0</v>
      </c>
      <c r="G806" s="1">
        <v>1</v>
      </c>
      <c r="H806" s="1">
        <v>2</v>
      </c>
      <c r="I806" s="1">
        <v>0</v>
      </c>
      <c r="J806" s="1">
        <v>0</v>
      </c>
      <c r="K806" s="1">
        <v>0</v>
      </c>
      <c r="L806" s="1">
        <v>2064</v>
      </c>
      <c r="M806" s="1">
        <v>0</v>
      </c>
    </row>
    <row r="807" spans="2:13" x14ac:dyDescent="0.25">
      <c r="B807" s="1">
        <v>1</v>
      </c>
      <c r="C807" s="1">
        <v>1</v>
      </c>
      <c r="D807" s="1">
        <v>0</v>
      </c>
      <c r="E807" s="1">
        <v>1</v>
      </c>
      <c r="F807" s="1">
        <v>50</v>
      </c>
      <c r="G807" s="1">
        <v>0</v>
      </c>
      <c r="H807" s="1">
        <v>1</v>
      </c>
      <c r="I807" s="1">
        <v>3</v>
      </c>
      <c r="J807" s="1">
        <v>2</v>
      </c>
      <c r="K807" s="1">
        <v>1</v>
      </c>
      <c r="L807" s="1">
        <v>5653</v>
      </c>
      <c r="M807" s="1">
        <v>1</v>
      </c>
    </row>
    <row r="808" spans="2:13" x14ac:dyDescent="0.25">
      <c r="B808" s="1">
        <v>1</v>
      </c>
      <c r="C808" s="1">
        <v>1</v>
      </c>
      <c r="D808" s="1">
        <v>0</v>
      </c>
      <c r="E808" s="1">
        <v>1</v>
      </c>
      <c r="F808" s="1">
        <v>91</v>
      </c>
      <c r="G808" s="1">
        <v>0</v>
      </c>
      <c r="H808" s="1">
        <v>3</v>
      </c>
      <c r="I808" s="1">
        <v>3</v>
      </c>
      <c r="J808" s="1">
        <v>0</v>
      </c>
      <c r="K808" s="1">
        <v>1</v>
      </c>
      <c r="L808" s="1">
        <v>10589</v>
      </c>
      <c r="M808" s="1">
        <v>0</v>
      </c>
    </row>
    <row r="809" spans="2:13" x14ac:dyDescent="0.25">
      <c r="B809" s="1">
        <v>1</v>
      </c>
      <c r="C809" s="1">
        <v>1</v>
      </c>
      <c r="D809" s="1">
        <v>0</v>
      </c>
      <c r="E809" s="1">
        <v>1</v>
      </c>
      <c r="F809" s="1">
        <v>86</v>
      </c>
      <c r="G809" s="1">
        <v>1</v>
      </c>
      <c r="H809" s="1">
        <v>4</v>
      </c>
      <c r="I809" s="1">
        <v>3</v>
      </c>
      <c r="J809" s="1">
        <v>0</v>
      </c>
      <c r="K809" s="1">
        <v>1</v>
      </c>
      <c r="L809" s="1">
        <v>15998</v>
      </c>
      <c r="M809" s="1">
        <v>0</v>
      </c>
    </row>
    <row r="810" spans="2:13" x14ac:dyDescent="0.25">
      <c r="B810" s="1">
        <v>1</v>
      </c>
      <c r="C810" s="1">
        <v>1</v>
      </c>
      <c r="D810" s="1">
        <v>0</v>
      </c>
      <c r="E810" s="1">
        <v>1</v>
      </c>
      <c r="F810" s="1">
        <v>85</v>
      </c>
      <c r="G810" s="1">
        <v>0</v>
      </c>
      <c r="H810" s="1">
        <v>22</v>
      </c>
      <c r="I810" s="1">
        <v>4</v>
      </c>
      <c r="J810" s="1">
        <v>0</v>
      </c>
      <c r="K810" s="1">
        <v>1</v>
      </c>
      <c r="L810" s="1">
        <v>42039</v>
      </c>
      <c r="M810" s="1">
        <v>0</v>
      </c>
    </row>
    <row r="811" spans="2:13" x14ac:dyDescent="0.25">
      <c r="B811" s="1">
        <v>0</v>
      </c>
      <c r="C811" s="1">
        <v>0</v>
      </c>
      <c r="D811" s="1">
        <v>0.9810526315789474</v>
      </c>
      <c r="E811" s="1">
        <v>1.8947368421052633E-2</v>
      </c>
      <c r="F811" s="1">
        <v>0</v>
      </c>
      <c r="G811" s="1">
        <v>1</v>
      </c>
      <c r="H811" s="1">
        <v>2</v>
      </c>
      <c r="I811" s="1">
        <v>0</v>
      </c>
      <c r="J811" s="1">
        <v>0</v>
      </c>
      <c r="K811" s="1">
        <v>0</v>
      </c>
      <c r="L811" s="1">
        <v>2442</v>
      </c>
      <c r="M811" s="1">
        <v>0</v>
      </c>
    </row>
    <row r="812" spans="2:13" x14ac:dyDescent="0.25">
      <c r="B812" s="1">
        <v>1</v>
      </c>
      <c r="C812" s="1">
        <v>1</v>
      </c>
      <c r="D812" s="1">
        <v>0</v>
      </c>
      <c r="E812" s="1">
        <v>1</v>
      </c>
      <c r="F812" s="1">
        <v>78</v>
      </c>
      <c r="G812" s="1">
        <v>1</v>
      </c>
      <c r="H812" s="1">
        <v>6</v>
      </c>
      <c r="I812" s="1">
        <v>4</v>
      </c>
      <c r="J812" s="1">
        <v>0</v>
      </c>
      <c r="K812" s="1">
        <v>1</v>
      </c>
      <c r="L812" s="1">
        <v>13973</v>
      </c>
      <c r="M812" s="1">
        <v>0</v>
      </c>
    </row>
    <row r="813" spans="2:13" x14ac:dyDescent="0.25">
      <c r="B813" s="1">
        <v>1</v>
      </c>
      <c r="C813" s="1">
        <v>1</v>
      </c>
      <c r="D813" s="1">
        <v>0.19999999999999996</v>
      </c>
      <c r="E813" s="1">
        <v>0.79999999999999993</v>
      </c>
      <c r="F813" s="1">
        <v>80</v>
      </c>
      <c r="G813" s="1">
        <v>1</v>
      </c>
      <c r="H813" s="1">
        <v>15</v>
      </c>
      <c r="I813" s="1">
        <v>5</v>
      </c>
      <c r="J813" s="1">
        <v>2</v>
      </c>
      <c r="K813" s="1">
        <v>0</v>
      </c>
      <c r="L813" s="1">
        <v>33878</v>
      </c>
      <c r="M813" s="1">
        <v>0</v>
      </c>
    </row>
    <row r="814" spans="2:13" x14ac:dyDescent="0.25">
      <c r="B814" s="1">
        <v>0</v>
      </c>
      <c r="C814" s="1">
        <v>0</v>
      </c>
      <c r="D814" s="1">
        <v>0.9810526315789474</v>
      </c>
      <c r="E814" s="1">
        <v>1.8947368421052633E-2</v>
      </c>
      <c r="F814" s="1">
        <v>22</v>
      </c>
      <c r="G814" s="1">
        <v>1</v>
      </c>
      <c r="H814" s="1">
        <v>2</v>
      </c>
      <c r="I814" s="1">
        <v>0</v>
      </c>
      <c r="J814" s="1">
        <v>2</v>
      </c>
      <c r="K814" s="1">
        <v>0</v>
      </c>
      <c r="L814" s="1">
        <v>7193</v>
      </c>
      <c r="M814" s="1">
        <v>0</v>
      </c>
    </row>
    <row r="815" spans="2:13" x14ac:dyDescent="0.25">
      <c r="B815" s="17">
        <v>1</v>
      </c>
      <c r="C815" s="17">
        <v>0</v>
      </c>
      <c r="D815" s="17">
        <v>0.27272727272727276</v>
      </c>
      <c r="E815" s="17">
        <v>0.72727272727272729</v>
      </c>
      <c r="F815" s="17">
        <v>96</v>
      </c>
      <c r="G815" s="17">
        <v>1</v>
      </c>
      <c r="H815" s="17">
        <v>3</v>
      </c>
      <c r="I815" s="17">
        <v>3</v>
      </c>
      <c r="J815" s="17">
        <v>0</v>
      </c>
      <c r="K815" s="17">
        <v>0</v>
      </c>
      <c r="L815" s="17">
        <v>3591</v>
      </c>
      <c r="M815" s="17">
        <v>0</v>
      </c>
    </row>
    <row r="816" spans="2:13" x14ac:dyDescent="0.25">
      <c r="B816" s="1">
        <v>1</v>
      </c>
      <c r="C816" s="1">
        <v>1</v>
      </c>
      <c r="D816" s="1">
        <v>0</v>
      </c>
      <c r="E816" s="1">
        <v>1</v>
      </c>
      <c r="F816" s="1">
        <v>76</v>
      </c>
      <c r="G816" s="1">
        <v>1</v>
      </c>
      <c r="H816" s="1">
        <v>3</v>
      </c>
      <c r="I816" s="1">
        <v>2</v>
      </c>
      <c r="J816" s="1">
        <v>1</v>
      </c>
      <c r="K816" s="1">
        <v>1</v>
      </c>
      <c r="L816" s="1">
        <v>34253</v>
      </c>
      <c r="M816" s="1">
        <v>1</v>
      </c>
    </row>
    <row r="817" spans="2:13" x14ac:dyDescent="0.25">
      <c r="B817" s="1">
        <v>1</v>
      </c>
      <c r="C817" s="1">
        <v>1</v>
      </c>
      <c r="D817" s="1">
        <v>0</v>
      </c>
      <c r="E817" s="1">
        <v>1</v>
      </c>
      <c r="F817" s="1">
        <v>51</v>
      </c>
      <c r="G817" s="1">
        <v>0</v>
      </c>
      <c r="H817" s="1">
        <v>10</v>
      </c>
      <c r="I817" s="1">
        <v>4</v>
      </c>
      <c r="J817" s="1">
        <v>2</v>
      </c>
      <c r="K817" s="1">
        <v>1</v>
      </c>
      <c r="L817" s="1">
        <v>44134</v>
      </c>
      <c r="M817" s="1">
        <v>0</v>
      </c>
    </row>
    <row r="818" spans="2:13" x14ac:dyDescent="0.25">
      <c r="B818" s="1">
        <v>1</v>
      </c>
      <c r="C818" s="1">
        <v>1</v>
      </c>
      <c r="D818" s="1">
        <v>0</v>
      </c>
      <c r="E818" s="1">
        <v>1</v>
      </c>
      <c r="F818" s="1">
        <v>78</v>
      </c>
      <c r="G818" s="1">
        <v>0</v>
      </c>
      <c r="H818" s="1">
        <v>10</v>
      </c>
      <c r="I818" s="1">
        <v>1</v>
      </c>
      <c r="J818" s="1">
        <v>1</v>
      </c>
      <c r="K818" s="1">
        <v>1</v>
      </c>
      <c r="L818" s="1">
        <v>28896</v>
      </c>
      <c r="M818" s="1">
        <v>0</v>
      </c>
    </row>
    <row r="819" spans="2:13" x14ac:dyDescent="0.25">
      <c r="B819" s="1">
        <v>1</v>
      </c>
      <c r="C819" s="1">
        <v>1</v>
      </c>
      <c r="D819" s="1">
        <v>0.19999999999999996</v>
      </c>
      <c r="E819" s="1">
        <v>0.79999999999999993</v>
      </c>
      <c r="F819" s="1">
        <v>85</v>
      </c>
      <c r="G819" s="1">
        <v>0</v>
      </c>
      <c r="H819" s="1">
        <v>10</v>
      </c>
      <c r="I819" s="1">
        <v>6</v>
      </c>
      <c r="J819" s="1">
        <v>1</v>
      </c>
      <c r="K819" s="1">
        <v>0</v>
      </c>
      <c r="L819" s="1">
        <v>29871</v>
      </c>
      <c r="M819" s="1">
        <v>0</v>
      </c>
    </row>
    <row r="820" spans="2:13" x14ac:dyDescent="0.25">
      <c r="B820" s="1">
        <v>1</v>
      </c>
      <c r="C820" s="1">
        <v>1</v>
      </c>
      <c r="D820" s="1">
        <v>0</v>
      </c>
      <c r="E820" s="1">
        <v>1</v>
      </c>
      <c r="F820" s="1">
        <v>75</v>
      </c>
      <c r="G820" s="1">
        <v>0</v>
      </c>
      <c r="H820" s="1">
        <v>3</v>
      </c>
      <c r="I820" s="1">
        <v>3</v>
      </c>
      <c r="J820" s="1">
        <v>1</v>
      </c>
      <c r="K820" s="1">
        <v>1</v>
      </c>
      <c r="L820" s="1">
        <v>124938</v>
      </c>
      <c r="M820" s="1">
        <v>1</v>
      </c>
    </row>
    <row r="821" spans="2:13" x14ac:dyDescent="0.25">
      <c r="B821" s="1">
        <v>1</v>
      </c>
      <c r="C821" s="1">
        <v>1</v>
      </c>
      <c r="D821" s="1">
        <v>0</v>
      </c>
      <c r="E821" s="1">
        <v>1</v>
      </c>
      <c r="F821" s="1">
        <v>85</v>
      </c>
      <c r="G821" s="1">
        <v>1</v>
      </c>
      <c r="H821" s="1">
        <v>3</v>
      </c>
      <c r="I821" s="1">
        <v>6</v>
      </c>
      <c r="J821" s="1">
        <v>1</v>
      </c>
      <c r="K821" s="1">
        <v>1</v>
      </c>
      <c r="L821" s="1">
        <v>10364</v>
      </c>
      <c r="M821" s="1">
        <v>0</v>
      </c>
    </row>
    <row r="822" spans="2:13" x14ac:dyDescent="0.25">
      <c r="B822" s="1">
        <v>1</v>
      </c>
      <c r="C822" s="1">
        <v>1</v>
      </c>
      <c r="D822" s="1">
        <v>0</v>
      </c>
      <c r="E822" s="1">
        <v>1</v>
      </c>
      <c r="F822" s="1">
        <v>81</v>
      </c>
      <c r="G822" s="1">
        <v>0</v>
      </c>
      <c r="H822" s="1">
        <v>8</v>
      </c>
      <c r="I822" s="1">
        <v>5</v>
      </c>
      <c r="J822" s="1">
        <v>1</v>
      </c>
      <c r="K822" s="1">
        <v>1</v>
      </c>
      <c r="L822" s="1">
        <v>38242</v>
      </c>
      <c r="M822" s="1">
        <v>1</v>
      </c>
    </row>
    <row r="823" spans="2:13" x14ac:dyDescent="0.25">
      <c r="B823" s="1">
        <v>0</v>
      </c>
      <c r="C823" s="1">
        <v>0</v>
      </c>
      <c r="D823" s="1">
        <v>0.99749999999999994</v>
      </c>
      <c r="E823" s="1">
        <v>2.5000000000000001E-3</v>
      </c>
      <c r="F823" s="1">
        <v>73</v>
      </c>
      <c r="G823" s="1">
        <v>1</v>
      </c>
      <c r="H823" s="1">
        <v>5</v>
      </c>
      <c r="I823" s="1">
        <v>4</v>
      </c>
      <c r="J823" s="1">
        <v>2</v>
      </c>
      <c r="K823" s="1">
        <v>0</v>
      </c>
      <c r="L823" s="1">
        <v>32697</v>
      </c>
      <c r="M823" s="1">
        <v>1</v>
      </c>
    </row>
    <row r="824" spans="2:13" x14ac:dyDescent="0.25">
      <c r="B824" s="1">
        <v>0</v>
      </c>
      <c r="C824" s="1">
        <v>0</v>
      </c>
      <c r="D824" s="1">
        <v>1</v>
      </c>
      <c r="E824" s="1">
        <v>0</v>
      </c>
      <c r="F824" s="1">
        <v>40</v>
      </c>
      <c r="G824" s="1">
        <v>0</v>
      </c>
      <c r="H824" s="1">
        <v>8</v>
      </c>
      <c r="I824" s="1">
        <v>3</v>
      </c>
      <c r="J824" s="1">
        <v>0</v>
      </c>
      <c r="K824" s="1">
        <v>0</v>
      </c>
      <c r="L824" s="1">
        <v>12977</v>
      </c>
      <c r="M824" s="1">
        <v>0</v>
      </c>
    </row>
    <row r="825" spans="2:13" x14ac:dyDescent="0.25">
      <c r="B825" s="17">
        <v>0</v>
      </c>
      <c r="C825" s="17">
        <v>1</v>
      </c>
      <c r="D825" s="17">
        <v>0.68</v>
      </c>
      <c r="E825" s="17">
        <v>0.32</v>
      </c>
      <c r="F825" s="17">
        <v>81</v>
      </c>
      <c r="G825" s="17">
        <v>1</v>
      </c>
      <c r="H825" s="17">
        <v>2</v>
      </c>
      <c r="I825" s="17">
        <v>4</v>
      </c>
      <c r="J825" s="17">
        <v>0</v>
      </c>
      <c r="K825" s="17">
        <v>0</v>
      </c>
      <c r="L825" s="17">
        <v>8666</v>
      </c>
      <c r="M825" s="17">
        <v>0</v>
      </c>
    </row>
    <row r="826" spans="2:13" x14ac:dyDescent="0.25">
      <c r="B826" s="1">
        <v>0</v>
      </c>
      <c r="C826" s="1">
        <v>0</v>
      </c>
      <c r="D826" s="1">
        <v>0.96666666666666667</v>
      </c>
      <c r="E826" s="1">
        <v>3.333333333333334E-2</v>
      </c>
      <c r="F826" s="1">
        <v>30</v>
      </c>
      <c r="G826" s="1">
        <v>1</v>
      </c>
      <c r="H826" s="1">
        <v>8</v>
      </c>
      <c r="I826" s="1">
        <v>3</v>
      </c>
      <c r="J826" s="1">
        <v>0</v>
      </c>
      <c r="K826" s="1">
        <v>0</v>
      </c>
      <c r="L826" s="1">
        <v>12932</v>
      </c>
      <c r="M826" s="1">
        <v>0</v>
      </c>
    </row>
    <row r="827" spans="2:13" x14ac:dyDescent="0.25">
      <c r="B827" s="1">
        <v>0</v>
      </c>
      <c r="C827" s="1">
        <v>0</v>
      </c>
      <c r="D827" s="1">
        <v>0.99749999999999994</v>
      </c>
      <c r="E827" s="1">
        <v>2.5000000000000001E-3</v>
      </c>
      <c r="F827" s="1">
        <v>70</v>
      </c>
      <c r="G827" s="1">
        <v>1</v>
      </c>
      <c r="H827" s="1">
        <v>7</v>
      </c>
      <c r="I827" s="1">
        <v>1</v>
      </c>
      <c r="J827" s="1">
        <v>2</v>
      </c>
      <c r="K827" s="1">
        <v>0</v>
      </c>
      <c r="L827" s="1">
        <v>39113</v>
      </c>
      <c r="M827" s="1">
        <v>1</v>
      </c>
    </row>
    <row r="828" spans="2:13" x14ac:dyDescent="0.25">
      <c r="B828" s="1">
        <v>0</v>
      </c>
      <c r="C828" s="1">
        <v>0</v>
      </c>
      <c r="D828" s="1">
        <v>0.9810526315789474</v>
      </c>
      <c r="E828" s="1">
        <v>1.8947368421052633E-2</v>
      </c>
      <c r="F828" s="1">
        <v>20</v>
      </c>
      <c r="G828" s="1">
        <v>1</v>
      </c>
      <c r="H828" s="1">
        <v>2</v>
      </c>
      <c r="I828" s="1">
        <v>0</v>
      </c>
      <c r="J828" s="1">
        <v>1</v>
      </c>
      <c r="K828" s="1">
        <v>0</v>
      </c>
      <c r="L828" s="1">
        <v>11550</v>
      </c>
      <c r="M828" s="1">
        <v>1</v>
      </c>
    </row>
    <row r="829" spans="2:13" x14ac:dyDescent="0.25">
      <c r="B829" s="17">
        <v>1</v>
      </c>
      <c r="C829" s="17">
        <v>0</v>
      </c>
      <c r="D829" s="17">
        <v>9.5238095238095233E-2</v>
      </c>
      <c r="E829" s="17">
        <v>0.90476190476190477</v>
      </c>
      <c r="F829" s="17">
        <v>53</v>
      </c>
      <c r="G829" s="17">
        <v>1</v>
      </c>
      <c r="H829" s="17">
        <v>2</v>
      </c>
      <c r="I829" s="17">
        <v>1</v>
      </c>
      <c r="J829" s="17">
        <v>1</v>
      </c>
      <c r="K829" s="17">
        <v>0</v>
      </c>
      <c r="L829" s="17">
        <v>19768</v>
      </c>
      <c r="M829" s="17">
        <v>1</v>
      </c>
    </row>
    <row r="830" spans="2:13" x14ac:dyDescent="0.25">
      <c r="B830" s="1">
        <v>0</v>
      </c>
      <c r="C830" s="1">
        <v>0</v>
      </c>
      <c r="D830" s="1">
        <v>0.8571428571428571</v>
      </c>
      <c r="E830" s="1">
        <v>0.14285714285714285</v>
      </c>
      <c r="F830" s="1">
        <v>52</v>
      </c>
      <c r="G830" s="1">
        <v>0</v>
      </c>
      <c r="H830" s="1">
        <v>2</v>
      </c>
      <c r="I830" s="1">
        <v>3</v>
      </c>
      <c r="J830" s="1">
        <v>0</v>
      </c>
      <c r="K830" s="1">
        <v>0</v>
      </c>
      <c r="L830" s="1">
        <v>4919</v>
      </c>
      <c r="M830" s="1">
        <v>0</v>
      </c>
    </row>
    <row r="831" spans="2:13" x14ac:dyDescent="0.25">
      <c r="B831" s="1">
        <v>0</v>
      </c>
      <c r="C831" s="1">
        <v>0</v>
      </c>
      <c r="D831" s="1">
        <v>0.96666666666666667</v>
      </c>
      <c r="E831" s="1">
        <v>3.333333333333334E-2</v>
      </c>
      <c r="F831" s="1">
        <v>32</v>
      </c>
      <c r="G831" s="1">
        <v>1</v>
      </c>
      <c r="H831" s="1">
        <v>3</v>
      </c>
      <c r="I831" s="1">
        <v>0</v>
      </c>
      <c r="J831" s="1">
        <v>3</v>
      </c>
      <c r="K831" s="1">
        <v>0</v>
      </c>
      <c r="L831" s="1">
        <v>10341</v>
      </c>
      <c r="M831" s="1">
        <v>0</v>
      </c>
    </row>
    <row r="832" spans="2:13" x14ac:dyDescent="0.25">
      <c r="B832" s="17">
        <v>0</v>
      </c>
      <c r="C832" s="17">
        <v>1</v>
      </c>
      <c r="D832" s="17">
        <v>0.7142857142857143</v>
      </c>
      <c r="E832" s="17">
        <v>0.2857142857142857</v>
      </c>
      <c r="F832" s="17">
        <v>86</v>
      </c>
      <c r="G832" s="17">
        <v>1</v>
      </c>
      <c r="H832" s="17">
        <v>8</v>
      </c>
      <c r="I832" s="17">
        <v>4</v>
      </c>
      <c r="J832" s="17">
        <v>0</v>
      </c>
      <c r="K832" s="17">
        <v>0</v>
      </c>
      <c r="L832" s="17">
        <v>37645</v>
      </c>
      <c r="M832" s="17">
        <v>0</v>
      </c>
    </row>
    <row r="833" spans="2:13" x14ac:dyDescent="0.25">
      <c r="B833" s="1">
        <v>0</v>
      </c>
      <c r="C833" s="1">
        <v>0</v>
      </c>
      <c r="D833" s="1">
        <v>0.9810526315789474</v>
      </c>
      <c r="E833" s="1">
        <v>1.8947368421052633E-2</v>
      </c>
      <c r="F833" s="1">
        <v>0</v>
      </c>
      <c r="G833" s="1">
        <v>1</v>
      </c>
      <c r="H833" s="1">
        <v>4</v>
      </c>
      <c r="I833" s="1">
        <v>0</v>
      </c>
      <c r="J833" s="1">
        <v>0</v>
      </c>
      <c r="K833" s="1">
        <v>0</v>
      </c>
      <c r="L833" s="1">
        <v>3505</v>
      </c>
      <c r="M833" s="1">
        <v>0</v>
      </c>
    </row>
    <row r="834" spans="2:13" x14ac:dyDescent="0.25">
      <c r="B834" s="1">
        <v>1</v>
      </c>
      <c r="C834" s="1">
        <v>1</v>
      </c>
      <c r="D834" s="1">
        <v>0</v>
      </c>
      <c r="E834" s="1">
        <v>1</v>
      </c>
      <c r="F834" s="1">
        <v>82</v>
      </c>
      <c r="G834" s="1">
        <v>0</v>
      </c>
      <c r="H834" s="1">
        <v>0</v>
      </c>
      <c r="I834" s="1">
        <v>3</v>
      </c>
      <c r="J834" s="1">
        <v>0</v>
      </c>
      <c r="K834" s="1">
        <v>1</v>
      </c>
      <c r="L834" s="1">
        <v>6620</v>
      </c>
      <c r="M834" s="1">
        <v>0</v>
      </c>
    </row>
    <row r="835" spans="2:13" x14ac:dyDescent="0.25">
      <c r="B835" s="1">
        <v>0</v>
      </c>
      <c r="C835" s="1">
        <v>0</v>
      </c>
      <c r="D835" s="1">
        <v>1</v>
      </c>
      <c r="E835" s="1">
        <v>0</v>
      </c>
      <c r="F835" s="1">
        <v>38</v>
      </c>
      <c r="G835" s="1">
        <v>1</v>
      </c>
      <c r="H835" s="1">
        <v>4</v>
      </c>
      <c r="I835" s="1">
        <v>1</v>
      </c>
      <c r="J835" s="1">
        <v>0</v>
      </c>
      <c r="K835" s="1">
        <v>0</v>
      </c>
      <c r="L835" s="1">
        <v>9291</v>
      </c>
      <c r="M835" s="1">
        <v>0</v>
      </c>
    </row>
    <row r="836" spans="2:13" x14ac:dyDescent="0.25">
      <c r="B836" s="1">
        <v>0</v>
      </c>
      <c r="C836" s="1">
        <v>0</v>
      </c>
      <c r="D836" s="1">
        <v>0.99749999999999994</v>
      </c>
      <c r="E836" s="1">
        <v>2.5000000000000001E-3</v>
      </c>
      <c r="F836" s="1">
        <v>72</v>
      </c>
      <c r="G836" s="1">
        <v>1</v>
      </c>
      <c r="H836" s="1">
        <v>2</v>
      </c>
      <c r="I836" s="1">
        <v>5</v>
      </c>
      <c r="J836" s="1">
        <v>0</v>
      </c>
      <c r="K836" s="1">
        <v>0</v>
      </c>
      <c r="L836" s="1">
        <v>4658</v>
      </c>
      <c r="M836" s="1">
        <v>0</v>
      </c>
    </row>
    <row r="837" spans="2:13" x14ac:dyDescent="0.25">
      <c r="B837" s="1">
        <v>0</v>
      </c>
      <c r="C837" s="1">
        <v>0</v>
      </c>
      <c r="D837" s="1">
        <v>0.99749999999999994</v>
      </c>
      <c r="E837" s="1">
        <v>2.5000000000000001E-3</v>
      </c>
      <c r="F837" s="1">
        <v>62</v>
      </c>
      <c r="G837" s="1">
        <v>0</v>
      </c>
      <c r="H837" s="1">
        <v>5</v>
      </c>
      <c r="I837" s="1">
        <v>8</v>
      </c>
      <c r="J837" s="1">
        <v>0</v>
      </c>
      <c r="K837" s="1">
        <v>0</v>
      </c>
      <c r="L837" s="1">
        <v>9934</v>
      </c>
      <c r="M837" s="1">
        <v>0</v>
      </c>
    </row>
    <row r="838" spans="2:13" x14ac:dyDescent="0.25">
      <c r="B838" s="1">
        <v>1</v>
      </c>
      <c r="C838" s="1">
        <v>1</v>
      </c>
      <c r="D838" s="1">
        <v>0</v>
      </c>
      <c r="E838" s="1">
        <v>1</v>
      </c>
      <c r="F838" s="1">
        <v>83</v>
      </c>
      <c r="G838" s="1">
        <v>1</v>
      </c>
      <c r="H838" s="1">
        <v>3</v>
      </c>
      <c r="I838" s="1">
        <v>8</v>
      </c>
      <c r="J838" s="1">
        <v>0</v>
      </c>
      <c r="K838" s="1">
        <v>1</v>
      </c>
      <c r="L838" s="1">
        <v>12574</v>
      </c>
      <c r="M838" s="1">
        <v>0</v>
      </c>
    </row>
    <row r="839" spans="2:13" x14ac:dyDescent="0.25">
      <c r="B839" s="1">
        <v>0</v>
      </c>
      <c r="C839" s="1">
        <v>0</v>
      </c>
      <c r="D839" s="1">
        <v>1</v>
      </c>
      <c r="E839" s="1">
        <v>0</v>
      </c>
      <c r="F839" s="1">
        <v>43</v>
      </c>
      <c r="G839" s="1">
        <v>1</v>
      </c>
      <c r="H839" s="1">
        <v>1</v>
      </c>
      <c r="I839" s="1">
        <v>8</v>
      </c>
      <c r="J839" s="1">
        <v>2</v>
      </c>
      <c r="K839" s="1">
        <v>0</v>
      </c>
      <c r="L839" s="1">
        <v>20748</v>
      </c>
      <c r="M839" s="1">
        <v>1</v>
      </c>
    </row>
    <row r="840" spans="2:13" x14ac:dyDescent="0.25">
      <c r="B840" s="17">
        <v>0</v>
      </c>
      <c r="C840" s="17">
        <v>1</v>
      </c>
      <c r="D840" s="17">
        <v>0.68</v>
      </c>
      <c r="E840" s="17">
        <v>0.32</v>
      </c>
      <c r="F840" s="17">
        <v>88</v>
      </c>
      <c r="G840" s="17">
        <v>1</v>
      </c>
      <c r="H840" s="17">
        <v>4</v>
      </c>
      <c r="I840" s="17">
        <v>3</v>
      </c>
      <c r="J840" s="17">
        <v>0</v>
      </c>
      <c r="K840" s="17">
        <v>0</v>
      </c>
      <c r="L840" s="17">
        <v>12322</v>
      </c>
      <c r="M840" s="17">
        <v>0</v>
      </c>
    </row>
    <row r="841" spans="2:13" x14ac:dyDescent="0.25">
      <c r="B841" s="1">
        <v>0</v>
      </c>
      <c r="C841" s="1">
        <v>0</v>
      </c>
      <c r="D841" s="1">
        <v>0.99749999999999994</v>
      </c>
      <c r="E841" s="1">
        <v>2.5000000000000001E-3</v>
      </c>
      <c r="F841" s="1">
        <v>60</v>
      </c>
      <c r="G841" s="1">
        <v>1</v>
      </c>
      <c r="H841" s="1">
        <v>1</v>
      </c>
      <c r="I841" s="1">
        <v>6</v>
      </c>
      <c r="J841" s="1">
        <v>0</v>
      </c>
      <c r="K841" s="1">
        <v>0</v>
      </c>
      <c r="L841" s="1">
        <v>10224</v>
      </c>
      <c r="M841" s="1">
        <v>0</v>
      </c>
    </row>
    <row r="842" spans="2:13" x14ac:dyDescent="0.25">
      <c r="B842" s="1">
        <v>0</v>
      </c>
      <c r="C842" s="1">
        <v>0</v>
      </c>
      <c r="D842" s="1">
        <v>1</v>
      </c>
      <c r="E842" s="1">
        <v>0</v>
      </c>
      <c r="F842" s="1">
        <v>46</v>
      </c>
      <c r="G842" s="1">
        <v>1</v>
      </c>
      <c r="H842" s="1">
        <v>4</v>
      </c>
      <c r="I842" s="1">
        <v>5</v>
      </c>
      <c r="J842" s="1">
        <v>0</v>
      </c>
      <c r="K842" s="1">
        <v>0</v>
      </c>
      <c r="L842" s="1">
        <v>18071</v>
      </c>
      <c r="M842" s="1">
        <v>0</v>
      </c>
    </row>
    <row r="843" spans="2:13" x14ac:dyDescent="0.25">
      <c r="B843" s="1">
        <v>0</v>
      </c>
      <c r="C843" s="1">
        <v>0</v>
      </c>
      <c r="D843" s="1">
        <v>0.9810526315789474</v>
      </c>
      <c r="E843" s="1">
        <v>1.8947368421052633E-2</v>
      </c>
      <c r="F843" s="1">
        <v>0</v>
      </c>
      <c r="G843" s="1">
        <v>1</v>
      </c>
      <c r="H843" s="1">
        <v>3</v>
      </c>
      <c r="I843" s="1">
        <v>0</v>
      </c>
      <c r="J843" s="1">
        <v>0</v>
      </c>
      <c r="K843" s="1">
        <v>0</v>
      </c>
      <c r="L843" s="1">
        <v>2806</v>
      </c>
      <c r="M843" s="1">
        <v>0</v>
      </c>
    </row>
    <row r="844" spans="2:13" x14ac:dyDescent="0.25">
      <c r="B844" s="1">
        <v>1</v>
      </c>
      <c r="C844" s="1">
        <v>1</v>
      </c>
      <c r="D844" s="1">
        <v>0.31818181818181818</v>
      </c>
      <c r="E844" s="1">
        <v>0.68181818181818188</v>
      </c>
      <c r="F844" s="1">
        <v>28</v>
      </c>
      <c r="G844" s="1">
        <v>1</v>
      </c>
      <c r="H844" s="1">
        <v>25</v>
      </c>
      <c r="I844" s="1">
        <v>2</v>
      </c>
      <c r="J844" s="1">
        <v>2</v>
      </c>
      <c r="K844" s="1">
        <v>0</v>
      </c>
      <c r="L844" s="1">
        <v>84963</v>
      </c>
      <c r="M844" s="1">
        <v>0</v>
      </c>
    </row>
    <row r="845" spans="2:13" x14ac:dyDescent="0.25">
      <c r="B845" s="1">
        <v>0</v>
      </c>
      <c r="C845" s="1">
        <v>0</v>
      </c>
      <c r="D845" s="1">
        <v>0.9810526315789474</v>
      </c>
      <c r="E845" s="1">
        <v>1.8947368421052633E-2</v>
      </c>
      <c r="F845" s="1">
        <v>0</v>
      </c>
      <c r="G845" s="1">
        <v>1</v>
      </c>
      <c r="H845" s="1">
        <v>2</v>
      </c>
      <c r="I845" s="1">
        <v>0</v>
      </c>
      <c r="J845" s="1">
        <v>0</v>
      </c>
      <c r="K845" s="1">
        <v>0</v>
      </c>
      <c r="L845" s="1">
        <v>1463</v>
      </c>
      <c r="M845" s="1">
        <v>0</v>
      </c>
    </row>
    <row r="846" spans="2:13" x14ac:dyDescent="0.25">
      <c r="B846" s="1">
        <v>0</v>
      </c>
      <c r="C846" s="1">
        <v>0</v>
      </c>
      <c r="D846" s="1">
        <v>0.99749999999999994</v>
      </c>
      <c r="E846" s="1">
        <v>2.5000000000000001E-3</v>
      </c>
      <c r="F846" s="1">
        <v>56</v>
      </c>
      <c r="G846" s="1">
        <v>1</v>
      </c>
      <c r="H846" s="1">
        <v>9</v>
      </c>
      <c r="I846" s="1">
        <v>4</v>
      </c>
      <c r="J846" s="1">
        <v>3</v>
      </c>
      <c r="K846" s="1">
        <v>0</v>
      </c>
      <c r="L846" s="1">
        <v>24516</v>
      </c>
      <c r="M846" s="1">
        <v>0</v>
      </c>
    </row>
    <row r="847" spans="2:13" x14ac:dyDescent="0.25">
      <c r="B847" s="1">
        <v>0</v>
      </c>
      <c r="C847" s="1">
        <v>0</v>
      </c>
      <c r="D847" s="1">
        <v>0.8571428571428571</v>
      </c>
      <c r="E847" s="1">
        <v>0.14285714285714288</v>
      </c>
      <c r="F847" s="1">
        <v>78</v>
      </c>
      <c r="G847" s="1">
        <v>1</v>
      </c>
      <c r="H847" s="1">
        <v>4</v>
      </c>
      <c r="I847" s="1">
        <v>3</v>
      </c>
      <c r="J847" s="1">
        <v>1</v>
      </c>
      <c r="K847" s="1">
        <v>0</v>
      </c>
      <c r="L847" s="1">
        <v>18811</v>
      </c>
      <c r="M847" s="1">
        <v>0</v>
      </c>
    </row>
    <row r="848" spans="2:13" x14ac:dyDescent="0.25">
      <c r="B848" s="1">
        <v>0</v>
      </c>
      <c r="C848" s="1">
        <v>0</v>
      </c>
      <c r="D848" s="1">
        <v>0.99749999999999994</v>
      </c>
      <c r="E848" s="1">
        <v>2.5000000000000001E-3</v>
      </c>
      <c r="F848" s="1">
        <v>72</v>
      </c>
      <c r="G848" s="1">
        <v>1</v>
      </c>
      <c r="H848" s="1">
        <v>7</v>
      </c>
      <c r="I848" s="1">
        <v>6</v>
      </c>
      <c r="J848" s="1">
        <v>1</v>
      </c>
      <c r="K848" s="1">
        <v>0</v>
      </c>
      <c r="L848" s="1">
        <v>37186</v>
      </c>
      <c r="M848" s="1">
        <v>1</v>
      </c>
    </row>
    <row r="849" spans="2:13" x14ac:dyDescent="0.25">
      <c r="B849" s="1">
        <v>0</v>
      </c>
      <c r="C849" s="1">
        <v>0</v>
      </c>
      <c r="D849" s="1">
        <v>1</v>
      </c>
      <c r="E849" s="1">
        <v>0</v>
      </c>
      <c r="F849" s="1">
        <v>44</v>
      </c>
      <c r="G849" s="1">
        <v>1</v>
      </c>
      <c r="H849" s="1">
        <v>3</v>
      </c>
      <c r="I849" s="1">
        <v>4</v>
      </c>
      <c r="J849" s="1">
        <v>0</v>
      </c>
      <c r="K849" s="1">
        <v>0</v>
      </c>
      <c r="L849" s="1">
        <v>13291</v>
      </c>
      <c r="M849" s="1">
        <v>0</v>
      </c>
    </row>
    <row r="850" spans="2:13" x14ac:dyDescent="0.25">
      <c r="B850" s="17">
        <v>1</v>
      </c>
      <c r="C850" s="17">
        <v>0</v>
      </c>
      <c r="D850" s="17">
        <v>0.36</v>
      </c>
      <c r="E850" s="17">
        <v>0.64</v>
      </c>
      <c r="F850" s="17">
        <v>87</v>
      </c>
      <c r="G850" s="17">
        <v>1</v>
      </c>
      <c r="H850" s="17">
        <v>6</v>
      </c>
      <c r="I850" s="17">
        <v>6</v>
      </c>
      <c r="J850" s="17">
        <v>0</v>
      </c>
      <c r="K850" s="17">
        <v>0</v>
      </c>
      <c r="L850" s="17">
        <v>23176</v>
      </c>
      <c r="M850" s="17">
        <v>0</v>
      </c>
    </row>
    <row r="851" spans="2:13" x14ac:dyDescent="0.25">
      <c r="B851" s="17">
        <v>0</v>
      </c>
      <c r="C851" s="17">
        <v>1</v>
      </c>
      <c r="D851" s="17">
        <v>0.8571428571428571</v>
      </c>
      <c r="E851" s="17">
        <v>0.14285714285714285</v>
      </c>
      <c r="F851" s="17">
        <v>51</v>
      </c>
      <c r="G851" s="17">
        <v>0</v>
      </c>
      <c r="H851" s="17">
        <v>5</v>
      </c>
      <c r="I851" s="17">
        <v>5</v>
      </c>
      <c r="J851" s="17">
        <v>1</v>
      </c>
      <c r="K851" s="17">
        <v>0</v>
      </c>
      <c r="L851" s="17">
        <v>27625</v>
      </c>
      <c r="M851" s="17">
        <v>1</v>
      </c>
    </row>
    <row r="852" spans="2:13" x14ac:dyDescent="0.25">
      <c r="B852" s="1">
        <v>0</v>
      </c>
      <c r="C852" s="1">
        <v>0</v>
      </c>
      <c r="D852" s="1">
        <v>1</v>
      </c>
      <c r="E852" s="1">
        <v>0</v>
      </c>
      <c r="F852" s="1">
        <v>49</v>
      </c>
      <c r="G852" s="1">
        <v>0</v>
      </c>
      <c r="H852" s="1">
        <v>26</v>
      </c>
      <c r="I852" s="1">
        <v>2</v>
      </c>
      <c r="J852" s="1">
        <v>0</v>
      </c>
      <c r="K852" s="1">
        <v>0</v>
      </c>
      <c r="L852" s="1">
        <v>35599</v>
      </c>
      <c r="M852" s="1">
        <v>0</v>
      </c>
    </row>
    <row r="853" spans="2:13" x14ac:dyDescent="0.25">
      <c r="B853" s="1">
        <v>0</v>
      </c>
      <c r="C853" s="1">
        <v>0</v>
      </c>
      <c r="D853" s="1">
        <v>0.99749999999999994</v>
      </c>
      <c r="E853" s="1">
        <v>2.5000000000000001E-3</v>
      </c>
      <c r="F853" s="1">
        <v>55</v>
      </c>
      <c r="G853" s="1">
        <v>0</v>
      </c>
      <c r="H853" s="1">
        <v>2</v>
      </c>
      <c r="I853" s="1">
        <v>0</v>
      </c>
      <c r="J853" s="1">
        <v>1</v>
      </c>
      <c r="K853" s="1">
        <v>0</v>
      </c>
      <c r="L853" s="1">
        <v>10342</v>
      </c>
      <c r="M853" s="1">
        <v>1</v>
      </c>
    </row>
    <row r="854" spans="2:13" x14ac:dyDescent="0.25">
      <c r="B854" s="1">
        <v>1</v>
      </c>
      <c r="C854" s="1">
        <v>1</v>
      </c>
      <c r="D854" s="1">
        <v>0</v>
      </c>
      <c r="E854" s="1">
        <v>1</v>
      </c>
      <c r="F854" s="1">
        <v>75</v>
      </c>
      <c r="G854" s="1">
        <v>0</v>
      </c>
      <c r="H854" s="1">
        <v>3</v>
      </c>
      <c r="I854" s="1">
        <v>4</v>
      </c>
      <c r="J854" s="1">
        <v>0</v>
      </c>
      <c r="K854" s="1">
        <v>1</v>
      </c>
      <c r="L854" s="1">
        <v>14307</v>
      </c>
      <c r="M854" s="1">
        <v>0</v>
      </c>
    </row>
    <row r="855" spans="2:13" x14ac:dyDescent="0.25">
      <c r="B855" s="1">
        <v>0</v>
      </c>
      <c r="C855" s="1">
        <v>0</v>
      </c>
      <c r="D855" s="1">
        <v>0.99749999999999994</v>
      </c>
      <c r="E855" s="1">
        <v>2.5000000000000001E-3</v>
      </c>
      <c r="F855" s="1">
        <v>54</v>
      </c>
      <c r="G855" s="1">
        <v>0</v>
      </c>
      <c r="H855" s="1">
        <v>1</v>
      </c>
      <c r="I855" s="1">
        <v>3</v>
      </c>
      <c r="J855" s="1">
        <v>0</v>
      </c>
      <c r="K855" s="1">
        <v>0</v>
      </c>
      <c r="L855" s="1">
        <v>5693</v>
      </c>
      <c r="M855" s="1">
        <v>0</v>
      </c>
    </row>
    <row r="856" spans="2:13" x14ac:dyDescent="0.25">
      <c r="B856" s="1">
        <v>0</v>
      </c>
      <c r="C856" s="1">
        <v>0</v>
      </c>
      <c r="D856" s="1">
        <v>0.99749999999999994</v>
      </c>
      <c r="E856" s="1">
        <v>2.5000000000000001E-3</v>
      </c>
      <c r="F856" s="1">
        <v>72</v>
      </c>
      <c r="G856" s="1">
        <v>1</v>
      </c>
      <c r="H856" s="1">
        <v>1</v>
      </c>
      <c r="I856" s="1">
        <v>6</v>
      </c>
      <c r="J856" s="1">
        <v>0</v>
      </c>
      <c r="K856" s="1">
        <v>0</v>
      </c>
      <c r="L856" s="1">
        <v>6347</v>
      </c>
      <c r="M856" s="1">
        <v>0</v>
      </c>
    </row>
    <row r="857" spans="2:13" x14ac:dyDescent="0.25">
      <c r="B857" s="1">
        <v>0</v>
      </c>
      <c r="C857" s="1">
        <v>0</v>
      </c>
      <c r="D857" s="1">
        <v>0.99749999999999994</v>
      </c>
      <c r="E857" s="1">
        <v>2.5000000000000001E-3</v>
      </c>
      <c r="F857" s="1">
        <v>71</v>
      </c>
      <c r="G857" s="1">
        <v>0</v>
      </c>
      <c r="H857" s="1">
        <v>4</v>
      </c>
      <c r="I857" s="1">
        <v>4</v>
      </c>
      <c r="J857" s="1">
        <v>0</v>
      </c>
      <c r="K857" s="1">
        <v>0</v>
      </c>
      <c r="L857" s="1">
        <v>22439</v>
      </c>
      <c r="M857" s="1">
        <v>0</v>
      </c>
    </row>
    <row r="858" spans="2:13" x14ac:dyDescent="0.25">
      <c r="B858" s="1">
        <v>1</v>
      </c>
      <c r="C858" s="1">
        <v>1</v>
      </c>
      <c r="D858" s="1">
        <v>0.36</v>
      </c>
      <c r="E858" s="1">
        <v>0.64</v>
      </c>
      <c r="F858" s="1">
        <v>83</v>
      </c>
      <c r="G858" s="1">
        <v>1</v>
      </c>
      <c r="H858" s="1">
        <v>6</v>
      </c>
      <c r="I858" s="1">
        <v>4</v>
      </c>
      <c r="J858" s="1">
        <v>0</v>
      </c>
      <c r="K858" s="1">
        <v>0</v>
      </c>
      <c r="L858" s="1">
        <v>23839</v>
      </c>
      <c r="M858" s="1">
        <v>0</v>
      </c>
    </row>
    <row r="859" spans="2:13" x14ac:dyDescent="0.25">
      <c r="B859" s="1">
        <v>0</v>
      </c>
      <c r="C859" s="1">
        <v>0</v>
      </c>
      <c r="D859" s="1">
        <v>0.99749999999999994</v>
      </c>
      <c r="E859" s="1">
        <v>2.5000000000000001E-3</v>
      </c>
      <c r="F859" s="1">
        <v>66</v>
      </c>
      <c r="G859" s="1">
        <v>0</v>
      </c>
      <c r="H859" s="1">
        <v>4</v>
      </c>
      <c r="I859" s="1">
        <v>3</v>
      </c>
      <c r="J859" s="1">
        <v>0</v>
      </c>
      <c r="K859" s="1">
        <v>0</v>
      </c>
      <c r="L859" s="1">
        <v>19714</v>
      </c>
      <c r="M859" s="1">
        <v>0</v>
      </c>
    </row>
    <row r="860" spans="2:13" x14ac:dyDescent="0.25">
      <c r="B860" s="1">
        <v>0</v>
      </c>
      <c r="C860" s="1">
        <v>0</v>
      </c>
      <c r="D860" s="1">
        <v>0.8571428571428571</v>
      </c>
      <c r="E860" s="1">
        <v>0.14285714285714285</v>
      </c>
      <c r="F860" s="1">
        <v>52</v>
      </c>
      <c r="G860" s="1">
        <v>0</v>
      </c>
      <c r="H860" s="1">
        <v>6</v>
      </c>
      <c r="I860" s="1">
        <v>5</v>
      </c>
      <c r="J860" s="1">
        <v>0</v>
      </c>
      <c r="K860" s="1">
        <v>0</v>
      </c>
      <c r="L860" s="1">
        <v>8251</v>
      </c>
      <c r="M860" s="1">
        <v>0</v>
      </c>
    </row>
    <row r="861" spans="2:13" x14ac:dyDescent="0.25">
      <c r="B861" s="1">
        <v>1</v>
      </c>
      <c r="C861" s="1">
        <v>1</v>
      </c>
      <c r="D861" s="1">
        <v>9.5238095238095233E-2</v>
      </c>
      <c r="E861" s="1">
        <v>0.90476190476190477</v>
      </c>
      <c r="F861" s="1">
        <v>53</v>
      </c>
      <c r="G861" s="1">
        <v>0</v>
      </c>
      <c r="H861" s="1">
        <v>12</v>
      </c>
      <c r="I861" s="1">
        <v>3</v>
      </c>
      <c r="J861" s="1">
        <v>0</v>
      </c>
      <c r="K861" s="1">
        <v>0</v>
      </c>
      <c r="L861" s="1">
        <v>18926</v>
      </c>
      <c r="M861" s="1">
        <v>0</v>
      </c>
    </row>
    <row r="862" spans="2:13" x14ac:dyDescent="0.25">
      <c r="B862" s="1">
        <v>0</v>
      </c>
      <c r="C862" s="1">
        <v>0</v>
      </c>
      <c r="D862" s="1">
        <v>0.9810526315789474</v>
      </c>
      <c r="E862" s="1">
        <v>1.8947368421052633E-2</v>
      </c>
      <c r="F862" s="1">
        <v>0</v>
      </c>
      <c r="G862" s="1">
        <v>1</v>
      </c>
      <c r="H862" s="1">
        <v>2</v>
      </c>
      <c r="I862" s="1">
        <v>0</v>
      </c>
      <c r="J862" s="1">
        <v>0</v>
      </c>
      <c r="K862" s="1">
        <v>0</v>
      </c>
      <c r="L862" s="1">
        <v>1191</v>
      </c>
      <c r="M862" s="1">
        <v>0</v>
      </c>
    </row>
    <row r="863" spans="2:13" x14ac:dyDescent="0.25">
      <c r="B863" s="1">
        <v>0</v>
      </c>
      <c r="C863" s="1">
        <v>0</v>
      </c>
      <c r="D863" s="1">
        <v>0.96666666666666667</v>
      </c>
      <c r="E863" s="1">
        <v>3.333333333333334E-2</v>
      </c>
      <c r="F863" s="1">
        <v>33</v>
      </c>
      <c r="G863" s="1">
        <v>0</v>
      </c>
      <c r="H863" s="1">
        <v>2</v>
      </c>
      <c r="I863" s="1">
        <v>3</v>
      </c>
      <c r="J863" s="1">
        <v>0</v>
      </c>
      <c r="K863" s="1">
        <v>0</v>
      </c>
      <c r="L863" s="1">
        <v>7499</v>
      </c>
      <c r="M863" s="1">
        <v>0</v>
      </c>
    </row>
    <row r="864" spans="2:13" x14ac:dyDescent="0.25">
      <c r="B864" s="1">
        <v>0</v>
      </c>
      <c r="C864" s="1">
        <v>0</v>
      </c>
      <c r="D864" s="1">
        <v>0.9810526315789474</v>
      </c>
      <c r="E864" s="1">
        <v>1.8947368421052633E-2</v>
      </c>
      <c r="F864" s="1">
        <v>0</v>
      </c>
      <c r="G864" s="1">
        <v>0</v>
      </c>
      <c r="H864" s="1">
        <v>2</v>
      </c>
      <c r="I864" s="1">
        <v>0</v>
      </c>
      <c r="J864" s="1">
        <v>0</v>
      </c>
      <c r="K864" s="1">
        <v>0</v>
      </c>
      <c r="L864" s="1">
        <v>1975</v>
      </c>
      <c r="M864" s="1">
        <v>0</v>
      </c>
    </row>
    <row r="865" spans="2:13" x14ac:dyDescent="0.25">
      <c r="B865" s="1">
        <v>0</v>
      </c>
      <c r="C865" s="1">
        <v>0</v>
      </c>
      <c r="D865" s="1">
        <v>0.9810526315789474</v>
      </c>
      <c r="E865" s="1">
        <v>1.8947368421052633E-2</v>
      </c>
      <c r="F865" s="1">
        <v>0</v>
      </c>
      <c r="G865" s="1">
        <v>0</v>
      </c>
      <c r="H865" s="1">
        <v>3</v>
      </c>
      <c r="I865" s="1">
        <v>0</v>
      </c>
      <c r="J865" s="1">
        <v>0</v>
      </c>
      <c r="K865" s="1">
        <v>0</v>
      </c>
      <c r="L865" s="1">
        <v>2677</v>
      </c>
      <c r="M865" s="1">
        <v>0</v>
      </c>
    </row>
    <row r="866" spans="2:13" x14ac:dyDescent="0.25">
      <c r="B866" s="1">
        <v>0</v>
      </c>
      <c r="C866" s="1">
        <v>0</v>
      </c>
      <c r="D866" s="1">
        <v>0.99749999999999994</v>
      </c>
      <c r="E866" s="1">
        <v>2.5000000000000001E-3</v>
      </c>
      <c r="F866" s="1">
        <v>58</v>
      </c>
      <c r="G866" s="1">
        <v>0</v>
      </c>
      <c r="H866" s="1">
        <v>5</v>
      </c>
      <c r="I866" s="1">
        <v>2</v>
      </c>
      <c r="J866" s="1">
        <v>3</v>
      </c>
      <c r="K866" s="1">
        <v>0</v>
      </c>
      <c r="L866" s="1">
        <v>28599</v>
      </c>
      <c r="M866" s="1">
        <v>0</v>
      </c>
    </row>
    <row r="867" spans="2:13" x14ac:dyDescent="0.25">
      <c r="B867" s="1">
        <v>0</v>
      </c>
      <c r="C867" s="1">
        <v>0</v>
      </c>
      <c r="D867" s="1">
        <v>0.9810526315789474</v>
      </c>
      <c r="E867" s="1">
        <v>1.8947368421052633E-2</v>
      </c>
      <c r="F867" s="1">
        <v>23</v>
      </c>
      <c r="G867" s="1">
        <v>1</v>
      </c>
      <c r="H867" s="1">
        <v>2</v>
      </c>
      <c r="I867" s="1">
        <v>0</v>
      </c>
      <c r="J867" s="1">
        <v>1</v>
      </c>
      <c r="K867" s="1">
        <v>0</v>
      </c>
      <c r="L867" s="1">
        <v>6820</v>
      </c>
      <c r="M867" s="1">
        <v>0</v>
      </c>
    </row>
    <row r="868" spans="2:13" x14ac:dyDescent="0.25">
      <c r="B868" s="1">
        <v>0</v>
      </c>
      <c r="C868" s="1">
        <v>0</v>
      </c>
      <c r="D868" s="1">
        <v>1</v>
      </c>
      <c r="E868" s="1">
        <v>0</v>
      </c>
      <c r="F868" s="1">
        <v>40</v>
      </c>
      <c r="G868" s="1">
        <v>1</v>
      </c>
      <c r="H868" s="1">
        <v>4</v>
      </c>
      <c r="I868" s="1">
        <v>4</v>
      </c>
      <c r="J868" s="1">
        <v>0</v>
      </c>
      <c r="K868" s="1">
        <v>0</v>
      </c>
      <c r="L868" s="1">
        <v>17882</v>
      </c>
      <c r="M868" s="1">
        <v>0</v>
      </c>
    </row>
    <row r="869" spans="2:13" x14ac:dyDescent="0.25">
      <c r="B869" s="1">
        <v>0</v>
      </c>
      <c r="C869" s="1">
        <v>0</v>
      </c>
      <c r="D869" s="1">
        <v>0.96666666666666667</v>
      </c>
      <c r="E869" s="1">
        <v>3.333333333333334E-2</v>
      </c>
      <c r="F869" s="1">
        <v>31</v>
      </c>
      <c r="G869" s="1">
        <v>1</v>
      </c>
      <c r="H869" s="1">
        <v>3</v>
      </c>
      <c r="I869" s="1">
        <v>1</v>
      </c>
      <c r="J869" s="1">
        <v>2</v>
      </c>
      <c r="K869" s="1">
        <v>0</v>
      </c>
      <c r="L869" s="1">
        <v>18054</v>
      </c>
      <c r="M869" s="1">
        <v>1</v>
      </c>
    </row>
    <row r="870" spans="2:13" x14ac:dyDescent="0.25">
      <c r="B870" s="1">
        <v>0</v>
      </c>
      <c r="C870" s="1">
        <v>0</v>
      </c>
      <c r="D870" s="1">
        <v>0.9810526315789474</v>
      </c>
      <c r="E870" s="1">
        <v>1.8947368421052633E-2</v>
      </c>
      <c r="F870" s="1">
        <v>17</v>
      </c>
      <c r="G870" s="1">
        <v>1</v>
      </c>
      <c r="H870" s="1">
        <v>4</v>
      </c>
      <c r="I870" s="1">
        <v>0</v>
      </c>
      <c r="J870" s="1">
        <v>2</v>
      </c>
      <c r="K870" s="1">
        <v>0</v>
      </c>
      <c r="L870" s="1">
        <v>7447</v>
      </c>
      <c r="M870" s="1">
        <v>0</v>
      </c>
    </row>
    <row r="871" spans="2:13" x14ac:dyDescent="0.25">
      <c r="B871" s="1">
        <v>0</v>
      </c>
      <c r="C871" s="1">
        <v>0</v>
      </c>
      <c r="D871" s="1">
        <v>0.9810526315789474</v>
      </c>
      <c r="E871" s="1">
        <v>1.8947368421052633E-2</v>
      </c>
      <c r="F871" s="1">
        <v>0</v>
      </c>
      <c r="G871" s="1">
        <v>1</v>
      </c>
      <c r="H871" s="1">
        <v>3</v>
      </c>
      <c r="I871" s="1">
        <v>0</v>
      </c>
      <c r="J871" s="1">
        <v>0</v>
      </c>
      <c r="K871" s="1">
        <v>0</v>
      </c>
      <c r="L871" s="1">
        <v>2902</v>
      </c>
      <c r="M871" s="1">
        <v>0</v>
      </c>
    </row>
    <row r="872" spans="2:13" x14ac:dyDescent="0.25">
      <c r="B872" s="1">
        <v>1</v>
      </c>
      <c r="C872" s="1">
        <v>1</v>
      </c>
      <c r="D872" s="1">
        <v>0</v>
      </c>
      <c r="E872" s="1">
        <v>1</v>
      </c>
      <c r="F872" s="1">
        <v>78</v>
      </c>
      <c r="G872" s="1">
        <v>1</v>
      </c>
      <c r="H872" s="1">
        <v>1</v>
      </c>
      <c r="I872" s="1">
        <v>3</v>
      </c>
      <c r="J872" s="1">
        <v>0</v>
      </c>
      <c r="K872" s="1">
        <v>1</v>
      </c>
      <c r="L872" s="1">
        <v>7508</v>
      </c>
      <c r="M872" s="1">
        <v>0</v>
      </c>
    </row>
    <row r="873" spans="2:13" x14ac:dyDescent="0.25">
      <c r="B873" s="1">
        <v>0</v>
      </c>
      <c r="C873" s="1">
        <v>0</v>
      </c>
      <c r="D873" s="1">
        <v>0.99749999999999994</v>
      </c>
      <c r="E873" s="1">
        <v>2.5000000000000001E-3</v>
      </c>
      <c r="F873" s="1">
        <v>66</v>
      </c>
      <c r="G873" s="1">
        <v>0</v>
      </c>
      <c r="H873" s="1">
        <v>10</v>
      </c>
      <c r="I873" s="1">
        <v>3</v>
      </c>
      <c r="J873" s="1">
        <v>1</v>
      </c>
      <c r="K873" s="1">
        <v>0</v>
      </c>
      <c r="L873" s="1">
        <v>23400</v>
      </c>
      <c r="M873" s="1">
        <v>0</v>
      </c>
    </row>
    <row r="874" spans="2:13" x14ac:dyDescent="0.25">
      <c r="B874" s="1">
        <v>1</v>
      </c>
      <c r="C874" s="1">
        <v>1</v>
      </c>
      <c r="D874" s="1">
        <v>0.36</v>
      </c>
      <c r="E874" s="1">
        <v>0.64</v>
      </c>
      <c r="F874" s="1">
        <v>82</v>
      </c>
      <c r="G874" s="1">
        <v>1</v>
      </c>
      <c r="H874" s="1">
        <v>4</v>
      </c>
      <c r="I874" s="1">
        <v>6</v>
      </c>
      <c r="J874" s="1">
        <v>0</v>
      </c>
      <c r="K874" s="1">
        <v>0</v>
      </c>
      <c r="L874" s="1">
        <v>15470</v>
      </c>
      <c r="M874" s="1">
        <v>0</v>
      </c>
    </row>
    <row r="875" spans="2:13" x14ac:dyDescent="0.25">
      <c r="B875" s="1">
        <v>0</v>
      </c>
      <c r="C875" s="1">
        <v>0</v>
      </c>
      <c r="D875" s="1">
        <v>0.9810526315789474</v>
      </c>
      <c r="E875" s="1">
        <v>1.8947368421052633E-2</v>
      </c>
      <c r="F875" s="1">
        <v>20</v>
      </c>
      <c r="G875" s="1">
        <v>1</v>
      </c>
      <c r="H875" s="1">
        <v>1</v>
      </c>
      <c r="I875" s="1">
        <v>0</v>
      </c>
      <c r="J875" s="1">
        <v>0</v>
      </c>
      <c r="K875" s="1">
        <v>0</v>
      </c>
      <c r="L875" s="1">
        <v>6710</v>
      </c>
      <c r="M875" s="1">
        <v>0</v>
      </c>
    </row>
    <row r="876" spans="2:13" x14ac:dyDescent="0.25">
      <c r="B876" s="17">
        <v>0</v>
      </c>
      <c r="C876" s="17">
        <v>1</v>
      </c>
      <c r="D876" s="17">
        <v>0.9810526315789474</v>
      </c>
      <c r="E876" s="17">
        <v>1.8947368421052633E-2</v>
      </c>
      <c r="F876" s="17">
        <v>0</v>
      </c>
      <c r="G876" s="17">
        <v>0</v>
      </c>
      <c r="H876" s="17">
        <v>3</v>
      </c>
      <c r="I876" s="17">
        <v>0</v>
      </c>
      <c r="J876" s="17">
        <v>0</v>
      </c>
      <c r="K876" s="17">
        <v>0</v>
      </c>
      <c r="L876" s="17">
        <v>1692</v>
      </c>
      <c r="M876" s="17">
        <v>0</v>
      </c>
    </row>
    <row r="877" spans="2:13" x14ac:dyDescent="0.25">
      <c r="B877" s="17">
        <v>0</v>
      </c>
      <c r="C877" s="17">
        <v>1</v>
      </c>
      <c r="D877" s="17">
        <v>0.625</v>
      </c>
      <c r="E877" s="17">
        <v>0.37500000000000006</v>
      </c>
      <c r="F877" s="17">
        <v>80</v>
      </c>
      <c r="G877" s="17">
        <v>1</v>
      </c>
      <c r="H877" s="17">
        <v>15</v>
      </c>
      <c r="I877" s="17">
        <v>1</v>
      </c>
      <c r="J877" s="17">
        <v>0</v>
      </c>
      <c r="K877" s="17">
        <v>0</v>
      </c>
      <c r="L877" s="17">
        <v>22765</v>
      </c>
      <c r="M877" s="17">
        <v>0</v>
      </c>
    </row>
    <row r="878" spans="2:13" x14ac:dyDescent="0.25">
      <c r="B878" s="1">
        <v>0</v>
      </c>
      <c r="C878" s="1">
        <v>0</v>
      </c>
      <c r="D878" s="1">
        <v>0.9810526315789474</v>
      </c>
      <c r="E878" s="1">
        <v>1.8947368421052633E-2</v>
      </c>
      <c r="F878" s="1">
        <v>0</v>
      </c>
      <c r="G878" s="1">
        <v>1</v>
      </c>
      <c r="H878" s="1">
        <v>1</v>
      </c>
      <c r="I878" s="1">
        <v>0</v>
      </c>
      <c r="J878" s="1">
        <v>0</v>
      </c>
      <c r="K878" s="1">
        <v>0</v>
      </c>
      <c r="L878" s="1">
        <v>1128</v>
      </c>
      <c r="M878" s="1">
        <v>0</v>
      </c>
    </row>
    <row r="879" spans="2:13" x14ac:dyDescent="0.25">
      <c r="B879" s="1">
        <v>0</v>
      </c>
      <c r="C879" s="1">
        <v>0</v>
      </c>
      <c r="D879" s="1">
        <v>0.99749999999999994</v>
      </c>
      <c r="E879" s="1">
        <v>2.5000000000000001E-3</v>
      </c>
      <c r="F879" s="1">
        <v>57</v>
      </c>
      <c r="G879" s="1">
        <v>1</v>
      </c>
      <c r="H879" s="1">
        <v>6</v>
      </c>
      <c r="I879" s="1">
        <v>5</v>
      </c>
      <c r="J879" s="1">
        <v>0</v>
      </c>
      <c r="K879" s="1">
        <v>0</v>
      </c>
      <c r="L879" s="1">
        <v>12408</v>
      </c>
      <c r="M879" s="1">
        <v>0</v>
      </c>
    </row>
    <row r="880" spans="2:13" x14ac:dyDescent="0.25">
      <c r="B880" s="1">
        <v>0</v>
      </c>
      <c r="C880" s="1">
        <v>0</v>
      </c>
      <c r="D880" s="1">
        <v>1</v>
      </c>
      <c r="E880" s="1">
        <v>0</v>
      </c>
      <c r="F880" s="1">
        <v>43</v>
      </c>
      <c r="G880" s="1">
        <v>1</v>
      </c>
      <c r="H880" s="1">
        <v>8</v>
      </c>
      <c r="I880" s="1">
        <v>2</v>
      </c>
      <c r="J880" s="1">
        <v>0</v>
      </c>
      <c r="K880" s="1">
        <v>0</v>
      </c>
      <c r="L880" s="1">
        <v>16720</v>
      </c>
      <c r="M880" s="1">
        <v>0</v>
      </c>
    </row>
    <row r="881" spans="2:13" x14ac:dyDescent="0.25">
      <c r="B881" s="1">
        <v>0</v>
      </c>
      <c r="C881" s="1">
        <v>0</v>
      </c>
      <c r="D881" s="1">
        <v>0.99749999999999994</v>
      </c>
      <c r="E881" s="1">
        <v>2.5000000000000001E-3</v>
      </c>
      <c r="F881" s="1">
        <v>55</v>
      </c>
      <c r="G881" s="1">
        <v>0</v>
      </c>
      <c r="H881" s="1">
        <v>4</v>
      </c>
      <c r="I881" s="1">
        <v>4</v>
      </c>
      <c r="J881" s="1">
        <v>0</v>
      </c>
      <c r="K881" s="1">
        <v>0</v>
      </c>
      <c r="L881" s="1">
        <v>15246</v>
      </c>
      <c r="M881" s="1">
        <v>0</v>
      </c>
    </row>
    <row r="882" spans="2:13" x14ac:dyDescent="0.25">
      <c r="B882" s="1">
        <v>1</v>
      </c>
      <c r="C882" s="1">
        <v>1</v>
      </c>
      <c r="D882" s="1">
        <v>0.31818181818181818</v>
      </c>
      <c r="E882" s="1">
        <v>0.68181818181818188</v>
      </c>
      <c r="F882" s="1">
        <v>28</v>
      </c>
      <c r="G882" s="1">
        <v>1</v>
      </c>
      <c r="H882" s="1">
        <v>11</v>
      </c>
      <c r="I882" s="1">
        <v>0</v>
      </c>
      <c r="J882" s="1">
        <v>0</v>
      </c>
      <c r="K882" s="1">
        <v>0</v>
      </c>
      <c r="L882" s="1">
        <v>19410</v>
      </c>
      <c r="M882" s="1">
        <v>0</v>
      </c>
    </row>
    <row r="883" spans="2:13" x14ac:dyDescent="0.25">
      <c r="B883" s="17">
        <v>0</v>
      </c>
      <c r="C883" s="17">
        <v>1</v>
      </c>
      <c r="D883" s="17">
        <v>0.9810526315789474</v>
      </c>
      <c r="E883" s="17">
        <v>1.8947368421052633E-2</v>
      </c>
      <c r="F883" s="17">
        <v>0</v>
      </c>
      <c r="G883" s="17">
        <v>1</v>
      </c>
      <c r="H883" s="17">
        <v>2</v>
      </c>
      <c r="I883" s="17">
        <v>0</v>
      </c>
      <c r="J883" s="17">
        <v>0</v>
      </c>
      <c r="K883" s="17">
        <v>0</v>
      </c>
      <c r="L883" s="17">
        <v>1043</v>
      </c>
      <c r="M883" s="17">
        <v>0</v>
      </c>
    </row>
    <row r="884" spans="2:13" x14ac:dyDescent="0.25">
      <c r="B884" s="1">
        <v>0</v>
      </c>
      <c r="C884" s="1">
        <v>0</v>
      </c>
      <c r="D884" s="1">
        <v>1</v>
      </c>
      <c r="E884" s="1">
        <v>0</v>
      </c>
      <c r="F884" s="1">
        <v>40</v>
      </c>
      <c r="G884" s="1">
        <v>0</v>
      </c>
      <c r="H884" s="1">
        <v>2</v>
      </c>
      <c r="I884" s="1">
        <v>3</v>
      </c>
      <c r="J884" s="1">
        <v>0</v>
      </c>
      <c r="K884" s="1">
        <v>0</v>
      </c>
      <c r="L884" s="1">
        <v>11613</v>
      </c>
      <c r="M884" s="1">
        <v>0</v>
      </c>
    </row>
    <row r="885" spans="2:13" x14ac:dyDescent="0.25">
      <c r="B885" s="1">
        <v>0</v>
      </c>
      <c r="C885" s="1">
        <v>0</v>
      </c>
      <c r="D885" s="1">
        <v>0.99749999999999994</v>
      </c>
      <c r="E885" s="1">
        <v>2.5000000000000001E-3</v>
      </c>
      <c r="F885" s="1">
        <v>71</v>
      </c>
      <c r="G885" s="1">
        <v>1</v>
      </c>
      <c r="H885" s="1">
        <v>3</v>
      </c>
      <c r="I885" s="1">
        <v>6</v>
      </c>
      <c r="J885" s="1">
        <v>0</v>
      </c>
      <c r="K885" s="1">
        <v>0</v>
      </c>
      <c r="L885" s="1">
        <v>9580</v>
      </c>
      <c r="M885" s="1">
        <v>0</v>
      </c>
    </row>
    <row r="886" spans="2:13" x14ac:dyDescent="0.25">
      <c r="B886" s="17">
        <v>0</v>
      </c>
      <c r="C886" s="17">
        <v>1</v>
      </c>
      <c r="D886" s="17">
        <v>0.8571428571428571</v>
      </c>
      <c r="E886" s="17">
        <v>0.14285714285714285</v>
      </c>
      <c r="F886" s="17">
        <v>51</v>
      </c>
      <c r="G886" s="17">
        <v>0</v>
      </c>
      <c r="H886" s="17">
        <v>3</v>
      </c>
      <c r="I886" s="17">
        <v>1</v>
      </c>
      <c r="J886" s="17">
        <v>2</v>
      </c>
      <c r="K886" s="17">
        <v>0</v>
      </c>
      <c r="L886" s="17">
        <v>32316</v>
      </c>
      <c r="M886" s="17">
        <v>1</v>
      </c>
    </row>
    <row r="887" spans="2:13" x14ac:dyDescent="0.25">
      <c r="B887" s="1">
        <v>1</v>
      </c>
      <c r="C887" s="1">
        <v>1</v>
      </c>
      <c r="D887" s="1">
        <v>0</v>
      </c>
      <c r="E887" s="1">
        <v>1</v>
      </c>
      <c r="F887" s="1">
        <v>81</v>
      </c>
      <c r="G887" s="1">
        <v>1</v>
      </c>
      <c r="H887" s="1">
        <v>10</v>
      </c>
      <c r="I887" s="1">
        <v>4</v>
      </c>
      <c r="J887" s="1">
        <v>0</v>
      </c>
      <c r="K887" s="1">
        <v>1</v>
      </c>
      <c r="L887" s="1">
        <v>18451</v>
      </c>
      <c r="M887" s="1">
        <v>0</v>
      </c>
    </row>
    <row r="888" spans="2:13" x14ac:dyDescent="0.25">
      <c r="B888" s="1">
        <v>0</v>
      </c>
      <c r="C888" s="1">
        <v>0</v>
      </c>
      <c r="D888" s="1">
        <v>0.96666666666666667</v>
      </c>
      <c r="E888" s="1">
        <v>3.333333333333334E-2</v>
      </c>
      <c r="F888" s="1">
        <v>34</v>
      </c>
      <c r="G888" s="1">
        <v>0</v>
      </c>
      <c r="H888" s="1">
        <v>4</v>
      </c>
      <c r="I888" s="1">
        <v>2</v>
      </c>
      <c r="J888" s="1">
        <v>0</v>
      </c>
      <c r="K888" s="1">
        <v>0</v>
      </c>
      <c r="L888" s="1">
        <v>11556</v>
      </c>
      <c r="M888" s="1">
        <v>0</v>
      </c>
    </row>
    <row r="889" spans="2:13" x14ac:dyDescent="0.25">
      <c r="B889" s="1">
        <v>0</v>
      </c>
      <c r="C889" s="1">
        <v>0</v>
      </c>
      <c r="D889" s="1">
        <v>0.99749999999999994</v>
      </c>
      <c r="E889" s="1">
        <v>2.5000000000000001E-3</v>
      </c>
      <c r="F889" s="1">
        <v>54</v>
      </c>
      <c r="G889" s="1">
        <v>0</v>
      </c>
      <c r="H889" s="1">
        <v>2</v>
      </c>
      <c r="I889" s="1">
        <v>4</v>
      </c>
      <c r="J889" s="1">
        <v>0</v>
      </c>
      <c r="K889" s="1">
        <v>0</v>
      </c>
      <c r="L889" s="1">
        <v>13227</v>
      </c>
      <c r="M889" s="1">
        <v>0</v>
      </c>
    </row>
    <row r="890" spans="2:13" x14ac:dyDescent="0.25">
      <c r="B890" s="1">
        <v>1</v>
      </c>
      <c r="C890" s="1">
        <v>1</v>
      </c>
      <c r="D890" s="1">
        <v>9.5238095238095233E-2</v>
      </c>
      <c r="E890" s="1">
        <v>0.90476190476190477</v>
      </c>
      <c r="F890" s="1">
        <v>53</v>
      </c>
      <c r="G890" s="1">
        <v>0</v>
      </c>
      <c r="H890" s="1">
        <v>1</v>
      </c>
      <c r="I890" s="1">
        <v>5</v>
      </c>
      <c r="J890" s="1">
        <v>0</v>
      </c>
      <c r="K890" s="1">
        <v>0</v>
      </c>
      <c r="L890" s="1">
        <v>14173</v>
      </c>
      <c r="M890" s="1">
        <v>0</v>
      </c>
    </row>
    <row r="891" spans="2:13" x14ac:dyDescent="0.25">
      <c r="B891" s="1">
        <v>0</v>
      </c>
      <c r="C891" s="1">
        <v>0</v>
      </c>
      <c r="D891" s="1">
        <v>0.625</v>
      </c>
      <c r="E891" s="1">
        <v>0.37500000000000006</v>
      </c>
      <c r="F891" s="1">
        <v>90</v>
      </c>
      <c r="G891" s="1">
        <v>1</v>
      </c>
      <c r="H891" s="1">
        <v>6</v>
      </c>
      <c r="I891" s="1">
        <v>2</v>
      </c>
      <c r="J891" s="1">
        <v>0</v>
      </c>
      <c r="K891" s="1">
        <v>0</v>
      </c>
      <c r="L891" s="1">
        <v>17338</v>
      </c>
      <c r="M891" s="1">
        <v>0</v>
      </c>
    </row>
    <row r="892" spans="2:13" x14ac:dyDescent="0.25">
      <c r="B892" s="1">
        <v>0</v>
      </c>
      <c r="C892" s="1">
        <v>0</v>
      </c>
      <c r="D892" s="1">
        <v>0.99749999999999994</v>
      </c>
      <c r="E892" s="1">
        <v>2.5000000000000001E-3</v>
      </c>
      <c r="F892" s="1">
        <v>62</v>
      </c>
      <c r="G892" s="1">
        <v>0</v>
      </c>
      <c r="H892" s="1">
        <v>3</v>
      </c>
      <c r="I892" s="1">
        <v>7</v>
      </c>
      <c r="J892" s="1">
        <v>0</v>
      </c>
      <c r="K892" s="1">
        <v>0</v>
      </c>
      <c r="L892" s="1">
        <v>8893</v>
      </c>
      <c r="M892" s="1">
        <v>0</v>
      </c>
    </row>
    <row r="893" spans="2:13" x14ac:dyDescent="0.25">
      <c r="B893" s="1">
        <v>0</v>
      </c>
      <c r="C893" s="1">
        <v>0</v>
      </c>
      <c r="D893" s="1">
        <v>1</v>
      </c>
      <c r="E893" s="1">
        <v>0</v>
      </c>
      <c r="F893" s="1">
        <v>41</v>
      </c>
      <c r="G893" s="1">
        <v>1</v>
      </c>
      <c r="H893" s="1">
        <v>6</v>
      </c>
      <c r="I893" s="1">
        <v>3</v>
      </c>
      <c r="J893" s="1">
        <v>1</v>
      </c>
      <c r="K893" s="1">
        <v>0</v>
      </c>
      <c r="L893" s="1">
        <v>9943</v>
      </c>
      <c r="M893" s="1">
        <v>0</v>
      </c>
    </row>
    <row r="894" spans="2:13" x14ac:dyDescent="0.25">
      <c r="B894" s="1">
        <v>0</v>
      </c>
      <c r="C894" s="1">
        <v>0</v>
      </c>
      <c r="D894" s="1">
        <v>0.9810526315789474</v>
      </c>
      <c r="E894" s="1">
        <v>1.8947368421052633E-2</v>
      </c>
      <c r="F894" s="1">
        <v>0</v>
      </c>
      <c r="G894" s="1">
        <v>1</v>
      </c>
      <c r="H894" s="1">
        <v>2</v>
      </c>
      <c r="I894" s="1">
        <v>0</v>
      </c>
      <c r="J894" s="1">
        <v>0</v>
      </c>
      <c r="K894" s="1">
        <v>0</v>
      </c>
      <c r="L894" s="1">
        <v>1824</v>
      </c>
      <c r="M894" s="1">
        <v>0</v>
      </c>
    </row>
    <row r="895" spans="2:13" x14ac:dyDescent="0.25">
      <c r="B895" s="1">
        <v>0</v>
      </c>
      <c r="C895" s="1">
        <v>0</v>
      </c>
      <c r="D895" s="1">
        <v>0.99749999999999994</v>
      </c>
      <c r="E895" s="1">
        <v>2.5000000000000001E-3</v>
      </c>
      <c r="F895" s="1">
        <v>73</v>
      </c>
      <c r="G895" s="1">
        <v>1</v>
      </c>
      <c r="H895" s="1">
        <v>2</v>
      </c>
      <c r="I895" s="1">
        <v>4</v>
      </c>
      <c r="J895" s="1">
        <v>0</v>
      </c>
      <c r="K895" s="1">
        <v>0</v>
      </c>
      <c r="L895" s="1">
        <v>7239</v>
      </c>
      <c r="M895" s="1">
        <v>0</v>
      </c>
    </row>
    <row r="896" spans="2:13" x14ac:dyDescent="0.25">
      <c r="B896" s="1">
        <v>0</v>
      </c>
      <c r="C896" s="1">
        <v>0</v>
      </c>
      <c r="D896" s="1">
        <v>0.9810526315789474</v>
      </c>
      <c r="E896" s="1">
        <v>1.8947368421052633E-2</v>
      </c>
      <c r="F896" s="1">
        <v>23</v>
      </c>
      <c r="G896" s="1">
        <v>0</v>
      </c>
      <c r="H896" s="1">
        <v>7</v>
      </c>
      <c r="I896" s="1">
        <v>4</v>
      </c>
      <c r="J896" s="1">
        <v>0</v>
      </c>
      <c r="K896" s="1">
        <v>0</v>
      </c>
      <c r="L896" s="1">
        <v>12376</v>
      </c>
      <c r="M896" s="1">
        <v>0</v>
      </c>
    </row>
    <row r="897" spans="2:13" x14ac:dyDescent="0.25">
      <c r="B897" s="17">
        <v>0</v>
      </c>
      <c r="C897" s="17">
        <v>1</v>
      </c>
      <c r="D897" s="17">
        <v>0.8571428571428571</v>
      </c>
      <c r="E897" s="17">
        <v>0.14285714285714288</v>
      </c>
      <c r="F897" s="17">
        <v>78</v>
      </c>
      <c r="G897" s="17">
        <v>1</v>
      </c>
      <c r="H897" s="17">
        <v>5</v>
      </c>
      <c r="I897" s="17">
        <v>8</v>
      </c>
      <c r="J897" s="17">
        <v>0</v>
      </c>
      <c r="K897" s="17">
        <v>0</v>
      </c>
      <c r="L897" s="17">
        <v>13158</v>
      </c>
      <c r="M897" s="17">
        <v>0</v>
      </c>
    </row>
    <row r="898" spans="2:13" x14ac:dyDescent="0.25">
      <c r="B898" s="1">
        <v>0</v>
      </c>
      <c r="C898" s="1">
        <v>0</v>
      </c>
      <c r="D898" s="1">
        <v>0.99749999999999994</v>
      </c>
      <c r="E898" s="1">
        <v>2.5000000000000001E-3</v>
      </c>
      <c r="F898" s="1">
        <v>55</v>
      </c>
      <c r="G898" s="1">
        <v>1</v>
      </c>
      <c r="H898" s="1">
        <v>7</v>
      </c>
      <c r="I898" s="1">
        <v>4</v>
      </c>
      <c r="J898" s="1">
        <v>0</v>
      </c>
      <c r="K898" s="1">
        <v>0</v>
      </c>
      <c r="L898" s="1">
        <v>10195</v>
      </c>
      <c r="M898" s="1">
        <v>0</v>
      </c>
    </row>
    <row r="899" spans="2:13" x14ac:dyDescent="0.25">
      <c r="B899" s="1">
        <v>1</v>
      </c>
      <c r="C899" s="1">
        <v>1</v>
      </c>
      <c r="D899" s="1">
        <v>0</v>
      </c>
      <c r="E899" s="1">
        <v>1</v>
      </c>
      <c r="F899" s="1">
        <v>85</v>
      </c>
      <c r="G899" s="1">
        <v>0</v>
      </c>
      <c r="H899" s="1">
        <v>3</v>
      </c>
      <c r="I899" s="1">
        <v>4</v>
      </c>
      <c r="J899" s="1">
        <v>6</v>
      </c>
      <c r="K899" s="1">
        <v>1</v>
      </c>
      <c r="L899" s="1">
        <v>10046</v>
      </c>
      <c r="M899" s="1">
        <v>0</v>
      </c>
    </row>
    <row r="900" spans="2:13" x14ac:dyDescent="0.25">
      <c r="B900" s="1">
        <v>0</v>
      </c>
      <c r="C900" s="1">
        <v>0</v>
      </c>
      <c r="D900" s="1">
        <v>0.99749999999999994</v>
      </c>
      <c r="E900" s="1">
        <v>2.5000000000000001E-3</v>
      </c>
      <c r="F900" s="1">
        <v>69</v>
      </c>
      <c r="G900" s="1">
        <v>0</v>
      </c>
      <c r="H900" s="1">
        <v>3</v>
      </c>
      <c r="I900" s="1">
        <v>7</v>
      </c>
      <c r="J900" s="1">
        <v>0</v>
      </c>
      <c r="K900" s="1">
        <v>0</v>
      </c>
      <c r="L900" s="1">
        <v>12249</v>
      </c>
      <c r="M900" s="1">
        <v>0</v>
      </c>
    </row>
    <row r="901" spans="2:13" x14ac:dyDescent="0.25">
      <c r="B901" s="1">
        <v>0</v>
      </c>
      <c r="C901" s="1">
        <v>0</v>
      </c>
      <c r="D901" s="1">
        <v>0.9810526315789474</v>
      </c>
      <c r="E901" s="1">
        <v>1.8947368421052633E-2</v>
      </c>
      <c r="F901" s="1">
        <v>0</v>
      </c>
      <c r="G901" s="1">
        <v>1</v>
      </c>
      <c r="H901" s="1">
        <v>2</v>
      </c>
      <c r="I901" s="1">
        <v>0</v>
      </c>
      <c r="J901" s="1">
        <v>1</v>
      </c>
      <c r="K901" s="1">
        <v>0</v>
      </c>
      <c r="L901" s="1">
        <v>4027</v>
      </c>
      <c r="M901" s="1">
        <v>0</v>
      </c>
    </row>
    <row r="902" spans="2:13" x14ac:dyDescent="0.25">
      <c r="B902" s="1">
        <v>1</v>
      </c>
      <c r="C902" s="1">
        <v>1</v>
      </c>
      <c r="D902" s="1">
        <v>9.5238095238095233E-2</v>
      </c>
      <c r="E902" s="1">
        <v>0.90476190476190477</v>
      </c>
      <c r="F902" s="1">
        <v>53</v>
      </c>
      <c r="G902" s="1">
        <v>1</v>
      </c>
      <c r="H902" s="1">
        <v>5</v>
      </c>
      <c r="I902" s="1">
        <v>2</v>
      </c>
      <c r="J902" s="1">
        <v>0</v>
      </c>
      <c r="K902" s="1">
        <v>0</v>
      </c>
      <c r="L902" s="1">
        <v>7577</v>
      </c>
      <c r="M902" s="1">
        <v>0</v>
      </c>
    </row>
    <row r="903" spans="2:13" x14ac:dyDescent="0.25">
      <c r="B903" s="1">
        <v>0</v>
      </c>
      <c r="C903" s="1">
        <v>0</v>
      </c>
      <c r="D903" s="1">
        <v>0.9810526315789474</v>
      </c>
      <c r="E903" s="1">
        <v>1.8947368421052633E-2</v>
      </c>
      <c r="F903" s="1">
        <v>0</v>
      </c>
      <c r="G903" s="1">
        <v>1</v>
      </c>
      <c r="H903" s="1">
        <v>2</v>
      </c>
      <c r="I903" s="1">
        <v>0</v>
      </c>
      <c r="J903" s="1">
        <v>0</v>
      </c>
      <c r="K903" s="1">
        <v>0</v>
      </c>
      <c r="L903" s="1">
        <v>7294</v>
      </c>
      <c r="M903" s="1">
        <v>0</v>
      </c>
    </row>
    <row r="904" spans="2:13" x14ac:dyDescent="0.25">
      <c r="B904" s="1">
        <v>0</v>
      </c>
      <c r="C904" s="1">
        <v>0</v>
      </c>
      <c r="D904" s="1">
        <v>0.99749999999999994</v>
      </c>
      <c r="E904" s="1">
        <v>2.5000000000000001E-3</v>
      </c>
      <c r="F904" s="1">
        <v>72</v>
      </c>
      <c r="G904" s="1">
        <v>1</v>
      </c>
      <c r="H904" s="1">
        <v>5</v>
      </c>
      <c r="I904" s="1">
        <v>3</v>
      </c>
      <c r="J904" s="1">
        <v>0</v>
      </c>
      <c r="K904" s="1">
        <v>0</v>
      </c>
      <c r="L904" s="1">
        <v>17211</v>
      </c>
      <c r="M904" s="1">
        <v>0</v>
      </c>
    </row>
    <row r="905" spans="2:13" x14ac:dyDescent="0.25">
      <c r="B905" s="1">
        <v>0</v>
      </c>
      <c r="C905" s="1">
        <v>0</v>
      </c>
      <c r="D905" s="1">
        <v>0.68</v>
      </c>
      <c r="E905" s="1">
        <v>0.32</v>
      </c>
      <c r="F905" s="1">
        <v>87</v>
      </c>
      <c r="G905" s="1">
        <v>0</v>
      </c>
      <c r="H905" s="1">
        <v>1</v>
      </c>
      <c r="I905" s="1">
        <v>7</v>
      </c>
      <c r="J905" s="1">
        <v>2</v>
      </c>
      <c r="K905" s="1">
        <v>0</v>
      </c>
      <c r="L905" s="1">
        <v>12666</v>
      </c>
      <c r="M905" s="1">
        <v>1</v>
      </c>
    </row>
    <row r="906" spans="2:13" x14ac:dyDescent="0.25">
      <c r="B906" s="1">
        <v>1</v>
      </c>
      <c r="C906" s="1">
        <v>1</v>
      </c>
      <c r="D906" s="1">
        <v>0</v>
      </c>
      <c r="E906" s="1">
        <v>1</v>
      </c>
      <c r="F906" s="1">
        <v>75</v>
      </c>
      <c r="G906" s="1">
        <v>1</v>
      </c>
      <c r="H906" s="1">
        <v>4</v>
      </c>
      <c r="I906" s="1">
        <v>6</v>
      </c>
      <c r="J906" s="1">
        <v>1</v>
      </c>
      <c r="K906" s="1">
        <v>1</v>
      </c>
      <c r="L906" s="1">
        <v>30151</v>
      </c>
      <c r="M906" s="1">
        <v>1</v>
      </c>
    </row>
    <row r="907" spans="2:13" x14ac:dyDescent="0.25">
      <c r="B907" s="1">
        <v>1</v>
      </c>
      <c r="C907" s="1">
        <v>1</v>
      </c>
      <c r="D907" s="1">
        <v>0</v>
      </c>
      <c r="E907" s="1">
        <v>1</v>
      </c>
      <c r="F907" s="1">
        <v>50</v>
      </c>
      <c r="G907" s="1">
        <v>0</v>
      </c>
      <c r="H907" s="1">
        <v>1</v>
      </c>
      <c r="I907" s="1">
        <v>3</v>
      </c>
      <c r="J907" s="1">
        <v>0</v>
      </c>
      <c r="K907" s="1">
        <v>1</v>
      </c>
      <c r="L907" s="1">
        <v>12268</v>
      </c>
      <c r="M907" s="1">
        <v>0</v>
      </c>
    </row>
    <row r="908" spans="2:13" x14ac:dyDescent="0.25">
      <c r="B908" s="17">
        <v>0</v>
      </c>
      <c r="C908" s="17">
        <v>1</v>
      </c>
      <c r="D908" s="17">
        <v>0.68</v>
      </c>
      <c r="E908" s="17">
        <v>0.32</v>
      </c>
      <c r="F908" s="17">
        <v>87</v>
      </c>
      <c r="G908" s="17">
        <v>0</v>
      </c>
      <c r="H908" s="17">
        <v>1</v>
      </c>
      <c r="I908" s="17">
        <v>4</v>
      </c>
      <c r="J908" s="17">
        <v>0</v>
      </c>
      <c r="K908" s="17">
        <v>0</v>
      </c>
      <c r="L908" s="17">
        <v>8890</v>
      </c>
      <c r="M908" s="17">
        <v>0</v>
      </c>
    </row>
    <row r="909" spans="2:13" x14ac:dyDescent="0.25">
      <c r="B909" s="1">
        <v>0</v>
      </c>
      <c r="C909" s="1">
        <v>0</v>
      </c>
      <c r="D909" s="1">
        <v>0.99749999999999994</v>
      </c>
      <c r="E909" s="1">
        <v>2.5000000000000001E-3</v>
      </c>
      <c r="F909" s="1">
        <v>56</v>
      </c>
      <c r="G909" s="1">
        <v>0</v>
      </c>
      <c r="H909" s="1">
        <v>10</v>
      </c>
      <c r="I909" s="1">
        <v>4</v>
      </c>
      <c r="J909" s="1">
        <v>0</v>
      </c>
      <c r="K909" s="1">
        <v>0</v>
      </c>
      <c r="L909" s="1">
        <v>21599</v>
      </c>
      <c r="M909" s="1">
        <v>0</v>
      </c>
    </row>
    <row r="910" spans="2:13" x14ac:dyDescent="0.25">
      <c r="B910" s="1">
        <v>0</v>
      </c>
      <c r="C910" s="1">
        <v>0</v>
      </c>
      <c r="D910" s="1">
        <v>0.625</v>
      </c>
      <c r="E910" s="1">
        <v>0.37500000000000006</v>
      </c>
      <c r="F910" s="1">
        <v>85</v>
      </c>
      <c r="G910" s="1">
        <v>1</v>
      </c>
      <c r="H910" s="1">
        <v>5</v>
      </c>
      <c r="I910" s="1">
        <v>2</v>
      </c>
      <c r="J910" s="1">
        <v>0</v>
      </c>
      <c r="K910" s="1">
        <v>0</v>
      </c>
      <c r="L910" s="1">
        <v>13288</v>
      </c>
      <c r="M910" s="1">
        <v>0</v>
      </c>
    </row>
    <row r="911" spans="2:13" x14ac:dyDescent="0.25">
      <c r="B911" s="1">
        <v>1</v>
      </c>
      <c r="C911" s="1">
        <v>1</v>
      </c>
      <c r="D911" s="1">
        <v>0</v>
      </c>
      <c r="E911" s="1">
        <v>1</v>
      </c>
      <c r="F911" s="1">
        <v>89</v>
      </c>
      <c r="G911" s="1">
        <v>1</v>
      </c>
      <c r="H911" s="1">
        <v>4</v>
      </c>
      <c r="I911" s="1">
        <v>5</v>
      </c>
      <c r="J911" s="1">
        <v>2</v>
      </c>
      <c r="K911" s="1">
        <v>1</v>
      </c>
      <c r="L911" s="1">
        <v>12834</v>
      </c>
      <c r="M911" s="1">
        <v>0</v>
      </c>
    </row>
    <row r="912" spans="2:13" x14ac:dyDescent="0.25">
      <c r="B912" s="1">
        <v>0</v>
      </c>
      <c r="C912" s="1">
        <v>0</v>
      </c>
      <c r="D912" s="1">
        <v>0.99749999999999994</v>
      </c>
      <c r="E912" s="1">
        <v>2.5000000000000001E-3</v>
      </c>
      <c r="F912" s="1">
        <v>66</v>
      </c>
      <c r="G912" s="1">
        <v>1</v>
      </c>
      <c r="H912" s="1">
        <v>7</v>
      </c>
      <c r="I912" s="1">
        <v>5</v>
      </c>
      <c r="J912" s="1">
        <v>0</v>
      </c>
      <c r="K912" s="1">
        <v>0</v>
      </c>
      <c r="L912" s="1">
        <v>12018</v>
      </c>
      <c r="M912" s="1">
        <v>0</v>
      </c>
    </row>
    <row r="913" spans="2:13" x14ac:dyDescent="0.25">
      <c r="B913" s="17">
        <v>0</v>
      </c>
      <c r="C913" s="17">
        <v>1</v>
      </c>
      <c r="D913" s="17">
        <v>0.68</v>
      </c>
      <c r="E913" s="17">
        <v>0.32</v>
      </c>
      <c r="F913" s="17">
        <v>96</v>
      </c>
      <c r="G913" s="17">
        <v>0</v>
      </c>
      <c r="H913" s="17">
        <v>3</v>
      </c>
      <c r="I913" s="17">
        <v>2</v>
      </c>
      <c r="J913" s="17">
        <v>0</v>
      </c>
      <c r="K913" s="17">
        <v>0</v>
      </c>
      <c r="L913" s="17">
        <v>8073</v>
      </c>
      <c r="M913" s="17">
        <v>0</v>
      </c>
    </row>
    <row r="914" spans="2:13" x14ac:dyDescent="0.25">
      <c r="B914" s="1">
        <v>0</v>
      </c>
      <c r="C914" s="1">
        <v>0</v>
      </c>
      <c r="D914" s="1">
        <v>0.99749999999999994</v>
      </c>
      <c r="E914" s="1">
        <v>2.5000000000000001E-3</v>
      </c>
      <c r="F914" s="1">
        <v>71</v>
      </c>
      <c r="G914" s="1">
        <v>1</v>
      </c>
      <c r="H914" s="1">
        <v>14</v>
      </c>
      <c r="I914" s="1">
        <v>4</v>
      </c>
      <c r="J914" s="1">
        <v>0</v>
      </c>
      <c r="K914" s="1">
        <v>0</v>
      </c>
      <c r="L914" s="1">
        <v>23118</v>
      </c>
      <c r="M914" s="1">
        <v>0</v>
      </c>
    </row>
    <row r="915" spans="2:13" x14ac:dyDescent="0.25">
      <c r="B915" s="1">
        <v>0</v>
      </c>
      <c r="C915" s="1">
        <v>0</v>
      </c>
      <c r="D915" s="1">
        <v>0.99749999999999994</v>
      </c>
      <c r="E915" s="1">
        <v>2.5000000000000001E-3</v>
      </c>
      <c r="F915" s="1">
        <v>55</v>
      </c>
      <c r="G915" s="1">
        <v>1</v>
      </c>
      <c r="H915" s="1">
        <v>7</v>
      </c>
      <c r="I915" s="1">
        <v>6</v>
      </c>
      <c r="J915" s="1">
        <v>2</v>
      </c>
      <c r="K915" s="1">
        <v>0</v>
      </c>
      <c r="L915" s="1">
        <v>29783</v>
      </c>
      <c r="M915" s="1">
        <v>0</v>
      </c>
    </row>
    <row r="916" spans="2:13" x14ac:dyDescent="0.25">
      <c r="B916" s="1">
        <v>0</v>
      </c>
      <c r="C916" s="1">
        <v>0</v>
      </c>
      <c r="D916" s="1">
        <v>0.96666666666666667</v>
      </c>
      <c r="E916" s="1">
        <v>3.333333333333334E-2</v>
      </c>
      <c r="F916" s="1">
        <v>35</v>
      </c>
      <c r="G916" s="1">
        <v>0</v>
      </c>
      <c r="H916" s="1">
        <v>8</v>
      </c>
      <c r="I916" s="1">
        <v>3</v>
      </c>
      <c r="J916" s="1">
        <v>1</v>
      </c>
      <c r="K916" s="1">
        <v>0</v>
      </c>
      <c r="L916" s="1">
        <v>12315</v>
      </c>
      <c r="M916" s="1">
        <v>0</v>
      </c>
    </row>
    <row r="917" spans="2:13" x14ac:dyDescent="0.25">
      <c r="B917" s="1">
        <v>0</v>
      </c>
      <c r="C917" s="1">
        <v>0</v>
      </c>
      <c r="D917" s="1">
        <v>0.99749999999999994</v>
      </c>
      <c r="E917" s="1">
        <v>2.5000000000000001E-3</v>
      </c>
      <c r="F917" s="1">
        <v>65</v>
      </c>
      <c r="G917" s="1">
        <v>0</v>
      </c>
      <c r="H917" s="1">
        <v>2</v>
      </c>
      <c r="I917" s="1">
        <v>7</v>
      </c>
      <c r="J917" s="1">
        <v>0</v>
      </c>
      <c r="K917" s="1">
        <v>0</v>
      </c>
      <c r="L917" s="1">
        <v>8167</v>
      </c>
      <c r="M917" s="1">
        <v>0</v>
      </c>
    </row>
    <row r="918" spans="2:13" x14ac:dyDescent="0.25">
      <c r="B918" s="17">
        <v>1</v>
      </c>
      <c r="C918" s="17">
        <v>0</v>
      </c>
      <c r="D918" s="17">
        <v>0.4375</v>
      </c>
      <c r="E918" s="17">
        <v>0.5625</v>
      </c>
      <c r="F918" s="17">
        <v>75</v>
      </c>
      <c r="G918" s="17">
        <v>1</v>
      </c>
      <c r="H918" s="17">
        <v>14</v>
      </c>
      <c r="I918" s="17">
        <v>5</v>
      </c>
      <c r="J918" s="17">
        <v>3</v>
      </c>
      <c r="K918" s="17">
        <v>0</v>
      </c>
      <c r="L918" s="17">
        <v>44235</v>
      </c>
      <c r="M918" s="17">
        <v>0</v>
      </c>
    </row>
    <row r="919" spans="2:13" x14ac:dyDescent="0.25">
      <c r="B919" s="1">
        <v>0</v>
      </c>
      <c r="C919" s="1">
        <v>0</v>
      </c>
      <c r="D919" s="1">
        <v>0.96666666666666667</v>
      </c>
      <c r="E919" s="1">
        <v>3.333333333333334E-2</v>
      </c>
      <c r="F919" s="1">
        <v>32</v>
      </c>
      <c r="G919" s="1">
        <v>1</v>
      </c>
      <c r="H919" s="1">
        <v>2</v>
      </c>
      <c r="I919" s="1">
        <v>1</v>
      </c>
      <c r="J919" s="1">
        <v>1</v>
      </c>
      <c r="K919" s="1">
        <v>0</v>
      </c>
      <c r="L919" s="1">
        <v>10607</v>
      </c>
      <c r="M919" s="1">
        <v>0</v>
      </c>
    </row>
    <row r="920" spans="2:13" x14ac:dyDescent="0.25">
      <c r="B920" s="1">
        <v>0</v>
      </c>
      <c r="C920" s="1">
        <v>0</v>
      </c>
      <c r="D920" s="1">
        <v>0.8571428571428571</v>
      </c>
      <c r="E920" s="1">
        <v>0.14285714285714288</v>
      </c>
      <c r="F920" s="1">
        <v>79</v>
      </c>
      <c r="G920" s="1">
        <v>1</v>
      </c>
      <c r="H920" s="1">
        <v>1</v>
      </c>
      <c r="I920" s="1">
        <v>5</v>
      </c>
      <c r="J920" s="1">
        <v>0</v>
      </c>
      <c r="K920" s="1">
        <v>0</v>
      </c>
      <c r="L920" s="1">
        <v>8084</v>
      </c>
      <c r="M920" s="1">
        <v>0</v>
      </c>
    </row>
    <row r="921" spans="2:13" x14ac:dyDescent="0.25">
      <c r="B921" s="1">
        <v>0</v>
      </c>
      <c r="C921" s="1">
        <v>0</v>
      </c>
      <c r="D921" s="1">
        <v>0.99749999999999994</v>
      </c>
      <c r="E921" s="1">
        <v>2.5000000000000001E-3</v>
      </c>
      <c r="F921" s="1">
        <v>57</v>
      </c>
      <c r="G921" s="1">
        <v>1</v>
      </c>
      <c r="H921" s="1">
        <v>4</v>
      </c>
      <c r="I921" s="1">
        <v>6</v>
      </c>
      <c r="J921" s="1">
        <v>0</v>
      </c>
      <c r="K921" s="1">
        <v>0</v>
      </c>
      <c r="L921" s="1">
        <v>11040</v>
      </c>
      <c r="M921" s="1">
        <v>0</v>
      </c>
    </row>
    <row r="922" spans="2:13" x14ac:dyDescent="0.25">
      <c r="B922" s="1">
        <v>0</v>
      </c>
      <c r="C922" s="1">
        <v>0</v>
      </c>
      <c r="D922" s="1">
        <v>0.99749999999999994</v>
      </c>
      <c r="E922" s="1">
        <v>2.5000000000000001E-3</v>
      </c>
      <c r="F922" s="1">
        <v>71</v>
      </c>
      <c r="G922" s="1">
        <v>0</v>
      </c>
      <c r="H922" s="1">
        <v>4</v>
      </c>
      <c r="I922" s="1">
        <v>3</v>
      </c>
      <c r="J922" s="1">
        <v>2</v>
      </c>
      <c r="K922" s="1">
        <v>0</v>
      </c>
      <c r="L922" s="1">
        <v>20741</v>
      </c>
      <c r="M922" s="1">
        <v>0</v>
      </c>
    </row>
    <row r="923" spans="2:13" x14ac:dyDescent="0.25">
      <c r="B923" s="1">
        <v>0</v>
      </c>
      <c r="C923" s="1">
        <v>0</v>
      </c>
      <c r="D923" s="1">
        <v>0.9810526315789474</v>
      </c>
      <c r="E923" s="1">
        <v>1.8947368421052633E-2</v>
      </c>
      <c r="F923" s="1">
        <v>0</v>
      </c>
      <c r="G923" s="1">
        <v>1</v>
      </c>
      <c r="H923" s="1">
        <v>4</v>
      </c>
      <c r="I923" s="1">
        <v>0</v>
      </c>
      <c r="J923" s="1">
        <v>0</v>
      </c>
      <c r="K923" s="1">
        <v>0</v>
      </c>
      <c r="L923" s="1">
        <v>4936</v>
      </c>
      <c r="M923" s="1">
        <v>0</v>
      </c>
    </row>
    <row r="924" spans="2:13" x14ac:dyDescent="0.25">
      <c r="B924" s="1">
        <v>0</v>
      </c>
      <c r="C924" s="1">
        <v>0</v>
      </c>
      <c r="D924" s="1">
        <v>0.9810526315789474</v>
      </c>
      <c r="E924" s="1">
        <v>1.8947368421052633E-2</v>
      </c>
      <c r="F924" s="1">
        <v>0</v>
      </c>
      <c r="G924" s="1">
        <v>0</v>
      </c>
      <c r="H924" s="1">
        <v>2</v>
      </c>
      <c r="I924" s="1">
        <v>0</v>
      </c>
      <c r="J924" s="1">
        <v>0</v>
      </c>
      <c r="K924" s="1">
        <v>0</v>
      </c>
      <c r="L924" s="1">
        <v>2370</v>
      </c>
      <c r="M924" s="1">
        <v>0</v>
      </c>
    </row>
    <row r="925" spans="2:13" x14ac:dyDescent="0.25">
      <c r="B925" s="1">
        <v>0</v>
      </c>
      <c r="C925" s="1">
        <v>0</v>
      </c>
      <c r="D925" s="1">
        <v>0.9810526315789474</v>
      </c>
      <c r="E925" s="1">
        <v>1.8947368421052633E-2</v>
      </c>
      <c r="F925" s="1">
        <v>0</v>
      </c>
      <c r="G925" s="1">
        <v>0</v>
      </c>
      <c r="H925" s="1">
        <v>2</v>
      </c>
      <c r="I925" s="1">
        <v>0</v>
      </c>
      <c r="J925" s="1">
        <v>0</v>
      </c>
      <c r="K925" s="1">
        <v>0</v>
      </c>
      <c r="L925" s="1">
        <v>5420</v>
      </c>
      <c r="M925" s="1">
        <v>0</v>
      </c>
    </row>
    <row r="926" spans="2:13" x14ac:dyDescent="0.25">
      <c r="B926" s="1">
        <v>0</v>
      </c>
      <c r="C926" s="1">
        <v>0</v>
      </c>
      <c r="D926" s="1">
        <v>0.9810526315789474</v>
      </c>
      <c r="E926" s="1">
        <v>1.8947368421052633E-2</v>
      </c>
      <c r="F926" s="1">
        <v>0</v>
      </c>
      <c r="G926" s="1">
        <v>0</v>
      </c>
      <c r="H926" s="1">
        <v>2</v>
      </c>
      <c r="I926" s="1">
        <v>0</v>
      </c>
      <c r="J926" s="1">
        <v>0</v>
      </c>
      <c r="K926" s="1">
        <v>0</v>
      </c>
      <c r="L926" s="1">
        <v>4605</v>
      </c>
      <c r="M926" s="1">
        <v>0</v>
      </c>
    </row>
    <row r="927" spans="2:13" x14ac:dyDescent="0.25">
      <c r="B927" s="1">
        <v>1</v>
      </c>
      <c r="C927" s="1">
        <v>1</v>
      </c>
      <c r="D927" s="1">
        <v>0.30769230769230771</v>
      </c>
      <c r="E927" s="1">
        <v>0.69230769230769229</v>
      </c>
      <c r="F927" s="1">
        <v>50</v>
      </c>
      <c r="G927" s="1">
        <v>1</v>
      </c>
      <c r="H927" s="1">
        <v>2</v>
      </c>
      <c r="I927" s="1">
        <v>4</v>
      </c>
      <c r="J927" s="1">
        <v>0</v>
      </c>
      <c r="K927" s="1">
        <v>0</v>
      </c>
      <c r="L927" s="1">
        <v>14725</v>
      </c>
      <c r="M927" s="1">
        <v>0</v>
      </c>
    </row>
    <row r="928" spans="2:13" x14ac:dyDescent="0.25">
      <c r="B928" s="1">
        <v>0</v>
      </c>
      <c r="C928" s="1">
        <v>0</v>
      </c>
      <c r="D928" s="1">
        <v>0.99749999999999994</v>
      </c>
      <c r="E928" s="1">
        <v>2.5000000000000001E-3</v>
      </c>
      <c r="F928" s="1">
        <v>70</v>
      </c>
      <c r="G928" s="1">
        <v>1</v>
      </c>
      <c r="H928" s="1">
        <v>2</v>
      </c>
      <c r="I928" s="1">
        <v>6</v>
      </c>
      <c r="J928" s="1">
        <v>0</v>
      </c>
      <c r="K928" s="1">
        <v>0</v>
      </c>
      <c r="L928" s="1">
        <v>9069</v>
      </c>
      <c r="M928" s="1">
        <v>0</v>
      </c>
    </row>
    <row r="929" spans="2:13" x14ac:dyDescent="0.25">
      <c r="B929" s="1">
        <v>0</v>
      </c>
      <c r="C929" s="1">
        <v>0</v>
      </c>
      <c r="D929" s="1">
        <v>0.99749999999999994</v>
      </c>
      <c r="E929" s="1">
        <v>2.5000000000000001E-3</v>
      </c>
      <c r="F929" s="1">
        <v>72</v>
      </c>
      <c r="G929" s="1">
        <v>0</v>
      </c>
      <c r="H929" s="1">
        <v>5</v>
      </c>
      <c r="I929" s="1">
        <v>3</v>
      </c>
      <c r="J929" s="1">
        <v>0</v>
      </c>
      <c r="K929" s="1">
        <v>0</v>
      </c>
      <c r="L929" s="1">
        <v>9131</v>
      </c>
      <c r="M929" s="1">
        <v>0</v>
      </c>
    </row>
    <row r="930" spans="2:13" x14ac:dyDescent="0.25">
      <c r="B930" s="1">
        <v>0</v>
      </c>
      <c r="C930" s="1">
        <v>0</v>
      </c>
      <c r="D930" s="1">
        <v>0.99749999999999994</v>
      </c>
      <c r="E930" s="1">
        <v>2.5000000000000001E-3</v>
      </c>
      <c r="F930" s="1">
        <v>63</v>
      </c>
      <c r="G930" s="1">
        <v>0</v>
      </c>
      <c r="H930" s="1">
        <v>28</v>
      </c>
      <c r="I930" s="1">
        <v>3</v>
      </c>
      <c r="J930" s="1">
        <v>3</v>
      </c>
      <c r="K930" s="1">
        <v>0</v>
      </c>
      <c r="L930" s="1">
        <v>70998</v>
      </c>
      <c r="M930" s="1">
        <v>0</v>
      </c>
    </row>
    <row r="931" spans="2:13" x14ac:dyDescent="0.25">
      <c r="B931" s="1">
        <v>1</v>
      </c>
      <c r="C931" s="1">
        <v>1</v>
      </c>
      <c r="D931" s="1">
        <v>0</v>
      </c>
      <c r="E931" s="1">
        <v>1</v>
      </c>
      <c r="F931" s="1">
        <v>54</v>
      </c>
      <c r="G931" s="1">
        <v>0</v>
      </c>
      <c r="H931" s="1">
        <v>5</v>
      </c>
      <c r="I931" s="1">
        <v>5</v>
      </c>
      <c r="J931" s="1">
        <v>2</v>
      </c>
      <c r="K931" s="1">
        <v>1</v>
      </c>
      <c r="L931" s="1">
        <v>39109</v>
      </c>
      <c r="M931" s="1">
        <v>1</v>
      </c>
    </row>
    <row r="932" spans="2:13" x14ac:dyDescent="0.25">
      <c r="B932" s="1">
        <v>1</v>
      </c>
      <c r="C932" s="1">
        <v>1</v>
      </c>
      <c r="D932" s="1">
        <v>0</v>
      </c>
      <c r="E932" s="1">
        <v>1</v>
      </c>
      <c r="F932" s="1">
        <v>51</v>
      </c>
      <c r="G932" s="1">
        <v>0</v>
      </c>
      <c r="H932" s="1">
        <v>23</v>
      </c>
      <c r="I932" s="1">
        <v>5</v>
      </c>
      <c r="J932" s="1">
        <v>5</v>
      </c>
      <c r="K932" s="1">
        <v>1</v>
      </c>
      <c r="L932" s="1">
        <v>62226</v>
      </c>
      <c r="M932" s="1">
        <v>1</v>
      </c>
    </row>
    <row r="933" spans="2:13" x14ac:dyDescent="0.25">
      <c r="B933" s="1">
        <v>1</v>
      </c>
      <c r="C933" s="1">
        <v>1</v>
      </c>
      <c r="D933" s="1">
        <v>0</v>
      </c>
      <c r="E933" s="1">
        <v>1</v>
      </c>
      <c r="F933" s="1">
        <v>75</v>
      </c>
      <c r="G933" s="1">
        <v>0</v>
      </c>
      <c r="H933" s="1">
        <v>6</v>
      </c>
      <c r="I933" s="1">
        <v>8</v>
      </c>
      <c r="J933" s="1">
        <v>6</v>
      </c>
      <c r="K933" s="1">
        <v>1</v>
      </c>
      <c r="L933" s="1">
        <v>66544</v>
      </c>
      <c r="M933" s="1">
        <v>1</v>
      </c>
    </row>
    <row r="934" spans="2:13" x14ac:dyDescent="0.25">
      <c r="B934" s="1">
        <v>0</v>
      </c>
      <c r="C934" s="1">
        <v>0</v>
      </c>
      <c r="D934" s="1">
        <v>0.9810526315789474</v>
      </c>
      <c r="E934" s="1">
        <v>1.8947368421052633E-2</v>
      </c>
      <c r="F934" s="1">
        <v>0</v>
      </c>
      <c r="G934" s="1">
        <v>1</v>
      </c>
      <c r="H934" s="1">
        <v>2</v>
      </c>
      <c r="I934" s="1">
        <v>0</v>
      </c>
      <c r="J934" s="1">
        <v>0</v>
      </c>
      <c r="K934" s="1">
        <v>0</v>
      </c>
      <c r="L934" s="1">
        <v>1665</v>
      </c>
      <c r="M934" s="1">
        <v>0</v>
      </c>
    </row>
    <row r="935" spans="2:13" x14ac:dyDescent="0.25">
      <c r="B935" s="1">
        <v>0</v>
      </c>
      <c r="C935" s="1">
        <v>0</v>
      </c>
      <c r="D935" s="1">
        <v>0.9810526315789474</v>
      </c>
      <c r="E935" s="1">
        <v>1.8947368421052633E-2</v>
      </c>
      <c r="F935" s="1">
        <v>27</v>
      </c>
      <c r="G935" s="1">
        <v>1</v>
      </c>
      <c r="H935" s="1">
        <v>2</v>
      </c>
      <c r="I935" s="1">
        <v>1</v>
      </c>
      <c r="J935" s="1">
        <v>1</v>
      </c>
      <c r="K935" s="1">
        <v>0</v>
      </c>
      <c r="L935" s="1">
        <v>23430</v>
      </c>
      <c r="M935" s="1">
        <v>1</v>
      </c>
    </row>
    <row r="936" spans="2:13" x14ac:dyDescent="0.25">
      <c r="B936" s="1">
        <v>0</v>
      </c>
      <c r="C936" s="1">
        <v>0</v>
      </c>
      <c r="D936" s="1">
        <v>0.99749999999999994</v>
      </c>
      <c r="E936" s="1">
        <v>2.5000000000000001E-3</v>
      </c>
      <c r="F936" s="1">
        <v>59</v>
      </c>
      <c r="G936" s="1">
        <v>1</v>
      </c>
      <c r="H936" s="1">
        <v>5</v>
      </c>
      <c r="I936" s="1">
        <v>3</v>
      </c>
      <c r="J936" s="1">
        <v>0</v>
      </c>
      <c r="K936" s="1">
        <v>0</v>
      </c>
      <c r="L936" s="1">
        <v>8596</v>
      </c>
      <c r="M936" s="1">
        <v>0</v>
      </c>
    </row>
    <row r="937" spans="2:13" x14ac:dyDescent="0.25">
      <c r="B937" s="17">
        <v>1</v>
      </c>
      <c r="C937" s="17">
        <v>0</v>
      </c>
      <c r="D937" s="17">
        <v>9.5238095238095233E-2</v>
      </c>
      <c r="E937" s="17">
        <v>0.90476190476190477</v>
      </c>
      <c r="F937" s="17">
        <v>53</v>
      </c>
      <c r="G937" s="17">
        <v>0</v>
      </c>
      <c r="H937" s="17">
        <v>3</v>
      </c>
      <c r="I937" s="17">
        <v>5</v>
      </c>
      <c r="J937" s="17">
        <v>2</v>
      </c>
      <c r="K937" s="17">
        <v>0</v>
      </c>
      <c r="L937" s="17">
        <v>47825</v>
      </c>
      <c r="M937" s="17">
        <v>1</v>
      </c>
    </row>
    <row r="938" spans="2:13" x14ac:dyDescent="0.25">
      <c r="B938" s="1">
        <v>0</v>
      </c>
      <c r="C938" s="1">
        <v>0</v>
      </c>
      <c r="D938" s="1">
        <v>0.96666666666666667</v>
      </c>
      <c r="E938" s="1">
        <v>3.333333333333334E-2</v>
      </c>
      <c r="F938" s="1">
        <v>30</v>
      </c>
      <c r="G938" s="1">
        <v>1</v>
      </c>
      <c r="H938" s="1">
        <v>2</v>
      </c>
      <c r="I938" s="1">
        <v>0</v>
      </c>
      <c r="J938" s="1">
        <v>2</v>
      </c>
      <c r="K938" s="1">
        <v>0</v>
      </c>
      <c r="L938" s="1">
        <v>6569</v>
      </c>
      <c r="M938" s="1">
        <v>0</v>
      </c>
    </row>
    <row r="939" spans="2:13" x14ac:dyDescent="0.25">
      <c r="B939" s="1">
        <v>1</v>
      </c>
      <c r="C939" s="1">
        <v>1</v>
      </c>
      <c r="D939" s="1">
        <v>0</v>
      </c>
      <c r="E939" s="1">
        <v>1</v>
      </c>
      <c r="F939" s="1">
        <v>89</v>
      </c>
      <c r="G939" s="1">
        <v>0</v>
      </c>
      <c r="H939" s="1">
        <v>25</v>
      </c>
      <c r="I939" s="1">
        <v>2</v>
      </c>
      <c r="J939" s="1">
        <v>3</v>
      </c>
      <c r="K939" s="1">
        <v>1</v>
      </c>
      <c r="L939" s="1">
        <v>61594</v>
      </c>
      <c r="M939" s="1">
        <v>0</v>
      </c>
    </row>
    <row r="940" spans="2:13" x14ac:dyDescent="0.25">
      <c r="B940" s="1">
        <v>0</v>
      </c>
      <c r="C940" s="1">
        <v>0</v>
      </c>
      <c r="D940" s="1">
        <v>0.99749999999999994</v>
      </c>
      <c r="E940" s="1">
        <v>2.5000000000000001E-3</v>
      </c>
      <c r="F940" s="1">
        <v>56</v>
      </c>
      <c r="G940" s="1">
        <v>0</v>
      </c>
      <c r="H940" s="1">
        <v>9</v>
      </c>
      <c r="I940" s="1">
        <v>1</v>
      </c>
      <c r="J940" s="1">
        <v>2</v>
      </c>
      <c r="K940" s="1">
        <v>0</v>
      </c>
      <c r="L940" s="1">
        <v>68413</v>
      </c>
      <c r="M940" s="1">
        <v>1</v>
      </c>
    </row>
    <row r="941" spans="2:13" x14ac:dyDescent="0.25">
      <c r="B941" s="1">
        <v>1</v>
      </c>
      <c r="C941" s="1">
        <v>1</v>
      </c>
      <c r="D941" s="1">
        <v>0</v>
      </c>
      <c r="E941" s="1">
        <v>1</v>
      </c>
      <c r="F941" s="1">
        <v>78</v>
      </c>
      <c r="G941" s="1">
        <v>1</v>
      </c>
      <c r="H941" s="1">
        <v>2</v>
      </c>
      <c r="I941" s="1">
        <v>7</v>
      </c>
      <c r="J941" s="1">
        <v>0</v>
      </c>
      <c r="K941" s="1">
        <v>1</v>
      </c>
      <c r="L941" s="1">
        <v>9263</v>
      </c>
      <c r="M941" s="1">
        <v>0</v>
      </c>
    </row>
    <row r="942" spans="2:13" x14ac:dyDescent="0.25">
      <c r="B942" s="1">
        <v>1</v>
      </c>
      <c r="C942" s="1">
        <v>1</v>
      </c>
      <c r="D942" s="1">
        <v>0</v>
      </c>
      <c r="E942" s="1">
        <v>1</v>
      </c>
      <c r="F942" s="1">
        <v>91</v>
      </c>
      <c r="G942" s="1">
        <v>1</v>
      </c>
      <c r="H942" s="1">
        <v>6</v>
      </c>
      <c r="I942" s="1">
        <v>0</v>
      </c>
      <c r="J942" s="1">
        <v>1</v>
      </c>
      <c r="K942" s="1">
        <v>1</v>
      </c>
      <c r="L942" s="1">
        <v>26998</v>
      </c>
      <c r="M942" s="1">
        <v>0</v>
      </c>
    </row>
    <row r="943" spans="2:13" x14ac:dyDescent="0.25">
      <c r="B943" s="1">
        <v>1</v>
      </c>
      <c r="C943" s="1">
        <v>1</v>
      </c>
      <c r="D943" s="1">
        <v>0.16666666666666666</v>
      </c>
      <c r="E943" s="1">
        <v>0.83333333333333326</v>
      </c>
      <c r="F943" s="1">
        <v>0</v>
      </c>
      <c r="G943" s="1">
        <v>0</v>
      </c>
      <c r="H943" s="1">
        <v>26</v>
      </c>
      <c r="I943" s="1">
        <v>1</v>
      </c>
      <c r="J943" s="1">
        <v>1</v>
      </c>
      <c r="K943" s="1">
        <v>0</v>
      </c>
      <c r="L943" s="1">
        <v>51733</v>
      </c>
      <c r="M943" s="1">
        <v>0</v>
      </c>
    </row>
    <row r="944" spans="2:13" x14ac:dyDescent="0.25">
      <c r="B944" s="1">
        <v>0</v>
      </c>
      <c r="C944" s="1">
        <v>0</v>
      </c>
      <c r="D944" s="1">
        <v>0.96666666666666667</v>
      </c>
      <c r="E944" s="1">
        <v>3.333333333333334E-2</v>
      </c>
      <c r="F944" s="1">
        <v>29</v>
      </c>
      <c r="G944" s="1">
        <v>0</v>
      </c>
      <c r="H944" s="1">
        <v>5</v>
      </c>
      <c r="I944" s="1">
        <v>2</v>
      </c>
      <c r="J944" s="1">
        <v>0</v>
      </c>
      <c r="K944" s="1">
        <v>0</v>
      </c>
      <c r="L944" s="1">
        <v>8512</v>
      </c>
      <c r="M944" s="1">
        <v>0</v>
      </c>
    </row>
    <row r="945" spans="2:13" x14ac:dyDescent="0.25">
      <c r="B945" s="1">
        <v>1</v>
      </c>
      <c r="C945" s="1">
        <v>1</v>
      </c>
      <c r="D945" s="1">
        <v>0</v>
      </c>
      <c r="E945" s="1">
        <v>1</v>
      </c>
      <c r="F945" s="1">
        <v>80</v>
      </c>
      <c r="G945" s="1">
        <v>0</v>
      </c>
      <c r="H945" s="1">
        <v>2</v>
      </c>
      <c r="I945" s="1">
        <v>3</v>
      </c>
      <c r="J945" s="1">
        <v>0</v>
      </c>
      <c r="K945" s="1">
        <v>1</v>
      </c>
      <c r="L945" s="1">
        <v>7511</v>
      </c>
      <c r="M945" s="1">
        <v>0</v>
      </c>
    </row>
    <row r="946" spans="2:13" x14ac:dyDescent="0.25">
      <c r="B946" s="1">
        <v>0</v>
      </c>
      <c r="C946" s="1">
        <v>0</v>
      </c>
      <c r="D946" s="1">
        <v>0.99749999999999994</v>
      </c>
      <c r="E946" s="1">
        <v>2.5000000000000001E-3</v>
      </c>
      <c r="F946" s="1">
        <v>67</v>
      </c>
      <c r="G946" s="1">
        <v>1</v>
      </c>
      <c r="H946" s="1">
        <v>3</v>
      </c>
      <c r="I946" s="1">
        <v>5</v>
      </c>
      <c r="J946" s="1">
        <v>0</v>
      </c>
      <c r="K946" s="1">
        <v>0</v>
      </c>
      <c r="L946" s="1">
        <v>9283</v>
      </c>
      <c r="M946" s="1">
        <v>0</v>
      </c>
    </row>
    <row r="947" spans="2:13" x14ac:dyDescent="0.25">
      <c r="B947" s="1">
        <v>0</v>
      </c>
      <c r="C947" s="1">
        <v>0</v>
      </c>
      <c r="D947" s="1">
        <v>0.9810526315789474</v>
      </c>
      <c r="E947" s="1">
        <v>1.8947368421052633E-2</v>
      </c>
      <c r="F947" s="1">
        <v>0</v>
      </c>
      <c r="G947" s="1">
        <v>1</v>
      </c>
      <c r="H947" s="1">
        <v>3</v>
      </c>
      <c r="I947" s="1">
        <v>1</v>
      </c>
      <c r="J947" s="1">
        <v>0</v>
      </c>
      <c r="K947" s="1">
        <v>0</v>
      </c>
      <c r="L947" s="1">
        <v>5918</v>
      </c>
      <c r="M947" s="1">
        <v>0</v>
      </c>
    </row>
    <row r="948" spans="2:13" x14ac:dyDescent="0.25">
      <c r="B948" s="1">
        <v>1</v>
      </c>
      <c r="C948" s="1">
        <v>1</v>
      </c>
      <c r="D948" s="1">
        <v>0</v>
      </c>
      <c r="E948" s="1">
        <v>1</v>
      </c>
      <c r="F948" s="1">
        <v>86</v>
      </c>
      <c r="G948" s="1">
        <v>0</v>
      </c>
      <c r="H948" s="1">
        <v>5</v>
      </c>
      <c r="I948" s="1">
        <v>1</v>
      </c>
      <c r="J948" s="1">
        <v>0</v>
      </c>
      <c r="K948" s="1">
        <v>1</v>
      </c>
      <c r="L948" s="1">
        <v>19666</v>
      </c>
      <c r="M948" s="1">
        <v>0</v>
      </c>
    </row>
    <row r="949" spans="2:13" x14ac:dyDescent="0.25">
      <c r="B949" s="1">
        <v>1</v>
      </c>
      <c r="C949" s="1">
        <v>1</v>
      </c>
      <c r="D949" s="1">
        <v>0.19999999999999996</v>
      </c>
      <c r="E949" s="1">
        <v>0.79999999999999993</v>
      </c>
      <c r="F949" s="1">
        <v>83</v>
      </c>
      <c r="G949" s="1">
        <v>1</v>
      </c>
      <c r="H949" s="1">
        <v>9</v>
      </c>
      <c r="I949" s="1">
        <v>6</v>
      </c>
      <c r="J949" s="1">
        <v>1</v>
      </c>
      <c r="K949" s="1">
        <v>0</v>
      </c>
      <c r="L949" s="1">
        <v>33249</v>
      </c>
      <c r="M949" s="1">
        <v>0</v>
      </c>
    </row>
    <row r="950" spans="2:13" x14ac:dyDescent="0.25">
      <c r="B950" s="1">
        <v>0</v>
      </c>
      <c r="C950" s="1">
        <v>0</v>
      </c>
      <c r="D950" s="1">
        <v>0.99749999999999994</v>
      </c>
      <c r="E950" s="1">
        <v>2.5000000000000001E-3</v>
      </c>
      <c r="F950" s="1">
        <v>69</v>
      </c>
      <c r="G950" s="1">
        <v>1</v>
      </c>
      <c r="H950" s="1">
        <v>1</v>
      </c>
      <c r="I950" s="1">
        <v>4</v>
      </c>
      <c r="J950" s="1">
        <v>0</v>
      </c>
      <c r="K950" s="1">
        <v>0</v>
      </c>
      <c r="L950" s="1">
        <v>10098</v>
      </c>
      <c r="M950" s="1">
        <v>0</v>
      </c>
    </row>
    <row r="951" spans="2:13" x14ac:dyDescent="0.25">
      <c r="B951" s="1">
        <v>0</v>
      </c>
      <c r="C951" s="1">
        <v>0</v>
      </c>
      <c r="D951" s="1">
        <v>1</v>
      </c>
      <c r="E951" s="1">
        <v>0</v>
      </c>
      <c r="F951" s="1">
        <v>39</v>
      </c>
      <c r="G951" s="1">
        <v>1</v>
      </c>
      <c r="H951" s="1">
        <v>5</v>
      </c>
      <c r="I951" s="1">
        <v>2</v>
      </c>
      <c r="J951" s="1">
        <v>0</v>
      </c>
      <c r="K951" s="1">
        <v>0</v>
      </c>
      <c r="L951" s="1">
        <v>9848</v>
      </c>
      <c r="M951" s="1">
        <v>0</v>
      </c>
    </row>
    <row r="952" spans="2:13" x14ac:dyDescent="0.25">
      <c r="B952" s="1">
        <v>0</v>
      </c>
      <c r="C952" s="1">
        <v>0</v>
      </c>
      <c r="D952" s="1">
        <v>0.8571428571428571</v>
      </c>
      <c r="E952" s="1">
        <v>0.14285714285714288</v>
      </c>
      <c r="F952" s="1">
        <v>76</v>
      </c>
      <c r="G952" s="1">
        <v>1</v>
      </c>
      <c r="H952" s="1">
        <v>3</v>
      </c>
      <c r="I952" s="1">
        <v>4</v>
      </c>
      <c r="J952" s="1">
        <v>0</v>
      </c>
      <c r="K952" s="1">
        <v>0</v>
      </c>
      <c r="L952" s="1">
        <v>8026</v>
      </c>
      <c r="M952" s="1">
        <v>0</v>
      </c>
    </row>
    <row r="953" spans="2:13" x14ac:dyDescent="0.25">
      <c r="B953" s="1">
        <v>0</v>
      </c>
      <c r="C953" s="1">
        <v>0</v>
      </c>
      <c r="D953" s="1">
        <v>0.9810526315789474</v>
      </c>
      <c r="E953" s="1">
        <v>1.8947368421052633E-2</v>
      </c>
      <c r="F953" s="1">
        <v>18</v>
      </c>
      <c r="G953" s="1">
        <v>1</v>
      </c>
      <c r="H953" s="1">
        <v>1</v>
      </c>
      <c r="I953" s="1">
        <v>0</v>
      </c>
      <c r="J953" s="1">
        <v>0</v>
      </c>
      <c r="K953" s="1">
        <v>0</v>
      </c>
      <c r="L953" s="1">
        <v>4882</v>
      </c>
      <c r="M953" s="1">
        <v>0</v>
      </c>
    </row>
    <row r="954" spans="2:13" x14ac:dyDescent="0.25">
      <c r="B954" s="1">
        <v>0</v>
      </c>
      <c r="C954" s="1">
        <v>0</v>
      </c>
      <c r="D954" s="1">
        <v>0.9810526315789474</v>
      </c>
      <c r="E954" s="1">
        <v>1.8947368421052633E-2</v>
      </c>
      <c r="F954" s="1">
        <v>22</v>
      </c>
      <c r="G954" s="1">
        <v>1</v>
      </c>
      <c r="H954" s="1">
        <v>2</v>
      </c>
      <c r="I954" s="1">
        <v>0</v>
      </c>
      <c r="J954" s="1">
        <v>2</v>
      </c>
      <c r="K954" s="1">
        <v>0</v>
      </c>
      <c r="L954" s="1">
        <v>8423</v>
      </c>
      <c r="M954" s="1">
        <v>0</v>
      </c>
    </row>
    <row r="955" spans="2:13" x14ac:dyDescent="0.25">
      <c r="B955" s="1">
        <v>0</v>
      </c>
      <c r="C955" s="1">
        <v>0</v>
      </c>
      <c r="D955" s="1">
        <v>1</v>
      </c>
      <c r="E955" s="1">
        <v>0</v>
      </c>
      <c r="F955" s="1">
        <v>42</v>
      </c>
      <c r="G955" s="1">
        <v>1</v>
      </c>
      <c r="H955" s="1">
        <v>2</v>
      </c>
      <c r="I955" s="1">
        <v>0</v>
      </c>
      <c r="J955" s="1">
        <v>2</v>
      </c>
      <c r="K955" s="1">
        <v>0</v>
      </c>
      <c r="L955" s="1">
        <v>10013</v>
      </c>
      <c r="M955" s="1">
        <v>1</v>
      </c>
    </row>
    <row r="956" spans="2:13" x14ac:dyDescent="0.25">
      <c r="B956" s="1">
        <v>0</v>
      </c>
      <c r="C956" s="1">
        <v>0</v>
      </c>
      <c r="D956" s="1">
        <v>0.96666666666666667</v>
      </c>
      <c r="E956" s="1">
        <v>3.333333333333334E-2</v>
      </c>
      <c r="F956" s="1">
        <v>32</v>
      </c>
      <c r="G956" s="1">
        <v>1</v>
      </c>
      <c r="H956" s="1">
        <v>2</v>
      </c>
      <c r="I956" s="1">
        <v>0</v>
      </c>
      <c r="J956" s="1">
        <v>1</v>
      </c>
      <c r="K956" s="1">
        <v>0</v>
      </c>
      <c r="L956" s="1">
        <v>13358</v>
      </c>
      <c r="M956" s="1">
        <v>0</v>
      </c>
    </row>
    <row r="957" spans="2:13" x14ac:dyDescent="0.25">
      <c r="B957" s="1">
        <v>0</v>
      </c>
      <c r="C957" s="1">
        <v>0</v>
      </c>
      <c r="D957" s="1">
        <v>0.99749999999999994</v>
      </c>
      <c r="E957" s="1">
        <v>2.5000000000000001E-3</v>
      </c>
      <c r="F957" s="1">
        <v>70</v>
      </c>
      <c r="G957" s="1">
        <v>0</v>
      </c>
      <c r="H957" s="1">
        <v>8</v>
      </c>
      <c r="I957" s="1">
        <v>6</v>
      </c>
      <c r="J957" s="1">
        <v>3</v>
      </c>
      <c r="K957" s="1">
        <v>0</v>
      </c>
      <c r="L957" s="1">
        <v>54225</v>
      </c>
      <c r="M957" s="1">
        <v>0</v>
      </c>
    </row>
    <row r="958" spans="2:13" x14ac:dyDescent="0.25">
      <c r="B958" s="1">
        <v>0</v>
      </c>
      <c r="C958" s="1">
        <v>0</v>
      </c>
      <c r="D958" s="1">
        <v>0.9810526315789474</v>
      </c>
      <c r="E958" s="1">
        <v>1.8947368421052633E-2</v>
      </c>
      <c r="F958" s="1">
        <v>0</v>
      </c>
      <c r="G958" s="1">
        <v>1</v>
      </c>
      <c r="H958" s="1">
        <v>4</v>
      </c>
      <c r="I958" s="1">
        <v>0</v>
      </c>
      <c r="J958" s="1">
        <v>0</v>
      </c>
      <c r="K958" s="1">
        <v>0</v>
      </c>
      <c r="L958" s="1">
        <v>4246</v>
      </c>
      <c r="M958" s="1">
        <v>0</v>
      </c>
    </row>
    <row r="959" spans="2:13" x14ac:dyDescent="0.25">
      <c r="B959" s="1">
        <v>0</v>
      </c>
      <c r="C959" s="1">
        <v>0</v>
      </c>
      <c r="D959" s="1">
        <v>0.96666666666666667</v>
      </c>
      <c r="E959" s="1">
        <v>3.333333333333334E-2</v>
      </c>
      <c r="F959" s="1">
        <v>32</v>
      </c>
      <c r="G959" s="1">
        <v>0</v>
      </c>
      <c r="H959" s="1">
        <v>6</v>
      </c>
      <c r="I959" s="1">
        <v>1</v>
      </c>
      <c r="J959" s="1">
        <v>0</v>
      </c>
      <c r="K959" s="1">
        <v>0</v>
      </c>
      <c r="L959" s="1">
        <v>13401</v>
      </c>
      <c r="M959" s="1">
        <v>0</v>
      </c>
    </row>
    <row r="960" spans="2:13" x14ac:dyDescent="0.25">
      <c r="B960" s="17">
        <v>0</v>
      </c>
      <c r="C960" s="17">
        <v>1</v>
      </c>
      <c r="D960" s="17">
        <v>0.625</v>
      </c>
      <c r="E960" s="17">
        <v>0.37500000000000006</v>
      </c>
      <c r="F960" s="17">
        <v>85</v>
      </c>
      <c r="G960" s="17">
        <v>1</v>
      </c>
      <c r="H960" s="17">
        <v>19</v>
      </c>
      <c r="I960" s="17">
        <v>0</v>
      </c>
      <c r="J960" s="17">
        <v>6</v>
      </c>
      <c r="K960" s="17">
        <v>0</v>
      </c>
      <c r="L960" s="17">
        <v>94699</v>
      </c>
      <c r="M960" s="17">
        <v>1</v>
      </c>
    </row>
    <row r="961" spans="2:13" x14ac:dyDescent="0.25">
      <c r="B961" s="1">
        <v>0</v>
      </c>
      <c r="C961" s="1">
        <v>0</v>
      </c>
      <c r="D961" s="1">
        <v>1</v>
      </c>
      <c r="E961" s="1">
        <v>0</v>
      </c>
      <c r="F961" s="1">
        <v>46</v>
      </c>
      <c r="G961" s="1">
        <v>0</v>
      </c>
      <c r="H961" s="1">
        <v>19</v>
      </c>
      <c r="I961" s="1">
        <v>4</v>
      </c>
      <c r="J961" s="1">
        <v>0</v>
      </c>
      <c r="K961" s="1">
        <v>0</v>
      </c>
      <c r="L961" s="1">
        <v>32416</v>
      </c>
      <c r="M961" s="1">
        <v>0</v>
      </c>
    </row>
    <row r="962" spans="2:13" x14ac:dyDescent="0.25">
      <c r="B962" s="1">
        <v>1</v>
      </c>
      <c r="C962" s="1">
        <v>1</v>
      </c>
      <c r="D962" s="1">
        <v>0</v>
      </c>
      <c r="E962" s="1">
        <v>1</v>
      </c>
      <c r="F962" s="1">
        <v>53</v>
      </c>
      <c r="G962" s="1">
        <v>1</v>
      </c>
      <c r="H962" s="1">
        <v>7</v>
      </c>
      <c r="I962" s="1">
        <v>4</v>
      </c>
      <c r="J962" s="1">
        <v>2</v>
      </c>
      <c r="K962" s="1">
        <v>1</v>
      </c>
      <c r="L962" s="1">
        <v>32607</v>
      </c>
      <c r="M962" s="1">
        <v>0</v>
      </c>
    </row>
    <row r="963" spans="2:13" x14ac:dyDescent="0.25">
      <c r="B963" s="17">
        <v>0</v>
      </c>
      <c r="C963" s="17">
        <v>1</v>
      </c>
      <c r="D963" s="17">
        <v>0.625</v>
      </c>
      <c r="E963" s="17">
        <v>0.37500000000000006</v>
      </c>
      <c r="F963" s="17">
        <v>81</v>
      </c>
      <c r="G963" s="17">
        <v>0</v>
      </c>
      <c r="H963" s="17">
        <v>5</v>
      </c>
      <c r="I963" s="17">
        <v>2</v>
      </c>
      <c r="J963" s="17">
        <v>1</v>
      </c>
      <c r="K963" s="17">
        <v>0</v>
      </c>
      <c r="L963" s="17">
        <v>21945</v>
      </c>
      <c r="M963" s="17">
        <v>1</v>
      </c>
    </row>
    <row r="964" spans="2:13" x14ac:dyDescent="0.25">
      <c r="B964" s="1">
        <v>0</v>
      </c>
      <c r="C964" s="1">
        <v>0</v>
      </c>
      <c r="D964" s="1">
        <v>0.99749999999999994</v>
      </c>
      <c r="E964" s="1">
        <v>2.5000000000000001E-3</v>
      </c>
      <c r="F964" s="1">
        <v>67</v>
      </c>
      <c r="G964" s="1">
        <v>0</v>
      </c>
      <c r="H964" s="1">
        <v>0</v>
      </c>
      <c r="I964" s="1">
        <v>4</v>
      </c>
      <c r="J964" s="1">
        <v>0</v>
      </c>
      <c r="K964" s="1">
        <v>0</v>
      </c>
      <c r="L964" s="1">
        <v>7280</v>
      </c>
      <c r="M964" s="1">
        <v>0</v>
      </c>
    </row>
    <row r="965" spans="2:13" x14ac:dyDescent="0.25">
      <c r="B965" s="1">
        <v>0</v>
      </c>
      <c r="C965" s="1">
        <v>0</v>
      </c>
      <c r="D965" s="1">
        <v>0.9810526315789474</v>
      </c>
      <c r="E965" s="1">
        <v>1.8947368421052633E-2</v>
      </c>
      <c r="F965" s="1">
        <v>14</v>
      </c>
      <c r="G965" s="1">
        <v>1</v>
      </c>
      <c r="H965" s="1">
        <v>2</v>
      </c>
      <c r="I965" s="1">
        <v>0</v>
      </c>
      <c r="J965" s="1">
        <v>2</v>
      </c>
      <c r="K965" s="1">
        <v>0</v>
      </c>
      <c r="L965" s="1">
        <v>7337</v>
      </c>
      <c r="M965" s="1">
        <v>0</v>
      </c>
    </row>
    <row r="966" spans="2:13" x14ac:dyDescent="0.25">
      <c r="B966" s="17">
        <v>1</v>
      </c>
      <c r="C966" s="17">
        <v>0</v>
      </c>
      <c r="D966" s="17">
        <v>0.27272727272727276</v>
      </c>
      <c r="E966" s="17">
        <v>0.72727272727272729</v>
      </c>
      <c r="F966" s="17">
        <v>89</v>
      </c>
      <c r="G966" s="17">
        <v>1</v>
      </c>
      <c r="H966" s="17">
        <v>0</v>
      </c>
      <c r="I966" s="17">
        <v>3</v>
      </c>
      <c r="J966" s="17">
        <v>0</v>
      </c>
      <c r="K966" s="17">
        <v>0</v>
      </c>
      <c r="L966" s="17">
        <v>5242</v>
      </c>
      <c r="M966" s="17">
        <v>0</v>
      </c>
    </row>
    <row r="967" spans="2:13" x14ac:dyDescent="0.25">
      <c r="B967" s="1">
        <v>0</v>
      </c>
      <c r="C967" s="1">
        <v>0</v>
      </c>
      <c r="D967" s="1">
        <v>0.9810526315789474</v>
      </c>
      <c r="E967" s="1">
        <v>1.8947368421052633E-2</v>
      </c>
      <c r="F967" s="1">
        <v>22</v>
      </c>
      <c r="G967" s="1">
        <v>1</v>
      </c>
      <c r="H967" s="1">
        <v>2</v>
      </c>
      <c r="I967" s="1">
        <v>0</v>
      </c>
      <c r="J967" s="1">
        <v>1</v>
      </c>
      <c r="K967" s="1">
        <v>0</v>
      </c>
      <c r="L967" s="1">
        <v>5476</v>
      </c>
      <c r="M967" s="1">
        <v>0</v>
      </c>
    </row>
    <row r="968" spans="2:13" x14ac:dyDescent="0.25">
      <c r="B968" s="1">
        <v>0</v>
      </c>
      <c r="C968" s="1">
        <v>0</v>
      </c>
      <c r="D968" s="1">
        <v>0.8571428571428571</v>
      </c>
      <c r="E968" s="1">
        <v>0.14285714285714288</v>
      </c>
      <c r="F968" s="1">
        <v>76</v>
      </c>
      <c r="G968" s="1">
        <v>0</v>
      </c>
      <c r="H968" s="1">
        <v>2</v>
      </c>
      <c r="I968" s="1">
        <v>2</v>
      </c>
      <c r="J968" s="1">
        <v>0</v>
      </c>
      <c r="K968" s="1">
        <v>0</v>
      </c>
      <c r="L968" s="1">
        <v>5147</v>
      </c>
      <c r="M968" s="1">
        <v>0</v>
      </c>
    </row>
    <row r="969" spans="2:13" x14ac:dyDescent="0.25">
      <c r="B969" s="1">
        <v>1</v>
      </c>
      <c r="C969" s="1">
        <v>1</v>
      </c>
      <c r="D969" s="1">
        <v>0</v>
      </c>
      <c r="E969" s="1">
        <v>1</v>
      </c>
      <c r="F969" s="1">
        <v>80</v>
      </c>
      <c r="G969" s="1">
        <v>1</v>
      </c>
      <c r="H969" s="1">
        <v>2</v>
      </c>
      <c r="I969" s="1">
        <v>4</v>
      </c>
      <c r="J969" s="1">
        <v>0</v>
      </c>
      <c r="K969" s="1">
        <v>1</v>
      </c>
      <c r="L969" s="1">
        <v>4563</v>
      </c>
      <c r="M969" s="1">
        <v>0</v>
      </c>
    </row>
    <row r="970" spans="2:13" x14ac:dyDescent="0.25">
      <c r="B970" s="1">
        <v>0</v>
      </c>
      <c r="C970" s="1">
        <v>0</v>
      </c>
      <c r="D970" s="1">
        <v>1</v>
      </c>
      <c r="E970" s="1">
        <v>0</v>
      </c>
      <c r="F970" s="1">
        <v>45</v>
      </c>
      <c r="G970" s="1">
        <v>0</v>
      </c>
      <c r="H970" s="1">
        <v>9</v>
      </c>
      <c r="I970" s="1">
        <v>2</v>
      </c>
      <c r="J970" s="1">
        <v>2</v>
      </c>
      <c r="K970" s="1">
        <v>0</v>
      </c>
      <c r="L970" s="1">
        <v>49603</v>
      </c>
      <c r="M970" s="1">
        <v>1</v>
      </c>
    </row>
    <row r="971" spans="2:13" x14ac:dyDescent="0.25">
      <c r="B971" s="1">
        <v>0</v>
      </c>
      <c r="C971" s="1">
        <v>0</v>
      </c>
      <c r="D971" s="1">
        <v>0.99749999999999994</v>
      </c>
      <c r="E971" s="1">
        <v>2.5000000000000001E-3</v>
      </c>
      <c r="F971" s="1">
        <v>73</v>
      </c>
      <c r="G971" s="1">
        <v>1</v>
      </c>
      <c r="H971" s="1">
        <v>2</v>
      </c>
      <c r="I971" s="1">
        <v>6</v>
      </c>
      <c r="J971" s="1">
        <v>0</v>
      </c>
      <c r="K971" s="1">
        <v>0</v>
      </c>
      <c r="L971" s="1">
        <v>5636</v>
      </c>
      <c r="M971" s="1">
        <v>0</v>
      </c>
    </row>
    <row r="972" spans="2:13" x14ac:dyDescent="0.25">
      <c r="B972" s="1">
        <v>1</v>
      </c>
      <c r="C972" s="1">
        <v>1</v>
      </c>
      <c r="D972" s="1">
        <v>0</v>
      </c>
      <c r="E972" s="1">
        <v>1</v>
      </c>
      <c r="F972" s="1">
        <v>78</v>
      </c>
      <c r="G972" s="1">
        <v>1</v>
      </c>
      <c r="H972" s="1">
        <v>3</v>
      </c>
      <c r="I972" s="1">
        <v>4</v>
      </c>
      <c r="J972" s="1">
        <v>0</v>
      </c>
      <c r="K972" s="1">
        <v>1</v>
      </c>
      <c r="L972" s="1">
        <v>6015</v>
      </c>
      <c r="M972" s="1">
        <v>0</v>
      </c>
    </row>
    <row r="973" spans="2:13" x14ac:dyDescent="0.25">
      <c r="B973" s="1">
        <v>0</v>
      </c>
      <c r="C973" s="1">
        <v>0</v>
      </c>
      <c r="D973" s="1">
        <v>0.8571428571428571</v>
      </c>
      <c r="E973" s="1">
        <v>0.14285714285714285</v>
      </c>
      <c r="F973" s="1">
        <v>51</v>
      </c>
      <c r="G973" s="1">
        <v>1</v>
      </c>
      <c r="H973" s="1">
        <v>1</v>
      </c>
      <c r="I973" s="1">
        <v>3</v>
      </c>
      <c r="J973" s="1">
        <v>0</v>
      </c>
      <c r="K973" s="1">
        <v>0</v>
      </c>
      <c r="L973" s="1">
        <v>7153</v>
      </c>
      <c r="M973" s="1">
        <v>0</v>
      </c>
    </row>
    <row r="974" spans="2:13" x14ac:dyDescent="0.25">
      <c r="B974" s="17">
        <v>1</v>
      </c>
      <c r="C974" s="17">
        <v>0</v>
      </c>
      <c r="D974" s="17">
        <v>0.36</v>
      </c>
      <c r="E974" s="17">
        <v>0.64</v>
      </c>
      <c r="F974" s="17">
        <v>87</v>
      </c>
      <c r="G974" s="17">
        <v>0</v>
      </c>
      <c r="H974" s="17">
        <v>4</v>
      </c>
      <c r="I974" s="17">
        <v>8</v>
      </c>
      <c r="J974" s="17">
        <v>0</v>
      </c>
      <c r="K974" s="17">
        <v>0</v>
      </c>
      <c r="L974" s="17">
        <v>17373</v>
      </c>
      <c r="M974" s="17">
        <v>0</v>
      </c>
    </row>
    <row r="975" spans="2:13" x14ac:dyDescent="0.25">
      <c r="B975" s="1">
        <v>0</v>
      </c>
      <c r="C975" s="1">
        <v>0</v>
      </c>
      <c r="D975" s="1">
        <v>0.99749999999999994</v>
      </c>
      <c r="E975" s="1">
        <v>2.5000000000000001E-3</v>
      </c>
      <c r="F975" s="1">
        <v>73</v>
      </c>
      <c r="G975" s="1">
        <v>1</v>
      </c>
      <c r="H975" s="1">
        <v>6</v>
      </c>
      <c r="I975" s="1">
        <v>8</v>
      </c>
      <c r="J975" s="1">
        <v>2</v>
      </c>
      <c r="K975" s="1">
        <v>0</v>
      </c>
      <c r="L975" s="1">
        <v>25732</v>
      </c>
      <c r="M975" s="1">
        <v>0</v>
      </c>
    </row>
    <row r="976" spans="2:13" x14ac:dyDescent="0.25">
      <c r="B976" s="1">
        <v>0</v>
      </c>
      <c r="C976" s="1">
        <v>0</v>
      </c>
      <c r="D976" s="1">
        <v>0.99749999999999994</v>
      </c>
      <c r="E976" s="1">
        <v>2.5000000000000001E-3</v>
      </c>
      <c r="F976" s="1">
        <v>56</v>
      </c>
      <c r="G976" s="1">
        <v>1</v>
      </c>
      <c r="H976" s="1">
        <v>32</v>
      </c>
      <c r="I976" s="1">
        <v>5</v>
      </c>
      <c r="J976" s="1">
        <v>2</v>
      </c>
      <c r="K976" s="1">
        <v>0</v>
      </c>
      <c r="L976" s="1">
        <v>81894</v>
      </c>
      <c r="M976" s="1">
        <v>0</v>
      </c>
    </row>
    <row r="977" spans="2:13" x14ac:dyDescent="0.25">
      <c r="B977" s="1">
        <v>0</v>
      </c>
      <c r="C977" s="1">
        <v>0</v>
      </c>
      <c r="D977" s="1">
        <v>0.99749999999999994</v>
      </c>
      <c r="E977" s="1">
        <v>2.5000000000000001E-3</v>
      </c>
      <c r="F977" s="1">
        <v>55</v>
      </c>
      <c r="G977" s="1">
        <v>1</v>
      </c>
      <c r="H977" s="1">
        <v>2</v>
      </c>
      <c r="I977" s="1">
        <v>3</v>
      </c>
      <c r="J977" s="1">
        <v>0</v>
      </c>
      <c r="K977" s="1">
        <v>0</v>
      </c>
      <c r="L977" s="1">
        <v>5051</v>
      </c>
      <c r="M977" s="1">
        <v>0</v>
      </c>
    </row>
    <row r="978" spans="2:13" x14ac:dyDescent="0.25">
      <c r="B978" s="1">
        <v>0</v>
      </c>
      <c r="C978" s="1">
        <v>0</v>
      </c>
      <c r="D978" s="1">
        <v>0.68</v>
      </c>
      <c r="E978" s="1">
        <v>0.32</v>
      </c>
      <c r="F978" s="1">
        <v>81</v>
      </c>
      <c r="G978" s="1">
        <v>1</v>
      </c>
      <c r="H978" s="1">
        <v>2</v>
      </c>
      <c r="I978" s="1">
        <v>4</v>
      </c>
      <c r="J978" s="1">
        <v>0</v>
      </c>
      <c r="K978" s="1">
        <v>0</v>
      </c>
      <c r="L978" s="1">
        <v>11323</v>
      </c>
      <c r="M978" s="1">
        <v>0</v>
      </c>
    </row>
    <row r="979" spans="2:13" x14ac:dyDescent="0.25">
      <c r="B979" s="1">
        <v>0</v>
      </c>
      <c r="C979" s="1">
        <v>0</v>
      </c>
      <c r="D979" s="1">
        <v>0.9810526315789474</v>
      </c>
      <c r="E979" s="1">
        <v>1.8947368421052633E-2</v>
      </c>
      <c r="F979" s="1">
        <v>19</v>
      </c>
      <c r="G979" s="1">
        <v>1</v>
      </c>
      <c r="H979" s="1">
        <v>3</v>
      </c>
      <c r="I979" s="1">
        <v>0</v>
      </c>
      <c r="J979" s="1">
        <v>2</v>
      </c>
      <c r="K979" s="1">
        <v>0</v>
      </c>
      <c r="L979" s="1">
        <v>12729</v>
      </c>
      <c r="M979" s="1">
        <v>0</v>
      </c>
    </row>
    <row r="980" spans="2:13" x14ac:dyDescent="0.25">
      <c r="B980" s="1">
        <v>0</v>
      </c>
      <c r="C980" s="1">
        <v>0</v>
      </c>
      <c r="D980" s="1">
        <v>0.9810526315789474</v>
      </c>
      <c r="E980" s="1">
        <v>1.8947368421052633E-2</v>
      </c>
      <c r="F980" s="1">
        <v>27</v>
      </c>
      <c r="G980" s="1">
        <v>0</v>
      </c>
      <c r="H980" s="1">
        <v>4</v>
      </c>
      <c r="I980" s="1">
        <v>2</v>
      </c>
      <c r="J980" s="1">
        <v>0</v>
      </c>
      <c r="K980" s="1">
        <v>0</v>
      </c>
      <c r="L980" s="1">
        <v>5781</v>
      </c>
      <c r="M980" s="1">
        <v>0</v>
      </c>
    </row>
    <row r="981" spans="2:13" x14ac:dyDescent="0.25">
      <c r="B981" s="1">
        <v>0</v>
      </c>
      <c r="C981" s="1">
        <v>0</v>
      </c>
      <c r="D981" s="1">
        <v>0.9810526315789474</v>
      </c>
      <c r="E981" s="1">
        <v>1.8947368421052633E-2</v>
      </c>
      <c r="F981" s="1">
        <v>0</v>
      </c>
      <c r="G981" s="1">
        <v>0</v>
      </c>
      <c r="H981" s="1">
        <v>3</v>
      </c>
      <c r="I981" s="1">
        <v>0</v>
      </c>
      <c r="J981" s="1">
        <v>1</v>
      </c>
      <c r="K981" s="1">
        <v>0</v>
      </c>
      <c r="L981" s="1">
        <v>1776</v>
      </c>
      <c r="M981" s="1">
        <v>1</v>
      </c>
    </row>
    <row r="982" spans="2:13" x14ac:dyDescent="0.25">
      <c r="B982" s="1">
        <v>0</v>
      </c>
      <c r="C982" s="1">
        <v>0</v>
      </c>
      <c r="D982" s="1">
        <v>0.9810526315789474</v>
      </c>
      <c r="E982" s="1">
        <v>1.8947368421052633E-2</v>
      </c>
      <c r="F982" s="1">
        <v>21</v>
      </c>
      <c r="G982" s="1">
        <v>1</v>
      </c>
      <c r="H982" s="1">
        <v>2</v>
      </c>
      <c r="I982" s="1">
        <v>0</v>
      </c>
      <c r="J982" s="1">
        <v>1</v>
      </c>
      <c r="K982" s="1">
        <v>0</v>
      </c>
      <c r="L982" s="1">
        <v>7774</v>
      </c>
      <c r="M982" s="1">
        <v>0</v>
      </c>
    </row>
    <row r="983" spans="2:13" x14ac:dyDescent="0.25">
      <c r="B983" s="1">
        <v>1</v>
      </c>
      <c r="C983" s="1">
        <v>1</v>
      </c>
      <c r="D983" s="1">
        <v>0</v>
      </c>
      <c r="E983" s="1">
        <v>1</v>
      </c>
      <c r="F983" s="1">
        <v>86</v>
      </c>
      <c r="G983" s="1">
        <v>0</v>
      </c>
      <c r="H983" s="1">
        <v>10</v>
      </c>
      <c r="I983" s="1">
        <v>6</v>
      </c>
      <c r="J983" s="1">
        <v>0</v>
      </c>
      <c r="K983" s="1">
        <v>1</v>
      </c>
      <c r="L983" s="1">
        <v>17598</v>
      </c>
      <c r="M983" s="1">
        <v>0</v>
      </c>
    </row>
    <row r="984" spans="2:13" x14ac:dyDescent="0.25">
      <c r="B984" s="1">
        <v>0</v>
      </c>
      <c r="C984" s="1">
        <v>0</v>
      </c>
      <c r="D984" s="1">
        <v>1</v>
      </c>
      <c r="E984" s="1">
        <v>0</v>
      </c>
      <c r="F984" s="1">
        <v>39</v>
      </c>
      <c r="G984" s="1">
        <v>1</v>
      </c>
      <c r="H984" s="1">
        <v>3</v>
      </c>
      <c r="I984" s="1">
        <v>0</v>
      </c>
      <c r="J984" s="1">
        <v>2</v>
      </c>
      <c r="K984" s="1">
        <v>0</v>
      </c>
      <c r="L984" s="1">
        <v>10653</v>
      </c>
      <c r="M984" s="1">
        <v>0</v>
      </c>
    </row>
    <row r="985" spans="2:13" x14ac:dyDescent="0.25">
      <c r="B985" s="1">
        <v>0</v>
      </c>
      <c r="C985" s="1">
        <v>0</v>
      </c>
      <c r="D985" s="1">
        <v>0.96666666666666667</v>
      </c>
      <c r="E985" s="1">
        <v>3.333333333333334E-2</v>
      </c>
      <c r="F985" s="1">
        <v>32</v>
      </c>
      <c r="G985" s="1">
        <v>1</v>
      </c>
      <c r="H985" s="1">
        <v>2</v>
      </c>
      <c r="I985" s="1">
        <v>1</v>
      </c>
      <c r="J985" s="1">
        <v>1</v>
      </c>
      <c r="K985" s="1">
        <v>0</v>
      </c>
      <c r="L985" s="1">
        <v>6612</v>
      </c>
      <c r="M985" s="1">
        <v>0</v>
      </c>
    </row>
    <row r="986" spans="2:13" x14ac:dyDescent="0.25">
      <c r="B986" s="17">
        <v>1</v>
      </c>
      <c r="C986" s="17">
        <v>0</v>
      </c>
      <c r="D986" s="17">
        <v>0</v>
      </c>
      <c r="E986" s="17">
        <v>1</v>
      </c>
      <c r="F986" s="17">
        <v>80</v>
      </c>
      <c r="G986" s="17">
        <v>1</v>
      </c>
      <c r="H986" s="17">
        <v>2</v>
      </c>
      <c r="I986" s="17">
        <v>6</v>
      </c>
      <c r="J986" s="17">
        <v>0</v>
      </c>
      <c r="K986" s="17">
        <v>0</v>
      </c>
      <c r="L986" s="17">
        <v>13900</v>
      </c>
      <c r="M986" s="17">
        <v>0</v>
      </c>
    </row>
    <row r="987" spans="2:13" x14ac:dyDescent="0.25">
      <c r="B987" s="1">
        <v>0</v>
      </c>
      <c r="C987" s="1">
        <v>0</v>
      </c>
      <c r="D987" s="1">
        <v>0.96666666666666667</v>
      </c>
      <c r="E987" s="1">
        <v>3.333333333333334E-2</v>
      </c>
      <c r="F987" s="1">
        <v>32</v>
      </c>
      <c r="G987" s="1">
        <v>1</v>
      </c>
      <c r="H987" s="1">
        <v>3</v>
      </c>
      <c r="I987" s="1">
        <v>2</v>
      </c>
      <c r="J987" s="1">
        <v>0</v>
      </c>
      <c r="K987" s="1">
        <v>0</v>
      </c>
      <c r="L987" s="1">
        <v>6121</v>
      </c>
      <c r="M987" s="1">
        <v>0</v>
      </c>
    </row>
    <row r="988" spans="2:13" x14ac:dyDescent="0.25">
      <c r="B988" s="1">
        <v>0</v>
      </c>
      <c r="C988" s="1">
        <v>0</v>
      </c>
      <c r="D988" s="1">
        <v>0.99749999999999994</v>
      </c>
      <c r="E988" s="1">
        <v>2.5000000000000001E-3</v>
      </c>
      <c r="F988" s="1">
        <v>70</v>
      </c>
      <c r="G988" s="1">
        <v>0</v>
      </c>
      <c r="H988" s="1">
        <v>5</v>
      </c>
      <c r="I988" s="1">
        <v>5</v>
      </c>
      <c r="J988" s="1">
        <v>0</v>
      </c>
      <c r="K988" s="1">
        <v>0</v>
      </c>
      <c r="L988" s="1">
        <v>28650</v>
      </c>
      <c r="M988" s="1">
        <v>0</v>
      </c>
    </row>
    <row r="989" spans="2:13" x14ac:dyDescent="0.25">
      <c r="B989" s="1">
        <v>1</v>
      </c>
      <c r="C989" s="1">
        <v>1</v>
      </c>
      <c r="D989" s="1">
        <v>0.31818181818181818</v>
      </c>
      <c r="E989" s="1">
        <v>0.68181818181818188</v>
      </c>
      <c r="F989" s="1">
        <v>28</v>
      </c>
      <c r="G989" s="1">
        <v>1</v>
      </c>
      <c r="H989" s="1">
        <v>1</v>
      </c>
      <c r="I989" s="1">
        <v>3</v>
      </c>
      <c r="J989" s="1">
        <v>0</v>
      </c>
      <c r="K989" s="1">
        <v>0</v>
      </c>
      <c r="L989" s="1">
        <v>4131</v>
      </c>
      <c r="M989" s="1">
        <v>0</v>
      </c>
    </row>
    <row r="990" spans="2:13" x14ac:dyDescent="0.25">
      <c r="B990" s="1">
        <v>0</v>
      </c>
      <c r="C990" s="1">
        <v>0</v>
      </c>
      <c r="D990" s="1">
        <v>0.96666666666666667</v>
      </c>
      <c r="E990" s="1">
        <v>3.333333333333334E-2</v>
      </c>
      <c r="F990" s="1">
        <v>32</v>
      </c>
      <c r="G990" s="1">
        <v>1</v>
      </c>
      <c r="H990" s="1">
        <v>1</v>
      </c>
      <c r="I990" s="1">
        <v>1</v>
      </c>
      <c r="J990" s="1">
        <v>0</v>
      </c>
      <c r="K990" s="1">
        <v>0</v>
      </c>
      <c r="L990" s="1">
        <v>11118</v>
      </c>
      <c r="M990" s="1">
        <v>0</v>
      </c>
    </row>
    <row r="991" spans="2:13" x14ac:dyDescent="0.25">
      <c r="B991" s="1">
        <v>0</v>
      </c>
      <c r="C991" s="1">
        <v>0</v>
      </c>
      <c r="D991" s="1">
        <v>1</v>
      </c>
      <c r="E991" s="1">
        <v>0</v>
      </c>
      <c r="F991" s="1">
        <v>41</v>
      </c>
      <c r="G991" s="1">
        <v>1</v>
      </c>
      <c r="H991" s="1">
        <v>8</v>
      </c>
      <c r="I991" s="1">
        <v>7</v>
      </c>
      <c r="J991" s="1">
        <v>0</v>
      </c>
      <c r="K991" s="1">
        <v>0</v>
      </c>
      <c r="L991" s="1">
        <v>13249</v>
      </c>
      <c r="M991" s="1">
        <v>0</v>
      </c>
    </row>
    <row r="992" spans="2:13" x14ac:dyDescent="0.25">
      <c r="B992" s="17">
        <v>1</v>
      </c>
      <c r="C992" s="17">
        <v>0</v>
      </c>
      <c r="D992" s="17">
        <v>0.27272727272727276</v>
      </c>
      <c r="E992" s="17">
        <v>0.72727272727272729</v>
      </c>
      <c r="F992" s="17">
        <v>33</v>
      </c>
      <c r="G992" s="17">
        <v>1</v>
      </c>
      <c r="H992" s="17">
        <v>77</v>
      </c>
      <c r="I992" s="17">
        <v>0</v>
      </c>
      <c r="J992" s="17">
        <v>0</v>
      </c>
      <c r="K992" s="17">
        <v>0</v>
      </c>
      <c r="L992" s="17">
        <v>97572</v>
      </c>
      <c r="M992" s="17">
        <v>0</v>
      </c>
    </row>
    <row r="993" spans="2:13" x14ac:dyDescent="0.25">
      <c r="B993" s="1">
        <v>0</v>
      </c>
      <c r="C993" s="1">
        <v>0</v>
      </c>
      <c r="D993" s="1">
        <v>0.9810526315789474</v>
      </c>
      <c r="E993" s="1">
        <v>1.8947368421052633E-2</v>
      </c>
      <c r="F993" s="1">
        <v>0</v>
      </c>
      <c r="G993" s="1">
        <v>0</v>
      </c>
      <c r="H993" s="1">
        <v>2</v>
      </c>
      <c r="I993" s="1">
        <v>0</v>
      </c>
      <c r="J993" s="1">
        <v>1</v>
      </c>
      <c r="K993" s="1">
        <v>0</v>
      </c>
      <c r="L993" s="1">
        <v>1391</v>
      </c>
      <c r="M993" s="1">
        <v>1</v>
      </c>
    </row>
    <row r="994" spans="2:13" x14ac:dyDescent="0.25">
      <c r="B994" s="1">
        <v>0</v>
      </c>
      <c r="C994" s="1">
        <v>0</v>
      </c>
      <c r="D994" s="1">
        <v>0.99749999999999994</v>
      </c>
      <c r="E994" s="1">
        <v>2.5000000000000001E-3</v>
      </c>
      <c r="F994" s="1">
        <v>57</v>
      </c>
      <c r="G994" s="1">
        <v>0</v>
      </c>
      <c r="H994" s="1">
        <v>2</v>
      </c>
      <c r="I994" s="1">
        <v>1</v>
      </c>
      <c r="J994" s="1">
        <v>1</v>
      </c>
      <c r="K994" s="1">
        <v>0</v>
      </c>
      <c r="L994" s="1">
        <v>8017</v>
      </c>
      <c r="M994" s="1">
        <v>0</v>
      </c>
    </row>
    <row r="995" spans="2:13" x14ac:dyDescent="0.25">
      <c r="B995" s="1">
        <v>1</v>
      </c>
      <c r="C995" s="1">
        <v>1</v>
      </c>
      <c r="D995" s="1">
        <v>0</v>
      </c>
      <c r="E995" s="1">
        <v>1</v>
      </c>
      <c r="F995" s="1">
        <v>81</v>
      </c>
      <c r="G995" s="1">
        <v>1</v>
      </c>
      <c r="H995" s="1">
        <v>1</v>
      </c>
      <c r="I995" s="1">
        <v>2</v>
      </c>
      <c r="J995" s="1">
        <v>0</v>
      </c>
      <c r="K995" s="1">
        <v>1</v>
      </c>
      <c r="L995" s="1">
        <v>7115</v>
      </c>
      <c r="M995" s="1">
        <v>0</v>
      </c>
    </row>
    <row r="996" spans="2:13" x14ac:dyDescent="0.25">
      <c r="B996" s="1">
        <v>0</v>
      </c>
      <c r="C996" s="1">
        <v>0</v>
      </c>
      <c r="D996" s="1">
        <v>0.99749999999999994</v>
      </c>
      <c r="E996" s="1">
        <v>2.5000000000000001E-3</v>
      </c>
      <c r="F996" s="1">
        <v>61</v>
      </c>
      <c r="G996" s="1">
        <v>1</v>
      </c>
      <c r="H996" s="1">
        <v>2</v>
      </c>
      <c r="I996" s="1">
        <v>1</v>
      </c>
      <c r="J996" s="1">
        <v>3</v>
      </c>
      <c r="K996" s="1">
        <v>0</v>
      </c>
      <c r="L996" s="1">
        <v>21116</v>
      </c>
      <c r="M996" s="1">
        <v>1</v>
      </c>
    </row>
    <row r="997" spans="2:13" x14ac:dyDescent="0.25">
      <c r="B997" s="1">
        <v>0</v>
      </c>
      <c r="C997" s="1">
        <v>0</v>
      </c>
      <c r="D997" s="1">
        <v>0.9810526315789474</v>
      </c>
      <c r="E997" s="1">
        <v>1.8947368421052633E-2</v>
      </c>
      <c r="F997" s="1">
        <v>26</v>
      </c>
      <c r="G997" s="1">
        <v>1</v>
      </c>
      <c r="H997" s="1">
        <v>2</v>
      </c>
      <c r="I997" s="1">
        <v>0</v>
      </c>
      <c r="J997" s="1">
        <v>1</v>
      </c>
      <c r="K997" s="1">
        <v>0</v>
      </c>
      <c r="L997" s="1">
        <v>6714</v>
      </c>
      <c r="M997" s="1">
        <v>0</v>
      </c>
    </row>
    <row r="998" spans="2:13" x14ac:dyDescent="0.25">
      <c r="B998" s="1">
        <v>0</v>
      </c>
      <c r="C998" s="1">
        <v>0</v>
      </c>
      <c r="D998" s="1">
        <v>1</v>
      </c>
      <c r="E998" s="1">
        <v>0</v>
      </c>
      <c r="F998" s="1">
        <v>38</v>
      </c>
      <c r="G998" s="1">
        <v>1</v>
      </c>
      <c r="H998" s="1">
        <v>1</v>
      </c>
      <c r="I998" s="1">
        <v>2</v>
      </c>
      <c r="J998" s="1">
        <v>0</v>
      </c>
      <c r="K998" s="1">
        <v>0</v>
      </c>
      <c r="L998" s="1">
        <v>4166</v>
      </c>
      <c r="M998" s="1">
        <v>0</v>
      </c>
    </row>
    <row r="999" spans="2:13" x14ac:dyDescent="0.25">
      <c r="B999" s="1">
        <v>1</v>
      </c>
      <c r="C999" s="1">
        <v>1</v>
      </c>
      <c r="D999" s="1">
        <v>0</v>
      </c>
      <c r="E999" s="1">
        <v>1</v>
      </c>
      <c r="F999" s="1">
        <v>75</v>
      </c>
      <c r="G999" s="1">
        <v>1</v>
      </c>
      <c r="H999" s="1">
        <v>43</v>
      </c>
      <c r="I999" s="1">
        <v>2</v>
      </c>
      <c r="J999" s="1">
        <v>6</v>
      </c>
      <c r="K999" s="1">
        <v>1</v>
      </c>
      <c r="L999" s="1">
        <v>111280</v>
      </c>
      <c r="M999" s="1">
        <v>1</v>
      </c>
    </row>
    <row r="1000" spans="2:13" x14ac:dyDescent="0.25">
      <c r="B1000" s="1">
        <v>1</v>
      </c>
      <c r="C1000" s="1">
        <v>1</v>
      </c>
      <c r="D1000" s="1">
        <v>0</v>
      </c>
      <c r="E1000" s="1">
        <v>1</v>
      </c>
      <c r="F1000" s="1">
        <v>82</v>
      </c>
      <c r="G1000" s="1">
        <v>1</v>
      </c>
      <c r="H1000" s="1">
        <v>2</v>
      </c>
      <c r="I1000" s="1">
        <v>6</v>
      </c>
      <c r="J1000" s="1">
        <v>0</v>
      </c>
      <c r="K1000" s="1">
        <v>1</v>
      </c>
      <c r="L1000" s="1">
        <v>7394</v>
      </c>
      <c r="M1000" s="1">
        <v>0</v>
      </c>
    </row>
    <row r="1001" spans="2:13" x14ac:dyDescent="0.25">
      <c r="B1001" s="1">
        <v>0</v>
      </c>
      <c r="C1001" s="1">
        <v>0</v>
      </c>
      <c r="D1001" s="1">
        <v>0.9810526315789474</v>
      </c>
      <c r="E1001" s="1">
        <v>1.8947368421052633E-2</v>
      </c>
      <c r="F1001" s="1">
        <v>11</v>
      </c>
      <c r="G1001" s="1">
        <v>1</v>
      </c>
      <c r="H1001" s="1">
        <v>3</v>
      </c>
      <c r="I1001" s="1">
        <v>2</v>
      </c>
      <c r="J1001" s="1">
        <v>0</v>
      </c>
      <c r="K1001" s="1">
        <v>0</v>
      </c>
      <c r="L1001" s="1">
        <v>11588</v>
      </c>
      <c r="M1001" s="1">
        <v>0</v>
      </c>
    </row>
    <row r="1002" spans="2:13" x14ac:dyDescent="0.25">
      <c r="B1002" s="1">
        <v>0</v>
      </c>
      <c r="C1002" s="1">
        <v>0</v>
      </c>
      <c r="D1002" s="1">
        <v>0.625</v>
      </c>
      <c r="E1002" s="1">
        <v>0.37500000000000006</v>
      </c>
      <c r="F1002" s="1">
        <v>90</v>
      </c>
      <c r="G1002" s="1">
        <v>1</v>
      </c>
      <c r="H1002" s="1">
        <v>8</v>
      </c>
      <c r="I1002" s="1">
        <v>3</v>
      </c>
      <c r="J1002" s="1">
        <v>1</v>
      </c>
      <c r="K1002" s="1">
        <v>0</v>
      </c>
      <c r="L1002" s="1">
        <v>36746</v>
      </c>
      <c r="M1002" s="1">
        <v>0</v>
      </c>
    </row>
    <row r="1003" spans="2:13" x14ac:dyDescent="0.25">
      <c r="B1003" s="1">
        <v>0</v>
      </c>
      <c r="C1003" s="1">
        <v>0</v>
      </c>
      <c r="D1003" s="1">
        <v>0.9810526315789474</v>
      </c>
      <c r="E1003" s="1">
        <v>1.8947368421052633E-2</v>
      </c>
      <c r="F1003" s="1">
        <v>0</v>
      </c>
      <c r="G1003" s="1">
        <v>1</v>
      </c>
      <c r="H1003" s="1">
        <v>2</v>
      </c>
      <c r="I1003" s="1">
        <v>0</v>
      </c>
      <c r="J1003" s="1">
        <v>0</v>
      </c>
      <c r="K1003" s="1">
        <v>0</v>
      </c>
      <c r="L1003" s="1">
        <v>2281</v>
      </c>
      <c r="M1003" s="1">
        <v>0</v>
      </c>
    </row>
    <row r="1004" spans="2:13" x14ac:dyDescent="0.25">
      <c r="B1004" s="1">
        <v>0</v>
      </c>
      <c r="C1004" s="1">
        <v>0</v>
      </c>
      <c r="D1004" s="1">
        <v>0.99749999999999994</v>
      </c>
      <c r="E1004" s="1">
        <v>2.5000000000000001E-3</v>
      </c>
      <c r="F1004" s="1">
        <v>66</v>
      </c>
      <c r="G1004" s="1">
        <v>0</v>
      </c>
      <c r="H1004" s="1">
        <v>6</v>
      </c>
      <c r="I1004" s="1">
        <v>6</v>
      </c>
      <c r="J1004" s="1">
        <v>0</v>
      </c>
      <c r="K1004" s="1">
        <v>0</v>
      </c>
      <c r="L1004" s="1">
        <v>16031</v>
      </c>
      <c r="M1004" s="1">
        <v>0</v>
      </c>
    </row>
    <row r="1005" spans="2:13" x14ac:dyDescent="0.25">
      <c r="B1005" s="1">
        <v>0</v>
      </c>
      <c r="C1005" s="1">
        <v>0</v>
      </c>
      <c r="D1005" s="1">
        <v>0.99749999999999994</v>
      </c>
      <c r="E1005" s="1">
        <v>2.5000000000000001E-3</v>
      </c>
      <c r="F1005" s="1">
        <v>69</v>
      </c>
      <c r="G1005" s="1">
        <v>1</v>
      </c>
      <c r="H1005" s="1">
        <v>6</v>
      </c>
      <c r="I1005" s="1">
        <v>3</v>
      </c>
      <c r="J1005" s="1">
        <v>0</v>
      </c>
      <c r="K1005" s="1">
        <v>0</v>
      </c>
      <c r="L1005" s="1">
        <v>15648</v>
      </c>
      <c r="M1005" s="1">
        <v>0</v>
      </c>
    </row>
    <row r="1006" spans="2:13" x14ac:dyDescent="0.25">
      <c r="B1006" s="1">
        <v>1</v>
      </c>
      <c r="C1006" s="1">
        <v>1</v>
      </c>
      <c r="D1006" s="1">
        <v>0</v>
      </c>
      <c r="E1006" s="1">
        <v>1</v>
      </c>
      <c r="F1006" s="1">
        <v>51</v>
      </c>
      <c r="G1006" s="1">
        <v>1</v>
      </c>
      <c r="H1006" s="1">
        <v>9</v>
      </c>
      <c r="I1006" s="1">
        <v>4</v>
      </c>
      <c r="J1006" s="1">
        <v>0</v>
      </c>
      <c r="K1006" s="1">
        <v>1</v>
      </c>
      <c r="L1006" s="1">
        <v>15391</v>
      </c>
      <c r="M1006" s="1">
        <v>0</v>
      </c>
    </row>
    <row r="1007" spans="2:13" x14ac:dyDescent="0.25">
      <c r="B1007" s="1">
        <v>0</v>
      </c>
      <c r="C1007" s="1">
        <v>0</v>
      </c>
      <c r="D1007" s="1">
        <v>1</v>
      </c>
      <c r="E1007" s="1">
        <v>0</v>
      </c>
      <c r="F1007" s="1">
        <v>46</v>
      </c>
      <c r="G1007" s="1">
        <v>0</v>
      </c>
      <c r="H1007" s="1">
        <v>5</v>
      </c>
      <c r="I1007" s="1">
        <v>3</v>
      </c>
      <c r="J1007" s="1">
        <v>0</v>
      </c>
      <c r="K1007" s="1">
        <v>0</v>
      </c>
      <c r="L1007" s="1">
        <v>9747</v>
      </c>
      <c r="M1007" s="1">
        <v>0</v>
      </c>
    </row>
    <row r="1008" spans="2:13" x14ac:dyDescent="0.25">
      <c r="B1008" s="1">
        <v>0</v>
      </c>
      <c r="C1008" s="1">
        <v>0</v>
      </c>
      <c r="D1008" s="1">
        <v>0.8571428571428571</v>
      </c>
      <c r="E1008" s="1">
        <v>0.14285714285714285</v>
      </c>
      <c r="F1008" s="1">
        <v>52</v>
      </c>
      <c r="G1008" s="1">
        <v>0</v>
      </c>
      <c r="H1008" s="1">
        <v>3</v>
      </c>
      <c r="I1008" s="1">
        <v>5</v>
      </c>
      <c r="J1008" s="1">
        <v>0</v>
      </c>
      <c r="K1008" s="1">
        <v>0</v>
      </c>
      <c r="L1008" s="1">
        <v>18174</v>
      </c>
      <c r="M1008" s="1">
        <v>0</v>
      </c>
    </row>
    <row r="1009" spans="2:13" x14ac:dyDescent="0.25">
      <c r="B1009" s="1">
        <v>0</v>
      </c>
      <c r="C1009" s="1">
        <v>0</v>
      </c>
      <c r="D1009" s="1">
        <v>0.9810526315789474</v>
      </c>
      <c r="E1009" s="1">
        <v>1.8947368421052633E-2</v>
      </c>
      <c r="F1009" s="1">
        <v>0</v>
      </c>
      <c r="G1009" s="1">
        <v>1</v>
      </c>
      <c r="H1009" s="1">
        <v>3</v>
      </c>
      <c r="I1009" s="1">
        <v>0</v>
      </c>
      <c r="J1009" s="1">
        <v>0</v>
      </c>
      <c r="K1009" s="1">
        <v>0</v>
      </c>
      <c r="L1009" s="1">
        <v>3256</v>
      </c>
      <c r="M1009" s="1">
        <v>0</v>
      </c>
    </row>
    <row r="1010" spans="2:13" x14ac:dyDescent="0.25">
      <c r="B1010" s="1">
        <v>0</v>
      </c>
      <c r="C1010" s="1">
        <v>0</v>
      </c>
      <c r="D1010" s="1">
        <v>1</v>
      </c>
      <c r="E1010" s="1">
        <v>0</v>
      </c>
      <c r="F1010" s="1">
        <v>39</v>
      </c>
      <c r="G1010" s="1">
        <v>1</v>
      </c>
      <c r="H1010" s="1">
        <v>7</v>
      </c>
      <c r="I1010" s="1">
        <v>6</v>
      </c>
      <c r="J1010" s="1">
        <v>0</v>
      </c>
      <c r="K1010" s="1">
        <v>0</v>
      </c>
      <c r="L1010" s="1">
        <v>9740</v>
      </c>
      <c r="M1010" s="1">
        <v>0</v>
      </c>
    </row>
    <row r="1011" spans="2:13" x14ac:dyDescent="0.25">
      <c r="B1011" s="1">
        <v>0</v>
      </c>
      <c r="C1011" s="1">
        <v>0</v>
      </c>
      <c r="D1011" s="1">
        <v>0.99749999999999994</v>
      </c>
      <c r="E1011" s="1">
        <v>2.5000000000000001E-3</v>
      </c>
      <c r="F1011" s="1">
        <v>64</v>
      </c>
      <c r="G1011" s="1">
        <v>1</v>
      </c>
      <c r="H1011" s="1">
        <v>30</v>
      </c>
      <c r="I1011" s="1">
        <v>0</v>
      </c>
      <c r="J1011" s="1">
        <v>6</v>
      </c>
      <c r="K1011" s="1">
        <v>0</v>
      </c>
      <c r="L1011" s="1">
        <v>159638</v>
      </c>
      <c r="M1011" s="1">
        <v>0</v>
      </c>
    </row>
    <row r="1012" spans="2:13" x14ac:dyDescent="0.25">
      <c r="B1012" s="1">
        <v>0</v>
      </c>
      <c r="C1012" s="1">
        <v>0</v>
      </c>
      <c r="D1012" s="1">
        <v>0.68</v>
      </c>
      <c r="E1012" s="1">
        <v>0.32</v>
      </c>
      <c r="F1012" s="1">
        <v>91</v>
      </c>
      <c r="G1012" s="1">
        <v>0</v>
      </c>
      <c r="H1012" s="1">
        <v>6</v>
      </c>
      <c r="I1012" s="1">
        <v>4</v>
      </c>
      <c r="J1012" s="1">
        <v>0</v>
      </c>
      <c r="K1012" s="1">
        <v>0</v>
      </c>
      <c r="L1012" s="1">
        <v>10423</v>
      </c>
      <c r="M1012" s="1">
        <v>0</v>
      </c>
    </row>
    <row r="1013" spans="2:13" x14ac:dyDescent="0.25">
      <c r="B1013" s="1">
        <v>1</v>
      </c>
      <c r="C1013" s="1">
        <v>1</v>
      </c>
      <c r="D1013" s="1">
        <v>0</v>
      </c>
      <c r="E1013" s="1">
        <v>1</v>
      </c>
      <c r="F1013" s="1">
        <v>81</v>
      </c>
      <c r="G1013" s="1">
        <v>0</v>
      </c>
      <c r="H1013" s="1">
        <v>4</v>
      </c>
      <c r="I1013" s="1">
        <v>3</v>
      </c>
      <c r="J1013" s="1">
        <v>2</v>
      </c>
      <c r="K1013" s="1">
        <v>1</v>
      </c>
      <c r="L1013" s="1">
        <v>33240</v>
      </c>
      <c r="M1013" s="1">
        <v>1</v>
      </c>
    </row>
    <row r="1014" spans="2:13" x14ac:dyDescent="0.25">
      <c r="B1014" s="1">
        <v>0</v>
      </c>
      <c r="C1014" s="1">
        <v>0</v>
      </c>
      <c r="D1014" s="1">
        <v>0.9810526315789474</v>
      </c>
      <c r="E1014" s="1">
        <v>1.8947368421052633E-2</v>
      </c>
      <c r="F1014" s="1">
        <v>22</v>
      </c>
      <c r="G1014" s="1">
        <v>1</v>
      </c>
      <c r="H1014" s="1">
        <v>3</v>
      </c>
      <c r="I1014" s="1">
        <v>0</v>
      </c>
      <c r="J1014" s="1">
        <v>0</v>
      </c>
      <c r="K1014" s="1">
        <v>0</v>
      </c>
      <c r="L1014" s="1">
        <v>7469</v>
      </c>
      <c r="M1014" s="1">
        <v>0</v>
      </c>
    </row>
    <row r="1015" spans="2:13" x14ac:dyDescent="0.25">
      <c r="B1015" s="1">
        <v>0</v>
      </c>
      <c r="C1015" s="1">
        <v>0</v>
      </c>
      <c r="D1015" s="1">
        <v>0.9810526315789474</v>
      </c>
      <c r="E1015" s="1">
        <v>1.8947368421052633E-2</v>
      </c>
      <c r="F1015" s="1">
        <v>21</v>
      </c>
      <c r="G1015" s="1">
        <v>1</v>
      </c>
      <c r="H1015" s="1">
        <v>3</v>
      </c>
      <c r="I1015" s="1">
        <v>0</v>
      </c>
      <c r="J1015" s="1">
        <v>1</v>
      </c>
      <c r="K1015" s="1">
        <v>0</v>
      </c>
      <c r="L1015" s="1">
        <v>12034</v>
      </c>
      <c r="M1015" s="1">
        <v>1</v>
      </c>
    </row>
    <row r="1016" spans="2:13" x14ac:dyDescent="0.25">
      <c r="B1016" s="1">
        <v>1</v>
      </c>
      <c r="C1016" s="1">
        <v>1</v>
      </c>
      <c r="D1016" s="1">
        <v>0</v>
      </c>
      <c r="E1016" s="1">
        <v>1</v>
      </c>
      <c r="F1016" s="1">
        <v>83</v>
      </c>
      <c r="G1016" s="1">
        <v>1</v>
      </c>
      <c r="H1016" s="1">
        <v>3</v>
      </c>
      <c r="I1016" s="1">
        <v>3</v>
      </c>
      <c r="J1016" s="1">
        <v>1</v>
      </c>
      <c r="K1016" s="1">
        <v>1</v>
      </c>
      <c r="L1016" s="1">
        <v>9581</v>
      </c>
      <c r="M1016" s="1">
        <v>0</v>
      </c>
    </row>
    <row r="1017" spans="2:13" x14ac:dyDescent="0.25">
      <c r="B1017" s="1">
        <v>1</v>
      </c>
      <c r="C1017" s="1">
        <v>1</v>
      </c>
      <c r="D1017" s="1">
        <v>0</v>
      </c>
      <c r="E1017" s="1">
        <v>1</v>
      </c>
      <c r="F1017" s="1">
        <v>82</v>
      </c>
      <c r="G1017" s="1">
        <v>1</v>
      </c>
      <c r="H1017" s="1">
        <v>1</v>
      </c>
      <c r="I1017" s="1">
        <v>4</v>
      </c>
      <c r="J1017" s="1">
        <v>0</v>
      </c>
      <c r="K1017" s="1">
        <v>1</v>
      </c>
      <c r="L1017" s="1">
        <v>7809</v>
      </c>
      <c r="M1017" s="1">
        <v>0</v>
      </c>
    </row>
    <row r="1018" spans="2:13" x14ac:dyDescent="0.25">
      <c r="B1018" s="1">
        <v>0</v>
      </c>
      <c r="C1018" s="1">
        <v>0</v>
      </c>
      <c r="D1018" s="1">
        <v>0.9810526315789474</v>
      </c>
      <c r="E1018" s="1">
        <v>1.8947368421052633E-2</v>
      </c>
      <c r="F1018" s="1">
        <v>0</v>
      </c>
      <c r="G1018" s="1">
        <v>0</v>
      </c>
      <c r="H1018" s="1">
        <v>2</v>
      </c>
      <c r="I1018" s="1">
        <v>0</v>
      </c>
      <c r="J1018" s="1">
        <v>1</v>
      </c>
      <c r="K1018" s="1">
        <v>0</v>
      </c>
      <c r="L1018" s="1">
        <v>1517</v>
      </c>
      <c r="M1018" s="1">
        <v>1</v>
      </c>
    </row>
    <row r="1019" spans="2:13" x14ac:dyDescent="0.25">
      <c r="B1019" s="1">
        <v>0</v>
      </c>
      <c r="C1019" s="1">
        <v>0</v>
      </c>
      <c r="D1019" s="1">
        <v>0.9810526315789474</v>
      </c>
      <c r="E1019" s="1">
        <v>1.8947368421052633E-2</v>
      </c>
      <c r="F1019" s="1">
        <v>18</v>
      </c>
      <c r="G1019" s="1">
        <v>0</v>
      </c>
      <c r="H1019" s="1">
        <v>6</v>
      </c>
      <c r="I1019" s="1">
        <v>3</v>
      </c>
      <c r="J1019" s="1">
        <v>0</v>
      </c>
      <c r="K1019" s="1">
        <v>0</v>
      </c>
      <c r="L1019" s="1">
        <v>8529</v>
      </c>
      <c r="M1019" s="1">
        <v>0</v>
      </c>
    </row>
    <row r="1020" spans="2:13" x14ac:dyDescent="0.25">
      <c r="B1020" s="1">
        <v>0</v>
      </c>
      <c r="C1020" s="1">
        <v>0</v>
      </c>
      <c r="D1020" s="1">
        <v>0.9810526315789474</v>
      </c>
      <c r="E1020" s="1">
        <v>1.8947368421052633E-2</v>
      </c>
      <c r="F1020" s="1">
        <v>0</v>
      </c>
      <c r="G1020" s="1">
        <v>0</v>
      </c>
      <c r="H1020" s="1">
        <v>2</v>
      </c>
      <c r="I1020" s="1">
        <v>0</v>
      </c>
      <c r="J1020" s="1">
        <v>0</v>
      </c>
      <c r="K1020" s="1">
        <v>0</v>
      </c>
      <c r="L1020" s="1">
        <v>1463</v>
      </c>
      <c r="M1020" s="1">
        <v>0</v>
      </c>
    </row>
    <row r="1021" spans="2:13" x14ac:dyDescent="0.25">
      <c r="B1021" s="1">
        <v>0</v>
      </c>
      <c r="C1021" s="1">
        <v>0</v>
      </c>
      <c r="D1021" s="1">
        <v>0.9810526315789474</v>
      </c>
      <c r="E1021" s="1">
        <v>1.8947368421052633E-2</v>
      </c>
      <c r="F1021" s="1">
        <v>27</v>
      </c>
      <c r="G1021" s="1">
        <v>1</v>
      </c>
      <c r="H1021" s="1">
        <v>2</v>
      </c>
      <c r="I1021" s="1">
        <v>2</v>
      </c>
      <c r="J1021" s="1">
        <v>1</v>
      </c>
      <c r="K1021" s="1">
        <v>0</v>
      </c>
      <c r="L1021" s="1">
        <v>6191</v>
      </c>
      <c r="M1021" s="1">
        <v>0</v>
      </c>
    </row>
    <row r="1022" spans="2:13" x14ac:dyDescent="0.25">
      <c r="B1022" s="17">
        <v>1</v>
      </c>
      <c r="C1022" s="17">
        <v>0</v>
      </c>
      <c r="D1022" s="17">
        <v>0.36</v>
      </c>
      <c r="E1022" s="17">
        <v>0.64</v>
      </c>
      <c r="F1022" s="17">
        <v>82</v>
      </c>
      <c r="G1022" s="17">
        <v>0</v>
      </c>
      <c r="H1022" s="17">
        <v>4</v>
      </c>
      <c r="I1022" s="17">
        <v>6</v>
      </c>
      <c r="J1022" s="17">
        <v>0</v>
      </c>
      <c r="K1022" s="17">
        <v>0</v>
      </c>
      <c r="L1022" s="17">
        <v>14628</v>
      </c>
      <c r="M1022" s="17">
        <v>0</v>
      </c>
    </row>
    <row r="1023" spans="2:13" x14ac:dyDescent="0.25">
      <c r="B1023" s="1">
        <v>1</v>
      </c>
      <c r="C1023" s="1">
        <v>1</v>
      </c>
      <c r="D1023" s="1">
        <v>0</v>
      </c>
      <c r="E1023" s="1">
        <v>1</v>
      </c>
      <c r="F1023" s="1">
        <v>81</v>
      </c>
      <c r="G1023" s="1">
        <v>1</v>
      </c>
      <c r="H1023" s="1">
        <v>11</v>
      </c>
      <c r="I1023" s="1">
        <v>5</v>
      </c>
      <c r="J1023" s="1">
        <v>6</v>
      </c>
      <c r="K1023" s="1">
        <v>1</v>
      </c>
      <c r="L1023" s="1">
        <v>104224</v>
      </c>
      <c r="M1023" s="1">
        <v>1</v>
      </c>
    </row>
    <row r="1024" spans="2:13" x14ac:dyDescent="0.25">
      <c r="B1024" s="1">
        <v>1</v>
      </c>
      <c r="C1024" s="1">
        <v>1</v>
      </c>
      <c r="D1024" s="1">
        <v>0</v>
      </c>
      <c r="E1024" s="1">
        <v>1</v>
      </c>
      <c r="F1024" s="1">
        <v>78</v>
      </c>
      <c r="G1024" s="1">
        <v>1</v>
      </c>
      <c r="H1024" s="1">
        <v>5</v>
      </c>
      <c r="I1024" s="1">
        <v>3</v>
      </c>
      <c r="J1024" s="1">
        <v>0</v>
      </c>
      <c r="K1024" s="1">
        <v>1</v>
      </c>
      <c r="L1024" s="1">
        <v>11275</v>
      </c>
      <c r="M1024" s="1">
        <v>0</v>
      </c>
    </row>
    <row r="1025" spans="2:13" x14ac:dyDescent="0.25">
      <c r="B1025" s="1">
        <v>1</v>
      </c>
      <c r="C1025" s="1">
        <v>1</v>
      </c>
      <c r="D1025" s="1">
        <v>0.4375</v>
      </c>
      <c r="E1025" s="1">
        <v>0.5625</v>
      </c>
      <c r="F1025" s="1">
        <v>75</v>
      </c>
      <c r="G1025" s="1">
        <v>1</v>
      </c>
      <c r="H1025" s="1">
        <v>3</v>
      </c>
      <c r="I1025" s="1">
        <v>2</v>
      </c>
      <c r="J1025" s="1">
        <v>0</v>
      </c>
      <c r="K1025" s="1">
        <v>0</v>
      </c>
      <c r="L1025" s="1">
        <v>13313</v>
      </c>
      <c r="M1025" s="1">
        <v>0</v>
      </c>
    </row>
    <row r="1026" spans="2:13" x14ac:dyDescent="0.25">
      <c r="B1026" s="1">
        <v>0</v>
      </c>
      <c r="C1026" s="1">
        <v>0</v>
      </c>
      <c r="D1026" s="1">
        <v>0.9810526315789474</v>
      </c>
      <c r="E1026" s="1">
        <v>1.8947368421052633E-2</v>
      </c>
      <c r="F1026" s="1">
        <v>19</v>
      </c>
      <c r="G1026" s="1">
        <v>1</v>
      </c>
      <c r="H1026" s="1">
        <v>4</v>
      </c>
      <c r="I1026" s="1">
        <v>0</v>
      </c>
      <c r="J1026" s="1">
        <v>3</v>
      </c>
      <c r="K1026" s="1">
        <v>0</v>
      </c>
      <c r="L1026" s="1">
        <v>17690</v>
      </c>
      <c r="M1026" s="1">
        <v>1</v>
      </c>
    </row>
    <row r="1027" spans="2:13" x14ac:dyDescent="0.25">
      <c r="B1027" s="1">
        <v>0</v>
      </c>
      <c r="C1027" s="1">
        <v>0</v>
      </c>
      <c r="D1027" s="1">
        <v>0.99749999999999994</v>
      </c>
      <c r="E1027" s="1">
        <v>2.5000000000000001E-3</v>
      </c>
      <c r="F1027" s="1">
        <v>57</v>
      </c>
      <c r="G1027" s="1">
        <v>1</v>
      </c>
      <c r="H1027" s="1">
        <v>5</v>
      </c>
      <c r="I1027" s="1">
        <v>2</v>
      </c>
      <c r="J1027" s="1">
        <v>2</v>
      </c>
      <c r="K1027" s="1">
        <v>0</v>
      </c>
      <c r="L1027" s="1">
        <v>12209</v>
      </c>
      <c r="M1027" s="1">
        <v>0</v>
      </c>
    </row>
    <row r="1028" spans="2:13" x14ac:dyDescent="0.25">
      <c r="B1028" s="1">
        <v>1</v>
      </c>
      <c r="C1028" s="1">
        <v>1</v>
      </c>
      <c r="D1028" s="1">
        <v>0</v>
      </c>
      <c r="E1028" s="1">
        <v>1</v>
      </c>
      <c r="F1028" s="1">
        <v>37</v>
      </c>
      <c r="G1028" s="1">
        <v>0</v>
      </c>
      <c r="H1028" s="1">
        <v>1</v>
      </c>
      <c r="I1028" s="1">
        <v>1</v>
      </c>
      <c r="J1028" s="1">
        <v>3</v>
      </c>
      <c r="K1028" s="1">
        <v>1</v>
      </c>
      <c r="L1028" s="1">
        <v>18832</v>
      </c>
      <c r="M1028" s="1">
        <v>0</v>
      </c>
    </row>
    <row r="1029" spans="2:13" x14ac:dyDescent="0.25">
      <c r="B1029" s="1">
        <v>0</v>
      </c>
      <c r="C1029" s="1">
        <v>0</v>
      </c>
      <c r="D1029" s="1">
        <v>1</v>
      </c>
      <c r="E1029" s="1">
        <v>0</v>
      </c>
      <c r="F1029" s="1">
        <v>39</v>
      </c>
      <c r="G1029" s="1">
        <v>0</v>
      </c>
      <c r="H1029" s="1">
        <v>1</v>
      </c>
      <c r="I1029" s="1">
        <v>1</v>
      </c>
      <c r="J1029" s="1">
        <v>1</v>
      </c>
      <c r="K1029" s="1">
        <v>0</v>
      </c>
      <c r="L1029" s="1">
        <v>7245</v>
      </c>
      <c r="M1029" s="1">
        <v>0</v>
      </c>
    </row>
    <row r="1030" spans="2:13" x14ac:dyDescent="0.25">
      <c r="B1030" s="1">
        <v>0</v>
      </c>
      <c r="C1030" s="1">
        <v>0</v>
      </c>
      <c r="D1030" s="1">
        <v>0.99749999999999994</v>
      </c>
      <c r="E1030" s="1">
        <v>2.5000000000000001E-3</v>
      </c>
      <c r="F1030" s="1">
        <v>54</v>
      </c>
      <c r="G1030" s="1">
        <v>0</v>
      </c>
      <c r="H1030" s="1">
        <v>5</v>
      </c>
      <c r="I1030" s="1">
        <v>5</v>
      </c>
      <c r="J1030" s="1">
        <v>0</v>
      </c>
      <c r="K1030" s="1">
        <v>0</v>
      </c>
      <c r="L1030" s="1">
        <v>13242</v>
      </c>
      <c r="M1030" s="1">
        <v>0</v>
      </c>
    </row>
    <row r="1031" spans="2:13" x14ac:dyDescent="0.25">
      <c r="B1031" s="1">
        <v>1</v>
      </c>
      <c r="C1031" s="1">
        <v>1</v>
      </c>
      <c r="D1031" s="1">
        <v>0</v>
      </c>
      <c r="E1031" s="1">
        <v>1</v>
      </c>
      <c r="F1031" s="1">
        <v>74</v>
      </c>
      <c r="G1031" s="1">
        <v>1</v>
      </c>
      <c r="H1031" s="1">
        <v>1</v>
      </c>
      <c r="I1031" s="1">
        <v>6</v>
      </c>
      <c r="J1031" s="1">
        <v>0</v>
      </c>
      <c r="K1031" s="1">
        <v>1</v>
      </c>
      <c r="L1031" s="1">
        <v>6609</v>
      </c>
      <c r="M1031" s="1">
        <v>0</v>
      </c>
    </row>
    <row r="1032" spans="2:13" x14ac:dyDescent="0.25">
      <c r="B1032" s="17">
        <v>1</v>
      </c>
      <c r="C1032" s="17">
        <v>0</v>
      </c>
      <c r="D1032" s="17">
        <v>0.19999999999999998</v>
      </c>
      <c r="E1032" s="17">
        <v>0.79999999999999993</v>
      </c>
      <c r="F1032" s="17">
        <v>37</v>
      </c>
      <c r="G1032" s="17">
        <v>1</v>
      </c>
      <c r="H1032" s="17">
        <v>4</v>
      </c>
      <c r="I1032" s="17">
        <v>2</v>
      </c>
      <c r="J1032" s="17">
        <v>0</v>
      </c>
      <c r="K1032" s="17">
        <v>0</v>
      </c>
      <c r="L1032" s="17">
        <v>24066</v>
      </c>
      <c r="M1032" s="17">
        <v>0</v>
      </c>
    </row>
    <row r="1033" spans="2:13" x14ac:dyDescent="0.25">
      <c r="B1033" s="1">
        <v>0</v>
      </c>
      <c r="C1033" s="1">
        <v>0</v>
      </c>
      <c r="D1033" s="1">
        <v>1</v>
      </c>
      <c r="E1033" s="1">
        <v>0</v>
      </c>
      <c r="F1033" s="1">
        <v>49</v>
      </c>
      <c r="G1033" s="1">
        <v>1</v>
      </c>
      <c r="H1033" s="1">
        <v>13</v>
      </c>
      <c r="I1033" s="1">
        <v>5</v>
      </c>
      <c r="J1033" s="1">
        <v>1</v>
      </c>
      <c r="K1033" s="1">
        <v>0</v>
      </c>
      <c r="L1033" s="1">
        <v>45645</v>
      </c>
      <c r="M1033" s="1">
        <v>1</v>
      </c>
    </row>
    <row r="1034" spans="2:13" x14ac:dyDescent="0.25">
      <c r="B1034" s="1">
        <v>0</v>
      </c>
      <c r="C1034" s="1">
        <v>0</v>
      </c>
      <c r="D1034" s="1">
        <v>0.9810526315789474</v>
      </c>
      <c r="E1034" s="1">
        <v>1.8947368421052633E-2</v>
      </c>
      <c r="F1034" s="1">
        <v>0</v>
      </c>
      <c r="G1034" s="1">
        <v>0</v>
      </c>
      <c r="H1034" s="1">
        <v>5</v>
      </c>
      <c r="I1034" s="1">
        <v>0</v>
      </c>
      <c r="J1034" s="1">
        <v>2</v>
      </c>
      <c r="K1034" s="1">
        <v>0</v>
      </c>
      <c r="L1034" s="1">
        <v>9898</v>
      </c>
      <c r="M1034" s="1">
        <v>0</v>
      </c>
    </row>
    <row r="1035" spans="2:13" x14ac:dyDescent="0.25">
      <c r="B1035" s="1">
        <v>0</v>
      </c>
      <c r="C1035" s="1">
        <v>0</v>
      </c>
      <c r="D1035" s="1">
        <v>1</v>
      </c>
      <c r="E1035" s="1">
        <v>0</v>
      </c>
      <c r="F1035" s="1">
        <v>42</v>
      </c>
      <c r="G1035" s="1">
        <v>1</v>
      </c>
      <c r="H1035" s="1">
        <v>6</v>
      </c>
      <c r="I1035" s="1">
        <v>3</v>
      </c>
      <c r="J1035" s="1">
        <v>0</v>
      </c>
      <c r="K1035" s="1">
        <v>0</v>
      </c>
      <c r="L1035" s="1">
        <v>10856</v>
      </c>
      <c r="M1035" s="1">
        <v>0</v>
      </c>
    </row>
    <row r="1036" spans="2:13" x14ac:dyDescent="0.25">
      <c r="B1036" s="1">
        <v>0</v>
      </c>
      <c r="C1036" s="1">
        <v>0</v>
      </c>
      <c r="D1036" s="1">
        <v>0.9810526315789474</v>
      </c>
      <c r="E1036" s="1">
        <v>1.8947368421052633E-2</v>
      </c>
      <c r="F1036" s="1">
        <v>21</v>
      </c>
      <c r="G1036" s="1">
        <v>1</v>
      </c>
      <c r="H1036" s="1">
        <v>3</v>
      </c>
      <c r="I1036" s="1">
        <v>0</v>
      </c>
      <c r="J1036" s="1">
        <v>1</v>
      </c>
      <c r="K1036" s="1">
        <v>0</v>
      </c>
      <c r="L1036" s="1">
        <v>14350</v>
      </c>
      <c r="M1036" s="1">
        <v>1</v>
      </c>
    </row>
    <row r="1037" spans="2:13" x14ac:dyDescent="0.25">
      <c r="B1037" s="1">
        <v>0</v>
      </c>
      <c r="C1037" s="1">
        <v>0</v>
      </c>
      <c r="D1037" s="1">
        <v>0.9810526315789474</v>
      </c>
      <c r="E1037" s="1">
        <v>1.8947368421052633E-2</v>
      </c>
      <c r="F1037" s="1">
        <v>0</v>
      </c>
      <c r="G1037" s="1">
        <v>1</v>
      </c>
      <c r="H1037" s="1">
        <v>2</v>
      </c>
      <c r="I1037" s="1">
        <v>0</v>
      </c>
      <c r="J1037" s="1">
        <v>0</v>
      </c>
      <c r="K1037" s="1">
        <v>0</v>
      </c>
      <c r="L1037" s="1">
        <v>1200</v>
      </c>
      <c r="M1037" s="1">
        <v>0</v>
      </c>
    </row>
    <row r="1038" spans="2:13" x14ac:dyDescent="0.25">
      <c r="B1038" s="1">
        <v>1</v>
      </c>
      <c r="C1038" s="1">
        <v>1</v>
      </c>
      <c r="D1038" s="1">
        <v>0</v>
      </c>
      <c r="E1038" s="1">
        <v>1</v>
      </c>
      <c r="F1038" s="1">
        <v>83</v>
      </c>
      <c r="G1038" s="1">
        <v>0</v>
      </c>
      <c r="H1038" s="1">
        <v>6</v>
      </c>
      <c r="I1038" s="1">
        <v>4</v>
      </c>
      <c r="J1038" s="1">
        <v>1</v>
      </c>
      <c r="K1038" s="1">
        <v>1</v>
      </c>
      <c r="L1038" s="1">
        <v>21493</v>
      </c>
      <c r="M1038" s="1">
        <v>0</v>
      </c>
    </row>
    <row r="1039" spans="2:13" x14ac:dyDescent="0.25">
      <c r="B1039" s="1">
        <v>1</v>
      </c>
      <c r="C1039" s="1">
        <v>1</v>
      </c>
      <c r="D1039" s="1">
        <v>0.19999999999999998</v>
      </c>
      <c r="E1039" s="1">
        <v>0.79999999999999993</v>
      </c>
      <c r="F1039" s="1">
        <v>36</v>
      </c>
      <c r="G1039" s="1">
        <v>1</v>
      </c>
      <c r="H1039" s="1">
        <v>6</v>
      </c>
      <c r="I1039" s="1">
        <v>3</v>
      </c>
      <c r="J1039" s="1">
        <v>2</v>
      </c>
      <c r="K1039" s="1">
        <v>0</v>
      </c>
      <c r="L1039" s="1">
        <v>30031</v>
      </c>
      <c r="M1039" s="1">
        <v>1</v>
      </c>
    </row>
    <row r="1040" spans="2:13" x14ac:dyDescent="0.25">
      <c r="B1040" s="17">
        <v>1</v>
      </c>
      <c r="C1040" s="17">
        <v>0</v>
      </c>
      <c r="D1040" s="17">
        <v>0.27272727272727276</v>
      </c>
      <c r="E1040" s="17">
        <v>0.72727272727272729</v>
      </c>
      <c r="F1040" s="17">
        <v>87</v>
      </c>
      <c r="G1040" s="17">
        <v>0</v>
      </c>
      <c r="H1040" s="17">
        <v>1</v>
      </c>
      <c r="I1040" s="17">
        <v>4</v>
      </c>
      <c r="J1040" s="17">
        <v>0</v>
      </c>
      <c r="K1040" s="17">
        <v>0</v>
      </c>
      <c r="L1040" s="17">
        <v>5482</v>
      </c>
      <c r="M1040" s="17">
        <v>0</v>
      </c>
    </row>
    <row r="1041" spans="2:13" x14ac:dyDescent="0.25">
      <c r="B1041" s="17">
        <v>1</v>
      </c>
      <c r="C1041" s="17">
        <v>0</v>
      </c>
      <c r="D1041" s="17">
        <v>0.36</v>
      </c>
      <c r="E1041" s="17">
        <v>0.64</v>
      </c>
      <c r="F1041" s="17">
        <v>86</v>
      </c>
      <c r="G1041" s="17">
        <v>1</v>
      </c>
      <c r="H1041" s="17">
        <v>6</v>
      </c>
      <c r="I1041" s="17">
        <v>4</v>
      </c>
      <c r="J1041" s="17">
        <v>2</v>
      </c>
      <c r="K1041" s="17">
        <v>0</v>
      </c>
      <c r="L1041" s="17">
        <v>26337</v>
      </c>
      <c r="M1041" s="17">
        <v>1</v>
      </c>
    </row>
    <row r="1042" spans="2:13" x14ac:dyDescent="0.25">
      <c r="B1042" s="1">
        <v>0</v>
      </c>
      <c r="C1042" s="1">
        <v>0</v>
      </c>
      <c r="D1042" s="1">
        <v>0.99749999999999994</v>
      </c>
      <c r="E1042" s="1">
        <v>2.5000000000000001E-3</v>
      </c>
      <c r="F1042" s="1">
        <v>61</v>
      </c>
      <c r="G1042" s="1">
        <v>0</v>
      </c>
      <c r="H1042" s="1">
        <v>2</v>
      </c>
      <c r="I1042" s="1">
        <v>6</v>
      </c>
      <c r="J1042" s="1">
        <v>0</v>
      </c>
      <c r="K1042" s="1">
        <v>0</v>
      </c>
      <c r="L1042" s="1">
        <v>4010</v>
      </c>
      <c r="M1042" s="1">
        <v>0</v>
      </c>
    </row>
    <row r="1043" spans="2:13" x14ac:dyDescent="0.25">
      <c r="B1043" s="1">
        <v>0</v>
      </c>
      <c r="C1043" s="1">
        <v>0</v>
      </c>
      <c r="D1043" s="1">
        <v>0.9810526315789474</v>
      </c>
      <c r="E1043" s="1">
        <v>1.8947368421052633E-2</v>
      </c>
      <c r="F1043" s="1">
        <v>0</v>
      </c>
      <c r="G1043" s="1">
        <v>1</v>
      </c>
      <c r="H1043" s="1">
        <v>3</v>
      </c>
      <c r="I1043" s="1">
        <v>0</v>
      </c>
      <c r="J1043" s="1">
        <v>0</v>
      </c>
      <c r="K1043" s="1">
        <v>0</v>
      </c>
      <c r="L1043" s="1">
        <v>3573</v>
      </c>
      <c r="M1043" s="1">
        <v>0</v>
      </c>
    </row>
    <row r="1044" spans="2:13" x14ac:dyDescent="0.25">
      <c r="B1044" s="1">
        <v>0</v>
      </c>
      <c r="C1044" s="1">
        <v>0</v>
      </c>
      <c r="D1044" s="1">
        <v>0.96666666666666667</v>
      </c>
      <c r="E1044" s="1">
        <v>3.333333333333334E-2</v>
      </c>
      <c r="F1044" s="1">
        <v>30</v>
      </c>
      <c r="G1044" s="1">
        <v>1</v>
      </c>
      <c r="H1044" s="1">
        <v>3</v>
      </c>
      <c r="I1044" s="1">
        <v>0</v>
      </c>
      <c r="J1044" s="1">
        <v>3</v>
      </c>
      <c r="K1044" s="1">
        <v>0</v>
      </c>
      <c r="L1044" s="1">
        <v>9400</v>
      </c>
      <c r="M1044" s="1">
        <v>0</v>
      </c>
    </row>
    <row r="1045" spans="2:13" x14ac:dyDescent="0.25">
      <c r="B1045" s="1">
        <v>0</v>
      </c>
      <c r="C1045" s="1">
        <v>0</v>
      </c>
      <c r="D1045" s="1">
        <v>0.9810526315789474</v>
      </c>
      <c r="E1045" s="1">
        <v>1.8947368421052633E-2</v>
      </c>
      <c r="F1045" s="1">
        <v>23</v>
      </c>
      <c r="G1045" s="1">
        <v>0</v>
      </c>
      <c r="H1045" s="1">
        <v>5</v>
      </c>
      <c r="I1045" s="1">
        <v>3</v>
      </c>
      <c r="J1045" s="1">
        <v>0</v>
      </c>
      <c r="K1045" s="1">
        <v>0</v>
      </c>
      <c r="L1045" s="1">
        <v>6728</v>
      </c>
      <c r="M1045" s="1">
        <v>0</v>
      </c>
    </row>
    <row r="1046" spans="2:13" x14ac:dyDescent="0.25">
      <c r="B1046" s="1">
        <v>0</v>
      </c>
      <c r="C1046" s="1">
        <v>0</v>
      </c>
      <c r="D1046" s="1">
        <v>1</v>
      </c>
      <c r="E1046" s="1">
        <v>0</v>
      </c>
      <c r="F1046" s="1">
        <v>40</v>
      </c>
      <c r="G1046" s="1">
        <v>1</v>
      </c>
      <c r="H1046" s="1">
        <v>5</v>
      </c>
      <c r="I1046" s="1">
        <v>8</v>
      </c>
      <c r="J1046" s="1">
        <v>0</v>
      </c>
      <c r="K1046" s="1">
        <v>0</v>
      </c>
      <c r="L1046" s="1">
        <v>8814</v>
      </c>
      <c r="M1046" s="1">
        <v>0</v>
      </c>
    </row>
    <row r="1047" spans="2:13" x14ac:dyDescent="0.25">
      <c r="B1047" s="1">
        <v>1</v>
      </c>
      <c r="C1047" s="1">
        <v>1</v>
      </c>
      <c r="D1047" s="1">
        <v>0</v>
      </c>
      <c r="E1047" s="1">
        <v>1</v>
      </c>
      <c r="F1047" s="1">
        <v>50</v>
      </c>
      <c r="G1047" s="1">
        <v>1</v>
      </c>
      <c r="H1047" s="1">
        <v>11</v>
      </c>
      <c r="I1047" s="1">
        <v>3</v>
      </c>
      <c r="J1047" s="1">
        <v>0</v>
      </c>
      <c r="K1047" s="1">
        <v>1</v>
      </c>
      <c r="L1047" s="1">
        <v>22163</v>
      </c>
      <c r="M1047" s="1">
        <v>0</v>
      </c>
    </row>
    <row r="1048" spans="2:13" x14ac:dyDescent="0.25">
      <c r="B1048" s="1">
        <v>0</v>
      </c>
      <c r="C1048" s="1">
        <v>0</v>
      </c>
      <c r="D1048" s="1">
        <v>0.9810526315789474</v>
      </c>
      <c r="E1048" s="1">
        <v>1.8947368421052633E-2</v>
      </c>
      <c r="F1048" s="1">
        <v>21</v>
      </c>
      <c r="G1048" s="1">
        <v>1</v>
      </c>
      <c r="H1048" s="1">
        <v>4</v>
      </c>
      <c r="I1048" s="1">
        <v>3</v>
      </c>
      <c r="J1048" s="1">
        <v>0</v>
      </c>
      <c r="K1048" s="1">
        <v>0</v>
      </c>
      <c r="L1048" s="1">
        <v>6527</v>
      </c>
      <c r="M1048" s="1">
        <v>0</v>
      </c>
    </row>
    <row r="1049" spans="2:13" x14ac:dyDescent="0.25">
      <c r="B1049" s="1">
        <v>0</v>
      </c>
      <c r="C1049" s="1">
        <v>0</v>
      </c>
      <c r="D1049" s="1">
        <v>1</v>
      </c>
      <c r="E1049" s="1">
        <v>0</v>
      </c>
      <c r="F1049" s="1">
        <v>47</v>
      </c>
      <c r="G1049" s="1">
        <v>1</v>
      </c>
      <c r="H1049" s="1">
        <v>8</v>
      </c>
      <c r="I1049" s="1">
        <v>2</v>
      </c>
      <c r="J1049" s="1">
        <v>0</v>
      </c>
      <c r="K1049" s="1">
        <v>0</v>
      </c>
      <c r="L1049" s="1">
        <v>14022</v>
      </c>
      <c r="M1049" s="1">
        <v>0</v>
      </c>
    </row>
    <row r="1050" spans="2:13" x14ac:dyDescent="0.25">
      <c r="B1050" s="1">
        <v>0</v>
      </c>
      <c r="C1050" s="1">
        <v>0</v>
      </c>
      <c r="D1050" s="1">
        <v>0.9810526315789474</v>
      </c>
      <c r="E1050" s="1">
        <v>1.8947368421052633E-2</v>
      </c>
      <c r="F1050" s="1">
        <v>21</v>
      </c>
      <c r="G1050" s="1">
        <v>1</v>
      </c>
      <c r="H1050" s="1">
        <v>2</v>
      </c>
      <c r="I1050" s="1">
        <v>0</v>
      </c>
      <c r="J1050" s="1">
        <v>1</v>
      </c>
      <c r="K1050" s="1">
        <v>0</v>
      </c>
      <c r="L1050" s="1">
        <v>5316</v>
      </c>
      <c r="M1050" s="1">
        <v>0</v>
      </c>
    </row>
    <row r="1051" spans="2:13" x14ac:dyDescent="0.25">
      <c r="B1051" s="1">
        <v>0</v>
      </c>
      <c r="C1051" s="1">
        <v>0</v>
      </c>
      <c r="D1051" s="1">
        <v>0.9810526315789474</v>
      </c>
      <c r="E1051" s="1">
        <v>1.8947368421052633E-2</v>
      </c>
      <c r="F1051" s="1">
        <v>0</v>
      </c>
      <c r="G1051" s="1">
        <v>0</v>
      </c>
      <c r="H1051" s="1">
        <v>0</v>
      </c>
      <c r="I1051" s="1">
        <v>0</v>
      </c>
      <c r="J1051" s="1">
        <v>0</v>
      </c>
      <c r="K1051" s="1">
        <v>0</v>
      </c>
      <c r="L1051" s="1">
        <v>3169</v>
      </c>
      <c r="M1051" s="1">
        <v>0</v>
      </c>
    </row>
    <row r="1052" spans="2:13" x14ac:dyDescent="0.25">
      <c r="B1052" s="1">
        <v>1</v>
      </c>
      <c r="C1052" s="1">
        <v>1</v>
      </c>
      <c r="D1052" s="1">
        <v>0</v>
      </c>
      <c r="E1052" s="1">
        <v>1</v>
      </c>
      <c r="F1052" s="1">
        <v>94</v>
      </c>
      <c r="G1052" s="1">
        <v>1</v>
      </c>
      <c r="H1052" s="1">
        <v>10</v>
      </c>
      <c r="I1052" s="1">
        <v>4</v>
      </c>
      <c r="J1052" s="1">
        <v>0</v>
      </c>
      <c r="K1052" s="1">
        <v>1</v>
      </c>
      <c r="L1052" s="1">
        <v>17305</v>
      </c>
      <c r="M1052" s="1">
        <v>0</v>
      </c>
    </row>
    <row r="1053" spans="2:13" x14ac:dyDescent="0.25">
      <c r="B1053" s="1">
        <v>0</v>
      </c>
      <c r="C1053" s="1">
        <v>0</v>
      </c>
      <c r="D1053" s="1">
        <v>0.99749999999999994</v>
      </c>
      <c r="E1053" s="1">
        <v>2.5000000000000001E-3</v>
      </c>
      <c r="F1053" s="1">
        <v>65</v>
      </c>
      <c r="G1053" s="1">
        <v>0</v>
      </c>
      <c r="H1053" s="1">
        <v>10</v>
      </c>
      <c r="I1053" s="1">
        <v>5</v>
      </c>
      <c r="J1053" s="1">
        <v>0</v>
      </c>
      <c r="K1053" s="1">
        <v>0</v>
      </c>
      <c r="L1053" s="1">
        <v>18339</v>
      </c>
      <c r="M1053" s="1">
        <v>0</v>
      </c>
    </row>
    <row r="1054" spans="2:13" x14ac:dyDescent="0.25">
      <c r="B1054" s="1">
        <v>0</v>
      </c>
      <c r="C1054" s="1">
        <v>0</v>
      </c>
      <c r="D1054" s="1">
        <v>1</v>
      </c>
      <c r="E1054" s="1">
        <v>0</v>
      </c>
      <c r="F1054" s="1">
        <v>47</v>
      </c>
      <c r="G1054" s="1">
        <v>0</v>
      </c>
      <c r="H1054" s="1">
        <v>4</v>
      </c>
      <c r="I1054" s="1">
        <v>3</v>
      </c>
      <c r="J1054" s="1">
        <v>0</v>
      </c>
      <c r="K1054" s="1">
        <v>0</v>
      </c>
      <c r="L1054" s="1">
        <v>11770</v>
      </c>
      <c r="M1054" s="1">
        <v>0</v>
      </c>
    </row>
    <row r="1055" spans="2:13" x14ac:dyDescent="0.25">
      <c r="B1055" s="1">
        <v>0</v>
      </c>
      <c r="C1055" s="1">
        <v>0</v>
      </c>
      <c r="D1055" s="1">
        <v>0.99749999999999994</v>
      </c>
      <c r="E1055" s="1">
        <v>2.5000000000000001E-3</v>
      </c>
      <c r="F1055" s="1">
        <v>66</v>
      </c>
      <c r="G1055" s="1">
        <v>1</v>
      </c>
      <c r="H1055" s="1">
        <v>5</v>
      </c>
      <c r="I1055" s="1">
        <v>6</v>
      </c>
      <c r="J1055" s="1">
        <v>1</v>
      </c>
      <c r="K1055" s="1">
        <v>0</v>
      </c>
      <c r="L1055" s="1">
        <v>10651</v>
      </c>
      <c r="M1055" s="1">
        <v>0</v>
      </c>
    </row>
    <row r="1056" spans="2:13" x14ac:dyDescent="0.25">
      <c r="B1056" s="1">
        <v>0</v>
      </c>
      <c r="C1056" s="1">
        <v>0</v>
      </c>
      <c r="D1056" s="1">
        <v>0.99749999999999994</v>
      </c>
      <c r="E1056" s="1">
        <v>2.5000000000000001E-3</v>
      </c>
      <c r="F1056" s="1">
        <v>60</v>
      </c>
      <c r="G1056" s="1">
        <v>1</v>
      </c>
      <c r="H1056" s="1">
        <v>7</v>
      </c>
      <c r="I1056" s="1">
        <v>2</v>
      </c>
      <c r="J1056" s="1">
        <v>0</v>
      </c>
      <c r="K1056" s="1">
        <v>0</v>
      </c>
      <c r="L1056" s="1">
        <v>9293</v>
      </c>
      <c r="M1056" s="1">
        <v>0</v>
      </c>
    </row>
    <row r="1057" spans="2:13" x14ac:dyDescent="0.25">
      <c r="B1057" s="1">
        <v>0</v>
      </c>
      <c r="C1057" s="1">
        <v>0</v>
      </c>
      <c r="D1057" s="1">
        <v>0.99749999999999994</v>
      </c>
      <c r="E1057" s="1">
        <v>2.5000000000000001E-3</v>
      </c>
      <c r="F1057" s="1">
        <v>58</v>
      </c>
      <c r="G1057" s="1">
        <v>1</v>
      </c>
      <c r="H1057" s="1">
        <v>2</v>
      </c>
      <c r="I1057" s="1">
        <v>2</v>
      </c>
      <c r="J1057" s="1">
        <v>1</v>
      </c>
      <c r="K1057" s="1">
        <v>0</v>
      </c>
      <c r="L1057" s="1">
        <v>6404</v>
      </c>
      <c r="M1057" s="1">
        <v>0</v>
      </c>
    </row>
    <row r="1058" spans="2:13" x14ac:dyDescent="0.25">
      <c r="B1058" s="1">
        <v>0</v>
      </c>
      <c r="C1058" s="1">
        <v>0</v>
      </c>
      <c r="D1058" s="1">
        <v>0.99749999999999994</v>
      </c>
      <c r="E1058" s="1">
        <v>2.5000000000000001E-3</v>
      </c>
      <c r="F1058" s="1">
        <v>63</v>
      </c>
      <c r="G1058" s="1">
        <v>1</v>
      </c>
      <c r="H1058" s="1">
        <v>7</v>
      </c>
      <c r="I1058" s="1">
        <v>6</v>
      </c>
      <c r="J1058" s="1">
        <v>0</v>
      </c>
      <c r="K1058" s="1">
        <v>0</v>
      </c>
      <c r="L1058" s="1">
        <v>17382</v>
      </c>
      <c r="M1058" s="1">
        <v>0</v>
      </c>
    </row>
    <row r="1059" spans="2:13" x14ac:dyDescent="0.25">
      <c r="B1059" s="1">
        <v>0</v>
      </c>
      <c r="C1059" s="1">
        <v>0</v>
      </c>
      <c r="D1059" s="1">
        <v>0.96666666666666667</v>
      </c>
      <c r="E1059" s="1">
        <v>3.333333333333334E-2</v>
      </c>
      <c r="F1059" s="1">
        <v>30</v>
      </c>
      <c r="G1059" s="1">
        <v>1</v>
      </c>
      <c r="H1059" s="1">
        <v>1</v>
      </c>
      <c r="I1059" s="1">
        <v>4</v>
      </c>
      <c r="J1059" s="1">
        <v>2</v>
      </c>
      <c r="K1059" s="1">
        <v>0</v>
      </c>
      <c r="L1059" s="1">
        <v>17969</v>
      </c>
      <c r="M1059" s="1">
        <v>0</v>
      </c>
    </row>
    <row r="1060" spans="2:13" x14ac:dyDescent="0.25">
      <c r="B1060" s="1">
        <v>0</v>
      </c>
      <c r="C1060" s="1">
        <v>0</v>
      </c>
      <c r="D1060" s="1">
        <v>0.8571428571428571</v>
      </c>
      <c r="E1060" s="1">
        <v>0.14285714285714288</v>
      </c>
      <c r="F1060" s="1">
        <v>79</v>
      </c>
      <c r="G1060" s="1">
        <v>1</v>
      </c>
      <c r="H1060" s="1">
        <v>2</v>
      </c>
      <c r="I1060" s="1">
        <v>3</v>
      </c>
      <c r="J1060" s="1">
        <v>0</v>
      </c>
      <c r="K1060" s="1">
        <v>0</v>
      </c>
      <c r="L1060" s="1">
        <v>17762</v>
      </c>
      <c r="M1060" s="1">
        <v>0</v>
      </c>
    </row>
    <row r="1061" spans="2:13" x14ac:dyDescent="0.25">
      <c r="B1061" s="1">
        <v>1</v>
      </c>
      <c r="C1061" s="1">
        <v>1</v>
      </c>
      <c r="D1061" s="1">
        <v>0</v>
      </c>
      <c r="E1061" s="1">
        <v>1</v>
      </c>
      <c r="F1061" s="1">
        <v>81</v>
      </c>
      <c r="G1061" s="1">
        <v>1</v>
      </c>
      <c r="H1061" s="1">
        <v>4</v>
      </c>
      <c r="I1061" s="1">
        <v>3</v>
      </c>
      <c r="J1061" s="1">
        <v>0</v>
      </c>
      <c r="K1061" s="1">
        <v>1</v>
      </c>
      <c r="L1061" s="1">
        <v>19122</v>
      </c>
      <c r="M1061" s="1">
        <v>0</v>
      </c>
    </row>
    <row r="1062" spans="2:13" x14ac:dyDescent="0.25">
      <c r="B1062" s="17">
        <v>1</v>
      </c>
      <c r="C1062" s="17">
        <v>0</v>
      </c>
      <c r="D1062" s="17">
        <v>0.27272727272727276</v>
      </c>
      <c r="E1062" s="17">
        <v>0.72727272727272729</v>
      </c>
      <c r="F1062" s="17">
        <v>84</v>
      </c>
      <c r="G1062" s="17">
        <v>1</v>
      </c>
      <c r="H1062" s="17">
        <v>2</v>
      </c>
      <c r="I1062" s="17">
        <v>4</v>
      </c>
      <c r="J1062" s="17">
        <v>0</v>
      </c>
      <c r="K1062" s="17">
        <v>0</v>
      </c>
      <c r="L1062" s="17">
        <v>5703</v>
      </c>
      <c r="M1062" s="17">
        <v>0</v>
      </c>
    </row>
    <row r="1063" spans="2:13" x14ac:dyDescent="0.25">
      <c r="B1063" s="1">
        <v>0</v>
      </c>
      <c r="C1063" s="1">
        <v>0</v>
      </c>
      <c r="D1063" s="1">
        <v>1</v>
      </c>
      <c r="E1063" s="1">
        <v>0</v>
      </c>
      <c r="F1063" s="1">
        <v>48</v>
      </c>
      <c r="G1063" s="1">
        <v>0</v>
      </c>
      <c r="H1063" s="1">
        <v>16</v>
      </c>
      <c r="I1063" s="1">
        <v>7</v>
      </c>
      <c r="J1063" s="1">
        <v>2</v>
      </c>
      <c r="K1063" s="1">
        <v>0</v>
      </c>
      <c r="L1063" s="1">
        <v>41626</v>
      </c>
      <c r="M1063" s="1">
        <v>0</v>
      </c>
    </row>
    <row r="1064" spans="2:13" x14ac:dyDescent="0.25">
      <c r="B1064" s="1">
        <v>1</v>
      </c>
      <c r="C1064" s="1">
        <v>1</v>
      </c>
      <c r="D1064" s="1">
        <v>0</v>
      </c>
      <c r="E1064" s="1">
        <v>1</v>
      </c>
      <c r="F1064" s="1">
        <v>78</v>
      </c>
      <c r="G1064" s="1">
        <v>0</v>
      </c>
      <c r="H1064" s="1">
        <v>11</v>
      </c>
      <c r="I1064" s="1">
        <v>6</v>
      </c>
      <c r="J1064" s="1">
        <v>1</v>
      </c>
      <c r="K1064" s="1">
        <v>1</v>
      </c>
      <c r="L1064" s="1">
        <v>33841</v>
      </c>
      <c r="M1064" s="1">
        <v>0</v>
      </c>
    </row>
    <row r="1065" spans="2:13" x14ac:dyDescent="0.25">
      <c r="B1065" s="1">
        <v>1</v>
      </c>
      <c r="C1065" s="1">
        <v>1</v>
      </c>
      <c r="D1065" s="1">
        <v>0</v>
      </c>
      <c r="E1065" s="1">
        <v>1</v>
      </c>
      <c r="F1065" s="1">
        <v>83</v>
      </c>
      <c r="G1065" s="1">
        <v>1</v>
      </c>
      <c r="H1065" s="1">
        <v>3</v>
      </c>
      <c r="I1065" s="1">
        <v>3</v>
      </c>
      <c r="J1065" s="1">
        <v>2</v>
      </c>
      <c r="K1065" s="1">
        <v>1</v>
      </c>
      <c r="L1065" s="1">
        <v>15560</v>
      </c>
      <c r="M1065" s="1">
        <v>1</v>
      </c>
    </row>
    <row r="1066" spans="2:13" x14ac:dyDescent="0.25">
      <c r="B1066" s="1">
        <v>0</v>
      </c>
      <c r="C1066" s="1">
        <v>0</v>
      </c>
      <c r="D1066" s="1">
        <v>0.99749999999999994</v>
      </c>
      <c r="E1066" s="1">
        <v>2.5000000000000001E-3</v>
      </c>
      <c r="F1066" s="1">
        <v>57</v>
      </c>
      <c r="G1066" s="1">
        <v>0</v>
      </c>
      <c r="H1066" s="1">
        <v>3</v>
      </c>
      <c r="I1066" s="1">
        <v>2</v>
      </c>
      <c r="J1066" s="1">
        <v>0</v>
      </c>
      <c r="K1066" s="1">
        <v>0</v>
      </c>
      <c r="L1066" s="1">
        <v>12264</v>
      </c>
      <c r="M1066" s="1">
        <v>0</v>
      </c>
    </row>
    <row r="1067" spans="2:13" x14ac:dyDescent="0.25">
      <c r="B1067" s="1">
        <v>1</v>
      </c>
      <c r="C1067" s="1">
        <v>1</v>
      </c>
      <c r="D1067" s="1">
        <v>0</v>
      </c>
      <c r="E1067" s="1">
        <v>1</v>
      </c>
      <c r="F1067" s="1">
        <v>51</v>
      </c>
      <c r="G1067" s="1">
        <v>1</v>
      </c>
      <c r="H1067" s="1">
        <v>1</v>
      </c>
      <c r="I1067" s="1">
        <v>0</v>
      </c>
      <c r="J1067" s="1">
        <v>1</v>
      </c>
      <c r="K1067" s="1">
        <v>1</v>
      </c>
      <c r="L1067" s="1">
        <v>12862</v>
      </c>
      <c r="M1067" s="1">
        <v>1</v>
      </c>
    </row>
    <row r="1068" spans="2:13" x14ac:dyDescent="0.25">
      <c r="B1068" s="1">
        <v>0</v>
      </c>
      <c r="C1068" s="1">
        <v>0</v>
      </c>
      <c r="D1068" s="1">
        <v>0.8571428571428571</v>
      </c>
      <c r="E1068" s="1">
        <v>0.14285714285714288</v>
      </c>
      <c r="F1068" s="1">
        <v>77</v>
      </c>
      <c r="G1068" s="1">
        <v>1</v>
      </c>
      <c r="H1068" s="1">
        <v>11</v>
      </c>
      <c r="I1068" s="1">
        <v>0</v>
      </c>
      <c r="J1068" s="1">
        <v>1</v>
      </c>
      <c r="K1068" s="1">
        <v>0</v>
      </c>
      <c r="L1068" s="1">
        <v>26141</v>
      </c>
      <c r="M1068" s="1">
        <v>0</v>
      </c>
    </row>
    <row r="1069" spans="2:13" x14ac:dyDescent="0.25">
      <c r="B1069" s="1">
        <v>0</v>
      </c>
      <c r="C1069" s="1">
        <v>0</v>
      </c>
      <c r="D1069" s="1">
        <v>0.9810526315789474</v>
      </c>
      <c r="E1069" s="1">
        <v>1.8947368421052633E-2</v>
      </c>
      <c r="F1069" s="1">
        <v>1</v>
      </c>
      <c r="G1069" s="1">
        <v>0</v>
      </c>
      <c r="H1069" s="1">
        <v>2</v>
      </c>
      <c r="I1069" s="1">
        <v>1</v>
      </c>
      <c r="J1069" s="1">
        <v>0</v>
      </c>
      <c r="K1069" s="1">
        <v>0</v>
      </c>
      <c r="L1069" s="1">
        <v>4401</v>
      </c>
      <c r="M1069" s="1">
        <v>0</v>
      </c>
    </row>
    <row r="1070" spans="2:13" x14ac:dyDescent="0.25">
      <c r="B1070" s="1">
        <v>0</v>
      </c>
      <c r="C1070" s="1">
        <v>0</v>
      </c>
      <c r="D1070" s="1">
        <v>0.8571428571428571</v>
      </c>
      <c r="E1070" s="1">
        <v>0.14285714285714288</v>
      </c>
      <c r="F1070" s="1">
        <v>78</v>
      </c>
      <c r="G1070" s="1">
        <v>1</v>
      </c>
      <c r="H1070" s="1">
        <v>1</v>
      </c>
      <c r="I1070" s="1">
        <v>2</v>
      </c>
      <c r="J1070" s="1">
        <v>0</v>
      </c>
      <c r="K1070" s="1">
        <v>0</v>
      </c>
      <c r="L1070" s="1">
        <v>3991</v>
      </c>
      <c r="M1070" s="1">
        <v>0</v>
      </c>
    </row>
    <row r="1071" spans="2:13" x14ac:dyDescent="0.25">
      <c r="B1071" s="1">
        <v>1</v>
      </c>
      <c r="C1071" s="1">
        <v>1</v>
      </c>
      <c r="D1071" s="1">
        <v>0</v>
      </c>
      <c r="E1071" s="1">
        <v>1</v>
      </c>
      <c r="F1071" s="1">
        <v>92</v>
      </c>
      <c r="G1071" s="1">
        <v>0</v>
      </c>
      <c r="H1071" s="1">
        <v>4</v>
      </c>
      <c r="I1071" s="1">
        <v>3</v>
      </c>
      <c r="J1071" s="1">
        <v>0</v>
      </c>
      <c r="K1071" s="1">
        <v>1</v>
      </c>
      <c r="L1071" s="1">
        <v>9259</v>
      </c>
      <c r="M1071" s="1">
        <v>0</v>
      </c>
    </row>
    <row r="1072" spans="2:13" x14ac:dyDescent="0.25">
      <c r="B1072" s="1">
        <v>1</v>
      </c>
      <c r="C1072" s="1">
        <v>1</v>
      </c>
      <c r="D1072" s="1">
        <v>9.5238095238095233E-2</v>
      </c>
      <c r="E1072" s="1">
        <v>0.90476190476190477</v>
      </c>
      <c r="F1072" s="1">
        <v>53</v>
      </c>
      <c r="G1072" s="1">
        <v>0</v>
      </c>
      <c r="H1072" s="1">
        <v>2</v>
      </c>
      <c r="I1072" s="1">
        <v>3</v>
      </c>
      <c r="J1072" s="1">
        <v>0</v>
      </c>
      <c r="K1072" s="1">
        <v>0</v>
      </c>
      <c r="L1072" s="1">
        <v>6262</v>
      </c>
      <c r="M1072" s="1">
        <v>0</v>
      </c>
    </row>
    <row r="1073" spans="2:13" x14ac:dyDescent="0.25">
      <c r="B1073" s="1">
        <v>0</v>
      </c>
      <c r="C1073" s="1">
        <v>0</v>
      </c>
      <c r="D1073" s="1">
        <v>0.9810526315789474</v>
      </c>
      <c r="E1073" s="1">
        <v>1.8947368421052633E-2</v>
      </c>
      <c r="F1073" s="1">
        <v>26</v>
      </c>
      <c r="G1073" s="1">
        <v>1</v>
      </c>
      <c r="H1073" s="1">
        <v>2</v>
      </c>
      <c r="I1073" s="1">
        <v>0</v>
      </c>
      <c r="J1073" s="1">
        <v>5</v>
      </c>
      <c r="K1073" s="1">
        <v>0</v>
      </c>
      <c r="L1073" s="1">
        <v>11229</v>
      </c>
      <c r="M1073" s="1">
        <v>1</v>
      </c>
    </row>
    <row r="1074" spans="2:13" x14ac:dyDescent="0.25">
      <c r="B1074" s="17">
        <v>1</v>
      </c>
      <c r="C1074" s="17">
        <v>0</v>
      </c>
      <c r="D1074" s="17">
        <v>9.9999999999999992E-2</v>
      </c>
      <c r="E1074" s="17">
        <v>0.9</v>
      </c>
      <c r="F1074" s="17">
        <v>74</v>
      </c>
      <c r="G1074" s="17">
        <v>1</v>
      </c>
      <c r="H1074" s="17">
        <v>2</v>
      </c>
      <c r="I1074" s="17">
        <v>4</v>
      </c>
      <c r="J1074" s="17">
        <v>0</v>
      </c>
      <c r="K1074" s="17">
        <v>0</v>
      </c>
      <c r="L1074" s="17">
        <v>11546</v>
      </c>
      <c r="M1074" s="17">
        <v>0</v>
      </c>
    </row>
    <row r="1075" spans="2:13" x14ac:dyDescent="0.25">
      <c r="B1075" s="1">
        <v>1</v>
      </c>
      <c r="C1075" s="1">
        <v>1</v>
      </c>
      <c r="D1075" s="1">
        <v>0</v>
      </c>
      <c r="E1075" s="1">
        <v>1</v>
      </c>
      <c r="F1075" s="1">
        <v>78</v>
      </c>
      <c r="G1075" s="1">
        <v>1</v>
      </c>
      <c r="H1075" s="1">
        <v>3</v>
      </c>
      <c r="I1075" s="1">
        <v>7</v>
      </c>
      <c r="J1075" s="1">
        <v>0</v>
      </c>
      <c r="K1075" s="1">
        <v>1</v>
      </c>
      <c r="L1075" s="1">
        <v>13280</v>
      </c>
      <c r="M1075" s="1">
        <v>0</v>
      </c>
    </row>
    <row r="1076" spans="2:13" x14ac:dyDescent="0.25">
      <c r="B1076" s="1">
        <v>0</v>
      </c>
      <c r="C1076" s="1">
        <v>0</v>
      </c>
      <c r="D1076" s="1">
        <v>0.8571428571428571</v>
      </c>
      <c r="E1076" s="1">
        <v>0.14285714285714285</v>
      </c>
      <c r="F1076" s="1">
        <v>51</v>
      </c>
      <c r="G1076" s="1">
        <v>0</v>
      </c>
      <c r="H1076" s="1">
        <v>5</v>
      </c>
      <c r="I1076" s="1">
        <v>3</v>
      </c>
      <c r="J1076" s="1">
        <v>1</v>
      </c>
      <c r="K1076" s="1">
        <v>0</v>
      </c>
      <c r="L1076" s="1">
        <v>27083</v>
      </c>
      <c r="M1076" s="1">
        <v>0</v>
      </c>
    </row>
    <row r="1077" spans="2:13" x14ac:dyDescent="0.25">
      <c r="B1077" s="1">
        <v>0</v>
      </c>
      <c r="C1077" s="1">
        <v>0</v>
      </c>
      <c r="D1077" s="1">
        <v>0.9810526315789474</v>
      </c>
      <c r="E1077" s="1">
        <v>1.8947368421052633E-2</v>
      </c>
      <c r="F1077" s="1">
        <v>0</v>
      </c>
      <c r="G1077" s="1">
        <v>0</v>
      </c>
      <c r="H1077" s="1">
        <v>2</v>
      </c>
      <c r="I1077" s="1">
        <v>1</v>
      </c>
      <c r="J1077" s="1">
        <v>0</v>
      </c>
      <c r="K1077" s="1">
        <v>0</v>
      </c>
      <c r="L1077" s="1">
        <v>2557</v>
      </c>
      <c r="M1077" s="1">
        <v>0</v>
      </c>
    </row>
    <row r="1078" spans="2:13" x14ac:dyDescent="0.25">
      <c r="B1078" s="1">
        <v>1</v>
      </c>
      <c r="C1078" s="1">
        <v>1</v>
      </c>
      <c r="D1078" s="1">
        <v>0</v>
      </c>
      <c r="E1078" s="1">
        <v>1</v>
      </c>
      <c r="F1078" s="1">
        <v>75</v>
      </c>
      <c r="G1078" s="1">
        <v>1</v>
      </c>
      <c r="H1078" s="1">
        <v>4</v>
      </c>
      <c r="I1078" s="1">
        <v>3</v>
      </c>
      <c r="J1078" s="1">
        <v>2</v>
      </c>
      <c r="K1078" s="1">
        <v>1</v>
      </c>
      <c r="L1078" s="1">
        <v>24461</v>
      </c>
      <c r="M1078" s="1">
        <v>0</v>
      </c>
    </row>
    <row r="1079" spans="2:13" x14ac:dyDescent="0.25">
      <c r="B1079" s="1">
        <v>0</v>
      </c>
      <c r="C1079" s="1">
        <v>0</v>
      </c>
      <c r="D1079" s="1">
        <v>0.9810526315789474</v>
      </c>
      <c r="E1079" s="1">
        <v>1.8947368421052633E-2</v>
      </c>
      <c r="F1079" s="1">
        <v>0</v>
      </c>
      <c r="G1079" s="1">
        <v>1</v>
      </c>
      <c r="H1079" s="1">
        <v>6</v>
      </c>
      <c r="I1079" s="1">
        <v>0</v>
      </c>
      <c r="J1079" s="1">
        <v>1</v>
      </c>
      <c r="K1079" s="1">
        <v>0</v>
      </c>
      <c r="L1079" s="1">
        <v>7993</v>
      </c>
      <c r="M1079" s="1">
        <v>0</v>
      </c>
    </row>
    <row r="1080" spans="2:13" x14ac:dyDescent="0.25">
      <c r="B1080" s="1">
        <v>0</v>
      </c>
      <c r="C1080" s="1">
        <v>0</v>
      </c>
      <c r="D1080" s="1">
        <v>0.99749999999999994</v>
      </c>
      <c r="E1080" s="1">
        <v>2.5000000000000001E-3</v>
      </c>
      <c r="F1080" s="1">
        <v>68</v>
      </c>
      <c r="G1080" s="1">
        <v>0</v>
      </c>
      <c r="H1080" s="1">
        <v>3</v>
      </c>
      <c r="I1080" s="1">
        <v>2</v>
      </c>
      <c r="J1080" s="1">
        <v>0</v>
      </c>
      <c r="K1080" s="1">
        <v>0</v>
      </c>
      <c r="L1080" s="1">
        <v>11385</v>
      </c>
      <c r="M1080" s="1">
        <v>0</v>
      </c>
    </row>
    <row r="1081" spans="2:13" x14ac:dyDescent="0.25">
      <c r="B1081" s="1">
        <v>0</v>
      </c>
      <c r="C1081" s="1">
        <v>0</v>
      </c>
      <c r="D1081" s="1">
        <v>0.8571428571428571</v>
      </c>
      <c r="E1081" s="1">
        <v>0.14285714285714285</v>
      </c>
      <c r="F1081" s="1">
        <v>51</v>
      </c>
      <c r="G1081" s="1">
        <v>1</v>
      </c>
      <c r="H1081" s="1">
        <v>7</v>
      </c>
      <c r="I1081" s="1">
        <v>5</v>
      </c>
      <c r="J1081" s="1">
        <v>0</v>
      </c>
      <c r="K1081" s="1">
        <v>0</v>
      </c>
      <c r="L1081" s="1">
        <v>13211</v>
      </c>
      <c r="M1081" s="1">
        <v>0</v>
      </c>
    </row>
    <row r="1082" spans="2:13" x14ac:dyDescent="0.25">
      <c r="B1082" s="17">
        <v>0</v>
      </c>
      <c r="C1082" s="17">
        <v>1</v>
      </c>
      <c r="D1082" s="17">
        <v>0.8571428571428571</v>
      </c>
      <c r="E1082" s="17">
        <v>0.14285714285714288</v>
      </c>
      <c r="F1082" s="17">
        <v>76</v>
      </c>
      <c r="G1082" s="17">
        <v>0</v>
      </c>
      <c r="H1082" s="17">
        <v>2</v>
      </c>
      <c r="I1082" s="17">
        <v>2</v>
      </c>
      <c r="J1082" s="17">
        <v>1</v>
      </c>
      <c r="K1082" s="17">
        <v>0</v>
      </c>
      <c r="L1082" s="17">
        <v>13229</v>
      </c>
      <c r="M1082" s="17">
        <v>1</v>
      </c>
    </row>
    <row r="1083" spans="2:13" x14ac:dyDescent="0.25">
      <c r="B1083" s="1">
        <v>0</v>
      </c>
      <c r="C1083" s="1">
        <v>0</v>
      </c>
      <c r="D1083" s="1">
        <v>0.9810526315789474</v>
      </c>
      <c r="E1083" s="1">
        <v>1.8947368421052633E-2</v>
      </c>
      <c r="F1083" s="1">
        <v>21</v>
      </c>
      <c r="G1083" s="1">
        <v>1</v>
      </c>
      <c r="H1083" s="1">
        <v>6</v>
      </c>
      <c r="I1083" s="1">
        <v>3</v>
      </c>
      <c r="J1083" s="1">
        <v>0</v>
      </c>
      <c r="K1083" s="1">
        <v>0</v>
      </c>
      <c r="L1083" s="1">
        <v>13103</v>
      </c>
      <c r="M1083" s="1">
        <v>0</v>
      </c>
    </row>
    <row r="1084" spans="2:13" x14ac:dyDescent="0.25">
      <c r="B1084" s="1">
        <v>0</v>
      </c>
      <c r="C1084" s="1">
        <v>0</v>
      </c>
      <c r="D1084" s="1">
        <v>0.9810526315789474</v>
      </c>
      <c r="E1084" s="1">
        <v>1.8947368421052633E-2</v>
      </c>
      <c r="F1084" s="1">
        <v>25</v>
      </c>
      <c r="G1084" s="1">
        <v>1</v>
      </c>
      <c r="H1084" s="1">
        <v>1</v>
      </c>
      <c r="I1084" s="1">
        <v>0</v>
      </c>
      <c r="J1084" s="1">
        <v>1</v>
      </c>
      <c r="K1084" s="1">
        <v>0</v>
      </c>
      <c r="L1084" s="1">
        <v>10023</v>
      </c>
      <c r="M1084" s="1">
        <v>0</v>
      </c>
    </row>
    <row r="1085" spans="2:13" x14ac:dyDescent="0.25">
      <c r="B1085" s="1">
        <v>0</v>
      </c>
      <c r="C1085" s="1">
        <v>0</v>
      </c>
      <c r="D1085" s="1">
        <v>0.8571428571428571</v>
      </c>
      <c r="E1085" s="1">
        <v>0.14285714285714288</v>
      </c>
      <c r="F1085" s="1">
        <v>78</v>
      </c>
      <c r="G1085" s="1">
        <v>1</v>
      </c>
      <c r="H1085" s="1">
        <v>3</v>
      </c>
      <c r="I1085" s="1">
        <v>4</v>
      </c>
      <c r="J1085" s="1">
        <v>0</v>
      </c>
      <c r="K1085" s="1">
        <v>0</v>
      </c>
      <c r="L1085" s="1">
        <v>13412</v>
      </c>
      <c r="M1085" s="1">
        <v>0</v>
      </c>
    </row>
    <row r="1086" spans="2:13" x14ac:dyDescent="0.25">
      <c r="B1086" s="1">
        <v>0</v>
      </c>
      <c r="C1086" s="1">
        <v>0</v>
      </c>
      <c r="D1086" s="1">
        <v>0.9810526315789474</v>
      </c>
      <c r="E1086" s="1">
        <v>1.8947368421052633E-2</v>
      </c>
      <c r="F1086" s="1">
        <v>26</v>
      </c>
      <c r="G1086" s="1">
        <v>1</v>
      </c>
      <c r="H1086" s="1">
        <v>1</v>
      </c>
      <c r="I1086" s="1">
        <v>0</v>
      </c>
      <c r="J1086" s="1">
        <v>0</v>
      </c>
      <c r="K1086" s="1">
        <v>0</v>
      </c>
      <c r="L1086" s="1">
        <v>2396</v>
      </c>
      <c r="M1086" s="1">
        <v>0</v>
      </c>
    </row>
    <row r="1087" spans="2:13" x14ac:dyDescent="0.25">
      <c r="B1087" s="1">
        <v>0</v>
      </c>
      <c r="C1087" s="1">
        <v>0</v>
      </c>
      <c r="D1087" s="1">
        <v>0.9810526315789474</v>
      </c>
      <c r="E1087" s="1">
        <v>1.8947368421052633E-2</v>
      </c>
      <c r="F1087" s="1">
        <v>0</v>
      </c>
      <c r="G1087" s="1">
        <v>0</v>
      </c>
      <c r="H1087" s="1">
        <v>3</v>
      </c>
      <c r="I1087" s="1">
        <v>0</v>
      </c>
      <c r="J1087" s="1">
        <v>0</v>
      </c>
      <c r="K1087" s="1">
        <v>0</v>
      </c>
      <c r="L1087" s="1">
        <v>2019</v>
      </c>
      <c r="M1087" s="1">
        <v>0</v>
      </c>
    </row>
    <row r="1088" spans="2:13" x14ac:dyDescent="0.25">
      <c r="B1088" s="1">
        <v>0</v>
      </c>
      <c r="C1088" s="1">
        <v>0</v>
      </c>
      <c r="D1088" s="1">
        <v>1</v>
      </c>
      <c r="E1088" s="1">
        <v>0</v>
      </c>
      <c r="F1088" s="1">
        <v>44</v>
      </c>
      <c r="G1088" s="1">
        <v>1</v>
      </c>
      <c r="H1088" s="1">
        <v>13</v>
      </c>
      <c r="I1088" s="1">
        <v>4</v>
      </c>
      <c r="J1088" s="1">
        <v>0</v>
      </c>
      <c r="K1088" s="1">
        <v>0</v>
      </c>
      <c r="L1088" s="1">
        <v>19701</v>
      </c>
      <c r="M1088" s="1">
        <v>0</v>
      </c>
    </row>
    <row r="1089" spans="2:13" x14ac:dyDescent="0.25">
      <c r="B1089" s="1">
        <v>0</v>
      </c>
      <c r="C1089" s="1">
        <v>0</v>
      </c>
      <c r="D1089" s="1">
        <v>1</v>
      </c>
      <c r="E1089" s="1">
        <v>0</v>
      </c>
      <c r="F1089" s="1">
        <v>39</v>
      </c>
      <c r="G1089" s="1">
        <v>1</v>
      </c>
      <c r="H1089" s="1">
        <v>4</v>
      </c>
      <c r="I1089" s="1">
        <v>2</v>
      </c>
      <c r="J1089" s="1">
        <v>2</v>
      </c>
      <c r="K1089" s="1">
        <v>0</v>
      </c>
      <c r="L1089" s="1">
        <v>9774</v>
      </c>
      <c r="M1089" s="1">
        <v>1</v>
      </c>
    </row>
    <row r="1090" spans="2:13" x14ac:dyDescent="0.25">
      <c r="B1090" s="1">
        <v>0</v>
      </c>
      <c r="C1090" s="1">
        <v>0</v>
      </c>
      <c r="D1090" s="1">
        <v>0.96666666666666667</v>
      </c>
      <c r="E1090" s="1">
        <v>3.333333333333334E-2</v>
      </c>
      <c r="F1090" s="1">
        <v>31</v>
      </c>
      <c r="G1090" s="1">
        <v>1</v>
      </c>
      <c r="H1090" s="1">
        <v>3</v>
      </c>
      <c r="I1090" s="1">
        <v>1</v>
      </c>
      <c r="J1090" s="1">
        <v>3</v>
      </c>
      <c r="K1090" s="1">
        <v>0</v>
      </c>
      <c r="L1090" s="1">
        <v>8709</v>
      </c>
      <c r="M1090" s="1">
        <v>0</v>
      </c>
    </row>
    <row r="1091" spans="2:13" x14ac:dyDescent="0.25">
      <c r="B1091" s="17">
        <v>0</v>
      </c>
      <c r="C1091" s="17">
        <v>1</v>
      </c>
      <c r="D1091" s="17">
        <v>0.625</v>
      </c>
      <c r="E1091" s="17">
        <v>0.37500000000000006</v>
      </c>
      <c r="F1091" s="17">
        <v>81</v>
      </c>
      <c r="G1091" s="17">
        <v>1</v>
      </c>
      <c r="H1091" s="17">
        <v>38</v>
      </c>
      <c r="I1091" s="17">
        <v>3</v>
      </c>
      <c r="J1091" s="17">
        <v>6</v>
      </c>
      <c r="K1091" s="17">
        <v>0</v>
      </c>
      <c r="L1091" s="17">
        <v>174504</v>
      </c>
      <c r="M1091" s="17">
        <v>1</v>
      </c>
    </row>
    <row r="1092" spans="2:13" x14ac:dyDescent="0.25">
      <c r="B1092" s="1">
        <v>1</v>
      </c>
      <c r="C1092" s="1">
        <v>1</v>
      </c>
      <c r="D1092" s="1">
        <v>0</v>
      </c>
      <c r="E1092" s="1">
        <v>1</v>
      </c>
      <c r="F1092" s="1">
        <v>75</v>
      </c>
      <c r="G1092" s="1">
        <v>0</v>
      </c>
      <c r="H1092" s="1">
        <v>17</v>
      </c>
      <c r="I1092" s="1">
        <v>5</v>
      </c>
      <c r="J1092" s="1">
        <v>1</v>
      </c>
      <c r="K1092" s="1">
        <v>1</v>
      </c>
      <c r="L1092" s="1">
        <v>41967</v>
      </c>
      <c r="M1092" s="1">
        <v>0</v>
      </c>
    </row>
    <row r="1093" spans="2:13" x14ac:dyDescent="0.25">
      <c r="B1093" s="1">
        <v>0</v>
      </c>
      <c r="C1093" s="1">
        <v>0</v>
      </c>
      <c r="D1093" s="1">
        <v>0.99749999999999994</v>
      </c>
      <c r="E1093" s="1">
        <v>2.5000000000000001E-3</v>
      </c>
      <c r="F1093" s="1">
        <v>73</v>
      </c>
      <c r="G1093" s="1">
        <v>1</v>
      </c>
      <c r="H1093" s="1">
        <v>7</v>
      </c>
      <c r="I1093" s="1">
        <v>5</v>
      </c>
      <c r="J1093" s="1">
        <v>0</v>
      </c>
      <c r="K1093" s="1">
        <v>0</v>
      </c>
      <c r="L1093" s="1">
        <v>16284</v>
      </c>
      <c r="M1093" s="1">
        <v>0</v>
      </c>
    </row>
    <row r="1094" spans="2:13" x14ac:dyDescent="0.25">
      <c r="B1094" s="1">
        <v>1</v>
      </c>
      <c r="C1094" s="1">
        <v>1</v>
      </c>
      <c r="D1094" s="1">
        <v>0</v>
      </c>
      <c r="E1094" s="1">
        <v>1</v>
      </c>
      <c r="F1094" s="1">
        <v>87</v>
      </c>
      <c r="G1094" s="1">
        <v>1</v>
      </c>
      <c r="H1094" s="1">
        <v>1</v>
      </c>
      <c r="I1094" s="1">
        <v>2</v>
      </c>
      <c r="J1094" s="1">
        <v>0</v>
      </c>
      <c r="K1094" s="1">
        <v>1</v>
      </c>
      <c r="L1094" s="1">
        <v>8823</v>
      </c>
      <c r="M1094" s="1">
        <v>0</v>
      </c>
    </row>
    <row r="1095" spans="2:13" x14ac:dyDescent="0.25">
      <c r="B1095" s="1">
        <v>0</v>
      </c>
      <c r="C1095" s="1">
        <v>0</v>
      </c>
      <c r="D1095" s="1">
        <v>1</v>
      </c>
      <c r="E1095" s="1">
        <v>0</v>
      </c>
      <c r="F1095" s="1">
        <v>43</v>
      </c>
      <c r="G1095" s="1">
        <v>0</v>
      </c>
      <c r="H1095" s="1">
        <v>5</v>
      </c>
      <c r="I1095" s="1">
        <v>2</v>
      </c>
      <c r="J1095" s="1">
        <v>1</v>
      </c>
      <c r="K1095" s="1">
        <v>0</v>
      </c>
      <c r="L1095" s="1">
        <v>19406</v>
      </c>
      <c r="M1095" s="1">
        <v>0</v>
      </c>
    </row>
    <row r="1096" spans="2:13" x14ac:dyDescent="0.25">
      <c r="B1096" s="1">
        <v>1</v>
      </c>
      <c r="C1096" s="1">
        <v>1</v>
      </c>
      <c r="D1096" s="1">
        <v>0</v>
      </c>
      <c r="E1096" s="1">
        <v>1</v>
      </c>
      <c r="F1096" s="1">
        <v>80</v>
      </c>
      <c r="G1096" s="1">
        <v>0</v>
      </c>
      <c r="H1096" s="1">
        <v>4</v>
      </c>
      <c r="I1096" s="1">
        <v>6</v>
      </c>
      <c r="J1096" s="1">
        <v>0</v>
      </c>
      <c r="K1096" s="1">
        <v>1</v>
      </c>
      <c r="L1096" s="1">
        <v>13345</v>
      </c>
      <c r="M1096" s="1">
        <v>0</v>
      </c>
    </row>
    <row r="1097" spans="2:13" x14ac:dyDescent="0.25">
      <c r="B1097" s="1">
        <v>0</v>
      </c>
      <c r="C1097" s="1">
        <v>0</v>
      </c>
      <c r="D1097" s="1">
        <v>0.99749999999999994</v>
      </c>
      <c r="E1097" s="1">
        <v>2.5000000000000001E-3</v>
      </c>
      <c r="F1097" s="1">
        <v>63</v>
      </c>
      <c r="G1097" s="1">
        <v>0</v>
      </c>
      <c r="H1097" s="1">
        <v>4</v>
      </c>
      <c r="I1097" s="1">
        <v>6</v>
      </c>
      <c r="J1097" s="1">
        <v>0</v>
      </c>
      <c r="K1097" s="1">
        <v>0</v>
      </c>
      <c r="L1097" s="1">
        <v>20070</v>
      </c>
      <c r="M1097" s="1">
        <v>0</v>
      </c>
    </row>
    <row r="1098" spans="2:13" x14ac:dyDescent="0.25">
      <c r="B1098" s="1">
        <v>0</v>
      </c>
      <c r="C1098" s="1">
        <v>0</v>
      </c>
      <c r="D1098" s="1">
        <v>0.8571428571428571</v>
      </c>
      <c r="E1098" s="1">
        <v>0.14285714285714285</v>
      </c>
      <c r="F1098" s="1">
        <v>51</v>
      </c>
      <c r="G1098" s="1">
        <v>1</v>
      </c>
      <c r="H1098" s="1">
        <v>4</v>
      </c>
      <c r="I1098" s="1">
        <v>3</v>
      </c>
      <c r="J1098" s="1">
        <v>0</v>
      </c>
      <c r="K1098" s="1">
        <v>0</v>
      </c>
      <c r="L1098" s="1">
        <v>10120</v>
      </c>
      <c r="M1098" s="1">
        <v>0</v>
      </c>
    </row>
    <row r="1099" spans="2:13" x14ac:dyDescent="0.25">
      <c r="B1099" s="1">
        <v>0</v>
      </c>
      <c r="C1099" s="1">
        <v>0</v>
      </c>
      <c r="D1099" s="1">
        <v>0.9810526315789474</v>
      </c>
      <c r="E1099" s="1">
        <v>1.8947368421052633E-2</v>
      </c>
      <c r="F1099" s="1">
        <v>26</v>
      </c>
      <c r="G1099" s="1">
        <v>1</v>
      </c>
      <c r="H1099" s="1">
        <v>2</v>
      </c>
      <c r="I1099" s="1">
        <v>0</v>
      </c>
      <c r="J1099" s="1">
        <v>2</v>
      </c>
      <c r="K1099" s="1">
        <v>0</v>
      </c>
      <c r="L1099" s="1">
        <v>9384</v>
      </c>
      <c r="M1099" s="1">
        <v>0</v>
      </c>
    </row>
    <row r="1100" spans="2:13" x14ac:dyDescent="0.25">
      <c r="B1100" s="1">
        <v>0</v>
      </c>
      <c r="C1100" s="1">
        <v>0</v>
      </c>
      <c r="D1100" s="1">
        <v>0.9810526315789474</v>
      </c>
      <c r="E1100" s="1">
        <v>1.8947368421052633E-2</v>
      </c>
      <c r="F1100" s="1">
        <v>0</v>
      </c>
      <c r="G1100" s="1">
        <v>1</v>
      </c>
      <c r="H1100" s="1">
        <v>3</v>
      </c>
      <c r="I1100" s="1">
        <v>0</v>
      </c>
      <c r="J1100" s="1">
        <v>0</v>
      </c>
      <c r="K1100" s="1">
        <v>0</v>
      </c>
      <c r="L1100" s="1">
        <v>2914</v>
      </c>
      <c r="M1100" s="1">
        <v>0</v>
      </c>
    </row>
    <row r="1101" spans="2:13" x14ac:dyDescent="0.25">
      <c r="B1101" s="1">
        <v>1</v>
      </c>
      <c r="C1101" s="1">
        <v>1</v>
      </c>
      <c r="D1101" s="1">
        <v>0</v>
      </c>
      <c r="E1101" s="1">
        <v>1</v>
      </c>
      <c r="F1101" s="1">
        <v>85</v>
      </c>
      <c r="G1101" s="1">
        <v>1</v>
      </c>
      <c r="H1101" s="1">
        <v>7</v>
      </c>
      <c r="I1101" s="1">
        <v>6</v>
      </c>
      <c r="J1101" s="1">
        <v>0</v>
      </c>
      <c r="K1101" s="1">
        <v>1</v>
      </c>
      <c r="L1101" s="1">
        <v>10224</v>
      </c>
      <c r="M1101" s="1">
        <v>0</v>
      </c>
    </row>
    <row r="1102" spans="2:13" x14ac:dyDescent="0.25">
      <c r="B1102" s="1">
        <v>0</v>
      </c>
      <c r="C1102" s="1">
        <v>0</v>
      </c>
      <c r="D1102" s="1">
        <v>0.99749999999999994</v>
      </c>
      <c r="E1102" s="1">
        <v>2.5000000000000001E-3</v>
      </c>
      <c r="F1102" s="1">
        <v>59</v>
      </c>
      <c r="G1102" s="1">
        <v>1</v>
      </c>
      <c r="H1102" s="1">
        <v>8</v>
      </c>
      <c r="I1102" s="1">
        <v>4</v>
      </c>
      <c r="J1102" s="1">
        <v>3</v>
      </c>
      <c r="K1102" s="1">
        <v>0</v>
      </c>
      <c r="L1102" s="1">
        <v>34597</v>
      </c>
      <c r="M1102" s="1">
        <v>1</v>
      </c>
    </row>
    <row r="1103" spans="2:13" x14ac:dyDescent="0.25">
      <c r="B1103" s="17">
        <v>1</v>
      </c>
      <c r="C1103" s="17">
        <v>0</v>
      </c>
      <c r="D1103" s="17">
        <v>0.27272727272727276</v>
      </c>
      <c r="E1103" s="17">
        <v>0.72727272727272729</v>
      </c>
      <c r="F1103" s="17">
        <v>89</v>
      </c>
      <c r="G1103" s="17">
        <v>0</v>
      </c>
      <c r="H1103" s="17">
        <v>4</v>
      </c>
      <c r="I1103" s="17">
        <v>2</v>
      </c>
      <c r="J1103" s="17">
        <v>0</v>
      </c>
      <c r="K1103" s="17">
        <v>0</v>
      </c>
      <c r="L1103" s="17">
        <v>4988</v>
      </c>
      <c r="M1103" s="17">
        <v>0</v>
      </c>
    </row>
    <row r="1104" spans="2:13" x14ac:dyDescent="0.25">
      <c r="B1104" s="1">
        <v>0</v>
      </c>
      <c r="C1104" s="1">
        <v>0</v>
      </c>
      <c r="D1104" s="1">
        <v>0.9810526315789474</v>
      </c>
      <c r="E1104" s="1">
        <v>1.8947368421052633E-2</v>
      </c>
      <c r="F1104" s="1">
        <v>27</v>
      </c>
      <c r="G1104" s="1">
        <v>0</v>
      </c>
      <c r="H1104" s="1">
        <v>2</v>
      </c>
      <c r="I1104" s="1">
        <v>0</v>
      </c>
      <c r="J1104" s="1">
        <v>1</v>
      </c>
      <c r="K1104" s="1">
        <v>0</v>
      </c>
      <c r="L1104" s="1">
        <v>20442</v>
      </c>
      <c r="M1104" s="1">
        <v>1</v>
      </c>
    </row>
    <row r="1105" spans="2:13" x14ac:dyDescent="0.25">
      <c r="B1105" s="1">
        <v>0</v>
      </c>
      <c r="C1105" s="1">
        <v>0</v>
      </c>
      <c r="D1105" s="1">
        <v>0.99749999999999994</v>
      </c>
      <c r="E1105" s="1">
        <v>2.5000000000000001E-3</v>
      </c>
      <c r="F1105" s="1">
        <v>63</v>
      </c>
      <c r="G1105" s="1">
        <v>0</v>
      </c>
      <c r="H1105" s="1">
        <v>4</v>
      </c>
      <c r="I1105" s="1">
        <v>4</v>
      </c>
      <c r="J1105" s="1">
        <v>1</v>
      </c>
      <c r="K1105" s="1">
        <v>0</v>
      </c>
      <c r="L1105" s="1">
        <v>46048</v>
      </c>
      <c r="M1105" s="1">
        <v>1</v>
      </c>
    </row>
    <row r="1106" spans="2:13" x14ac:dyDescent="0.25">
      <c r="B1106" s="1">
        <v>1</v>
      </c>
      <c r="C1106" s="1">
        <v>1</v>
      </c>
      <c r="D1106" s="1">
        <v>0</v>
      </c>
      <c r="E1106" s="1">
        <v>1</v>
      </c>
      <c r="F1106" s="1">
        <v>84</v>
      </c>
      <c r="G1106" s="1">
        <v>1</v>
      </c>
      <c r="H1106" s="1">
        <v>2</v>
      </c>
      <c r="I1106" s="1">
        <v>4</v>
      </c>
      <c r="J1106" s="1">
        <v>0</v>
      </c>
      <c r="K1106" s="1">
        <v>1</v>
      </c>
      <c r="L1106" s="1">
        <v>10318</v>
      </c>
      <c r="M1106" s="1">
        <v>0</v>
      </c>
    </row>
    <row r="1107" spans="2:13" x14ac:dyDescent="0.25">
      <c r="B1107" s="1">
        <v>0</v>
      </c>
      <c r="C1107" s="1">
        <v>0</v>
      </c>
      <c r="D1107" s="1">
        <v>1</v>
      </c>
      <c r="E1107" s="1">
        <v>0</v>
      </c>
      <c r="F1107" s="1">
        <v>39</v>
      </c>
      <c r="G1107" s="1">
        <v>1</v>
      </c>
      <c r="H1107" s="1">
        <v>3</v>
      </c>
      <c r="I1107" s="1">
        <v>1</v>
      </c>
      <c r="J1107" s="1">
        <v>1</v>
      </c>
      <c r="K1107" s="1">
        <v>0</v>
      </c>
      <c r="L1107" s="1">
        <v>24163</v>
      </c>
      <c r="M1107" s="1">
        <v>1</v>
      </c>
    </row>
    <row r="1108" spans="2:13" x14ac:dyDescent="0.25">
      <c r="B1108" s="1">
        <v>0</v>
      </c>
      <c r="C1108" s="1">
        <v>0</v>
      </c>
      <c r="D1108" s="1">
        <v>0.99749999999999994</v>
      </c>
      <c r="E1108" s="1">
        <v>2.5000000000000001E-3</v>
      </c>
      <c r="F1108" s="1">
        <v>60</v>
      </c>
      <c r="G1108" s="1">
        <v>0</v>
      </c>
      <c r="H1108" s="1">
        <v>2</v>
      </c>
      <c r="I1108" s="1">
        <v>3</v>
      </c>
      <c r="J1108" s="1">
        <v>0</v>
      </c>
      <c r="K1108" s="1">
        <v>0</v>
      </c>
      <c r="L1108" s="1">
        <v>5127</v>
      </c>
      <c r="M1108" s="1">
        <v>0</v>
      </c>
    </row>
    <row r="1109" spans="2:13" x14ac:dyDescent="0.25">
      <c r="B1109" s="1">
        <v>1</v>
      </c>
      <c r="C1109" s="1">
        <v>1</v>
      </c>
      <c r="D1109" s="1">
        <v>0</v>
      </c>
      <c r="E1109" s="1">
        <v>1</v>
      </c>
      <c r="F1109" s="1">
        <v>75</v>
      </c>
      <c r="G1109" s="1">
        <v>1</v>
      </c>
      <c r="H1109" s="1">
        <v>28</v>
      </c>
      <c r="I1109" s="1">
        <v>3</v>
      </c>
      <c r="J1109" s="1">
        <v>0</v>
      </c>
      <c r="K1109" s="1">
        <v>1</v>
      </c>
      <c r="L1109" s="1">
        <v>53991</v>
      </c>
      <c r="M1109" s="1">
        <v>0</v>
      </c>
    </row>
    <row r="1110" spans="2:13" x14ac:dyDescent="0.25">
      <c r="B1110" s="1">
        <v>0</v>
      </c>
      <c r="C1110" s="1">
        <v>0</v>
      </c>
      <c r="D1110" s="1">
        <v>0.9810526315789474</v>
      </c>
      <c r="E1110" s="1">
        <v>1.8947368421052633E-2</v>
      </c>
      <c r="F1110" s="1">
        <v>19</v>
      </c>
      <c r="G1110" s="1">
        <v>1</v>
      </c>
      <c r="H1110" s="1">
        <v>5</v>
      </c>
      <c r="I1110" s="1">
        <v>0</v>
      </c>
      <c r="J1110" s="1">
        <v>3</v>
      </c>
      <c r="K1110" s="1">
        <v>0</v>
      </c>
      <c r="L1110" s="1">
        <v>14394</v>
      </c>
      <c r="M1110" s="1">
        <v>1</v>
      </c>
    </row>
    <row r="1111" spans="2:13" x14ac:dyDescent="0.25">
      <c r="B1111" s="1">
        <v>1</v>
      </c>
      <c r="C1111" s="1">
        <v>1</v>
      </c>
      <c r="D1111" s="1">
        <v>0</v>
      </c>
      <c r="E1111" s="1">
        <v>1</v>
      </c>
      <c r="F1111" s="1">
        <v>80</v>
      </c>
      <c r="G1111" s="1">
        <v>1</v>
      </c>
      <c r="H1111" s="1">
        <v>4</v>
      </c>
      <c r="I1111" s="1">
        <v>8</v>
      </c>
      <c r="J1111" s="1">
        <v>1</v>
      </c>
      <c r="K1111" s="1">
        <v>1</v>
      </c>
      <c r="L1111" s="1">
        <v>16601</v>
      </c>
      <c r="M1111" s="1">
        <v>0</v>
      </c>
    </row>
    <row r="1112" spans="2:13" x14ac:dyDescent="0.25">
      <c r="B1112" s="1">
        <v>1</v>
      </c>
      <c r="C1112" s="1">
        <v>1</v>
      </c>
      <c r="D1112" s="1">
        <v>9.5238095238095233E-2</v>
      </c>
      <c r="E1112" s="1">
        <v>0.90476190476190477</v>
      </c>
      <c r="F1112" s="1">
        <v>53</v>
      </c>
      <c r="G1112" s="1">
        <v>0</v>
      </c>
      <c r="H1112" s="1">
        <v>3</v>
      </c>
      <c r="I1112" s="1">
        <v>2</v>
      </c>
      <c r="J1112" s="1">
        <v>1</v>
      </c>
      <c r="K1112" s="1">
        <v>0</v>
      </c>
      <c r="L1112" s="1">
        <v>16120</v>
      </c>
      <c r="M1112" s="1">
        <v>0</v>
      </c>
    </row>
    <row r="1113" spans="2:13" x14ac:dyDescent="0.25">
      <c r="B1113" s="1">
        <v>1</v>
      </c>
      <c r="C1113" s="1">
        <v>1</v>
      </c>
      <c r="D1113" s="1">
        <v>0.36</v>
      </c>
      <c r="E1113" s="1">
        <v>0.64</v>
      </c>
      <c r="F1113" s="1">
        <v>80</v>
      </c>
      <c r="G1113" s="1">
        <v>1</v>
      </c>
      <c r="H1113" s="1">
        <v>6</v>
      </c>
      <c r="I1113" s="1">
        <v>5</v>
      </c>
      <c r="J1113" s="1">
        <v>0</v>
      </c>
      <c r="K1113" s="1">
        <v>0</v>
      </c>
      <c r="L1113" s="1">
        <v>16245</v>
      </c>
      <c r="M1113" s="1">
        <v>0</v>
      </c>
    </row>
    <row r="1114" spans="2:13" x14ac:dyDescent="0.25">
      <c r="B1114" s="17">
        <v>1</v>
      </c>
      <c r="C1114" s="17">
        <v>0</v>
      </c>
      <c r="D1114" s="17">
        <v>0.16666666666666666</v>
      </c>
      <c r="E1114" s="17">
        <v>0.83333333333333326</v>
      </c>
      <c r="F1114" s="17">
        <v>19</v>
      </c>
      <c r="G1114" s="17">
        <v>1</v>
      </c>
      <c r="H1114" s="17">
        <v>17</v>
      </c>
      <c r="I1114" s="17">
        <v>0</v>
      </c>
      <c r="J1114" s="17">
        <v>3</v>
      </c>
      <c r="K1114" s="17">
        <v>0</v>
      </c>
      <c r="L1114" s="17">
        <v>52377</v>
      </c>
      <c r="M1114" s="17">
        <v>0</v>
      </c>
    </row>
    <row r="1115" spans="2:13" x14ac:dyDescent="0.25">
      <c r="B1115" s="1">
        <v>0</v>
      </c>
      <c r="C1115" s="1">
        <v>0</v>
      </c>
      <c r="D1115" s="1">
        <v>1</v>
      </c>
      <c r="E1115" s="1">
        <v>0</v>
      </c>
      <c r="F1115" s="1">
        <v>43</v>
      </c>
      <c r="G1115" s="1">
        <v>1</v>
      </c>
      <c r="H1115" s="1">
        <v>7</v>
      </c>
      <c r="I1115" s="1">
        <v>4</v>
      </c>
      <c r="J1115" s="1">
        <v>1</v>
      </c>
      <c r="K1115" s="1">
        <v>0</v>
      </c>
      <c r="L1115" s="1">
        <v>21819</v>
      </c>
      <c r="M1115" s="1">
        <v>1</v>
      </c>
    </row>
    <row r="1116" spans="2:13" x14ac:dyDescent="0.25">
      <c r="B1116" s="1">
        <v>1</v>
      </c>
      <c r="C1116" s="1">
        <v>1</v>
      </c>
      <c r="D1116" s="1">
        <v>0</v>
      </c>
      <c r="E1116" s="1">
        <v>1</v>
      </c>
      <c r="F1116" s="1">
        <v>85</v>
      </c>
      <c r="G1116" s="1">
        <v>0</v>
      </c>
      <c r="H1116" s="1">
        <v>10</v>
      </c>
      <c r="I1116" s="1">
        <v>5</v>
      </c>
      <c r="J1116" s="1">
        <v>0</v>
      </c>
      <c r="K1116" s="1">
        <v>1</v>
      </c>
      <c r="L1116" s="1">
        <v>23732</v>
      </c>
      <c r="M1116" s="1">
        <v>0</v>
      </c>
    </row>
    <row r="1117" spans="2:13" x14ac:dyDescent="0.25">
      <c r="B1117" s="1">
        <v>0</v>
      </c>
      <c r="C1117" s="1">
        <v>0</v>
      </c>
      <c r="D1117" s="1">
        <v>0.9810526315789474</v>
      </c>
      <c r="E1117" s="1">
        <v>1.8947368421052633E-2</v>
      </c>
      <c r="F1117" s="1">
        <v>0</v>
      </c>
      <c r="G1117" s="1">
        <v>1</v>
      </c>
      <c r="H1117" s="1">
        <v>3</v>
      </c>
      <c r="I1117" s="1">
        <v>0</v>
      </c>
      <c r="J1117" s="1">
        <v>0</v>
      </c>
      <c r="K1117" s="1">
        <v>0</v>
      </c>
      <c r="L1117" s="1">
        <v>1468</v>
      </c>
      <c r="M1117" s="1">
        <v>0</v>
      </c>
    </row>
    <row r="1118" spans="2:13" x14ac:dyDescent="0.25">
      <c r="B1118" s="1">
        <v>0</v>
      </c>
      <c r="C1118" s="1">
        <v>0</v>
      </c>
      <c r="D1118" s="1">
        <v>0.8571428571428571</v>
      </c>
      <c r="E1118" s="1">
        <v>0.14285714285714288</v>
      </c>
      <c r="F1118" s="1">
        <v>79</v>
      </c>
      <c r="G1118" s="1">
        <v>1</v>
      </c>
      <c r="H1118" s="1">
        <v>7</v>
      </c>
      <c r="I1118" s="1">
        <v>3</v>
      </c>
      <c r="J1118" s="1">
        <v>0</v>
      </c>
      <c r="K1118" s="1">
        <v>0</v>
      </c>
      <c r="L1118" s="1">
        <v>12576</v>
      </c>
      <c r="M1118" s="1">
        <v>0</v>
      </c>
    </row>
    <row r="1119" spans="2:13" x14ac:dyDescent="0.25">
      <c r="B1119" s="1">
        <v>0</v>
      </c>
      <c r="C1119" s="1">
        <v>0</v>
      </c>
      <c r="D1119" s="1">
        <v>0.99749999999999994</v>
      </c>
      <c r="E1119" s="1">
        <v>2.5000000000000001E-3</v>
      </c>
      <c r="F1119" s="1">
        <v>55</v>
      </c>
      <c r="G1119" s="1">
        <v>1</v>
      </c>
      <c r="H1119" s="1">
        <v>4</v>
      </c>
      <c r="I1119" s="1">
        <v>1</v>
      </c>
      <c r="J1119" s="1">
        <v>1</v>
      </c>
      <c r="K1119" s="1">
        <v>0</v>
      </c>
      <c r="L1119" s="1">
        <v>42664</v>
      </c>
      <c r="M1119" s="1">
        <v>1</v>
      </c>
    </row>
    <row r="1120" spans="2:13" x14ac:dyDescent="0.25">
      <c r="B1120" s="1">
        <v>1</v>
      </c>
      <c r="C1120" s="1">
        <v>1</v>
      </c>
      <c r="D1120" s="1">
        <v>0</v>
      </c>
      <c r="E1120" s="1">
        <v>1</v>
      </c>
      <c r="F1120" s="1">
        <v>78</v>
      </c>
      <c r="G1120" s="1">
        <v>1</v>
      </c>
      <c r="H1120" s="1">
        <v>16</v>
      </c>
      <c r="I1120" s="1">
        <v>4</v>
      </c>
      <c r="J1120" s="1">
        <v>0</v>
      </c>
      <c r="K1120" s="1">
        <v>1</v>
      </c>
      <c r="L1120" s="1">
        <v>23228</v>
      </c>
      <c r="M1120" s="1">
        <v>0</v>
      </c>
    </row>
    <row r="1121" spans="2:13" x14ac:dyDescent="0.25">
      <c r="B1121" s="17">
        <v>0</v>
      </c>
      <c r="C1121" s="17">
        <v>1</v>
      </c>
      <c r="D1121" s="17">
        <v>0.9810526315789474</v>
      </c>
      <c r="E1121" s="17">
        <v>1.8947368421052633E-2</v>
      </c>
      <c r="F1121" s="17">
        <v>0</v>
      </c>
      <c r="G1121" s="17">
        <v>1</v>
      </c>
      <c r="H1121" s="17">
        <v>3</v>
      </c>
      <c r="I1121" s="17">
        <v>0</v>
      </c>
      <c r="J1121" s="17">
        <v>0</v>
      </c>
      <c r="K1121" s="17">
        <v>0</v>
      </c>
      <c r="L1121" s="17">
        <v>2323</v>
      </c>
      <c r="M1121" s="17">
        <v>0</v>
      </c>
    </row>
    <row r="1122" spans="2:13" x14ac:dyDescent="0.25">
      <c r="B1122" s="1">
        <v>0</v>
      </c>
      <c r="C1122" s="1">
        <v>0</v>
      </c>
      <c r="D1122" s="1">
        <v>0.99749999999999994</v>
      </c>
      <c r="E1122" s="1">
        <v>2.5000000000000001E-3</v>
      </c>
      <c r="F1122" s="1">
        <v>57</v>
      </c>
      <c r="G1122" s="1">
        <v>1</v>
      </c>
      <c r="H1122" s="1">
        <v>2</v>
      </c>
      <c r="I1122" s="1">
        <v>4</v>
      </c>
      <c r="J1122" s="1">
        <v>0</v>
      </c>
      <c r="K1122" s="1">
        <v>0</v>
      </c>
      <c r="L1122" s="1">
        <v>15414</v>
      </c>
      <c r="M1122" s="1">
        <v>0</v>
      </c>
    </row>
    <row r="1123" spans="2:13" x14ac:dyDescent="0.25">
      <c r="B1123" s="1">
        <v>1</v>
      </c>
      <c r="C1123" s="1">
        <v>1</v>
      </c>
      <c r="D1123" s="1">
        <v>0</v>
      </c>
      <c r="E1123" s="1">
        <v>1</v>
      </c>
      <c r="F1123" s="1">
        <v>81</v>
      </c>
      <c r="G1123" s="1">
        <v>1</v>
      </c>
      <c r="H1123" s="1">
        <v>4</v>
      </c>
      <c r="I1123" s="1">
        <v>0</v>
      </c>
      <c r="J1123" s="1">
        <v>1</v>
      </c>
      <c r="K1123" s="1">
        <v>1</v>
      </c>
      <c r="L1123" s="1">
        <v>12091</v>
      </c>
      <c r="M1123" s="1">
        <v>1</v>
      </c>
    </row>
    <row r="1124" spans="2:13" x14ac:dyDescent="0.25">
      <c r="B1124" s="1">
        <v>1</v>
      </c>
      <c r="C1124" s="1">
        <v>1</v>
      </c>
      <c r="D1124" s="1">
        <v>9.9999999999999992E-2</v>
      </c>
      <c r="E1124" s="1">
        <v>0.9</v>
      </c>
      <c r="F1124" s="1">
        <v>74</v>
      </c>
      <c r="G1124" s="1">
        <v>0</v>
      </c>
      <c r="H1124" s="1">
        <v>2</v>
      </c>
      <c r="I1124" s="1">
        <v>3</v>
      </c>
      <c r="J1124" s="1">
        <v>0</v>
      </c>
      <c r="K1124" s="1">
        <v>0</v>
      </c>
      <c r="L1124" s="1">
        <v>11672</v>
      </c>
      <c r="M1124" s="1">
        <v>0</v>
      </c>
    </row>
    <row r="1125" spans="2:13" x14ac:dyDescent="0.25">
      <c r="B1125" s="1">
        <v>0</v>
      </c>
      <c r="C1125" s="1">
        <v>0</v>
      </c>
      <c r="D1125" s="1">
        <v>0.9810526315789474</v>
      </c>
      <c r="E1125" s="1">
        <v>1.8947368421052633E-2</v>
      </c>
      <c r="F1125" s="1">
        <v>23</v>
      </c>
      <c r="G1125" s="1">
        <v>1</v>
      </c>
      <c r="H1125" s="1">
        <v>5</v>
      </c>
      <c r="I1125" s="1">
        <v>3</v>
      </c>
      <c r="J1125" s="1">
        <v>1</v>
      </c>
      <c r="K1125" s="1">
        <v>0</v>
      </c>
      <c r="L1125" s="1">
        <v>22168</v>
      </c>
      <c r="M1125" s="1">
        <v>1</v>
      </c>
    </row>
    <row r="1126" spans="2:13" x14ac:dyDescent="0.25">
      <c r="B1126" s="1">
        <v>0</v>
      </c>
      <c r="C1126" s="1">
        <v>0</v>
      </c>
      <c r="D1126" s="1">
        <v>0.99749999999999994</v>
      </c>
      <c r="E1126" s="1">
        <v>2.5000000000000001E-3</v>
      </c>
      <c r="F1126" s="1">
        <v>55</v>
      </c>
      <c r="G1126" s="1">
        <v>1</v>
      </c>
      <c r="H1126" s="1">
        <v>3</v>
      </c>
      <c r="I1126" s="1">
        <v>6</v>
      </c>
      <c r="J1126" s="1">
        <v>0</v>
      </c>
      <c r="K1126" s="1">
        <v>0</v>
      </c>
      <c r="L1126" s="1">
        <v>24765</v>
      </c>
      <c r="M1126" s="1">
        <v>0</v>
      </c>
    </row>
    <row r="1127" spans="2:13" x14ac:dyDescent="0.25">
      <c r="B1127" s="1">
        <v>1</v>
      </c>
      <c r="C1127" s="1">
        <v>1</v>
      </c>
      <c r="D1127" s="1">
        <v>0</v>
      </c>
      <c r="E1127" s="1">
        <v>1</v>
      </c>
      <c r="F1127" s="1">
        <v>78</v>
      </c>
      <c r="G1127" s="1">
        <v>1</v>
      </c>
      <c r="H1127" s="1">
        <v>4</v>
      </c>
      <c r="I1127" s="1">
        <v>4</v>
      </c>
      <c r="J1127" s="1">
        <v>0</v>
      </c>
      <c r="K1127" s="1">
        <v>1</v>
      </c>
      <c r="L1127" s="1">
        <v>19259</v>
      </c>
      <c r="M1127" s="1">
        <v>0</v>
      </c>
    </row>
    <row r="1128" spans="2:13" x14ac:dyDescent="0.25">
      <c r="B1128" s="1">
        <v>0</v>
      </c>
      <c r="C1128" s="1">
        <v>0</v>
      </c>
      <c r="D1128" s="1">
        <v>0.9810526315789474</v>
      </c>
      <c r="E1128" s="1">
        <v>1.8947368421052633E-2</v>
      </c>
      <c r="F1128" s="1">
        <v>24</v>
      </c>
      <c r="G1128" s="1">
        <v>1</v>
      </c>
      <c r="H1128" s="1">
        <v>3</v>
      </c>
      <c r="I1128" s="1">
        <v>0</v>
      </c>
      <c r="J1128" s="1">
        <v>2</v>
      </c>
      <c r="K1128" s="1">
        <v>0</v>
      </c>
      <c r="L1128" s="1">
        <v>10078</v>
      </c>
      <c r="M1128" s="1">
        <v>1</v>
      </c>
    </row>
    <row r="1129" spans="2:13" x14ac:dyDescent="0.25">
      <c r="B1129" s="1">
        <v>0</v>
      </c>
      <c r="C1129" s="1">
        <v>0</v>
      </c>
      <c r="D1129" s="1">
        <v>0.99749999999999994</v>
      </c>
      <c r="E1129" s="1">
        <v>2.5000000000000001E-3</v>
      </c>
      <c r="F1129" s="1">
        <v>60</v>
      </c>
      <c r="G1129" s="1">
        <v>0</v>
      </c>
      <c r="H1129" s="1">
        <v>5</v>
      </c>
      <c r="I1129" s="1">
        <v>5</v>
      </c>
      <c r="J1129" s="1">
        <v>0</v>
      </c>
      <c r="K1129" s="1">
        <v>0</v>
      </c>
      <c r="L1129" s="1">
        <v>20840</v>
      </c>
      <c r="M1129" s="1">
        <v>0</v>
      </c>
    </row>
    <row r="1130" spans="2:13" x14ac:dyDescent="0.25">
      <c r="B1130" s="1">
        <v>0</v>
      </c>
      <c r="C1130" s="1">
        <v>0</v>
      </c>
      <c r="D1130" s="1">
        <v>1</v>
      </c>
      <c r="E1130" s="1">
        <v>0</v>
      </c>
      <c r="F1130" s="1">
        <v>39</v>
      </c>
      <c r="G1130" s="1">
        <v>1</v>
      </c>
      <c r="H1130" s="1">
        <v>6</v>
      </c>
      <c r="I1130" s="1">
        <v>3</v>
      </c>
      <c r="J1130" s="1">
        <v>0</v>
      </c>
      <c r="K1130" s="1">
        <v>0</v>
      </c>
      <c r="L1130" s="1">
        <v>10155</v>
      </c>
      <c r="M1130" s="1">
        <v>0</v>
      </c>
    </row>
    <row r="1131" spans="2:13" x14ac:dyDescent="0.25">
      <c r="B1131" s="1">
        <v>0</v>
      </c>
      <c r="C1131" s="1">
        <v>0</v>
      </c>
      <c r="D1131" s="1">
        <v>1</v>
      </c>
      <c r="E1131" s="1">
        <v>0</v>
      </c>
      <c r="F1131" s="1">
        <v>47</v>
      </c>
      <c r="G1131" s="1">
        <v>0</v>
      </c>
      <c r="H1131" s="1">
        <v>1</v>
      </c>
      <c r="I1131" s="1">
        <v>4</v>
      </c>
      <c r="J1131" s="1">
        <v>0</v>
      </c>
      <c r="K1131" s="1">
        <v>0</v>
      </c>
      <c r="L1131" s="1">
        <v>3951</v>
      </c>
      <c r="M1131" s="1">
        <v>0</v>
      </c>
    </row>
    <row r="1132" spans="2:13" x14ac:dyDescent="0.25">
      <c r="B1132" s="17">
        <v>1</v>
      </c>
      <c r="C1132" s="17">
        <v>0</v>
      </c>
      <c r="D1132" s="17">
        <v>0.36</v>
      </c>
      <c r="E1132" s="17">
        <v>0.64</v>
      </c>
      <c r="F1132" s="17">
        <v>80</v>
      </c>
      <c r="G1132" s="17">
        <v>0</v>
      </c>
      <c r="H1132" s="17">
        <v>7</v>
      </c>
      <c r="I1132" s="17">
        <v>5</v>
      </c>
      <c r="J1132" s="17">
        <v>0</v>
      </c>
      <c r="K1132" s="17">
        <v>0</v>
      </c>
      <c r="L1132" s="17">
        <v>18629</v>
      </c>
      <c r="M1132" s="17">
        <v>0</v>
      </c>
    </row>
    <row r="1133" spans="2:13" x14ac:dyDescent="0.25">
      <c r="B1133" s="1">
        <v>1</v>
      </c>
      <c r="C1133" s="1">
        <v>1</v>
      </c>
      <c r="D1133" s="1">
        <v>0</v>
      </c>
      <c r="E1133" s="1">
        <v>1</v>
      </c>
      <c r="F1133" s="1">
        <v>86</v>
      </c>
      <c r="G1133" s="1">
        <v>1</v>
      </c>
      <c r="H1133" s="1">
        <v>7</v>
      </c>
      <c r="I1133" s="1">
        <v>4</v>
      </c>
      <c r="J1133" s="1">
        <v>4</v>
      </c>
      <c r="K1133" s="1">
        <v>1</v>
      </c>
      <c r="L1133" s="1">
        <v>17680</v>
      </c>
      <c r="M1133" s="1">
        <v>0</v>
      </c>
    </row>
    <row r="1134" spans="2:13" x14ac:dyDescent="0.25">
      <c r="B1134" s="1">
        <v>0</v>
      </c>
      <c r="C1134" s="1">
        <v>0</v>
      </c>
      <c r="D1134" s="1">
        <v>0.96666666666666667</v>
      </c>
      <c r="E1134" s="1">
        <v>3.333333333333334E-2</v>
      </c>
      <c r="F1134" s="1">
        <v>31</v>
      </c>
      <c r="G1134" s="1">
        <v>1</v>
      </c>
      <c r="H1134" s="1">
        <v>4</v>
      </c>
      <c r="I1134" s="1">
        <v>0</v>
      </c>
      <c r="J1134" s="1">
        <v>1</v>
      </c>
      <c r="K1134" s="1">
        <v>0</v>
      </c>
      <c r="L1134" s="1">
        <v>15517</v>
      </c>
      <c r="M1134" s="1">
        <v>1</v>
      </c>
    </row>
    <row r="1135" spans="2:13" x14ac:dyDescent="0.25">
      <c r="B1135" s="1">
        <v>0</v>
      </c>
      <c r="C1135" s="1">
        <v>0</v>
      </c>
      <c r="D1135" s="1">
        <v>1</v>
      </c>
      <c r="E1135" s="1">
        <v>0</v>
      </c>
      <c r="F1135" s="1">
        <v>49</v>
      </c>
      <c r="G1135" s="1">
        <v>0</v>
      </c>
      <c r="H1135" s="1">
        <v>5</v>
      </c>
      <c r="I1135" s="1">
        <v>4</v>
      </c>
      <c r="J1135" s="1">
        <v>0</v>
      </c>
      <c r="K1135" s="1">
        <v>0</v>
      </c>
      <c r="L1135" s="1">
        <v>9754</v>
      </c>
      <c r="M1135" s="1">
        <v>0</v>
      </c>
    </row>
    <row r="1136" spans="2:13" x14ac:dyDescent="0.25">
      <c r="B1136" s="1">
        <v>0</v>
      </c>
      <c r="C1136" s="1">
        <v>0</v>
      </c>
      <c r="D1136" s="1">
        <v>0.96666666666666667</v>
      </c>
      <c r="E1136" s="1">
        <v>3.333333333333334E-2</v>
      </c>
      <c r="F1136" s="1">
        <v>32</v>
      </c>
      <c r="G1136" s="1">
        <v>1</v>
      </c>
      <c r="H1136" s="1">
        <v>1</v>
      </c>
      <c r="I1136" s="1">
        <v>2</v>
      </c>
      <c r="J1136" s="1">
        <v>0</v>
      </c>
      <c r="K1136" s="1">
        <v>0</v>
      </c>
      <c r="L1136" s="1">
        <v>7557</v>
      </c>
      <c r="M1136" s="1">
        <v>0</v>
      </c>
    </row>
    <row r="1137" spans="2:13" x14ac:dyDescent="0.25">
      <c r="B1137" s="17">
        <v>0</v>
      </c>
      <c r="C1137" s="17">
        <v>1</v>
      </c>
      <c r="D1137" s="17">
        <v>0.8571428571428571</v>
      </c>
      <c r="E1137" s="17">
        <v>0.14285714285714288</v>
      </c>
      <c r="F1137" s="17">
        <v>78</v>
      </c>
      <c r="G1137" s="17">
        <v>0</v>
      </c>
      <c r="H1137" s="17">
        <v>16</v>
      </c>
      <c r="I1137" s="17">
        <v>5</v>
      </c>
      <c r="J1137" s="17">
        <v>0</v>
      </c>
      <c r="K1137" s="17">
        <v>0</v>
      </c>
      <c r="L1137" s="17">
        <v>26806</v>
      </c>
      <c r="M1137" s="17">
        <v>0</v>
      </c>
    </row>
    <row r="1138" spans="2:13" x14ac:dyDescent="0.25">
      <c r="B1138" s="1">
        <v>1</v>
      </c>
      <c r="C1138" s="1">
        <v>1</v>
      </c>
      <c r="D1138" s="1">
        <v>0</v>
      </c>
      <c r="E1138" s="1">
        <v>1</v>
      </c>
      <c r="F1138" s="1">
        <v>86</v>
      </c>
      <c r="G1138" s="1">
        <v>1</v>
      </c>
      <c r="H1138" s="1">
        <v>2</v>
      </c>
      <c r="I1138" s="1">
        <v>3</v>
      </c>
      <c r="J1138" s="1">
        <v>0</v>
      </c>
      <c r="K1138" s="1">
        <v>1</v>
      </c>
      <c r="L1138" s="1">
        <v>9611</v>
      </c>
      <c r="M1138" s="1">
        <v>0</v>
      </c>
    </row>
    <row r="1139" spans="2:13" x14ac:dyDescent="0.25">
      <c r="B1139" s="1">
        <v>0</v>
      </c>
      <c r="C1139" s="1">
        <v>0</v>
      </c>
      <c r="D1139" s="1">
        <v>0.9810526315789474</v>
      </c>
      <c r="E1139" s="1">
        <v>1.8947368421052633E-2</v>
      </c>
      <c r="F1139" s="1">
        <v>0</v>
      </c>
      <c r="G1139" s="1">
        <v>0</v>
      </c>
      <c r="H1139" s="1">
        <v>2</v>
      </c>
      <c r="I1139" s="1">
        <v>0</v>
      </c>
      <c r="J1139" s="1">
        <v>0</v>
      </c>
      <c r="K1139" s="1">
        <v>0</v>
      </c>
      <c r="L1139" s="1">
        <v>1463</v>
      </c>
      <c r="M1139" s="1">
        <v>0</v>
      </c>
    </row>
    <row r="1140" spans="2:13" x14ac:dyDescent="0.25">
      <c r="B1140" s="1">
        <v>1</v>
      </c>
      <c r="C1140" s="1">
        <v>1</v>
      </c>
      <c r="D1140" s="1">
        <v>9.9999999999999992E-2</v>
      </c>
      <c r="E1140" s="1">
        <v>0.9</v>
      </c>
      <c r="F1140" s="1">
        <v>74</v>
      </c>
      <c r="G1140" s="1">
        <v>0</v>
      </c>
      <c r="H1140" s="1">
        <v>1</v>
      </c>
      <c r="I1140" s="1">
        <v>5</v>
      </c>
      <c r="J1140" s="1">
        <v>0</v>
      </c>
      <c r="K1140" s="1">
        <v>0</v>
      </c>
      <c r="L1140" s="1">
        <v>7417</v>
      </c>
      <c r="M1140" s="1">
        <v>0</v>
      </c>
    </row>
    <row r="1141" spans="2:13" x14ac:dyDescent="0.25">
      <c r="B1141" s="1">
        <v>0</v>
      </c>
      <c r="C1141" s="1">
        <v>0</v>
      </c>
      <c r="D1141" s="1">
        <v>0.9810526315789474</v>
      </c>
      <c r="E1141" s="1">
        <v>1.8947368421052633E-2</v>
      </c>
      <c r="F1141" s="1">
        <v>27</v>
      </c>
      <c r="G1141" s="1">
        <v>0</v>
      </c>
      <c r="H1141" s="1">
        <v>2</v>
      </c>
      <c r="I1141" s="1">
        <v>1</v>
      </c>
      <c r="J1141" s="1">
        <v>0</v>
      </c>
      <c r="K1141" s="1">
        <v>0</v>
      </c>
      <c r="L1141" s="1">
        <v>5645</v>
      </c>
      <c r="M1141" s="1">
        <v>0</v>
      </c>
    </row>
    <row r="1142" spans="2:13" x14ac:dyDescent="0.25">
      <c r="B1142" s="1">
        <v>0</v>
      </c>
      <c r="C1142" s="1">
        <v>0</v>
      </c>
      <c r="D1142" s="1">
        <v>0.99749999999999994</v>
      </c>
      <c r="E1142" s="1">
        <v>2.5000000000000001E-3</v>
      </c>
      <c r="F1142" s="1">
        <v>66</v>
      </c>
      <c r="G1142" s="1">
        <v>1</v>
      </c>
      <c r="H1142" s="1">
        <v>4</v>
      </c>
      <c r="I1142" s="1">
        <v>3</v>
      </c>
      <c r="J1142" s="1">
        <v>1</v>
      </c>
      <c r="K1142" s="1">
        <v>0</v>
      </c>
      <c r="L1142" s="1">
        <v>15581</v>
      </c>
      <c r="M1142" s="1">
        <v>0</v>
      </c>
    </row>
    <row r="1143" spans="2:13" x14ac:dyDescent="0.25">
      <c r="B1143" s="1">
        <v>0</v>
      </c>
      <c r="C1143" s="1">
        <v>0</v>
      </c>
      <c r="D1143" s="1">
        <v>0.68</v>
      </c>
      <c r="E1143" s="1">
        <v>0.32</v>
      </c>
      <c r="F1143" s="1">
        <v>84</v>
      </c>
      <c r="G1143" s="1">
        <v>0</v>
      </c>
      <c r="H1143" s="1">
        <v>1</v>
      </c>
      <c r="I1143" s="1">
        <v>2</v>
      </c>
      <c r="J1143" s="1">
        <v>0</v>
      </c>
      <c r="K1143" s="1">
        <v>0</v>
      </c>
      <c r="L1143" s="1">
        <v>7292</v>
      </c>
      <c r="M1143" s="1">
        <v>0</v>
      </c>
    </row>
    <row r="1144" spans="2:13" x14ac:dyDescent="0.25">
      <c r="B1144" s="1">
        <v>0</v>
      </c>
      <c r="C1144" s="1">
        <v>0</v>
      </c>
      <c r="D1144" s="1">
        <v>0.8571428571428571</v>
      </c>
      <c r="E1144" s="1">
        <v>0.14285714285714285</v>
      </c>
      <c r="F1144" s="1">
        <v>51</v>
      </c>
      <c r="G1144" s="1">
        <v>0</v>
      </c>
      <c r="H1144" s="1">
        <v>6</v>
      </c>
      <c r="I1144" s="1">
        <v>3</v>
      </c>
      <c r="J1144" s="1">
        <v>0</v>
      </c>
      <c r="K1144" s="1">
        <v>0</v>
      </c>
      <c r="L1144" s="1">
        <v>9546</v>
      </c>
      <c r="M1144" s="1">
        <v>0</v>
      </c>
    </row>
    <row r="1145" spans="2:13" x14ac:dyDescent="0.25">
      <c r="B1145" s="1">
        <v>0</v>
      </c>
      <c r="C1145" s="1">
        <v>0</v>
      </c>
      <c r="D1145" s="1">
        <v>0.99749999999999994</v>
      </c>
      <c r="E1145" s="1">
        <v>2.5000000000000001E-3</v>
      </c>
      <c r="F1145" s="1">
        <v>56</v>
      </c>
      <c r="G1145" s="1">
        <v>1</v>
      </c>
      <c r="H1145" s="1">
        <v>3</v>
      </c>
      <c r="I1145" s="1">
        <v>4</v>
      </c>
      <c r="J1145" s="1">
        <v>0</v>
      </c>
      <c r="K1145" s="1">
        <v>0</v>
      </c>
      <c r="L1145" s="1">
        <v>11777</v>
      </c>
      <c r="M1145" s="1">
        <v>0</v>
      </c>
    </row>
    <row r="1146" spans="2:13" x14ac:dyDescent="0.25">
      <c r="B1146" s="1">
        <v>0</v>
      </c>
      <c r="C1146" s="1">
        <v>0</v>
      </c>
      <c r="D1146" s="1">
        <v>0.99749999999999994</v>
      </c>
      <c r="E1146" s="1">
        <v>2.5000000000000001E-3</v>
      </c>
      <c r="F1146" s="1">
        <v>71</v>
      </c>
      <c r="G1146" s="1">
        <v>1</v>
      </c>
      <c r="H1146" s="1">
        <v>3</v>
      </c>
      <c r="I1146" s="1">
        <v>2</v>
      </c>
      <c r="J1146" s="1">
        <v>3</v>
      </c>
      <c r="K1146" s="1">
        <v>0</v>
      </c>
      <c r="L1146" s="1">
        <v>40590</v>
      </c>
      <c r="M1146" s="1">
        <v>1</v>
      </c>
    </row>
    <row r="1147" spans="2:13" x14ac:dyDescent="0.25">
      <c r="B1147" s="1">
        <v>1</v>
      </c>
      <c r="C1147" s="1">
        <v>1</v>
      </c>
      <c r="D1147" s="1">
        <v>0.19999999999999996</v>
      </c>
      <c r="E1147" s="1">
        <v>0.79999999999999993</v>
      </c>
      <c r="F1147" s="1">
        <v>81</v>
      </c>
      <c r="G1147" s="1">
        <v>1</v>
      </c>
      <c r="H1147" s="1">
        <v>10</v>
      </c>
      <c r="I1147" s="1">
        <v>6</v>
      </c>
      <c r="J1147" s="1">
        <v>2</v>
      </c>
      <c r="K1147" s="1">
        <v>0</v>
      </c>
      <c r="L1147" s="1">
        <v>28716</v>
      </c>
      <c r="M1147" s="1">
        <v>0</v>
      </c>
    </row>
    <row r="1148" spans="2:13" x14ac:dyDescent="0.25">
      <c r="B1148" s="1">
        <v>0</v>
      </c>
      <c r="C1148" s="1">
        <v>0</v>
      </c>
      <c r="D1148" s="1">
        <v>0.9810526315789474</v>
      </c>
      <c r="E1148" s="1">
        <v>1.8947368421052633E-2</v>
      </c>
      <c r="F1148" s="1">
        <v>20</v>
      </c>
      <c r="G1148" s="1">
        <v>1</v>
      </c>
      <c r="H1148" s="1">
        <v>2</v>
      </c>
      <c r="I1148" s="1">
        <v>0</v>
      </c>
      <c r="J1148" s="1">
        <v>1</v>
      </c>
      <c r="K1148" s="1">
        <v>0</v>
      </c>
      <c r="L1148" s="1">
        <v>5365</v>
      </c>
      <c r="M1148" s="1">
        <v>0</v>
      </c>
    </row>
    <row r="1149" spans="2:13" x14ac:dyDescent="0.25">
      <c r="B1149" s="1">
        <v>0</v>
      </c>
      <c r="C1149" s="1">
        <v>0</v>
      </c>
      <c r="D1149" s="1">
        <v>0.9810526315789474</v>
      </c>
      <c r="E1149" s="1">
        <v>1.8947368421052633E-2</v>
      </c>
      <c r="F1149" s="1">
        <v>24</v>
      </c>
      <c r="G1149" s="1">
        <v>1</v>
      </c>
      <c r="H1149" s="1">
        <v>2</v>
      </c>
      <c r="I1149" s="1">
        <v>0</v>
      </c>
      <c r="J1149" s="1">
        <v>1</v>
      </c>
      <c r="K1149" s="1">
        <v>0</v>
      </c>
      <c r="L1149" s="1">
        <v>5797</v>
      </c>
      <c r="M1149" s="1">
        <v>0</v>
      </c>
    </row>
    <row r="1150" spans="2:13" x14ac:dyDescent="0.25">
      <c r="B1150" s="1">
        <v>0</v>
      </c>
      <c r="C1150" s="1">
        <v>0</v>
      </c>
      <c r="D1150" s="1">
        <v>0.96666666666666667</v>
      </c>
      <c r="E1150" s="1">
        <v>3.333333333333334E-2</v>
      </c>
      <c r="F1150" s="1">
        <v>29</v>
      </c>
      <c r="G1150" s="1">
        <v>1</v>
      </c>
      <c r="H1150" s="1">
        <v>2</v>
      </c>
      <c r="I1150" s="1">
        <v>0</v>
      </c>
      <c r="J1150" s="1">
        <v>2</v>
      </c>
      <c r="K1150" s="1">
        <v>0</v>
      </c>
      <c r="L1150" s="1">
        <v>6610</v>
      </c>
      <c r="M1150" s="1">
        <v>0</v>
      </c>
    </row>
    <row r="1151" spans="2:13" x14ac:dyDescent="0.25">
      <c r="B1151" s="1">
        <v>0</v>
      </c>
      <c r="C1151" s="1">
        <v>0</v>
      </c>
      <c r="D1151" s="1">
        <v>0.9810526315789474</v>
      </c>
      <c r="E1151" s="1">
        <v>1.8947368421052633E-2</v>
      </c>
      <c r="F1151" s="1">
        <v>0</v>
      </c>
      <c r="G1151" s="1">
        <v>0</v>
      </c>
      <c r="H1151" s="1">
        <v>3</v>
      </c>
      <c r="I1151" s="1">
        <v>0</v>
      </c>
      <c r="J1151" s="1">
        <v>0</v>
      </c>
      <c r="K1151" s="1">
        <v>0</v>
      </c>
      <c r="L1151" s="1">
        <v>1614</v>
      </c>
      <c r="M1151" s="1">
        <v>0</v>
      </c>
    </row>
    <row r="1152" spans="2:13" x14ac:dyDescent="0.25">
      <c r="B1152" s="1">
        <v>0</v>
      </c>
      <c r="C1152" s="1">
        <v>0</v>
      </c>
      <c r="D1152" s="1">
        <v>0.9810526315789474</v>
      </c>
      <c r="E1152" s="1">
        <v>1.8947368421052633E-2</v>
      </c>
      <c r="F1152" s="1">
        <v>18</v>
      </c>
      <c r="G1152" s="1">
        <v>1</v>
      </c>
      <c r="H1152" s="1">
        <v>2</v>
      </c>
      <c r="I1152" s="1">
        <v>0</v>
      </c>
      <c r="J1152" s="1">
        <v>1</v>
      </c>
      <c r="K1152" s="1">
        <v>0</v>
      </c>
      <c r="L1152" s="1">
        <v>6610</v>
      </c>
      <c r="M1152" s="1">
        <v>0</v>
      </c>
    </row>
    <row r="1153" spans="2:13" x14ac:dyDescent="0.25">
      <c r="B1153" s="1">
        <v>0</v>
      </c>
      <c r="C1153" s="1">
        <v>0</v>
      </c>
      <c r="D1153" s="1">
        <v>0.99749999999999994</v>
      </c>
      <c r="E1153" s="1">
        <v>2.5000000000000001E-3</v>
      </c>
      <c r="F1153" s="1">
        <v>70</v>
      </c>
      <c r="G1153" s="1">
        <v>1</v>
      </c>
      <c r="H1153" s="1">
        <v>3</v>
      </c>
      <c r="I1153" s="1">
        <v>5</v>
      </c>
      <c r="J1153" s="1">
        <v>1</v>
      </c>
      <c r="K1153" s="1">
        <v>0</v>
      </c>
      <c r="L1153" s="1">
        <v>15530</v>
      </c>
      <c r="M1153" s="1">
        <v>0</v>
      </c>
    </row>
    <row r="1154" spans="2:13" x14ac:dyDescent="0.25">
      <c r="B1154" s="1">
        <v>0</v>
      </c>
      <c r="C1154" s="1">
        <v>0</v>
      </c>
      <c r="D1154" s="1">
        <v>0.9810526315789474</v>
      </c>
      <c r="E1154" s="1">
        <v>1.8947368421052633E-2</v>
      </c>
      <c r="F1154" s="1">
        <v>0</v>
      </c>
      <c r="G1154" s="1">
        <v>0</v>
      </c>
      <c r="H1154" s="1">
        <v>2</v>
      </c>
      <c r="I1154" s="1">
        <v>0</v>
      </c>
      <c r="J1154" s="1">
        <v>0</v>
      </c>
      <c r="K1154" s="1">
        <v>0</v>
      </c>
      <c r="L1154" s="1">
        <v>2047</v>
      </c>
      <c r="M1154" s="1">
        <v>0</v>
      </c>
    </row>
    <row r="1155" spans="2:13" x14ac:dyDescent="0.25">
      <c r="B1155" s="17">
        <v>1</v>
      </c>
      <c r="C1155" s="17">
        <v>0</v>
      </c>
      <c r="D1155" s="17">
        <v>0.19999999999999998</v>
      </c>
      <c r="E1155" s="17">
        <v>0.79999999999999993</v>
      </c>
      <c r="F1155" s="17">
        <v>37</v>
      </c>
      <c r="G1155" s="17">
        <v>1</v>
      </c>
      <c r="H1155" s="17">
        <v>8</v>
      </c>
      <c r="I1155" s="17">
        <v>4</v>
      </c>
      <c r="J1155" s="17">
        <v>0</v>
      </c>
      <c r="K1155" s="17">
        <v>0</v>
      </c>
      <c r="L1155" s="17">
        <v>11752</v>
      </c>
      <c r="M1155" s="17">
        <v>0</v>
      </c>
    </row>
    <row r="1156" spans="2:13" x14ac:dyDescent="0.25">
      <c r="B1156" s="1">
        <v>0</v>
      </c>
      <c r="C1156" s="1">
        <v>0</v>
      </c>
      <c r="D1156" s="1">
        <v>0.9810526315789474</v>
      </c>
      <c r="E1156" s="1">
        <v>1.8947368421052633E-2</v>
      </c>
      <c r="F1156" s="1">
        <v>24</v>
      </c>
      <c r="G1156" s="1">
        <v>1</v>
      </c>
      <c r="H1156" s="1">
        <v>4</v>
      </c>
      <c r="I1156" s="1">
        <v>0</v>
      </c>
      <c r="J1156" s="1">
        <v>1</v>
      </c>
      <c r="K1156" s="1">
        <v>0</v>
      </c>
      <c r="L1156" s="1">
        <v>17402</v>
      </c>
      <c r="M1156" s="1">
        <v>1</v>
      </c>
    </row>
    <row r="1157" spans="2:13" x14ac:dyDescent="0.25">
      <c r="B1157" s="1">
        <v>1</v>
      </c>
      <c r="C1157" s="1">
        <v>1</v>
      </c>
      <c r="D1157" s="1">
        <v>9.9999999999999992E-2</v>
      </c>
      <c r="E1157" s="1">
        <v>0.9</v>
      </c>
      <c r="F1157" s="1">
        <v>74</v>
      </c>
      <c r="G1157" s="1">
        <v>0</v>
      </c>
      <c r="H1157" s="1">
        <v>3</v>
      </c>
      <c r="I1157" s="1">
        <v>6</v>
      </c>
      <c r="J1157" s="1">
        <v>0</v>
      </c>
      <c r="K1157" s="1">
        <v>0</v>
      </c>
      <c r="L1157" s="1">
        <v>16554</v>
      </c>
      <c r="M1157" s="1">
        <v>0</v>
      </c>
    </row>
    <row r="1158" spans="2:13" x14ac:dyDescent="0.25">
      <c r="B1158" s="1">
        <v>0</v>
      </c>
      <c r="C1158" s="1">
        <v>0</v>
      </c>
      <c r="D1158" s="1">
        <v>0.99749999999999994</v>
      </c>
      <c r="E1158" s="1">
        <v>2.5000000000000001E-3</v>
      </c>
      <c r="F1158" s="1">
        <v>73</v>
      </c>
      <c r="G1158" s="1">
        <v>1</v>
      </c>
      <c r="H1158" s="1">
        <v>16</v>
      </c>
      <c r="I1158" s="1">
        <v>3</v>
      </c>
      <c r="J1158" s="1">
        <v>0</v>
      </c>
      <c r="K1158" s="1">
        <v>0</v>
      </c>
      <c r="L1158" s="1">
        <v>24979</v>
      </c>
      <c r="M1158" s="1">
        <v>0</v>
      </c>
    </row>
    <row r="1159" spans="2:13" x14ac:dyDescent="0.25">
      <c r="B1159" s="1">
        <v>1</v>
      </c>
      <c r="C1159" s="1">
        <v>1</v>
      </c>
      <c r="D1159" s="1">
        <v>0</v>
      </c>
      <c r="E1159" s="1">
        <v>1</v>
      </c>
      <c r="F1159" s="1">
        <v>51</v>
      </c>
      <c r="G1159" s="1">
        <v>1</v>
      </c>
      <c r="H1159" s="1">
        <v>4</v>
      </c>
      <c r="I1159" s="1">
        <v>3</v>
      </c>
      <c r="J1159" s="1">
        <v>1</v>
      </c>
      <c r="K1159" s="1">
        <v>1</v>
      </c>
      <c r="L1159" s="1">
        <v>24408</v>
      </c>
      <c r="M1159" s="1">
        <v>1</v>
      </c>
    </row>
    <row r="1160" spans="2:13" x14ac:dyDescent="0.25">
      <c r="B1160" s="1">
        <v>0</v>
      </c>
      <c r="C1160" s="1">
        <v>0</v>
      </c>
      <c r="D1160" s="1">
        <v>1</v>
      </c>
      <c r="E1160" s="1">
        <v>0</v>
      </c>
      <c r="F1160" s="1">
        <v>47</v>
      </c>
      <c r="G1160" s="1">
        <v>0</v>
      </c>
      <c r="H1160" s="1">
        <v>14</v>
      </c>
      <c r="I1160" s="1">
        <v>6</v>
      </c>
      <c r="J1160" s="1">
        <v>0</v>
      </c>
      <c r="K1160" s="1">
        <v>0</v>
      </c>
      <c r="L1160" s="1">
        <v>28033</v>
      </c>
      <c r="M1160" s="1">
        <v>0</v>
      </c>
    </row>
    <row r="1161" spans="2:13" x14ac:dyDescent="0.25">
      <c r="B1161" s="1">
        <v>1</v>
      </c>
      <c r="C1161" s="1">
        <v>1</v>
      </c>
      <c r="D1161" s="1">
        <v>0.19999999999999998</v>
      </c>
      <c r="E1161" s="1">
        <v>0.79999999999999993</v>
      </c>
      <c r="F1161" s="1">
        <v>36</v>
      </c>
      <c r="G1161" s="1">
        <v>1</v>
      </c>
      <c r="H1161" s="1">
        <v>3</v>
      </c>
      <c r="I1161" s="1">
        <v>2</v>
      </c>
      <c r="J1161" s="1">
        <v>2</v>
      </c>
      <c r="K1161" s="1">
        <v>0</v>
      </c>
      <c r="L1161" s="1">
        <v>12271</v>
      </c>
      <c r="M1161" s="1">
        <v>1</v>
      </c>
    </row>
    <row r="1162" spans="2:13" x14ac:dyDescent="0.25">
      <c r="B1162" s="1">
        <v>0</v>
      </c>
      <c r="C1162" s="1">
        <v>0</v>
      </c>
      <c r="D1162" s="1">
        <v>0.9810526315789474</v>
      </c>
      <c r="E1162" s="1">
        <v>1.8947368421052633E-2</v>
      </c>
      <c r="F1162" s="1">
        <v>0</v>
      </c>
      <c r="G1162" s="1">
        <v>1</v>
      </c>
      <c r="H1162" s="1">
        <v>5</v>
      </c>
      <c r="I1162" s="1">
        <v>0</v>
      </c>
      <c r="J1162" s="1">
        <v>1</v>
      </c>
      <c r="K1162" s="1">
        <v>0</v>
      </c>
      <c r="L1162" s="1">
        <v>9287</v>
      </c>
      <c r="M1162" s="1">
        <v>0</v>
      </c>
    </row>
    <row r="1163" spans="2:13" x14ac:dyDescent="0.25">
      <c r="B1163" s="17">
        <v>0</v>
      </c>
      <c r="C1163" s="17">
        <v>1</v>
      </c>
      <c r="D1163" s="17">
        <v>0.68</v>
      </c>
      <c r="E1163" s="17">
        <v>0.32</v>
      </c>
      <c r="F1163" s="17">
        <v>89</v>
      </c>
      <c r="G1163" s="17">
        <v>0</v>
      </c>
      <c r="H1163" s="17">
        <v>2</v>
      </c>
      <c r="I1163" s="17">
        <v>4</v>
      </c>
      <c r="J1163" s="17">
        <v>0</v>
      </c>
      <c r="K1163" s="17">
        <v>0</v>
      </c>
      <c r="L1163" s="17">
        <v>6948</v>
      </c>
      <c r="M1163" s="17">
        <v>0</v>
      </c>
    </row>
    <row r="1164" spans="2:13" x14ac:dyDescent="0.25">
      <c r="B1164" s="1">
        <v>0</v>
      </c>
      <c r="C1164" s="1">
        <v>0</v>
      </c>
      <c r="D1164" s="1">
        <v>0.68</v>
      </c>
      <c r="E1164" s="1">
        <v>0.32</v>
      </c>
      <c r="F1164" s="1">
        <v>90</v>
      </c>
      <c r="G1164" s="1">
        <v>1</v>
      </c>
      <c r="H1164" s="1">
        <v>2</v>
      </c>
      <c r="I1164" s="1">
        <v>1</v>
      </c>
      <c r="J1164" s="1">
        <v>2</v>
      </c>
      <c r="K1164" s="1">
        <v>0</v>
      </c>
      <c r="L1164" s="1">
        <v>9732</v>
      </c>
      <c r="M1164" s="1">
        <v>0</v>
      </c>
    </row>
    <row r="1165" spans="2:13" x14ac:dyDescent="0.25">
      <c r="B1165" s="1">
        <v>0</v>
      </c>
      <c r="C1165" s="1">
        <v>0</v>
      </c>
      <c r="D1165" s="1">
        <v>0.9810526315789474</v>
      </c>
      <c r="E1165" s="1">
        <v>1.8947368421052633E-2</v>
      </c>
      <c r="F1165" s="1">
        <v>0</v>
      </c>
      <c r="G1165" s="1">
        <v>0</v>
      </c>
      <c r="H1165" s="1">
        <v>2</v>
      </c>
      <c r="I1165" s="1">
        <v>0</v>
      </c>
      <c r="J1165" s="1">
        <v>0</v>
      </c>
      <c r="K1165" s="1">
        <v>0</v>
      </c>
      <c r="L1165" s="1">
        <v>1814</v>
      </c>
      <c r="M1165" s="1">
        <v>0</v>
      </c>
    </row>
    <row r="1166" spans="2:13" x14ac:dyDescent="0.25">
      <c r="B1166" s="1">
        <v>0</v>
      </c>
      <c r="C1166" s="1">
        <v>0</v>
      </c>
      <c r="D1166" s="1">
        <v>0.9810526315789474</v>
      </c>
      <c r="E1166" s="1">
        <v>1.8947368421052633E-2</v>
      </c>
      <c r="F1166" s="1">
        <v>15</v>
      </c>
      <c r="G1166" s="1">
        <v>1</v>
      </c>
      <c r="H1166" s="1">
        <v>2</v>
      </c>
      <c r="I1166" s="1">
        <v>0</v>
      </c>
      <c r="J1166" s="1">
        <v>1</v>
      </c>
      <c r="K1166" s="1">
        <v>0</v>
      </c>
      <c r="L1166" s="1">
        <v>4986</v>
      </c>
      <c r="M1166" s="1">
        <v>0</v>
      </c>
    </row>
    <row r="1167" spans="2:13" x14ac:dyDescent="0.25">
      <c r="B1167" s="1">
        <v>0</v>
      </c>
      <c r="C1167" s="1">
        <v>0</v>
      </c>
      <c r="D1167" s="1">
        <v>0.9810526315789474</v>
      </c>
      <c r="E1167" s="1">
        <v>1.8947368421052633E-2</v>
      </c>
      <c r="F1167" s="1">
        <v>22</v>
      </c>
      <c r="G1167" s="1">
        <v>1</v>
      </c>
      <c r="H1167" s="1">
        <v>10</v>
      </c>
      <c r="I1167" s="1">
        <v>0</v>
      </c>
      <c r="J1167" s="1">
        <v>1</v>
      </c>
      <c r="K1167" s="1">
        <v>0</v>
      </c>
      <c r="L1167" s="1">
        <v>21816</v>
      </c>
      <c r="M1167" s="1">
        <v>0</v>
      </c>
    </row>
    <row r="1168" spans="2:13" x14ac:dyDescent="0.25">
      <c r="B1168" s="1">
        <v>0</v>
      </c>
      <c r="C1168" s="1">
        <v>0</v>
      </c>
      <c r="D1168" s="1">
        <v>0.9810526315789474</v>
      </c>
      <c r="E1168" s="1">
        <v>1.8947368421052633E-2</v>
      </c>
      <c r="F1168" s="1">
        <v>0</v>
      </c>
      <c r="G1168" s="1">
        <v>1</v>
      </c>
      <c r="H1168" s="1">
        <v>3</v>
      </c>
      <c r="I1168" s="1">
        <v>0</v>
      </c>
      <c r="J1168" s="1">
        <v>1</v>
      </c>
      <c r="K1168" s="1">
        <v>0</v>
      </c>
      <c r="L1168" s="1">
        <v>8842</v>
      </c>
      <c r="M1168" s="1">
        <v>0</v>
      </c>
    </row>
    <row r="1169" spans="2:13" x14ac:dyDescent="0.25">
      <c r="B1169" s="1">
        <v>0</v>
      </c>
      <c r="C1169" s="1">
        <v>0</v>
      </c>
      <c r="D1169" s="1">
        <v>0.9810526315789474</v>
      </c>
      <c r="E1169" s="1">
        <v>1.8947368421052633E-2</v>
      </c>
      <c r="F1169" s="1">
        <v>17</v>
      </c>
      <c r="G1169" s="1">
        <v>1</v>
      </c>
      <c r="H1169" s="1">
        <v>2</v>
      </c>
      <c r="I1169" s="1">
        <v>0</v>
      </c>
      <c r="J1169" s="1">
        <v>1</v>
      </c>
      <c r="K1169" s="1">
        <v>0</v>
      </c>
      <c r="L1169" s="1">
        <v>8925</v>
      </c>
      <c r="M1169" s="1">
        <v>0</v>
      </c>
    </row>
    <row r="1170" spans="2:13" x14ac:dyDescent="0.25">
      <c r="B1170" s="1">
        <v>0</v>
      </c>
      <c r="C1170" s="1">
        <v>0</v>
      </c>
      <c r="D1170" s="1">
        <v>0.99749999999999994</v>
      </c>
      <c r="E1170" s="1">
        <v>2.5000000000000001E-3</v>
      </c>
      <c r="F1170" s="1">
        <v>66</v>
      </c>
      <c r="G1170" s="1">
        <v>1</v>
      </c>
      <c r="H1170" s="1">
        <v>2</v>
      </c>
      <c r="I1170" s="1">
        <v>4</v>
      </c>
      <c r="J1170" s="1">
        <v>0</v>
      </c>
      <c r="K1170" s="1">
        <v>0</v>
      </c>
      <c r="L1170" s="1">
        <v>10184</v>
      </c>
      <c r="M1170" s="1">
        <v>0</v>
      </c>
    </row>
    <row r="1171" spans="2:13" x14ac:dyDescent="0.25">
      <c r="B1171" s="1">
        <v>0</v>
      </c>
      <c r="C1171" s="1">
        <v>0</v>
      </c>
      <c r="D1171" s="1">
        <v>0.9810526315789474</v>
      </c>
      <c r="E1171" s="1">
        <v>1.8947368421052633E-2</v>
      </c>
      <c r="F1171" s="1">
        <v>25</v>
      </c>
      <c r="G1171" s="1">
        <v>1</v>
      </c>
      <c r="H1171" s="1">
        <v>2</v>
      </c>
      <c r="I1171" s="1">
        <v>0</v>
      </c>
      <c r="J1171" s="1">
        <v>3</v>
      </c>
      <c r="K1171" s="1">
        <v>0</v>
      </c>
      <c r="L1171" s="1">
        <v>6954</v>
      </c>
      <c r="M1171" s="1">
        <v>0</v>
      </c>
    </row>
    <row r="1172" spans="2:13" x14ac:dyDescent="0.25">
      <c r="B1172" s="1">
        <v>0</v>
      </c>
      <c r="C1172" s="1">
        <v>0</v>
      </c>
      <c r="D1172" s="1">
        <v>1</v>
      </c>
      <c r="E1172" s="1">
        <v>0</v>
      </c>
      <c r="F1172" s="1">
        <v>91</v>
      </c>
      <c r="G1172" s="1">
        <v>0</v>
      </c>
      <c r="H1172" s="1">
        <v>5</v>
      </c>
      <c r="I1172" s="1">
        <v>4</v>
      </c>
      <c r="J1172" s="1">
        <v>0</v>
      </c>
      <c r="K1172" s="1">
        <v>0</v>
      </c>
      <c r="L1172" s="1">
        <v>20350</v>
      </c>
      <c r="M1172" s="1">
        <v>0</v>
      </c>
    </row>
    <row r="1173" spans="2:13" x14ac:dyDescent="0.25">
      <c r="B1173" s="17">
        <v>1</v>
      </c>
      <c r="C1173" s="17">
        <v>0</v>
      </c>
      <c r="D1173" s="17">
        <v>9.9999999999999992E-2</v>
      </c>
      <c r="E1173" s="17">
        <v>0.9</v>
      </c>
      <c r="F1173" s="17">
        <v>74</v>
      </c>
      <c r="G1173" s="17">
        <v>1</v>
      </c>
      <c r="H1173" s="17">
        <v>29</v>
      </c>
      <c r="I1173" s="17">
        <v>6</v>
      </c>
      <c r="J1173" s="17">
        <v>2</v>
      </c>
      <c r="K1173" s="17">
        <v>0</v>
      </c>
      <c r="L1173" s="17">
        <v>84590</v>
      </c>
      <c r="M1173" s="17">
        <v>0</v>
      </c>
    </row>
    <row r="1174" spans="2:13" x14ac:dyDescent="0.25">
      <c r="B1174" s="1">
        <v>0</v>
      </c>
      <c r="C1174" s="1">
        <v>0</v>
      </c>
      <c r="D1174" s="1">
        <v>0.99749999999999994</v>
      </c>
      <c r="E1174" s="1">
        <v>2.5000000000000001E-3</v>
      </c>
      <c r="F1174" s="1">
        <v>57</v>
      </c>
      <c r="G1174" s="1">
        <v>0</v>
      </c>
      <c r="H1174" s="1">
        <v>3</v>
      </c>
      <c r="I1174" s="1">
        <v>2</v>
      </c>
      <c r="J1174" s="1">
        <v>0</v>
      </c>
      <c r="K1174" s="1">
        <v>0</v>
      </c>
      <c r="L1174" s="1">
        <v>18746</v>
      </c>
      <c r="M1174" s="1">
        <v>0</v>
      </c>
    </row>
    <row r="1175" spans="2:13" x14ac:dyDescent="0.25">
      <c r="B1175" s="1">
        <v>1</v>
      </c>
      <c r="C1175" s="1">
        <v>1</v>
      </c>
      <c r="D1175" s="1">
        <v>0</v>
      </c>
      <c r="E1175" s="1">
        <v>1</v>
      </c>
      <c r="F1175" s="1">
        <v>78</v>
      </c>
      <c r="G1175" s="1">
        <v>1</v>
      </c>
      <c r="H1175" s="1">
        <v>20</v>
      </c>
      <c r="I1175" s="1">
        <v>5</v>
      </c>
      <c r="J1175" s="1">
        <v>0</v>
      </c>
      <c r="K1175" s="1">
        <v>1</v>
      </c>
      <c r="L1175" s="1">
        <v>25492</v>
      </c>
      <c r="M1175" s="1">
        <v>0</v>
      </c>
    </row>
    <row r="1176" spans="2:13" x14ac:dyDescent="0.25">
      <c r="B1176" s="1">
        <v>0</v>
      </c>
      <c r="C1176" s="1">
        <v>0</v>
      </c>
      <c r="D1176" s="1">
        <v>0.9810526315789474</v>
      </c>
      <c r="E1176" s="1">
        <v>1.8947368421052633E-2</v>
      </c>
      <c r="F1176" s="1">
        <v>16</v>
      </c>
      <c r="G1176" s="1">
        <v>1</v>
      </c>
      <c r="H1176" s="1">
        <v>2</v>
      </c>
      <c r="I1176" s="1">
        <v>0</v>
      </c>
      <c r="J1176" s="1">
        <v>2</v>
      </c>
      <c r="K1176" s="1">
        <v>0</v>
      </c>
      <c r="L1176" s="1">
        <v>5104</v>
      </c>
      <c r="M1176" s="1">
        <v>0</v>
      </c>
    </row>
    <row r="1177" spans="2:13" x14ac:dyDescent="0.25">
      <c r="B1177" s="1">
        <v>1</v>
      </c>
      <c r="C1177" s="1">
        <v>1</v>
      </c>
      <c r="D1177" s="1">
        <v>0.36</v>
      </c>
      <c r="E1177" s="1">
        <v>0.64</v>
      </c>
      <c r="F1177" s="1">
        <v>83</v>
      </c>
      <c r="G1177" s="1">
        <v>1</v>
      </c>
      <c r="H1177" s="1">
        <v>4</v>
      </c>
      <c r="I1177" s="1">
        <v>5</v>
      </c>
      <c r="J1177" s="1">
        <v>1</v>
      </c>
      <c r="K1177" s="1">
        <v>0</v>
      </c>
      <c r="L1177" s="1">
        <v>20617</v>
      </c>
      <c r="M1177" s="1">
        <v>1</v>
      </c>
    </row>
    <row r="1178" spans="2:13" x14ac:dyDescent="0.25">
      <c r="B1178" s="1">
        <v>0</v>
      </c>
      <c r="C1178" s="1">
        <v>0</v>
      </c>
      <c r="D1178" s="1">
        <v>0.9810526315789474</v>
      </c>
      <c r="E1178" s="1">
        <v>1.8947368421052633E-2</v>
      </c>
      <c r="F1178" s="1">
        <v>0</v>
      </c>
      <c r="G1178" s="1">
        <v>0</v>
      </c>
      <c r="H1178" s="1">
        <v>2</v>
      </c>
      <c r="I1178" s="1">
        <v>0</v>
      </c>
      <c r="J1178" s="1">
        <v>0</v>
      </c>
      <c r="K1178" s="1">
        <v>0</v>
      </c>
      <c r="L1178" s="1">
        <v>1191</v>
      </c>
      <c r="M1178" s="1">
        <v>0</v>
      </c>
    </row>
    <row r="1179" spans="2:13" x14ac:dyDescent="0.25">
      <c r="B1179" s="17">
        <v>1</v>
      </c>
      <c r="C1179" s="17">
        <v>0</v>
      </c>
      <c r="D1179" s="17">
        <v>0</v>
      </c>
      <c r="E1179" s="17">
        <v>1</v>
      </c>
      <c r="F1179" s="17">
        <v>85</v>
      </c>
      <c r="G1179" s="17">
        <v>1</v>
      </c>
      <c r="H1179" s="17">
        <v>2</v>
      </c>
      <c r="I1179" s="17">
        <v>7</v>
      </c>
      <c r="J1179" s="17">
        <v>0</v>
      </c>
      <c r="K1179" s="17">
        <v>0</v>
      </c>
      <c r="L1179" s="17">
        <v>13499</v>
      </c>
      <c r="M1179" s="17">
        <v>0</v>
      </c>
    </row>
    <row r="1180" spans="2:13" x14ac:dyDescent="0.25">
      <c r="B1180" s="1">
        <v>1</v>
      </c>
      <c r="C1180" s="1">
        <v>1</v>
      </c>
      <c r="D1180" s="1">
        <v>0</v>
      </c>
      <c r="E1180" s="1">
        <v>1</v>
      </c>
      <c r="F1180" s="1">
        <v>83</v>
      </c>
      <c r="G1180" s="1">
        <v>1</v>
      </c>
      <c r="H1180" s="1">
        <v>1</v>
      </c>
      <c r="I1180" s="1">
        <v>6</v>
      </c>
      <c r="J1180" s="1">
        <v>2</v>
      </c>
      <c r="K1180" s="1">
        <v>1</v>
      </c>
      <c r="L1180" s="1">
        <v>11086</v>
      </c>
      <c r="M1180" s="1">
        <v>0</v>
      </c>
    </row>
    <row r="1181" spans="2:13" x14ac:dyDescent="0.25">
      <c r="B1181" s="1">
        <v>0</v>
      </c>
      <c r="C1181" s="1">
        <v>0</v>
      </c>
      <c r="D1181" s="1">
        <v>0.9810526315789474</v>
      </c>
      <c r="E1181" s="1">
        <v>1.8947368421052633E-2</v>
      </c>
      <c r="F1181" s="1">
        <v>0</v>
      </c>
      <c r="G1181" s="1">
        <v>1</v>
      </c>
      <c r="H1181" s="1">
        <v>3</v>
      </c>
      <c r="I1181" s="1">
        <v>0</v>
      </c>
      <c r="J1181" s="1">
        <v>0</v>
      </c>
      <c r="K1181" s="1">
        <v>0</v>
      </c>
      <c r="L1181" s="1">
        <v>2369</v>
      </c>
      <c r="M1181" s="1">
        <v>0</v>
      </c>
    </row>
    <row r="1182" spans="2:13" x14ac:dyDescent="0.25">
      <c r="B1182" s="1">
        <v>0</v>
      </c>
      <c r="C1182" s="1">
        <v>0</v>
      </c>
      <c r="D1182" s="1">
        <v>0.99749999999999994</v>
      </c>
      <c r="E1182" s="1">
        <v>2.5000000000000001E-3</v>
      </c>
      <c r="F1182" s="1">
        <v>57</v>
      </c>
      <c r="G1182" s="1">
        <v>1</v>
      </c>
      <c r="H1182" s="1">
        <v>3</v>
      </c>
      <c r="I1182" s="1">
        <v>6</v>
      </c>
      <c r="J1182" s="1">
        <v>0</v>
      </c>
      <c r="K1182" s="1">
        <v>0</v>
      </c>
      <c r="L1182" s="1">
        <v>8278</v>
      </c>
      <c r="M1182" s="1">
        <v>0</v>
      </c>
    </row>
    <row r="1183" spans="2:13" x14ac:dyDescent="0.25">
      <c r="B1183" s="17">
        <v>1</v>
      </c>
      <c r="C1183" s="17">
        <v>0</v>
      </c>
      <c r="D1183" s="17">
        <v>0.19999999999999996</v>
      </c>
      <c r="E1183" s="17">
        <v>0.79999999999999993</v>
      </c>
      <c r="F1183" s="17">
        <v>85</v>
      </c>
      <c r="G1183" s="17">
        <v>1</v>
      </c>
      <c r="H1183" s="17">
        <v>9</v>
      </c>
      <c r="I1183" s="17">
        <v>4</v>
      </c>
      <c r="J1183" s="17">
        <v>0</v>
      </c>
      <c r="K1183" s="17">
        <v>0</v>
      </c>
      <c r="L1183" s="17">
        <v>29972</v>
      </c>
      <c r="M1183" s="17">
        <v>0</v>
      </c>
    </row>
    <row r="1184" spans="2:13" x14ac:dyDescent="0.25">
      <c r="B1184" s="1">
        <v>0</v>
      </c>
      <c r="C1184" s="1">
        <v>0</v>
      </c>
      <c r="D1184" s="1">
        <v>0.96666666666666667</v>
      </c>
      <c r="E1184" s="1">
        <v>3.333333333333334E-2</v>
      </c>
      <c r="F1184" s="1">
        <v>32</v>
      </c>
      <c r="G1184" s="1">
        <v>1</v>
      </c>
      <c r="H1184" s="1">
        <v>3</v>
      </c>
      <c r="I1184" s="1">
        <v>1</v>
      </c>
      <c r="J1184" s="1">
        <v>2</v>
      </c>
      <c r="K1184" s="1">
        <v>0</v>
      </c>
      <c r="L1184" s="1">
        <v>14738</v>
      </c>
      <c r="M1184" s="1">
        <v>1</v>
      </c>
    </row>
    <row r="1185" spans="2:13" x14ac:dyDescent="0.25">
      <c r="B1185" s="1">
        <v>0</v>
      </c>
      <c r="C1185" s="1">
        <v>0</v>
      </c>
      <c r="D1185" s="1">
        <v>1</v>
      </c>
      <c r="E1185" s="1">
        <v>0</v>
      </c>
      <c r="F1185" s="1">
        <v>41</v>
      </c>
      <c r="G1185" s="1">
        <v>1</v>
      </c>
      <c r="H1185" s="1">
        <v>6</v>
      </c>
      <c r="I1185" s="1">
        <v>2</v>
      </c>
      <c r="J1185" s="1">
        <v>0</v>
      </c>
      <c r="K1185" s="1">
        <v>0</v>
      </c>
      <c r="L1185" s="1">
        <v>8867</v>
      </c>
      <c r="M1185" s="1">
        <v>0</v>
      </c>
    </row>
    <row r="1186" spans="2:13" x14ac:dyDescent="0.25">
      <c r="B1186" s="1">
        <v>0</v>
      </c>
      <c r="C1186" s="1">
        <v>0</v>
      </c>
      <c r="D1186" s="1">
        <v>1</v>
      </c>
      <c r="E1186" s="1">
        <v>0</v>
      </c>
      <c r="F1186" s="1">
        <v>47</v>
      </c>
      <c r="G1186" s="1">
        <v>1</v>
      </c>
      <c r="H1186" s="1">
        <v>8</v>
      </c>
      <c r="I1186" s="1">
        <v>4</v>
      </c>
      <c r="J1186" s="1">
        <v>0</v>
      </c>
      <c r="K1186" s="1">
        <v>0</v>
      </c>
      <c r="L1186" s="1">
        <v>14185</v>
      </c>
      <c r="M1186" s="1">
        <v>0</v>
      </c>
    </row>
    <row r="1187" spans="2:13" x14ac:dyDescent="0.25">
      <c r="B1187" s="1">
        <v>0</v>
      </c>
      <c r="C1187" s="1">
        <v>0</v>
      </c>
      <c r="D1187" s="1">
        <v>0.96666666666666667</v>
      </c>
      <c r="E1187" s="1">
        <v>3.333333333333334E-2</v>
      </c>
      <c r="F1187" s="1">
        <v>34</v>
      </c>
      <c r="G1187" s="1">
        <v>0</v>
      </c>
      <c r="H1187" s="1">
        <v>4</v>
      </c>
      <c r="I1187" s="1">
        <v>0</v>
      </c>
      <c r="J1187" s="1">
        <v>1</v>
      </c>
      <c r="K1187" s="1">
        <v>0</v>
      </c>
      <c r="L1187" s="1">
        <v>6500</v>
      </c>
      <c r="M1187" s="1">
        <v>0</v>
      </c>
    </row>
    <row r="1188" spans="2:13" x14ac:dyDescent="0.25">
      <c r="B1188" s="1">
        <v>0</v>
      </c>
      <c r="C1188" s="1">
        <v>0</v>
      </c>
      <c r="D1188" s="1">
        <v>0.8571428571428571</v>
      </c>
      <c r="E1188" s="1">
        <v>0.14285714285714288</v>
      </c>
      <c r="F1188" s="1">
        <v>78</v>
      </c>
      <c r="G1188" s="1">
        <v>0</v>
      </c>
      <c r="H1188" s="1">
        <v>8</v>
      </c>
      <c r="I1188" s="1">
        <v>6</v>
      </c>
      <c r="J1188" s="1">
        <v>2</v>
      </c>
      <c r="K1188" s="1">
        <v>0</v>
      </c>
      <c r="L1188" s="1">
        <v>25906</v>
      </c>
      <c r="M1188" s="1">
        <v>0</v>
      </c>
    </row>
    <row r="1189" spans="2:13" x14ac:dyDescent="0.25">
      <c r="B1189" s="1">
        <v>0</v>
      </c>
      <c r="C1189" s="1">
        <v>0</v>
      </c>
      <c r="D1189" s="1">
        <v>0.99749999999999994</v>
      </c>
      <c r="E1189" s="1">
        <v>2.5000000000000001E-3</v>
      </c>
      <c r="F1189" s="1">
        <v>54</v>
      </c>
      <c r="G1189" s="1">
        <v>0</v>
      </c>
      <c r="H1189" s="1">
        <v>2</v>
      </c>
      <c r="I1189" s="1">
        <v>2</v>
      </c>
      <c r="J1189" s="1">
        <v>0</v>
      </c>
      <c r="K1189" s="1">
        <v>0</v>
      </c>
      <c r="L1189" s="1">
        <v>5856</v>
      </c>
      <c r="M1189" s="1">
        <v>0</v>
      </c>
    </row>
    <row r="1190" spans="2:13" x14ac:dyDescent="0.25">
      <c r="B1190" s="1">
        <v>1</v>
      </c>
      <c r="C1190" s="1">
        <v>1</v>
      </c>
      <c r="D1190" s="1">
        <v>0</v>
      </c>
      <c r="E1190" s="1">
        <v>1</v>
      </c>
      <c r="F1190" s="1">
        <v>83</v>
      </c>
      <c r="G1190" s="1">
        <v>1</v>
      </c>
      <c r="H1190" s="1">
        <v>5</v>
      </c>
      <c r="I1190" s="1">
        <v>4</v>
      </c>
      <c r="J1190" s="1">
        <v>0</v>
      </c>
      <c r="K1190" s="1">
        <v>1</v>
      </c>
      <c r="L1190" s="1">
        <v>12095</v>
      </c>
      <c r="M1190" s="1">
        <v>0</v>
      </c>
    </row>
    <row r="1191" spans="2:13" x14ac:dyDescent="0.25">
      <c r="B1191" s="1">
        <v>0</v>
      </c>
      <c r="C1191" s="1">
        <v>0</v>
      </c>
      <c r="D1191" s="1">
        <v>0.8571428571428571</v>
      </c>
      <c r="E1191" s="1">
        <v>0.14285714285714288</v>
      </c>
      <c r="F1191" s="1">
        <v>79</v>
      </c>
      <c r="G1191" s="1">
        <v>0</v>
      </c>
      <c r="H1191" s="1">
        <v>1</v>
      </c>
      <c r="I1191" s="1">
        <v>2</v>
      </c>
      <c r="J1191" s="1">
        <v>6</v>
      </c>
      <c r="K1191" s="1">
        <v>0</v>
      </c>
      <c r="L1191" s="1">
        <v>40379</v>
      </c>
      <c r="M1191" s="1">
        <v>1</v>
      </c>
    </row>
    <row r="1192" spans="2:13" x14ac:dyDescent="0.25">
      <c r="B1192" s="1">
        <v>0</v>
      </c>
      <c r="C1192" s="1">
        <v>0</v>
      </c>
      <c r="D1192" s="1">
        <v>0.99749999999999994</v>
      </c>
      <c r="E1192" s="1">
        <v>2.5000000000000001E-3</v>
      </c>
      <c r="F1192" s="1">
        <v>64</v>
      </c>
      <c r="G1192" s="1">
        <v>0</v>
      </c>
      <c r="H1192" s="1">
        <v>12</v>
      </c>
      <c r="I1192" s="1">
        <v>1</v>
      </c>
      <c r="J1192" s="1">
        <v>0</v>
      </c>
      <c r="K1192" s="1">
        <v>0</v>
      </c>
      <c r="L1192" s="1">
        <v>25446</v>
      </c>
      <c r="M1192" s="1">
        <v>0</v>
      </c>
    </row>
    <row r="1193" spans="2:13" x14ac:dyDescent="0.25">
      <c r="B1193" s="1">
        <v>1</v>
      </c>
      <c r="C1193" s="1">
        <v>1</v>
      </c>
      <c r="D1193" s="1">
        <v>0</v>
      </c>
      <c r="E1193" s="1">
        <v>1</v>
      </c>
      <c r="F1193" s="1">
        <v>74</v>
      </c>
      <c r="G1193" s="1">
        <v>1</v>
      </c>
      <c r="H1193" s="1">
        <v>7</v>
      </c>
      <c r="I1193" s="1">
        <v>7</v>
      </c>
      <c r="J1193" s="1">
        <v>0</v>
      </c>
      <c r="K1193" s="1">
        <v>1</v>
      </c>
      <c r="L1193" s="1">
        <v>14972</v>
      </c>
      <c r="M1193" s="1">
        <v>0</v>
      </c>
    </row>
    <row r="1194" spans="2:13" x14ac:dyDescent="0.25">
      <c r="B1194" s="1">
        <v>0</v>
      </c>
      <c r="C1194" s="1">
        <v>0</v>
      </c>
      <c r="D1194" s="1">
        <v>0.9810526315789474</v>
      </c>
      <c r="E1194" s="1">
        <v>1.8947368421052633E-2</v>
      </c>
      <c r="F1194" s="1">
        <v>24</v>
      </c>
      <c r="G1194" s="1">
        <v>1</v>
      </c>
      <c r="H1194" s="1">
        <v>2</v>
      </c>
      <c r="I1194" s="1">
        <v>0</v>
      </c>
      <c r="J1194" s="1">
        <v>1</v>
      </c>
      <c r="K1194" s="1">
        <v>0</v>
      </c>
      <c r="L1194" s="1">
        <v>6592</v>
      </c>
      <c r="M1194" s="1">
        <v>0</v>
      </c>
    </row>
    <row r="1195" spans="2:13" x14ac:dyDescent="0.25">
      <c r="B1195" s="1">
        <v>1</v>
      </c>
      <c r="C1195" s="1">
        <v>1</v>
      </c>
      <c r="D1195" s="1">
        <v>0.31818181818181818</v>
      </c>
      <c r="E1195" s="1">
        <v>0.68181818181818188</v>
      </c>
      <c r="F1195" s="1">
        <v>28</v>
      </c>
      <c r="G1195" s="1">
        <v>0</v>
      </c>
      <c r="H1195" s="1">
        <v>7</v>
      </c>
      <c r="I1195" s="1">
        <v>4</v>
      </c>
      <c r="J1195" s="1">
        <v>0</v>
      </c>
      <c r="K1195" s="1">
        <v>0</v>
      </c>
      <c r="L1195" s="1">
        <v>29395</v>
      </c>
      <c r="M1195" s="1">
        <v>0</v>
      </c>
    </row>
    <row r="1196" spans="2:13" x14ac:dyDescent="0.25">
      <c r="B1196" s="1">
        <v>1</v>
      </c>
      <c r="C1196" s="1">
        <v>1</v>
      </c>
      <c r="D1196" s="1">
        <v>0</v>
      </c>
      <c r="E1196" s="1">
        <v>1</v>
      </c>
      <c r="F1196" s="1">
        <v>85</v>
      </c>
      <c r="G1196" s="1">
        <v>1</v>
      </c>
      <c r="H1196" s="1">
        <v>6</v>
      </c>
      <c r="I1196" s="1">
        <v>6</v>
      </c>
      <c r="J1196" s="1">
        <v>0</v>
      </c>
      <c r="K1196" s="1">
        <v>1</v>
      </c>
      <c r="L1196" s="1">
        <v>11771</v>
      </c>
      <c r="M1196" s="1">
        <v>0</v>
      </c>
    </row>
    <row r="1197" spans="2:13" x14ac:dyDescent="0.25">
      <c r="B1197" s="1">
        <v>0</v>
      </c>
      <c r="C1197" s="1">
        <v>0</v>
      </c>
      <c r="D1197" s="1">
        <v>1</v>
      </c>
      <c r="E1197" s="1">
        <v>0</v>
      </c>
      <c r="F1197" s="1">
        <v>39</v>
      </c>
      <c r="G1197" s="1">
        <v>1</v>
      </c>
      <c r="H1197" s="1">
        <v>1</v>
      </c>
      <c r="I1197" s="1">
        <v>0</v>
      </c>
      <c r="J1197" s="1">
        <v>1</v>
      </c>
      <c r="K1197" s="1">
        <v>0</v>
      </c>
      <c r="L1197" s="1">
        <v>5794</v>
      </c>
      <c r="M1197" s="1">
        <v>0</v>
      </c>
    </row>
    <row r="1198" spans="2:13" x14ac:dyDescent="0.25">
      <c r="B1198" s="1">
        <v>0</v>
      </c>
      <c r="C1198" s="1">
        <v>0</v>
      </c>
      <c r="D1198" s="1">
        <v>0.9810526315789474</v>
      </c>
      <c r="E1198" s="1">
        <v>1.8947368421052633E-2</v>
      </c>
      <c r="F1198" s="1">
        <v>0</v>
      </c>
      <c r="G1198" s="1">
        <v>1</v>
      </c>
      <c r="H1198" s="1">
        <v>0</v>
      </c>
      <c r="I1198" s="1">
        <v>0</v>
      </c>
      <c r="J1198" s="1">
        <v>0</v>
      </c>
      <c r="K1198" s="1">
        <v>0</v>
      </c>
      <c r="L1198" s="1">
        <v>2356</v>
      </c>
      <c r="M1198" s="1">
        <v>0</v>
      </c>
    </row>
    <row r="1199" spans="2:13" x14ac:dyDescent="0.25">
      <c r="B1199" s="1">
        <v>0</v>
      </c>
      <c r="C1199" s="1">
        <v>0</v>
      </c>
      <c r="D1199" s="1">
        <v>0.9810526315789474</v>
      </c>
      <c r="E1199" s="1">
        <v>1.8947368421052633E-2</v>
      </c>
      <c r="F1199" s="1">
        <v>23</v>
      </c>
      <c r="G1199" s="1">
        <v>1</v>
      </c>
      <c r="H1199" s="1">
        <v>4</v>
      </c>
      <c r="I1199" s="1">
        <v>0</v>
      </c>
      <c r="J1199" s="1">
        <v>1</v>
      </c>
      <c r="K1199" s="1">
        <v>0</v>
      </c>
      <c r="L1199" s="1">
        <v>20625</v>
      </c>
      <c r="M1199" s="1">
        <v>1</v>
      </c>
    </row>
    <row r="1200" spans="2:13" x14ac:dyDescent="0.25">
      <c r="B1200" s="1">
        <v>0</v>
      </c>
      <c r="C1200" s="1">
        <v>0</v>
      </c>
      <c r="D1200" s="1">
        <v>0.8571428571428571</v>
      </c>
      <c r="E1200" s="1">
        <v>0.14285714285714288</v>
      </c>
      <c r="F1200" s="1">
        <v>76</v>
      </c>
      <c r="G1200" s="1">
        <v>0</v>
      </c>
      <c r="H1200" s="1">
        <v>2</v>
      </c>
      <c r="I1200" s="1">
        <v>1</v>
      </c>
      <c r="J1200" s="1">
        <v>0</v>
      </c>
      <c r="K1200" s="1">
        <v>0</v>
      </c>
      <c r="L1200" s="1">
        <v>9993</v>
      </c>
      <c r="M1200" s="1">
        <v>0</v>
      </c>
    </row>
    <row r="1201" spans="2:13" x14ac:dyDescent="0.25">
      <c r="B1201" s="1">
        <v>0</v>
      </c>
      <c r="C1201" s="1">
        <v>0</v>
      </c>
      <c r="D1201" s="1">
        <v>1</v>
      </c>
      <c r="E1201" s="1">
        <v>0</v>
      </c>
      <c r="F1201" s="1">
        <v>39</v>
      </c>
      <c r="G1201" s="1">
        <v>1</v>
      </c>
      <c r="H1201" s="1">
        <v>11</v>
      </c>
      <c r="I1201" s="1">
        <v>1</v>
      </c>
      <c r="J1201" s="1">
        <v>0</v>
      </c>
      <c r="K1201" s="1">
        <v>0</v>
      </c>
      <c r="L1201" s="1">
        <v>16819</v>
      </c>
      <c r="M1201" s="1">
        <v>0</v>
      </c>
    </row>
    <row r="1202" spans="2:13" x14ac:dyDescent="0.25">
      <c r="B1202" s="1">
        <v>0</v>
      </c>
      <c r="C1202" s="1">
        <v>0</v>
      </c>
      <c r="D1202" s="1">
        <v>0.9810526315789474</v>
      </c>
      <c r="E1202" s="1">
        <v>1.8947368421052633E-2</v>
      </c>
      <c r="F1202" s="1">
        <v>27</v>
      </c>
      <c r="G1202" s="1">
        <v>1</v>
      </c>
      <c r="H1202" s="1">
        <v>2</v>
      </c>
      <c r="I1202" s="1">
        <v>0</v>
      </c>
      <c r="J1202" s="1">
        <v>2</v>
      </c>
      <c r="K1202" s="1">
        <v>0</v>
      </c>
      <c r="L1202" s="1">
        <v>10564</v>
      </c>
      <c r="M1202" s="1">
        <v>0</v>
      </c>
    </row>
    <row r="1203" spans="2:13" x14ac:dyDescent="0.25">
      <c r="B1203" s="1">
        <v>0</v>
      </c>
      <c r="C1203" s="1">
        <v>0</v>
      </c>
      <c r="D1203" s="1">
        <v>0.9810526315789474</v>
      </c>
      <c r="E1203" s="1">
        <v>1.8947368421052633E-2</v>
      </c>
      <c r="F1203" s="1">
        <v>22</v>
      </c>
      <c r="G1203" s="1">
        <v>0</v>
      </c>
      <c r="H1203" s="1">
        <v>3</v>
      </c>
      <c r="I1203" s="1">
        <v>1</v>
      </c>
      <c r="J1203" s="1">
        <v>0</v>
      </c>
      <c r="K1203" s="1">
        <v>0</v>
      </c>
      <c r="L1203" s="1">
        <v>6197</v>
      </c>
      <c r="M1203" s="1">
        <v>0</v>
      </c>
    </row>
    <row r="1204" spans="2:13" x14ac:dyDescent="0.25">
      <c r="B1204" s="1">
        <v>0</v>
      </c>
      <c r="C1204" s="1">
        <v>0</v>
      </c>
      <c r="D1204" s="1">
        <v>0.99749999999999994</v>
      </c>
      <c r="E1204" s="1">
        <v>2.5000000000000001E-3</v>
      </c>
      <c r="F1204" s="1">
        <v>73</v>
      </c>
      <c r="G1204" s="1">
        <v>1</v>
      </c>
      <c r="H1204" s="1">
        <v>3</v>
      </c>
      <c r="I1204" s="1">
        <v>2</v>
      </c>
      <c r="J1204" s="1">
        <v>1</v>
      </c>
      <c r="K1204" s="1">
        <v>0</v>
      </c>
      <c r="L1204" s="1">
        <v>16452</v>
      </c>
      <c r="M1204" s="1">
        <v>1</v>
      </c>
    </row>
    <row r="1205" spans="2:13" x14ac:dyDescent="0.25">
      <c r="B1205" s="1">
        <v>0</v>
      </c>
      <c r="C1205" s="1">
        <v>0</v>
      </c>
      <c r="D1205" s="1">
        <v>0.99749999999999994</v>
      </c>
      <c r="E1205" s="1">
        <v>2.5000000000000001E-3</v>
      </c>
      <c r="F1205" s="1">
        <v>69</v>
      </c>
      <c r="G1205" s="1">
        <v>0</v>
      </c>
      <c r="H1205" s="1">
        <v>2</v>
      </c>
      <c r="I1205" s="1">
        <v>3</v>
      </c>
      <c r="J1205" s="1">
        <v>0</v>
      </c>
      <c r="K1205" s="1">
        <v>0</v>
      </c>
      <c r="L1205" s="1">
        <v>4061</v>
      </c>
      <c r="M1205" s="1">
        <v>0</v>
      </c>
    </row>
    <row r="1206" spans="2:13" x14ac:dyDescent="0.25">
      <c r="B1206" s="1">
        <v>1</v>
      </c>
      <c r="C1206" s="1">
        <v>1</v>
      </c>
      <c r="D1206" s="1">
        <v>0</v>
      </c>
      <c r="E1206" s="1">
        <v>1</v>
      </c>
      <c r="F1206" s="1">
        <v>82</v>
      </c>
      <c r="G1206" s="1">
        <v>0</v>
      </c>
      <c r="H1206" s="1">
        <v>5</v>
      </c>
      <c r="I1206" s="1">
        <v>6</v>
      </c>
      <c r="J1206" s="1">
        <v>0</v>
      </c>
      <c r="K1206" s="1">
        <v>1</v>
      </c>
      <c r="L1206" s="1">
        <v>16789</v>
      </c>
      <c r="M1206" s="1">
        <v>0</v>
      </c>
    </row>
    <row r="1207" spans="2:13" x14ac:dyDescent="0.25">
      <c r="B1207" s="1">
        <v>1</v>
      </c>
      <c r="C1207" s="1">
        <v>1</v>
      </c>
      <c r="D1207" s="1">
        <v>0</v>
      </c>
      <c r="E1207" s="1">
        <v>1</v>
      </c>
      <c r="F1207" s="1">
        <v>74</v>
      </c>
      <c r="G1207" s="1">
        <v>0</v>
      </c>
      <c r="H1207" s="1">
        <v>3</v>
      </c>
      <c r="I1207" s="1">
        <v>6</v>
      </c>
      <c r="J1207" s="1">
        <v>1</v>
      </c>
      <c r="K1207" s="1">
        <v>1</v>
      </c>
      <c r="L1207" s="1">
        <v>13082</v>
      </c>
      <c r="M1207" s="1">
        <v>0</v>
      </c>
    </row>
    <row r="1208" spans="2:13" x14ac:dyDescent="0.25">
      <c r="B1208" s="1">
        <v>0</v>
      </c>
      <c r="C1208" s="1">
        <v>0</v>
      </c>
      <c r="D1208" s="1">
        <v>0.96666666666666667</v>
      </c>
      <c r="E1208" s="1">
        <v>3.333333333333334E-2</v>
      </c>
      <c r="F1208" s="1">
        <v>34</v>
      </c>
      <c r="G1208" s="1">
        <v>1</v>
      </c>
      <c r="H1208" s="1">
        <v>3</v>
      </c>
      <c r="I1208" s="1">
        <v>2</v>
      </c>
      <c r="J1208" s="1">
        <v>0</v>
      </c>
      <c r="K1208" s="1">
        <v>0</v>
      </c>
      <c r="L1208" s="1">
        <v>15241</v>
      </c>
      <c r="M1208" s="1">
        <v>0</v>
      </c>
    </row>
    <row r="1209" spans="2:13" x14ac:dyDescent="0.25">
      <c r="B1209" s="1">
        <v>1</v>
      </c>
      <c r="C1209" s="1">
        <v>1</v>
      </c>
      <c r="D1209" s="1">
        <v>0.19999999999999998</v>
      </c>
      <c r="E1209" s="1">
        <v>0.79999999999999993</v>
      </c>
      <c r="F1209" s="1">
        <v>36</v>
      </c>
      <c r="G1209" s="1">
        <v>1</v>
      </c>
      <c r="H1209" s="1">
        <v>8</v>
      </c>
      <c r="I1209" s="1">
        <v>4</v>
      </c>
      <c r="J1209" s="1">
        <v>0</v>
      </c>
      <c r="K1209" s="1">
        <v>0</v>
      </c>
      <c r="L1209" s="1">
        <v>12463</v>
      </c>
      <c r="M1209" s="1">
        <v>0</v>
      </c>
    </row>
    <row r="1210" spans="2:13" x14ac:dyDescent="0.25">
      <c r="B1210" s="1">
        <v>0</v>
      </c>
      <c r="C1210" s="1">
        <v>0</v>
      </c>
      <c r="D1210" s="1">
        <v>1</v>
      </c>
      <c r="E1210" s="1">
        <v>0</v>
      </c>
      <c r="F1210" s="1">
        <v>39</v>
      </c>
      <c r="G1210" s="1">
        <v>0</v>
      </c>
      <c r="H1210" s="1">
        <v>8</v>
      </c>
      <c r="I1210" s="1">
        <v>2</v>
      </c>
      <c r="J1210" s="1">
        <v>0</v>
      </c>
      <c r="K1210" s="1">
        <v>0</v>
      </c>
      <c r="L1210" s="1">
        <v>13657</v>
      </c>
      <c r="M1210" s="1">
        <v>0</v>
      </c>
    </row>
    <row r="1211" spans="2:13" x14ac:dyDescent="0.25">
      <c r="B1211" s="1">
        <v>0</v>
      </c>
      <c r="C1211" s="1">
        <v>0</v>
      </c>
      <c r="D1211" s="1">
        <v>0.99749999999999994</v>
      </c>
      <c r="E1211" s="1">
        <v>2.5000000000000001E-3</v>
      </c>
      <c r="F1211" s="1">
        <v>66</v>
      </c>
      <c r="G1211" s="1">
        <v>0</v>
      </c>
      <c r="H1211" s="1">
        <v>8</v>
      </c>
      <c r="I1211" s="1">
        <v>6</v>
      </c>
      <c r="J1211" s="1">
        <v>0</v>
      </c>
      <c r="K1211" s="1">
        <v>0</v>
      </c>
      <c r="L1211" s="1">
        <v>14922</v>
      </c>
      <c r="M1211" s="1">
        <v>0</v>
      </c>
    </row>
    <row r="1212" spans="2:13" x14ac:dyDescent="0.25">
      <c r="B1212" s="1">
        <v>0</v>
      </c>
      <c r="C1212" s="1">
        <v>0</v>
      </c>
      <c r="D1212" s="1">
        <v>0.625</v>
      </c>
      <c r="E1212" s="1">
        <v>0.37500000000000006</v>
      </c>
      <c r="F1212" s="1">
        <v>88</v>
      </c>
      <c r="G1212" s="1">
        <v>1</v>
      </c>
      <c r="H1212" s="1">
        <v>24</v>
      </c>
      <c r="I1212" s="1">
        <v>0</v>
      </c>
      <c r="J1212" s="1">
        <v>6</v>
      </c>
      <c r="K1212" s="1">
        <v>0</v>
      </c>
      <c r="L1212" s="1">
        <v>66046</v>
      </c>
      <c r="M1212" s="1">
        <v>1</v>
      </c>
    </row>
    <row r="1213" spans="2:13" x14ac:dyDescent="0.25">
      <c r="B1213" s="1">
        <v>0</v>
      </c>
      <c r="C1213" s="1">
        <v>0</v>
      </c>
      <c r="D1213" s="1">
        <v>0.8571428571428571</v>
      </c>
      <c r="E1213" s="1">
        <v>0.14285714285714288</v>
      </c>
      <c r="F1213" s="1">
        <v>77</v>
      </c>
      <c r="G1213" s="1">
        <v>0</v>
      </c>
      <c r="H1213" s="1">
        <v>8</v>
      </c>
      <c r="I1213" s="1">
        <v>6</v>
      </c>
      <c r="J1213" s="1">
        <v>4</v>
      </c>
      <c r="K1213" s="1">
        <v>0</v>
      </c>
      <c r="L1213" s="1">
        <v>38124</v>
      </c>
      <c r="M1213" s="1">
        <v>0</v>
      </c>
    </row>
    <row r="1214" spans="2:13" x14ac:dyDescent="0.25">
      <c r="B1214" s="17">
        <v>1</v>
      </c>
      <c r="C1214" s="17">
        <v>0</v>
      </c>
      <c r="D1214" s="17">
        <v>0.30769230769230771</v>
      </c>
      <c r="E1214" s="17">
        <v>0.69230769230769229</v>
      </c>
      <c r="F1214" s="17">
        <v>50</v>
      </c>
      <c r="G1214" s="17">
        <v>1</v>
      </c>
      <c r="H1214" s="17">
        <v>2</v>
      </c>
      <c r="I1214" s="17">
        <v>0</v>
      </c>
      <c r="J1214" s="17">
        <v>2</v>
      </c>
      <c r="K1214" s="17">
        <v>0</v>
      </c>
      <c r="L1214" s="17">
        <v>27450</v>
      </c>
      <c r="M1214" s="17">
        <v>1</v>
      </c>
    </row>
    <row r="1215" spans="2:13" x14ac:dyDescent="0.25">
      <c r="B1215" s="1">
        <v>0</v>
      </c>
      <c r="C1215" s="1">
        <v>0</v>
      </c>
      <c r="D1215" s="1">
        <v>0.9810526315789474</v>
      </c>
      <c r="E1215" s="1">
        <v>1.8947368421052633E-2</v>
      </c>
      <c r="F1215" s="1">
        <v>0</v>
      </c>
      <c r="G1215" s="1">
        <v>0</v>
      </c>
      <c r="H1215" s="1">
        <v>2</v>
      </c>
      <c r="I1215" s="1">
        <v>0</v>
      </c>
      <c r="J1215" s="1">
        <v>0</v>
      </c>
      <c r="K1215" s="1">
        <v>0</v>
      </c>
      <c r="L1215" s="1">
        <v>1189</v>
      </c>
      <c r="M1215" s="1">
        <v>0</v>
      </c>
    </row>
    <row r="1216" spans="2:13" x14ac:dyDescent="0.25">
      <c r="B1216" s="1">
        <v>0</v>
      </c>
      <c r="C1216" s="1">
        <v>0</v>
      </c>
      <c r="D1216" s="1">
        <v>1</v>
      </c>
      <c r="E1216" s="1">
        <v>0</v>
      </c>
      <c r="F1216" s="1">
        <v>44</v>
      </c>
      <c r="G1216" s="1">
        <v>1</v>
      </c>
      <c r="H1216" s="1">
        <v>3</v>
      </c>
      <c r="I1216" s="1">
        <v>2</v>
      </c>
      <c r="J1216" s="1">
        <v>0</v>
      </c>
      <c r="K1216" s="1">
        <v>0</v>
      </c>
      <c r="L1216" s="1">
        <v>8058</v>
      </c>
      <c r="M1216" s="1">
        <v>0</v>
      </c>
    </row>
    <row r="1217" spans="2:13" x14ac:dyDescent="0.25">
      <c r="B1217" s="1">
        <v>0</v>
      </c>
      <c r="C1217" s="1">
        <v>0</v>
      </c>
      <c r="D1217" s="1">
        <v>0.9810526315789474</v>
      </c>
      <c r="E1217" s="1">
        <v>1.8947368421052633E-2</v>
      </c>
      <c r="F1217" s="1">
        <v>24</v>
      </c>
      <c r="G1217" s="1">
        <v>1</v>
      </c>
      <c r="H1217" s="1">
        <v>3</v>
      </c>
      <c r="I1217" s="1">
        <v>0</v>
      </c>
      <c r="J1217" s="1">
        <v>0</v>
      </c>
      <c r="K1217" s="1">
        <v>0</v>
      </c>
      <c r="L1217" s="1">
        <v>5348</v>
      </c>
      <c r="M1217" s="1">
        <v>0</v>
      </c>
    </row>
    <row r="1218" spans="2:13" x14ac:dyDescent="0.25">
      <c r="B1218" s="1">
        <v>1</v>
      </c>
      <c r="C1218" s="1">
        <v>1</v>
      </c>
      <c r="D1218" s="1">
        <v>0</v>
      </c>
      <c r="E1218" s="1">
        <v>1</v>
      </c>
      <c r="F1218" s="1">
        <v>89</v>
      </c>
      <c r="G1218" s="1">
        <v>0</v>
      </c>
      <c r="H1218" s="1">
        <v>9</v>
      </c>
      <c r="I1218" s="1">
        <v>3</v>
      </c>
      <c r="J1218" s="1">
        <v>1</v>
      </c>
      <c r="K1218" s="1">
        <v>1</v>
      </c>
      <c r="L1218" s="1">
        <v>29564</v>
      </c>
      <c r="M1218" s="1">
        <v>1</v>
      </c>
    </row>
    <row r="1219" spans="2:13" x14ac:dyDescent="0.25">
      <c r="B1219" s="1">
        <v>0</v>
      </c>
      <c r="C1219" s="1">
        <v>0</v>
      </c>
      <c r="D1219" s="1">
        <v>0.9810526315789474</v>
      </c>
      <c r="E1219" s="1">
        <v>1.8947368421052633E-2</v>
      </c>
      <c r="F1219" s="1">
        <v>0</v>
      </c>
      <c r="G1219" s="1">
        <v>0</v>
      </c>
      <c r="H1219" s="1">
        <v>2</v>
      </c>
      <c r="I1219" s="1">
        <v>0</v>
      </c>
      <c r="J1219" s="1">
        <v>0</v>
      </c>
      <c r="K1219" s="1">
        <v>0</v>
      </c>
      <c r="L1219" s="1">
        <v>1972</v>
      </c>
      <c r="M1219" s="1">
        <v>0</v>
      </c>
    </row>
    <row r="1220" spans="2:13" x14ac:dyDescent="0.25">
      <c r="B1220" s="1">
        <v>0</v>
      </c>
      <c r="C1220" s="1">
        <v>0</v>
      </c>
      <c r="D1220" s="1">
        <v>0.8571428571428571</v>
      </c>
      <c r="E1220" s="1">
        <v>0.14285714285714288</v>
      </c>
      <c r="F1220" s="1">
        <v>77</v>
      </c>
      <c r="G1220" s="1">
        <v>1</v>
      </c>
      <c r="H1220" s="1">
        <v>5</v>
      </c>
      <c r="I1220" s="1">
        <v>0</v>
      </c>
      <c r="J1220" s="1">
        <v>2</v>
      </c>
      <c r="K1220" s="1">
        <v>0</v>
      </c>
      <c r="L1220" s="1">
        <v>14835</v>
      </c>
      <c r="M1220" s="1">
        <v>0</v>
      </c>
    </row>
    <row r="1221" spans="2:13" x14ac:dyDescent="0.25">
      <c r="B1221" s="1">
        <v>0</v>
      </c>
      <c r="C1221" s="1">
        <v>0</v>
      </c>
      <c r="D1221" s="1">
        <v>0.9810526315789474</v>
      </c>
      <c r="E1221" s="1">
        <v>1.8947368421052633E-2</v>
      </c>
      <c r="F1221" s="1">
        <v>24</v>
      </c>
      <c r="G1221" s="1">
        <v>1</v>
      </c>
      <c r="H1221" s="1">
        <v>3</v>
      </c>
      <c r="I1221" s="1">
        <v>0</v>
      </c>
      <c r="J1221" s="1">
        <v>2</v>
      </c>
      <c r="K1221" s="1">
        <v>0</v>
      </c>
      <c r="L1221" s="1">
        <v>10283</v>
      </c>
      <c r="M1221" s="1">
        <v>0</v>
      </c>
    </row>
    <row r="1222" spans="2:13" x14ac:dyDescent="0.25">
      <c r="B1222" s="1">
        <v>0</v>
      </c>
      <c r="C1222" s="1">
        <v>0</v>
      </c>
      <c r="D1222" s="1">
        <v>1</v>
      </c>
      <c r="E1222" s="1">
        <v>0</v>
      </c>
      <c r="F1222" s="1">
        <v>44</v>
      </c>
      <c r="G1222" s="1">
        <v>1</v>
      </c>
      <c r="H1222" s="1">
        <v>14</v>
      </c>
      <c r="I1222" s="1">
        <v>4</v>
      </c>
      <c r="J1222" s="1">
        <v>0</v>
      </c>
      <c r="K1222" s="1">
        <v>0</v>
      </c>
      <c r="L1222" s="1">
        <v>27959</v>
      </c>
      <c r="M1222" s="1">
        <v>0</v>
      </c>
    </row>
    <row r="1223" spans="2:13" x14ac:dyDescent="0.25">
      <c r="B1223" s="1">
        <v>1</v>
      </c>
      <c r="C1223" s="1">
        <v>1</v>
      </c>
      <c r="D1223" s="1">
        <v>0.30769230769230771</v>
      </c>
      <c r="E1223" s="1">
        <v>0.69230769230769229</v>
      </c>
      <c r="F1223" s="1">
        <v>50</v>
      </c>
      <c r="G1223" s="1">
        <v>0</v>
      </c>
      <c r="H1223" s="1">
        <v>5</v>
      </c>
      <c r="I1223" s="1">
        <v>1</v>
      </c>
      <c r="J1223" s="1">
        <v>0</v>
      </c>
      <c r="K1223" s="1">
        <v>0</v>
      </c>
      <c r="L1223" s="1">
        <v>7635</v>
      </c>
      <c r="M1223" s="1">
        <v>0</v>
      </c>
    </row>
    <row r="1224" spans="2:13" x14ac:dyDescent="0.25">
      <c r="B1224" s="1">
        <v>0</v>
      </c>
      <c r="C1224" s="1">
        <v>0</v>
      </c>
      <c r="D1224" s="1">
        <v>0.99749999999999994</v>
      </c>
      <c r="E1224" s="1">
        <v>2.5000000000000001E-3</v>
      </c>
      <c r="F1224" s="1">
        <v>55</v>
      </c>
      <c r="G1224" s="1">
        <v>0</v>
      </c>
      <c r="H1224" s="1">
        <v>5</v>
      </c>
      <c r="I1224" s="1">
        <v>4</v>
      </c>
      <c r="J1224" s="1">
        <v>0</v>
      </c>
      <c r="K1224" s="1">
        <v>0</v>
      </c>
      <c r="L1224" s="1">
        <v>27600</v>
      </c>
      <c r="M1224" s="1">
        <v>0</v>
      </c>
    </row>
    <row r="1225" spans="2:13" x14ac:dyDescent="0.25">
      <c r="B1225" s="1">
        <v>1</v>
      </c>
      <c r="C1225" s="1">
        <v>1</v>
      </c>
      <c r="D1225" s="1">
        <v>0</v>
      </c>
      <c r="E1225" s="1">
        <v>1</v>
      </c>
      <c r="F1225" s="1">
        <v>75</v>
      </c>
      <c r="G1225" s="1">
        <v>0</v>
      </c>
      <c r="H1225" s="1">
        <v>2</v>
      </c>
      <c r="I1225" s="1">
        <v>3</v>
      </c>
      <c r="J1225" s="1">
        <v>1</v>
      </c>
      <c r="K1225" s="1">
        <v>1</v>
      </c>
      <c r="L1225" s="1">
        <v>37842</v>
      </c>
      <c r="M1225" s="1">
        <v>1</v>
      </c>
    </row>
    <row r="1226" spans="2:13" x14ac:dyDescent="0.25">
      <c r="B1226" s="1">
        <v>0</v>
      </c>
      <c r="C1226" s="1">
        <v>0</v>
      </c>
      <c r="D1226" s="1">
        <v>0.96666666666666667</v>
      </c>
      <c r="E1226" s="1">
        <v>3.333333333333334E-2</v>
      </c>
      <c r="F1226" s="1">
        <v>30</v>
      </c>
      <c r="G1226" s="1">
        <v>0</v>
      </c>
      <c r="H1226" s="1">
        <v>2</v>
      </c>
      <c r="I1226" s="1">
        <v>0</v>
      </c>
      <c r="J1226" s="1">
        <v>1</v>
      </c>
      <c r="K1226" s="1">
        <v>0</v>
      </c>
      <c r="L1226" s="1">
        <v>16561</v>
      </c>
      <c r="M1226" s="1">
        <v>1</v>
      </c>
    </row>
    <row r="1227" spans="2:13" x14ac:dyDescent="0.25">
      <c r="B1227" s="1">
        <v>0</v>
      </c>
      <c r="C1227" s="1">
        <v>0</v>
      </c>
      <c r="D1227" s="1">
        <v>0.9810526315789474</v>
      </c>
      <c r="E1227" s="1">
        <v>1.8947368421052633E-2</v>
      </c>
      <c r="F1227" s="1">
        <v>0</v>
      </c>
      <c r="G1227" s="1">
        <v>0</v>
      </c>
      <c r="H1227" s="1">
        <v>2</v>
      </c>
      <c r="I1227" s="1">
        <v>0</v>
      </c>
      <c r="J1227" s="1">
        <v>1</v>
      </c>
      <c r="K1227" s="1">
        <v>0</v>
      </c>
      <c r="L1227" s="1">
        <v>2243</v>
      </c>
      <c r="M1227" s="1">
        <v>1</v>
      </c>
    </row>
    <row r="1228" spans="2:13" x14ac:dyDescent="0.25">
      <c r="B1228" s="1">
        <v>1</v>
      </c>
      <c r="C1228" s="1">
        <v>1</v>
      </c>
      <c r="D1228" s="1">
        <v>0</v>
      </c>
      <c r="E1228" s="1">
        <v>1</v>
      </c>
      <c r="F1228" s="1">
        <v>86</v>
      </c>
      <c r="G1228" s="1">
        <v>1</v>
      </c>
      <c r="H1228" s="1">
        <v>5</v>
      </c>
      <c r="I1228" s="1">
        <v>6</v>
      </c>
      <c r="J1228" s="1">
        <v>0</v>
      </c>
      <c r="K1228" s="1">
        <v>1</v>
      </c>
      <c r="L1228" s="1">
        <v>10839</v>
      </c>
      <c r="M1228" s="1">
        <v>0</v>
      </c>
    </row>
    <row r="1229" spans="2:13" x14ac:dyDescent="0.25">
      <c r="B1229" s="1">
        <v>0</v>
      </c>
      <c r="C1229" s="1">
        <v>0</v>
      </c>
      <c r="D1229" s="1">
        <v>0.9810526315789474</v>
      </c>
      <c r="E1229" s="1">
        <v>1.8947368421052633E-2</v>
      </c>
      <c r="F1229" s="1">
        <v>0</v>
      </c>
      <c r="G1229" s="1">
        <v>0</v>
      </c>
      <c r="H1229" s="1">
        <v>2</v>
      </c>
      <c r="I1229" s="1">
        <v>0</v>
      </c>
      <c r="J1229" s="1">
        <v>0</v>
      </c>
      <c r="K1229" s="1">
        <v>0</v>
      </c>
      <c r="L1229" s="1">
        <v>1785</v>
      </c>
      <c r="M1229" s="1">
        <v>0</v>
      </c>
    </row>
    <row r="1230" spans="2:13" x14ac:dyDescent="0.25">
      <c r="B1230" s="1">
        <v>1</v>
      </c>
      <c r="C1230" s="1">
        <v>1</v>
      </c>
      <c r="D1230" s="1">
        <v>0</v>
      </c>
      <c r="E1230" s="1">
        <v>1</v>
      </c>
      <c r="F1230" s="1">
        <v>84</v>
      </c>
      <c r="G1230" s="1">
        <v>1</v>
      </c>
      <c r="H1230" s="1">
        <v>4</v>
      </c>
      <c r="I1230" s="1">
        <v>2</v>
      </c>
      <c r="J1230" s="1">
        <v>1</v>
      </c>
      <c r="K1230" s="1">
        <v>1</v>
      </c>
      <c r="L1230" s="1">
        <v>26586</v>
      </c>
      <c r="M1230" s="1">
        <v>1</v>
      </c>
    </row>
    <row r="1231" spans="2:13" x14ac:dyDescent="0.25">
      <c r="B1231" s="1">
        <v>0</v>
      </c>
      <c r="C1231" s="1">
        <v>0</v>
      </c>
      <c r="D1231" s="1">
        <v>0.99749999999999994</v>
      </c>
      <c r="E1231" s="1">
        <v>2.5000000000000001E-3</v>
      </c>
      <c r="F1231" s="1">
        <v>69</v>
      </c>
      <c r="G1231" s="1">
        <v>1</v>
      </c>
      <c r="H1231" s="1">
        <v>2</v>
      </c>
      <c r="I1231" s="1">
        <v>3</v>
      </c>
      <c r="J1231" s="1">
        <v>0</v>
      </c>
      <c r="K1231" s="1">
        <v>0</v>
      </c>
      <c r="L1231" s="1">
        <v>10468</v>
      </c>
      <c r="M1231" s="1">
        <v>0</v>
      </c>
    </row>
    <row r="1232" spans="2:13" x14ac:dyDescent="0.25">
      <c r="B1232" s="1">
        <v>1</v>
      </c>
      <c r="C1232" s="1">
        <v>1</v>
      </c>
      <c r="D1232" s="1">
        <v>0</v>
      </c>
      <c r="E1232" s="1">
        <v>1</v>
      </c>
      <c r="F1232" s="1">
        <v>74</v>
      </c>
      <c r="G1232" s="1">
        <v>0</v>
      </c>
      <c r="H1232" s="1">
        <v>5</v>
      </c>
      <c r="I1232" s="1">
        <v>5</v>
      </c>
      <c r="J1232" s="1">
        <v>0</v>
      </c>
      <c r="K1232" s="1">
        <v>1</v>
      </c>
      <c r="L1232" s="1">
        <v>7381</v>
      </c>
      <c r="M1232" s="1">
        <v>0</v>
      </c>
    </row>
    <row r="1233" spans="2:13" x14ac:dyDescent="0.25">
      <c r="B1233" s="1">
        <v>0</v>
      </c>
      <c r="C1233" s="1">
        <v>0</v>
      </c>
      <c r="D1233" s="1">
        <v>1</v>
      </c>
      <c r="E1233" s="1">
        <v>0</v>
      </c>
      <c r="F1233" s="1">
        <v>39</v>
      </c>
      <c r="G1233" s="1">
        <v>1</v>
      </c>
      <c r="H1233" s="1">
        <v>2</v>
      </c>
      <c r="I1233" s="1">
        <v>0</v>
      </c>
      <c r="J1233" s="1">
        <v>3</v>
      </c>
      <c r="K1233" s="1">
        <v>0</v>
      </c>
      <c r="L1233" s="1">
        <v>6313</v>
      </c>
      <c r="M1233" s="1">
        <v>0</v>
      </c>
    </row>
    <row r="1234" spans="2:13" x14ac:dyDescent="0.25">
      <c r="B1234" s="1">
        <v>0</v>
      </c>
      <c r="C1234" s="1">
        <v>0</v>
      </c>
      <c r="D1234" s="1">
        <v>1</v>
      </c>
      <c r="E1234" s="1">
        <v>0</v>
      </c>
      <c r="F1234" s="1">
        <v>47</v>
      </c>
      <c r="G1234" s="1">
        <v>1</v>
      </c>
      <c r="H1234" s="1">
        <v>16</v>
      </c>
      <c r="I1234" s="1">
        <v>3</v>
      </c>
      <c r="J1234" s="1">
        <v>0</v>
      </c>
      <c r="K1234" s="1">
        <v>0</v>
      </c>
      <c r="L1234" s="1">
        <v>28703</v>
      </c>
      <c r="M1234" s="1">
        <v>0</v>
      </c>
    </row>
    <row r="1235" spans="2:13" x14ac:dyDescent="0.25">
      <c r="B1235" s="17">
        <v>1</v>
      </c>
      <c r="C1235" s="17">
        <v>0</v>
      </c>
      <c r="D1235" s="17">
        <v>0.30769230769230771</v>
      </c>
      <c r="E1235" s="17">
        <v>0.69230769230769229</v>
      </c>
      <c r="F1235" s="17">
        <v>50</v>
      </c>
      <c r="G1235" s="17">
        <v>0</v>
      </c>
      <c r="H1235" s="17">
        <v>3</v>
      </c>
      <c r="I1235" s="17">
        <v>1</v>
      </c>
      <c r="J1235" s="17">
        <v>2</v>
      </c>
      <c r="K1235" s="17">
        <v>0</v>
      </c>
      <c r="L1235" s="17">
        <v>63286</v>
      </c>
      <c r="M1235" s="17">
        <v>1</v>
      </c>
    </row>
    <row r="1236" spans="2:13" x14ac:dyDescent="0.25">
      <c r="B1236" s="1">
        <v>0</v>
      </c>
      <c r="C1236" s="1">
        <v>0</v>
      </c>
      <c r="D1236" s="1">
        <v>0.96666666666666667</v>
      </c>
      <c r="E1236" s="1">
        <v>3.333333333333334E-2</v>
      </c>
      <c r="F1236" s="1">
        <v>33</v>
      </c>
      <c r="G1236" s="1">
        <v>1</v>
      </c>
      <c r="H1236" s="1">
        <v>31</v>
      </c>
      <c r="I1236" s="1">
        <v>2</v>
      </c>
      <c r="J1236" s="1">
        <v>2</v>
      </c>
      <c r="K1236" s="1">
        <v>0</v>
      </c>
      <c r="L1236" s="1">
        <v>57715</v>
      </c>
      <c r="M1236" s="1">
        <v>1</v>
      </c>
    </row>
    <row r="1237" spans="2:13" x14ac:dyDescent="0.25">
      <c r="B1237" s="1">
        <v>0</v>
      </c>
      <c r="C1237" s="1">
        <v>0</v>
      </c>
      <c r="D1237" s="1">
        <v>0.9810526315789474</v>
      </c>
      <c r="E1237" s="1">
        <v>1.8947368421052633E-2</v>
      </c>
      <c r="F1237" s="1">
        <v>0</v>
      </c>
      <c r="G1237" s="1">
        <v>0</v>
      </c>
      <c r="H1237" s="1">
        <v>3</v>
      </c>
      <c r="I1237" s="1">
        <v>1</v>
      </c>
      <c r="J1237" s="1">
        <v>0</v>
      </c>
      <c r="K1237" s="1">
        <v>0</v>
      </c>
      <c r="L1237" s="1">
        <v>4196</v>
      </c>
      <c r="M1237" s="1">
        <v>0</v>
      </c>
    </row>
    <row r="1238" spans="2:13" x14ac:dyDescent="0.25">
      <c r="B1238" s="1">
        <v>0</v>
      </c>
      <c r="C1238" s="1">
        <v>0</v>
      </c>
      <c r="D1238" s="1">
        <v>0.96666666666666667</v>
      </c>
      <c r="E1238" s="1">
        <v>3.333333333333334E-2</v>
      </c>
      <c r="F1238" s="1">
        <v>29</v>
      </c>
      <c r="G1238" s="1">
        <v>1</v>
      </c>
      <c r="H1238" s="1">
        <v>5</v>
      </c>
      <c r="I1238" s="1">
        <v>2</v>
      </c>
      <c r="J1238" s="1">
        <v>0</v>
      </c>
      <c r="K1238" s="1">
        <v>0</v>
      </c>
      <c r="L1238" s="1">
        <v>6763</v>
      </c>
      <c r="M1238" s="1">
        <v>0</v>
      </c>
    </row>
    <row r="1239" spans="2:13" x14ac:dyDescent="0.25">
      <c r="B1239" s="1">
        <v>1</v>
      </c>
      <c r="C1239" s="1">
        <v>1</v>
      </c>
      <c r="D1239" s="1">
        <v>9.5238095238095233E-2</v>
      </c>
      <c r="E1239" s="1">
        <v>0.90476190476190477</v>
      </c>
      <c r="F1239" s="1">
        <v>53</v>
      </c>
      <c r="G1239" s="1">
        <v>1</v>
      </c>
      <c r="H1239" s="1">
        <v>2</v>
      </c>
      <c r="I1239" s="1">
        <v>1</v>
      </c>
      <c r="J1239" s="1">
        <v>0</v>
      </c>
      <c r="K1239" s="1">
        <v>0</v>
      </c>
      <c r="L1239" s="1">
        <v>6739</v>
      </c>
      <c r="M1239" s="1">
        <v>0</v>
      </c>
    </row>
    <row r="1240" spans="2:13" x14ac:dyDescent="0.25">
      <c r="B1240" s="1">
        <v>0</v>
      </c>
      <c r="C1240" s="1">
        <v>0</v>
      </c>
      <c r="D1240" s="1">
        <v>0.8571428571428571</v>
      </c>
      <c r="E1240" s="1">
        <v>0.14285714285714285</v>
      </c>
      <c r="F1240" s="1">
        <v>52</v>
      </c>
      <c r="G1240" s="1">
        <v>0</v>
      </c>
      <c r="H1240" s="1">
        <v>3</v>
      </c>
      <c r="I1240" s="1">
        <v>3</v>
      </c>
      <c r="J1240" s="1">
        <v>1</v>
      </c>
      <c r="K1240" s="1">
        <v>0</v>
      </c>
      <c r="L1240" s="1">
        <v>10114</v>
      </c>
      <c r="M1240" s="1">
        <v>0</v>
      </c>
    </row>
    <row r="1241" spans="2:13" x14ac:dyDescent="0.25">
      <c r="B1241" s="1">
        <v>0</v>
      </c>
      <c r="C1241" s="1">
        <v>0</v>
      </c>
      <c r="D1241" s="1">
        <v>0.9810526315789474</v>
      </c>
      <c r="E1241" s="1">
        <v>1.8947368421052633E-2</v>
      </c>
      <c r="F1241" s="1">
        <v>0</v>
      </c>
      <c r="G1241" s="1">
        <v>0</v>
      </c>
      <c r="H1241" s="1">
        <v>2</v>
      </c>
      <c r="I1241" s="1">
        <v>0</v>
      </c>
      <c r="J1241" s="1">
        <v>0</v>
      </c>
      <c r="K1241" s="1">
        <v>0</v>
      </c>
      <c r="L1241" s="1">
        <v>1850</v>
      </c>
      <c r="M1241" s="1">
        <v>0</v>
      </c>
    </row>
    <row r="1242" spans="2:13" x14ac:dyDescent="0.25">
      <c r="B1242" s="1">
        <v>1</v>
      </c>
      <c r="C1242" s="1">
        <v>1</v>
      </c>
      <c r="D1242" s="1">
        <v>0.31818181818181818</v>
      </c>
      <c r="E1242" s="1">
        <v>0.68181818181818188</v>
      </c>
      <c r="F1242" s="1">
        <v>28</v>
      </c>
      <c r="G1242" s="1">
        <v>1</v>
      </c>
      <c r="H1242" s="1">
        <v>5</v>
      </c>
      <c r="I1242" s="1">
        <v>4</v>
      </c>
      <c r="J1242" s="1">
        <v>0</v>
      </c>
      <c r="K1242" s="1">
        <v>0</v>
      </c>
      <c r="L1242" s="1">
        <v>11348</v>
      </c>
      <c r="M1242" s="1">
        <v>0</v>
      </c>
    </row>
    <row r="1243" spans="2:13" x14ac:dyDescent="0.25">
      <c r="B1243" s="1">
        <v>0</v>
      </c>
      <c r="C1243" s="1">
        <v>0</v>
      </c>
      <c r="D1243" s="1">
        <v>0.99749999999999994</v>
      </c>
      <c r="E1243" s="1">
        <v>2.5000000000000001E-3</v>
      </c>
      <c r="F1243" s="1">
        <v>60</v>
      </c>
      <c r="G1243" s="1">
        <v>1</v>
      </c>
      <c r="H1243" s="1">
        <v>6</v>
      </c>
      <c r="I1243" s="1">
        <v>3</v>
      </c>
      <c r="J1243" s="1">
        <v>0</v>
      </c>
      <c r="K1243" s="1">
        <v>0</v>
      </c>
      <c r="L1243" s="1">
        <v>9273</v>
      </c>
      <c r="M1243" s="1">
        <v>0</v>
      </c>
    </row>
    <row r="1244" spans="2:13" x14ac:dyDescent="0.25">
      <c r="B1244" s="1">
        <v>0</v>
      </c>
      <c r="C1244" s="1">
        <v>0</v>
      </c>
      <c r="D1244" s="1">
        <v>0.99749999999999994</v>
      </c>
      <c r="E1244" s="1">
        <v>2.5000000000000001E-3</v>
      </c>
      <c r="F1244" s="1">
        <v>67</v>
      </c>
      <c r="G1244" s="1">
        <v>0</v>
      </c>
      <c r="H1244" s="1">
        <v>5</v>
      </c>
      <c r="I1244" s="1">
        <v>4</v>
      </c>
      <c r="J1244" s="1">
        <v>0</v>
      </c>
      <c r="K1244" s="1">
        <v>0</v>
      </c>
      <c r="L1244" s="1">
        <v>13533</v>
      </c>
      <c r="M1244" s="1">
        <v>0</v>
      </c>
    </row>
    <row r="1245" spans="2:13" x14ac:dyDescent="0.25">
      <c r="B1245" s="1">
        <v>0</v>
      </c>
      <c r="C1245" s="1">
        <v>0</v>
      </c>
      <c r="D1245" s="1">
        <v>0.99749999999999994</v>
      </c>
      <c r="E1245" s="1">
        <v>2.5000000000000001E-3</v>
      </c>
      <c r="F1245" s="1">
        <v>58</v>
      </c>
      <c r="G1245" s="1">
        <v>0</v>
      </c>
      <c r="H1245" s="1">
        <v>5</v>
      </c>
      <c r="I1245" s="1">
        <v>5</v>
      </c>
      <c r="J1245" s="1">
        <v>2</v>
      </c>
      <c r="K1245" s="1">
        <v>0</v>
      </c>
      <c r="L1245" s="1">
        <v>29310</v>
      </c>
      <c r="M1245" s="1">
        <v>1</v>
      </c>
    </row>
    <row r="1246" spans="2:13" x14ac:dyDescent="0.25">
      <c r="B1246" s="1">
        <v>1</v>
      </c>
      <c r="C1246" s="1">
        <v>1</v>
      </c>
      <c r="D1246" s="1">
        <v>0.31818181818181818</v>
      </c>
      <c r="E1246" s="1">
        <v>0.68181818181818188</v>
      </c>
      <c r="F1246" s="1">
        <v>28</v>
      </c>
      <c r="G1246" s="1">
        <v>1</v>
      </c>
      <c r="H1246" s="1">
        <v>2</v>
      </c>
      <c r="I1246" s="1">
        <v>0</v>
      </c>
      <c r="J1246" s="1">
        <v>1</v>
      </c>
      <c r="K1246" s="1">
        <v>0</v>
      </c>
      <c r="L1246" s="1">
        <v>6238</v>
      </c>
      <c r="M1246" s="1">
        <v>0</v>
      </c>
    </row>
    <row r="1247" spans="2:13" x14ac:dyDescent="0.25">
      <c r="B1247" s="1">
        <v>0</v>
      </c>
      <c r="C1247" s="1">
        <v>0</v>
      </c>
      <c r="D1247" s="1">
        <v>0.68</v>
      </c>
      <c r="E1247" s="1">
        <v>0.32</v>
      </c>
      <c r="F1247" s="1">
        <v>84</v>
      </c>
      <c r="G1247" s="1">
        <v>0</v>
      </c>
      <c r="H1247" s="1">
        <v>4</v>
      </c>
      <c r="I1247" s="1">
        <v>5</v>
      </c>
      <c r="J1247" s="1">
        <v>0</v>
      </c>
      <c r="K1247" s="1">
        <v>0</v>
      </c>
      <c r="L1247" s="1">
        <v>12182</v>
      </c>
      <c r="M1247" s="1">
        <v>0</v>
      </c>
    </row>
    <row r="1248" spans="2:13" x14ac:dyDescent="0.25">
      <c r="B1248" s="1">
        <v>0</v>
      </c>
      <c r="C1248" s="1">
        <v>0</v>
      </c>
      <c r="D1248" s="1">
        <v>0.99749999999999994</v>
      </c>
      <c r="E1248" s="1">
        <v>2.5000000000000001E-3</v>
      </c>
      <c r="F1248" s="1">
        <v>55</v>
      </c>
      <c r="G1248" s="1">
        <v>1</v>
      </c>
      <c r="H1248" s="1">
        <v>2</v>
      </c>
      <c r="I1248" s="1">
        <v>4</v>
      </c>
      <c r="J1248" s="1">
        <v>0</v>
      </c>
      <c r="K1248" s="1">
        <v>0</v>
      </c>
      <c r="L1248" s="1">
        <v>6149</v>
      </c>
      <c r="M1248" s="1">
        <v>0</v>
      </c>
    </row>
    <row r="1249" spans="2:13" x14ac:dyDescent="0.25">
      <c r="B1249" s="17">
        <v>0</v>
      </c>
      <c r="C1249" s="17">
        <v>1</v>
      </c>
      <c r="D1249" s="17">
        <v>0.8571428571428571</v>
      </c>
      <c r="E1249" s="17">
        <v>0.14285714285714288</v>
      </c>
      <c r="F1249" s="17">
        <v>78</v>
      </c>
      <c r="G1249" s="17">
        <v>1</v>
      </c>
      <c r="H1249" s="17">
        <v>3</v>
      </c>
      <c r="I1249" s="17">
        <v>3</v>
      </c>
      <c r="J1249" s="17">
        <v>3</v>
      </c>
      <c r="K1249" s="17">
        <v>0</v>
      </c>
      <c r="L1249" s="17">
        <v>10040</v>
      </c>
      <c r="M1249" s="17">
        <v>0</v>
      </c>
    </row>
    <row r="1250" spans="2:13" x14ac:dyDescent="0.25">
      <c r="B1250" s="1">
        <v>0</v>
      </c>
      <c r="C1250" s="1">
        <v>0</v>
      </c>
      <c r="D1250" s="1">
        <v>0.96666666666666667</v>
      </c>
      <c r="E1250" s="1">
        <v>3.333333333333334E-2</v>
      </c>
      <c r="F1250" s="1">
        <v>30</v>
      </c>
      <c r="G1250" s="1">
        <v>1</v>
      </c>
      <c r="H1250" s="1">
        <v>43</v>
      </c>
      <c r="I1250" s="1">
        <v>0</v>
      </c>
      <c r="J1250" s="1">
        <v>1</v>
      </c>
      <c r="K1250" s="1">
        <v>0</v>
      </c>
      <c r="L1250" s="1">
        <v>56501</v>
      </c>
      <c r="M1250" s="1">
        <v>0</v>
      </c>
    </row>
    <row r="1251" spans="2:13" x14ac:dyDescent="0.25">
      <c r="B1251" s="1">
        <v>0</v>
      </c>
      <c r="C1251" s="1">
        <v>0</v>
      </c>
      <c r="D1251" s="1">
        <v>0.8571428571428571</v>
      </c>
      <c r="E1251" s="1">
        <v>0.14285714285714288</v>
      </c>
      <c r="F1251" s="1">
        <v>76</v>
      </c>
      <c r="G1251" s="1">
        <v>1</v>
      </c>
      <c r="H1251" s="1">
        <v>1</v>
      </c>
      <c r="I1251" s="1">
        <v>4</v>
      </c>
      <c r="J1251" s="1">
        <v>0</v>
      </c>
      <c r="K1251" s="1">
        <v>0</v>
      </c>
      <c r="L1251" s="1">
        <v>5594</v>
      </c>
      <c r="M1251" s="1">
        <v>0</v>
      </c>
    </row>
    <row r="1252" spans="2:13" x14ac:dyDescent="0.25">
      <c r="B1252" s="1">
        <v>0</v>
      </c>
      <c r="C1252" s="1">
        <v>0</v>
      </c>
      <c r="D1252" s="1">
        <v>0.625</v>
      </c>
      <c r="E1252" s="1">
        <v>0.37500000000000006</v>
      </c>
      <c r="F1252" s="1">
        <v>86</v>
      </c>
      <c r="G1252" s="1">
        <v>0</v>
      </c>
      <c r="H1252" s="1">
        <v>9</v>
      </c>
      <c r="I1252" s="1">
        <v>2</v>
      </c>
      <c r="J1252" s="1">
        <v>0</v>
      </c>
      <c r="K1252" s="1">
        <v>0</v>
      </c>
      <c r="L1252" s="1">
        <v>27434</v>
      </c>
      <c r="M1252" s="1">
        <v>0</v>
      </c>
    </row>
    <row r="1253" spans="2:13" x14ac:dyDescent="0.25">
      <c r="B1253" s="1">
        <v>1</v>
      </c>
      <c r="C1253" s="1">
        <v>1</v>
      </c>
      <c r="D1253" s="1">
        <v>0.31818181818181818</v>
      </c>
      <c r="E1253" s="1">
        <v>0.68181818181818188</v>
      </c>
      <c r="F1253" s="1">
        <v>28</v>
      </c>
      <c r="G1253" s="1">
        <v>1</v>
      </c>
      <c r="H1253" s="1">
        <v>2</v>
      </c>
      <c r="I1253" s="1">
        <v>0</v>
      </c>
      <c r="J1253" s="1">
        <v>2</v>
      </c>
      <c r="K1253" s="1">
        <v>0</v>
      </c>
      <c r="L1253" s="1">
        <v>10418</v>
      </c>
      <c r="M1253" s="1">
        <v>0</v>
      </c>
    </row>
    <row r="1254" spans="2:13" x14ac:dyDescent="0.25">
      <c r="B1254" s="1">
        <v>0</v>
      </c>
      <c r="C1254" s="1">
        <v>0</v>
      </c>
      <c r="D1254" s="1">
        <v>0.9810526315789474</v>
      </c>
      <c r="E1254" s="1">
        <v>1.8947368421052633E-2</v>
      </c>
      <c r="F1254" s="1">
        <v>20</v>
      </c>
      <c r="G1254" s="1">
        <v>0</v>
      </c>
      <c r="H1254" s="1">
        <v>7</v>
      </c>
      <c r="I1254" s="1">
        <v>3</v>
      </c>
      <c r="J1254" s="1">
        <v>0</v>
      </c>
      <c r="K1254" s="1">
        <v>0</v>
      </c>
      <c r="L1254" s="1">
        <v>9475</v>
      </c>
      <c r="M1254" s="1">
        <v>0</v>
      </c>
    </row>
    <row r="1255" spans="2:13" x14ac:dyDescent="0.25">
      <c r="B1255" s="1">
        <v>1</v>
      </c>
      <c r="C1255" s="1">
        <v>1</v>
      </c>
      <c r="D1255" s="1">
        <v>0</v>
      </c>
      <c r="E1255" s="1">
        <v>1</v>
      </c>
      <c r="F1255" s="1">
        <v>89</v>
      </c>
      <c r="G1255" s="1">
        <v>1</v>
      </c>
      <c r="H1255" s="1">
        <v>4</v>
      </c>
      <c r="I1255" s="1">
        <v>4</v>
      </c>
      <c r="J1255" s="1">
        <v>0</v>
      </c>
      <c r="K1255" s="1">
        <v>1</v>
      </c>
      <c r="L1255" s="1">
        <v>6462</v>
      </c>
      <c r="M1255" s="1">
        <v>0</v>
      </c>
    </row>
    <row r="1256" spans="2:13" x14ac:dyDescent="0.25">
      <c r="B1256" s="1">
        <v>0</v>
      </c>
      <c r="C1256" s="1">
        <v>0</v>
      </c>
      <c r="D1256" s="1">
        <v>0.8571428571428571</v>
      </c>
      <c r="E1256" s="1">
        <v>0.14285714285714285</v>
      </c>
      <c r="F1256" s="1">
        <v>51</v>
      </c>
      <c r="G1256" s="1">
        <v>0</v>
      </c>
      <c r="H1256" s="1">
        <v>4</v>
      </c>
      <c r="I1256" s="1">
        <v>5</v>
      </c>
      <c r="J1256" s="1">
        <v>0</v>
      </c>
      <c r="K1256" s="1">
        <v>0</v>
      </c>
      <c r="L1256" s="1">
        <v>22429</v>
      </c>
      <c r="M1256" s="1">
        <v>0</v>
      </c>
    </row>
    <row r="1257" spans="2:13" x14ac:dyDescent="0.25">
      <c r="B1257" s="1">
        <v>0</v>
      </c>
      <c r="C1257" s="1">
        <v>0</v>
      </c>
      <c r="D1257" s="1">
        <v>0.9810526315789474</v>
      </c>
      <c r="E1257" s="1">
        <v>1.8947368421052633E-2</v>
      </c>
      <c r="F1257" s="1">
        <v>0</v>
      </c>
      <c r="G1257" s="1">
        <v>0</v>
      </c>
      <c r="H1257" s="1">
        <v>2</v>
      </c>
      <c r="I1257" s="1">
        <v>0</v>
      </c>
      <c r="J1257" s="1">
        <v>0</v>
      </c>
      <c r="K1257" s="1">
        <v>0</v>
      </c>
      <c r="L1257" s="1">
        <v>1976</v>
      </c>
      <c r="M1257" s="1">
        <v>0</v>
      </c>
    </row>
    <row r="1258" spans="2:13" x14ac:dyDescent="0.25">
      <c r="B1258" s="1">
        <v>0</v>
      </c>
      <c r="C1258" s="1">
        <v>0</v>
      </c>
      <c r="D1258" s="1">
        <v>0.9810526315789474</v>
      </c>
      <c r="E1258" s="1">
        <v>1.8947368421052633E-2</v>
      </c>
      <c r="F1258" s="1">
        <v>25</v>
      </c>
      <c r="G1258" s="1">
        <v>1</v>
      </c>
      <c r="H1258" s="1">
        <v>2</v>
      </c>
      <c r="I1258" s="1">
        <v>0</v>
      </c>
      <c r="J1258" s="1">
        <v>3</v>
      </c>
      <c r="K1258" s="1">
        <v>0</v>
      </c>
      <c r="L1258" s="1">
        <v>7392</v>
      </c>
      <c r="M1258" s="1">
        <v>0</v>
      </c>
    </row>
  </sheetData>
  <mergeCells count="21">
    <mergeCell ref="B4:K4"/>
    <mergeCell ref="N4:Q4"/>
    <mergeCell ref="D6:E6"/>
    <mergeCell ref="F6:G6"/>
    <mergeCell ref="H6:I6"/>
    <mergeCell ref="J6:K6"/>
    <mergeCell ref="B7:C7"/>
    <mergeCell ref="D7:E7"/>
    <mergeCell ref="F7:G7"/>
    <mergeCell ref="H7:I7"/>
    <mergeCell ref="J7:K7"/>
    <mergeCell ref="C12:F12"/>
    <mergeCell ref="C13:F13"/>
    <mergeCell ref="B16:E16"/>
    <mergeCell ref="G16:L16"/>
    <mergeCell ref="B5:C5"/>
    <mergeCell ref="D5:E5"/>
    <mergeCell ref="F5:G5"/>
    <mergeCell ref="H5:I5"/>
    <mergeCell ref="J5:K5"/>
    <mergeCell ref="B6:C6"/>
  </mergeCells>
  <hyperlinks>
    <hyperlink ref="B5" location="'CT_FullTree'!$B$12:$B$12" display="Full-Grown Tree"/>
    <hyperlink ref="D5" location="'CT_Output'!$B$12:$B$12" display="Inputs"/>
    <hyperlink ref="F5" location="'CT_Output'!$B$46:$B$46" display="Prior class probs"/>
    <hyperlink ref="H5" location="'CT_Output'!$B$54:$B$54" display="Train Log"/>
    <hyperlink ref="J5" location="'CT_Output'!$B$104:$B$104" display="Full-Grown Tree Rules"/>
    <hyperlink ref="B6" location="'CT_Output'!$B$202:$B$202" display="Train. Score Summary."/>
    <hyperlink ref="D6" location="'CT_Output'!$B$225:$B$225" display="Best-Pruned Tree Rules"/>
    <hyperlink ref="F6" location="'CT_Output'!$B$279:$B$279" display="Valid. Score Summary"/>
    <hyperlink ref="H6" location="'CT_PruneLog'!$B$2:$B$2" display="Prune Log"/>
    <hyperlink ref="J6" location="'CT_PruneTree'!$B$12:$B$12" display="Best-Pruned Tree"/>
    <hyperlink ref="B7" location="'CT_TrainingLiftChart'!$B$12:$B$12" display="CT Train. Lift Chart"/>
    <hyperlink ref="D7" location="'CT_TrainingScore'!$B$2:$B$2" display="Train. Score Detail"/>
    <hyperlink ref="F7" location="'CT_ValidationLiftChart'!$B$12:$B$12" display="CT Valid. Lift Chart"/>
    <hyperlink ref="H7" location="'CT_ValidationScore'!$B$2:$B$2" display="Valid. Score Detail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Q58"/>
  <sheetViews>
    <sheetView showGridLines="0" workbookViewId="0"/>
  </sheetViews>
  <sheetFormatPr defaultRowHeight="15" x14ac:dyDescent="0.25"/>
  <cols>
    <col min="14" max="14" width="11.140625" bestFit="1" customWidth="1"/>
  </cols>
  <sheetData>
    <row r="2" spans="2:17" ht="18.75" x14ac:dyDescent="0.3">
      <c r="B2" s="4" t="s">
        <v>119</v>
      </c>
      <c r="N2" t="s">
        <v>9</v>
      </c>
    </row>
    <row r="4" spans="2:17" ht="15.75" x14ac:dyDescent="0.25">
      <c r="B4" s="9" t="s">
        <v>81</v>
      </c>
      <c r="C4" s="10"/>
      <c r="D4" s="10"/>
      <c r="E4" s="10"/>
      <c r="F4" s="10"/>
      <c r="G4" s="10"/>
      <c r="H4" s="10"/>
      <c r="I4" s="10"/>
      <c r="J4" s="10"/>
      <c r="K4" s="11"/>
      <c r="N4" s="9" t="s">
        <v>82</v>
      </c>
      <c r="O4" s="10"/>
      <c r="P4" s="10"/>
      <c r="Q4" s="11"/>
    </row>
    <row r="5" spans="2:17" x14ac:dyDescent="0.25">
      <c r="B5" s="12" t="s">
        <v>102</v>
      </c>
      <c r="C5" s="8"/>
      <c r="D5" s="12" t="s">
        <v>103</v>
      </c>
      <c r="E5" s="8"/>
      <c r="F5" s="12" t="s">
        <v>104</v>
      </c>
      <c r="G5" s="8"/>
      <c r="H5" s="12" t="s">
        <v>105</v>
      </c>
      <c r="I5" s="8"/>
      <c r="J5" s="12" t="s">
        <v>106</v>
      </c>
      <c r="K5" s="8"/>
      <c r="N5" s="2" t="s">
        <v>83</v>
      </c>
      <c r="O5" s="2" t="s">
        <v>84</v>
      </c>
      <c r="P5" s="2" t="s">
        <v>85</v>
      </c>
      <c r="Q5" s="2" t="s">
        <v>86</v>
      </c>
    </row>
    <row r="6" spans="2:17" x14ac:dyDescent="0.25">
      <c r="B6" s="12" t="s">
        <v>107</v>
      </c>
      <c r="C6" s="8"/>
      <c r="D6" s="12" t="s">
        <v>108</v>
      </c>
      <c r="E6" s="8"/>
      <c r="F6" s="12" t="s">
        <v>109</v>
      </c>
      <c r="G6" s="8"/>
      <c r="H6" s="12" t="s">
        <v>110</v>
      </c>
      <c r="I6" s="8"/>
      <c r="J6" s="12" t="s">
        <v>111</v>
      </c>
      <c r="K6" s="8"/>
      <c r="N6" s="1">
        <v>15</v>
      </c>
      <c r="O6" s="1">
        <v>579</v>
      </c>
      <c r="P6" s="1">
        <v>78</v>
      </c>
      <c r="Q6" s="1">
        <v>672</v>
      </c>
    </row>
    <row r="7" spans="2:17" x14ac:dyDescent="0.25">
      <c r="B7" s="12" t="s">
        <v>112</v>
      </c>
      <c r="C7" s="8"/>
      <c r="D7" s="12" t="s">
        <v>113</v>
      </c>
      <c r="E7" s="8"/>
      <c r="F7" s="12" t="s">
        <v>114</v>
      </c>
      <c r="G7" s="8"/>
      <c r="H7" s="12" t="s">
        <v>115</v>
      </c>
      <c r="I7" s="8"/>
      <c r="J7" s="7"/>
      <c r="K7" s="8"/>
    </row>
    <row r="12" spans="2:17" x14ac:dyDescent="0.25">
      <c r="B12" s="2" t="s">
        <v>120</v>
      </c>
      <c r="C12" s="2" t="s">
        <v>121</v>
      </c>
    </row>
    <row r="13" spans="2:17" x14ac:dyDescent="0.25">
      <c r="B13" s="3">
        <v>0</v>
      </c>
      <c r="C13" s="1">
        <v>27.580645161290324</v>
      </c>
    </row>
    <row r="14" spans="2:17" x14ac:dyDescent="0.25">
      <c r="B14" s="3">
        <v>1</v>
      </c>
      <c r="C14" s="1">
        <v>11.370967741935484</v>
      </c>
    </row>
    <row r="15" spans="2:17" x14ac:dyDescent="0.25">
      <c r="B15" s="3">
        <v>2</v>
      </c>
      <c r="C15" s="1">
        <v>11.370967741935484</v>
      </c>
    </row>
    <row r="16" spans="2:17" x14ac:dyDescent="0.25">
      <c r="B16" s="3">
        <v>3</v>
      </c>
      <c r="C16" s="1">
        <v>11.370967741935484</v>
      </c>
    </row>
    <row r="17" spans="2:3" x14ac:dyDescent="0.25">
      <c r="B17" s="3">
        <v>4</v>
      </c>
      <c r="C17" s="1">
        <v>11.370967741935484</v>
      </c>
    </row>
    <row r="18" spans="2:3" x14ac:dyDescent="0.25">
      <c r="B18" s="3">
        <v>5</v>
      </c>
      <c r="C18" s="1">
        <v>11.370967741935484</v>
      </c>
    </row>
    <row r="19" spans="2:3" x14ac:dyDescent="0.25">
      <c r="B19" s="3">
        <v>6</v>
      </c>
      <c r="C19" s="1">
        <v>10.564516129032258</v>
      </c>
    </row>
    <row r="20" spans="2:3" x14ac:dyDescent="0.25">
      <c r="B20" s="3">
        <v>7</v>
      </c>
      <c r="C20" s="1">
        <v>10.564516129032258</v>
      </c>
    </row>
    <row r="21" spans="2:3" x14ac:dyDescent="0.25">
      <c r="B21" s="3">
        <v>8</v>
      </c>
      <c r="C21" s="1">
        <v>10.564516129032258</v>
      </c>
    </row>
    <row r="22" spans="2:3" x14ac:dyDescent="0.25">
      <c r="B22" s="3">
        <v>9</v>
      </c>
      <c r="C22" s="1">
        <v>10.64516129032258</v>
      </c>
    </row>
    <row r="23" spans="2:3" x14ac:dyDescent="0.25">
      <c r="B23" s="3">
        <v>10</v>
      </c>
      <c r="C23" s="1">
        <v>11.451612903225806</v>
      </c>
    </row>
    <row r="24" spans="2:3" x14ac:dyDescent="0.25">
      <c r="B24" s="3">
        <v>11</v>
      </c>
      <c r="C24" s="1">
        <v>11.451612903225806</v>
      </c>
    </row>
    <row r="25" spans="2:3" x14ac:dyDescent="0.25">
      <c r="B25" s="3">
        <v>12</v>
      </c>
      <c r="C25" s="1">
        <v>11.451612903225806</v>
      </c>
    </row>
    <row r="26" spans="2:3" x14ac:dyDescent="0.25">
      <c r="B26" s="3">
        <v>13</v>
      </c>
      <c r="C26" s="1">
        <v>11.451612903225806</v>
      </c>
    </row>
    <row r="27" spans="2:3" x14ac:dyDescent="0.25">
      <c r="B27" s="3">
        <v>14</v>
      </c>
      <c r="C27" s="1">
        <v>11.451612903225806</v>
      </c>
    </row>
    <row r="28" spans="2:3" x14ac:dyDescent="0.25">
      <c r="B28" s="3">
        <v>15</v>
      </c>
      <c r="C28" s="1">
        <v>11.451612903225806</v>
      </c>
    </row>
    <row r="29" spans="2:3" x14ac:dyDescent="0.25">
      <c r="B29" s="3">
        <v>16</v>
      </c>
      <c r="C29" s="1">
        <v>9.5967741935483861</v>
      </c>
    </row>
    <row r="30" spans="2:3" x14ac:dyDescent="0.25">
      <c r="B30" s="3">
        <v>17</v>
      </c>
      <c r="C30" s="1">
        <v>9.8387096774193559</v>
      </c>
    </row>
    <row r="31" spans="2:3" x14ac:dyDescent="0.25">
      <c r="B31" s="3">
        <v>18</v>
      </c>
      <c r="C31" s="1">
        <v>9.758064516129032</v>
      </c>
    </row>
    <row r="32" spans="2:3" x14ac:dyDescent="0.25">
      <c r="B32" s="3">
        <v>19</v>
      </c>
      <c r="C32" s="1">
        <v>9.758064516129032</v>
      </c>
    </row>
    <row r="33" spans="2:7" x14ac:dyDescent="0.25">
      <c r="B33" s="3">
        <v>20</v>
      </c>
      <c r="C33" s="1">
        <v>9.758064516129032</v>
      </c>
    </row>
    <row r="34" spans="2:7" x14ac:dyDescent="0.25">
      <c r="B34" s="3">
        <v>21</v>
      </c>
      <c r="C34" s="1">
        <v>9.758064516129032</v>
      </c>
    </row>
    <row r="35" spans="2:7" x14ac:dyDescent="0.25">
      <c r="B35" s="3">
        <v>22</v>
      </c>
      <c r="C35" s="1">
        <v>9.758064516129032</v>
      </c>
    </row>
    <row r="36" spans="2:7" x14ac:dyDescent="0.25">
      <c r="B36" s="3">
        <v>23</v>
      </c>
      <c r="C36" s="1">
        <v>9.3548387096774199</v>
      </c>
      <c r="D36" s="13" t="s">
        <v>122</v>
      </c>
      <c r="E36" s="14"/>
    </row>
    <row r="37" spans="2:7" x14ac:dyDescent="0.25">
      <c r="B37" s="3">
        <v>24</v>
      </c>
      <c r="C37" s="1">
        <v>9.3548387096774199</v>
      </c>
    </row>
    <row r="38" spans="2:7" x14ac:dyDescent="0.25">
      <c r="B38" s="3">
        <v>25</v>
      </c>
      <c r="C38" s="1">
        <v>9.3548387096774199</v>
      </c>
    </row>
    <row r="39" spans="2:7" x14ac:dyDescent="0.25">
      <c r="B39" s="3">
        <v>26</v>
      </c>
      <c r="C39" s="1">
        <v>8.7903225806451619</v>
      </c>
      <c r="D39" s="13" t="s">
        <v>123</v>
      </c>
      <c r="E39" s="14"/>
      <c r="F39" s="3" t="s">
        <v>124</v>
      </c>
      <c r="G39" s="1">
        <v>0.80410363187873812</v>
      </c>
    </row>
    <row r="40" spans="2:7" x14ac:dyDescent="0.25">
      <c r="B40" s="3">
        <v>27</v>
      </c>
      <c r="C40" s="1">
        <v>8.7903225806451619</v>
      </c>
    </row>
    <row r="41" spans="2:7" x14ac:dyDescent="0.25">
      <c r="B41" s="3">
        <v>28</v>
      </c>
      <c r="C41" s="1">
        <v>8.7903225806451619</v>
      </c>
    </row>
    <row r="42" spans="2:7" x14ac:dyDescent="0.25">
      <c r="B42" s="3">
        <v>29</v>
      </c>
      <c r="C42" s="1">
        <v>8.7903225806451619</v>
      </c>
    </row>
    <row r="43" spans="2:7" x14ac:dyDescent="0.25">
      <c r="B43" s="3">
        <v>30</v>
      </c>
      <c r="C43" s="1">
        <v>8.7903225806451619</v>
      </c>
    </row>
    <row r="44" spans="2:7" x14ac:dyDescent="0.25">
      <c r="B44" s="3">
        <v>31</v>
      </c>
      <c r="C44" s="1">
        <v>8.870967741935484</v>
      </c>
    </row>
    <row r="45" spans="2:7" x14ac:dyDescent="0.25">
      <c r="B45" s="3">
        <v>32</v>
      </c>
      <c r="C45" s="1">
        <v>8.870967741935484</v>
      </c>
    </row>
    <row r="46" spans="2:7" x14ac:dyDescent="0.25">
      <c r="B46" s="3">
        <v>33</v>
      </c>
      <c r="C46" s="1">
        <v>8.870967741935484</v>
      </c>
    </row>
    <row r="47" spans="2:7" x14ac:dyDescent="0.25">
      <c r="B47" s="3">
        <v>34</v>
      </c>
      <c r="C47" s="1">
        <v>8.870967741935484</v>
      </c>
    </row>
    <row r="48" spans="2:7" x14ac:dyDescent="0.25">
      <c r="B48" s="3">
        <v>35</v>
      </c>
      <c r="C48" s="1">
        <v>8.870967741935484</v>
      </c>
    </row>
    <row r="49" spans="2:3" x14ac:dyDescent="0.25">
      <c r="B49" s="3">
        <v>36</v>
      </c>
      <c r="C49" s="1">
        <v>8.870967741935484</v>
      </c>
    </row>
    <row r="50" spans="2:3" x14ac:dyDescent="0.25">
      <c r="B50" s="3">
        <v>37</v>
      </c>
      <c r="C50" s="1">
        <v>8.870967741935484</v>
      </c>
    </row>
    <row r="51" spans="2:3" x14ac:dyDescent="0.25">
      <c r="B51" s="3">
        <v>38</v>
      </c>
      <c r="C51" s="1">
        <v>8.870967741935484</v>
      </c>
    </row>
    <row r="52" spans="2:3" x14ac:dyDescent="0.25">
      <c r="B52" s="3">
        <v>39</v>
      </c>
      <c r="C52" s="1">
        <v>8.870967741935484</v>
      </c>
    </row>
    <row r="53" spans="2:3" x14ac:dyDescent="0.25">
      <c r="B53" s="3">
        <v>40</v>
      </c>
      <c r="C53" s="1">
        <v>8.870967741935484</v>
      </c>
    </row>
    <row r="54" spans="2:3" x14ac:dyDescent="0.25">
      <c r="B54" s="3">
        <v>41</v>
      </c>
      <c r="C54" s="1">
        <v>8.870967741935484</v>
      </c>
    </row>
    <row r="55" spans="2:3" x14ac:dyDescent="0.25">
      <c r="B55" s="3">
        <v>42</v>
      </c>
      <c r="C55" s="1">
        <v>8.870967741935484</v>
      </c>
    </row>
    <row r="56" spans="2:3" x14ac:dyDescent="0.25">
      <c r="B56" s="3">
        <v>43</v>
      </c>
      <c r="C56" s="1">
        <v>8.870967741935484</v>
      </c>
    </row>
    <row r="57" spans="2:3" x14ac:dyDescent="0.25">
      <c r="B57" s="3">
        <v>44</v>
      </c>
      <c r="C57" s="1">
        <v>8.870967741935484</v>
      </c>
    </row>
    <row r="58" spans="2:3" x14ac:dyDescent="0.25">
      <c r="B58" s="3">
        <v>45</v>
      </c>
      <c r="C58" s="1">
        <v>8.870967741935484</v>
      </c>
    </row>
  </sheetData>
  <mergeCells count="19">
    <mergeCell ref="J7:K7"/>
    <mergeCell ref="B4:K4"/>
    <mergeCell ref="N4:Q4"/>
    <mergeCell ref="J5:K5"/>
    <mergeCell ref="B6:C6"/>
    <mergeCell ref="D6:E6"/>
    <mergeCell ref="F6:G6"/>
    <mergeCell ref="H6:I6"/>
    <mergeCell ref="J6:K6"/>
    <mergeCell ref="D36:E36"/>
    <mergeCell ref="D39:E39"/>
    <mergeCell ref="B5:C5"/>
    <mergeCell ref="D5:E5"/>
    <mergeCell ref="F5:G5"/>
    <mergeCell ref="H5:I5"/>
    <mergeCell ref="B7:C7"/>
    <mergeCell ref="D7:E7"/>
    <mergeCell ref="F7:G7"/>
    <mergeCell ref="H7:I7"/>
  </mergeCells>
  <hyperlinks>
    <hyperlink ref="B5" location="'CT_FullTree'!$B$12:$B$12" display="Full-Grown Tree"/>
    <hyperlink ref="D5" location="'CT_Output'!$B$12:$B$12" display="Inputs"/>
    <hyperlink ref="F5" location="'CT_Output'!$B$46:$B$46" display="Prior class probs"/>
    <hyperlink ref="H5" location="'CT_Output'!$B$54:$B$54" display="Train Log"/>
    <hyperlink ref="J5" location="'CT_Output'!$B$104:$B$104" display="Full-Grown Tree Rules"/>
    <hyperlink ref="B6" location="'CT_Output'!$B$202:$B$202" display="Train. Score Summary."/>
    <hyperlink ref="D6" location="'CT_Output'!$B$225:$B$225" display="Best-Pruned Tree Rules"/>
    <hyperlink ref="F6" location="'CT_Output'!$B$279:$B$279" display="Valid. Score Summary"/>
    <hyperlink ref="H6" location="'CT_PruneLog'!$B$2:$B$2" display="Prune Log"/>
    <hyperlink ref="J6" location="'CT_PruneTree'!$B$12:$B$12" display="Best-Pruned Tree"/>
    <hyperlink ref="B7" location="'CT_TrainingLiftChart'!$B$12:$B$12" display="CT Train. Lift Chart"/>
    <hyperlink ref="D7" location="'CT_TrainingScore'!$B$2:$B$2" display="Train. Score Detail"/>
    <hyperlink ref="F7" location="'CT_ValidationLiftChart'!$B$12:$B$12" display="CT Valid. Lift Chart"/>
    <hyperlink ref="H7" location="'CT_ValidationScore'!$B$2:$B$2" display="Valid. Score Detail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Q7"/>
  <sheetViews>
    <sheetView showGridLines="0" tabSelected="1" topLeftCell="A16" workbookViewId="0">
      <selection activeCell="M24" sqref="M24"/>
    </sheetView>
  </sheetViews>
  <sheetFormatPr defaultRowHeight="15" x14ac:dyDescent="0.25"/>
  <cols>
    <col min="14" max="14" width="11.140625" bestFit="1" customWidth="1"/>
  </cols>
  <sheetData>
    <row r="2" spans="2:17" ht="18.75" x14ac:dyDescent="0.3">
      <c r="B2" s="4" t="s">
        <v>118</v>
      </c>
      <c r="N2" t="s">
        <v>9</v>
      </c>
    </row>
    <row r="4" spans="2:17" ht="15.75" x14ac:dyDescent="0.25">
      <c r="B4" s="9" t="s">
        <v>81</v>
      </c>
      <c r="C4" s="10"/>
      <c r="D4" s="10"/>
      <c r="E4" s="10"/>
      <c r="F4" s="10"/>
      <c r="G4" s="10"/>
      <c r="H4" s="10"/>
      <c r="I4" s="10"/>
      <c r="J4" s="10"/>
      <c r="K4" s="11"/>
      <c r="N4" s="9" t="s">
        <v>82</v>
      </c>
      <c r="O4" s="10"/>
      <c r="P4" s="10"/>
      <c r="Q4" s="11"/>
    </row>
    <row r="5" spans="2:17" x14ac:dyDescent="0.25">
      <c r="B5" s="12" t="s">
        <v>102</v>
      </c>
      <c r="C5" s="8"/>
      <c r="D5" s="12" t="s">
        <v>103</v>
      </c>
      <c r="E5" s="8"/>
      <c r="F5" s="12" t="s">
        <v>104</v>
      </c>
      <c r="G5" s="8"/>
      <c r="H5" s="12" t="s">
        <v>105</v>
      </c>
      <c r="I5" s="8"/>
      <c r="J5" s="12" t="s">
        <v>106</v>
      </c>
      <c r="K5" s="8"/>
      <c r="N5" s="2" t="s">
        <v>83</v>
      </c>
      <c r="O5" s="2" t="s">
        <v>84</v>
      </c>
      <c r="P5" s="2" t="s">
        <v>85</v>
      </c>
      <c r="Q5" s="2" t="s">
        <v>86</v>
      </c>
    </row>
    <row r="6" spans="2:17" x14ac:dyDescent="0.25">
      <c r="B6" s="12" t="s">
        <v>107</v>
      </c>
      <c r="C6" s="8"/>
      <c r="D6" s="12" t="s">
        <v>108</v>
      </c>
      <c r="E6" s="8"/>
      <c r="F6" s="12" t="s">
        <v>109</v>
      </c>
      <c r="G6" s="8"/>
      <c r="H6" s="12" t="s">
        <v>110</v>
      </c>
      <c r="I6" s="8"/>
      <c r="J6" s="12" t="s">
        <v>111</v>
      </c>
      <c r="K6" s="8"/>
      <c r="N6" s="1">
        <v>15</v>
      </c>
      <c r="O6" s="1">
        <v>579</v>
      </c>
      <c r="P6" s="1">
        <v>78</v>
      </c>
      <c r="Q6" s="1">
        <v>672</v>
      </c>
    </row>
    <row r="7" spans="2:17" x14ac:dyDescent="0.25">
      <c r="B7" s="12" t="s">
        <v>112</v>
      </c>
      <c r="C7" s="8"/>
      <c r="D7" s="12" t="s">
        <v>113</v>
      </c>
      <c r="E7" s="8"/>
      <c r="F7" s="12" t="s">
        <v>114</v>
      </c>
      <c r="G7" s="8"/>
      <c r="H7" s="12" t="s">
        <v>115</v>
      </c>
      <c r="I7" s="8"/>
      <c r="J7" s="7"/>
      <c r="K7" s="8"/>
    </row>
  </sheetData>
  <mergeCells count="17">
    <mergeCell ref="N4:Q4"/>
    <mergeCell ref="B7:C7"/>
    <mergeCell ref="D7:E7"/>
    <mergeCell ref="F7:G7"/>
    <mergeCell ref="H7:I7"/>
    <mergeCell ref="J7:K7"/>
    <mergeCell ref="B4:K4"/>
    <mergeCell ref="B5:C5"/>
    <mergeCell ref="D5:E5"/>
    <mergeCell ref="F5:G5"/>
    <mergeCell ref="H5:I5"/>
    <mergeCell ref="J5:K5"/>
    <mergeCell ref="B6:C6"/>
    <mergeCell ref="D6:E6"/>
    <mergeCell ref="F6:G6"/>
    <mergeCell ref="H6:I6"/>
    <mergeCell ref="J6:K6"/>
  </mergeCells>
  <hyperlinks>
    <hyperlink ref="B5" location="'CT_FullTree'!$B$12:$B$12" display="Full-Grown Tree"/>
    <hyperlink ref="D5" location="'CT_Output'!$B$12:$B$12" display="Inputs"/>
    <hyperlink ref="F5" location="'CT_Output'!$B$46:$B$46" display="Prior class probs"/>
    <hyperlink ref="H5" location="'CT_Output'!$B$54:$B$54" display="Train Log"/>
    <hyperlink ref="J5" location="'CT_Output'!$B$104:$B$104" display="Full-Grown Tree Rules"/>
    <hyperlink ref="B6" location="'CT_Output'!$B$202:$B$202" display="Train. Score Summary."/>
    <hyperlink ref="D6" location="'CT_Output'!$B$225:$B$225" display="Best-Pruned Tree Rules"/>
    <hyperlink ref="F6" location="'CT_Output'!$B$279:$B$279" display="Valid. Score Summary"/>
    <hyperlink ref="H6" location="'CT_PruneLog'!$B$2:$B$2" display="Prune Log"/>
    <hyperlink ref="J6" location="'CT_PruneTree'!$B$12:$B$12" display="Best-Pruned Tree"/>
    <hyperlink ref="B7" location="'CT_TrainingLiftChart'!$B$12:$B$12" display="CT Train. Lift Chart"/>
    <hyperlink ref="D7" location="'CT_TrainingScore'!$B$2:$B$2" display="Train. Score Detail"/>
    <hyperlink ref="F7" location="'CT_ValidationLiftChart'!$B$12:$B$12" display="CT Valid. Lift Chart"/>
    <hyperlink ref="H7" location="'CT_ValidationScore'!$B$2:$B$2" display="Valid. Score Detail"/>
  </hyperlink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Q7"/>
  <sheetViews>
    <sheetView showGridLines="0" topLeftCell="A13" workbookViewId="0"/>
  </sheetViews>
  <sheetFormatPr defaultRowHeight="15" x14ac:dyDescent="0.25"/>
  <cols>
    <col min="14" max="14" width="11.140625" bestFit="1" customWidth="1"/>
  </cols>
  <sheetData>
    <row r="2" spans="2:17" ht="18.75" x14ac:dyDescent="0.3">
      <c r="B2" s="4" t="s">
        <v>117</v>
      </c>
      <c r="N2" t="s">
        <v>9</v>
      </c>
    </row>
    <row r="4" spans="2:17" ht="15.75" x14ac:dyDescent="0.25">
      <c r="B4" s="9" t="s">
        <v>81</v>
      </c>
      <c r="C4" s="10"/>
      <c r="D4" s="10"/>
      <c r="E4" s="10"/>
      <c r="F4" s="10"/>
      <c r="G4" s="10"/>
      <c r="H4" s="10"/>
      <c r="I4" s="10"/>
      <c r="J4" s="10"/>
      <c r="K4" s="11"/>
      <c r="N4" s="9" t="s">
        <v>82</v>
      </c>
      <c r="O4" s="10"/>
      <c r="P4" s="10"/>
      <c r="Q4" s="11"/>
    </row>
    <row r="5" spans="2:17" x14ac:dyDescent="0.25">
      <c r="B5" s="12" t="s">
        <v>102</v>
      </c>
      <c r="C5" s="8"/>
      <c r="D5" s="12" t="s">
        <v>103</v>
      </c>
      <c r="E5" s="8"/>
      <c r="F5" s="12" t="s">
        <v>104</v>
      </c>
      <c r="G5" s="8"/>
      <c r="H5" s="12" t="s">
        <v>105</v>
      </c>
      <c r="I5" s="8"/>
      <c r="J5" s="12" t="s">
        <v>106</v>
      </c>
      <c r="K5" s="8"/>
      <c r="N5" s="2" t="s">
        <v>83</v>
      </c>
      <c r="O5" s="2" t="s">
        <v>84</v>
      </c>
      <c r="P5" s="2" t="s">
        <v>85</v>
      </c>
      <c r="Q5" s="2" t="s">
        <v>86</v>
      </c>
    </row>
    <row r="6" spans="2:17" x14ac:dyDescent="0.25">
      <c r="B6" s="12" t="s">
        <v>107</v>
      </c>
      <c r="C6" s="8"/>
      <c r="D6" s="12" t="s">
        <v>108</v>
      </c>
      <c r="E6" s="8"/>
      <c r="F6" s="12" t="s">
        <v>109</v>
      </c>
      <c r="G6" s="8"/>
      <c r="H6" s="12" t="s">
        <v>110</v>
      </c>
      <c r="I6" s="8"/>
      <c r="J6" s="12" t="s">
        <v>111</v>
      </c>
      <c r="K6" s="8"/>
      <c r="N6" s="1">
        <v>15</v>
      </c>
      <c r="O6" s="1">
        <v>579</v>
      </c>
      <c r="P6" s="1">
        <v>78</v>
      </c>
      <c r="Q6" s="1">
        <v>672</v>
      </c>
    </row>
    <row r="7" spans="2:17" x14ac:dyDescent="0.25">
      <c r="B7" s="12" t="s">
        <v>112</v>
      </c>
      <c r="C7" s="8"/>
      <c r="D7" s="12" t="s">
        <v>113</v>
      </c>
      <c r="E7" s="8"/>
      <c r="F7" s="12" t="s">
        <v>114</v>
      </c>
      <c r="G7" s="8"/>
      <c r="H7" s="12" t="s">
        <v>115</v>
      </c>
      <c r="I7" s="8"/>
      <c r="J7" s="7"/>
      <c r="K7" s="8"/>
    </row>
  </sheetData>
  <mergeCells count="17">
    <mergeCell ref="N4:Q4"/>
    <mergeCell ref="B7:C7"/>
    <mergeCell ref="D7:E7"/>
    <mergeCell ref="F7:G7"/>
    <mergeCell ref="H7:I7"/>
    <mergeCell ref="J7:K7"/>
    <mergeCell ref="B4:K4"/>
    <mergeCell ref="B5:C5"/>
    <mergeCell ref="D5:E5"/>
    <mergeCell ref="F5:G5"/>
    <mergeCell ref="H5:I5"/>
    <mergeCell ref="J5:K5"/>
    <mergeCell ref="B6:C6"/>
    <mergeCell ref="D6:E6"/>
    <mergeCell ref="F6:G6"/>
    <mergeCell ref="H6:I6"/>
    <mergeCell ref="J6:K6"/>
  </mergeCells>
  <hyperlinks>
    <hyperlink ref="B5" location="'CT_FullTree'!$B$12:$B$12" display="Full-Grown Tree"/>
    <hyperlink ref="D5" location="'CT_Output'!$B$12:$B$12" display="Inputs"/>
    <hyperlink ref="F5" location="'CT_Output'!$B$46:$B$46" display="Prior class probs"/>
    <hyperlink ref="H5" location="'CT_Output'!$B$54:$B$54" display="Train Log"/>
    <hyperlink ref="J5" location="'CT_Output'!$B$104:$B$104" display="Full-Grown Tree Rules"/>
    <hyperlink ref="B6" location="'CT_Output'!$B$202:$B$202" display="Train. Score Summary."/>
    <hyperlink ref="D6" location="'CT_Output'!$B$225:$B$225" display="Best-Pruned Tree Rules"/>
    <hyperlink ref="F6" location="'CT_Output'!$B$279:$B$279" display="Valid. Score Summary"/>
    <hyperlink ref="H6" location="'CT_PruneLog'!$B$2:$B$2" display="Prune Log"/>
    <hyperlink ref="J6" location="'CT_PruneTree'!$B$12:$B$12" display="Best-Pruned Tree"/>
    <hyperlink ref="B7" location="'CT_TrainingLiftChart'!$B$12:$B$12" display="CT Train. Lift Chart"/>
    <hyperlink ref="D7" location="'CT_TrainingScore'!$B$2:$B$2" display="Train. Score Detail"/>
    <hyperlink ref="F7" location="'CT_ValidationLiftChart'!$B$12:$B$12" display="CT Valid. Lift Chart"/>
    <hyperlink ref="H7" location="'CT_ValidationScore'!$B$2:$B$2" display="Valid. Score Detail"/>
  </hyperlink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CB1863"/>
  <sheetViews>
    <sheetView showGridLines="0" workbookViewId="0"/>
  </sheetViews>
  <sheetFormatPr defaultRowHeight="15" x14ac:dyDescent="0.25"/>
  <cols>
    <col min="14" max="14" width="11.140625" bestFit="1" customWidth="1"/>
    <col min="52" max="52" width="8.140625" bestFit="1" customWidth="1"/>
    <col min="53" max="53" width="15.7109375" bestFit="1" customWidth="1"/>
    <col min="54" max="54" width="12.85546875" bestFit="1" customWidth="1"/>
    <col min="55" max="55" width="46.28515625" bestFit="1" customWidth="1"/>
    <col min="56" max="56" width="28.42578125" bestFit="1" customWidth="1"/>
    <col min="57" max="57" width="6.42578125" bestFit="1" customWidth="1"/>
    <col min="58" max="58" width="22.42578125" bestFit="1" customWidth="1"/>
    <col min="78" max="80" width="12" bestFit="1" customWidth="1"/>
  </cols>
  <sheetData>
    <row r="1" spans="2:80" x14ac:dyDescent="0.25">
      <c r="BZ1" s="2" t="s">
        <v>94</v>
      </c>
      <c r="CA1" s="2" t="s">
        <v>95</v>
      </c>
      <c r="CB1" s="2" t="s">
        <v>96</v>
      </c>
    </row>
    <row r="2" spans="2:80" ht="18.75" x14ac:dyDescent="0.3">
      <c r="B2" s="4" t="s">
        <v>116</v>
      </c>
      <c r="N2" t="s">
        <v>9</v>
      </c>
      <c r="BZ2">
        <v>0</v>
      </c>
      <c r="CA2">
        <v>0</v>
      </c>
      <c r="CB2">
        <v>0</v>
      </c>
    </row>
    <row r="3" spans="2:80" x14ac:dyDescent="0.25">
      <c r="AZ3" s="2" t="s">
        <v>87</v>
      </c>
      <c r="BA3" s="2" t="s">
        <v>88</v>
      </c>
      <c r="BB3" s="2" t="s">
        <v>89</v>
      </c>
      <c r="BC3" s="2" t="s">
        <v>90</v>
      </c>
      <c r="BD3" s="2" t="s">
        <v>91</v>
      </c>
      <c r="BE3" s="2" t="s">
        <v>92</v>
      </c>
      <c r="BF3" s="2" t="s">
        <v>93</v>
      </c>
      <c r="BZ3">
        <v>0</v>
      </c>
      <c r="CA3">
        <v>0.62285714285714289</v>
      </c>
      <c r="CB3">
        <v>0</v>
      </c>
    </row>
    <row r="4" spans="2:80" ht="15.75" x14ac:dyDescent="0.25">
      <c r="B4" s="9" t="s">
        <v>81</v>
      </c>
      <c r="C4" s="10"/>
      <c r="D4" s="10"/>
      <c r="E4" s="10"/>
      <c r="F4" s="10"/>
      <c r="G4" s="10"/>
      <c r="H4" s="10"/>
      <c r="I4" s="10"/>
      <c r="J4" s="10"/>
      <c r="K4" s="11"/>
      <c r="N4" s="9" t="s">
        <v>82</v>
      </c>
      <c r="O4" s="10"/>
      <c r="P4" s="10"/>
      <c r="Q4" s="11"/>
      <c r="AZ4" s="5">
        <v>1</v>
      </c>
      <c r="BA4" s="5">
        <v>1</v>
      </c>
      <c r="BB4" s="5">
        <v>1</v>
      </c>
      <c r="BC4" s="5">
        <v>1</v>
      </c>
      <c r="BD4" s="5">
        <v>0.28225806451612906</v>
      </c>
      <c r="BE4">
        <v>1</v>
      </c>
      <c r="BF4">
        <v>3.5428571428571423</v>
      </c>
      <c r="BZ4">
        <v>1.4981273408239701E-3</v>
      </c>
      <c r="CA4">
        <v>0.65904761904761899</v>
      </c>
      <c r="CB4">
        <v>1.4981273408239701E-3</v>
      </c>
    </row>
    <row r="5" spans="2:80" x14ac:dyDescent="0.25">
      <c r="B5" s="12" t="s">
        <v>102</v>
      </c>
      <c r="C5" s="8"/>
      <c r="D5" s="12" t="s">
        <v>103</v>
      </c>
      <c r="E5" s="8"/>
      <c r="F5" s="12" t="s">
        <v>104</v>
      </c>
      <c r="G5" s="8"/>
      <c r="H5" s="12" t="s">
        <v>105</v>
      </c>
      <c r="I5" s="8"/>
      <c r="J5" s="12" t="s">
        <v>106</v>
      </c>
      <c r="K5" s="8"/>
      <c r="N5" s="2" t="s">
        <v>83</v>
      </c>
      <c r="O5" s="2" t="s">
        <v>84</v>
      </c>
      <c r="P5" s="2" t="s">
        <v>85</v>
      </c>
      <c r="Q5" s="2" t="s">
        <v>86</v>
      </c>
      <c r="AZ5" s="5">
        <v>2</v>
      </c>
      <c r="BA5" s="5">
        <v>1</v>
      </c>
      <c r="BB5" s="5">
        <v>1</v>
      </c>
      <c r="BC5" s="5">
        <v>2</v>
      </c>
      <c r="BD5" s="5">
        <v>0.56451612903225812</v>
      </c>
      <c r="BE5">
        <v>2</v>
      </c>
      <c r="BF5">
        <v>3.409523809523809</v>
      </c>
      <c r="BZ5">
        <v>2.2471910112359553E-3</v>
      </c>
      <c r="CA5">
        <v>0.67619047619047623</v>
      </c>
      <c r="CB5">
        <v>2.2471910112359553E-3</v>
      </c>
    </row>
    <row r="6" spans="2:80" x14ac:dyDescent="0.25">
      <c r="B6" s="12" t="s">
        <v>107</v>
      </c>
      <c r="C6" s="8"/>
      <c r="D6" s="12" t="s">
        <v>108</v>
      </c>
      <c r="E6" s="8"/>
      <c r="F6" s="12" t="s">
        <v>109</v>
      </c>
      <c r="G6" s="8"/>
      <c r="H6" s="12" t="s">
        <v>110</v>
      </c>
      <c r="I6" s="8"/>
      <c r="J6" s="12" t="s">
        <v>111</v>
      </c>
      <c r="K6" s="8"/>
      <c r="N6" s="1">
        <v>15</v>
      </c>
      <c r="O6" s="1">
        <v>579</v>
      </c>
      <c r="P6" s="1">
        <v>78</v>
      </c>
      <c r="Q6" s="1">
        <v>672</v>
      </c>
      <c r="AZ6" s="5">
        <v>3</v>
      </c>
      <c r="BA6" s="5">
        <v>1</v>
      </c>
      <c r="BB6" s="5">
        <v>1</v>
      </c>
      <c r="BC6" s="5">
        <v>3</v>
      </c>
      <c r="BD6" s="5">
        <v>0.84677419354838723</v>
      </c>
      <c r="BE6">
        <v>3</v>
      </c>
      <c r="BF6">
        <v>2.2666666666666662</v>
      </c>
      <c r="BZ6">
        <v>2.9962546816479402E-3</v>
      </c>
      <c r="CA6">
        <v>0.68571428571428572</v>
      </c>
      <c r="CB6">
        <v>2.9962546816479402E-3</v>
      </c>
    </row>
    <row r="7" spans="2:80" x14ac:dyDescent="0.25">
      <c r="B7" s="12" t="s">
        <v>112</v>
      </c>
      <c r="C7" s="8"/>
      <c r="D7" s="12" t="s">
        <v>113</v>
      </c>
      <c r="E7" s="8"/>
      <c r="F7" s="12" t="s">
        <v>114</v>
      </c>
      <c r="G7" s="8"/>
      <c r="H7" s="12" t="s">
        <v>115</v>
      </c>
      <c r="I7" s="8"/>
      <c r="J7" s="7"/>
      <c r="K7" s="8"/>
      <c r="AZ7" s="5">
        <v>4</v>
      </c>
      <c r="BA7" s="5">
        <v>1</v>
      </c>
      <c r="BB7" s="5">
        <v>1</v>
      </c>
      <c r="BC7" s="5">
        <v>4</v>
      </c>
      <c r="BD7" s="5">
        <v>1.1290322580645162</v>
      </c>
      <c r="BE7">
        <v>4</v>
      </c>
      <c r="BF7">
        <v>0.76190476190476175</v>
      </c>
      <c r="BZ7">
        <v>8.988764044943821E-3</v>
      </c>
      <c r="CA7">
        <v>0.7466666666666667</v>
      </c>
      <c r="CB7">
        <v>8.988764044943821E-3</v>
      </c>
    </row>
    <row r="8" spans="2:80" x14ac:dyDescent="0.25">
      <c r="AZ8" s="5">
        <v>5</v>
      </c>
      <c r="BA8" s="5">
        <v>1</v>
      </c>
      <c r="BB8" s="5">
        <v>1</v>
      </c>
      <c r="BC8" s="5">
        <v>5</v>
      </c>
      <c r="BD8" s="5">
        <v>1.4112903225806452</v>
      </c>
      <c r="BE8">
        <v>5</v>
      </c>
      <c r="BF8">
        <v>1.9047619047619046E-2</v>
      </c>
      <c r="BZ8">
        <v>1.3483146067415731E-2</v>
      </c>
      <c r="CA8">
        <v>0.77714285714285714</v>
      </c>
      <c r="CB8">
        <v>1.3483146067415731E-2</v>
      </c>
    </row>
    <row r="9" spans="2:80" x14ac:dyDescent="0.25">
      <c r="AZ9" s="5">
        <v>6</v>
      </c>
      <c r="BA9" s="5">
        <v>1</v>
      </c>
      <c r="BB9" s="5">
        <v>1</v>
      </c>
      <c r="BC9" s="5">
        <v>6</v>
      </c>
      <c r="BD9" s="5">
        <v>1.6935483870967745</v>
      </c>
      <c r="BE9">
        <v>6</v>
      </c>
      <c r="BF9">
        <v>0</v>
      </c>
      <c r="BZ9">
        <v>1.647940074906367E-2</v>
      </c>
      <c r="CA9">
        <v>0.79428571428571426</v>
      </c>
      <c r="CB9">
        <v>1.647940074906367E-2</v>
      </c>
    </row>
    <row r="10" spans="2:80" x14ac:dyDescent="0.25">
      <c r="AZ10" s="5">
        <v>7</v>
      </c>
      <c r="BA10" s="5">
        <v>1</v>
      </c>
      <c r="BB10" s="5">
        <v>1</v>
      </c>
      <c r="BC10" s="5">
        <v>7</v>
      </c>
      <c r="BD10" s="5">
        <v>1.9758064516129035</v>
      </c>
      <c r="BE10">
        <v>7</v>
      </c>
      <c r="BF10">
        <v>0</v>
      </c>
      <c r="BZ10">
        <v>2.1722846441947566E-2</v>
      </c>
      <c r="CA10">
        <v>0.82285714285714284</v>
      </c>
      <c r="CB10">
        <v>2.1722846441947566E-2</v>
      </c>
    </row>
    <row r="11" spans="2:80" x14ac:dyDescent="0.25">
      <c r="AZ11" s="5">
        <v>8</v>
      </c>
      <c r="BA11" s="5">
        <v>1</v>
      </c>
      <c r="BB11" s="5">
        <v>1</v>
      </c>
      <c r="BC11" s="5">
        <v>8</v>
      </c>
      <c r="BD11" s="5">
        <v>2.2580645161290325</v>
      </c>
      <c r="BE11">
        <v>8</v>
      </c>
      <c r="BF11">
        <v>0</v>
      </c>
      <c r="BZ11">
        <v>2.3220973782771534E-2</v>
      </c>
      <c r="CA11">
        <v>0.83047619047619048</v>
      </c>
      <c r="CB11">
        <v>2.3220973782771534E-2</v>
      </c>
    </row>
    <row r="12" spans="2:80" x14ac:dyDescent="0.25">
      <c r="AZ12" s="5">
        <v>9</v>
      </c>
      <c r="BA12" s="5">
        <v>1</v>
      </c>
      <c r="BB12" s="5">
        <v>1</v>
      </c>
      <c r="BC12" s="5">
        <v>9</v>
      </c>
      <c r="BD12" s="5">
        <v>2.5403225806451615</v>
      </c>
      <c r="BE12">
        <v>9</v>
      </c>
      <c r="BF12">
        <v>0</v>
      </c>
      <c r="BZ12">
        <v>2.9962546816479401E-2</v>
      </c>
      <c r="CA12">
        <v>0.86095238095238091</v>
      </c>
      <c r="CB12">
        <v>2.9962546816479401E-2</v>
      </c>
    </row>
    <row r="13" spans="2:80" x14ac:dyDescent="0.25">
      <c r="AZ13" s="5">
        <v>10</v>
      </c>
      <c r="BA13" s="5">
        <v>1</v>
      </c>
      <c r="BB13" s="5">
        <v>1</v>
      </c>
      <c r="BC13" s="5">
        <v>10</v>
      </c>
      <c r="BD13" s="5">
        <v>2.8225806451612905</v>
      </c>
      <c r="BE13">
        <v>10</v>
      </c>
      <c r="BF13">
        <v>0</v>
      </c>
      <c r="BZ13">
        <v>3.5205992509363293E-2</v>
      </c>
      <c r="CA13">
        <v>0.87809523809523804</v>
      </c>
      <c r="CB13">
        <v>3.5205992509363293E-2</v>
      </c>
    </row>
    <row r="14" spans="2:80" x14ac:dyDescent="0.25">
      <c r="AZ14" s="5">
        <v>11</v>
      </c>
      <c r="BA14" s="5">
        <v>1</v>
      </c>
      <c r="BB14" s="5">
        <v>1</v>
      </c>
      <c r="BC14" s="5">
        <v>11</v>
      </c>
      <c r="BD14" s="5">
        <v>3.1048387096774195</v>
      </c>
      <c r="BZ14">
        <v>4.1198501872659173E-2</v>
      </c>
      <c r="CA14">
        <v>0.89523809523809528</v>
      </c>
      <c r="CB14">
        <v>4.1198501872659173E-2</v>
      </c>
    </row>
    <row r="15" spans="2:80" x14ac:dyDescent="0.25">
      <c r="AZ15" s="5">
        <v>12</v>
      </c>
      <c r="BA15" s="5">
        <v>1</v>
      </c>
      <c r="BB15" s="5">
        <v>1</v>
      </c>
      <c r="BC15" s="5">
        <v>12</v>
      </c>
      <c r="BD15" s="5">
        <v>3.3870967741935489</v>
      </c>
      <c r="BZ15">
        <v>4.2696629213483148E-2</v>
      </c>
      <c r="CA15">
        <v>0.8990476190476191</v>
      </c>
      <c r="CB15">
        <v>4.2696629213483148E-2</v>
      </c>
    </row>
    <row r="16" spans="2:80" x14ac:dyDescent="0.25">
      <c r="AZ16" s="5">
        <v>13</v>
      </c>
      <c r="BA16" s="5">
        <v>1</v>
      </c>
      <c r="BB16" s="5">
        <v>1</v>
      </c>
      <c r="BC16" s="5">
        <v>13</v>
      </c>
      <c r="BD16" s="5">
        <v>3.6693548387096779</v>
      </c>
      <c r="BZ16">
        <v>5.3932584269662923E-2</v>
      </c>
      <c r="CA16">
        <v>0.92190476190476189</v>
      </c>
      <c r="CB16">
        <v>5.3932584269662923E-2</v>
      </c>
    </row>
    <row r="17" spans="52:80" x14ac:dyDescent="0.25">
      <c r="AZ17" s="5">
        <v>14</v>
      </c>
      <c r="BA17" s="5">
        <v>1</v>
      </c>
      <c r="BB17" s="5">
        <v>1</v>
      </c>
      <c r="BC17" s="5">
        <v>14</v>
      </c>
      <c r="BD17" s="5">
        <v>3.9516129032258069</v>
      </c>
      <c r="BZ17">
        <v>6.0674157303370786E-2</v>
      </c>
      <c r="CA17">
        <v>0.9352380952380952</v>
      </c>
      <c r="CB17">
        <v>6.0674157303370786E-2</v>
      </c>
    </row>
    <row r="18" spans="52:80" x14ac:dyDescent="0.25">
      <c r="AZ18" s="5">
        <v>15</v>
      </c>
      <c r="BA18" s="5">
        <v>1</v>
      </c>
      <c r="BB18" s="5">
        <v>1</v>
      </c>
      <c r="BC18" s="5">
        <v>15</v>
      </c>
      <c r="BD18" s="5">
        <v>4.2338709677419359</v>
      </c>
      <c r="BZ18">
        <v>6.5168539325842698E-2</v>
      </c>
      <c r="CA18">
        <v>0.94285714285714284</v>
      </c>
      <c r="CB18">
        <v>6.5168539325842698E-2</v>
      </c>
    </row>
    <row r="19" spans="52:80" x14ac:dyDescent="0.25">
      <c r="AZ19" s="5">
        <v>16</v>
      </c>
      <c r="BA19" s="5">
        <v>1</v>
      </c>
      <c r="BB19" s="5">
        <v>1</v>
      </c>
      <c r="BC19" s="5">
        <v>16</v>
      </c>
      <c r="BD19" s="5">
        <v>4.5161290322580649</v>
      </c>
      <c r="BZ19">
        <v>7.116104868913857E-2</v>
      </c>
      <c r="CA19">
        <v>0.95238095238095233</v>
      </c>
      <c r="CB19">
        <v>7.116104868913857E-2</v>
      </c>
    </row>
    <row r="20" spans="52:80" x14ac:dyDescent="0.25">
      <c r="AZ20" s="5">
        <v>17</v>
      </c>
      <c r="BA20" s="5">
        <v>1</v>
      </c>
      <c r="BB20" s="5">
        <v>1</v>
      </c>
      <c r="BC20" s="5">
        <v>17</v>
      </c>
      <c r="BD20" s="5">
        <v>4.7983870967741939</v>
      </c>
      <c r="BZ20">
        <v>7.4906367041198504E-2</v>
      </c>
      <c r="CA20">
        <v>0.95809523809523811</v>
      </c>
      <c r="CB20">
        <v>7.4906367041198504E-2</v>
      </c>
    </row>
    <row r="21" spans="52:80" x14ac:dyDescent="0.25">
      <c r="AZ21" s="5">
        <v>18</v>
      </c>
      <c r="BA21" s="5">
        <v>1</v>
      </c>
      <c r="BB21" s="5">
        <v>1</v>
      </c>
      <c r="BC21" s="5">
        <v>18</v>
      </c>
      <c r="BD21" s="5">
        <v>5.080645161290323</v>
      </c>
      <c r="BZ21">
        <v>8.0149812734082393E-2</v>
      </c>
      <c r="CA21">
        <v>0.96380952380952378</v>
      </c>
      <c r="CB21">
        <v>8.0149812734082393E-2</v>
      </c>
    </row>
    <row r="22" spans="52:80" x14ac:dyDescent="0.25">
      <c r="AZ22" s="5">
        <v>19</v>
      </c>
      <c r="BA22" s="5">
        <v>1</v>
      </c>
      <c r="BB22" s="5">
        <v>1</v>
      </c>
      <c r="BC22" s="5">
        <v>19</v>
      </c>
      <c r="BD22" s="5">
        <v>5.362903225806452</v>
      </c>
      <c r="BZ22">
        <v>8.3895131086142327E-2</v>
      </c>
      <c r="CA22">
        <v>0.9676190476190476</v>
      </c>
      <c r="CB22">
        <v>8.3895131086142327E-2</v>
      </c>
    </row>
    <row r="23" spans="52:80" x14ac:dyDescent="0.25">
      <c r="AZ23" s="5">
        <v>20</v>
      </c>
      <c r="BA23" s="5">
        <v>1</v>
      </c>
      <c r="BB23" s="5">
        <v>1</v>
      </c>
      <c r="BC23" s="5">
        <v>20</v>
      </c>
      <c r="BD23" s="5">
        <v>5.645161290322581</v>
      </c>
      <c r="BZ23">
        <v>9.662921348314607E-2</v>
      </c>
      <c r="CA23">
        <v>0.97904761904761906</v>
      </c>
      <c r="CB23">
        <v>9.662921348314607E-2</v>
      </c>
    </row>
    <row r="24" spans="52:80" x14ac:dyDescent="0.25">
      <c r="AZ24" s="5">
        <v>21</v>
      </c>
      <c r="BA24" s="5">
        <v>1</v>
      </c>
      <c r="BB24" s="5">
        <v>1</v>
      </c>
      <c r="BC24" s="5">
        <v>21</v>
      </c>
      <c r="BD24" s="5">
        <v>5.92741935483871</v>
      </c>
      <c r="BZ24">
        <v>0.10486891385767791</v>
      </c>
      <c r="CA24">
        <v>0.98476190476190473</v>
      </c>
      <c r="CB24">
        <v>0.10486891385767791</v>
      </c>
    </row>
    <row r="25" spans="52:80" x14ac:dyDescent="0.25">
      <c r="AZ25" s="5">
        <v>22</v>
      </c>
      <c r="BA25" s="5">
        <v>1</v>
      </c>
      <c r="BB25" s="5">
        <v>1</v>
      </c>
      <c r="BC25" s="5">
        <v>22</v>
      </c>
      <c r="BD25" s="5">
        <v>6.209677419354839</v>
      </c>
      <c r="BZ25">
        <v>0.11835205992509364</v>
      </c>
      <c r="CA25">
        <v>0.98857142857142855</v>
      </c>
      <c r="CB25">
        <v>0.11835205992509364</v>
      </c>
    </row>
    <row r="26" spans="52:80" x14ac:dyDescent="0.25">
      <c r="AZ26" s="5">
        <v>23</v>
      </c>
      <c r="BA26" s="5">
        <v>1</v>
      </c>
      <c r="BB26" s="5">
        <v>1</v>
      </c>
      <c r="BC26" s="5">
        <v>23</v>
      </c>
      <c r="BD26" s="5">
        <v>6.491935483870968</v>
      </c>
      <c r="BZ26">
        <v>0.1348314606741573</v>
      </c>
      <c r="CA26">
        <v>0.99238095238095236</v>
      </c>
      <c r="CB26">
        <v>0.1348314606741573</v>
      </c>
    </row>
    <row r="27" spans="52:80" x14ac:dyDescent="0.25">
      <c r="AZ27" s="5">
        <v>24</v>
      </c>
      <c r="BA27" s="5">
        <v>1</v>
      </c>
      <c r="BB27" s="5">
        <v>1</v>
      </c>
      <c r="BC27" s="5">
        <v>24</v>
      </c>
      <c r="BD27" s="5">
        <v>6.7741935483870979</v>
      </c>
      <c r="BZ27">
        <v>0.14456928838951311</v>
      </c>
      <c r="CA27">
        <v>0.99428571428571433</v>
      </c>
      <c r="CB27">
        <v>0.14456928838951311</v>
      </c>
    </row>
    <row r="28" spans="52:80" x14ac:dyDescent="0.25">
      <c r="AZ28" s="5">
        <v>25</v>
      </c>
      <c r="BA28" s="5">
        <v>1</v>
      </c>
      <c r="BB28" s="5">
        <v>1</v>
      </c>
      <c r="BC28" s="5">
        <v>25</v>
      </c>
      <c r="BD28" s="5">
        <v>7.0564516129032269</v>
      </c>
      <c r="BZ28">
        <v>0.16104868913857678</v>
      </c>
      <c r="CA28">
        <v>0.99619047619047618</v>
      </c>
      <c r="CB28">
        <v>0.16104868913857678</v>
      </c>
    </row>
    <row r="29" spans="52:80" x14ac:dyDescent="0.25">
      <c r="AZ29" s="5">
        <v>26</v>
      </c>
      <c r="BA29" s="5">
        <v>1</v>
      </c>
      <c r="BB29" s="5">
        <v>1</v>
      </c>
      <c r="BC29" s="5">
        <v>26</v>
      </c>
      <c r="BD29" s="5">
        <v>7.3387096774193559</v>
      </c>
      <c r="BZ29">
        <v>0.17902621722846443</v>
      </c>
      <c r="CA29">
        <v>0.99809523809523815</v>
      </c>
      <c r="CB29">
        <v>0.17902621722846443</v>
      </c>
    </row>
    <row r="30" spans="52:80" x14ac:dyDescent="0.25">
      <c r="AZ30" s="5">
        <v>27</v>
      </c>
      <c r="BA30" s="5">
        <v>1</v>
      </c>
      <c r="BB30" s="5">
        <v>1</v>
      </c>
      <c r="BC30" s="5">
        <v>27</v>
      </c>
      <c r="BD30" s="5">
        <v>7.6209677419354849</v>
      </c>
      <c r="BZ30">
        <v>0.2</v>
      </c>
      <c r="CA30">
        <v>1</v>
      </c>
      <c r="CB30">
        <v>0.2</v>
      </c>
    </row>
    <row r="31" spans="52:80" x14ac:dyDescent="0.25">
      <c r="AZ31" s="5">
        <v>28</v>
      </c>
      <c r="BA31" s="5">
        <v>1</v>
      </c>
      <c r="BB31" s="5">
        <v>1</v>
      </c>
      <c r="BC31" s="5">
        <v>28</v>
      </c>
      <c r="BD31" s="5">
        <v>7.9032258064516139</v>
      </c>
      <c r="BZ31">
        <v>1</v>
      </c>
      <c r="CA31">
        <v>1</v>
      </c>
      <c r="CB31">
        <v>1</v>
      </c>
    </row>
    <row r="32" spans="52:80" x14ac:dyDescent="0.25">
      <c r="AZ32" s="5">
        <v>29</v>
      </c>
      <c r="BA32" s="5">
        <v>1</v>
      </c>
      <c r="BB32" s="5">
        <v>1</v>
      </c>
      <c r="BC32" s="5">
        <v>29</v>
      </c>
      <c r="BD32" s="5">
        <v>8.185483870967742</v>
      </c>
    </row>
    <row r="33" spans="9:56" x14ac:dyDescent="0.25">
      <c r="AZ33" s="5">
        <v>30</v>
      </c>
      <c r="BA33" s="5">
        <v>1</v>
      </c>
      <c r="BB33" s="5">
        <v>1</v>
      </c>
      <c r="BC33" s="5">
        <v>30</v>
      </c>
      <c r="BD33" s="5">
        <v>8.4677419354838719</v>
      </c>
    </row>
    <row r="34" spans="9:56" x14ac:dyDescent="0.25">
      <c r="AZ34" s="5">
        <v>31</v>
      </c>
      <c r="BA34" s="5">
        <v>1</v>
      </c>
      <c r="BB34" s="5">
        <v>1</v>
      </c>
      <c r="BC34" s="5">
        <v>31</v>
      </c>
      <c r="BD34" s="5">
        <v>8.75</v>
      </c>
    </row>
    <row r="35" spans="9:56" x14ac:dyDescent="0.25">
      <c r="AZ35" s="5">
        <v>32</v>
      </c>
      <c r="BA35" s="5">
        <v>1</v>
      </c>
      <c r="BB35" s="5">
        <v>1</v>
      </c>
      <c r="BC35" s="5">
        <v>32</v>
      </c>
      <c r="BD35" s="5">
        <v>9.0322580645161299</v>
      </c>
    </row>
    <row r="36" spans="9:56" x14ac:dyDescent="0.25">
      <c r="AZ36" s="5">
        <v>33</v>
      </c>
      <c r="BA36" s="5">
        <v>1</v>
      </c>
      <c r="BB36" s="5">
        <v>1</v>
      </c>
      <c r="BC36" s="5">
        <v>33</v>
      </c>
      <c r="BD36" s="5">
        <v>9.3145161290322598</v>
      </c>
    </row>
    <row r="37" spans="9:56" x14ac:dyDescent="0.25">
      <c r="AZ37" s="5">
        <v>34</v>
      </c>
      <c r="BA37" s="5">
        <v>1</v>
      </c>
      <c r="BB37" s="5">
        <v>1</v>
      </c>
      <c r="BC37" s="5">
        <v>34</v>
      </c>
      <c r="BD37" s="5">
        <v>9.5967741935483879</v>
      </c>
    </row>
    <row r="38" spans="9:56" x14ac:dyDescent="0.25">
      <c r="AZ38" s="5">
        <v>35</v>
      </c>
      <c r="BA38" s="5">
        <v>1</v>
      </c>
      <c r="BB38" s="5">
        <v>1</v>
      </c>
      <c r="BC38" s="5">
        <v>35</v>
      </c>
      <c r="BD38" s="5">
        <v>9.8790322580645178</v>
      </c>
    </row>
    <row r="39" spans="9:56" x14ac:dyDescent="0.25">
      <c r="AZ39" s="5">
        <v>36</v>
      </c>
      <c r="BA39" s="5">
        <v>1</v>
      </c>
      <c r="BB39" s="5">
        <v>1</v>
      </c>
      <c r="BC39" s="5">
        <v>36</v>
      </c>
      <c r="BD39" s="5">
        <v>10.161290322580646</v>
      </c>
    </row>
    <row r="40" spans="9:56" x14ac:dyDescent="0.25">
      <c r="I40" s="2" t="s">
        <v>97</v>
      </c>
      <c r="J40" s="2" t="s">
        <v>98</v>
      </c>
      <c r="K40" s="2" t="s">
        <v>99</v>
      </c>
      <c r="L40" s="2" t="s">
        <v>100</v>
      </c>
      <c r="M40" s="2" t="s">
        <v>101</v>
      </c>
      <c r="AZ40" s="5">
        <v>37</v>
      </c>
      <c r="BA40" s="5">
        <v>1</v>
      </c>
      <c r="BB40" s="5">
        <v>1</v>
      </c>
      <c r="BC40" s="5">
        <v>37</v>
      </c>
      <c r="BD40" s="5">
        <v>10.443548387096776</v>
      </c>
    </row>
    <row r="41" spans="9:56" x14ac:dyDescent="0.25">
      <c r="I41" s="3">
        <v>1</v>
      </c>
      <c r="J41" s="1">
        <v>1</v>
      </c>
      <c r="K41" s="1">
        <v>0</v>
      </c>
      <c r="L41" s="1">
        <v>1</v>
      </c>
      <c r="M41" s="1">
        <v>1</v>
      </c>
      <c r="AZ41" s="5">
        <v>38</v>
      </c>
      <c r="BA41" s="5">
        <v>1</v>
      </c>
      <c r="BB41" s="5">
        <v>1</v>
      </c>
      <c r="BC41" s="5">
        <v>38</v>
      </c>
      <c r="BD41" s="5">
        <v>10.725806451612904</v>
      </c>
    </row>
    <row r="42" spans="9:56" x14ac:dyDescent="0.25">
      <c r="I42" s="3">
        <v>2</v>
      </c>
      <c r="J42" s="1">
        <v>0.9623655913978495</v>
      </c>
      <c r="K42" s="1">
        <v>0.19082408964286116</v>
      </c>
      <c r="L42" s="1">
        <v>0</v>
      </c>
      <c r="M42" s="1">
        <v>1</v>
      </c>
      <c r="AZ42" s="5">
        <v>39</v>
      </c>
      <c r="BA42" s="5">
        <v>1</v>
      </c>
      <c r="BB42" s="5">
        <v>1</v>
      </c>
      <c r="BC42" s="5">
        <v>39</v>
      </c>
      <c r="BD42" s="5">
        <v>11.008064516129034</v>
      </c>
    </row>
    <row r="43" spans="9:56" x14ac:dyDescent="0.25">
      <c r="I43" s="3">
        <v>3</v>
      </c>
      <c r="J43" s="1">
        <v>0.63978494623655913</v>
      </c>
      <c r="K43" s="1">
        <v>0.48135838981764395</v>
      </c>
      <c r="L43" s="1">
        <v>0</v>
      </c>
      <c r="M43" s="1">
        <v>1</v>
      </c>
      <c r="AZ43" s="5">
        <v>40</v>
      </c>
      <c r="BA43" s="5">
        <v>1</v>
      </c>
      <c r="BB43" s="5">
        <v>1</v>
      </c>
      <c r="BC43" s="5">
        <v>40</v>
      </c>
      <c r="BD43" s="5">
        <v>11.290322580645162</v>
      </c>
    </row>
    <row r="44" spans="9:56" x14ac:dyDescent="0.25">
      <c r="I44" s="3">
        <v>4</v>
      </c>
      <c r="J44" s="1">
        <v>0.21505376344086022</v>
      </c>
      <c r="K44" s="1">
        <v>0.41196857307563617</v>
      </c>
      <c r="L44" s="1">
        <v>0</v>
      </c>
      <c r="M44" s="1">
        <v>1</v>
      </c>
      <c r="AZ44" s="5">
        <v>41</v>
      </c>
      <c r="BA44" s="5">
        <v>1</v>
      </c>
      <c r="BB44" s="5">
        <v>1</v>
      </c>
      <c r="BC44" s="5">
        <v>41</v>
      </c>
      <c r="BD44" s="5">
        <v>11.572580645161292</v>
      </c>
    </row>
    <row r="45" spans="9:56" x14ac:dyDescent="0.25">
      <c r="I45" s="3">
        <v>5</v>
      </c>
      <c r="J45" s="1">
        <v>5.3763440860215058E-3</v>
      </c>
      <c r="K45" s="1">
        <v>7.332355751067654E-2</v>
      </c>
      <c r="L45" s="1">
        <v>0</v>
      </c>
      <c r="M45" s="1">
        <v>1</v>
      </c>
      <c r="AZ45" s="5">
        <v>42</v>
      </c>
      <c r="BA45" s="5">
        <v>1</v>
      </c>
      <c r="BB45" s="5">
        <v>1</v>
      </c>
      <c r="BC45" s="5">
        <v>42</v>
      </c>
      <c r="BD45" s="5">
        <v>11.85483870967742</v>
      </c>
    </row>
    <row r="46" spans="9:56" x14ac:dyDescent="0.25">
      <c r="I46" s="3">
        <v>6</v>
      </c>
      <c r="J46" s="1">
        <v>0</v>
      </c>
      <c r="K46" s="1">
        <v>0</v>
      </c>
      <c r="L46" s="1">
        <v>0</v>
      </c>
      <c r="M46" s="1">
        <v>0</v>
      </c>
      <c r="AZ46" s="5">
        <v>43</v>
      </c>
      <c r="BA46" s="5">
        <v>1</v>
      </c>
      <c r="BB46" s="5">
        <v>1</v>
      </c>
      <c r="BC46" s="5">
        <v>43</v>
      </c>
      <c r="BD46" s="5">
        <v>12.13709677419355</v>
      </c>
    </row>
    <row r="47" spans="9:56" x14ac:dyDescent="0.25">
      <c r="I47" s="3">
        <v>7</v>
      </c>
      <c r="J47" s="1">
        <v>0</v>
      </c>
      <c r="K47" s="1">
        <v>0</v>
      </c>
      <c r="L47" s="1">
        <v>0</v>
      </c>
      <c r="M47" s="1">
        <v>0</v>
      </c>
      <c r="AZ47" s="5">
        <v>44</v>
      </c>
      <c r="BA47" s="5">
        <v>1</v>
      </c>
      <c r="BB47" s="5">
        <v>1</v>
      </c>
      <c r="BC47" s="5">
        <v>44</v>
      </c>
      <c r="BD47" s="5">
        <v>12.419354838709678</v>
      </c>
    </row>
    <row r="48" spans="9:56" x14ac:dyDescent="0.25">
      <c r="I48" s="3">
        <v>8</v>
      </c>
      <c r="J48" s="1">
        <v>0</v>
      </c>
      <c r="K48" s="1">
        <v>0</v>
      </c>
      <c r="L48" s="1">
        <v>0</v>
      </c>
      <c r="M48" s="1">
        <v>0</v>
      </c>
      <c r="AZ48" s="5">
        <v>45</v>
      </c>
      <c r="BA48" s="5">
        <v>1</v>
      </c>
      <c r="BB48" s="5">
        <v>1</v>
      </c>
      <c r="BC48" s="5">
        <v>45</v>
      </c>
      <c r="BD48" s="5">
        <v>12.701612903225808</v>
      </c>
    </row>
    <row r="49" spans="9:56" x14ac:dyDescent="0.25">
      <c r="I49" s="3">
        <v>9</v>
      </c>
      <c r="J49" s="1">
        <v>0</v>
      </c>
      <c r="K49" s="1">
        <v>0</v>
      </c>
      <c r="L49" s="1">
        <v>0</v>
      </c>
      <c r="M49" s="1">
        <v>0</v>
      </c>
      <c r="AZ49" s="5">
        <v>46</v>
      </c>
      <c r="BA49" s="5">
        <v>1</v>
      </c>
      <c r="BB49" s="5">
        <v>1</v>
      </c>
      <c r="BC49" s="5">
        <v>46</v>
      </c>
      <c r="BD49" s="5">
        <v>12.983870967741936</v>
      </c>
    </row>
    <row r="50" spans="9:56" x14ac:dyDescent="0.25">
      <c r="I50" s="3">
        <v>10</v>
      </c>
      <c r="J50" s="1">
        <v>0</v>
      </c>
      <c r="K50" s="1">
        <v>0</v>
      </c>
      <c r="L50" s="1">
        <v>0</v>
      </c>
      <c r="M50" s="1">
        <v>0</v>
      </c>
      <c r="AZ50" s="5">
        <v>47</v>
      </c>
      <c r="BA50" s="5">
        <v>1</v>
      </c>
      <c r="BB50" s="5">
        <v>1</v>
      </c>
      <c r="BC50" s="5">
        <v>47</v>
      </c>
      <c r="BD50" s="5">
        <v>13.266129032258066</v>
      </c>
    </row>
    <row r="51" spans="9:56" x14ac:dyDescent="0.25">
      <c r="AZ51" s="5">
        <v>48</v>
      </c>
      <c r="BA51" s="5">
        <v>1</v>
      </c>
      <c r="BB51" s="5">
        <v>1</v>
      </c>
      <c r="BC51" s="5">
        <v>48</v>
      </c>
      <c r="BD51" s="5">
        <v>13.548387096774196</v>
      </c>
    </row>
    <row r="52" spans="9:56" x14ac:dyDescent="0.25">
      <c r="AZ52" s="5">
        <v>49</v>
      </c>
      <c r="BA52" s="5">
        <v>1</v>
      </c>
      <c r="BB52" s="5">
        <v>1</v>
      </c>
      <c r="BC52" s="5">
        <v>49</v>
      </c>
      <c r="BD52" s="5">
        <v>13.830645161290324</v>
      </c>
    </row>
    <row r="53" spans="9:56" x14ac:dyDescent="0.25">
      <c r="AZ53" s="5">
        <v>50</v>
      </c>
      <c r="BA53" s="5">
        <v>1</v>
      </c>
      <c r="BB53" s="5">
        <v>1</v>
      </c>
      <c r="BC53" s="5">
        <v>50</v>
      </c>
      <c r="BD53" s="5">
        <v>14.112903225806454</v>
      </c>
    </row>
    <row r="54" spans="9:56" x14ac:dyDescent="0.25">
      <c r="AZ54" s="5">
        <v>51</v>
      </c>
      <c r="BA54" s="5">
        <v>1</v>
      </c>
      <c r="BB54" s="5">
        <v>1</v>
      </c>
      <c r="BC54" s="5">
        <v>51</v>
      </c>
      <c r="BD54" s="5">
        <v>14.395161290322582</v>
      </c>
    </row>
    <row r="55" spans="9:56" x14ac:dyDescent="0.25">
      <c r="AZ55" s="5">
        <v>52</v>
      </c>
      <c r="BA55" s="5">
        <v>1</v>
      </c>
      <c r="BB55" s="5">
        <v>1</v>
      </c>
      <c r="BC55" s="5">
        <v>52</v>
      </c>
      <c r="BD55" s="5">
        <v>14.677419354838712</v>
      </c>
    </row>
    <row r="56" spans="9:56" x14ac:dyDescent="0.25">
      <c r="AZ56" s="5">
        <v>53</v>
      </c>
      <c r="BA56" s="5">
        <v>1</v>
      </c>
      <c r="BB56" s="5">
        <v>1</v>
      </c>
      <c r="BC56" s="5">
        <v>53</v>
      </c>
      <c r="BD56" s="5">
        <v>14.95967741935484</v>
      </c>
    </row>
    <row r="57" spans="9:56" x14ac:dyDescent="0.25">
      <c r="AZ57" s="5">
        <v>54</v>
      </c>
      <c r="BA57" s="5">
        <v>1</v>
      </c>
      <c r="BB57" s="5">
        <v>1</v>
      </c>
      <c r="BC57" s="5">
        <v>54</v>
      </c>
      <c r="BD57" s="5">
        <v>15.24193548387097</v>
      </c>
    </row>
    <row r="58" spans="9:56" x14ac:dyDescent="0.25">
      <c r="AZ58" s="5">
        <v>55</v>
      </c>
      <c r="BA58" s="5">
        <v>1</v>
      </c>
      <c r="BB58" s="5">
        <v>1</v>
      </c>
      <c r="BC58" s="5">
        <v>55</v>
      </c>
      <c r="BD58" s="5">
        <v>15.524193548387098</v>
      </c>
    </row>
    <row r="59" spans="9:56" x14ac:dyDescent="0.25">
      <c r="AZ59" s="5">
        <v>56</v>
      </c>
      <c r="BA59" s="5">
        <v>1</v>
      </c>
      <c r="BB59" s="5">
        <v>1</v>
      </c>
      <c r="BC59" s="5">
        <v>56</v>
      </c>
      <c r="BD59" s="5">
        <v>15.806451612903228</v>
      </c>
    </row>
    <row r="60" spans="9:56" x14ac:dyDescent="0.25">
      <c r="AZ60" s="5">
        <v>57</v>
      </c>
      <c r="BA60" s="5">
        <v>1</v>
      </c>
      <c r="BB60" s="5">
        <v>1</v>
      </c>
      <c r="BC60" s="5">
        <v>57</v>
      </c>
      <c r="BD60" s="5">
        <v>16.088709677419356</v>
      </c>
    </row>
    <row r="61" spans="9:56" x14ac:dyDescent="0.25">
      <c r="AZ61" s="5">
        <v>58</v>
      </c>
      <c r="BA61" s="5">
        <v>1</v>
      </c>
      <c r="BB61" s="5">
        <v>1</v>
      </c>
      <c r="BC61" s="5">
        <v>58</v>
      </c>
      <c r="BD61" s="5">
        <v>16.370967741935484</v>
      </c>
    </row>
    <row r="62" spans="9:56" x14ac:dyDescent="0.25">
      <c r="AZ62" s="5">
        <v>59</v>
      </c>
      <c r="BA62" s="5">
        <v>1</v>
      </c>
      <c r="BB62" s="5">
        <v>1</v>
      </c>
      <c r="BC62" s="5">
        <v>59</v>
      </c>
      <c r="BD62" s="5">
        <v>16.653225806451616</v>
      </c>
    </row>
    <row r="63" spans="9:56" x14ac:dyDescent="0.25">
      <c r="AZ63" s="5">
        <v>60</v>
      </c>
      <c r="BA63" s="5">
        <v>1</v>
      </c>
      <c r="BB63" s="5">
        <v>1</v>
      </c>
      <c r="BC63" s="5">
        <v>60</v>
      </c>
      <c r="BD63" s="5">
        <v>16.935483870967744</v>
      </c>
    </row>
    <row r="64" spans="9:56" x14ac:dyDescent="0.25">
      <c r="AZ64" s="5">
        <v>61</v>
      </c>
      <c r="BA64" s="5">
        <v>1</v>
      </c>
      <c r="BB64" s="5">
        <v>1</v>
      </c>
      <c r="BC64" s="5">
        <v>61</v>
      </c>
      <c r="BD64" s="5">
        <v>17.217741935483872</v>
      </c>
    </row>
    <row r="65" spans="52:56" x14ac:dyDescent="0.25">
      <c r="AZ65" s="5">
        <v>62</v>
      </c>
      <c r="BA65" s="5">
        <v>1</v>
      </c>
      <c r="BB65" s="5">
        <v>1</v>
      </c>
      <c r="BC65" s="5">
        <v>62</v>
      </c>
      <c r="BD65" s="5">
        <v>17.5</v>
      </c>
    </row>
    <row r="66" spans="52:56" x14ac:dyDescent="0.25">
      <c r="AZ66" s="5">
        <v>63</v>
      </c>
      <c r="BA66" s="5">
        <v>1</v>
      </c>
      <c r="BB66" s="5">
        <v>1</v>
      </c>
      <c r="BC66" s="5">
        <v>63</v>
      </c>
      <c r="BD66" s="5">
        <v>17.782258064516132</v>
      </c>
    </row>
    <row r="67" spans="52:56" x14ac:dyDescent="0.25">
      <c r="AZ67" s="5">
        <v>64</v>
      </c>
      <c r="BA67" s="5">
        <v>1</v>
      </c>
      <c r="BB67" s="5">
        <v>1</v>
      </c>
      <c r="BC67" s="5">
        <v>64</v>
      </c>
      <c r="BD67" s="5">
        <v>18.06451612903226</v>
      </c>
    </row>
    <row r="68" spans="52:56" x14ac:dyDescent="0.25">
      <c r="AZ68" s="5">
        <v>65</v>
      </c>
      <c r="BA68" s="5">
        <v>1</v>
      </c>
      <c r="BB68" s="5">
        <v>1</v>
      </c>
      <c r="BC68" s="5">
        <v>65</v>
      </c>
      <c r="BD68" s="5">
        <v>18.346774193548388</v>
      </c>
    </row>
    <row r="69" spans="52:56" x14ac:dyDescent="0.25">
      <c r="AZ69" s="5">
        <v>66</v>
      </c>
      <c r="BA69" s="5">
        <v>1</v>
      </c>
      <c r="BB69" s="5">
        <v>1</v>
      </c>
      <c r="BC69" s="5">
        <v>66</v>
      </c>
      <c r="BD69" s="5">
        <v>18.62903225806452</v>
      </c>
    </row>
    <row r="70" spans="52:56" x14ac:dyDescent="0.25">
      <c r="AZ70" s="5">
        <v>67</v>
      </c>
      <c r="BA70" s="5">
        <v>1</v>
      </c>
      <c r="BB70" s="5">
        <v>1</v>
      </c>
      <c r="BC70" s="5">
        <v>67</v>
      </c>
      <c r="BD70" s="5">
        <v>18.911290322580648</v>
      </c>
    </row>
    <row r="71" spans="52:56" x14ac:dyDescent="0.25">
      <c r="AZ71" s="5">
        <v>68</v>
      </c>
      <c r="BA71" s="5">
        <v>1</v>
      </c>
      <c r="BB71" s="5">
        <v>1</v>
      </c>
      <c r="BC71" s="5">
        <v>68</v>
      </c>
      <c r="BD71" s="5">
        <v>19.193548387096776</v>
      </c>
    </row>
    <row r="72" spans="52:56" x14ac:dyDescent="0.25">
      <c r="AZ72" s="5">
        <v>69</v>
      </c>
      <c r="BA72" s="5">
        <v>1</v>
      </c>
      <c r="BB72" s="5">
        <v>1</v>
      </c>
      <c r="BC72" s="5">
        <v>69</v>
      </c>
      <c r="BD72" s="5">
        <v>19.475806451612904</v>
      </c>
    </row>
    <row r="73" spans="52:56" x14ac:dyDescent="0.25">
      <c r="AZ73" s="5">
        <v>70</v>
      </c>
      <c r="BA73" s="5">
        <v>1</v>
      </c>
      <c r="BB73" s="5">
        <v>1</v>
      </c>
      <c r="BC73" s="5">
        <v>70</v>
      </c>
      <c r="BD73" s="5">
        <v>19.758064516129036</v>
      </c>
    </row>
    <row r="74" spans="52:56" x14ac:dyDescent="0.25">
      <c r="AZ74" s="5">
        <v>71</v>
      </c>
      <c r="BA74" s="5">
        <v>1</v>
      </c>
      <c r="BB74" s="5">
        <v>1</v>
      </c>
      <c r="BC74" s="5">
        <v>71</v>
      </c>
      <c r="BD74" s="5">
        <v>20.040322580645164</v>
      </c>
    </row>
    <row r="75" spans="52:56" x14ac:dyDescent="0.25">
      <c r="AZ75" s="5">
        <v>72</v>
      </c>
      <c r="BA75" s="5">
        <v>1</v>
      </c>
      <c r="BB75" s="5">
        <v>1</v>
      </c>
      <c r="BC75" s="5">
        <v>72</v>
      </c>
      <c r="BD75" s="5">
        <v>20.322580645161292</v>
      </c>
    </row>
    <row r="76" spans="52:56" x14ac:dyDescent="0.25">
      <c r="AZ76" s="5">
        <v>73</v>
      </c>
      <c r="BA76" s="5">
        <v>1</v>
      </c>
      <c r="BB76" s="5">
        <v>1</v>
      </c>
      <c r="BC76" s="5">
        <v>73</v>
      </c>
      <c r="BD76" s="5">
        <v>20.60483870967742</v>
      </c>
    </row>
    <row r="77" spans="52:56" x14ac:dyDescent="0.25">
      <c r="AZ77" s="5">
        <v>74</v>
      </c>
      <c r="BA77" s="5">
        <v>1</v>
      </c>
      <c r="BB77" s="5">
        <v>1</v>
      </c>
      <c r="BC77" s="5">
        <v>74</v>
      </c>
      <c r="BD77" s="5">
        <v>20.887096774193552</v>
      </c>
    </row>
    <row r="78" spans="52:56" x14ac:dyDescent="0.25">
      <c r="AZ78" s="5">
        <v>75</v>
      </c>
      <c r="BA78" s="5">
        <v>1</v>
      </c>
      <c r="BB78" s="5">
        <v>1</v>
      </c>
      <c r="BC78" s="5">
        <v>75</v>
      </c>
      <c r="BD78" s="5">
        <v>21.16935483870968</v>
      </c>
    </row>
    <row r="79" spans="52:56" x14ac:dyDescent="0.25">
      <c r="AZ79" s="5">
        <v>76</v>
      </c>
      <c r="BA79" s="5">
        <v>1</v>
      </c>
      <c r="BB79" s="5">
        <v>1</v>
      </c>
      <c r="BC79" s="5">
        <v>76</v>
      </c>
      <c r="BD79" s="5">
        <v>21.451612903225808</v>
      </c>
    </row>
    <row r="80" spans="52:56" x14ac:dyDescent="0.25">
      <c r="AZ80" s="5">
        <v>77</v>
      </c>
      <c r="BA80" s="5">
        <v>1</v>
      </c>
      <c r="BB80" s="5">
        <v>1</v>
      </c>
      <c r="BC80" s="5">
        <v>77</v>
      </c>
      <c r="BD80" s="5">
        <v>21.733870967741936</v>
      </c>
    </row>
    <row r="81" spans="52:56" x14ac:dyDescent="0.25">
      <c r="AZ81" s="5">
        <v>78</v>
      </c>
      <c r="BA81" s="5">
        <v>1</v>
      </c>
      <c r="BB81" s="5">
        <v>1</v>
      </c>
      <c r="BC81" s="5">
        <v>78</v>
      </c>
      <c r="BD81" s="5">
        <v>22.016129032258068</v>
      </c>
    </row>
    <row r="82" spans="52:56" x14ac:dyDescent="0.25">
      <c r="AZ82" s="5">
        <v>79</v>
      </c>
      <c r="BA82" s="5">
        <v>1</v>
      </c>
      <c r="BB82" s="5">
        <v>1</v>
      </c>
      <c r="BC82" s="5">
        <v>79</v>
      </c>
      <c r="BD82" s="5">
        <v>22.298387096774196</v>
      </c>
    </row>
    <row r="83" spans="52:56" x14ac:dyDescent="0.25">
      <c r="AZ83" s="5">
        <v>80</v>
      </c>
      <c r="BA83" s="5">
        <v>1</v>
      </c>
      <c r="BB83" s="5">
        <v>1</v>
      </c>
      <c r="BC83" s="5">
        <v>80</v>
      </c>
      <c r="BD83" s="5">
        <v>22.580645161290324</v>
      </c>
    </row>
    <row r="84" spans="52:56" x14ac:dyDescent="0.25">
      <c r="AZ84" s="5">
        <v>81</v>
      </c>
      <c r="BA84" s="5">
        <v>1</v>
      </c>
      <c r="BB84" s="5">
        <v>1</v>
      </c>
      <c r="BC84" s="5">
        <v>81</v>
      </c>
      <c r="BD84" s="5">
        <v>22.862903225806456</v>
      </c>
    </row>
    <row r="85" spans="52:56" x14ac:dyDescent="0.25">
      <c r="AZ85" s="5">
        <v>82</v>
      </c>
      <c r="BA85" s="5">
        <v>1</v>
      </c>
      <c r="BB85" s="5">
        <v>1</v>
      </c>
      <c r="BC85" s="5">
        <v>82</v>
      </c>
      <c r="BD85" s="5">
        <v>23.145161290322584</v>
      </c>
    </row>
    <row r="86" spans="52:56" x14ac:dyDescent="0.25">
      <c r="AZ86" s="5">
        <v>83</v>
      </c>
      <c r="BA86" s="5">
        <v>1</v>
      </c>
      <c r="BB86" s="5">
        <v>1</v>
      </c>
      <c r="BC86" s="5">
        <v>83</v>
      </c>
      <c r="BD86" s="5">
        <v>23.427419354838712</v>
      </c>
    </row>
    <row r="87" spans="52:56" x14ac:dyDescent="0.25">
      <c r="AZ87" s="5">
        <v>84</v>
      </c>
      <c r="BA87" s="5">
        <v>1</v>
      </c>
      <c r="BB87" s="5">
        <v>1</v>
      </c>
      <c r="BC87" s="5">
        <v>84</v>
      </c>
      <c r="BD87" s="5">
        <v>23.70967741935484</v>
      </c>
    </row>
    <row r="88" spans="52:56" x14ac:dyDescent="0.25">
      <c r="AZ88" s="5">
        <v>85</v>
      </c>
      <c r="BA88" s="5">
        <v>1</v>
      </c>
      <c r="BB88" s="5">
        <v>1</v>
      </c>
      <c r="BC88" s="5">
        <v>85</v>
      </c>
      <c r="BD88" s="5">
        <v>23.991935483870972</v>
      </c>
    </row>
    <row r="89" spans="52:56" x14ac:dyDescent="0.25">
      <c r="AZ89" s="5">
        <v>86</v>
      </c>
      <c r="BA89" s="5">
        <v>1</v>
      </c>
      <c r="BB89" s="5">
        <v>1</v>
      </c>
      <c r="BC89" s="5">
        <v>86</v>
      </c>
      <c r="BD89" s="5">
        <v>24.2741935483871</v>
      </c>
    </row>
    <row r="90" spans="52:56" x14ac:dyDescent="0.25">
      <c r="AZ90" s="5">
        <v>87</v>
      </c>
      <c r="BA90" s="5">
        <v>1</v>
      </c>
      <c r="BB90" s="5">
        <v>1</v>
      </c>
      <c r="BC90" s="5">
        <v>87</v>
      </c>
      <c r="BD90" s="5">
        <v>24.556451612903228</v>
      </c>
    </row>
    <row r="91" spans="52:56" x14ac:dyDescent="0.25">
      <c r="AZ91" s="5">
        <v>88</v>
      </c>
      <c r="BA91" s="5">
        <v>1</v>
      </c>
      <c r="BB91" s="5">
        <v>1</v>
      </c>
      <c r="BC91" s="5">
        <v>88</v>
      </c>
      <c r="BD91" s="5">
        <v>24.838709677419356</v>
      </c>
    </row>
    <row r="92" spans="52:56" x14ac:dyDescent="0.25">
      <c r="AZ92" s="5">
        <v>89</v>
      </c>
      <c r="BA92" s="5">
        <v>1</v>
      </c>
      <c r="BB92" s="5">
        <v>1</v>
      </c>
      <c r="BC92" s="5">
        <v>89</v>
      </c>
      <c r="BD92" s="5">
        <v>25.120967741935488</v>
      </c>
    </row>
    <row r="93" spans="52:56" x14ac:dyDescent="0.25">
      <c r="AZ93" s="5">
        <v>90</v>
      </c>
      <c r="BA93" s="5">
        <v>1</v>
      </c>
      <c r="BB93" s="5">
        <v>1</v>
      </c>
      <c r="BC93" s="5">
        <v>90</v>
      </c>
      <c r="BD93" s="5">
        <v>25.403225806451616</v>
      </c>
    </row>
    <row r="94" spans="52:56" x14ac:dyDescent="0.25">
      <c r="AZ94" s="5">
        <v>91</v>
      </c>
      <c r="BA94" s="5">
        <v>1</v>
      </c>
      <c r="BB94" s="5">
        <v>1</v>
      </c>
      <c r="BC94" s="5">
        <v>91</v>
      </c>
      <c r="BD94" s="5">
        <v>25.685483870967744</v>
      </c>
    </row>
    <row r="95" spans="52:56" x14ac:dyDescent="0.25">
      <c r="AZ95" s="5">
        <v>92</v>
      </c>
      <c r="BA95" s="5">
        <v>1</v>
      </c>
      <c r="BB95" s="5">
        <v>1</v>
      </c>
      <c r="BC95" s="5">
        <v>92</v>
      </c>
      <c r="BD95" s="5">
        <v>25.967741935483872</v>
      </c>
    </row>
    <row r="96" spans="52:56" x14ac:dyDescent="0.25">
      <c r="AZ96" s="5">
        <v>93</v>
      </c>
      <c r="BA96" s="5">
        <v>1</v>
      </c>
      <c r="BB96" s="5">
        <v>1</v>
      </c>
      <c r="BC96" s="5">
        <v>93</v>
      </c>
      <c r="BD96" s="5">
        <v>26.250000000000004</v>
      </c>
    </row>
    <row r="97" spans="52:56" x14ac:dyDescent="0.25">
      <c r="AZ97" s="5">
        <v>94</v>
      </c>
      <c r="BA97" s="5">
        <v>1</v>
      </c>
      <c r="BB97" s="5">
        <v>1</v>
      </c>
      <c r="BC97" s="5">
        <v>94</v>
      </c>
      <c r="BD97" s="5">
        <v>26.532258064516132</v>
      </c>
    </row>
    <row r="98" spans="52:56" x14ac:dyDescent="0.25">
      <c r="AZ98" s="5">
        <v>95</v>
      </c>
      <c r="BA98" s="5">
        <v>1</v>
      </c>
      <c r="BB98" s="5">
        <v>1</v>
      </c>
      <c r="BC98" s="5">
        <v>95</v>
      </c>
      <c r="BD98" s="5">
        <v>26.81451612903226</v>
      </c>
    </row>
    <row r="99" spans="52:56" x14ac:dyDescent="0.25">
      <c r="AZ99" s="5">
        <v>96</v>
      </c>
      <c r="BA99" s="5">
        <v>1</v>
      </c>
      <c r="BB99" s="5">
        <v>1</v>
      </c>
      <c r="BC99" s="5">
        <v>96</v>
      </c>
      <c r="BD99" s="5">
        <v>27.096774193548391</v>
      </c>
    </row>
    <row r="100" spans="52:56" x14ac:dyDescent="0.25">
      <c r="AZ100" s="5">
        <v>97</v>
      </c>
      <c r="BA100" s="5">
        <v>1</v>
      </c>
      <c r="BB100" s="5">
        <v>1</v>
      </c>
      <c r="BC100" s="5">
        <v>97</v>
      </c>
      <c r="BD100" s="5">
        <v>27.37903225806452</v>
      </c>
    </row>
    <row r="101" spans="52:56" x14ac:dyDescent="0.25">
      <c r="AZ101" s="5">
        <v>98</v>
      </c>
      <c r="BA101" s="5">
        <v>1</v>
      </c>
      <c r="BB101" s="5">
        <v>1</v>
      </c>
      <c r="BC101" s="5">
        <v>98</v>
      </c>
      <c r="BD101" s="5">
        <v>27.661290322580648</v>
      </c>
    </row>
    <row r="102" spans="52:56" x14ac:dyDescent="0.25">
      <c r="AZ102" s="5">
        <v>99</v>
      </c>
      <c r="BA102" s="5">
        <v>1</v>
      </c>
      <c r="BB102" s="5">
        <v>1</v>
      </c>
      <c r="BC102" s="5">
        <v>99</v>
      </c>
      <c r="BD102" s="5">
        <v>27.943548387096776</v>
      </c>
    </row>
    <row r="103" spans="52:56" x14ac:dyDescent="0.25">
      <c r="AZ103" s="5">
        <v>100</v>
      </c>
      <c r="BA103" s="5">
        <v>1</v>
      </c>
      <c r="BB103" s="5">
        <v>1</v>
      </c>
      <c r="BC103" s="5">
        <v>100</v>
      </c>
      <c r="BD103" s="5">
        <v>28.225806451612907</v>
      </c>
    </row>
    <row r="104" spans="52:56" x14ac:dyDescent="0.25">
      <c r="AZ104" s="5">
        <v>101</v>
      </c>
      <c r="BA104" s="5">
        <v>1</v>
      </c>
      <c r="BB104" s="5">
        <v>1</v>
      </c>
      <c r="BC104" s="5">
        <v>101</v>
      </c>
      <c r="BD104" s="5">
        <v>28.508064516129036</v>
      </c>
    </row>
    <row r="105" spans="52:56" x14ac:dyDescent="0.25">
      <c r="AZ105" s="5">
        <v>102</v>
      </c>
      <c r="BA105" s="5">
        <v>1</v>
      </c>
      <c r="BB105" s="5">
        <v>1</v>
      </c>
      <c r="BC105" s="5">
        <v>102</v>
      </c>
      <c r="BD105" s="5">
        <v>28.790322580645164</v>
      </c>
    </row>
    <row r="106" spans="52:56" x14ac:dyDescent="0.25">
      <c r="AZ106" s="5">
        <v>103</v>
      </c>
      <c r="BA106" s="5">
        <v>1</v>
      </c>
      <c r="BB106" s="5">
        <v>1</v>
      </c>
      <c r="BC106" s="5">
        <v>103</v>
      </c>
      <c r="BD106" s="5">
        <v>29.072580645161292</v>
      </c>
    </row>
    <row r="107" spans="52:56" x14ac:dyDescent="0.25">
      <c r="AZ107" s="5">
        <v>104</v>
      </c>
      <c r="BA107" s="5">
        <v>1</v>
      </c>
      <c r="BB107" s="5">
        <v>1</v>
      </c>
      <c r="BC107" s="5">
        <v>104</v>
      </c>
      <c r="BD107" s="5">
        <v>29.354838709677423</v>
      </c>
    </row>
    <row r="108" spans="52:56" x14ac:dyDescent="0.25">
      <c r="AZ108" s="5">
        <v>105</v>
      </c>
      <c r="BA108" s="5">
        <v>1</v>
      </c>
      <c r="BB108" s="5">
        <v>1</v>
      </c>
      <c r="BC108" s="5">
        <v>105</v>
      </c>
      <c r="BD108" s="5">
        <v>29.637096774193552</v>
      </c>
    </row>
    <row r="109" spans="52:56" x14ac:dyDescent="0.25">
      <c r="AZ109" s="5">
        <v>106</v>
      </c>
      <c r="BA109" s="5">
        <v>1</v>
      </c>
      <c r="BB109" s="5">
        <v>1</v>
      </c>
      <c r="BC109" s="5">
        <v>106</v>
      </c>
      <c r="BD109" s="5">
        <v>29.91935483870968</v>
      </c>
    </row>
    <row r="110" spans="52:56" x14ac:dyDescent="0.25">
      <c r="AZ110" s="5">
        <v>107</v>
      </c>
      <c r="BA110" s="5">
        <v>1</v>
      </c>
      <c r="BB110" s="5">
        <v>1</v>
      </c>
      <c r="BC110" s="5">
        <v>107</v>
      </c>
      <c r="BD110" s="5">
        <v>30.201612903225808</v>
      </c>
    </row>
    <row r="111" spans="52:56" x14ac:dyDescent="0.25">
      <c r="AZ111" s="5">
        <v>108</v>
      </c>
      <c r="BA111" s="5">
        <v>1</v>
      </c>
      <c r="BB111" s="5">
        <v>1</v>
      </c>
      <c r="BC111" s="5">
        <v>108</v>
      </c>
      <c r="BD111" s="5">
        <v>30.483870967741939</v>
      </c>
    </row>
    <row r="112" spans="52:56" x14ac:dyDescent="0.25">
      <c r="AZ112" s="5">
        <v>109</v>
      </c>
      <c r="BA112" s="5">
        <v>1</v>
      </c>
      <c r="BB112" s="5">
        <v>1</v>
      </c>
      <c r="BC112" s="5">
        <v>109</v>
      </c>
      <c r="BD112" s="5">
        <v>30.766129032258068</v>
      </c>
    </row>
    <row r="113" spans="52:56" x14ac:dyDescent="0.25">
      <c r="AZ113" s="5">
        <v>110</v>
      </c>
      <c r="BA113" s="5">
        <v>1</v>
      </c>
      <c r="BB113" s="5">
        <v>1</v>
      </c>
      <c r="BC113" s="5">
        <v>110</v>
      </c>
      <c r="BD113" s="5">
        <v>31.048387096774196</v>
      </c>
    </row>
    <row r="114" spans="52:56" x14ac:dyDescent="0.25">
      <c r="AZ114" s="5">
        <v>111</v>
      </c>
      <c r="BA114" s="5">
        <v>1</v>
      </c>
      <c r="BB114" s="5">
        <v>1</v>
      </c>
      <c r="BC114" s="5">
        <v>111</v>
      </c>
      <c r="BD114" s="5">
        <v>31.330645161290324</v>
      </c>
    </row>
    <row r="115" spans="52:56" x14ac:dyDescent="0.25">
      <c r="AZ115" s="5">
        <v>112</v>
      </c>
      <c r="BA115" s="5">
        <v>1</v>
      </c>
      <c r="BB115" s="5">
        <v>1</v>
      </c>
      <c r="BC115" s="5">
        <v>112</v>
      </c>
      <c r="BD115" s="5">
        <v>31.612903225806456</v>
      </c>
    </row>
    <row r="116" spans="52:56" x14ac:dyDescent="0.25">
      <c r="AZ116" s="5">
        <v>113</v>
      </c>
      <c r="BA116" s="5">
        <v>1</v>
      </c>
      <c r="BB116" s="5">
        <v>1</v>
      </c>
      <c r="BC116" s="5">
        <v>113</v>
      </c>
      <c r="BD116" s="5">
        <v>31.895161290322584</v>
      </c>
    </row>
    <row r="117" spans="52:56" x14ac:dyDescent="0.25">
      <c r="AZ117" s="5">
        <v>114</v>
      </c>
      <c r="BA117" s="5">
        <v>1</v>
      </c>
      <c r="BB117" s="5">
        <v>1</v>
      </c>
      <c r="BC117" s="5">
        <v>114</v>
      </c>
      <c r="BD117" s="5">
        <v>32.177419354838712</v>
      </c>
    </row>
    <row r="118" spans="52:56" x14ac:dyDescent="0.25">
      <c r="AZ118" s="5">
        <v>115</v>
      </c>
      <c r="BA118" s="5">
        <v>1</v>
      </c>
      <c r="BB118" s="5">
        <v>1</v>
      </c>
      <c r="BC118" s="5">
        <v>115</v>
      </c>
      <c r="BD118" s="5">
        <v>32.45967741935484</v>
      </c>
    </row>
    <row r="119" spans="52:56" x14ac:dyDescent="0.25">
      <c r="AZ119" s="5">
        <v>116</v>
      </c>
      <c r="BA119" s="5">
        <v>1</v>
      </c>
      <c r="BB119" s="5">
        <v>1</v>
      </c>
      <c r="BC119" s="5">
        <v>116</v>
      </c>
      <c r="BD119" s="5">
        <v>32.741935483870968</v>
      </c>
    </row>
    <row r="120" spans="52:56" x14ac:dyDescent="0.25">
      <c r="AZ120" s="5">
        <v>117</v>
      </c>
      <c r="BA120" s="5">
        <v>1</v>
      </c>
      <c r="BB120" s="5">
        <v>1</v>
      </c>
      <c r="BC120" s="5">
        <v>117</v>
      </c>
      <c r="BD120" s="5">
        <v>33.024193548387103</v>
      </c>
    </row>
    <row r="121" spans="52:56" x14ac:dyDescent="0.25">
      <c r="AZ121" s="5">
        <v>118</v>
      </c>
      <c r="BA121" s="5">
        <v>1</v>
      </c>
      <c r="BB121" s="5">
        <v>1</v>
      </c>
      <c r="BC121" s="5">
        <v>118</v>
      </c>
      <c r="BD121" s="5">
        <v>33.306451612903231</v>
      </c>
    </row>
    <row r="122" spans="52:56" x14ac:dyDescent="0.25">
      <c r="AZ122" s="5">
        <v>119</v>
      </c>
      <c r="BA122" s="5">
        <v>1</v>
      </c>
      <c r="BB122" s="5">
        <v>1</v>
      </c>
      <c r="BC122" s="5">
        <v>119</v>
      </c>
      <c r="BD122" s="5">
        <v>33.588709677419359</v>
      </c>
    </row>
    <row r="123" spans="52:56" x14ac:dyDescent="0.25">
      <c r="AZ123" s="5">
        <v>120</v>
      </c>
      <c r="BA123" s="5">
        <v>1</v>
      </c>
      <c r="BB123" s="5">
        <v>1</v>
      </c>
      <c r="BC123" s="5">
        <v>120</v>
      </c>
      <c r="BD123" s="5">
        <v>33.870967741935488</v>
      </c>
    </row>
    <row r="124" spans="52:56" x14ac:dyDescent="0.25">
      <c r="AZ124" s="5">
        <v>121</v>
      </c>
      <c r="BA124" s="5">
        <v>1</v>
      </c>
      <c r="BB124" s="5">
        <v>1</v>
      </c>
      <c r="BC124" s="5">
        <v>121</v>
      </c>
      <c r="BD124" s="5">
        <v>34.153225806451616</v>
      </c>
    </row>
    <row r="125" spans="52:56" x14ac:dyDescent="0.25">
      <c r="AZ125" s="5">
        <v>122</v>
      </c>
      <c r="BA125" s="5">
        <v>1</v>
      </c>
      <c r="BB125" s="5">
        <v>1</v>
      </c>
      <c r="BC125" s="5">
        <v>122</v>
      </c>
      <c r="BD125" s="5">
        <v>34.435483870967744</v>
      </c>
    </row>
    <row r="126" spans="52:56" x14ac:dyDescent="0.25">
      <c r="AZ126" s="5">
        <v>123</v>
      </c>
      <c r="BA126" s="5">
        <v>1</v>
      </c>
      <c r="BB126" s="5">
        <v>1</v>
      </c>
      <c r="BC126" s="5">
        <v>123</v>
      </c>
      <c r="BD126" s="5">
        <v>34.717741935483872</v>
      </c>
    </row>
    <row r="127" spans="52:56" x14ac:dyDescent="0.25">
      <c r="AZ127" s="5">
        <v>124</v>
      </c>
      <c r="BA127" s="5">
        <v>1</v>
      </c>
      <c r="BB127" s="5">
        <v>1</v>
      </c>
      <c r="BC127" s="5">
        <v>124</v>
      </c>
      <c r="BD127" s="5">
        <v>35</v>
      </c>
    </row>
    <row r="128" spans="52:56" x14ac:dyDescent="0.25">
      <c r="AZ128" s="5">
        <v>125</v>
      </c>
      <c r="BA128" s="5">
        <v>1</v>
      </c>
      <c r="BB128" s="5">
        <v>1</v>
      </c>
      <c r="BC128" s="5">
        <v>125</v>
      </c>
      <c r="BD128" s="5">
        <v>35.282258064516135</v>
      </c>
    </row>
    <row r="129" spans="52:56" x14ac:dyDescent="0.25">
      <c r="AZ129" s="5">
        <v>126</v>
      </c>
      <c r="BA129" s="5">
        <v>1</v>
      </c>
      <c r="BB129" s="5">
        <v>1</v>
      </c>
      <c r="BC129" s="5">
        <v>126</v>
      </c>
      <c r="BD129" s="5">
        <v>35.564516129032263</v>
      </c>
    </row>
    <row r="130" spans="52:56" x14ac:dyDescent="0.25">
      <c r="AZ130" s="5">
        <v>127</v>
      </c>
      <c r="BA130" s="5">
        <v>1</v>
      </c>
      <c r="BB130" s="5">
        <v>1</v>
      </c>
      <c r="BC130" s="5">
        <v>127</v>
      </c>
      <c r="BD130" s="5">
        <v>35.846774193548391</v>
      </c>
    </row>
    <row r="131" spans="52:56" x14ac:dyDescent="0.25">
      <c r="AZ131" s="5">
        <v>128</v>
      </c>
      <c r="BA131" s="5">
        <v>1</v>
      </c>
      <c r="BB131" s="5">
        <v>1</v>
      </c>
      <c r="BC131" s="5">
        <v>128</v>
      </c>
      <c r="BD131" s="5">
        <v>36.12903225806452</v>
      </c>
    </row>
    <row r="132" spans="52:56" x14ac:dyDescent="0.25">
      <c r="AZ132" s="5">
        <v>129</v>
      </c>
      <c r="BA132" s="5">
        <v>1</v>
      </c>
      <c r="BB132" s="5">
        <v>1</v>
      </c>
      <c r="BC132" s="5">
        <v>129</v>
      </c>
      <c r="BD132" s="5">
        <v>36.411290322580648</v>
      </c>
    </row>
    <row r="133" spans="52:56" x14ac:dyDescent="0.25">
      <c r="AZ133" s="5">
        <v>130</v>
      </c>
      <c r="BA133" s="5">
        <v>1</v>
      </c>
      <c r="BB133" s="5">
        <v>1</v>
      </c>
      <c r="BC133" s="5">
        <v>130</v>
      </c>
      <c r="BD133" s="5">
        <v>36.693548387096776</v>
      </c>
    </row>
    <row r="134" spans="52:56" x14ac:dyDescent="0.25">
      <c r="AZ134" s="5">
        <v>131</v>
      </c>
      <c r="BA134" s="5">
        <v>1</v>
      </c>
      <c r="BB134" s="5">
        <v>1</v>
      </c>
      <c r="BC134" s="5">
        <v>131</v>
      </c>
      <c r="BD134" s="5">
        <v>36.975806451612904</v>
      </c>
    </row>
    <row r="135" spans="52:56" x14ac:dyDescent="0.25">
      <c r="AZ135" s="5">
        <v>132</v>
      </c>
      <c r="BA135" s="5">
        <v>1</v>
      </c>
      <c r="BB135" s="5">
        <v>1</v>
      </c>
      <c r="BC135" s="5">
        <v>132</v>
      </c>
      <c r="BD135" s="5">
        <v>37.258064516129039</v>
      </c>
    </row>
    <row r="136" spans="52:56" x14ac:dyDescent="0.25">
      <c r="AZ136" s="5">
        <v>133</v>
      </c>
      <c r="BA136" s="5">
        <v>1</v>
      </c>
      <c r="BB136" s="5">
        <v>1</v>
      </c>
      <c r="BC136" s="5">
        <v>133</v>
      </c>
      <c r="BD136" s="5">
        <v>37.540322580645167</v>
      </c>
    </row>
    <row r="137" spans="52:56" x14ac:dyDescent="0.25">
      <c r="AZ137" s="5">
        <v>134</v>
      </c>
      <c r="BA137" s="5">
        <v>1</v>
      </c>
      <c r="BB137" s="5">
        <v>1</v>
      </c>
      <c r="BC137" s="5">
        <v>134</v>
      </c>
      <c r="BD137" s="5">
        <v>37.822580645161295</v>
      </c>
    </row>
    <row r="138" spans="52:56" x14ac:dyDescent="0.25">
      <c r="AZ138" s="5">
        <v>135</v>
      </c>
      <c r="BA138" s="5">
        <v>1</v>
      </c>
      <c r="BB138" s="5">
        <v>1</v>
      </c>
      <c r="BC138" s="5">
        <v>135</v>
      </c>
      <c r="BD138" s="5">
        <v>38.104838709677423</v>
      </c>
    </row>
    <row r="139" spans="52:56" x14ac:dyDescent="0.25">
      <c r="AZ139" s="5">
        <v>136</v>
      </c>
      <c r="BA139" s="5">
        <v>1</v>
      </c>
      <c r="BB139" s="5">
        <v>1</v>
      </c>
      <c r="BC139" s="5">
        <v>136</v>
      </c>
      <c r="BD139" s="5">
        <v>38.387096774193552</v>
      </c>
    </row>
    <row r="140" spans="52:56" x14ac:dyDescent="0.25">
      <c r="AZ140" s="5">
        <v>137</v>
      </c>
      <c r="BA140" s="5">
        <v>1</v>
      </c>
      <c r="BB140" s="5">
        <v>1</v>
      </c>
      <c r="BC140" s="5">
        <v>137</v>
      </c>
      <c r="BD140" s="5">
        <v>38.66935483870968</v>
      </c>
    </row>
    <row r="141" spans="52:56" x14ac:dyDescent="0.25">
      <c r="AZ141" s="5">
        <v>138</v>
      </c>
      <c r="BA141" s="5">
        <v>1</v>
      </c>
      <c r="BB141" s="5">
        <v>1</v>
      </c>
      <c r="BC141" s="5">
        <v>138</v>
      </c>
      <c r="BD141" s="5">
        <v>38.951612903225808</v>
      </c>
    </row>
    <row r="142" spans="52:56" x14ac:dyDescent="0.25">
      <c r="AZ142" s="5">
        <v>139</v>
      </c>
      <c r="BA142" s="5">
        <v>1</v>
      </c>
      <c r="BB142" s="5">
        <v>1</v>
      </c>
      <c r="BC142" s="5">
        <v>139</v>
      </c>
      <c r="BD142" s="5">
        <v>39.233870967741936</v>
      </c>
    </row>
    <row r="143" spans="52:56" x14ac:dyDescent="0.25">
      <c r="AZ143" s="5">
        <v>140</v>
      </c>
      <c r="BA143" s="5">
        <v>1</v>
      </c>
      <c r="BB143" s="5">
        <v>1</v>
      </c>
      <c r="BC143" s="5">
        <v>140</v>
      </c>
      <c r="BD143" s="5">
        <v>39.516129032258071</v>
      </c>
    </row>
    <row r="144" spans="52:56" x14ac:dyDescent="0.25">
      <c r="AZ144" s="5">
        <v>141</v>
      </c>
      <c r="BA144" s="5">
        <v>1</v>
      </c>
      <c r="BB144" s="5">
        <v>1</v>
      </c>
      <c r="BC144" s="5">
        <v>141</v>
      </c>
      <c r="BD144" s="5">
        <v>39.798387096774199</v>
      </c>
    </row>
    <row r="145" spans="52:56" x14ac:dyDescent="0.25">
      <c r="AZ145" s="5">
        <v>142</v>
      </c>
      <c r="BA145" s="5">
        <v>1</v>
      </c>
      <c r="BB145" s="5">
        <v>1</v>
      </c>
      <c r="BC145" s="5">
        <v>142</v>
      </c>
      <c r="BD145" s="5">
        <v>40.080645161290327</v>
      </c>
    </row>
    <row r="146" spans="52:56" x14ac:dyDescent="0.25">
      <c r="AZ146" s="5">
        <v>143</v>
      </c>
      <c r="BA146" s="5">
        <v>1</v>
      </c>
      <c r="BB146" s="5">
        <v>1</v>
      </c>
      <c r="BC146" s="5">
        <v>143</v>
      </c>
      <c r="BD146" s="5">
        <v>40.362903225806456</v>
      </c>
    </row>
    <row r="147" spans="52:56" x14ac:dyDescent="0.25">
      <c r="AZ147" s="5">
        <v>144</v>
      </c>
      <c r="BA147" s="5">
        <v>1</v>
      </c>
      <c r="BB147" s="5">
        <v>1</v>
      </c>
      <c r="BC147" s="5">
        <v>144</v>
      </c>
      <c r="BD147" s="5">
        <v>40.645161290322584</v>
      </c>
    </row>
    <row r="148" spans="52:56" x14ac:dyDescent="0.25">
      <c r="AZ148" s="5">
        <v>145</v>
      </c>
      <c r="BA148" s="5">
        <v>1</v>
      </c>
      <c r="BB148" s="5">
        <v>1</v>
      </c>
      <c r="BC148" s="5">
        <v>145</v>
      </c>
      <c r="BD148" s="5">
        <v>40.927419354838712</v>
      </c>
    </row>
    <row r="149" spans="52:56" x14ac:dyDescent="0.25">
      <c r="AZ149" s="5">
        <v>146</v>
      </c>
      <c r="BA149" s="5">
        <v>1</v>
      </c>
      <c r="BB149" s="5">
        <v>1</v>
      </c>
      <c r="BC149" s="5">
        <v>146</v>
      </c>
      <c r="BD149" s="5">
        <v>41.20967741935484</v>
      </c>
    </row>
    <row r="150" spans="52:56" x14ac:dyDescent="0.25">
      <c r="AZ150" s="5">
        <v>147</v>
      </c>
      <c r="BA150" s="5">
        <v>1</v>
      </c>
      <c r="BB150" s="5">
        <v>1</v>
      </c>
      <c r="BC150" s="5">
        <v>147</v>
      </c>
      <c r="BD150" s="5">
        <v>41.491935483870975</v>
      </c>
    </row>
    <row r="151" spans="52:56" x14ac:dyDescent="0.25">
      <c r="AZ151" s="5">
        <v>148</v>
      </c>
      <c r="BA151" s="5">
        <v>1</v>
      </c>
      <c r="BB151" s="5">
        <v>1</v>
      </c>
      <c r="BC151" s="5">
        <v>148</v>
      </c>
      <c r="BD151" s="5">
        <v>41.774193548387103</v>
      </c>
    </row>
    <row r="152" spans="52:56" x14ac:dyDescent="0.25">
      <c r="AZ152" s="5">
        <v>149</v>
      </c>
      <c r="BA152" s="5">
        <v>1</v>
      </c>
      <c r="BB152" s="5">
        <v>1</v>
      </c>
      <c r="BC152" s="5">
        <v>149</v>
      </c>
      <c r="BD152" s="5">
        <v>42.056451612903231</v>
      </c>
    </row>
    <row r="153" spans="52:56" x14ac:dyDescent="0.25">
      <c r="AZ153" s="5">
        <v>150</v>
      </c>
      <c r="BA153" s="5">
        <v>1</v>
      </c>
      <c r="BB153" s="5">
        <v>1</v>
      </c>
      <c r="BC153" s="5">
        <v>150</v>
      </c>
      <c r="BD153" s="5">
        <v>42.338709677419359</v>
      </c>
    </row>
    <row r="154" spans="52:56" x14ac:dyDescent="0.25">
      <c r="AZ154" s="5">
        <v>151</v>
      </c>
      <c r="BA154" s="5">
        <v>1</v>
      </c>
      <c r="BB154" s="5">
        <v>1</v>
      </c>
      <c r="BC154" s="5">
        <v>151</v>
      </c>
      <c r="BD154" s="5">
        <v>42.620967741935488</v>
      </c>
    </row>
    <row r="155" spans="52:56" x14ac:dyDescent="0.25">
      <c r="AZ155" s="5">
        <v>152</v>
      </c>
      <c r="BA155" s="5">
        <v>1</v>
      </c>
      <c r="BB155" s="5">
        <v>1</v>
      </c>
      <c r="BC155" s="5">
        <v>152</v>
      </c>
      <c r="BD155" s="5">
        <v>42.903225806451616</v>
      </c>
    </row>
    <row r="156" spans="52:56" x14ac:dyDescent="0.25">
      <c r="AZ156" s="5">
        <v>153</v>
      </c>
      <c r="BA156" s="5">
        <v>1</v>
      </c>
      <c r="BB156" s="5">
        <v>1</v>
      </c>
      <c r="BC156" s="5">
        <v>153</v>
      </c>
      <c r="BD156" s="5">
        <v>43.185483870967744</v>
      </c>
    </row>
    <row r="157" spans="52:56" x14ac:dyDescent="0.25">
      <c r="AZ157" s="5">
        <v>154</v>
      </c>
      <c r="BA157" s="5">
        <v>1</v>
      </c>
      <c r="BB157" s="5">
        <v>1</v>
      </c>
      <c r="BC157" s="5">
        <v>154</v>
      </c>
      <c r="BD157" s="5">
        <v>43.467741935483872</v>
      </c>
    </row>
    <row r="158" spans="52:56" x14ac:dyDescent="0.25">
      <c r="AZ158" s="5">
        <v>155</v>
      </c>
      <c r="BA158" s="5">
        <v>1</v>
      </c>
      <c r="BB158" s="5">
        <v>1</v>
      </c>
      <c r="BC158" s="5">
        <v>155</v>
      </c>
      <c r="BD158" s="5">
        <v>43.750000000000007</v>
      </c>
    </row>
    <row r="159" spans="52:56" x14ac:dyDescent="0.25">
      <c r="AZ159" s="5">
        <v>156</v>
      </c>
      <c r="BA159" s="5">
        <v>1</v>
      </c>
      <c r="BB159" s="5">
        <v>1</v>
      </c>
      <c r="BC159" s="5">
        <v>156</v>
      </c>
      <c r="BD159" s="5">
        <v>44.032258064516135</v>
      </c>
    </row>
    <row r="160" spans="52:56" x14ac:dyDescent="0.25">
      <c r="AZ160" s="5">
        <v>157</v>
      </c>
      <c r="BA160" s="5">
        <v>1</v>
      </c>
      <c r="BB160" s="5">
        <v>1</v>
      </c>
      <c r="BC160" s="5">
        <v>157</v>
      </c>
      <c r="BD160" s="5">
        <v>44.314516129032263</v>
      </c>
    </row>
    <row r="161" spans="52:56" x14ac:dyDescent="0.25">
      <c r="AZ161" s="5">
        <v>158</v>
      </c>
      <c r="BA161" s="5">
        <v>1</v>
      </c>
      <c r="BB161" s="5">
        <v>1</v>
      </c>
      <c r="BC161" s="5">
        <v>158</v>
      </c>
      <c r="BD161" s="5">
        <v>44.596774193548391</v>
      </c>
    </row>
    <row r="162" spans="52:56" x14ac:dyDescent="0.25">
      <c r="AZ162" s="5">
        <v>159</v>
      </c>
      <c r="BA162" s="5">
        <v>1</v>
      </c>
      <c r="BB162" s="5">
        <v>1</v>
      </c>
      <c r="BC162" s="5">
        <v>159</v>
      </c>
      <c r="BD162" s="5">
        <v>44.87903225806452</v>
      </c>
    </row>
    <row r="163" spans="52:56" x14ac:dyDescent="0.25">
      <c r="AZ163" s="5">
        <v>160</v>
      </c>
      <c r="BA163" s="5">
        <v>1</v>
      </c>
      <c r="BB163" s="5">
        <v>1</v>
      </c>
      <c r="BC163" s="5">
        <v>160</v>
      </c>
      <c r="BD163" s="5">
        <v>45.161290322580648</v>
      </c>
    </row>
    <row r="164" spans="52:56" x14ac:dyDescent="0.25">
      <c r="AZ164" s="5">
        <v>161</v>
      </c>
      <c r="BA164" s="5">
        <v>1</v>
      </c>
      <c r="BB164" s="5">
        <v>1</v>
      </c>
      <c r="BC164" s="5">
        <v>161</v>
      </c>
      <c r="BD164" s="5">
        <v>45.443548387096776</v>
      </c>
    </row>
    <row r="165" spans="52:56" x14ac:dyDescent="0.25">
      <c r="AZ165" s="5">
        <v>162</v>
      </c>
      <c r="BA165" s="5">
        <v>1</v>
      </c>
      <c r="BB165" s="5">
        <v>1</v>
      </c>
      <c r="BC165" s="5">
        <v>162</v>
      </c>
      <c r="BD165" s="5">
        <v>45.725806451612911</v>
      </c>
    </row>
    <row r="166" spans="52:56" x14ac:dyDescent="0.25">
      <c r="AZ166" s="5">
        <v>163</v>
      </c>
      <c r="BA166" s="5">
        <v>1</v>
      </c>
      <c r="BB166" s="5">
        <v>1</v>
      </c>
      <c r="BC166" s="5">
        <v>163</v>
      </c>
      <c r="BD166" s="5">
        <v>46.008064516129039</v>
      </c>
    </row>
    <row r="167" spans="52:56" x14ac:dyDescent="0.25">
      <c r="AZ167" s="5">
        <v>164</v>
      </c>
      <c r="BA167" s="5">
        <v>1</v>
      </c>
      <c r="BB167" s="5">
        <v>1</v>
      </c>
      <c r="BC167" s="5">
        <v>164</v>
      </c>
      <c r="BD167" s="5">
        <v>46.290322580645167</v>
      </c>
    </row>
    <row r="168" spans="52:56" x14ac:dyDescent="0.25">
      <c r="AZ168" s="5">
        <v>165</v>
      </c>
      <c r="BA168" s="5">
        <v>1</v>
      </c>
      <c r="BB168" s="5">
        <v>1</v>
      </c>
      <c r="BC168" s="5">
        <v>165</v>
      </c>
      <c r="BD168" s="5">
        <v>46.572580645161295</v>
      </c>
    </row>
    <row r="169" spans="52:56" x14ac:dyDescent="0.25">
      <c r="AZ169" s="5">
        <v>166</v>
      </c>
      <c r="BA169" s="5">
        <v>1</v>
      </c>
      <c r="BB169" s="5">
        <v>1</v>
      </c>
      <c r="BC169" s="5">
        <v>166</v>
      </c>
      <c r="BD169" s="5">
        <v>46.854838709677423</v>
      </c>
    </row>
    <row r="170" spans="52:56" x14ac:dyDescent="0.25">
      <c r="AZ170" s="5">
        <v>167</v>
      </c>
      <c r="BA170" s="5">
        <v>1</v>
      </c>
      <c r="BB170" s="5">
        <v>1</v>
      </c>
      <c r="BC170" s="5">
        <v>167</v>
      </c>
      <c r="BD170" s="5">
        <v>47.137096774193552</v>
      </c>
    </row>
    <row r="171" spans="52:56" x14ac:dyDescent="0.25">
      <c r="AZ171" s="5">
        <v>168</v>
      </c>
      <c r="BA171" s="5">
        <v>1</v>
      </c>
      <c r="BB171" s="5">
        <v>1</v>
      </c>
      <c r="BC171" s="5">
        <v>168</v>
      </c>
      <c r="BD171" s="5">
        <v>47.41935483870968</v>
      </c>
    </row>
    <row r="172" spans="52:56" x14ac:dyDescent="0.25">
      <c r="AZ172" s="5">
        <v>169</v>
      </c>
      <c r="BA172" s="5">
        <v>1</v>
      </c>
      <c r="BB172" s="5">
        <v>1</v>
      </c>
      <c r="BC172" s="5">
        <v>169</v>
      </c>
      <c r="BD172" s="5">
        <v>47.701612903225808</v>
      </c>
    </row>
    <row r="173" spans="52:56" x14ac:dyDescent="0.25">
      <c r="AZ173" s="5">
        <v>170</v>
      </c>
      <c r="BA173" s="5">
        <v>1</v>
      </c>
      <c r="BB173" s="5">
        <v>1</v>
      </c>
      <c r="BC173" s="5">
        <v>170</v>
      </c>
      <c r="BD173" s="5">
        <v>47.983870967741943</v>
      </c>
    </row>
    <row r="174" spans="52:56" x14ac:dyDescent="0.25">
      <c r="AZ174" s="5">
        <v>171</v>
      </c>
      <c r="BA174" s="5">
        <v>1</v>
      </c>
      <c r="BB174" s="5">
        <v>1</v>
      </c>
      <c r="BC174" s="5">
        <v>171</v>
      </c>
      <c r="BD174" s="5">
        <v>48.266129032258071</v>
      </c>
    </row>
    <row r="175" spans="52:56" x14ac:dyDescent="0.25">
      <c r="AZ175" s="5">
        <v>172</v>
      </c>
      <c r="BA175" s="5">
        <v>1</v>
      </c>
      <c r="BB175" s="5">
        <v>1</v>
      </c>
      <c r="BC175" s="5">
        <v>172</v>
      </c>
      <c r="BD175" s="5">
        <v>48.548387096774199</v>
      </c>
    </row>
    <row r="176" spans="52:56" x14ac:dyDescent="0.25">
      <c r="AZ176" s="5">
        <v>173</v>
      </c>
      <c r="BA176" s="5">
        <v>1</v>
      </c>
      <c r="BB176" s="5">
        <v>1</v>
      </c>
      <c r="BC176" s="5">
        <v>173</v>
      </c>
      <c r="BD176" s="5">
        <v>48.830645161290327</v>
      </c>
    </row>
    <row r="177" spans="52:56" x14ac:dyDescent="0.25">
      <c r="AZ177" s="5">
        <v>174</v>
      </c>
      <c r="BA177" s="5">
        <v>1</v>
      </c>
      <c r="BB177" s="5">
        <v>1</v>
      </c>
      <c r="BC177" s="5">
        <v>174</v>
      </c>
      <c r="BD177" s="5">
        <v>49.112903225806456</v>
      </c>
    </row>
    <row r="178" spans="52:56" x14ac:dyDescent="0.25">
      <c r="AZ178" s="5">
        <v>175</v>
      </c>
      <c r="BA178" s="5">
        <v>1</v>
      </c>
      <c r="BB178" s="5">
        <v>1</v>
      </c>
      <c r="BC178" s="5">
        <v>175</v>
      </c>
      <c r="BD178" s="5">
        <v>49.395161290322584</v>
      </c>
    </row>
    <row r="179" spans="52:56" x14ac:dyDescent="0.25">
      <c r="AZ179" s="5">
        <v>176</v>
      </c>
      <c r="BA179" s="5">
        <v>1</v>
      </c>
      <c r="BB179" s="5">
        <v>1</v>
      </c>
      <c r="BC179" s="5">
        <v>176</v>
      </c>
      <c r="BD179" s="5">
        <v>49.677419354838712</v>
      </c>
    </row>
    <row r="180" spans="52:56" x14ac:dyDescent="0.25">
      <c r="AZ180" s="5">
        <v>177</v>
      </c>
      <c r="BA180" s="5">
        <v>1</v>
      </c>
      <c r="BB180" s="5">
        <v>1</v>
      </c>
      <c r="BC180" s="5">
        <v>177</v>
      </c>
      <c r="BD180" s="5">
        <v>49.959677419354847</v>
      </c>
    </row>
    <row r="181" spans="52:56" x14ac:dyDescent="0.25">
      <c r="AZ181" s="5">
        <v>178</v>
      </c>
      <c r="BA181" s="5">
        <v>1</v>
      </c>
      <c r="BB181" s="5">
        <v>1</v>
      </c>
      <c r="BC181" s="5">
        <v>178</v>
      </c>
      <c r="BD181" s="5">
        <v>50.241935483870975</v>
      </c>
    </row>
    <row r="182" spans="52:56" x14ac:dyDescent="0.25">
      <c r="AZ182" s="5">
        <v>179</v>
      </c>
      <c r="BA182" s="5">
        <v>1</v>
      </c>
      <c r="BB182" s="5">
        <v>1</v>
      </c>
      <c r="BC182" s="5">
        <v>179</v>
      </c>
      <c r="BD182" s="5">
        <v>50.524193548387103</v>
      </c>
    </row>
    <row r="183" spans="52:56" x14ac:dyDescent="0.25">
      <c r="AZ183" s="5">
        <v>180</v>
      </c>
      <c r="BA183" s="5">
        <v>1</v>
      </c>
      <c r="BB183" s="5">
        <v>1</v>
      </c>
      <c r="BC183" s="5">
        <v>180</v>
      </c>
      <c r="BD183" s="5">
        <v>50.806451612903231</v>
      </c>
    </row>
    <row r="184" spans="52:56" x14ac:dyDescent="0.25">
      <c r="AZ184" s="5">
        <v>181</v>
      </c>
      <c r="BA184" s="5">
        <v>1</v>
      </c>
      <c r="BB184" s="5">
        <v>1</v>
      </c>
      <c r="BC184" s="5">
        <v>181</v>
      </c>
      <c r="BD184" s="5">
        <v>51.088709677419359</v>
      </c>
    </row>
    <row r="185" spans="52:56" x14ac:dyDescent="0.25">
      <c r="AZ185" s="5">
        <v>182</v>
      </c>
      <c r="BA185" s="5">
        <v>1</v>
      </c>
      <c r="BB185" s="5">
        <v>1</v>
      </c>
      <c r="BC185" s="5">
        <v>182</v>
      </c>
      <c r="BD185" s="5">
        <v>51.370967741935488</v>
      </c>
    </row>
    <row r="186" spans="52:56" x14ac:dyDescent="0.25">
      <c r="AZ186" s="5">
        <v>183</v>
      </c>
      <c r="BA186" s="5">
        <v>1</v>
      </c>
      <c r="BB186" s="5">
        <v>1</v>
      </c>
      <c r="BC186" s="5">
        <v>183</v>
      </c>
      <c r="BD186" s="5">
        <v>51.653225806451616</v>
      </c>
    </row>
    <row r="187" spans="52:56" x14ac:dyDescent="0.25">
      <c r="AZ187" s="5">
        <v>184</v>
      </c>
      <c r="BA187" s="5">
        <v>1</v>
      </c>
      <c r="BB187" s="5">
        <v>1</v>
      </c>
      <c r="BC187" s="5">
        <v>184</v>
      </c>
      <c r="BD187" s="5">
        <v>51.935483870967744</v>
      </c>
    </row>
    <row r="188" spans="52:56" x14ac:dyDescent="0.25">
      <c r="AZ188" s="5">
        <v>185</v>
      </c>
      <c r="BA188" s="5">
        <v>1</v>
      </c>
      <c r="BB188" s="5">
        <v>1</v>
      </c>
      <c r="BC188" s="5">
        <v>185</v>
      </c>
      <c r="BD188" s="5">
        <v>52.217741935483879</v>
      </c>
    </row>
    <row r="189" spans="52:56" x14ac:dyDescent="0.25">
      <c r="AZ189" s="5">
        <v>186</v>
      </c>
      <c r="BA189" s="5">
        <v>1</v>
      </c>
      <c r="BB189" s="5">
        <v>1</v>
      </c>
      <c r="BC189" s="5">
        <v>186</v>
      </c>
      <c r="BD189" s="5">
        <v>52.500000000000007</v>
      </c>
    </row>
    <row r="190" spans="52:56" x14ac:dyDescent="0.25">
      <c r="AZ190" s="6">
        <v>187</v>
      </c>
      <c r="BA190" s="6">
        <v>1</v>
      </c>
      <c r="BB190" s="6">
        <v>1</v>
      </c>
      <c r="BC190" s="6">
        <v>187</v>
      </c>
      <c r="BD190" s="6">
        <v>52.782258064516135</v>
      </c>
    </row>
    <row r="191" spans="52:56" x14ac:dyDescent="0.25">
      <c r="AZ191" s="6">
        <v>188</v>
      </c>
      <c r="BA191" s="6">
        <v>1</v>
      </c>
      <c r="BB191" s="6">
        <v>1</v>
      </c>
      <c r="BC191" s="6">
        <v>188</v>
      </c>
      <c r="BD191" s="6">
        <v>53.064516129032263</v>
      </c>
    </row>
    <row r="192" spans="52:56" x14ac:dyDescent="0.25">
      <c r="AZ192" s="6">
        <v>189</v>
      </c>
      <c r="BA192" s="6">
        <v>1</v>
      </c>
      <c r="BB192" s="6">
        <v>1</v>
      </c>
      <c r="BC192" s="6">
        <v>189</v>
      </c>
      <c r="BD192" s="6">
        <v>53.346774193548391</v>
      </c>
    </row>
    <row r="193" spans="52:56" x14ac:dyDescent="0.25">
      <c r="AZ193" s="6">
        <v>190</v>
      </c>
      <c r="BA193" s="6">
        <v>1</v>
      </c>
      <c r="BB193" s="6">
        <v>1</v>
      </c>
      <c r="BC193" s="6">
        <v>190</v>
      </c>
      <c r="BD193" s="6">
        <v>53.62903225806452</v>
      </c>
    </row>
    <row r="194" spans="52:56" x14ac:dyDescent="0.25">
      <c r="AZ194" s="6">
        <v>191</v>
      </c>
      <c r="BA194" s="6">
        <v>1</v>
      </c>
      <c r="BB194" s="6">
        <v>1</v>
      </c>
      <c r="BC194" s="6">
        <v>191</v>
      </c>
      <c r="BD194" s="6">
        <v>53.911290322580648</v>
      </c>
    </row>
    <row r="195" spans="52:56" x14ac:dyDescent="0.25">
      <c r="AZ195" s="6">
        <v>192</v>
      </c>
      <c r="BA195" s="6">
        <v>1</v>
      </c>
      <c r="BB195" s="6">
        <v>1</v>
      </c>
      <c r="BC195" s="6">
        <v>192</v>
      </c>
      <c r="BD195" s="6">
        <v>54.193548387096783</v>
      </c>
    </row>
    <row r="196" spans="52:56" x14ac:dyDescent="0.25">
      <c r="AZ196" s="6">
        <v>193</v>
      </c>
      <c r="BA196" s="6">
        <v>1</v>
      </c>
      <c r="BB196" s="6">
        <v>1</v>
      </c>
      <c r="BC196" s="6">
        <v>193</v>
      </c>
      <c r="BD196" s="6">
        <v>54.475806451612911</v>
      </c>
    </row>
    <row r="197" spans="52:56" x14ac:dyDescent="0.25">
      <c r="AZ197" s="6">
        <v>194</v>
      </c>
      <c r="BA197" s="6">
        <v>1</v>
      </c>
      <c r="BB197" s="6">
        <v>1</v>
      </c>
      <c r="BC197" s="6">
        <v>194</v>
      </c>
      <c r="BD197" s="6">
        <v>54.758064516129039</v>
      </c>
    </row>
    <row r="198" spans="52:56" x14ac:dyDescent="0.25">
      <c r="AZ198" s="6">
        <v>195</v>
      </c>
      <c r="BA198" s="6">
        <v>1</v>
      </c>
      <c r="BB198" s="6">
        <v>1</v>
      </c>
      <c r="BC198" s="6">
        <v>195</v>
      </c>
      <c r="BD198" s="6">
        <v>55.040322580645167</v>
      </c>
    </row>
    <row r="199" spans="52:56" x14ac:dyDescent="0.25">
      <c r="AZ199" s="6">
        <v>196</v>
      </c>
      <c r="BA199" s="6">
        <v>1</v>
      </c>
      <c r="BB199" s="6">
        <v>1</v>
      </c>
      <c r="BC199" s="6">
        <v>196</v>
      </c>
      <c r="BD199" s="6">
        <v>55.322580645161295</v>
      </c>
    </row>
    <row r="200" spans="52:56" x14ac:dyDescent="0.25">
      <c r="AZ200" s="6">
        <v>197</v>
      </c>
      <c r="BA200" s="6">
        <v>1</v>
      </c>
      <c r="BB200" s="6">
        <v>1</v>
      </c>
      <c r="BC200" s="6">
        <v>197</v>
      </c>
      <c r="BD200" s="6">
        <v>55.604838709677423</v>
      </c>
    </row>
    <row r="201" spans="52:56" x14ac:dyDescent="0.25">
      <c r="AZ201" s="6">
        <v>198</v>
      </c>
      <c r="BA201" s="6">
        <v>1</v>
      </c>
      <c r="BB201" s="6">
        <v>1</v>
      </c>
      <c r="BC201" s="6">
        <v>198</v>
      </c>
      <c r="BD201" s="6">
        <v>55.887096774193552</v>
      </c>
    </row>
    <row r="202" spans="52:56" x14ac:dyDescent="0.25">
      <c r="AZ202" s="6">
        <v>199</v>
      </c>
      <c r="BA202" s="6">
        <v>1</v>
      </c>
      <c r="BB202" s="6">
        <v>1</v>
      </c>
      <c r="BC202" s="6">
        <v>199</v>
      </c>
      <c r="BD202" s="6">
        <v>56.16935483870968</v>
      </c>
    </row>
    <row r="203" spans="52:56" x14ac:dyDescent="0.25">
      <c r="AZ203" s="6">
        <v>200</v>
      </c>
      <c r="BA203" s="6">
        <v>1</v>
      </c>
      <c r="BB203" s="6">
        <v>1</v>
      </c>
      <c r="BC203" s="6">
        <v>200</v>
      </c>
      <c r="BD203" s="6">
        <v>56.451612903225815</v>
      </c>
    </row>
    <row r="204" spans="52:56" x14ac:dyDescent="0.25">
      <c r="AZ204" s="6">
        <v>201</v>
      </c>
      <c r="BA204" s="6">
        <v>1</v>
      </c>
      <c r="BB204" s="6">
        <v>1</v>
      </c>
      <c r="BC204" s="6">
        <v>201</v>
      </c>
      <c r="BD204" s="6">
        <v>56.733870967741943</v>
      </c>
    </row>
    <row r="205" spans="52:56" x14ac:dyDescent="0.25">
      <c r="AZ205" s="6">
        <v>202</v>
      </c>
      <c r="BA205" s="6">
        <v>1</v>
      </c>
      <c r="BB205" s="6">
        <v>1</v>
      </c>
      <c r="BC205" s="6">
        <v>202</v>
      </c>
      <c r="BD205" s="6">
        <v>57.016129032258071</v>
      </c>
    </row>
    <row r="206" spans="52:56" x14ac:dyDescent="0.25">
      <c r="AZ206" s="6">
        <v>203</v>
      </c>
      <c r="BA206" s="6">
        <v>1</v>
      </c>
      <c r="BB206" s="6">
        <v>1</v>
      </c>
      <c r="BC206" s="6">
        <v>203</v>
      </c>
      <c r="BD206" s="6">
        <v>57.298387096774199</v>
      </c>
    </row>
    <row r="207" spans="52:56" x14ac:dyDescent="0.25">
      <c r="AZ207" s="6">
        <v>204</v>
      </c>
      <c r="BA207" s="6">
        <v>1</v>
      </c>
      <c r="BB207" s="6">
        <v>1</v>
      </c>
      <c r="BC207" s="6">
        <v>204</v>
      </c>
      <c r="BD207" s="6">
        <v>57.580645161290327</v>
      </c>
    </row>
    <row r="208" spans="52:56" x14ac:dyDescent="0.25">
      <c r="AZ208" s="6">
        <v>205</v>
      </c>
      <c r="BA208" s="6">
        <v>1</v>
      </c>
      <c r="BB208" s="6">
        <v>1</v>
      </c>
      <c r="BC208" s="6">
        <v>205</v>
      </c>
      <c r="BD208" s="6">
        <v>57.862903225806456</v>
      </c>
    </row>
    <row r="209" spans="52:56" x14ac:dyDescent="0.25">
      <c r="AZ209" s="6">
        <v>206</v>
      </c>
      <c r="BA209" s="6">
        <v>1</v>
      </c>
      <c r="BB209" s="6">
        <v>1</v>
      </c>
      <c r="BC209" s="6">
        <v>206</v>
      </c>
      <c r="BD209" s="6">
        <v>58.145161290322584</v>
      </c>
    </row>
    <row r="210" spans="52:56" x14ac:dyDescent="0.25">
      <c r="AZ210" s="6">
        <v>207</v>
      </c>
      <c r="BA210" s="6">
        <v>1</v>
      </c>
      <c r="BB210" s="6">
        <v>1</v>
      </c>
      <c r="BC210" s="6">
        <v>207</v>
      </c>
      <c r="BD210" s="6">
        <v>58.427419354838712</v>
      </c>
    </row>
    <row r="211" spans="52:56" x14ac:dyDescent="0.25">
      <c r="AZ211" s="6">
        <v>208</v>
      </c>
      <c r="BA211" s="6">
        <v>1</v>
      </c>
      <c r="BB211" s="6">
        <v>1</v>
      </c>
      <c r="BC211" s="6">
        <v>208</v>
      </c>
      <c r="BD211" s="6">
        <v>58.709677419354847</v>
      </c>
    </row>
    <row r="212" spans="52:56" x14ac:dyDescent="0.25">
      <c r="AZ212" s="6">
        <v>209</v>
      </c>
      <c r="BA212" s="6">
        <v>1</v>
      </c>
      <c r="BB212" s="6">
        <v>1</v>
      </c>
      <c r="BC212" s="6">
        <v>209</v>
      </c>
      <c r="BD212" s="6">
        <v>58.991935483870975</v>
      </c>
    </row>
    <row r="213" spans="52:56" x14ac:dyDescent="0.25">
      <c r="AZ213" s="6">
        <v>210</v>
      </c>
      <c r="BA213" s="6">
        <v>1</v>
      </c>
      <c r="BB213" s="6">
        <v>1</v>
      </c>
      <c r="BC213" s="6">
        <v>210</v>
      </c>
      <c r="BD213" s="6">
        <v>59.274193548387103</v>
      </c>
    </row>
    <row r="214" spans="52:56" x14ac:dyDescent="0.25">
      <c r="AZ214" s="6">
        <v>211</v>
      </c>
      <c r="BA214" s="6">
        <v>1</v>
      </c>
      <c r="BB214" s="6">
        <v>1</v>
      </c>
      <c r="BC214" s="6">
        <v>211</v>
      </c>
      <c r="BD214" s="6">
        <v>59.556451612903231</v>
      </c>
    </row>
    <row r="215" spans="52:56" x14ac:dyDescent="0.25">
      <c r="AZ215" s="6">
        <v>212</v>
      </c>
      <c r="BA215" s="6">
        <v>1</v>
      </c>
      <c r="BB215" s="6">
        <v>1</v>
      </c>
      <c r="BC215" s="6">
        <v>212</v>
      </c>
      <c r="BD215" s="6">
        <v>59.838709677419359</v>
      </c>
    </row>
    <row r="216" spans="52:56" x14ac:dyDescent="0.25">
      <c r="AZ216" s="6">
        <v>213</v>
      </c>
      <c r="BA216" s="6">
        <v>1</v>
      </c>
      <c r="BB216" s="6">
        <v>1</v>
      </c>
      <c r="BC216" s="6">
        <v>213</v>
      </c>
      <c r="BD216" s="6">
        <v>60.120967741935488</v>
      </c>
    </row>
    <row r="217" spans="52:56" x14ac:dyDescent="0.25">
      <c r="AZ217" s="6">
        <v>214</v>
      </c>
      <c r="BA217" s="6">
        <v>1</v>
      </c>
      <c r="BB217" s="6">
        <v>1</v>
      </c>
      <c r="BC217" s="6">
        <v>214</v>
      </c>
      <c r="BD217" s="6">
        <v>60.403225806451616</v>
      </c>
    </row>
    <row r="218" spans="52:56" x14ac:dyDescent="0.25">
      <c r="AZ218" s="6">
        <v>215</v>
      </c>
      <c r="BA218" s="6">
        <v>1</v>
      </c>
      <c r="BB218" s="6">
        <v>1</v>
      </c>
      <c r="BC218" s="6">
        <v>215</v>
      </c>
      <c r="BD218" s="6">
        <v>60.685483870967751</v>
      </c>
    </row>
    <row r="219" spans="52:56" x14ac:dyDescent="0.25">
      <c r="AZ219" s="6">
        <v>216</v>
      </c>
      <c r="BA219" s="6">
        <v>1</v>
      </c>
      <c r="BB219" s="6">
        <v>1</v>
      </c>
      <c r="BC219" s="6">
        <v>216</v>
      </c>
      <c r="BD219" s="6">
        <v>60.967741935483879</v>
      </c>
    </row>
    <row r="220" spans="52:56" x14ac:dyDescent="0.25">
      <c r="AZ220" s="6">
        <v>217</v>
      </c>
      <c r="BA220" s="6">
        <v>1</v>
      </c>
      <c r="BB220" s="6">
        <v>1</v>
      </c>
      <c r="BC220" s="6">
        <v>217</v>
      </c>
      <c r="BD220" s="6">
        <v>61.250000000000007</v>
      </c>
    </row>
    <row r="221" spans="52:56" x14ac:dyDescent="0.25">
      <c r="AZ221" s="6">
        <v>218</v>
      </c>
      <c r="BA221" s="6">
        <v>1</v>
      </c>
      <c r="BB221" s="6">
        <v>1</v>
      </c>
      <c r="BC221" s="6">
        <v>218</v>
      </c>
      <c r="BD221" s="6">
        <v>61.532258064516135</v>
      </c>
    </row>
    <row r="222" spans="52:56" x14ac:dyDescent="0.25">
      <c r="AZ222" s="6">
        <v>219</v>
      </c>
      <c r="BA222" s="6">
        <v>1</v>
      </c>
      <c r="BB222" s="6">
        <v>1</v>
      </c>
      <c r="BC222" s="6">
        <v>219</v>
      </c>
      <c r="BD222" s="6">
        <v>61.814516129032263</v>
      </c>
    </row>
    <row r="223" spans="52:56" x14ac:dyDescent="0.25">
      <c r="AZ223" s="6">
        <v>220</v>
      </c>
      <c r="BA223" s="6">
        <v>1</v>
      </c>
      <c r="BB223" s="6">
        <v>1</v>
      </c>
      <c r="BC223" s="6">
        <v>220</v>
      </c>
      <c r="BD223" s="6">
        <v>62.096774193548391</v>
      </c>
    </row>
    <row r="224" spans="52:56" x14ac:dyDescent="0.25">
      <c r="AZ224" s="6">
        <v>221</v>
      </c>
      <c r="BA224" s="6">
        <v>1</v>
      </c>
      <c r="BB224" s="6">
        <v>1</v>
      </c>
      <c r="BC224" s="6">
        <v>221</v>
      </c>
      <c r="BD224" s="6">
        <v>62.37903225806452</v>
      </c>
    </row>
    <row r="225" spans="52:56" x14ac:dyDescent="0.25">
      <c r="AZ225" s="6">
        <v>222</v>
      </c>
      <c r="BA225" s="6">
        <v>1</v>
      </c>
      <c r="BB225" s="6">
        <v>1</v>
      </c>
      <c r="BC225" s="6">
        <v>222</v>
      </c>
      <c r="BD225" s="6">
        <v>62.661290322580648</v>
      </c>
    </row>
    <row r="226" spans="52:56" x14ac:dyDescent="0.25">
      <c r="AZ226" s="6">
        <v>223</v>
      </c>
      <c r="BA226" s="6">
        <v>1</v>
      </c>
      <c r="BB226" s="6">
        <v>1</v>
      </c>
      <c r="BC226" s="6">
        <v>223</v>
      </c>
      <c r="BD226" s="6">
        <v>62.943548387096783</v>
      </c>
    </row>
    <row r="227" spans="52:56" x14ac:dyDescent="0.25">
      <c r="AZ227" s="6">
        <v>224</v>
      </c>
      <c r="BA227" s="6">
        <v>1</v>
      </c>
      <c r="BB227" s="6">
        <v>1</v>
      </c>
      <c r="BC227" s="6">
        <v>224</v>
      </c>
      <c r="BD227" s="6">
        <v>63.225806451612911</v>
      </c>
    </row>
    <row r="228" spans="52:56" x14ac:dyDescent="0.25">
      <c r="AZ228" s="6">
        <v>225</v>
      </c>
      <c r="BA228" s="6">
        <v>1</v>
      </c>
      <c r="BB228" s="6">
        <v>1</v>
      </c>
      <c r="BC228" s="6">
        <v>225</v>
      </c>
      <c r="BD228" s="6">
        <v>63.508064516129039</v>
      </c>
    </row>
    <row r="229" spans="52:56" x14ac:dyDescent="0.25">
      <c r="AZ229" s="6">
        <v>226</v>
      </c>
      <c r="BA229" s="6">
        <v>1</v>
      </c>
      <c r="BB229" s="6">
        <v>1</v>
      </c>
      <c r="BC229" s="6">
        <v>226</v>
      </c>
      <c r="BD229" s="6">
        <v>63.790322580645167</v>
      </c>
    </row>
    <row r="230" spans="52:56" x14ac:dyDescent="0.25">
      <c r="AZ230" s="6">
        <v>227</v>
      </c>
      <c r="BA230" s="6">
        <v>1</v>
      </c>
      <c r="BB230" s="6">
        <v>1</v>
      </c>
      <c r="BC230" s="6">
        <v>227</v>
      </c>
      <c r="BD230" s="6">
        <v>64.072580645161295</v>
      </c>
    </row>
    <row r="231" spans="52:56" x14ac:dyDescent="0.25">
      <c r="AZ231" s="6">
        <v>228</v>
      </c>
      <c r="BA231" s="6">
        <v>1</v>
      </c>
      <c r="BB231" s="6">
        <v>1</v>
      </c>
      <c r="BC231" s="6">
        <v>228</v>
      </c>
      <c r="BD231" s="6">
        <v>64.354838709677423</v>
      </c>
    </row>
    <row r="232" spans="52:56" x14ac:dyDescent="0.25">
      <c r="AZ232" s="6">
        <v>229</v>
      </c>
      <c r="BA232" s="6">
        <v>1</v>
      </c>
      <c r="BB232" s="6">
        <v>1</v>
      </c>
      <c r="BC232" s="6">
        <v>229</v>
      </c>
      <c r="BD232" s="6">
        <v>64.637096774193552</v>
      </c>
    </row>
    <row r="233" spans="52:56" x14ac:dyDescent="0.25">
      <c r="AZ233" s="6">
        <v>230</v>
      </c>
      <c r="BA233" s="6">
        <v>1</v>
      </c>
      <c r="BB233" s="6">
        <v>1</v>
      </c>
      <c r="BC233" s="6">
        <v>230</v>
      </c>
      <c r="BD233" s="6">
        <v>64.91935483870968</v>
      </c>
    </row>
    <row r="234" spans="52:56" x14ac:dyDescent="0.25">
      <c r="AZ234" s="6">
        <v>231</v>
      </c>
      <c r="BA234" s="6">
        <v>1</v>
      </c>
      <c r="BB234" s="6">
        <v>1</v>
      </c>
      <c r="BC234" s="6">
        <v>231</v>
      </c>
      <c r="BD234" s="6">
        <v>65.201612903225808</v>
      </c>
    </row>
    <row r="235" spans="52:56" x14ac:dyDescent="0.25">
      <c r="AZ235" s="6">
        <v>232</v>
      </c>
      <c r="BA235" s="6">
        <v>1</v>
      </c>
      <c r="BB235" s="6">
        <v>1</v>
      </c>
      <c r="BC235" s="6">
        <v>232</v>
      </c>
      <c r="BD235" s="6">
        <v>65.483870967741936</v>
      </c>
    </row>
    <row r="236" spans="52:56" x14ac:dyDescent="0.25">
      <c r="AZ236" s="6">
        <v>233</v>
      </c>
      <c r="BA236" s="6">
        <v>1</v>
      </c>
      <c r="BB236" s="6">
        <v>1</v>
      </c>
      <c r="BC236" s="6">
        <v>233</v>
      </c>
      <c r="BD236" s="6">
        <v>65.766129032258064</v>
      </c>
    </row>
    <row r="237" spans="52:56" x14ac:dyDescent="0.25">
      <c r="AZ237" s="6">
        <v>234</v>
      </c>
      <c r="BA237" s="6">
        <v>1</v>
      </c>
      <c r="BB237" s="6">
        <v>1</v>
      </c>
      <c r="BC237" s="6">
        <v>234</v>
      </c>
      <c r="BD237" s="6">
        <v>66.048387096774206</v>
      </c>
    </row>
    <row r="238" spans="52:56" x14ac:dyDescent="0.25">
      <c r="AZ238" s="6">
        <v>235</v>
      </c>
      <c r="BA238" s="6">
        <v>1</v>
      </c>
      <c r="BB238" s="6">
        <v>1</v>
      </c>
      <c r="BC238" s="6">
        <v>235</v>
      </c>
      <c r="BD238" s="6">
        <v>66.330645161290334</v>
      </c>
    </row>
    <row r="239" spans="52:56" x14ac:dyDescent="0.25">
      <c r="AZ239" s="6">
        <v>236</v>
      </c>
      <c r="BA239" s="6">
        <v>1</v>
      </c>
      <c r="BB239" s="6">
        <v>1</v>
      </c>
      <c r="BC239" s="6">
        <v>236</v>
      </c>
      <c r="BD239" s="6">
        <v>66.612903225806463</v>
      </c>
    </row>
    <row r="240" spans="52:56" x14ac:dyDescent="0.25">
      <c r="AZ240" s="6">
        <v>237</v>
      </c>
      <c r="BA240" s="6">
        <v>1</v>
      </c>
      <c r="BB240" s="6">
        <v>1</v>
      </c>
      <c r="BC240" s="6">
        <v>237</v>
      </c>
      <c r="BD240" s="6">
        <v>66.895161290322591</v>
      </c>
    </row>
    <row r="241" spans="52:56" x14ac:dyDescent="0.25">
      <c r="AZ241" s="6">
        <v>238</v>
      </c>
      <c r="BA241" s="6">
        <v>1</v>
      </c>
      <c r="BB241" s="6">
        <v>1</v>
      </c>
      <c r="BC241" s="6">
        <v>238</v>
      </c>
      <c r="BD241" s="6">
        <v>67.177419354838719</v>
      </c>
    </row>
    <row r="242" spans="52:56" x14ac:dyDescent="0.25">
      <c r="AZ242" s="6">
        <v>239</v>
      </c>
      <c r="BA242" s="6">
        <v>1</v>
      </c>
      <c r="BB242" s="6">
        <v>1</v>
      </c>
      <c r="BC242" s="6">
        <v>239</v>
      </c>
      <c r="BD242" s="6">
        <v>67.459677419354847</v>
      </c>
    </row>
    <row r="243" spans="52:56" x14ac:dyDescent="0.25">
      <c r="AZ243" s="6">
        <v>240</v>
      </c>
      <c r="BA243" s="6">
        <v>1</v>
      </c>
      <c r="BB243" s="6">
        <v>1</v>
      </c>
      <c r="BC243" s="6">
        <v>240</v>
      </c>
      <c r="BD243" s="6">
        <v>67.741935483870975</v>
      </c>
    </row>
    <row r="244" spans="52:56" x14ac:dyDescent="0.25">
      <c r="AZ244" s="6">
        <v>241</v>
      </c>
      <c r="BA244" s="6">
        <v>1</v>
      </c>
      <c r="BB244" s="6">
        <v>1</v>
      </c>
      <c r="BC244" s="6">
        <v>241</v>
      </c>
      <c r="BD244" s="6">
        <v>68.024193548387103</v>
      </c>
    </row>
    <row r="245" spans="52:56" x14ac:dyDescent="0.25">
      <c r="AZ245" s="6">
        <v>242</v>
      </c>
      <c r="BA245" s="6">
        <v>1</v>
      </c>
      <c r="BB245" s="6">
        <v>1</v>
      </c>
      <c r="BC245" s="6">
        <v>242</v>
      </c>
      <c r="BD245" s="6">
        <v>68.306451612903231</v>
      </c>
    </row>
    <row r="246" spans="52:56" x14ac:dyDescent="0.25">
      <c r="AZ246" s="6">
        <v>243</v>
      </c>
      <c r="BA246" s="6">
        <v>1</v>
      </c>
      <c r="BB246" s="6">
        <v>1</v>
      </c>
      <c r="BC246" s="6">
        <v>243</v>
      </c>
      <c r="BD246" s="6">
        <v>68.588709677419359</v>
      </c>
    </row>
    <row r="247" spans="52:56" x14ac:dyDescent="0.25">
      <c r="AZ247" s="6">
        <v>244</v>
      </c>
      <c r="BA247" s="6">
        <v>1</v>
      </c>
      <c r="BB247" s="6">
        <v>1</v>
      </c>
      <c r="BC247" s="6">
        <v>244</v>
      </c>
      <c r="BD247" s="6">
        <v>68.870967741935488</v>
      </c>
    </row>
    <row r="248" spans="52:56" x14ac:dyDescent="0.25">
      <c r="AZ248" s="6">
        <v>245</v>
      </c>
      <c r="BA248" s="6">
        <v>1</v>
      </c>
      <c r="BB248" s="6">
        <v>1</v>
      </c>
      <c r="BC248" s="6">
        <v>245</v>
      </c>
      <c r="BD248" s="6">
        <v>69.153225806451616</v>
      </c>
    </row>
    <row r="249" spans="52:56" x14ac:dyDescent="0.25">
      <c r="AZ249" s="6">
        <v>246</v>
      </c>
      <c r="BA249" s="6">
        <v>1</v>
      </c>
      <c r="BB249" s="6">
        <v>1</v>
      </c>
      <c r="BC249" s="6">
        <v>246</v>
      </c>
      <c r="BD249" s="6">
        <v>69.435483870967744</v>
      </c>
    </row>
    <row r="250" spans="52:56" x14ac:dyDescent="0.25">
      <c r="AZ250" s="6">
        <v>247</v>
      </c>
      <c r="BA250" s="6">
        <v>1</v>
      </c>
      <c r="BB250" s="6">
        <v>1</v>
      </c>
      <c r="BC250" s="6">
        <v>247</v>
      </c>
      <c r="BD250" s="6">
        <v>69.717741935483872</v>
      </c>
    </row>
    <row r="251" spans="52:56" x14ac:dyDescent="0.25">
      <c r="AZ251" s="6">
        <v>248</v>
      </c>
      <c r="BA251" s="6">
        <v>1</v>
      </c>
      <c r="BB251" s="6">
        <v>1</v>
      </c>
      <c r="BC251" s="6">
        <v>248</v>
      </c>
      <c r="BD251" s="6">
        <v>70</v>
      </c>
    </row>
    <row r="252" spans="52:56" x14ac:dyDescent="0.25">
      <c r="AZ252" s="6">
        <v>249</v>
      </c>
      <c r="BA252" s="6">
        <v>1</v>
      </c>
      <c r="BB252" s="6">
        <v>1</v>
      </c>
      <c r="BC252" s="6">
        <v>249</v>
      </c>
      <c r="BD252" s="6">
        <v>70.282258064516142</v>
      </c>
    </row>
    <row r="253" spans="52:56" x14ac:dyDescent="0.25">
      <c r="AZ253" s="6">
        <v>250</v>
      </c>
      <c r="BA253" s="6">
        <v>1</v>
      </c>
      <c r="BB253" s="6">
        <v>1</v>
      </c>
      <c r="BC253" s="6">
        <v>250</v>
      </c>
      <c r="BD253" s="6">
        <v>70.56451612903227</v>
      </c>
    </row>
    <row r="254" spans="52:56" x14ac:dyDescent="0.25">
      <c r="AZ254" s="6">
        <v>251</v>
      </c>
      <c r="BA254" s="6">
        <v>1</v>
      </c>
      <c r="BB254" s="6">
        <v>1</v>
      </c>
      <c r="BC254" s="6">
        <v>251</v>
      </c>
      <c r="BD254" s="6">
        <v>70.846774193548399</v>
      </c>
    </row>
    <row r="255" spans="52:56" x14ac:dyDescent="0.25">
      <c r="AZ255" s="6">
        <v>252</v>
      </c>
      <c r="BA255" s="6">
        <v>1</v>
      </c>
      <c r="BB255" s="6">
        <v>1</v>
      </c>
      <c r="BC255" s="6">
        <v>252</v>
      </c>
      <c r="BD255" s="6">
        <v>71.129032258064527</v>
      </c>
    </row>
    <row r="256" spans="52:56" x14ac:dyDescent="0.25">
      <c r="AZ256" s="6">
        <v>253</v>
      </c>
      <c r="BA256" s="6">
        <v>1</v>
      </c>
      <c r="BB256" s="6">
        <v>1</v>
      </c>
      <c r="BC256" s="6">
        <v>253</v>
      </c>
      <c r="BD256" s="6">
        <v>71.411290322580655</v>
      </c>
    </row>
    <row r="257" spans="52:56" x14ac:dyDescent="0.25">
      <c r="AZ257" s="6">
        <v>254</v>
      </c>
      <c r="BA257" s="6">
        <v>1</v>
      </c>
      <c r="BB257" s="6">
        <v>1</v>
      </c>
      <c r="BC257" s="6">
        <v>254</v>
      </c>
      <c r="BD257" s="6">
        <v>71.693548387096783</v>
      </c>
    </row>
    <row r="258" spans="52:56" x14ac:dyDescent="0.25">
      <c r="AZ258" s="6">
        <v>255</v>
      </c>
      <c r="BA258" s="6">
        <v>1</v>
      </c>
      <c r="BB258" s="6">
        <v>1</v>
      </c>
      <c r="BC258" s="6">
        <v>255</v>
      </c>
      <c r="BD258" s="6">
        <v>71.975806451612911</v>
      </c>
    </row>
    <row r="259" spans="52:56" x14ac:dyDescent="0.25">
      <c r="AZ259" s="6">
        <v>256</v>
      </c>
      <c r="BA259" s="6">
        <v>1</v>
      </c>
      <c r="BB259" s="6">
        <v>1</v>
      </c>
      <c r="BC259" s="6">
        <v>256</v>
      </c>
      <c r="BD259" s="6">
        <v>72.258064516129039</v>
      </c>
    </row>
    <row r="260" spans="52:56" x14ac:dyDescent="0.25">
      <c r="AZ260" s="6">
        <v>257</v>
      </c>
      <c r="BA260" s="6">
        <v>1</v>
      </c>
      <c r="BB260" s="6">
        <v>1</v>
      </c>
      <c r="BC260" s="6">
        <v>257</v>
      </c>
      <c r="BD260" s="6">
        <v>72.540322580645167</v>
      </c>
    </row>
    <row r="261" spans="52:56" x14ac:dyDescent="0.25">
      <c r="AZ261" s="6">
        <v>258</v>
      </c>
      <c r="BA261" s="6">
        <v>1</v>
      </c>
      <c r="BB261" s="6">
        <v>1</v>
      </c>
      <c r="BC261" s="6">
        <v>258</v>
      </c>
      <c r="BD261" s="6">
        <v>72.822580645161295</v>
      </c>
    </row>
    <row r="262" spans="52:56" x14ac:dyDescent="0.25">
      <c r="AZ262" s="6">
        <v>259</v>
      </c>
      <c r="BA262" s="6">
        <v>1</v>
      </c>
      <c r="BB262" s="6">
        <v>1</v>
      </c>
      <c r="BC262" s="6">
        <v>259</v>
      </c>
      <c r="BD262" s="6">
        <v>73.104838709677423</v>
      </c>
    </row>
    <row r="263" spans="52:56" x14ac:dyDescent="0.25">
      <c r="AZ263" s="6">
        <v>260</v>
      </c>
      <c r="BA263" s="6">
        <v>1</v>
      </c>
      <c r="BB263" s="6">
        <v>1</v>
      </c>
      <c r="BC263" s="6">
        <v>260</v>
      </c>
      <c r="BD263" s="6">
        <v>73.387096774193552</v>
      </c>
    </row>
    <row r="264" spans="52:56" x14ac:dyDescent="0.25">
      <c r="AZ264" s="6">
        <v>261</v>
      </c>
      <c r="BA264" s="6">
        <v>1</v>
      </c>
      <c r="BB264" s="6">
        <v>1</v>
      </c>
      <c r="BC264" s="6">
        <v>261</v>
      </c>
      <c r="BD264" s="6">
        <v>73.66935483870968</v>
      </c>
    </row>
    <row r="265" spans="52:56" x14ac:dyDescent="0.25">
      <c r="AZ265" s="6">
        <v>262</v>
      </c>
      <c r="BA265" s="6">
        <v>1</v>
      </c>
      <c r="BB265" s="6">
        <v>1</v>
      </c>
      <c r="BC265" s="6">
        <v>262</v>
      </c>
      <c r="BD265" s="6">
        <v>73.951612903225808</v>
      </c>
    </row>
    <row r="266" spans="52:56" x14ac:dyDescent="0.25">
      <c r="AZ266" s="6">
        <v>263</v>
      </c>
      <c r="BA266" s="6">
        <v>1</v>
      </c>
      <c r="BB266" s="6">
        <v>1</v>
      </c>
      <c r="BC266" s="6">
        <v>263</v>
      </c>
      <c r="BD266" s="6">
        <v>74.233870967741936</v>
      </c>
    </row>
    <row r="267" spans="52:56" x14ac:dyDescent="0.25">
      <c r="AZ267" s="6">
        <v>264</v>
      </c>
      <c r="BA267" s="6">
        <v>1</v>
      </c>
      <c r="BB267" s="6">
        <v>1</v>
      </c>
      <c r="BC267" s="6">
        <v>264</v>
      </c>
      <c r="BD267" s="6">
        <v>74.516129032258078</v>
      </c>
    </row>
    <row r="268" spans="52:56" x14ac:dyDescent="0.25">
      <c r="AZ268" s="6">
        <v>265</v>
      </c>
      <c r="BA268" s="6">
        <v>1</v>
      </c>
      <c r="BB268" s="6">
        <v>1</v>
      </c>
      <c r="BC268" s="6">
        <v>265</v>
      </c>
      <c r="BD268" s="6">
        <v>74.798387096774206</v>
      </c>
    </row>
    <row r="269" spans="52:56" x14ac:dyDescent="0.25">
      <c r="AZ269" s="6">
        <v>266</v>
      </c>
      <c r="BA269" s="6">
        <v>1</v>
      </c>
      <c r="BB269" s="6">
        <v>1</v>
      </c>
      <c r="BC269" s="6">
        <v>266</v>
      </c>
      <c r="BD269" s="6">
        <v>75.080645161290334</v>
      </c>
    </row>
    <row r="270" spans="52:56" x14ac:dyDescent="0.25">
      <c r="AZ270" s="6">
        <v>267</v>
      </c>
      <c r="BA270" s="6">
        <v>1</v>
      </c>
      <c r="BB270" s="6">
        <v>1</v>
      </c>
      <c r="BC270" s="6">
        <v>267</v>
      </c>
      <c r="BD270" s="6">
        <v>75.362903225806463</v>
      </c>
    </row>
    <row r="271" spans="52:56" x14ac:dyDescent="0.25">
      <c r="AZ271" s="6">
        <v>268</v>
      </c>
      <c r="BA271" s="6">
        <v>1</v>
      </c>
      <c r="BB271" s="6">
        <v>1</v>
      </c>
      <c r="BC271" s="6">
        <v>268</v>
      </c>
      <c r="BD271" s="6">
        <v>75.645161290322591</v>
      </c>
    </row>
    <row r="272" spans="52:56" x14ac:dyDescent="0.25">
      <c r="AZ272" s="6">
        <v>269</v>
      </c>
      <c r="BA272" s="6">
        <v>1</v>
      </c>
      <c r="BB272" s="6">
        <v>1</v>
      </c>
      <c r="BC272" s="6">
        <v>269</v>
      </c>
      <c r="BD272" s="6">
        <v>75.927419354838719</v>
      </c>
    </row>
    <row r="273" spans="52:56" x14ac:dyDescent="0.25">
      <c r="AZ273" s="6">
        <v>270</v>
      </c>
      <c r="BA273" s="6">
        <v>1</v>
      </c>
      <c r="BB273" s="6">
        <v>1</v>
      </c>
      <c r="BC273" s="6">
        <v>270</v>
      </c>
      <c r="BD273" s="6">
        <v>76.209677419354847</v>
      </c>
    </row>
    <row r="274" spans="52:56" x14ac:dyDescent="0.25">
      <c r="AZ274" s="6">
        <v>271</v>
      </c>
      <c r="BA274" s="6">
        <v>1</v>
      </c>
      <c r="BB274" s="6">
        <v>1</v>
      </c>
      <c r="BC274" s="6">
        <v>271</v>
      </c>
      <c r="BD274" s="6">
        <v>76.491935483870975</v>
      </c>
    </row>
    <row r="275" spans="52:56" x14ac:dyDescent="0.25">
      <c r="AZ275" s="6">
        <v>272</v>
      </c>
      <c r="BA275" s="6">
        <v>1</v>
      </c>
      <c r="BB275" s="6">
        <v>1</v>
      </c>
      <c r="BC275" s="6">
        <v>272</v>
      </c>
      <c r="BD275" s="6">
        <v>76.774193548387103</v>
      </c>
    </row>
    <row r="276" spans="52:56" x14ac:dyDescent="0.25">
      <c r="AZ276" s="6">
        <v>273</v>
      </c>
      <c r="BA276" s="6">
        <v>1</v>
      </c>
      <c r="BB276" s="6">
        <v>1</v>
      </c>
      <c r="BC276" s="6">
        <v>273</v>
      </c>
      <c r="BD276" s="6">
        <v>77.056451612903231</v>
      </c>
    </row>
    <row r="277" spans="52:56" x14ac:dyDescent="0.25">
      <c r="AZ277" s="6">
        <v>274</v>
      </c>
      <c r="BA277" s="6">
        <v>1</v>
      </c>
      <c r="BB277" s="6">
        <v>1</v>
      </c>
      <c r="BC277" s="6">
        <v>274</v>
      </c>
      <c r="BD277" s="6">
        <v>77.338709677419359</v>
      </c>
    </row>
    <row r="278" spans="52:56" x14ac:dyDescent="0.25">
      <c r="AZ278" s="6">
        <v>275</v>
      </c>
      <c r="BA278" s="6">
        <v>1</v>
      </c>
      <c r="BB278" s="6">
        <v>1</v>
      </c>
      <c r="BC278" s="6">
        <v>275</v>
      </c>
      <c r="BD278" s="6">
        <v>77.620967741935488</v>
      </c>
    </row>
    <row r="279" spans="52:56" x14ac:dyDescent="0.25">
      <c r="AZ279" s="6">
        <v>276</v>
      </c>
      <c r="BA279" s="6">
        <v>1</v>
      </c>
      <c r="BB279" s="6">
        <v>1</v>
      </c>
      <c r="BC279" s="6">
        <v>276</v>
      </c>
      <c r="BD279" s="6">
        <v>77.903225806451616</v>
      </c>
    </row>
    <row r="280" spans="52:56" x14ac:dyDescent="0.25">
      <c r="AZ280" s="6">
        <v>277</v>
      </c>
      <c r="BA280" s="6">
        <v>1</v>
      </c>
      <c r="BB280" s="6">
        <v>1</v>
      </c>
      <c r="BC280" s="6">
        <v>277</v>
      </c>
      <c r="BD280" s="6">
        <v>78.185483870967744</v>
      </c>
    </row>
    <row r="281" spans="52:56" x14ac:dyDescent="0.25">
      <c r="AZ281" s="6">
        <v>278</v>
      </c>
      <c r="BA281" s="6">
        <v>1</v>
      </c>
      <c r="BB281" s="6">
        <v>1</v>
      </c>
      <c r="BC281" s="6">
        <v>278</v>
      </c>
      <c r="BD281" s="6">
        <v>78.467741935483872</v>
      </c>
    </row>
    <row r="282" spans="52:56" x14ac:dyDescent="0.25">
      <c r="AZ282" s="6">
        <v>279</v>
      </c>
      <c r="BA282" s="6">
        <v>1</v>
      </c>
      <c r="BB282" s="6">
        <v>1</v>
      </c>
      <c r="BC282" s="6">
        <v>279</v>
      </c>
      <c r="BD282" s="6">
        <v>78.750000000000014</v>
      </c>
    </row>
    <row r="283" spans="52:56" x14ac:dyDescent="0.25">
      <c r="AZ283" s="6">
        <v>280</v>
      </c>
      <c r="BA283" s="6">
        <v>1</v>
      </c>
      <c r="BB283" s="6">
        <v>1</v>
      </c>
      <c r="BC283" s="6">
        <v>280</v>
      </c>
      <c r="BD283" s="6">
        <v>79.032258064516142</v>
      </c>
    </row>
    <row r="284" spans="52:56" x14ac:dyDescent="0.25">
      <c r="AZ284" s="6">
        <v>281</v>
      </c>
      <c r="BA284" s="6">
        <v>1</v>
      </c>
      <c r="BB284" s="6">
        <v>1</v>
      </c>
      <c r="BC284" s="6">
        <v>281</v>
      </c>
      <c r="BD284" s="6">
        <v>79.31451612903227</v>
      </c>
    </row>
    <row r="285" spans="52:56" x14ac:dyDescent="0.25">
      <c r="AZ285" s="6">
        <v>282</v>
      </c>
      <c r="BA285" s="6">
        <v>1</v>
      </c>
      <c r="BB285" s="6">
        <v>1</v>
      </c>
      <c r="BC285" s="6">
        <v>282</v>
      </c>
      <c r="BD285" s="6">
        <v>79.596774193548399</v>
      </c>
    </row>
    <row r="286" spans="52:56" x14ac:dyDescent="0.25">
      <c r="AZ286" s="6">
        <v>283</v>
      </c>
      <c r="BA286" s="6">
        <v>1</v>
      </c>
      <c r="BB286" s="6">
        <v>1</v>
      </c>
      <c r="BC286" s="6">
        <v>283</v>
      </c>
      <c r="BD286" s="6">
        <v>79.879032258064527</v>
      </c>
    </row>
    <row r="287" spans="52:56" x14ac:dyDescent="0.25">
      <c r="AZ287" s="6">
        <v>284</v>
      </c>
      <c r="BA287" s="6">
        <v>1</v>
      </c>
      <c r="BB287" s="6">
        <v>1</v>
      </c>
      <c r="BC287" s="6">
        <v>284</v>
      </c>
      <c r="BD287" s="6">
        <v>80.161290322580655</v>
      </c>
    </row>
    <row r="288" spans="52:56" x14ac:dyDescent="0.25">
      <c r="AZ288" s="6">
        <v>285</v>
      </c>
      <c r="BA288" s="6">
        <v>1</v>
      </c>
      <c r="BB288" s="6">
        <v>1</v>
      </c>
      <c r="BC288" s="6">
        <v>285</v>
      </c>
      <c r="BD288" s="6">
        <v>80.443548387096783</v>
      </c>
    </row>
    <row r="289" spans="52:56" x14ac:dyDescent="0.25">
      <c r="AZ289" s="6">
        <v>286</v>
      </c>
      <c r="BA289" s="6">
        <v>1</v>
      </c>
      <c r="BB289" s="6">
        <v>1</v>
      </c>
      <c r="BC289" s="6">
        <v>286</v>
      </c>
      <c r="BD289" s="6">
        <v>80.725806451612911</v>
      </c>
    </row>
    <row r="290" spans="52:56" x14ac:dyDescent="0.25">
      <c r="AZ290" s="6">
        <v>287</v>
      </c>
      <c r="BA290" s="6">
        <v>1</v>
      </c>
      <c r="BB290" s="6">
        <v>1</v>
      </c>
      <c r="BC290" s="6">
        <v>287</v>
      </c>
      <c r="BD290" s="6">
        <v>81.008064516129039</v>
      </c>
    </row>
    <row r="291" spans="52:56" x14ac:dyDescent="0.25">
      <c r="AZ291" s="6">
        <v>288</v>
      </c>
      <c r="BA291" s="6">
        <v>1</v>
      </c>
      <c r="BB291" s="6">
        <v>1</v>
      </c>
      <c r="BC291" s="6">
        <v>288</v>
      </c>
      <c r="BD291" s="6">
        <v>81.290322580645167</v>
      </c>
    </row>
    <row r="292" spans="52:56" x14ac:dyDescent="0.25">
      <c r="AZ292" s="6">
        <v>289</v>
      </c>
      <c r="BA292" s="6">
        <v>1</v>
      </c>
      <c r="BB292" s="6">
        <v>1</v>
      </c>
      <c r="BC292" s="6">
        <v>289</v>
      </c>
      <c r="BD292" s="6">
        <v>81.572580645161295</v>
      </c>
    </row>
    <row r="293" spans="52:56" x14ac:dyDescent="0.25">
      <c r="AZ293" s="6">
        <v>290</v>
      </c>
      <c r="BA293" s="6">
        <v>1</v>
      </c>
      <c r="BB293" s="6">
        <v>1</v>
      </c>
      <c r="BC293" s="6">
        <v>290</v>
      </c>
      <c r="BD293" s="6">
        <v>81.854838709677423</v>
      </c>
    </row>
    <row r="294" spans="52:56" x14ac:dyDescent="0.25">
      <c r="AZ294" s="6">
        <v>291</v>
      </c>
      <c r="BA294" s="6">
        <v>1</v>
      </c>
      <c r="BB294" s="6">
        <v>1</v>
      </c>
      <c r="BC294" s="6">
        <v>291</v>
      </c>
      <c r="BD294" s="6">
        <v>82.137096774193552</v>
      </c>
    </row>
    <row r="295" spans="52:56" x14ac:dyDescent="0.25">
      <c r="AZ295" s="6">
        <v>292</v>
      </c>
      <c r="BA295" s="6">
        <v>1</v>
      </c>
      <c r="BB295" s="6">
        <v>1</v>
      </c>
      <c r="BC295" s="6">
        <v>292</v>
      </c>
      <c r="BD295" s="6">
        <v>82.41935483870968</v>
      </c>
    </row>
    <row r="296" spans="52:56" x14ac:dyDescent="0.25">
      <c r="AZ296" s="6">
        <v>293</v>
      </c>
      <c r="BA296" s="6">
        <v>1</v>
      </c>
      <c r="BB296" s="6">
        <v>1</v>
      </c>
      <c r="BC296" s="6">
        <v>293</v>
      </c>
      <c r="BD296" s="6">
        <v>82.701612903225808</v>
      </c>
    </row>
    <row r="297" spans="52:56" x14ac:dyDescent="0.25">
      <c r="AZ297" s="6">
        <v>294</v>
      </c>
      <c r="BA297" s="6">
        <v>1</v>
      </c>
      <c r="BB297" s="6">
        <v>1</v>
      </c>
      <c r="BC297" s="6">
        <v>294</v>
      </c>
      <c r="BD297" s="6">
        <v>82.98387096774195</v>
      </c>
    </row>
    <row r="298" spans="52:56" x14ac:dyDescent="0.25">
      <c r="AZ298" s="6">
        <v>295</v>
      </c>
      <c r="BA298" s="6">
        <v>1</v>
      </c>
      <c r="BB298" s="6">
        <v>1</v>
      </c>
      <c r="BC298" s="6">
        <v>295</v>
      </c>
      <c r="BD298" s="6">
        <v>83.266129032258078</v>
      </c>
    </row>
    <row r="299" spans="52:56" x14ac:dyDescent="0.25">
      <c r="AZ299" s="6">
        <v>296</v>
      </c>
      <c r="BA299" s="6">
        <v>1</v>
      </c>
      <c r="BB299" s="6">
        <v>1</v>
      </c>
      <c r="BC299" s="6">
        <v>296</v>
      </c>
      <c r="BD299" s="6">
        <v>83.548387096774206</v>
      </c>
    </row>
    <row r="300" spans="52:56" x14ac:dyDescent="0.25">
      <c r="AZ300" s="6">
        <v>297</v>
      </c>
      <c r="BA300" s="6">
        <v>1</v>
      </c>
      <c r="BB300" s="6">
        <v>1</v>
      </c>
      <c r="BC300" s="6">
        <v>297</v>
      </c>
      <c r="BD300" s="6">
        <v>83.830645161290334</v>
      </c>
    </row>
    <row r="301" spans="52:56" x14ac:dyDescent="0.25">
      <c r="AZ301" s="6">
        <v>298</v>
      </c>
      <c r="BA301" s="6">
        <v>1</v>
      </c>
      <c r="BB301" s="6">
        <v>1</v>
      </c>
      <c r="BC301" s="6">
        <v>298</v>
      </c>
      <c r="BD301" s="6">
        <v>84.112903225806463</v>
      </c>
    </row>
    <row r="302" spans="52:56" x14ac:dyDescent="0.25">
      <c r="AZ302" s="6">
        <v>299</v>
      </c>
      <c r="BA302" s="6">
        <v>1</v>
      </c>
      <c r="BB302" s="6">
        <v>1</v>
      </c>
      <c r="BC302" s="6">
        <v>299</v>
      </c>
      <c r="BD302" s="6">
        <v>84.395161290322591</v>
      </c>
    </row>
    <row r="303" spans="52:56" x14ac:dyDescent="0.25">
      <c r="AZ303" s="6">
        <v>300</v>
      </c>
      <c r="BA303" s="6">
        <v>1</v>
      </c>
      <c r="BB303" s="6">
        <v>1</v>
      </c>
      <c r="BC303" s="6">
        <v>300</v>
      </c>
      <c r="BD303" s="6">
        <v>84.677419354838719</v>
      </c>
    </row>
    <row r="304" spans="52:56" x14ac:dyDescent="0.25">
      <c r="AZ304" s="6">
        <v>301</v>
      </c>
      <c r="BA304" s="6">
        <v>1</v>
      </c>
      <c r="BB304" s="6">
        <v>1</v>
      </c>
      <c r="BC304" s="6">
        <v>301</v>
      </c>
      <c r="BD304" s="6">
        <v>84.959677419354847</v>
      </c>
    </row>
    <row r="305" spans="52:56" x14ac:dyDescent="0.25">
      <c r="AZ305" s="6">
        <v>302</v>
      </c>
      <c r="BA305" s="6">
        <v>1</v>
      </c>
      <c r="BB305" s="6">
        <v>1</v>
      </c>
      <c r="BC305" s="6">
        <v>302</v>
      </c>
      <c r="BD305" s="6">
        <v>85.241935483870975</v>
      </c>
    </row>
    <row r="306" spans="52:56" x14ac:dyDescent="0.25">
      <c r="AZ306" s="6">
        <v>303</v>
      </c>
      <c r="BA306" s="6">
        <v>1</v>
      </c>
      <c r="BB306" s="6">
        <v>1</v>
      </c>
      <c r="BC306" s="6">
        <v>303</v>
      </c>
      <c r="BD306" s="6">
        <v>85.524193548387103</v>
      </c>
    </row>
    <row r="307" spans="52:56" x14ac:dyDescent="0.25">
      <c r="AZ307" s="6">
        <v>304</v>
      </c>
      <c r="BA307" s="6">
        <v>1</v>
      </c>
      <c r="BB307" s="6">
        <v>1</v>
      </c>
      <c r="BC307" s="6">
        <v>304</v>
      </c>
      <c r="BD307" s="6">
        <v>85.806451612903231</v>
      </c>
    </row>
    <row r="308" spans="52:56" x14ac:dyDescent="0.25">
      <c r="AZ308" s="6">
        <v>305</v>
      </c>
      <c r="BA308" s="6">
        <v>1</v>
      </c>
      <c r="BB308" s="6">
        <v>1</v>
      </c>
      <c r="BC308" s="6">
        <v>305</v>
      </c>
      <c r="BD308" s="6">
        <v>86.088709677419359</v>
      </c>
    </row>
    <row r="309" spans="52:56" x14ac:dyDescent="0.25">
      <c r="AZ309" s="6">
        <v>306</v>
      </c>
      <c r="BA309" s="6">
        <v>1</v>
      </c>
      <c r="BB309" s="6">
        <v>1</v>
      </c>
      <c r="BC309" s="6">
        <v>306</v>
      </c>
      <c r="BD309" s="6">
        <v>86.370967741935488</v>
      </c>
    </row>
    <row r="310" spans="52:56" x14ac:dyDescent="0.25">
      <c r="AZ310" s="6">
        <v>307</v>
      </c>
      <c r="BA310" s="6">
        <v>1</v>
      </c>
      <c r="BB310" s="6">
        <v>1</v>
      </c>
      <c r="BC310" s="6">
        <v>307</v>
      </c>
      <c r="BD310" s="6">
        <v>86.653225806451616</v>
      </c>
    </row>
    <row r="311" spans="52:56" x14ac:dyDescent="0.25">
      <c r="AZ311" s="6">
        <v>308</v>
      </c>
      <c r="BA311" s="6">
        <v>1</v>
      </c>
      <c r="BB311" s="6">
        <v>1</v>
      </c>
      <c r="BC311" s="6">
        <v>308</v>
      </c>
      <c r="BD311" s="6">
        <v>86.935483870967744</v>
      </c>
    </row>
    <row r="312" spans="52:56" x14ac:dyDescent="0.25">
      <c r="AZ312" s="6">
        <v>309</v>
      </c>
      <c r="BA312" s="6">
        <v>1</v>
      </c>
      <c r="BB312" s="6">
        <v>1</v>
      </c>
      <c r="BC312" s="6">
        <v>309</v>
      </c>
      <c r="BD312" s="6">
        <v>87.217741935483886</v>
      </c>
    </row>
    <row r="313" spans="52:56" x14ac:dyDescent="0.25">
      <c r="AZ313" s="6">
        <v>310</v>
      </c>
      <c r="BA313" s="6">
        <v>1</v>
      </c>
      <c r="BB313" s="6">
        <v>1</v>
      </c>
      <c r="BC313" s="6">
        <v>310</v>
      </c>
      <c r="BD313" s="6">
        <v>87.500000000000014</v>
      </c>
    </row>
    <row r="314" spans="52:56" x14ac:dyDescent="0.25">
      <c r="AZ314" s="6">
        <v>311</v>
      </c>
      <c r="BA314" s="6">
        <v>1</v>
      </c>
      <c r="BB314" s="6">
        <v>1</v>
      </c>
      <c r="BC314" s="6">
        <v>311</v>
      </c>
      <c r="BD314" s="6">
        <v>87.782258064516142</v>
      </c>
    </row>
    <row r="315" spans="52:56" x14ac:dyDescent="0.25">
      <c r="AZ315" s="6">
        <v>312</v>
      </c>
      <c r="BA315" s="6">
        <v>1</v>
      </c>
      <c r="BB315" s="6">
        <v>1</v>
      </c>
      <c r="BC315" s="6">
        <v>312</v>
      </c>
      <c r="BD315" s="6">
        <v>88.06451612903227</v>
      </c>
    </row>
    <row r="316" spans="52:56" x14ac:dyDescent="0.25">
      <c r="AZ316" s="6">
        <v>313</v>
      </c>
      <c r="BA316" s="6">
        <v>1</v>
      </c>
      <c r="BB316" s="6">
        <v>1</v>
      </c>
      <c r="BC316" s="6">
        <v>313</v>
      </c>
      <c r="BD316" s="6">
        <v>88.346774193548399</v>
      </c>
    </row>
    <row r="317" spans="52:56" x14ac:dyDescent="0.25">
      <c r="AZ317" s="6">
        <v>314</v>
      </c>
      <c r="BA317" s="6">
        <v>1</v>
      </c>
      <c r="BB317" s="6">
        <v>1</v>
      </c>
      <c r="BC317" s="6">
        <v>314</v>
      </c>
      <c r="BD317" s="6">
        <v>88.629032258064527</v>
      </c>
    </row>
    <row r="318" spans="52:56" x14ac:dyDescent="0.25">
      <c r="AZ318" s="6">
        <v>315</v>
      </c>
      <c r="BA318" s="6">
        <v>1</v>
      </c>
      <c r="BB318" s="6">
        <v>1</v>
      </c>
      <c r="BC318" s="6">
        <v>315</v>
      </c>
      <c r="BD318" s="6">
        <v>88.911290322580655</v>
      </c>
    </row>
    <row r="319" spans="52:56" x14ac:dyDescent="0.25">
      <c r="AZ319" s="6">
        <v>316</v>
      </c>
      <c r="BA319" s="6">
        <v>1</v>
      </c>
      <c r="BB319" s="6">
        <v>1</v>
      </c>
      <c r="BC319" s="6">
        <v>316</v>
      </c>
      <c r="BD319" s="6">
        <v>89.193548387096783</v>
      </c>
    </row>
    <row r="320" spans="52:56" x14ac:dyDescent="0.25">
      <c r="AZ320" s="6">
        <v>317</v>
      </c>
      <c r="BA320" s="6">
        <v>1</v>
      </c>
      <c r="BB320" s="6">
        <v>1</v>
      </c>
      <c r="BC320" s="6">
        <v>317</v>
      </c>
      <c r="BD320" s="6">
        <v>89.475806451612911</v>
      </c>
    </row>
    <row r="321" spans="52:56" x14ac:dyDescent="0.25">
      <c r="AZ321" s="6">
        <v>318</v>
      </c>
      <c r="BA321" s="6">
        <v>1</v>
      </c>
      <c r="BB321" s="6">
        <v>1</v>
      </c>
      <c r="BC321" s="6">
        <v>318</v>
      </c>
      <c r="BD321" s="6">
        <v>89.758064516129039</v>
      </c>
    </row>
    <row r="322" spans="52:56" x14ac:dyDescent="0.25">
      <c r="AZ322" s="6">
        <v>319</v>
      </c>
      <c r="BA322" s="6">
        <v>1</v>
      </c>
      <c r="BB322" s="6">
        <v>1</v>
      </c>
      <c r="BC322" s="6">
        <v>319</v>
      </c>
      <c r="BD322" s="6">
        <v>90.040322580645167</v>
      </c>
    </row>
    <row r="323" spans="52:56" x14ac:dyDescent="0.25">
      <c r="AZ323" s="6">
        <v>320</v>
      </c>
      <c r="BA323" s="6">
        <v>1</v>
      </c>
      <c r="BB323" s="6">
        <v>1</v>
      </c>
      <c r="BC323" s="6">
        <v>320</v>
      </c>
      <c r="BD323" s="6">
        <v>90.322580645161295</v>
      </c>
    </row>
    <row r="324" spans="52:56" x14ac:dyDescent="0.25">
      <c r="AZ324" s="6">
        <v>321</v>
      </c>
      <c r="BA324" s="6">
        <v>1</v>
      </c>
      <c r="BB324" s="6">
        <v>1</v>
      </c>
      <c r="BC324" s="6">
        <v>321</v>
      </c>
      <c r="BD324" s="6">
        <v>90.604838709677423</v>
      </c>
    </row>
    <row r="325" spans="52:56" x14ac:dyDescent="0.25">
      <c r="AZ325" s="6">
        <v>322</v>
      </c>
      <c r="BA325" s="6">
        <v>1</v>
      </c>
      <c r="BB325" s="6">
        <v>1</v>
      </c>
      <c r="BC325" s="6">
        <v>322</v>
      </c>
      <c r="BD325" s="6">
        <v>90.887096774193552</v>
      </c>
    </row>
    <row r="326" spans="52:56" x14ac:dyDescent="0.25">
      <c r="AZ326" s="6">
        <v>323</v>
      </c>
      <c r="BA326" s="6">
        <v>1</v>
      </c>
      <c r="BB326" s="6">
        <v>1</v>
      </c>
      <c r="BC326" s="6">
        <v>323</v>
      </c>
      <c r="BD326" s="6">
        <v>91.16935483870968</v>
      </c>
    </row>
    <row r="327" spans="52:56" x14ac:dyDescent="0.25">
      <c r="AZ327" s="6">
        <v>324</v>
      </c>
      <c r="BA327" s="6">
        <v>1</v>
      </c>
      <c r="BB327" s="6">
        <v>1</v>
      </c>
      <c r="BC327" s="6">
        <v>324</v>
      </c>
      <c r="BD327" s="6">
        <v>91.451612903225822</v>
      </c>
    </row>
    <row r="328" spans="52:56" x14ac:dyDescent="0.25">
      <c r="AZ328" s="6">
        <v>325</v>
      </c>
      <c r="BA328" s="6">
        <v>1</v>
      </c>
      <c r="BB328" s="6">
        <v>1</v>
      </c>
      <c r="BC328" s="6">
        <v>325</v>
      </c>
      <c r="BD328" s="6">
        <v>91.73387096774195</v>
      </c>
    </row>
    <row r="329" spans="52:56" x14ac:dyDescent="0.25">
      <c r="AZ329" s="6">
        <v>326</v>
      </c>
      <c r="BA329" s="6">
        <v>1</v>
      </c>
      <c r="BB329" s="6">
        <v>1</v>
      </c>
      <c r="BC329" s="6">
        <v>326</v>
      </c>
      <c r="BD329" s="6">
        <v>92.016129032258078</v>
      </c>
    </row>
    <row r="330" spans="52:56" x14ac:dyDescent="0.25">
      <c r="AZ330" s="6">
        <v>327</v>
      </c>
      <c r="BA330" s="6">
        <v>1</v>
      </c>
      <c r="BB330" s="6">
        <v>1</v>
      </c>
      <c r="BC330" s="6">
        <v>327</v>
      </c>
      <c r="BD330" s="6">
        <v>92.298387096774206</v>
      </c>
    </row>
    <row r="331" spans="52:56" x14ac:dyDescent="0.25">
      <c r="AZ331" s="6">
        <v>328</v>
      </c>
      <c r="BA331" s="6">
        <v>0.90476190476190477</v>
      </c>
      <c r="BB331" s="6">
        <v>0</v>
      </c>
      <c r="BC331" s="6">
        <v>327</v>
      </c>
      <c r="BD331" s="6">
        <v>92.580645161290334</v>
      </c>
    </row>
    <row r="332" spans="52:56" x14ac:dyDescent="0.25">
      <c r="AZ332" s="6">
        <v>329</v>
      </c>
      <c r="BA332" s="6">
        <v>0.90476190476190477</v>
      </c>
      <c r="BB332" s="6">
        <v>1</v>
      </c>
      <c r="BC332" s="6">
        <v>328</v>
      </c>
      <c r="BD332" s="6">
        <v>92.862903225806463</v>
      </c>
    </row>
    <row r="333" spans="52:56" x14ac:dyDescent="0.25">
      <c r="AZ333" s="6">
        <v>330</v>
      </c>
      <c r="BA333" s="6">
        <v>0.90476190476190477</v>
      </c>
      <c r="BB333" s="6">
        <v>1</v>
      </c>
      <c r="BC333" s="6">
        <v>329</v>
      </c>
      <c r="BD333" s="6">
        <v>93.145161290322591</v>
      </c>
    </row>
    <row r="334" spans="52:56" x14ac:dyDescent="0.25">
      <c r="AZ334" s="6">
        <v>331</v>
      </c>
      <c r="BA334" s="6">
        <v>0.90476190476190477</v>
      </c>
      <c r="BB334" s="6">
        <v>1</v>
      </c>
      <c r="BC334" s="6">
        <v>330</v>
      </c>
      <c r="BD334" s="6">
        <v>93.427419354838719</v>
      </c>
    </row>
    <row r="335" spans="52:56" x14ac:dyDescent="0.25">
      <c r="AZ335" s="6">
        <v>332</v>
      </c>
      <c r="BA335" s="6">
        <v>0.90476190476190477</v>
      </c>
      <c r="BB335" s="6">
        <v>1</v>
      </c>
      <c r="BC335" s="6">
        <v>331</v>
      </c>
      <c r="BD335" s="6">
        <v>93.709677419354847</v>
      </c>
    </row>
    <row r="336" spans="52:56" x14ac:dyDescent="0.25">
      <c r="AZ336" s="6">
        <v>333</v>
      </c>
      <c r="BA336" s="6">
        <v>0.90476190476190477</v>
      </c>
      <c r="BB336" s="6">
        <v>1</v>
      </c>
      <c r="BC336" s="6">
        <v>332</v>
      </c>
      <c r="BD336" s="6">
        <v>93.991935483870975</v>
      </c>
    </row>
    <row r="337" spans="52:56" x14ac:dyDescent="0.25">
      <c r="AZ337" s="6">
        <v>334</v>
      </c>
      <c r="BA337" s="6">
        <v>0.90476190476190477</v>
      </c>
      <c r="BB337" s="6">
        <v>1</v>
      </c>
      <c r="BC337" s="6">
        <v>333</v>
      </c>
      <c r="BD337" s="6">
        <v>94.274193548387103</v>
      </c>
    </row>
    <row r="338" spans="52:56" x14ac:dyDescent="0.25">
      <c r="AZ338" s="6">
        <v>335</v>
      </c>
      <c r="BA338" s="6">
        <v>0.90476190476190477</v>
      </c>
      <c r="BB338" s="6">
        <v>1</v>
      </c>
      <c r="BC338" s="6">
        <v>334</v>
      </c>
      <c r="BD338" s="6">
        <v>94.556451612903231</v>
      </c>
    </row>
    <row r="339" spans="52:56" x14ac:dyDescent="0.25">
      <c r="AZ339" s="6">
        <v>336</v>
      </c>
      <c r="BA339" s="6">
        <v>0.90476190476190477</v>
      </c>
      <c r="BB339" s="6">
        <v>1</v>
      </c>
      <c r="BC339" s="6">
        <v>335</v>
      </c>
      <c r="BD339" s="6">
        <v>94.838709677419359</v>
      </c>
    </row>
    <row r="340" spans="52:56" x14ac:dyDescent="0.25">
      <c r="AZ340" s="6">
        <v>337</v>
      </c>
      <c r="BA340" s="6">
        <v>0.90476190476190477</v>
      </c>
      <c r="BB340" s="6">
        <v>1</v>
      </c>
      <c r="BC340" s="6">
        <v>336</v>
      </c>
      <c r="BD340" s="6">
        <v>95.120967741935488</v>
      </c>
    </row>
    <row r="341" spans="52:56" x14ac:dyDescent="0.25">
      <c r="AZ341" s="6">
        <v>338</v>
      </c>
      <c r="BA341" s="6">
        <v>0.90476190476190477</v>
      </c>
      <c r="BB341" s="6">
        <v>1</v>
      </c>
      <c r="BC341" s="6">
        <v>337</v>
      </c>
      <c r="BD341" s="6">
        <v>95.403225806451616</v>
      </c>
    </row>
    <row r="342" spans="52:56" x14ac:dyDescent="0.25">
      <c r="AZ342" s="6">
        <v>339</v>
      </c>
      <c r="BA342" s="6">
        <v>0.90476190476190477</v>
      </c>
      <c r="BB342" s="6">
        <v>1</v>
      </c>
      <c r="BC342" s="6">
        <v>338</v>
      </c>
      <c r="BD342" s="6">
        <v>95.685483870967758</v>
      </c>
    </row>
    <row r="343" spans="52:56" x14ac:dyDescent="0.25">
      <c r="AZ343" s="6">
        <v>340</v>
      </c>
      <c r="BA343" s="6">
        <v>0.90476190476190477</v>
      </c>
      <c r="BB343" s="6">
        <v>0</v>
      </c>
      <c r="BC343" s="6">
        <v>338</v>
      </c>
      <c r="BD343" s="6">
        <v>95.967741935483886</v>
      </c>
    </row>
    <row r="344" spans="52:56" x14ac:dyDescent="0.25">
      <c r="AZ344" s="6">
        <v>341</v>
      </c>
      <c r="BA344" s="6">
        <v>0.90476190476190477</v>
      </c>
      <c r="BB344" s="6">
        <v>1</v>
      </c>
      <c r="BC344" s="6">
        <v>339</v>
      </c>
      <c r="BD344" s="6">
        <v>96.250000000000014</v>
      </c>
    </row>
    <row r="345" spans="52:56" x14ac:dyDescent="0.25">
      <c r="AZ345" s="6">
        <v>342</v>
      </c>
      <c r="BA345" s="6">
        <v>0.90476190476190477</v>
      </c>
      <c r="BB345" s="6">
        <v>1</v>
      </c>
      <c r="BC345" s="6">
        <v>340</v>
      </c>
      <c r="BD345" s="6">
        <v>96.532258064516142</v>
      </c>
    </row>
    <row r="346" spans="52:56" x14ac:dyDescent="0.25">
      <c r="AZ346" s="6">
        <v>343</v>
      </c>
      <c r="BA346" s="6">
        <v>0.90476190476190477</v>
      </c>
      <c r="BB346" s="6">
        <v>1</v>
      </c>
      <c r="BC346" s="6">
        <v>341</v>
      </c>
      <c r="BD346" s="6">
        <v>96.81451612903227</v>
      </c>
    </row>
    <row r="347" spans="52:56" x14ac:dyDescent="0.25">
      <c r="AZ347" s="6">
        <v>344</v>
      </c>
      <c r="BA347" s="6">
        <v>0.90476190476190477</v>
      </c>
      <c r="BB347" s="6">
        <v>1</v>
      </c>
      <c r="BC347" s="6">
        <v>342</v>
      </c>
      <c r="BD347" s="6">
        <v>97.096774193548399</v>
      </c>
    </row>
    <row r="348" spans="52:56" x14ac:dyDescent="0.25">
      <c r="AZ348" s="6">
        <v>345</v>
      </c>
      <c r="BA348" s="6">
        <v>0.90476190476190477</v>
      </c>
      <c r="BB348" s="6">
        <v>1</v>
      </c>
      <c r="BC348" s="6">
        <v>343</v>
      </c>
      <c r="BD348" s="6">
        <v>97.379032258064527</v>
      </c>
    </row>
    <row r="349" spans="52:56" x14ac:dyDescent="0.25">
      <c r="AZ349" s="6">
        <v>346</v>
      </c>
      <c r="BA349" s="6">
        <v>0.90476190476190477</v>
      </c>
      <c r="BB349" s="6">
        <v>1</v>
      </c>
      <c r="BC349" s="6">
        <v>344</v>
      </c>
      <c r="BD349" s="6">
        <v>97.661290322580655</v>
      </c>
    </row>
    <row r="350" spans="52:56" x14ac:dyDescent="0.25">
      <c r="AZ350" s="6">
        <v>347</v>
      </c>
      <c r="BA350" s="6">
        <v>0.90476190476190477</v>
      </c>
      <c r="BB350" s="6">
        <v>1</v>
      </c>
      <c r="BC350" s="6">
        <v>345</v>
      </c>
      <c r="BD350" s="6">
        <v>97.943548387096783</v>
      </c>
    </row>
    <row r="351" spans="52:56" x14ac:dyDescent="0.25">
      <c r="AZ351" s="6">
        <v>348</v>
      </c>
      <c r="BA351" s="6">
        <v>0.90476190476190477</v>
      </c>
      <c r="BB351" s="6">
        <v>1</v>
      </c>
      <c r="BC351" s="6">
        <v>346</v>
      </c>
      <c r="BD351" s="6">
        <v>98.225806451612911</v>
      </c>
    </row>
    <row r="352" spans="52:56" x14ac:dyDescent="0.25">
      <c r="AZ352" s="6">
        <v>349</v>
      </c>
      <c r="BA352" s="6">
        <v>0.9</v>
      </c>
      <c r="BB352" s="6">
        <v>1</v>
      </c>
      <c r="BC352" s="6">
        <v>347</v>
      </c>
      <c r="BD352" s="6">
        <v>98.508064516129039</v>
      </c>
    </row>
    <row r="353" spans="52:56" x14ac:dyDescent="0.25">
      <c r="AZ353" s="6">
        <v>350</v>
      </c>
      <c r="BA353" s="6">
        <v>0.9</v>
      </c>
      <c r="BB353" s="6">
        <v>0</v>
      </c>
      <c r="BC353" s="6">
        <v>347</v>
      </c>
      <c r="BD353" s="6">
        <v>98.790322580645167</v>
      </c>
    </row>
    <row r="354" spans="52:56" x14ac:dyDescent="0.25">
      <c r="AZ354" s="6">
        <v>351</v>
      </c>
      <c r="BA354" s="6">
        <v>0.9</v>
      </c>
      <c r="BB354" s="6">
        <v>1</v>
      </c>
      <c r="BC354" s="6">
        <v>348</v>
      </c>
      <c r="BD354" s="6">
        <v>99.072580645161295</v>
      </c>
    </row>
    <row r="355" spans="52:56" x14ac:dyDescent="0.25">
      <c r="AZ355" s="6">
        <v>352</v>
      </c>
      <c r="BA355" s="6">
        <v>0.9</v>
      </c>
      <c r="BB355" s="6">
        <v>1</v>
      </c>
      <c r="BC355" s="6">
        <v>349</v>
      </c>
      <c r="BD355" s="6">
        <v>99.354838709677423</v>
      </c>
    </row>
    <row r="356" spans="52:56" x14ac:dyDescent="0.25">
      <c r="AZ356" s="6">
        <v>353</v>
      </c>
      <c r="BA356" s="6">
        <v>0.9</v>
      </c>
      <c r="BB356" s="6">
        <v>1</v>
      </c>
      <c r="BC356" s="6">
        <v>350</v>
      </c>
      <c r="BD356" s="6">
        <v>99.637096774193552</v>
      </c>
    </row>
    <row r="357" spans="52:56" x14ac:dyDescent="0.25">
      <c r="AZ357" s="6">
        <v>354</v>
      </c>
      <c r="BA357" s="6">
        <v>0.9</v>
      </c>
      <c r="BB357" s="6">
        <v>1</v>
      </c>
      <c r="BC357" s="6">
        <v>351</v>
      </c>
      <c r="BD357" s="6">
        <v>99.919354838709694</v>
      </c>
    </row>
    <row r="358" spans="52:56" x14ac:dyDescent="0.25">
      <c r="AZ358" s="6">
        <v>355</v>
      </c>
      <c r="BA358" s="6">
        <v>0.9</v>
      </c>
      <c r="BB358" s="6">
        <v>1</v>
      </c>
      <c r="BC358" s="6">
        <v>352</v>
      </c>
      <c r="BD358" s="6">
        <v>100.20161290322582</v>
      </c>
    </row>
    <row r="359" spans="52:56" x14ac:dyDescent="0.25">
      <c r="AZ359" s="6">
        <v>356</v>
      </c>
      <c r="BA359" s="6">
        <v>0.9</v>
      </c>
      <c r="BB359" s="6">
        <v>1</v>
      </c>
      <c r="BC359" s="6">
        <v>353</v>
      </c>
      <c r="BD359" s="6">
        <v>100.48387096774195</v>
      </c>
    </row>
    <row r="360" spans="52:56" x14ac:dyDescent="0.25">
      <c r="AZ360" s="6">
        <v>357</v>
      </c>
      <c r="BA360" s="6">
        <v>0.9</v>
      </c>
      <c r="BB360" s="6">
        <v>1</v>
      </c>
      <c r="BC360" s="6">
        <v>354</v>
      </c>
      <c r="BD360" s="6">
        <v>100.76612903225808</v>
      </c>
    </row>
    <row r="361" spans="52:56" x14ac:dyDescent="0.25">
      <c r="AZ361" s="6">
        <v>358</v>
      </c>
      <c r="BA361" s="6">
        <v>0.9</v>
      </c>
      <c r="BB361" s="6">
        <v>1</v>
      </c>
      <c r="BC361" s="6">
        <v>355</v>
      </c>
      <c r="BD361" s="6">
        <v>101.04838709677421</v>
      </c>
    </row>
    <row r="362" spans="52:56" x14ac:dyDescent="0.25">
      <c r="AZ362" s="6">
        <v>359</v>
      </c>
      <c r="BA362" s="6">
        <v>0.83333333333333326</v>
      </c>
      <c r="BB362" s="6">
        <v>0</v>
      </c>
      <c r="BC362" s="6">
        <v>355</v>
      </c>
      <c r="BD362" s="6">
        <v>101.33064516129033</v>
      </c>
    </row>
    <row r="363" spans="52:56" x14ac:dyDescent="0.25">
      <c r="AZ363" s="6">
        <v>360</v>
      </c>
      <c r="BA363" s="6">
        <v>0.83333333333333326</v>
      </c>
      <c r="BB363" s="6">
        <v>1</v>
      </c>
      <c r="BC363" s="6">
        <v>356</v>
      </c>
      <c r="BD363" s="6">
        <v>101.61290322580646</v>
      </c>
    </row>
    <row r="364" spans="52:56" x14ac:dyDescent="0.25">
      <c r="AZ364" s="6">
        <v>361</v>
      </c>
      <c r="BA364" s="6">
        <v>0.83333333333333326</v>
      </c>
      <c r="BB364" s="6">
        <v>1</v>
      </c>
      <c r="BC364" s="6">
        <v>357</v>
      </c>
      <c r="BD364" s="6">
        <v>101.89516129032259</v>
      </c>
    </row>
    <row r="365" spans="52:56" x14ac:dyDescent="0.25">
      <c r="AZ365" s="6">
        <v>362</v>
      </c>
      <c r="BA365" s="6">
        <v>0.83333333333333326</v>
      </c>
      <c r="BB365" s="6">
        <v>1</v>
      </c>
      <c r="BC365" s="6">
        <v>358</v>
      </c>
      <c r="BD365" s="6">
        <v>102.17741935483872</v>
      </c>
    </row>
    <row r="366" spans="52:56" x14ac:dyDescent="0.25">
      <c r="AZ366" s="6">
        <v>363</v>
      </c>
      <c r="BA366" s="6">
        <v>0.83333333333333326</v>
      </c>
      <c r="BB366" s="6">
        <v>1</v>
      </c>
      <c r="BC366" s="6">
        <v>359</v>
      </c>
      <c r="BD366" s="6">
        <v>102.45967741935485</v>
      </c>
    </row>
    <row r="367" spans="52:56" x14ac:dyDescent="0.25">
      <c r="AZ367" s="6">
        <v>364</v>
      </c>
      <c r="BA367" s="6">
        <v>0.83333333333333326</v>
      </c>
      <c r="BB367" s="6">
        <v>1</v>
      </c>
      <c r="BC367" s="6">
        <v>360</v>
      </c>
      <c r="BD367" s="6">
        <v>102.74193548387098</v>
      </c>
    </row>
    <row r="368" spans="52:56" x14ac:dyDescent="0.25">
      <c r="AZ368" s="6">
        <v>365</v>
      </c>
      <c r="BA368" s="6">
        <v>0.79999999999999993</v>
      </c>
      <c r="BB368" s="6">
        <v>1</v>
      </c>
      <c r="BC368" s="6">
        <v>361</v>
      </c>
      <c r="BD368" s="6">
        <v>103.0241935483871</v>
      </c>
    </row>
    <row r="369" spans="52:56" x14ac:dyDescent="0.25">
      <c r="AZ369" s="6">
        <v>366</v>
      </c>
      <c r="BA369" s="6">
        <v>0.79999999999999993</v>
      </c>
      <c r="BB369" s="6">
        <v>0</v>
      </c>
      <c r="BC369" s="6">
        <v>361</v>
      </c>
      <c r="BD369" s="6">
        <v>103.30645161290323</v>
      </c>
    </row>
    <row r="370" spans="52:56" x14ac:dyDescent="0.25">
      <c r="AZ370" s="6">
        <v>367</v>
      </c>
      <c r="BA370" s="6">
        <v>0.79999999999999993</v>
      </c>
      <c r="BB370" s="6">
        <v>0</v>
      </c>
      <c r="BC370" s="6">
        <v>361</v>
      </c>
      <c r="BD370" s="6">
        <v>103.58870967741936</v>
      </c>
    </row>
    <row r="371" spans="52:56" x14ac:dyDescent="0.25">
      <c r="AZ371" s="6">
        <v>368</v>
      </c>
      <c r="BA371" s="6">
        <v>0.79999999999999993</v>
      </c>
      <c r="BB371" s="6">
        <v>0</v>
      </c>
      <c r="BC371" s="6">
        <v>361</v>
      </c>
      <c r="BD371" s="6">
        <v>103.87096774193549</v>
      </c>
    </row>
    <row r="372" spans="52:56" x14ac:dyDescent="0.25">
      <c r="AZ372" s="6">
        <v>369</v>
      </c>
      <c r="BA372" s="6">
        <v>0.79999999999999993</v>
      </c>
      <c r="BB372" s="6">
        <v>1</v>
      </c>
      <c r="BC372" s="6">
        <v>362</v>
      </c>
      <c r="BD372" s="6">
        <v>104.15322580645163</v>
      </c>
    </row>
    <row r="373" spans="52:56" x14ac:dyDescent="0.25">
      <c r="AZ373" s="6">
        <v>370</v>
      </c>
      <c r="BA373" s="6">
        <v>0.79999999999999993</v>
      </c>
      <c r="BB373" s="6">
        <v>1</v>
      </c>
      <c r="BC373" s="6">
        <v>363</v>
      </c>
      <c r="BD373" s="6">
        <v>104.43548387096776</v>
      </c>
    </row>
    <row r="374" spans="52:56" x14ac:dyDescent="0.25">
      <c r="AZ374" s="6">
        <v>371</v>
      </c>
      <c r="BA374" s="6">
        <v>0.79999999999999993</v>
      </c>
      <c r="BB374" s="6">
        <v>1</v>
      </c>
      <c r="BC374" s="6">
        <v>364</v>
      </c>
      <c r="BD374" s="6">
        <v>104.71774193548389</v>
      </c>
    </row>
    <row r="375" spans="52:56" x14ac:dyDescent="0.25">
      <c r="AZ375" s="6">
        <v>372</v>
      </c>
      <c r="BA375" s="6">
        <v>0.79999999999999993</v>
      </c>
      <c r="BB375" s="6">
        <v>1</v>
      </c>
      <c r="BC375" s="6">
        <v>365</v>
      </c>
      <c r="BD375" s="6">
        <v>105.00000000000001</v>
      </c>
    </row>
    <row r="376" spans="52:56" x14ac:dyDescent="0.25">
      <c r="AZ376" s="5">
        <v>373</v>
      </c>
      <c r="BA376" s="5">
        <v>0.79999999999999993</v>
      </c>
      <c r="BB376" s="5">
        <v>1</v>
      </c>
      <c r="BC376" s="5">
        <v>366</v>
      </c>
      <c r="BD376" s="5">
        <v>105.28225806451614</v>
      </c>
    </row>
    <row r="377" spans="52:56" x14ac:dyDescent="0.25">
      <c r="AZ377" s="5">
        <v>374</v>
      </c>
      <c r="BA377" s="5">
        <v>0.79999999999999993</v>
      </c>
      <c r="BB377" s="5">
        <v>1</v>
      </c>
      <c r="BC377" s="5">
        <v>367</v>
      </c>
      <c r="BD377" s="5">
        <v>105.56451612903227</v>
      </c>
    </row>
    <row r="378" spans="52:56" x14ac:dyDescent="0.25">
      <c r="AZ378" s="5">
        <v>375</v>
      </c>
      <c r="BA378" s="5">
        <v>0.79999999999999993</v>
      </c>
      <c r="BB378" s="5">
        <v>1</v>
      </c>
      <c r="BC378" s="5">
        <v>368</v>
      </c>
      <c r="BD378" s="5">
        <v>105.8467741935484</v>
      </c>
    </row>
    <row r="379" spans="52:56" x14ac:dyDescent="0.25">
      <c r="AZ379" s="5">
        <v>376</v>
      </c>
      <c r="BA379" s="5">
        <v>0.79999999999999993</v>
      </c>
      <c r="BB379" s="5">
        <v>1</v>
      </c>
      <c r="BC379" s="5">
        <v>369</v>
      </c>
      <c r="BD379" s="5">
        <v>106.12903225806453</v>
      </c>
    </row>
    <row r="380" spans="52:56" x14ac:dyDescent="0.25">
      <c r="AZ380" s="5">
        <v>377</v>
      </c>
      <c r="BA380" s="5">
        <v>0.79999999999999993</v>
      </c>
      <c r="BB380" s="5">
        <v>1</v>
      </c>
      <c r="BC380" s="5">
        <v>370</v>
      </c>
      <c r="BD380" s="5">
        <v>106.41129032258065</v>
      </c>
    </row>
    <row r="381" spans="52:56" x14ac:dyDescent="0.25">
      <c r="AZ381" s="5">
        <v>378</v>
      </c>
      <c r="BA381" s="5">
        <v>0.79999999999999993</v>
      </c>
      <c r="BB381" s="5">
        <v>1</v>
      </c>
      <c r="BC381" s="5">
        <v>371</v>
      </c>
      <c r="BD381" s="5">
        <v>106.69354838709678</v>
      </c>
    </row>
    <row r="382" spans="52:56" x14ac:dyDescent="0.25">
      <c r="AZ382" s="5">
        <v>379</v>
      </c>
      <c r="BA382" s="5">
        <v>0.79999999999999993</v>
      </c>
      <c r="BB382" s="5">
        <v>0</v>
      </c>
      <c r="BC382" s="5">
        <v>371</v>
      </c>
      <c r="BD382" s="5">
        <v>106.97580645161291</v>
      </c>
    </row>
    <row r="383" spans="52:56" x14ac:dyDescent="0.25">
      <c r="AZ383" s="5">
        <v>380</v>
      </c>
      <c r="BA383" s="5">
        <v>0.79999999999999993</v>
      </c>
      <c r="BB383" s="5">
        <v>1</v>
      </c>
      <c r="BC383" s="5">
        <v>372</v>
      </c>
      <c r="BD383" s="5">
        <v>107.25806451612904</v>
      </c>
    </row>
    <row r="384" spans="52:56" x14ac:dyDescent="0.25">
      <c r="AZ384" s="5">
        <v>381</v>
      </c>
      <c r="BA384" s="5">
        <v>0.79999999999999993</v>
      </c>
      <c r="BB384" s="5">
        <v>1</v>
      </c>
      <c r="BC384" s="5">
        <v>373</v>
      </c>
      <c r="BD384" s="5">
        <v>107.54032258064517</v>
      </c>
    </row>
    <row r="385" spans="52:56" x14ac:dyDescent="0.25">
      <c r="AZ385" s="5">
        <v>382</v>
      </c>
      <c r="BA385" s="5">
        <v>0.79999999999999993</v>
      </c>
      <c r="BB385" s="5">
        <v>1</v>
      </c>
      <c r="BC385" s="5">
        <v>374</v>
      </c>
      <c r="BD385" s="5">
        <v>107.8225806451613</v>
      </c>
    </row>
    <row r="386" spans="52:56" x14ac:dyDescent="0.25">
      <c r="AZ386" s="5">
        <v>383</v>
      </c>
      <c r="BA386" s="5">
        <v>0.79999999999999993</v>
      </c>
      <c r="BB386" s="5">
        <v>1</v>
      </c>
      <c r="BC386" s="5">
        <v>375</v>
      </c>
      <c r="BD386" s="5">
        <v>108.10483870967742</v>
      </c>
    </row>
    <row r="387" spans="52:56" x14ac:dyDescent="0.25">
      <c r="AZ387" s="5">
        <v>384</v>
      </c>
      <c r="BA387" s="5">
        <v>0.79999999999999993</v>
      </c>
      <c r="BB387" s="5">
        <v>1</v>
      </c>
      <c r="BC387" s="5">
        <v>376</v>
      </c>
      <c r="BD387" s="5">
        <v>108.38709677419357</v>
      </c>
    </row>
    <row r="388" spans="52:56" x14ac:dyDescent="0.25">
      <c r="AZ388" s="5">
        <v>385</v>
      </c>
      <c r="BA388" s="5">
        <v>0.79999999999999993</v>
      </c>
      <c r="BB388" s="5">
        <v>1</v>
      </c>
      <c r="BC388" s="5">
        <v>377</v>
      </c>
      <c r="BD388" s="5">
        <v>108.66935483870969</v>
      </c>
    </row>
    <row r="389" spans="52:56" x14ac:dyDescent="0.25">
      <c r="AZ389" s="5">
        <v>386</v>
      </c>
      <c r="BA389" s="5">
        <v>0.79999999999999993</v>
      </c>
      <c r="BB389" s="5">
        <v>1</v>
      </c>
      <c r="BC389" s="5">
        <v>378</v>
      </c>
      <c r="BD389" s="5">
        <v>108.95161290322582</v>
      </c>
    </row>
    <row r="390" spans="52:56" x14ac:dyDescent="0.25">
      <c r="AZ390" s="5">
        <v>387</v>
      </c>
      <c r="BA390" s="5">
        <v>0.79999999999999993</v>
      </c>
      <c r="BB390" s="5">
        <v>1</v>
      </c>
      <c r="BC390" s="5">
        <v>379</v>
      </c>
      <c r="BD390" s="5">
        <v>109.23387096774195</v>
      </c>
    </row>
    <row r="391" spans="52:56" x14ac:dyDescent="0.25">
      <c r="AZ391" s="5">
        <v>388</v>
      </c>
      <c r="BA391" s="5">
        <v>0.79999999999999993</v>
      </c>
      <c r="BB391" s="5">
        <v>1</v>
      </c>
      <c r="BC391" s="5">
        <v>380</v>
      </c>
      <c r="BD391" s="5">
        <v>109.51612903225808</v>
      </c>
    </row>
    <row r="392" spans="52:56" x14ac:dyDescent="0.25">
      <c r="AZ392" s="5">
        <v>389</v>
      </c>
      <c r="BA392" s="5">
        <v>0.79999999999999993</v>
      </c>
      <c r="BB392" s="5">
        <v>0</v>
      </c>
      <c r="BC392" s="5">
        <v>380</v>
      </c>
      <c r="BD392" s="5">
        <v>109.79838709677421</v>
      </c>
    </row>
    <row r="393" spans="52:56" x14ac:dyDescent="0.25">
      <c r="AZ393" s="5">
        <v>390</v>
      </c>
      <c r="BA393" s="5">
        <v>0.79999999999999993</v>
      </c>
      <c r="BB393" s="5">
        <v>0</v>
      </c>
      <c r="BC393" s="5">
        <v>380</v>
      </c>
      <c r="BD393" s="5">
        <v>110.08064516129033</v>
      </c>
    </row>
    <row r="394" spans="52:56" x14ac:dyDescent="0.25">
      <c r="AZ394" s="5">
        <v>391</v>
      </c>
      <c r="BA394" s="5">
        <v>0.79999999999999993</v>
      </c>
      <c r="BB394" s="5">
        <v>1</v>
      </c>
      <c r="BC394" s="5">
        <v>381</v>
      </c>
      <c r="BD394" s="5">
        <v>110.36290322580646</v>
      </c>
    </row>
    <row r="395" spans="52:56" x14ac:dyDescent="0.25">
      <c r="AZ395" s="5">
        <v>392</v>
      </c>
      <c r="BA395" s="5">
        <v>0.79999999999999993</v>
      </c>
      <c r="BB395" s="5">
        <v>1</v>
      </c>
      <c r="BC395" s="5">
        <v>382</v>
      </c>
      <c r="BD395" s="5">
        <v>110.64516129032259</v>
      </c>
    </row>
    <row r="396" spans="52:56" x14ac:dyDescent="0.25">
      <c r="AZ396" s="5">
        <v>393</v>
      </c>
      <c r="BA396" s="5">
        <v>0.79999999999999993</v>
      </c>
      <c r="BB396" s="5">
        <v>1</v>
      </c>
      <c r="BC396" s="5">
        <v>383</v>
      </c>
      <c r="BD396" s="5">
        <v>110.92741935483872</v>
      </c>
    </row>
    <row r="397" spans="52:56" x14ac:dyDescent="0.25">
      <c r="AZ397" s="5">
        <v>394</v>
      </c>
      <c r="BA397" s="5">
        <v>0.79999999999999993</v>
      </c>
      <c r="BB397" s="5">
        <v>1</v>
      </c>
      <c r="BC397" s="5">
        <v>384</v>
      </c>
      <c r="BD397" s="5">
        <v>111.20967741935485</v>
      </c>
    </row>
    <row r="398" spans="52:56" x14ac:dyDescent="0.25">
      <c r="AZ398" s="5">
        <v>395</v>
      </c>
      <c r="BA398" s="5">
        <v>0.79999999999999993</v>
      </c>
      <c r="BB398" s="5">
        <v>1</v>
      </c>
      <c r="BC398" s="5">
        <v>385</v>
      </c>
      <c r="BD398" s="5">
        <v>111.49193548387098</v>
      </c>
    </row>
    <row r="399" spans="52:56" x14ac:dyDescent="0.25">
      <c r="AZ399" s="5">
        <v>396</v>
      </c>
      <c r="BA399" s="5">
        <v>0.79999999999999993</v>
      </c>
      <c r="BB399" s="5">
        <v>1</v>
      </c>
      <c r="BC399" s="5">
        <v>386</v>
      </c>
      <c r="BD399" s="5">
        <v>111.7741935483871</v>
      </c>
    </row>
    <row r="400" spans="52:56" x14ac:dyDescent="0.25">
      <c r="AZ400" s="5">
        <v>397</v>
      </c>
      <c r="BA400" s="5">
        <v>0.79999999999999993</v>
      </c>
      <c r="BB400" s="5">
        <v>1</v>
      </c>
      <c r="BC400" s="5">
        <v>387</v>
      </c>
      <c r="BD400" s="5">
        <v>112.05645161290323</v>
      </c>
    </row>
    <row r="401" spans="52:56" x14ac:dyDescent="0.25">
      <c r="AZ401" s="5">
        <v>398</v>
      </c>
      <c r="BA401" s="5">
        <v>0.79999999999999993</v>
      </c>
      <c r="BB401" s="5">
        <v>1</v>
      </c>
      <c r="BC401" s="5">
        <v>388</v>
      </c>
      <c r="BD401" s="5">
        <v>112.33870967741936</v>
      </c>
    </row>
    <row r="402" spans="52:56" x14ac:dyDescent="0.25">
      <c r="AZ402" s="5">
        <v>399</v>
      </c>
      <c r="BA402" s="5">
        <v>0.79999999999999993</v>
      </c>
      <c r="BB402" s="5">
        <v>1</v>
      </c>
      <c r="BC402" s="5">
        <v>389</v>
      </c>
      <c r="BD402" s="5">
        <v>112.62096774193549</v>
      </c>
    </row>
    <row r="403" spans="52:56" x14ac:dyDescent="0.25">
      <c r="AZ403" s="5">
        <v>400</v>
      </c>
      <c r="BA403" s="5">
        <v>0.79999999999999993</v>
      </c>
      <c r="BB403" s="5">
        <v>0</v>
      </c>
      <c r="BC403" s="5">
        <v>389</v>
      </c>
      <c r="BD403" s="5">
        <v>112.90322580645163</v>
      </c>
    </row>
    <row r="404" spans="52:56" x14ac:dyDescent="0.25">
      <c r="AZ404" s="5">
        <v>401</v>
      </c>
      <c r="BA404" s="5">
        <v>0.79999999999999993</v>
      </c>
      <c r="BB404" s="5">
        <v>1</v>
      </c>
      <c r="BC404" s="5">
        <v>390</v>
      </c>
      <c r="BD404" s="5">
        <v>113.18548387096776</v>
      </c>
    </row>
    <row r="405" spans="52:56" x14ac:dyDescent="0.25">
      <c r="AZ405" s="5">
        <v>402</v>
      </c>
      <c r="BA405" s="5">
        <v>0.79999999999999993</v>
      </c>
      <c r="BB405" s="5">
        <v>0</v>
      </c>
      <c r="BC405" s="5">
        <v>390</v>
      </c>
      <c r="BD405" s="5">
        <v>113.46774193548389</v>
      </c>
    </row>
    <row r="406" spans="52:56" x14ac:dyDescent="0.25">
      <c r="AZ406" s="5">
        <v>403</v>
      </c>
      <c r="BA406" s="5">
        <v>0.79999999999999993</v>
      </c>
      <c r="BB406" s="5">
        <v>1</v>
      </c>
      <c r="BC406" s="5">
        <v>391</v>
      </c>
      <c r="BD406" s="5">
        <v>113.75000000000001</v>
      </c>
    </row>
    <row r="407" spans="52:56" x14ac:dyDescent="0.25">
      <c r="AZ407" s="5">
        <v>404</v>
      </c>
      <c r="BA407" s="5">
        <v>0.79999999999999993</v>
      </c>
      <c r="BB407" s="5">
        <v>1</v>
      </c>
      <c r="BC407" s="5">
        <v>392</v>
      </c>
      <c r="BD407" s="5">
        <v>114.03225806451614</v>
      </c>
    </row>
    <row r="408" spans="52:56" x14ac:dyDescent="0.25">
      <c r="AZ408" s="5">
        <v>405</v>
      </c>
      <c r="BA408" s="5">
        <v>0.72727272727272729</v>
      </c>
      <c r="BB408" s="5">
        <v>1</v>
      </c>
      <c r="BC408" s="5">
        <v>393</v>
      </c>
      <c r="BD408" s="5">
        <v>114.31451612903227</v>
      </c>
    </row>
    <row r="409" spans="52:56" x14ac:dyDescent="0.25">
      <c r="AZ409" s="5">
        <v>406</v>
      </c>
      <c r="BA409" s="5">
        <v>0.72727272727272729</v>
      </c>
      <c r="BB409" s="5">
        <v>1</v>
      </c>
      <c r="BC409" s="5">
        <v>394</v>
      </c>
      <c r="BD409" s="5">
        <v>114.5967741935484</v>
      </c>
    </row>
    <row r="410" spans="52:56" x14ac:dyDescent="0.25">
      <c r="AZ410" s="5">
        <v>407</v>
      </c>
      <c r="BA410" s="5">
        <v>0.72727272727272729</v>
      </c>
      <c r="BB410" s="5">
        <v>1</v>
      </c>
      <c r="BC410" s="5">
        <v>395</v>
      </c>
      <c r="BD410" s="5">
        <v>114.87903225806453</v>
      </c>
    </row>
    <row r="411" spans="52:56" x14ac:dyDescent="0.25">
      <c r="AZ411" s="5">
        <v>408</v>
      </c>
      <c r="BA411" s="5">
        <v>0.72727272727272729</v>
      </c>
      <c r="BB411" s="5">
        <v>1</v>
      </c>
      <c r="BC411" s="5">
        <v>396</v>
      </c>
      <c r="BD411" s="5">
        <v>115.16129032258065</v>
      </c>
    </row>
    <row r="412" spans="52:56" x14ac:dyDescent="0.25">
      <c r="AZ412" s="5">
        <v>409</v>
      </c>
      <c r="BA412" s="5">
        <v>0.72727272727272729</v>
      </c>
      <c r="BB412" s="5">
        <v>1</v>
      </c>
      <c r="BC412" s="5">
        <v>397</v>
      </c>
      <c r="BD412" s="5">
        <v>115.44354838709678</v>
      </c>
    </row>
    <row r="413" spans="52:56" x14ac:dyDescent="0.25">
      <c r="AZ413" s="5">
        <v>410</v>
      </c>
      <c r="BA413" s="5">
        <v>0.72727272727272729</v>
      </c>
      <c r="BB413" s="5">
        <v>0</v>
      </c>
      <c r="BC413" s="5">
        <v>397</v>
      </c>
      <c r="BD413" s="5">
        <v>115.72580645161291</v>
      </c>
    </row>
    <row r="414" spans="52:56" x14ac:dyDescent="0.25">
      <c r="AZ414" s="5">
        <v>411</v>
      </c>
      <c r="BA414" s="5">
        <v>0.72727272727272729</v>
      </c>
      <c r="BB414" s="5">
        <v>1</v>
      </c>
      <c r="BC414" s="5">
        <v>398</v>
      </c>
      <c r="BD414" s="5">
        <v>116.00806451612904</v>
      </c>
    </row>
    <row r="415" spans="52:56" x14ac:dyDescent="0.25">
      <c r="AZ415" s="5">
        <v>412</v>
      </c>
      <c r="BA415" s="5">
        <v>0.72727272727272729</v>
      </c>
      <c r="BB415" s="5">
        <v>0</v>
      </c>
      <c r="BC415" s="5">
        <v>398</v>
      </c>
      <c r="BD415" s="5">
        <v>116.29032258064517</v>
      </c>
    </row>
    <row r="416" spans="52:56" x14ac:dyDescent="0.25">
      <c r="AZ416" s="5">
        <v>413</v>
      </c>
      <c r="BA416" s="5">
        <v>0.72727272727272729</v>
      </c>
      <c r="BB416" s="5">
        <v>1</v>
      </c>
      <c r="BC416" s="5">
        <v>399</v>
      </c>
      <c r="BD416" s="5">
        <v>116.5725806451613</v>
      </c>
    </row>
    <row r="417" spans="52:56" x14ac:dyDescent="0.25">
      <c r="AZ417" s="5">
        <v>414</v>
      </c>
      <c r="BA417" s="5">
        <v>0.72727272727272729</v>
      </c>
      <c r="BB417" s="5">
        <v>1</v>
      </c>
      <c r="BC417" s="5">
        <v>400</v>
      </c>
      <c r="BD417" s="5">
        <v>116.85483870967742</v>
      </c>
    </row>
    <row r="418" spans="52:56" x14ac:dyDescent="0.25">
      <c r="AZ418" s="5">
        <v>415</v>
      </c>
      <c r="BA418" s="5">
        <v>0.72727272727272729</v>
      </c>
      <c r="BB418" s="5">
        <v>0</v>
      </c>
      <c r="BC418" s="5">
        <v>400</v>
      </c>
      <c r="BD418" s="5">
        <v>117.13709677419357</v>
      </c>
    </row>
    <row r="419" spans="52:56" x14ac:dyDescent="0.25">
      <c r="AZ419" s="5">
        <v>416</v>
      </c>
      <c r="BA419" s="5">
        <v>0.72727272727272729</v>
      </c>
      <c r="BB419" s="5">
        <v>1</v>
      </c>
      <c r="BC419" s="5">
        <v>401</v>
      </c>
      <c r="BD419" s="5">
        <v>117.41935483870969</v>
      </c>
    </row>
    <row r="420" spans="52:56" x14ac:dyDescent="0.25">
      <c r="AZ420" s="5">
        <v>417</v>
      </c>
      <c r="BA420" s="5">
        <v>0.72727272727272729</v>
      </c>
      <c r="BB420" s="5">
        <v>1</v>
      </c>
      <c r="BC420" s="5">
        <v>402</v>
      </c>
      <c r="BD420" s="5">
        <v>117.70161290322582</v>
      </c>
    </row>
    <row r="421" spans="52:56" x14ac:dyDescent="0.25">
      <c r="AZ421" s="5">
        <v>418</v>
      </c>
      <c r="BA421" s="5">
        <v>0.72727272727272729</v>
      </c>
      <c r="BB421" s="5">
        <v>1</v>
      </c>
      <c r="BC421" s="5">
        <v>403</v>
      </c>
      <c r="BD421" s="5">
        <v>117.98387096774195</v>
      </c>
    </row>
    <row r="422" spans="52:56" x14ac:dyDescent="0.25">
      <c r="AZ422" s="5">
        <v>419</v>
      </c>
      <c r="BA422" s="5">
        <v>0.72727272727272729</v>
      </c>
      <c r="BB422" s="5">
        <v>0</v>
      </c>
      <c r="BC422" s="5">
        <v>403</v>
      </c>
      <c r="BD422" s="5">
        <v>118.26612903225808</v>
      </c>
    </row>
    <row r="423" spans="52:56" x14ac:dyDescent="0.25">
      <c r="AZ423" s="5">
        <v>420</v>
      </c>
      <c r="BA423" s="5">
        <v>0.72727272727272729</v>
      </c>
      <c r="BB423" s="5">
        <v>0</v>
      </c>
      <c r="BC423" s="5">
        <v>403</v>
      </c>
      <c r="BD423" s="5">
        <v>118.54838709677421</v>
      </c>
    </row>
    <row r="424" spans="52:56" x14ac:dyDescent="0.25">
      <c r="AZ424" s="5">
        <v>421</v>
      </c>
      <c r="BA424" s="5">
        <v>0.72727272727272729</v>
      </c>
      <c r="BB424" s="5">
        <v>0</v>
      </c>
      <c r="BC424" s="5">
        <v>403</v>
      </c>
      <c r="BD424" s="5">
        <v>118.83064516129033</v>
      </c>
    </row>
    <row r="425" spans="52:56" x14ac:dyDescent="0.25">
      <c r="AZ425" s="5">
        <v>422</v>
      </c>
      <c r="BA425" s="5">
        <v>0.72727272727272729</v>
      </c>
      <c r="BB425" s="5">
        <v>1</v>
      </c>
      <c r="BC425" s="5">
        <v>404</v>
      </c>
      <c r="BD425" s="5">
        <v>119.11290322580646</v>
      </c>
    </row>
    <row r="426" spans="52:56" x14ac:dyDescent="0.25">
      <c r="AZ426" s="5">
        <v>423</v>
      </c>
      <c r="BA426" s="5">
        <v>0.72727272727272729</v>
      </c>
      <c r="BB426" s="5">
        <v>1</v>
      </c>
      <c r="BC426" s="5">
        <v>405</v>
      </c>
      <c r="BD426" s="5">
        <v>119.39516129032259</v>
      </c>
    </row>
    <row r="427" spans="52:56" x14ac:dyDescent="0.25">
      <c r="AZ427" s="5">
        <v>424</v>
      </c>
      <c r="BA427" s="5">
        <v>0.72727272727272729</v>
      </c>
      <c r="BB427" s="5">
        <v>1</v>
      </c>
      <c r="BC427" s="5">
        <v>406</v>
      </c>
      <c r="BD427" s="5">
        <v>119.67741935483872</v>
      </c>
    </row>
    <row r="428" spans="52:56" x14ac:dyDescent="0.25">
      <c r="AZ428" s="5">
        <v>425</v>
      </c>
      <c r="BA428" s="5">
        <v>0.72727272727272729</v>
      </c>
      <c r="BB428" s="5">
        <v>1</v>
      </c>
      <c r="BC428" s="5">
        <v>407</v>
      </c>
      <c r="BD428" s="5">
        <v>119.95967741935485</v>
      </c>
    </row>
    <row r="429" spans="52:56" x14ac:dyDescent="0.25">
      <c r="AZ429" s="5">
        <v>426</v>
      </c>
      <c r="BA429" s="5">
        <v>0.72727272727272729</v>
      </c>
      <c r="BB429" s="5">
        <v>1</v>
      </c>
      <c r="BC429" s="5">
        <v>408</v>
      </c>
      <c r="BD429" s="5">
        <v>120.24193548387098</v>
      </c>
    </row>
    <row r="430" spans="52:56" x14ac:dyDescent="0.25">
      <c r="AZ430" s="5">
        <v>427</v>
      </c>
      <c r="BA430" s="5">
        <v>0.69230769230769229</v>
      </c>
      <c r="BB430" s="5">
        <v>0</v>
      </c>
      <c r="BC430" s="5">
        <v>408</v>
      </c>
      <c r="BD430" s="5">
        <v>120.5241935483871</v>
      </c>
    </row>
    <row r="431" spans="52:56" x14ac:dyDescent="0.25">
      <c r="AZ431" s="5">
        <v>428</v>
      </c>
      <c r="BA431" s="5">
        <v>0.69230769230769229</v>
      </c>
      <c r="BB431" s="5">
        <v>1</v>
      </c>
      <c r="BC431" s="5">
        <v>409</v>
      </c>
      <c r="BD431" s="5">
        <v>120.80645161290323</v>
      </c>
    </row>
    <row r="432" spans="52:56" x14ac:dyDescent="0.25">
      <c r="AZ432" s="5">
        <v>429</v>
      </c>
      <c r="BA432" s="5">
        <v>0.69230769230769229</v>
      </c>
      <c r="BB432" s="5">
        <v>1</v>
      </c>
      <c r="BC432" s="5">
        <v>410</v>
      </c>
      <c r="BD432" s="5">
        <v>121.08870967741936</v>
      </c>
    </row>
    <row r="433" spans="52:56" x14ac:dyDescent="0.25">
      <c r="AZ433" s="5">
        <v>430</v>
      </c>
      <c r="BA433" s="5">
        <v>0.69230769230769229</v>
      </c>
      <c r="BB433" s="5">
        <v>1</v>
      </c>
      <c r="BC433" s="5">
        <v>411</v>
      </c>
      <c r="BD433" s="5">
        <v>121.3709677419355</v>
      </c>
    </row>
    <row r="434" spans="52:56" x14ac:dyDescent="0.25">
      <c r="AZ434" s="5">
        <v>431</v>
      </c>
      <c r="BA434" s="5">
        <v>0.69230769230769229</v>
      </c>
      <c r="BB434" s="5">
        <v>1</v>
      </c>
      <c r="BC434" s="5">
        <v>412</v>
      </c>
      <c r="BD434" s="5">
        <v>121.65322580645163</v>
      </c>
    </row>
    <row r="435" spans="52:56" x14ac:dyDescent="0.25">
      <c r="AZ435" s="5">
        <v>432</v>
      </c>
      <c r="BA435" s="5">
        <v>0.69230769230769229</v>
      </c>
      <c r="BB435" s="5">
        <v>1</v>
      </c>
      <c r="BC435" s="5">
        <v>413</v>
      </c>
      <c r="BD435" s="5">
        <v>121.93548387096776</v>
      </c>
    </row>
    <row r="436" spans="52:56" x14ac:dyDescent="0.25">
      <c r="AZ436" s="5">
        <v>433</v>
      </c>
      <c r="BA436" s="5">
        <v>0.69230769230769229</v>
      </c>
      <c r="BB436" s="5">
        <v>1</v>
      </c>
      <c r="BC436" s="5">
        <v>414</v>
      </c>
      <c r="BD436" s="5">
        <v>122.21774193548389</v>
      </c>
    </row>
    <row r="437" spans="52:56" x14ac:dyDescent="0.25">
      <c r="AZ437" s="5">
        <v>434</v>
      </c>
      <c r="BA437" s="5">
        <v>0.69230769230769229</v>
      </c>
      <c r="BB437" s="5">
        <v>0</v>
      </c>
      <c r="BC437" s="5">
        <v>414</v>
      </c>
      <c r="BD437" s="5">
        <v>122.50000000000001</v>
      </c>
    </row>
    <row r="438" spans="52:56" x14ac:dyDescent="0.25">
      <c r="AZ438" s="5">
        <v>435</v>
      </c>
      <c r="BA438" s="5">
        <v>0.69230769230769229</v>
      </c>
      <c r="BB438" s="5">
        <v>0</v>
      </c>
      <c r="BC438" s="5">
        <v>414</v>
      </c>
      <c r="BD438" s="5">
        <v>122.78225806451614</v>
      </c>
    </row>
    <row r="439" spans="52:56" x14ac:dyDescent="0.25">
      <c r="AZ439" s="5">
        <v>436</v>
      </c>
      <c r="BA439" s="5">
        <v>0.69230769230769229</v>
      </c>
      <c r="BB439" s="5">
        <v>0</v>
      </c>
      <c r="BC439" s="5">
        <v>414</v>
      </c>
      <c r="BD439" s="5">
        <v>123.06451612903227</v>
      </c>
    </row>
    <row r="440" spans="52:56" x14ac:dyDescent="0.25">
      <c r="AZ440" s="5">
        <v>437</v>
      </c>
      <c r="BA440" s="5">
        <v>0.69230769230769229</v>
      </c>
      <c r="BB440" s="5">
        <v>1</v>
      </c>
      <c r="BC440" s="5">
        <v>415</v>
      </c>
      <c r="BD440" s="5">
        <v>123.3467741935484</v>
      </c>
    </row>
    <row r="441" spans="52:56" x14ac:dyDescent="0.25">
      <c r="AZ441" s="5">
        <v>438</v>
      </c>
      <c r="BA441" s="5">
        <v>0.69230769230769229</v>
      </c>
      <c r="BB441" s="5">
        <v>1</v>
      </c>
      <c r="BC441" s="5">
        <v>416</v>
      </c>
      <c r="BD441" s="5">
        <v>123.62903225806453</v>
      </c>
    </row>
    <row r="442" spans="52:56" x14ac:dyDescent="0.25">
      <c r="AZ442" s="5">
        <v>439</v>
      </c>
      <c r="BA442" s="5">
        <v>0.69230769230769229</v>
      </c>
      <c r="BB442" s="5">
        <v>1</v>
      </c>
      <c r="BC442" s="5">
        <v>417</v>
      </c>
      <c r="BD442" s="5">
        <v>123.91129032258065</v>
      </c>
    </row>
    <row r="443" spans="52:56" x14ac:dyDescent="0.25">
      <c r="AZ443" s="5">
        <v>440</v>
      </c>
      <c r="BA443" s="5">
        <v>0.68181818181818188</v>
      </c>
      <c r="BB443" s="5">
        <v>0</v>
      </c>
      <c r="BC443" s="5">
        <v>417</v>
      </c>
      <c r="BD443" s="5">
        <v>124.19354838709678</v>
      </c>
    </row>
    <row r="444" spans="52:56" x14ac:dyDescent="0.25">
      <c r="AZ444" s="5">
        <v>441</v>
      </c>
      <c r="BA444" s="5">
        <v>0.68181818181818188</v>
      </c>
      <c r="BB444" s="5">
        <v>1</v>
      </c>
      <c r="BC444" s="5">
        <v>418</v>
      </c>
      <c r="BD444" s="5">
        <v>124.47580645161291</v>
      </c>
    </row>
    <row r="445" spans="52:56" x14ac:dyDescent="0.25">
      <c r="AZ445" s="5">
        <v>442</v>
      </c>
      <c r="BA445" s="5">
        <v>0.68181818181818188</v>
      </c>
      <c r="BB445" s="5">
        <v>1</v>
      </c>
      <c r="BC445" s="5">
        <v>419</v>
      </c>
      <c r="BD445" s="5">
        <v>124.75806451612904</v>
      </c>
    </row>
    <row r="446" spans="52:56" x14ac:dyDescent="0.25">
      <c r="AZ446" s="5">
        <v>443</v>
      </c>
      <c r="BA446" s="5">
        <v>0.68181818181818188</v>
      </c>
      <c r="BB446" s="5">
        <v>1</v>
      </c>
      <c r="BC446" s="5">
        <v>420</v>
      </c>
      <c r="BD446" s="5">
        <v>125.04032258064517</v>
      </c>
    </row>
    <row r="447" spans="52:56" x14ac:dyDescent="0.25">
      <c r="AZ447" s="5">
        <v>444</v>
      </c>
      <c r="BA447" s="5">
        <v>0.68181818181818188</v>
      </c>
      <c r="BB447" s="5">
        <v>1</v>
      </c>
      <c r="BC447" s="5">
        <v>421</v>
      </c>
      <c r="BD447" s="5">
        <v>125.3225806451613</v>
      </c>
    </row>
    <row r="448" spans="52:56" x14ac:dyDescent="0.25">
      <c r="AZ448" s="5">
        <v>445</v>
      </c>
      <c r="BA448" s="5">
        <v>0.68181818181818188</v>
      </c>
      <c r="BB448" s="5">
        <v>1</v>
      </c>
      <c r="BC448" s="5">
        <v>422</v>
      </c>
      <c r="BD448" s="5">
        <v>125.60483870967744</v>
      </c>
    </row>
    <row r="449" spans="52:56" x14ac:dyDescent="0.25">
      <c r="AZ449" s="5">
        <v>446</v>
      </c>
      <c r="BA449" s="5">
        <v>0.68181818181818188</v>
      </c>
      <c r="BB449" s="5">
        <v>1</v>
      </c>
      <c r="BC449" s="5">
        <v>423</v>
      </c>
      <c r="BD449" s="5">
        <v>125.88709677419357</v>
      </c>
    </row>
    <row r="450" spans="52:56" x14ac:dyDescent="0.25">
      <c r="AZ450" s="5">
        <v>447</v>
      </c>
      <c r="BA450" s="5">
        <v>0.68181818181818188</v>
      </c>
      <c r="BB450" s="5">
        <v>1</v>
      </c>
      <c r="BC450" s="5">
        <v>424</v>
      </c>
      <c r="BD450" s="5">
        <v>126.16935483870969</v>
      </c>
    </row>
    <row r="451" spans="52:56" x14ac:dyDescent="0.25">
      <c r="AZ451" s="5">
        <v>448</v>
      </c>
      <c r="BA451" s="5">
        <v>0.68181818181818188</v>
      </c>
      <c r="BB451" s="5">
        <v>1</v>
      </c>
      <c r="BC451" s="5">
        <v>425</v>
      </c>
      <c r="BD451" s="5">
        <v>126.45161290322582</v>
      </c>
    </row>
    <row r="452" spans="52:56" x14ac:dyDescent="0.25">
      <c r="AZ452" s="5">
        <v>449</v>
      </c>
      <c r="BA452" s="5">
        <v>0.68181818181818188</v>
      </c>
      <c r="BB452" s="5">
        <v>1</v>
      </c>
      <c r="BC452" s="5">
        <v>426</v>
      </c>
      <c r="BD452" s="5">
        <v>126.73387096774195</v>
      </c>
    </row>
    <row r="453" spans="52:56" x14ac:dyDescent="0.25">
      <c r="AZ453" s="5">
        <v>450</v>
      </c>
      <c r="BA453" s="5">
        <v>0.68181818181818188</v>
      </c>
      <c r="BB453" s="5">
        <v>1</v>
      </c>
      <c r="BC453" s="5">
        <v>427</v>
      </c>
      <c r="BD453" s="5">
        <v>127.01612903225808</v>
      </c>
    </row>
    <row r="454" spans="52:56" x14ac:dyDescent="0.25">
      <c r="AZ454" s="5">
        <v>451</v>
      </c>
      <c r="BA454" s="5">
        <v>0.68181818181818188</v>
      </c>
      <c r="BB454" s="5">
        <v>1</v>
      </c>
      <c r="BC454" s="5">
        <v>428</v>
      </c>
      <c r="BD454" s="5">
        <v>127.29838709677421</v>
      </c>
    </row>
    <row r="455" spans="52:56" x14ac:dyDescent="0.25">
      <c r="AZ455" s="5">
        <v>452</v>
      </c>
      <c r="BA455" s="5">
        <v>0.68181818181818188</v>
      </c>
      <c r="BB455" s="5">
        <v>1</v>
      </c>
      <c r="BC455" s="5">
        <v>429</v>
      </c>
      <c r="BD455" s="5">
        <v>127.58064516129033</v>
      </c>
    </row>
    <row r="456" spans="52:56" x14ac:dyDescent="0.25">
      <c r="AZ456" s="5">
        <v>453</v>
      </c>
      <c r="BA456" s="5">
        <v>0.68181818181818188</v>
      </c>
      <c r="BB456" s="5">
        <v>0</v>
      </c>
      <c r="BC456" s="5">
        <v>429</v>
      </c>
      <c r="BD456" s="5">
        <v>127.86290322580646</v>
      </c>
    </row>
    <row r="457" spans="52:56" x14ac:dyDescent="0.25">
      <c r="AZ457" s="5">
        <v>454</v>
      </c>
      <c r="BA457" s="5">
        <v>0.68181818181818188</v>
      </c>
      <c r="BB457" s="5">
        <v>0</v>
      </c>
      <c r="BC457" s="5">
        <v>429</v>
      </c>
      <c r="BD457" s="5">
        <v>128.14516129032259</v>
      </c>
    </row>
    <row r="458" spans="52:56" x14ac:dyDescent="0.25">
      <c r="AZ458" s="5">
        <v>455</v>
      </c>
      <c r="BA458" s="5">
        <v>0.68181818181818188</v>
      </c>
      <c r="BB458" s="5">
        <v>0</v>
      </c>
      <c r="BC458" s="5">
        <v>429</v>
      </c>
      <c r="BD458" s="5">
        <v>128.42741935483872</v>
      </c>
    </row>
    <row r="459" spans="52:56" x14ac:dyDescent="0.25">
      <c r="AZ459" s="5">
        <v>456</v>
      </c>
      <c r="BA459" s="5">
        <v>0.68181818181818188</v>
      </c>
      <c r="BB459" s="5">
        <v>1</v>
      </c>
      <c r="BC459" s="5">
        <v>430</v>
      </c>
      <c r="BD459" s="5">
        <v>128.70967741935485</v>
      </c>
    </row>
    <row r="460" spans="52:56" x14ac:dyDescent="0.25">
      <c r="AZ460" s="5">
        <v>457</v>
      </c>
      <c r="BA460" s="5">
        <v>0.68181818181818188</v>
      </c>
      <c r="BB460" s="5">
        <v>0</v>
      </c>
      <c r="BC460" s="5">
        <v>430</v>
      </c>
      <c r="BD460" s="5">
        <v>128.99193548387098</v>
      </c>
    </row>
    <row r="461" spans="52:56" x14ac:dyDescent="0.25">
      <c r="AZ461" s="5">
        <v>458</v>
      </c>
      <c r="BA461" s="5">
        <v>0.68181818181818188</v>
      </c>
      <c r="BB461" s="5">
        <v>0</v>
      </c>
      <c r="BC461" s="5">
        <v>430</v>
      </c>
      <c r="BD461" s="5">
        <v>129.2741935483871</v>
      </c>
    </row>
    <row r="462" spans="52:56" x14ac:dyDescent="0.25">
      <c r="AZ462" s="5">
        <v>459</v>
      </c>
      <c r="BA462" s="5">
        <v>0.68181818181818188</v>
      </c>
      <c r="BB462" s="5">
        <v>0</v>
      </c>
      <c r="BC462" s="5">
        <v>430</v>
      </c>
      <c r="BD462" s="5">
        <v>129.55645161290323</v>
      </c>
    </row>
    <row r="463" spans="52:56" x14ac:dyDescent="0.25">
      <c r="AZ463" s="5">
        <v>460</v>
      </c>
      <c r="BA463" s="5">
        <v>0.68181818181818188</v>
      </c>
      <c r="BB463" s="5">
        <v>1</v>
      </c>
      <c r="BC463" s="5">
        <v>431</v>
      </c>
      <c r="BD463" s="5">
        <v>129.83870967741936</v>
      </c>
    </row>
    <row r="464" spans="52:56" x14ac:dyDescent="0.25">
      <c r="AZ464" s="5">
        <v>461</v>
      </c>
      <c r="BA464" s="5">
        <v>0.68181818181818188</v>
      </c>
      <c r="BB464" s="5">
        <v>1</v>
      </c>
      <c r="BC464" s="5">
        <v>432</v>
      </c>
      <c r="BD464" s="5">
        <v>130.12096774193549</v>
      </c>
    </row>
    <row r="465" spans="52:56" x14ac:dyDescent="0.25">
      <c r="AZ465" s="5">
        <v>462</v>
      </c>
      <c r="BA465" s="5">
        <v>0.66666666666666663</v>
      </c>
      <c r="BB465" s="5">
        <v>1</v>
      </c>
      <c r="BC465" s="5">
        <v>433</v>
      </c>
      <c r="BD465" s="5">
        <v>130.40322580645162</v>
      </c>
    </row>
    <row r="466" spans="52:56" x14ac:dyDescent="0.25">
      <c r="AZ466" s="5">
        <v>463</v>
      </c>
      <c r="BA466" s="5">
        <v>0.66666666666666663</v>
      </c>
      <c r="BB466" s="5">
        <v>0</v>
      </c>
      <c r="BC466" s="5">
        <v>433</v>
      </c>
      <c r="BD466" s="5">
        <v>130.68548387096774</v>
      </c>
    </row>
    <row r="467" spans="52:56" x14ac:dyDescent="0.25">
      <c r="AZ467" s="5">
        <v>464</v>
      </c>
      <c r="BA467" s="5">
        <v>0.66666666666666663</v>
      </c>
      <c r="BB467" s="5">
        <v>0</v>
      </c>
      <c r="BC467" s="5">
        <v>433</v>
      </c>
      <c r="BD467" s="5">
        <v>130.96774193548387</v>
      </c>
    </row>
    <row r="468" spans="52:56" x14ac:dyDescent="0.25">
      <c r="AZ468" s="5">
        <v>465</v>
      </c>
      <c r="BA468" s="5">
        <v>0.66666666666666663</v>
      </c>
      <c r="BB468" s="5">
        <v>1</v>
      </c>
      <c r="BC468" s="5">
        <v>434</v>
      </c>
      <c r="BD468" s="5">
        <v>131.25</v>
      </c>
    </row>
    <row r="469" spans="52:56" x14ac:dyDescent="0.25">
      <c r="AZ469" s="5">
        <v>466</v>
      </c>
      <c r="BA469" s="5">
        <v>0.66666666666666663</v>
      </c>
      <c r="BB469" s="5">
        <v>1</v>
      </c>
      <c r="BC469" s="5">
        <v>435</v>
      </c>
      <c r="BD469" s="5">
        <v>131.53225806451613</v>
      </c>
    </row>
    <row r="470" spans="52:56" x14ac:dyDescent="0.25">
      <c r="AZ470" s="5">
        <v>467</v>
      </c>
      <c r="BA470" s="5">
        <v>0.66666666666666663</v>
      </c>
      <c r="BB470" s="5">
        <v>1</v>
      </c>
      <c r="BC470" s="5">
        <v>436</v>
      </c>
      <c r="BD470" s="5">
        <v>131.81451612903228</v>
      </c>
    </row>
    <row r="471" spans="52:56" x14ac:dyDescent="0.25">
      <c r="AZ471" s="5">
        <v>468</v>
      </c>
      <c r="BA471" s="5">
        <v>0.64</v>
      </c>
      <c r="BB471" s="5">
        <v>0</v>
      </c>
      <c r="BC471" s="5">
        <v>436</v>
      </c>
      <c r="BD471" s="5">
        <v>132.09677419354841</v>
      </c>
    </row>
    <row r="472" spans="52:56" x14ac:dyDescent="0.25">
      <c r="AZ472" s="5">
        <v>469</v>
      </c>
      <c r="BA472" s="5">
        <v>0.64</v>
      </c>
      <c r="BB472" s="5">
        <v>0</v>
      </c>
      <c r="BC472" s="5">
        <v>436</v>
      </c>
      <c r="BD472" s="5">
        <v>132.37903225806454</v>
      </c>
    </row>
    <row r="473" spans="52:56" x14ac:dyDescent="0.25">
      <c r="AZ473" s="5">
        <v>470</v>
      </c>
      <c r="BA473" s="5">
        <v>0.64</v>
      </c>
      <c r="BB473" s="5">
        <v>1</v>
      </c>
      <c r="BC473" s="5">
        <v>437</v>
      </c>
      <c r="BD473" s="5">
        <v>132.66129032258067</v>
      </c>
    </row>
    <row r="474" spans="52:56" x14ac:dyDescent="0.25">
      <c r="AZ474" s="5">
        <v>471</v>
      </c>
      <c r="BA474" s="5">
        <v>0.64</v>
      </c>
      <c r="BB474" s="5">
        <v>0</v>
      </c>
      <c r="BC474" s="5">
        <v>437</v>
      </c>
      <c r="BD474" s="5">
        <v>132.9435483870968</v>
      </c>
    </row>
    <row r="475" spans="52:56" x14ac:dyDescent="0.25">
      <c r="AZ475" s="5">
        <v>472</v>
      </c>
      <c r="BA475" s="5">
        <v>0.64</v>
      </c>
      <c r="BB475" s="5">
        <v>1</v>
      </c>
      <c r="BC475" s="5">
        <v>438</v>
      </c>
      <c r="BD475" s="5">
        <v>133.22580645161293</v>
      </c>
    </row>
    <row r="476" spans="52:56" x14ac:dyDescent="0.25">
      <c r="AZ476" s="5">
        <v>473</v>
      </c>
      <c r="BA476" s="5">
        <v>0.64</v>
      </c>
      <c r="BB476" s="5">
        <v>0</v>
      </c>
      <c r="BC476" s="5">
        <v>438</v>
      </c>
      <c r="BD476" s="5">
        <v>133.50806451612905</v>
      </c>
    </row>
    <row r="477" spans="52:56" x14ac:dyDescent="0.25">
      <c r="AZ477" s="5">
        <v>474</v>
      </c>
      <c r="BA477" s="5">
        <v>0.64</v>
      </c>
      <c r="BB477" s="5">
        <v>1</v>
      </c>
      <c r="BC477" s="5">
        <v>439</v>
      </c>
      <c r="BD477" s="5">
        <v>133.79032258064518</v>
      </c>
    </row>
    <row r="478" spans="52:56" x14ac:dyDescent="0.25">
      <c r="AZ478" s="5">
        <v>475</v>
      </c>
      <c r="BA478" s="5">
        <v>0.64</v>
      </c>
      <c r="BB478" s="5">
        <v>0</v>
      </c>
      <c r="BC478" s="5">
        <v>439</v>
      </c>
      <c r="BD478" s="5">
        <v>134.07258064516131</v>
      </c>
    </row>
    <row r="479" spans="52:56" x14ac:dyDescent="0.25">
      <c r="AZ479" s="5">
        <v>476</v>
      </c>
      <c r="BA479" s="5">
        <v>0.64</v>
      </c>
      <c r="BB479" s="5">
        <v>1</v>
      </c>
      <c r="BC479" s="5">
        <v>440</v>
      </c>
      <c r="BD479" s="5">
        <v>134.35483870967744</v>
      </c>
    </row>
    <row r="480" spans="52:56" x14ac:dyDescent="0.25">
      <c r="AZ480" s="5">
        <v>477</v>
      </c>
      <c r="BA480" s="5">
        <v>0.64</v>
      </c>
      <c r="BB480" s="5">
        <v>1</v>
      </c>
      <c r="BC480" s="5">
        <v>441</v>
      </c>
      <c r="BD480" s="5">
        <v>134.63709677419357</v>
      </c>
    </row>
    <row r="481" spans="52:56" x14ac:dyDescent="0.25">
      <c r="AZ481" s="5">
        <v>478</v>
      </c>
      <c r="BA481" s="5">
        <v>0.64</v>
      </c>
      <c r="BB481" s="5">
        <v>1</v>
      </c>
      <c r="BC481" s="5">
        <v>442</v>
      </c>
      <c r="BD481" s="5">
        <v>134.91935483870969</v>
      </c>
    </row>
    <row r="482" spans="52:56" x14ac:dyDescent="0.25">
      <c r="AZ482" s="5">
        <v>479</v>
      </c>
      <c r="BA482" s="5">
        <v>0.64</v>
      </c>
      <c r="BB482" s="5">
        <v>1</v>
      </c>
      <c r="BC482" s="5">
        <v>443</v>
      </c>
      <c r="BD482" s="5">
        <v>135.20161290322582</v>
      </c>
    </row>
    <row r="483" spans="52:56" x14ac:dyDescent="0.25">
      <c r="AZ483" s="5">
        <v>480</v>
      </c>
      <c r="BA483" s="5">
        <v>0.64</v>
      </c>
      <c r="BB483" s="5">
        <v>1</v>
      </c>
      <c r="BC483" s="5">
        <v>444</v>
      </c>
      <c r="BD483" s="5">
        <v>135.48387096774195</v>
      </c>
    </row>
    <row r="484" spans="52:56" x14ac:dyDescent="0.25">
      <c r="AZ484" s="5">
        <v>481</v>
      </c>
      <c r="BA484" s="5">
        <v>0.64</v>
      </c>
      <c r="BB484" s="5">
        <v>1</v>
      </c>
      <c r="BC484" s="5">
        <v>445</v>
      </c>
      <c r="BD484" s="5">
        <v>135.76612903225808</v>
      </c>
    </row>
    <row r="485" spans="52:56" x14ac:dyDescent="0.25">
      <c r="AZ485" s="5">
        <v>482</v>
      </c>
      <c r="BA485" s="5">
        <v>0.64</v>
      </c>
      <c r="BB485" s="5">
        <v>1</v>
      </c>
      <c r="BC485" s="5">
        <v>446</v>
      </c>
      <c r="BD485" s="5">
        <v>136.04838709677421</v>
      </c>
    </row>
    <row r="486" spans="52:56" x14ac:dyDescent="0.25">
      <c r="AZ486" s="5">
        <v>483</v>
      </c>
      <c r="BA486" s="5">
        <v>0.64</v>
      </c>
      <c r="BB486" s="5">
        <v>0</v>
      </c>
      <c r="BC486" s="5">
        <v>446</v>
      </c>
      <c r="BD486" s="5">
        <v>136.33064516129033</v>
      </c>
    </row>
    <row r="487" spans="52:56" x14ac:dyDescent="0.25">
      <c r="AZ487" s="5">
        <v>484</v>
      </c>
      <c r="BA487" s="5">
        <v>0.64</v>
      </c>
      <c r="BB487" s="5">
        <v>1</v>
      </c>
      <c r="BC487" s="5">
        <v>447</v>
      </c>
      <c r="BD487" s="5">
        <v>136.61290322580646</v>
      </c>
    </row>
    <row r="488" spans="52:56" x14ac:dyDescent="0.25">
      <c r="AZ488" s="5">
        <v>485</v>
      </c>
      <c r="BA488" s="5">
        <v>0.64</v>
      </c>
      <c r="BB488" s="5">
        <v>0</v>
      </c>
      <c r="BC488" s="5">
        <v>447</v>
      </c>
      <c r="BD488" s="5">
        <v>136.89516129032259</v>
      </c>
    </row>
    <row r="489" spans="52:56" x14ac:dyDescent="0.25">
      <c r="AZ489" s="5">
        <v>486</v>
      </c>
      <c r="BA489" s="5">
        <v>0.64</v>
      </c>
      <c r="BB489" s="5">
        <v>0</v>
      </c>
      <c r="BC489" s="5">
        <v>447</v>
      </c>
      <c r="BD489" s="5">
        <v>137.17741935483872</v>
      </c>
    </row>
    <row r="490" spans="52:56" x14ac:dyDescent="0.25">
      <c r="AZ490" s="5">
        <v>487</v>
      </c>
      <c r="BA490" s="5">
        <v>0.64</v>
      </c>
      <c r="BB490" s="5">
        <v>1</v>
      </c>
      <c r="BC490" s="5">
        <v>448</v>
      </c>
      <c r="BD490" s="5">
        <v>137.45967741935485</v>
      </c>
    </row>
    <row r="491" spans="52:56" x14ac:dyDescent="0.25">
      <c r="AZ491" s="5">
        <v>488</v>
      </c>
      <c r="BA491" s="5">
        <v>0.64</v>
      </c>
      <c r="BB491" s="5">
        <v>1</v>
      </c>
      <c r="BC491" s="5">
        <v>449</v>
      </c>
      <c r="BD491" s="5">
        <v>137.74193548387098</v>
      </c>
    </row>
    <row r="492" spans="52:56" x14ac:dyDescent="0.25">
      <c r="AZ492" s="5">
        <v>489</v>
      </c>
      <c r="BA492" s="5">
        <v>0.64</v>
      </c>
      <c r="BB492" s="5">
        <v>1</v>
      </c>
      <c r="BC492" s="5">
        <v>450</v>
      </c>
      <c r="BD492" s="5">
        <v>138.0241935483871</v>
      </c>
    </row>
    <row r="493" spans="52:56" x14ac:dyDescent="0.25">
      <c r="AZ493" s="5">
        <v>490</v>
      </c>
      <c r="BA493" s="5">
        <v>0.64</v>
      </c>
      <c r="BB493" s="5">
        <v>1</v>
      </c>
      <c r="BC493" s="5">
        <v>451</v>
      </c>
      <c r="BD493" s="5">
        <v>138.30645161290323</v>
      </c>
    </row>
    <row r="494" spans="52:56" x14ac:dyDescent="0.25">
      <c r="AZ494" s="5">
        <v>491</v>
      </c>
      <c r="BA494" s="5">
        <v>0.64</v>
      </c>
      <c r="BB494" s="5">
        <v>1</v>
      </c>
      <c r="BC494" s="5">
        <v>452</v>
      </c>
      <c r="BD494" s="5">
        <v>138.58870967741936</v>
      </c>
    </row>
    <row r="495" spans="52:56" x14ac:dyDescent="0.25">
      <c r="AZ495" s="5">
        <v>492</v>
      </c>
      <c r="BA495" s="5">
        <v>0.64</v>
      </c>
      <c r="BB495" s="5">
        <v>0</v>
      </c>
      <c r="BC495" s="5">
        <v>452</v>
      </c>
      <c r="BD495" s="5">
        <v>138.87096774193549</v>
      </c>
    </row>
    <row r="496" spans="52:56" x14ac:dyDescent="0.25">
      <c r="AZ496" s="5">
        <v>493</v>
      </c>
      <c r="BA496" s="5">
        <v>0.5625</v>
      </c>
      <c r="BB496" s="5">
        <v>1</v>
      </c>
      <c r="BC496" s="5">
        <v>453</v>
      </c>
      <c r="BD496" s="5">
        <v>139.15322580645162</v>
      </c>
    </row>
    <row r="497" spans="52:56" x14ac:dyDescent="0.25">
      <c r="AZ497" s="5">
        <v>494</v>
      </c>
      <c r="BA497" s="5">
        <v>0.5625</v>
      </c>
      <c r="BB497" s="5">
        <v>1</v>
      </c>
      <c r="BC497" s="5">
        <v>454</v>
      </c>
      <c r="BD497" s="5">
        <v>139.43548387096774</v>
      </c>
    </row>
    <row r="498" spans="52:56" x14ac:dyDescent="0.25">
      <c r="AZ498" s="5">
        <v>495</v>
      </c>
      <c r="BA498" s="5">
        <v>0.5625</v>
      </c>
      <c r="BB498" s="5">
        <v>1</v>
      </c>
      <c r="BC498" s="5">
        <v>455</v>
      </c>
      <c r="BD498" s="5">
        <v>139.71774193548387</v>
      </c>
    </row>
    <row r="499" spans="52:56" x14ac:dyDescent="0.25">
      <c r="AZ499" s="5">
        <v>496</v>
      </c>
      <c r="BA499" s="5">
        <v>0.5625</v>
      </c>
      <c r="BB499" s="5">
        <v>0</v>
      </c>
      <c r="BC499" s="5">
        <v>455</v>
      </c>
      <c r="BD499" s="5">
        <v>140</v>
      </c>
    </row>
    <row r="500" spans="52:56" x14ac:dyDescent="0.25">
      <c r="AZ500" s="5">
        <v>497</v>
      </c>
      <c r="BA500" s="5">
        <v>0.5625</v>
      </c>
      <c r="BB500" s="5">
        <v>1</v>
      </c>
      <c r="BC500" s="5">
        <v>456</v>
      </c>
      <c r="BD500" s="5">
        <v>140.28225806451616</v>
      </c>
    </row>
    <row r="501" spans="52:56" x14ac:dyDescent="0.25">
      <c r="AZ501" s="5">
        <v>498</v>
      </c>
      <c r="BA501" s="5">
        <v>0.5625</v>
      </c>
      <c r="BB501" s="5">
        <v>1</v>
      </c>
      <c r="BC501" s="5">
        <v>457</v>
      </c>
      <c r="BD501" s="5">
        <v>140.56451612903228</v>
      </c>
    </row>
    <row r="502" spans="52:56" x14ac:dyDescent="0.25">
      <c r="AZ502" s="5">
        <v>499</v>
      </c>
      <c r="BA502" s="5">
        <v>0.5625</v>
      </c>
      <c r="BB502" s="5">
        <v>1</v>
      </c>
      <c r="BC502" s="5">
        <v>458</v>
      </c>
      <c r="BD502" s="5">
        <v>140.84677419354841</v>
      </c>
    </row>
    <row r="503" spans="52:56" x14ac:dyDescent="0.25">
      <c r="AZ503" s="5">
        <v>500</v>
      </c>
      <c r="BA503" s="5">
        <v>0.5625</v>
      </c>
      <c r="BB503" s="5">
        <v>1</v>
      </c>
      <c r="BC503" s="5">
        <v>459</v>
      </c>
      <c r="BD503" s="5">
        <v>141.12903225806454</v>
      </c>
    </row>
    <row r="504" spans="52:56" x14ac:dyDescent="0.25">
      <c r="AZ504" s="5">
        <v>501</v>
      </c>
      <c r="BA504" s="5">
        <v>0.5625</v>
      </c>
      <c r="BB504" s="5">
        <v>0</v>
      </c>
      <c r="BC504" s="5">
        <v>459</v>
      </c>
      <c r="BD504" s="5">
        <v>141.41129032258067</v>
      </c>
    </row>
    <row r="505" spans="52:56" x14ac:dyDescent="0.25">
      <c r="AZ505" s="5">
        <v>502</v>
      </c>
      <c r="BA505" s="5">
        <v>0.5625</v>
      </c>
      <c r="BB505" s="5">
        <v>0</v>
      </c>
      <c r="BC505" s="5">
        <v>459</v>
      </c>
      <c r="BD505" s="5">
        <v>141.6935483870968</v>
      </c>
    </row>
    <row r="506" spans="52:56" x14ac:dyDescent="0.25">
      <c r="AZ506" s="5">
        <v>503</v>
      </c>
      <c r="BA506" s="5">
        <v>0.5625</v>
      </c>
      <c r="BB506" s="5">
        <v>1</v>
      </c>
      <c r="BC506" s="5">
        <v>460</v>
      </c>
      <c r="BD506" s="5">
        <v>141.97580645161293</v>
      </c>
    </row>
    <row r="507" spans="52:56" x14ac:dyDescent="0.25">
      <c r="AZ507" s="5">
        <v>504</v>
      </c>
      <c r="BA507" s="5">
        <v>0.5625</v>
      </c>
      <c r="BB507" s="5">
        <v>0</v>
      </c>
      <c r="BC507" s="5">
        <v>460</v>
      </c>
      <c r="BD507" s="5">
        <v>142.25806451612905</v>
      </c>
    </row>
    <row r="508" spans="52:56" x14ac:dyDescent="0.25">
      <c r="AZ508" s="5">
        <v>505</v>
      </c>
      <c r="BA508" s="5">
        <v>0.5625</v>
      </c>
      <c r="BB508" s="5">
        <v>0</v>
      </c>
      <c r="BC508" s="5">
        <v>460</v>
      </c>
      <c r="BD508" s="5">
        <v>142.54032258064518</v>
      </c>
    </row>
    <row r="509" spans="52:56" x14ac:dyDescent="0.25">
      <c r="AZ509" s="5">
        <v>506</v>
      </c>
      <c r="BA509" s="5">
        <v>0.5625</v>
      </c>
      <c r="BB509" s="5">
        <v>1</v>
      </c>
      <c r="BC509" s="5">
        <v>461</v>
      </c>
      <c r="BD509" s="5">
        <v>142.82258064516131</v>
      </c>
    </row>
    <row r="510" spans="52:56" x14ac:dyDescent="0.25">
      <c r="AZ510" s="5">
        <v>507</v>
      </c>
      <c r="BA510" s="5">
        <v>0.5625</v>
      </c>
      <c r="BB510" s="5">
        <v>0</v>
      </c>
      <c r="BC510" s="5">
        <v>461</v>
      </c>
      <c r="BD510" s="5">
        <v>143.10483870967744</v>
      </c>
    </row>
    <row r="511" spans="52:56" x14ac:dyDescent="0.25">
      <c r="AZ511" s="5">
        <v>508</v>
      </c>
      <c r="BA511" s="5">
        <v>0.5625</v>
      </c>
      <c r="BB511" s="5">
        <v>0</v>
      </c>
      <c r="BC511" s="5">
        <v>461</v>
      </c>
      <c r="BD511" s="5">
        <v>143.38709677419357</v>
      </c>
    </row>
    <row r="512" spans="52:56" x14ac:dyDescent="0.25">
      <c r="AZ512" s="5">
        <v>509</v>
      </c>
      <c r="BA512" s="5">
        <v>0.52941176470588236</v>
      </c>
      <c r="BB512" s="5">
        <v>1</v>
      </c>
      <c r="BC512" s="5">
        <v>462</v>
      </c>
      <c r="BD512" s="5">
        <v>143.66935483870969</v>
      </c>
    </row>
    <row r="513" spans="52:56" x14ac:dyDescent="0.25">
      <c r="AZ513" s="5">
        <v>510</v>
      </c>
      <c r="BA513" s="5">
        <v>0.52941176470588236</v>
      </c>
      <c r="BB513" s="5">
        <v>0</v>
      </c>
      <c r="BC513" s="5">
        <v>462</v>
      </c>
      <c r="BD513" s="5">
        <v>143.95161290322582</v>
      </c>
    </row>
    <row r="514" spans="52:56" x14ac:dyDescent="0.25">
      <c r="AZ514" s="5">
        <v>511</v>
      </c>
      <c r="BA514" s="5">
        <v>0.52941176470588236</v>
      </c>
      <c r="BB514" s="5">
        <v>0</v>
      </c>
      <c r="BC514" s="5">
        <v>462</v>
      </c>
      <c r="BD514" s="5">
        <v>144.23387096774195</v>
      </c>
    </row>
    <row r="515" spans="52:56" x14ac:dyDescent="0.25">
      <c r="AZ515" s="5">
        <v>512</v>
      </c>
      <c r="BA515" s="5">
        <v>0.52941176470588236</v>
      </c>
      <c r="BB515" s="5">
        <v>1</v>
      </c>
      <c r="BC515" s="5">
        <v>463</v>
      </c>
      <c r="BD515" s="5">
        <v>144.51612903225808</v>
      </c>
    </row>
    <row r="516" spans="52:56" x14ac:dyDescent="0.25">
      <c r="AZ516" s="5">
        <v>513</v>
      </c>
      <c r="BA516" s="5">
        <v>0.52941176470588236</v>
      </c>
      <c r="BB516" s="5">
        <v>1</v>
      </c>
      <c r="BC516" s="5">
        <v>464</v>
      </c>
      <c r="BD516" s="5">
        <v>144.79838709677421</v>
      </c>
    </row>
    <row r="517" spans="52:56" x14ac:dyDescent="0.25">
      <c r="AZ517" s="5">
        <v>514</v>
      </c>
      <c r="BA517" s="5">
        <v>0.52941176470588236</v>
      </c>
      <c r="BB517" s="5">
        <v>1</v>
      </c>
      <c r="BC517" s="5">
        <v>465</v>
      </c>
      <c r="BD517" s="5">
        <v>145.08064516129033</v>
      </c>
    </row>
    <row r="518" spans="52:56" x14ac:dyDescent="0.25">
      <c r="AZ518" s="5">
        <v>515</v>
      </c>
      <c r="BA518" s="5">
        <v>0.52941176470588236</v>
      </c>
      <c r="BB518" s="5">
        <v>0</v>
      </c>
      <c r="BC518" s="5">
        <v>465</v>
      </c>
      <c r="BD518" s="5">
        <v>145.36290322580646</v>
      </c>
    </row>
    <row r="519" spans="52:56" x14ac:dyDescent="0.25">
      <c r="AZ519" s="5">
        <v>516</v>
      </c>
      <c r="BA519" s="5">
        <v>0.52941176470588236</v>
      </c>
      <c r="BB519" s="5">
        <v>0</v>
      </c>
      <c r="BC519" s="5">
        <v>465</v>
      </c>
      <c r="BD519" s="5">
        <v>145.64516129032259</v>
      </c>
    </row>
    <row r="520" spans="52:56" x14ac:dyDescent="0.25">
      <c r="AZ520" s="5">
        <v>517</v>
      </c>
      <c r="BA520" s="5">
        <v>0.52941176470588236</v>
      </c>
      <c r="BB520" s="5">
        <v>0</v>
      </c>
      <c r="BC520" s="5">
        <v>465</v>
      </c>
      <c r="BD520" s="5">
        <v>145.92741935483872</v>
      </c>
    </row>
    <row r="521" spans="52:56" x14ac:dyDescent="0.25">
      <c r="AZ521" s="5">
        <v>518</v>
      </c>
      <c r="BA521" s="5">
        <v>0.52941176470588236</v>
      </c>
      <c r="BB521" s="5">
        <v>1</v>
      </c>
      <c r="BC521" s="5">
        <v>466</v>
      </c>
      <c r="BD521" s="5">
        <v>146.20967741935485</v>
      </c>
    </row>
    <row r="522" spans="52:56" x14ac:dyDescent="0.25">
      <c r="AZ522" s="5">
        <v>519</v>
      </c>
      <c r="BA522" s="5">
        <v>0.52941176470588236</v>
      </c>
      <c r="BB522" s="5">
        <v>1</v>
      </c>
      <c r="BC522" s="5">
        <v>467</v>
      </c>
      <c r="BD522" s="5">
        <v>146.49193548387098</v>
      </c>
    </row>
    <row r="523" spans="52:56" x14ac:dyDescent="0.25">
      <c r="AZ523" s="5">
        <v>520</v>
      </c>
      <c r="BA523" s="5">
        <v>0.52941176470588236</v>
      </c>
      <c r="BB523" s="5">
        <v>1</v>
      </c>
      <c r="BC523" s="5">
        <v>468</v>
      </c>
      <c r="BD523" s="5">
        <v>146.7741935483871</v>
      </c>
    </row>
    <row r="524" spans="52:56" x14ac:dyDescent="0.25">
      <c r="AZ524" s="5">
        <v>521</v>
      </c>
      <c r="BA524" s="5">
        <v>0.52941176470588236</v>
      </c>
      <c r="BB524" s="5">
        <v>1</v>
      </c>
      <c r="BC524" s="5">
        <v>469</v>
      </c>
      <c r="BD524" s="5">
        <v>147.05645161290323</v>
      </c>
    </row>
    <row r="525" spans="52:56" x14ac:dyDescent="0.25">
      <c r="AZ525" s="5">
        <v>522</v>
      </c>
      <c r="BA525" s="5">
        <v>0.52941176470588236</v>
      </c>
      <c r="BB525" s="5">
        <v>0</v>
      </c>
      <c r="BC525" s="5">
        <v>469</v>
      </c>
      <c r="BD525" s="5">
        <v>147.33870967741936</v>
      </c>
    </row>
    <row r="526" spans="52:56" x14ac:dyDescent="0.25">
      <c r="AZ526" s="5">
        <v>523</v>
      </c>
      <c r="BA526" s="5">
        <v>0.52941176470588236</v>
      </c>
      <c r="BB526" s="5">
        <v>1</v>
      </c>
      <c r="BC526" s="5">
        <v>470</v>
      </c>
      <c r="BD526" s="5">
        <v>147.62096774193549</v>
      </c>
    </row>
    <row r="527" spans="52:56" x14ac:dyDescent="0.25">
      <c r="AZ527" s="5">
        <v>524</v>
      </c>
      <c r="BA527" s="5">
        <v>0.52941176470588236</v>
      </c>
      <c r="BB527" s="5">
        <v>0</v>
      </c>
      <c r="BC527" s="5">
        <v>470</v>
      </c>
      <c r="BD527" s="5">
        <v>147.90322580645162</v>
      </c>
    </row>
    <row r="528" spans="52:56" x14ac:dyDescent="0.25">
      <c r="AZ528" s="5">
        <v>525</v>
      </c>
      <c r="BA528" s="5">
        <v>0.52941176470588236</v>
      </c>
      <c r="BB528" s="5">
        <v>0</v>
      </c>
      <c r="BC528" s="5">
        <v>470</v>
      </c>
      <c r="BD528" s="5">
        <v>148.18548387096774</v>
      </c>
    </row>
    <row r="529" spans="52:56" x14ac:dyDescent="0.25">
      <c r="AZ529" s="5">
        <v>526</v>
      </c>
      <c r="BA529" s="5">
        <v>0.5</v>
      </c>
      <c r="BB529" s="5">
        <v>1</v>
      </c>
      <c r="BC529" s="5">
        <v>471</v>
      </c>
      <c r="BD529" s="5">
        <v>148.46774193548387</v>
      </c>
    </row>
    <row r="530" spans="52:56" x14ac:dyDescent="0.25">
      <c r="AZ530" s="5">
        <v>527</v>
      </c>
      <c r="BA530" s="5">
        <v>0.5</v>
      </c>
      <c r="BB530" s="5">
        <v>0</v>
      </c>
      <c r="BC530" s="5">
        <v>471</v>
      </c>
      <c r="BD530" s="5">
        <v>148.75</v>
      </c>
    </row>
    <row r="531" spans="52:56" x14ac:dyDescent="0.25">
      <c r="AZ531" s="5">
        <v>528</v>
      </c>
      <c r="BA531" s="5">
        <v>0.5</v>
      </c>
      <c r="BB531" s="5">
        <v>1</v>
      </c>
      <c r="BC531" s="5">
        <v>472</v>
      </c>
      <c r="BD531" s="5">
        <v>149.03225806451616</v>
      </c>
    </row>
    <row r="532" spans="52:56" x14ac:dyDescent="0.25">
      <c r="AZ532" s="5">
        <v>529</v>
      </c>
      <c r="BA532" s="5">
        <v>0.5</v>
      </c>
      <c r="BB532" s="5">
        <v>0</v>
      </c>
      <c r="BC532" s="5">
        <v>472</v>
      </c>
      <c r="BD532" s="5">
        <v>149.31451612903228</v>
      </c>
    </row>
    <row r="533" spans="52:56" x14ac:dyDescent="0.25">
      <c r="AZ533" s="5">
        <v>530</v>
      </c>
      <c r="BA533" s="5">
        <v>0.44444444444444448</v>
      </c>
      <c r="BB533" s="5">
        <v>1</v>
      </c>
      <c r="BC533" s="5">
        <v>473</v>
      </c>
      <c r="BD533" s="5">
        <v>149.59677419354841</v>
      </c>
    </row>
    <row r="534" spans="52:56" x14ac:dyDescent="0.25">
      <c r="AZ534" s="5">
        <v>531</v>
      </c>
      <c r="BA534" s="5">
        <v>0.44444444444444448</v>
      </c>
      <c r="BB534" s="5">
        <v>0</v>
      </c>
      <c r="BC534" s="5">
        <v>473</v>
      </c>
      <c r="BD534" s="5">
        <v>149.87903225806454</v>
      </c>
    </row>
    <row r="535" spans="52:56" x14ac:dyDescent="0.25">
      <c r="AZ535" s="5">
        <v>532</v>
      </c>
      <c r="BA535" s="5">
        <v>0.44444444444444448</v>
      </c>
      <c r="BB535" s="5">
        <v>0</v>
      </c>
      <c r="BC535" s="5">
        <v>473</v>
      </c>
      <c r="BD535" s="5">
        <v>150.16129032258067</v>
      </c>
    </row>
    <row r="536" spans="52:56" x14ac:dyDescent="0.25">
      <c r="AZ536" s="5">
        <v>533</v>
      </c>
      <c r="BA536" s="5">
        <v>0.44444444444444448</v>
      </c>
      <c r="BB536" s="5">
        <v>0</v>
      </c>
      <c r="BC536" s="5">
        <v>473</v>
      </c>
      <c r="BD536" s="5">
        <v>150.4435483870968</v>
      </c>
    </row>
    <row r="537" spans="52:56" x14ac:dyDescent="0.25">
      <c r="AZ537" s="5">
        <v>534</v>
      </c>
      <c r="BA537" s="5">
        <v>0.44444444444444448</v>
      </c>
      <c r="BB537" s="5">
        <v>0</v>
      </c>
      <c r="BC537" s="5">
        <v>473</v>
      </c>
      <c r="BD537" s="5">
        <v>150.72580645161293</v>
      </c>
    </row>
    <row r="538" spans="52:56" x14ac:dyDescent="0.25">
      <c r="AZ538" s="5">
        <v>535</v>
      </c>
      <c r="BA538" s="5">
        <v>0.44444444444444448</v>
      </c>
      <c r="BB538" s="5">
        <v>0</v>
      </c>
      <c r="BC538" s="5">
        <v>473</v>
      </c>
      <c r="BD538" s="5">
        <v>151.00806451612905</v>
      </c>
    </row>
    <row r="539" spans="52:56" x14ac:dyDescent="0.25">
      <c r="AZ539" s="5">
        <v>536</v>
      </c>
      <c r="BA539" s="5">
        <v>0.44444444444444448</v>
      </c>
      <c r="BB539" s="5">
        <v>1</v>
      </c>
      <c r="BC539" s="5">
        <v>474</v>
      </c>
      <c r="BD539" s="5">
        <v>151.29032258064518</v>
      </c>
    </row>
    <row r="540" spans="52:56" x14ac:dyDescent="0.25">
      <c r="AZ540" s="5">
        <v>537</v>
      </c>
      <c r="BA540" s="5">
        <v>0.44444444444444448</v>
      </c>
      <c r="BB540" s="5">
        <v>0</v>
      </c>
      <c r="BC540" s="5">
        <v>474</v>
      </c>
      <c r="BD540" s="5">
        <v>151.57258064516131</v>
      </c>
    </row>
    <row r="541" spans="52:56" x14ac:dyDescent="0.25">
      <c r="AZ541" s="5">
        <v>538</v>
      </c>
      <c r="BA541" s="5">
        <v>0.44444444444444448</v>
      </c>
      <c r="BB541" s="5">
        <v>0</v>
      </c>
      <c r="BC541" s="5">
        <v>474</v>
      </c>
      <c r="BD541" s="5">
        <v>151.85483870967744</v>
      </c>
    </row>
    <row r="542" spans="52:56" x14ac:dyDescent="0.25">
      <c r="AZ542" s="5">
        <v>539</v>
      </c>
      <c r="BA542" s="5">
        <v>0.44444444444444448</v>
      </c>
      <c r="BB542" s="5">
        <v>0</v>
      </c>
      <c r="BC542" s="5">
        <v>474</v>
      </c>
      <c r="BD542" s="5">
        <v>152.13709677419357</v>
      </c>
    </row>
    <row r="543" spans="52:56" x14ac:dyDescent="0.25">
      <c r="AZ543" s="5">
        <v>540</v>
      </c>
      <c r="BA543" s="5">
        <v>0.44444444444444448</v>
      </c>
      <c r="BB543" s="5">
        <v>0</v>
      </c>
      <c r="BC543" s="5">
        <v>474</v>
      </c>
      <c r="BD543" s="5">
        <v>152.41935483870969</v>
      </c>
    </row>
    <row r="544" spans="52:56" x14ac:dyDescent="0.25">
      <c r="AZ544" s="5">
        <v>541</v>
      </c>
      <c r="BA544" s="5">
        <v>0.44444444444444448</v>
      </c>
      <c r="BB544" s="5">
        <v>0</v>
      </c>
      <c r="BC544" s="5">
        <v>474</v>
      </c>
      <c r="BD544" s="5">
        <v>152.70161290322582</v>
      </c>
    </row>
    <row r="545" spans="52:56" x14ac:dyDescent="0.25">
      <c r="AZ545" s="5">
        <v>542</v>
      </c>
      <c r="BA545" s="5">
        <v>0.44444444444444448</v>
      </c>
      <c r="BB545" s="5">
        <v>0</v>
      </c>
      <c r="BC545" s="5">
        <v>474</v>
      </c>
      <c r="BD545" s="5">
        <v>152.98387096774195</v>
      </c>
    </row>
    <row r="546" spans="52:56" x14ac:dyDescent="0.25">
      <c r="AZ546" s="5">
        <v>543</v>
      </c>
      <c r="BA546" s="5">
        <v>0.44444444444444448</v>
      </c>
      <c r="BB546" s="5">
        <v>1</v>
      </c>
      <c r="BC546" s="5">
        <v>475</v>
      </c>
      <c r="BD546" s="5">
        <v>153.26612903225808</v>
      </c>
    </row>
    <row r="547" spans="52:56" x14ac:dyDescent="0.25">
      <c r="AZ547" s="5">
        <v>544</v>
      </c>
      <c r="BA547" s="5">
        <v>0.44444444444444448</v>
      </c>
      <c r="BB547" s="5">
        <v>1</v>
      </c>
      <c r="BC547" s="5">
        <v>476</v>
      </c>
      <c r="BD547" s="5">
        <v>153.54838709677421</v>
      </c>
    </row>
    <row r="548" spans="52:56" x14ac:dyDescent="0.25">
      <c r="AZ548" s="5">
        <v>545</v>
      </c>
      <c r="BA548" s="5">
        <v>0.44444444444444448</v>
      </c>
      <c r="BB548" s="5">
        <v>1</v>
      </c>
      <c r="BC548" s="5">
        <v>477</v>
      </c>
      <c r="BD548" s="5">
        <v>153.83064516129033</v>
      </c>
    </row>
    <row r="549" spans="52:56" x14ac:dyDescent="0.25">
      <c r="AZ549" s="5">
        <v>546</v>
      </c>
      <c r="BA549" s="5">
        <v>0.44444444444444448</v>
      </c>
      <c r="BB549" s="5">
        <v>1</v>
      </c>
      <c r="BC549" s="5">
        <v>478</v>
      </c>
      <c r="BD549" s="5">
        <v>154.11290322580646</v>
      </c>
    </row>
    <row r="550" spans="52:56" x14ac:dyDescent="0.25">
      <c r="AZ550" s="5">
        <v>547</v>
      </c>
      <c r="BA550" s="5">
        <v>0.44444444444444448</v>
      </c>
      <c r="BB550" s="5">
        <v>1</v>
      </c>
      <c r="BC550" s="5">
        <v>479</v>
      </c>
      <c r="BD550" s="5">
        <v>154.39516129032259</v>
      </c>
    </row>
    <row r="551" spans="52:56" x14ac:dyDescent="0.25">
      <c r="AZ551" s="5">
        <v>548</v>
      </c>
      <c r="BA551" s="5">
        <v>0.44444444444444448</v>
      </c>
      <c r="BB551" s="5">
        <v>1</v>
      </c>
      <c r="BC551" s="5">
        <v>480</v>
      </c>
      <c r="BD551" s="5">
        <v>154.67741935483872</v>
      </c>
    </row>
    <row r="552" spans="52:56" x14ac:dyDescent="0.25">
      <c r="AZ552" s="5">
        <v>549</v>
      </c>
      <c r="BA552" s="5">
        <v>0.44444444444444448</v>
      </c>
      <c r="BB552" s="5">
        <v>1</v>
      </c>
      <c r="BC552" s="5">
        <v>481</v>
      </c>
      <c r="BD552" s="5">
        <v>154.95967741935485</v>
      </c>
    </row>
    <row r="553" spans="52:56" x14ac:dyDescent="0.25">
      <c r="AZ553" s="5">
        <v>550</v>
      </c>
      <c r="BA553" s="5">
        <v>0.44444444444444448</v>
      </c>
      <c r="BB553" s="5">
        <v>1</v>
      </c>
      <c r="BC553" s="5">
        <v>482</v>
      </c>
      <c r="BD553" s="5">
        <v>155.24193548387098</v>
      </c>
    </row>
    <row r="554" spans="52:56" x14ac:dyDescent="0.25">
      <c r="AZ554" s="5">
        <v>551</v>
      </c>
      <c r="BA554" s="5">
        <v>0.44444444444444448</v>
      </c>
      <c r="BB554" s="5">
        <v>1</v>
      </c>
      <c r="BC554" s="5">
        <v>483</v>
      </c>
      <c r="BD554" s="5">
        <v>155.5241935483871</v>
      </c>
    </row>
    <row r="555" spans="52:56" x14ac:dyDescent="0.25">
      <c r="AZ555" s="5">
        <v>552</v>
      </c>
      <c r="BA555" s="5">
        <v>0.44444444444444448</v>
      </c>
      <c r="BB555" s="5">
        <v>1</v>
      </c>
      <c r="BC555" s="5">
        <v>484</v>
      </c>
      <c r="BD555" s="5">
        <v>155.80645161290323</v>
      </c>
    </row>
    <row r="556" spans="52:56" x14ac:dyDescent="0.25">
      <c r="AZ556" s="5">
        <v>553</v>
      </c>
      <c r="BA556" s="5">
        <v>0.44444444444444448</v>
      </c>
      <c r="BB556" s="5">
        <v>0</v>
      </c>
      <c r="BC556" s="5">
        <v>484</v>
      </c>
      <c r="BD556" s="5">
        <v>156.08870967741936</v>
      </c>
    </row>
    <row r="557" spans="52:56" x14ac:dyDescent="0.25">
      <c r="AZ557" s="5">
        <v>554</v>
      </c>
      <c r="BA557" s="5">
        <v>0.44444444444444448</v>
      </c>
      <c r="BB557" s="5">
        <v>0</v>
      </c>
      <c r="BC557" s="5">
        <v>484</v>
      </c>
      <c r="BD557" s="5">
        <v>156.37096774193549</v>
      </c>
    </row>
    <row r="558" spans="52:56" x14ac:dyDescent="0.25">
      <c r="AZ558" s="5">
        <v>555</v>
      </c>
      <c r="BA558" s="5">
        <v>0.44444444444444448</v>
      </c>
      <c r="BB558" s="5">
        <v>0</v>
      </c>
      <c r="BC558" s="5">
        <v>484</v>
      </c>
      <c r="BD558" s="5">
        <v>156.65322580645162</v>
      </c>
    </row>
    <row r="559" spans="52:56" x14ac:dyDescent="0.25">
      <c r="AZ559" s="5">
        <v>556</v>
      </c>
      <c r="BA559" s="5">
        <v>0.44444444444444448</v>
      </c>
      <c r="BB559" s="5">
        <v>0</v>
      </c>
      <c r="BC559" s="5">
        <v>484</v>
      </c>
      <c r="BD559" s="5">
        <v>156.93548387096774</v>
      </c>
    </row>
    <row r="560" spans="52:56" x14ac:dyDescent="0.25">
      <c r="AZ560" s="5">
        <v>557</v>
      </c>
      <c r="BA560" s="5">
        <v>0.43750000000000006</v>
      </c>
      <c r="BB560" s="5">
        <v>0</v>
      </c>
      <c r="BC560" s="5">
        <v>484</v>
      </c>
      <c r="BD560" s="5">
        <v>157.21774193548387</v>
      </c>
    </row>
    <row r="561" spans="52:56" x14ac:dyDescent="0.25">
      <c r="AZ561" s="5">
        <v>558</v>
      </c>
      <c r="BA561" s="5">
        <v>0.43750000000000006</v>
      </c>
      <c r="BB561" s="5">
        <v>0</v>
      </c>
      <c r="BC561" s="5">
        <v>484</v>
      </c>
      <c r="BD561" s="5">
        <v>157.50000000000003</v>
      </c>
    </row>
    <row r="562" spans="52:56" x14ac:dyDescent="0.25">
      <c r="AZ562" s="6">
        <v>559</v>
      </c>
      <c r="BA562" s="6">
        <v>0.43750000000000006</v>
      </c>
      <c r="BB562" s="6">
        <v>0</v>
      </c>
      <c r="BC562" s="6">
        <v>484</v>
      </c>
      <c r="BD562" s="6">
        <v>157.78225806451616</v>
      </c>
    </row>
    <row r="563" spans="52:56" x14ac:dyDescent="0.25">
      <c r="AZ563" s="6">
        <v>560</v>
      </c>
      <c r="BA563" s="6">
        <v>0.43750000000000006</v>
      </c>
      <c r="BB563" s="6">
        <v>0</v>
      </c>
      <c r="BC563" s="6">
        <v>484</v>
      </c>
      <c r="BD563" s="6">
        <v>158.06451612903228</v>
      </c>
    </row>
    <row r="564" spans="52:56" x14ac:dyDescent="0.25">
      <c r="AZ564" s="6">
        <v>561</v>
      </c>
      <c r="BA564" s="6">
        <v>0.43750000000000006</v>
      </c>
      <c r="BB564" s="6">
        <v>1</v>
      </c>
      <c r="BC564" s="6">
        <v>485</v>
      </c>
      <c r="BD564" s="6">
        <v>158.34677419354841</v>
      </c>
    </row>
    <row r="565" spans="52:56" x14ac:dyDescent="0.25">
      <c r="AZ565" s="6">
        <v>562</v>
      </c>
      <c r="BA565" s="6">
        <v>0.43750000000000006</v>
      </c>
      <c r="BB565" s="6">
        <v>1</v>
      </c>
      <c r="BC565" s="6">
        <v>486</v>
      </c>
      <c r="BD565" s="6">
        <v>158.62903225806454</v>
      </c>
    </row>
    <row r="566" spans="52:56" x14ac:dyDescent="0.25">
      <c r="AZ566" s="6">
        <v>563</v>
      </c>
      <c r="BA566" s="6">
        <v>0.43750000000000006</v>
      </c>
      <c r="BB566" s="6">
        <v>0</v>
      </c>
      <c r="BC566" s="6">
        <v>486</v>
      </c>
      <c r="BD566" s="6">
        <v>158.91129032258067</v>
      </c>
    </row>
    <row r="567" spans="52:56" x14ac:dyDescent="0.25">
      <c r="AZ567" s="6">
        <v>564</v>
      </c>
      <c r="BA567" s="6">
        <v>0.43750000000000006</v>
      </c>
      <c r="BB567" s="6">
        <v>1</v>
      </c>
      <c r="BC567" s="6">
        <v>487</v>
      </c>
      <c r="BD567" s="6">
        <v>159.1935483870968</v>
      </c>
    </row>
    <row r="568" spans="52:56" x14ac:dyDescent="0.25">
      <c r="AZ568" s="6">
        <v>565</v>
      </c>
      <c r="BA568" s="6">
        <v>0.43750000000000006</v>
      </c>
      <c r="BB568" s="6">
        <v>1</v>
      </c>
      <c r="BC568" s="6">
        <v>488</v>
      </c>
      <c r="BD568" s="6">
        <v>159.47580645161293</v>
      </c>
    </row>
    <row r="569" spans="52:56" x14ac:dyDescent="0.25">
      <c r="AZ569" s="6">
        <v>566</v>
      </c>
      <c r="BA569" s="6">
        <v>0.43750000000000006</v>
      </c>
      <c r="BB569" s="6">
        <v>1</v>
      </c>
      <c r="BC569" s="6">
        <v>489</v>
      </c>
      <c r="BD569" s="6">
        <v>159.75806451612905</v>
      </c>
    </row>
    <row r="570" spans="52:56" x14ac:dyDescent="0.25">
      <c r="AZ570" s="6">
        <v>567</v>
      </c>
      <c r="BA570" s="6">
        <v>0.43750000000000006</v>
      </c>
      <c r="BB570" s="6">
        <v>0</v>
      </c>
      <c r="BC570" s="6">
        <v>489</v>
      </c>
      <c r="BD570" s="6">
        <v>160.04032258064518</v>
      </c>
    </row>
    <row r="571" spans="52:56" x14ac:dyDescent="0.25">
      <c r="AZ571" s="6">
        <v>568</v>
      </c>
      <c r="BA571" s="6">
        <v>0.43750000000000006</v>
      </c>
      <c r="BB571" s="6">
        <v>1</v>
      </c>
      <c r="BC571" s="6">
        <v>490</v>
      </c>
      <c r="BD571" s="6">
        <v>160.32258064516131</v>
      </c>
    </row>
    <row r="572" spans="52:56" x14ac:dyDescent="0.25">
      <c r="AZ572" s="6">
        <v>569</v>
      </c>
      <c r="BA572" s="6">
        <v>0.43750000000000006</v>
      </c>
      <c r="BB572" s="6">
        <v>1</v>
      </c>
      <c r="BC572" s="6">
        <v>491</v>
      </c>
      <c r="BD572" s="6">
        <v>160.60483870967744</v>
      </c>
    </row>
    <row r="573" spans="52:56" x14ac:dyDescent="0.25">
      <c r="AZ573" s="6">
        <v>570</v>
      </c>
      <c r="BA573" s="6">
        <v>0.43750000000000006</v>
      </c>
      <c r="BB573" s="6">
        <v>0</v>
      </c>
      <c r="BC573" s="6">
        <v>491</v>
      </c>
      <c r="BD573" s="6">
        <v>160.88709677419357</v>
      </c>
    </row>
    <row r="574" spans="52:56" x14ac:dyDescent="0.25">
      <c r="AZ574" s="6">
        <v>571</v>
      </c>
      <c r="BA574" s="6">
        <v>0.43750000000000006</v>
      </c>
      <c r="BB574" s="6">
        <v>0</v>
      </c>
      <c r="BC574" s="6">
        <v>491</v>
      </c>
      <c r="BD574" s="6">
        <v>161.16935483870969</v>
      </c>
    </row>
    <row r="575" spans="52:56" x14ac:dyDescent="0.25">
      <c r="AZ575" s="6">
        <v>572</v>
      </c>
      <c r="BA575" s="6">
        <v>0.43750000000000006</v>
      </c>
      <c r="BB575" s="6">
        <v>0</v>
      </c>
      <c r="BC575" s="6">
        <v>491</v>
      </c>
      <c r="BD575" s="6">
        <v>161.45161290322582</v>
      </c>
    </row>
    <row r="576" spans="52:56" x14ac:dyDescent="0.25">
      <c r="AZ576" s="6">
        <v>573</v>
      </c>
      <c r="BA576" s="6">
        <v>0.39999999999999997</v>
      </c>
      <c r="BB576" s="6">
        <v>1</v>
      </c>
      <c r="BC576" s="6">
        <v>492</v>
      </c>
      <c r="BD576" s="6">
        <v>161.73387096774195</v>
      </c>
    </row>
    <row r="577" spans="52:56" x14ac:dyDescent="0.25">
      <c r="AZ577" s="6">
        <v>574</v>
      </c>
      <c r="BA577" s="6">
        <v>0.39999999999999997</v>
      </c>
      <c r="BB577" s="6">
        <v>0</v>
      </c>
      <c r="BC577" s="6">
        <v>492</v>
      </c>
      <c r="BD577" s="6">
        <v>162.01612903225808</v>
      </c>
    </row>
    <row r="578" spans="52:56" x14ac:dyDescent="0.25">
      <c r="AZ578" s="6">
        <v>575</v>
      </c>
      <c r="BA578" s="6">
        <v>0.39999999999999997</v>
      </c>
      <c r="BB578" s="6">
        <v>1</v>
      </c>
      <c r="BC578" s="6">
        <v>493</v>
      </c>
      <c r="BD578" s="6">
        <v>162.29838709677421</v>
      </c>
    </row>
    <row r="579" spans="52:56" x14ac:dyDescent="0.25">
      <c r="AZ579" s="6">
        <v>576</v>
      </c>
      <c r="BA579" s="6">
        <v>0.39999999999999997</v>
      </c>
      <c r="BB579" s="6">
        <v>1</v>
      </c>
      <c r="BC579" s="6">
        <v>494</v>
      </c>
      <c r="BD579" s="6">
        <v>162.58064516129033</v>
      </c>
    </row>
    <row r="580" spans="52:56" x14ac:dyDescent="0.25">
      <c r="AZ580" s="6">
        <v>577</v>
      </c>
      <c r="BA580" s="6">
        <v>0.39999999999999997</v>
      </c>
      <c r="BB580" s="6">
        <v>0</v>
      </c>
      <c r="BC580" s="6">
        <v>494</v>
      </c>
      <c r="BD580" s="6">
        <v>162.86290322580646</v>
      </c>
    </row>
    <row r="581" spans="52:56" x14ac:dyDescent="0.25">
      <c r="AZ581" s="6">
        <v>578</v>
      </c>
      <c r="BA581" s="6">
        <v>0.39999999999999997</v>
      </c>
      <c r="BB581" s="6">
        <v>0</v>
      </c>
      <c r="BC581" s="6">
        <v>494</v>
      </c>
      <c r="BD581" s="6">
        <v>163.14516129032259</v>
      </c>
    </row>
    <row r="582" spans="52:56" x14ac:dyDescent="0.25">
      <c r="AZ582" s="6">
        <v>579</v>
      </c>
      <c r="BA582" s="6">
        <v>0.39999999999999997</v>
      </c>
      <c r="BB582" s="6">
        <v>0</v>
      </c>
      <c r="BC582" s="6">
        <v>494</v>
      </c>
      <c r="BD582" s="6">
        <v>163.42741935483872</v>
      </c>
    </row>
    <row r="583" spans="52:56" x14ac:dyDescent="0.25">
      <c r="AZ583" s="6">
        <v>580</v>
      </c>
      <c r="BA583" s="6">
        <v>0.39999999999999997</v>
      </c>
      <c r="BB583" s="6">
        <v>1</v>
      </c>
      <c r="BC583" s="6">
        <v>495</v>
      </c>
      <c r="BD583" s="6">
        <v>163.70967741935485</v>
      </c>
    </row>
    <row r="584" spans="52:56" x14ac:dyDescent="0.25">
      <c r="AZ584" s="6">
        <v>581</v>
      </c>
      <c r="BA584" s="6">
        <v>0.39999999999999997</v>
      </c>
      <c r="BB584" s="6">
        <v>0</v>
      </c>
      <c r="BC584" s="6">
        <v>495</v>
      </c>
      <c r="BD584" s="6">
        <v>163.99193548387098</v>
      </c>
    </row>
    <row r="585" spans="52:56" x14ac:dyDescent="0.25">
      <c r="AZ585" s="6">
        <v>582</v>
      </c>
      <c r="BA585" s="6">
        <v>0.39999999999999997</v>
      </c>
      <c r="BB585" s="6">
        <v>0</v>
      </c>
      <c r="BC585" s="6">
        <v>495</v>
      </c>
      <c r="BD585" s="6">
        <v>164.2741935483871</v>
      </c>
    </row>
    <row r="586" spans="52:56" x14ac:dyDescent="0.25">
      <c r="AZ586" s="6">
        <v>583</v>
      </c>
      <c r="BA586" s="6">
        <v>0.38461538461538464</v>
      </c>
      <c r="BB586" s="6">
        <v>0</v>
      </c>
      <c r="BC586" s="6">
        <v>495</v>
      </c>
      <c r="BD586" s="6">
        <v>164.55645161290323</v>
      </c>
    </row>
    <row r="587" spans="52:56" x14ac:dyDescent="0.25">
      <c r="AZ587" s="6">
        <v>584</v>
      </c>
      <c r="BA587" s="6">
        <v>0.38461538461538464</v>
      </c>
      <c r="BB587" s="6">
        <v>1</v>
      </c>
      <c r="BC587" s="6">
        <v>496</v>
      </c>
      <c r="BD587" s="6">
        <v>164.83870967741936</v>
      </c>
    </row>
    <row r="588" spans="52:56" x14ac:dyDescent="0.25">
      <c r="AZ588" s="6">
        <v>585</v>
      </c>
      <c r="BA588" s="6">
        <v>0.38461538461538464</v>
      </c>
      <c r="BB588" s="6">
        <v>0</v>
      </c>
      <c r="BC588" s="6">
        <v>496</v>
      </c>
      <c r="BD588" s="6">
        <v>165.12096774193549</v>
      </c>
    </row>
    <row r="589" spans="52:56" x14ac:dyDescent="0.25">
      <c r="AZ589" s="6">
        <v>586</v>
      </c>
      <c r="BA589" s="6">
        <v>0.38461538461538464</v>
      </c>
      <c r="BB589" s="6">
        <v>1</v>
      </c>
      <c r="BC589" s="6">
        <v>497</v>
      </c>
      <c r="BD589" s="6">
        <v>165.40322580645162</v>
      </c>
    </row>
    <row r="590" spans="52:56" x14ac:dyDescent="0.25">
      <c r="AZ590" s="6">
        <v>587</v>
      </c>
      <c r="BA590" s="6">
        <v>0.38461538461538464</v>
      </c>
      <c r="BB590" s="6">
        <v>1</v>
      </c>
      <c r="BC590" s="6">
        <v>498</v>
      </c>
      <c r="BD590" s="6">
        <v>165.68548387096774</v>
      </c>
    </row>
    <row r="591" spans="52:56" x14ac:dyDescent="0.25">
      <c r="AZ591" s="6">
        <v>588</v>
      </c>
      <c r="BA591" s="6">
        <v>0.38461538461538464</v>
      </c>
      <c r="BB591" s="6">
        <v>1</v>
      </c>
      <c r="BC591" s="6">
        <v>499</v>
      </c>
      <c r="BD591" s="6">
        <v>165.9677419354839</v>
      </c>
    </row>
    <row r="592" spans="52:56" x14ac:dyDescent="0.25">
      <c r="AZ592" s="6">
        <v>589</v>
      </c>
      <c r="BA592" s="6">
        <v>0.38461538461538464</v>
      </c>
      <c r="BB592" s="6">
        <v>0</v>
      </c>
      <c r="BC592" s="6">
        <v>499</v>
      </c>
      <c r="BD592" s="6">
        <v>166.25000000000003</v>
      </c>
    </row>
    <row r="593" spans="52:56" x14ac:dyDescent="0.25">
      <c r="AZ593" s="6">
        <v>590</v>
      </c>
      <c r="BA593" s="6">
        <v>0.38461538461538464</v>
      </c>
      <c r="BB593" s="6">
        <v>0</v>
      </c>
      <c r="BC593" s="6">
        <v>499</v>
      </c>
      <c r="BD593" s="6">
        <v>166.53225806451616</v>
      </c>
    </row>
    <row r="594" spans="52:56" x14ac:dyDescent="0.25">
      <c r="AZ594" s="6">
        <v>591</v>
      </c>
      <c r="BA594" s="6">
        <v>0.38461538461538464</v>
      </c>
      <c r="BB594" s="6">
        <v>0</v>
      </c>
      <c r="BC594" s="6">
        <v>499</v>
      </c>
      <c r="BD594" s="6">
        <v>166.81451612903228</v>
      </c>
    </row>
    <row r="595" spans="52:56" x14ac:dyDescent="0.25">
      <c r="AZ595" s="6">
        <v>592</v>
      </c>
      <c r="BA595" s="6">
        <v>0.38461538461538464</v>
      </c>
      <c r="BB595" s="6">
        <v>0</v>
      </c>
      <c r="BC595" s="6">
        <v>499</v>
      </c>
      <c r="BD595" s="6">
        <v>167.09677419354841</v>
      </c>
    </row>
    <row r="596" spans="52:56" x14ac:dyDescent="0.25">
      <c r="AZ596" s="6">
        <v>593</v>
      </c>
      <c r="BA596" s="6">
        <v>0.38461538461538464</v>
      </c>
      <c r="BB596" s="6">
        <v>1</v>
      </c>
      <c r="BC596" s="6">
        <v>500</v>
      </c>
      <c r="BD596" s="6">
        <v>167.37903225806454</v>
      </c>
    </row>
    <row r="597" spans="52:56" x14ac:dyDescent="0.25">
      <c r="AZ597" s="6">
        <v>594</v>
      </c>
      <c r="BA597" s="6">
        <v>0.38461538461538464</v>
      </c>
      <c r="BB597" s="6">
        <v>0</v>
      </c>
      <c r="BC597" s="6">
        <v>500</v>
      </c>
      <c r="BD597" s="6">
        <v>167.66129032258067</v>
      </c>
    </row>
    <row r="598" spans="52:56" x14ac:dyDescent="0.25">
      <c r="AZ598" s="6">
        <v>595</v>
      </c>
      <c r="BA598" s="6">
        <v>0.38461538461538464</v>
      </c>
      <c r="BB598" s="6">
        <v>0</v>
      </c>
      <c r="BC598" s="6">
        <v>500</v>
      </c>
      <c r="BD598" s="6">
        <v>167.9435483870968</v>
      </c>
    </row>
    <row r="599" spans="52:56" x14ac:dyDescent="0.25">
      <c r="AZ599" s="6">
        <v>596</v>
      </c>
      <c r="BA599" s="6">
        <v>0.37500000000000006</v>
      </c>
      <c r="BB599" s="6">
        <v>0</v>
      </c>
      <c r="BC599" s="6">
        <v>500</v>
      </c>
      <c r="BD599" s="6">
        <v>168.22580645161293</v>
      </c>
    </row>
    <row r="600" spans="52:56" x14ac:dyDescent="0.25">
      <c r="AZ600" s="6">
        <v>597</v>
      </c>
      <c r="BA600" s="6">
        <v>0.37500000000000006</v>
      </c>
      <c r="BB600" s="6">
        <v>1</v>
      </c>
      <c r="BC600" s="6">
        <v>501</v>
      </c>
      <c r="BD600" s="6">
        <v>168.50806451612905</v>
      </c>
    </row>
    <row r="601" spans="52:56" x14ac:dyDescent="0.25">
      <c r="AZ601" s="6">
        <v>598</v>
      </c>
      <c r="BA601" s="6">
        <v>0.37500000000000006</v>
      </c>
      <c r="BB601" s="6">
        <v>0</v>
      </c>
      <c r="BC601" s="6">
        <v>501</v>
      </c>
      <c r="BD601" s="6">
        <v>168.79032258064518</v>
      </c>
    </row>
    <row r="602" spans="52:56" x14ac:dyDescent="0.25">
      <c r="AZ602" s="6">
        <v>599</v>
      </c>
      <c r="BA602" s="6">
        <v>0.37500000000000006</v>
      </c>
      <c r="BB602" s="6">
        <v>0</v>
      </c>
      <c r="BC602" s="6">
        <v>501</v>
      </c>
      <c r="BD602" s="6">
        <v>169.07258064516131</v>
      </c>
    </row>
    <row r="603" spans="52:56" x14ac:dyDescent="0.25">
      <c r="AZ603" s="6">
        <v>600</v>
      </c>
      <c r="BA603" s="6">
        <v>0.37500000000000006</v>
      </c>
      <c r="BB603" s="6">
        <v>1</v>
      </c>
      <c r="BC603" s="6">
        <v>502</v>
      </c>
      <c r="BD603" s="6">
        <v>169.35483870967744</v>
      </c>
    </row>
    <row r="604" spans="52:56" x14ac:dyDescent="0.25">
      <c r="AZ604" s="6">
        <v>601</v>
      </c>
      <c r="BA604" s="6">
        <v>0.37500000000000006</v>
      </c>
      <c r="BB604" s="6">
        <v>1</v>
      </c>
      <c r="BC604" s="6">
        <v>503</v>
      </c>
      <c r="BD604" s="6">
        <v>169.63709677419357</v>
      </c>
    </row>
    <row r="605" spans="52:56" x14ac:dyDescent="0.25">
      <c r="AZ605" s="6">
        <v>602</v>
      </c>
      <c r="BA605" s="6">
        <v>0.37500000000000006</v>
      </c>
      <c r="BB605" s="6">
        <v>0</v>
      </c>
      <c r="BC605" s="6">
        <v>503</v>
      </c>
      <c r="BD605" s="6">
        <v>169.91935483870969</v>
      </c>
    </row>
    <row r="606" spans="52:56" x14ac:dyDescent="0.25">
      <c r="AZ606" s="6">
        <v>603</v>
      </c>
      <c r="BA606" s="6">
        <v>0.37500000000000006</v>
      </c>
      <c r="BB606" s="6">
        <v>0</v>
      </c>
      <c r="BC606" s="6">
        <v>503</v>
      </c>
      <c r="BD606" s="6">
        <v>170.20161290322582</v>
      </c>
    </row>
    <row r="607" spans="52:56" x14ac:dyDescent="0.25">
      <c r="AZ607" s="6">
        <v>604</v>
      </c>
      <c r="BA607" s="6">
        <v>0.3</v>
      </c>
      <c r="BB607" s="6">
        <v>0</v>
      </c>
      <c r="BC607" s="6">
        <v>503</v>
      </c>
      <c r="BD607" s="6">
        <v>170.48387096774195</v>
      </c>
    </row>
    <row r="608" spans="52:56" x14ac:dyDescent="0.25">
      <c r="AZ608" s="6">
        <v>605</v>
      </c>
      <c r="BA608" s="6">
        <v>0.3</v>
      </c>
      <c r="BB608" s="6">
        <v>1</v>
      </c>
      <c r="BC608" s="6">
        <v>504</v>
      </c>
      <c r="BD608" s="6">
        <v>170.76612903225808</v>
      </c>
    </row>
    <row r="609" spans="52:56" x14ac:dyDescent="0.25">
      <c r="AZ609" s="6">
        <v>606</v>
      </c>
      <c r="BA609" s="6">
        <v>0.3</v>
      </c>
      <c r="BB609" s="6">
        <v>0</v>
      </c>
      <c r="BC609" s="6">
        <v>504</v>
      </c>
      <c r="BD609" s="6">
        <v>171.04838709677421</v>
      </c>
    </row>
    <row r="610" spans="52:56" x14ac:dyDescent="0.25">
      <c r="AZ610" s="6">
        <v>607</v>
      </c>
      <c r="BA610" s="6">
        <v>0.3</v>
      </c>
      <c r="BB610" s="6">
        <v>1</v>
      </c>
      <c r="BC610" s="6">
        <v>505</v>
      </c>
      <c r="BD610" s="6">
        <v>171.33064516129033</v>
      </c>
    </row>
    <row r="611" spans="52:56" x14ac:dyDescent="0.25">
      <c r="AZ611" s="6">
        <v>608</v>
      </c>
      <c r="BA611" s="6">
        <v>0.3</v>
      </c>
      <c r="BB611" s="6">
        <v>0</v>
      </c>
      <c r="BC611" s="6">
        <v>505</v>
      </c>
      <c r="BD611" s="6">
        <v>171.61290322580646</v>
      </c>
    </row>
    <row r="612" spans="52:56" x14ac:dyDescent="0.25">
      <c r="AZ612" s="6">
        <v>609</v>
      </c>
      <c r="BA612" s="6">
        <v>0.3</v>
      </c>
      <c r="BB612" s="6">
        <v>0</v>
      </c>
      <c r="BC612" s="6">
        <v>505</v>
      </c>
      <c r="BD612" s="6">
        <v>171.89516129032259</v>
      </c>
    </row>
    <row r="613" spans="52:56" x14ac:dyDescent="0.25">
      <c r="AZ613" s="6">
        <v>610</v>
      </c>
      <c r="BA613" s="6">
        <v>0.3</v>
      </c>
      <c r="BB613" s="6">
        <v>1</v>
      </c>
      <c r="BC613" s="6">
        <v>506</v>
      </c>
      <c r="BD613" s="6">
        <v>172.17741935483872</v>
      </c>
    </row>
    <row r="614" spans="52:56" x14ac:dyDescent="0.25">
      <c r="AZ614" s="6">
        <v>611</v>
      </c>
      <c r="BA614" s="6">
        <v>0.3</v>
      </c>
      <c r="BB614" s="6">
        <v>0</v>
      </c>
      <c r="BC614" s="6">
        <v>506</v>
      </c>
      <c r="BD614" s="6">
        <v>172.45967741935485</v>
      </c>
    </row>
    <row r="615" spans="52:56" x14ac:dyDescent="0.25">
      <c r="AZ615" s="6">
        <v>612</v>
      </c>
      <c r="BA615" s="6">
        <v>0.3</v>
      </c>
      <c r="BB615" s="6">
        <v>0</v>
      </c>
      <c r="BC615" s="6">
        <v>506</v>
      </c>
      <c r="BD615" s="6">
        <v>172.74193548387098</v>
      </c>
    </row>
    <row r="616" spans="52:56" x14ac:dyDescent="0.25">
      <c r="AZ616" s="6">
        <v>613</v>
      </c>
      <c r="BA616" s="6">
        <v>0.3</v>
      </c>
      <c r="BB616" s="6">
        <v>0</v>
      </c>
      <c r="BC616" s="6">
        <v>506</v>
      </c>
      <c r="BD616" s="6">
        <v>173.0241935483871</v>
      </c>
    </row>
    <row r="617" spans="52:56" x14ac:dyDescent="0.25">
      <c r="AZ617" s="6">
        <v>614</v>
      </c>
      <c r="BA617" s="6">
        <v>0.2857142857142857</v>
      </c>
      <c r="BB617" s="6">
        <v>0</v>
      </c>
      <c r="BC617" s="6">
        <v>506</v>
      </c>
      <c r="BD617" s="6">
        <v>173.30645161290323</v>
      </c>
    </row>
    <row r="618" spans="52:56" x14ac:dyDescent="0.25">
      <c r="AZ618" s="6">
        <v>615</v>
      </c>
      <c r="BA618" s="6">
        <v>0.2857142857142857</v>
      </c>
      <c r="BB618" s="6">
        <v>0</v>
      </c>
      <c r="BC618" s="6">
        <v>506</v>
      </c>
      <c r="BD618" s="6">
        <v>173.58870967741936</v>
      </c>
    </row>
    <row r="619" spans="52:56" x14ac:dyDescent="0.25">
      <c r="AZ619" s="6">
        <v>616</v>
      </c>
      <c r="BA619" s="6">
        <v>0.2857142857142857</v>
      </c>
      <c r="BB619" s="6">
        <v>1</v>
      </c>
      <c r="BC619" s="6">
        <v>507</v>
      </c>
      <c r="BD619" s="6">
        <v>173.87096774193549</v>
      </c>
    </row>
    <row r="620" spans="52:56" x14ac:dyDescent="0.25">
      <c r="AZ620" s="6">
        <v>617</v>
      </c>
      <c r="BA620" s="6">
        <v>0.2857142857142857</v>
      </c>
      <c r="BB620" s="6">
        <v>0</v>
      </c>
      <c r="BC620" s="6">
        <v>507</v>
      </c>
      <c r="BD620" s="6">
        <v>174.15322580645162</v>
      </c>
    </row>
    <row r="621" spans="52:56" x14ac:dyDescent="0.25">
      <c r="AZ621" s="6">
        <v>618</v>
      </c>
      <c r="BA621" s="6">
        <v>0.2857142857142857</v>
      </c>
      <c r="BB621" s="6">
        <v>0</v>
      </c>
      <c r="BC621" s="6">
        <v>507</v>
      </c>
      <c r="BD621" s="6">
        <v>174.43548387096777</v>
      </c>
    </row>
    <row r="622" spans="52:56" x14ac:dyDescent="0.25">
      <c r="AZ622" s="6">
        <v>619</v>
      </c>
      <c r="BA622" s="6">
        <v>0.2857142857142857</v>
      </c>
      <c r="BB622" s="6">
        <v>1</v>
      </c>
      <c r="BC622" s="6">
        <v>508</v>
      </c>
      <c r="BD622" s="6">
        <v>174.7177419354839</v>
      </c>
    </row>
    <row r="623" spans="52:56" x14ac:dyDescent="0.25">
      <c r="AZ623" s="6">
        <v>620</v>
      </c>
      <c r="BA623" s="6">
        <v>0.2857142857142857</v>
      </c>
      <c r="BB623" s="6">
        <v>0</v>
      </c>
      <c r="BC623" s="6">
        <v>508</v>
      </c>
      <c r="BD623" s="6">
        <v>175.00000000000003</v>
      </c>
    </row>
    <row r="624" spans="52:56" x14ac:dyDescent="0.25">
      <c r="AZ624" s="6">
        <v>621</v>
      </c>
      <c r="BA624" s="6">
        <v>0.2608695652173913</v>
      </c>
      <c r="BB624" s="6">
        <v>0</v>
      </c>
      <c r="BC624" s="6">
        <v>508</v>
      </c>
      <c r="BD624" s="6">
        <v>175.28225806451616</v>
      </c>
    </row>
    <row r="625" spans="52:56" x14ac:dyDescent="0.25">
      <c r="AZ625" s="6">
        <v>622</v>
      </c>
      <c r="BA625" s="6">
        <v>0.2608695652173913</v>
      </c>
      <c r="BB625" s="6">
        <v>0</v>
      </c>
      <c r="BC625" s="6">
        <v>508</v>
      </c>
      <c r="BD625" s="6">
        <v>175.56451612903228</v>
      </c>
    </row>
    <row r="626" spans="52:56" x14ac:dyDescent="0.25">
      <c r="AZ626" s="6">
        <v>623</v>
      </c>
      <c r="BA626" s="6">
        <v>0.2608695652173913</v>
      </c>
      <c r="BB626" s="6">
        <v>1</v>
      </c>
      <c r="BC626" s="6">
        <v>509</v>
      </c>
      <c r="BD626" s="6">
        <v>175.84677419354841</v>
      </c>
    </row>
    <row r="627" spans="52:56" x14ac:dyDescent="0.25">
      <c r="AZ627" s="6">
        <v>624</v>
      </c>
      <c r="BA627" s="6">
        <v>0.2608695652173913</v>
      </c>
      <c r="BB627" s="6">
        <v>0</v>
      </c>
      <c r="BC627" s="6">
        <v>509</v>
      </c>
      <c r="BD627" s="6">
        <v>176.12903225806454</v>
      </c>
    </row>
    <row r="628" spans="52:56" x14ac:dyDescent="0.25">
      <c r="AZ628" s="6">
        <v>625</v>
      </c>
      <c r="BA628" s="6">
        <v>0.2608695652173913</v>
      </c>
      <c r="BB628" s="6">
        <v>1</v>
      </c>
      <c r="BC628" s="6">
        <v>510</v>
      </c>
      <c r="BD628" s="6">
        <v>176.41129032258067</v>
      </c>
    </row>
    <row r="629" spans="52:56" x14ac:dyDescent="0.25">
      <c r="AZ629" s="6">
        <v>626</v>
      </c>
      <c r="BA629" s="6">
        <v>0.2608695652173913</v>
      </c>
      <c r="BB629" s="6">
        <v>0</v>
      </c>
      <c r="BC629" s="6">
        <v>510</v>
      </c>
      <c r="BD629" s="6">
        <v>176.6935483870968</v>
      </c>
    </row>
    <row r="630" spans="52:56" x14ac:dyDescent="0.25">
      <c r="AZ630" s="6">
        <v>627</v>
      </c>
      <c r="BA630" s="6">
        <v>0.2608695652173913</v>
      </c>
      <c r="BB630" s="6">
        <v>1</v>
      </c>
      <c r="BC630" s="6">
        <v>511</v>
      </c>
      <c r="BD630" s="6">
        <v>176.97580645161293</v>
      </c>
    </row>
    <row r="631" spans="52:56" x14ac:dyDescent="0.25">
      <c r="AZ631" s="6">
        <v>628</v>
      </c>
      <c r="BA631" s="6">
        <v>0.2608695652173913</v>
      </c>
      <c r="BB631" s="6">
        <v>1</v>
      </c>
      <c r="BC631" s="6">
        <v>512</v>
      </c>
      <c r="BD631" s="6">
        <v>177.25806451612905</v>
      </c>
    </row>
    <row r="632" spans="52:56" x14ac:dyDescent="0.25">
      <c r="AZ632" s="6">
        <v>629</v>
      </c>
      <c r="BA632" s="6">
        <v>0.2608695652173913</v>
      </c>
      <c r="BB632" s="6">
        <v>1</v>
      </c>
      <c r="BC632" s="6">
        <v>513</v>
      </c>
      <c r="BD632" s="6">
        <v>177.54032258064518</v>
      </c>
    </row>
    <row r="633" spans="52:56" x14ac:dyDescent="0.25">
      <c r="AZ633" s="6">
        <v>630</v>
      </c>
      <c r="BA633" s="6">
        <v>0.2608695652173913</v>
      </c>
      <c r="BB633" s="6">
        <v>1</v>
      </c>
      <c r="BC633" s="6">
        <v>514</v>
      </c>
      <c r="BD633" s="6">
        <v>177.82258064516131</v>
      </c>
    </row>
    <row r="634" spans="52:56" x14ac:dyDescent="0.25">
      <c r="AZ634" s="6">
        <v>631</v>
      </c>
      <c r="BA634" s="6">
        <v>0.2608695652173913</v>
      </c>
      <c r="BB634" s="6">
        <v>0</v>
      </c>
      <c r="BC634" s="6">
        <v>514</v>
      </c>
      <c r="BD634" s="6">
        <v>178.10483870967744</v>
      </c>
    </row>
    <row r="635" spans="52:56" x14ac:dyDescent="0.25">
      <c r="AZ635" s="6">
        <v>632</v>
      </c>
      <c r="BA635" s="6">
        <v>0.2608695652173913</v>
      </c>
      <c r="BB635" s="6">
        <v>0</v>
      </c>
      <c r="BC635" s="6">
        <v>514</v>
      </c>
      <c r="BD635" s="6">
        <v>178.38709677419357</v>
      </c>
    </row>
    <row r="636" spans="52:56" x14ac:dyDescent="0.25">
      <c r="AZ636" s="6">
        <v>633</v>
      </c>
      <c r="BA636" s="6">
        <v>0.2608695652173913</v>
      </c>
      <c r="BB636" s="6">
        <v>0</v>
      </c>
      <c r="BC636" s="6">
        <v>514</v>
      </c>
      <c r="BD636" s="6">
        <v>178.66935483870969</v>
      </c>
    </row>
    <row r="637" spans="52:56" x14ac:dyDescent="0.25">
      <c r="AZ637" s="6">
        <v>634</v>
      </c>
      <c r="BA637" s="6">
        <v>0.2608695652173913</v>
      </c>
      <c r="BB637" s="6">
        <v>0</v>
      </c>
      <c r="BC637" s="6">
        <v>514</v>
      </c>
      <c r="BD637" s="6">
        <v>178.95161290322582</v>
      </c>
    </row>
    <row r="638" spans="52:56" x14ac:dyDescent="0.25">
      <c r="AZ638" s="6">
        <v>635</v>
      </c>
      <c r="BA638" s="6">
        <v>0.2608695652173913</v>
      </c>
      <c r="BB638" s="6">
        <v>0</v>
      </c>
      <c r="BC638" s="6">
        <v>514</v>
      </c>
      <c r="BD638" s="6">
        <v>179.23387096774195</v>
      </c>
    </row>
    <row r="639" spans="52:56" x14ac:dyDescent="0.25">
      <c r="AZ639" s="6">
        <v>636</v>
      </c>
      <c r="BA639" s="6">
        <v>0.2608695652173913</v>
      </c>
      <c r="BB639" s="6">
        <v>0</v>
      </c>
      <c r="BC639" s="6">
        <v>514</v>
      </c>
      <c r="BD639" s="6">
        <v>179.51612903225808</v>
      </c>
    </row>
    <row r="640" spans="52:56" x14ac:dyDescent="0.25">
      <c r="AZ640" s="6">
        <v>637</v>
      </c>
      <c r="BA640" s="6">
        <v>0.2608695652173913</v>
      </c>
      <c r="BB640" s="6">
        <v>0</v>
      </c>
      <c r="BC640" s="6">
        <v>514</v>
      </c>
      <c r="BD640" s="6">
        <v>179.79838709677421</v>
      </c>
    </row>
    <row r="641" spans="52:56" x14ac:dyDescent="0.25">
      <c r="AZ641" s="6">
        <v>638</v>
      </c>
      <c r="BA641" s="6">
        <v>0.2608695652173913</v>
      </c>
      <c r="BB641" s="6">
        <v>0</v>
      </c>
      <c r="BC641" s="6">
        <v>514</v>
      </c>
      <c r="BD641" s="6">
        <v>180.08064516129033</v>
      </c>
    </row>
    <row r="642" spans="52:56" x14ac:dyDescent="0.25">
      <c r="AZ642" s="6">
        <v>639</v>
      </c>
      <c r="BA642" s="6">
        <v>0.2608695652173913</v>
      </c>
      <c r="BB642" s="6">
        <v>0</v>
      </c>
      <c r="BC642" s="6">
        <v>514</v>
      </c>
      <c r="BD642" s="6">
        <v>180.36290322580646</v>
      </c>
    </row>
    <row r="643" spans="52:56" x14ac:dyDescent="0.25">
      <c r="AZ643" s="6">
        <v>640</v>
      </c>
      <c r="BA643" s="6">
        <v>0.2608695652173913</v>
      </c>
      <c r="BB643" s="6">
        <v>0</v>
      </c>
      <c r="BC643" s="6">
        <v>514</v>
      </c>
      <c r="BD643" s="6">
        <v>180.64516129032259</v>
      </c>
    </row>
    <row r="644" spans="52:56" x14ac:dyDescent="0.25">
      <c r="AZ644" s="6">
        <v>641</v>
      </c>
      <c r="BA644" s="6">
        <v>0.2608695652173913</v>
      </c>
      <c r="BB644" s="6">
        <v>0</v>
      </c>
      <c r="BC644" s="6">
        <v>514</v>
      </c>
      <c r="BD644" s="6">
        <v>180.92741935483872</v>
      </c>
    </row>
    <row r="645" spans="52:56" x14ac:dyDescent="0.25">
      <c r="AZ645" s="6">
        <v>642</v>
      </c>
      <c r="BA645" s="6">
        <v>0.2608695652173913</v>
      </c>
      <c r="BB645" s="6">
        <v>0</v>
      </c>
      <c r="BC645" s="6">
        <v>514</v>
      </c>
      <c r="BD645" s="6">
        <v>181.20967741935485</v>
      </c>
    </row>
    <row r="646" spans="52:56" x14ac:dyDescent="0.25">
      <c r="AZ646" s="6">
        <v>643</v>
      </c>
      <c r="BA646" s="6">
        <v>0.2608695652173913</v>
      </c>
      <c r="BB646" s="6">
        <v>0</v>
      </c>
      <c r="BC646" s="6">
        <v>514</v>
      </c>
      <c r="BD646" s="6">
        <v>181.49193548387098</v>
      </c>
    </row>
    <row r="647" spans="52:56" x14ac:dyDescent="0.25">
      <c r="AZ647" s="6">
        <v>644</v>
      </c>
      <c r="BA647" s="6">
        <v>0.21428571428571427</v>
      </c>
      <c r="BB647" s="6">
        <v>0</v>
      </c>
      <c r="BC647" s="6">
        <v>514</v>
      </c>
      <c r="BD647" s="6">
        <v>181.7741935483871</v>
      </c>
    </row>
    <row r="648" spans="52:56" x14ac:dyDescent="0.25">
      <c r="AZ648" s="6">
        <v>645</v>
      </c>
      <c r="BA648" s="6">
        <v>0.21428571428571427</v>
      </c>
      <c r="BB648" s="6">
        <v>0</v>
      </c>
      <c r="BC648" s="6">
        <v>514</v>
      </c>
      <c r="BD648" s="6">
        <v>182.05645161290323</v>
      </c>
    </row>
    <row r="649" spans="52:56" x14ac:dyDescent="0.25">
      <c r="AZ649" s="6">
        <v>646</v>
      </c>
      <c r="BA649" s="6">
        <v>0.21428571428571427</v>
      </c>
      <c r="BB649" s="6">
        <v>0</v>
      </c>
      <c r="BC649" s="6">
        <v>514</v>
      </c>
      <c r="BD649" s="6">
        <v>182.33870967741936</v>
      </c>
    </row>
    <row r="650" spans="52:56" x14ac:dyDescent="0.25">
      <c r="AZ650" s="6">
        <v>647</v>
      </c>
      <c r="BA650" s="6">
        <v>0.21428571428571427</v>
      </c>
      <c r="BB650" s="6">
        <v>0</v>
      </c>
      <c r="BC650" s="6">
        <v>514</v>
      </c>
      <c r="BD650" s="6">
        <v>182.62096774193549</v>
      </c>
    </row>
    <row r="651" spans="52:56" x14ac:dyDescent="0.25">
      <c r="AZ651" s="6">
        <v>648</v>
      </c>
      <c r="BA651" s="6">
        <v>0.21428571428571427</v>
      </c>
      <c r="BB651" s="6">
        <v>1</v>
      </c>
      <c r="BC651" s="6">
        <v>515</v>
      </c>
      <c r="BD651" s="6">
        <v>182.90322580645164</v>
      </c>
    </row>
    <row r="652" spans="52:56" x14ac:dyDescent="0.25">
      <c r="AZ652" s="6">
        <v>649</v>
      </c>
      <c r="BA652" s="6">
        <v>0.21428571428571427</v>
      </c>
      <c r="BB652" s="6">
        <v>0</v>
      </c>
      <c r="BC652" s="6">
        <v>515</v>
      </c>
      <c r="BD652" s="6">
        <v>183.18548387096777</v>
      </c>
    </row>
    <row r="653" spans="52:56" x14ac:dyDescent="0.25">
      <c r="AZ653" s="6">
        <v>650</v>
      </c>
      <c r="BA653" s="6">
        <v>0.21428571428571427</v>
      </c>
      <c r="BB653" s="6">
        <v>0</v>
      </c>
      <c r="BC653" s="6">
        <v>515</v>
      </c>
      <c r="BD653" s="6">
        <v>183.4677419354839</v>
      </c>
    </row>
    <row r="654" spans="52:56" x14ac:dyDescent="0.25">
      <c r="AZ654" s="6">
        <v>651</v>
      </c>
      <c r="BA654" s="6">
        <v>0.21428571428571427</v>
      </c>
      <c r="BB654" s="6">
        <v>0</v>
      </c>
      <c r="BC654" s="6">
        <v>515</v>
      </c>
      <c r="BD654" s="6">
        <v>183.75000000000003</v>
      </c>
    </row>
    <row r="655" spans="52:56" x14ac:dyDescent="0.25">
      <c r="AZ655" s="6">
        <v>652</v>
      </c>
      <c r="BA655" s="6">
        <v>0.21428571428571427</v>
      </c>
      <c r="BB655" s="6">
        <v>1</v>
      </c>
      <c r="BC655" s="6">
        <v>516</v>
      </c>
      <c r="BD655" s="6">
        <v>184.03225806451616</v>
      </c>
    </row>
    <row r="656" spans="52:56" x14ac:dyDescent="0.25">
      <c r="AZ656" s="6">
        <v>653</v>
      </c>
      <c r="BA656" s="6">
        <v>0.21428571428571427</v>
      </c>
      <c r="BB656" s="6">
        <v>0</v>
      </c>
      <c r="BC656" s="6">
        <v>516</v>
      </c>
      <c r="BD656" s="6">
        <v>184.31451612903228</v>
      </c>
    </row>
    <row r="657" spans="52:56" x14ac:dyDescent="0.25">
      <c r="AZ657" s="6">
        <v>654</v>
      </c>
      <c r="BA657" s="6">
        <v>0.21428571428571427</v>
      </c>
      <c r="BB657" s="6">
        <v>0</v>
      </c>
      <c r="BC657" s="6">
        <v>516</v>
      </c>
      <c r="BD657" s="6">
        <v>184.59677419354841</v>
      </c>
    </row>
    <row r="658" spans="52:56" x14ac:dyDescent="0.25">
      <c r="AZ658" s="6">
        <v>655</v>
      </c>
      <c r="BA658" s="6">
        <v>0.21428571428571427</v>
      </c>
      <c r="BB658" s="6">
        <v>0</v>
      </c>
      <c r="BC658" s="6">
        <v>516</v>
      </c>
      <c r="BD658" s="6">
        <v>184.87903225806454</v>
      </c>
    </row>
    <row r="659" spans="52:56" x14ac:dyDescent="0.25">
      <c r="AZ659" s="6">
        <v>656</v>
      </c>
      <c r="BA659" s="6">
        <v>0.21428571428571427</v>
      </c>
      <c r="BB659" s="6">
        <v>0</v>
      </c>
      <c r="BC659" s="6">
        <v>516</v>
      </c>
      <c r="BD659" s="6">
        <v>185.16129032258067</v>
      </c>
    </row>
    <row r="660" spans="52:56" x14ac:dyDescent="0.25">
      <c r="AZ660" s="6">
        <v>657</v>
      </c>
      <c r="BA660" s="6">
        <v>0.21428571428571427</v>
      </c>
      <c r="BB660" s="6">
        <v>1</v>
      </c>
      <c r="BC660" s="6">
        <v>517</v>
      </c>
      <c r="BD660" s="6">
        <v>185.4435483870968</v>
      </c>
    </row>
    <row r="661" spans="52:56" x14ac:dyDescent="0.25">
      <c r="AZ661" s="6">
        <v>658</v>
      </c>
      <c r="BA661" s="6">
        <v>9.9999999999999992E-2</v>
      </c>
      <c r="BB661" s="6">
        <v>0</v>
      </c>
      <c r="BC661" s="6">
        <v>517</v>
      </c>
      <c r="BD661" s="6">
        <v>185.72580645161293</v>
      </c>
    </row>
    <row r="662" spans="52:56" x14ac:dyDescent="0.25">
      <c r="AZ662" s="6">
        <v>659</v>
      </c>
      <c r="BA662" s="6">
        <v>9.9999999999999992E-2</v>
      </c>
      <c r="BB662" s="6">
        <v>0</v>
      </c>
      <c r="BC662" s="6">
        <v>517</v>
      </c>
      <c r="BD662" s="6">
        <v>186.00806451612905</v>
      </c>
    </row>
    <row r="663" spans="52:56" x14ac:dyDescent="0.25">
      <c r="AZ663" s="6">
        <v>660</v>
      </c>
      <c r="BA663" s="6">
        <v>9.9999999999999992E-2</v>
      </c>
      <c r="BB663" s="6">
        <v>0</v>
      </c>
      <c r="BC663" s="6">
        <v>517</v>
      </c>
      <c r="BD663" s="6">
        <v>186.29032258064518</v>
      </c>
    </row>
    <row r="664" spans="52:56" x14ac:dyDescent="0.25">
      <c r="AZ664" s="6">
        <v>661</v>
      </c>
      <c r="BA664" s="6">
        <v>9.9999999999999992E-2</v>
      </c>
      <c r="BB664" s="6">
        <v>0</v>
      </c>
      <c r="BC664" s="6">
        <v>517</v>
      </c>
      <c r="BD664" s="6">
        <v>186.57258064516131</v>
      </c>
    </row>
    <row r="665" spans="52:56" x14ac:dyDescent="0.25">
      <c r="AZ665" s="6">
        <v>662</v>
      </c>
      <c r="BA665" s="6">
        <v>9.9999999999999992E-2</v>
      </c>
      <c r="BB665" s="6">
        <v>1</v>
      </c>
      <c r="BC665" s="6">
        <v>518</v>
      </c>
      <c r="BD665" s="6">
        <v>186.85483870967744</v>
      </c>
    </row>
    <row r="666" spans="52:56" x14ac:dyDescent="0.25">
      <c r="AZ666" s="6">
        <v>663</v>
      </c>
      <c r="BA666" s="6">
        <v>9.9999999999999992E-2</v>
      </c>
      <c r="BB666" s="6">
        <v>0</v>
      </c>
      <c r="BC666" s="6">
        <v>518</v>
      </c>
      <c r="BD666" s="6">
        <v>187.13709677419357</v>
      </c>
    </row>
    <row r="667" spans="52:56" x14ac:dyDescent="0.25">
      <c r="AZ667" s="6">
        <v>664</v>
      </c>
      <c r="BA667" s="6">
        <v>9.9999999999999992E-2</v>
      </c>
      <c r="BB667" s="6">
        <v>0</v>
      </c>
      <c r="BC667" s="6">
        <v>518</v>
      </c>
      <c r="BD667" s="6">
        <v>187.41935483870969</v>
      </c>
    </row>
    <row r="668" spans="52:56" x14ac:dyDescent="0.25">
      <c r="AZ668" s="6">
        <v>665</v>
      </c>
      <c r="BA668" s="6">
        <v>9.9999999999999992E-2</v>
      </c>
      <c r="BB668" s="6">
        <v>0</v>
      </c>
      <c r="BC668" s="6">
        <v>518</v>
      </c>
      <c r="BD668" s="6">
        <v>187.70161290322582</v>
      </c>
    </row>
    <row r="669" spans="52:56" x14ac:dyDescent="0.25">
      <c r="AZ669" s="6">
        <v>666</v>
      </c>
      <c r="BA669" s="6">
        <v>9.9999999999999992E-2</v>
      </c>
      <c r="BB669" s="6">
        <v>0</v>
      </c>
      <c r="BC669" s="6">
        <v>518</v>
      </c>
      <c r="BD669" s="6">
        <v>187.98387096774195</v>
      </c>
    </row>
    <row r="670" spans="52:56" x14ac:dyDescent="0.25">
      <c r="AZ670" s="6">
        <v>667</v>
      </c>
      <c r="BA670" s="6">
        <v>9.9999999999999992E-2</v>
      </c>
      <c r="BB670" s="6">
        <v>0</v>
      </c>
      <c r="BC670" s="6">
        <v>518</v>
      </c>
      <c r="BD670" s="6">
        <v>188.26612903225808</v>
      </c>
    </row>
    <row r="671" spans="52:56" x14ac:dyDescent="0.25">
      <c r="AZ671" s="6">
        <v>668</v>
      </c>
      <c r="BA671" s="6">
        <v>9.9999999999999992E-2</v>
      </c>
      <c r="BB671" s="6">
        <v>0</v>
      </c>
      <c r="BC671" s="6">
        <v>518</v>
      </c>
      <c r="BD671" s="6">
        <v>188.54838709677421</v>
      </c>
    </row>
    <row r="672" spans="52:56" x14ac:dyDescent="0.25">
      <c r="AZ672" s="6">
        <v>669</v>
      </c>
      <c r="BA672" s="6">
        <v>9.9999999999999992E-2</v>
      </c>
      <c r="BB672" s="6">
        <v>0</v>
      </c>
      <c r="BC672" s="6">
        <v>518</v>
      </c>
      <c r="BD672" s="6">
        <v>188.83064516129033</v>
      </c>
    </row>
    <row r="673" spans="52:56" x14ac:dyDescent="0.25">
      <c r="AZ673" s="6">
        <v>670</v>
      </c>
      <c r="BA673" s="6">
        <v>9.9999999999999992E-2</v>
      </c>
      <c r="BB673" s="6">
        <v>1</v>
      </c>
      <c r="BC673" s="6">
        <v>519</v>
      </c>
      <c r="BD673" s="6">
        <v>189.11290322580646</v>
      </c>
    </row>
    <row r="674" spans="52:56" x14ac:dyDescent="0.25">
      <c r="AZ674" s="6">
        <v>671</v>
      </c>
      <c r="BA674" s="6">
        <v>9.9999999999999992E-2</v>
      </c>
      <c r="BB674" s="6">
        <v>0</v>
      </c>
      <c r="BC674" s="6">
        <v>519</v>
      </c>
      <c r="BD674" s="6">
        <v>189.39516129032259</v>
      </c>
    </row>
    <row r="675" spans="52:56" x14ac:dyDescent="0.25">
      <c r="AZ675" s="6">
        <v>672</v>
      </c>
      <c r="BA675" s="6">
        <v>9.9999999999999992E-2</v>
      </c>
      <c r="BB675" s="6">
        <v>0</v>
      </c>
      <c r="BC675" s="6">
        <v>519</v>
      </c>
      <c r="BD675" s="6">
        <v>189.67741935483872</v>
      </c>
    </row>
    <row r="676" spans="52:56" x14ac:dyDescent="0.25">
      <c r="AZ676" s="6">
        <v>673</v>
      </c>
      <c r="BA676" s="6">
        <v>9.9999999999999992E-2</v>
      </c>
      <c r="BB676" s="6">
        <v>0</v>
      </c>
      <c r="BC676" s="6">
        <v>519</v>
      </c>
      <c r="BD676" s="6">
        <v>189.95967741935485</v>
      </c>
    </row>
    <row r="677" spans="52:56" x14ac:dyDescent="0.25">
      <c r="AZ677" s="6">
        <v>674</v>
      </c>
      <c r="BA677" s="6">
        <v>9.9999999999999992E-2</v>
      </c>
      <c r="BB677" s="6">
        <v>0</v>
      </c>
      <c r="BC677" s="6">
        <v>519</v>
      </c>
      <c r="BD677" s="6">
        <v>190.24193548387098</v>
      </c>
    </row>
    <row r="678" spans="52:56" x14ac:dyDescent="0.25">
      <c r="AZ678" s="6">
        <v>675</v>
      </c>
      <c r="BA678" s="6">
        <v>9.9999999999999992E-2</v>
      </c>
      <c r="BB678" s="6">
        <v>0</v>
      </c>
      <c r="BC678" s="6">
        <v>519</v>
      </c>
      <c r="BD678" s="6">
        <v>190.5241935483871</v>
      </c>
    </row>
    <row r="679" spans="52:56" x14ac:dyDescent="0.25">
      <c r="AZ679" s="6">
        <v>676</v>
      </c>
      <c r="BA679" s="6">
        <v>9.9999999999999992E-2</v>
      </c>
      <c r="BB679" s="6">
        <v>0</v>
      </c>
      <c r="BC679" s="6">
        <v>519</v>
      </c>
      <c r="BD679" s="6">
        <v>190.80645161290323</v>
      </c>
    </row>
    <row r="680" spans="52:56" x14ac:dyDescent="0.25">
      <c r="AZ680" s="6">
        <v>677</v>
      </c>
      <c r="BA680" s="6">
        <v>9.9999999999999992E-2</v>
      </c>
      <c r="BB680" s="6">
        <v>0</v>
      </c>
      <c r="BC680" s="6">
        <v>519</v>
      </c>
      <c r="BD680" s="6">
        <v>191.08870967741936</v>
      </c>
    </row>
    <row r="681" spans="52:56" x14ac:dyDescent="0.25">
      <c r="AZ681" s="6">
        <v>678</v>
      </c>
      <c r="BA681" s="6">
        <v>8.3333333333333329E-2</v>
      </c>
      <c r="BB681" s="6">
        <v>0</v>
      </c>
      <c r="BC681" s="6">
        <v>519</v>
      </c>
      <c r="BD681" s="6">
        <v>191.37096774193552</v>
      </c>
    </row>
    <row r="682" spans="52:56" x14ac:dyDescent="0.25">
      <c r="AZ682" s="6">
        <v>679</v>
      </c>
      <c r="BA682" s="6">
        <v>8.3333333333333329E-2</v>
      </c>
      <c r="BB682" s="6">
        <v>0</v>
      </c>
      <c r="BC682" s="6">
        <v>519</v>
      </c>
      <c r="BD682" s="6">
        <v>191.65322580645164</v>
      </c>
    </row>
    <row r="683" spans="52:56" x14ac:dyDescent="0.25">
      <c r="AZ683" s="6">
        <v>680</v>
      </c>
      <c r="BA683" s="6">
        <v>8.3333333333333329E-2</v>
      </c>
      <c r="BB683" s="6">
        <v>0</v>
      </c>
      <c r="BC683" s="6">
        <v>519</v>
      </c>
      <c r="BD683" s="6">
        <v>191.93548387096777</v>
      </c>
    </row>
    <row r="684" spans="52:56" x14ac:dyDescent="0.25">
      <c r="AZ684" s="6">
        <v>681</v>
      </c>
      <c r="BA684" s="6">
        <v>8.3333333333333329E-2</v>
      </c>
      <c r="BB684" s="6">
        <v>0</v>
      </c>
      <c r="BC684" s="6">
        <v>519</v>
      </c>
      <c r="BD684" s="6">
        <v>192.2177419354839</v>
      </c>
    </row>
    <row r="685" spans="52:56" x14ac:dyDescent="0.25">
      <c r="AZ685" s="6">
        <v>682</v>
      </c>
      <c r="BA685" s="6">
        <v>8.3333333333333329E-2</v>
      </c>
      <c r="BB685" s="6">
        <v>0</v>
      </c>
      <c r="BC685" s="6">
        <v>519</v>
      </c>
      <c r="BD685" s="6">
        <v>192.50000000000003</v>
      </c>
    </row>
    <row r="686" spans="52:56" x14ac:dyDescent="0.25">
      <c r="AZ686" s="6">
        <v>683</v>
      </c>
      <c r="BA686" s="6">
        <v>8.3333333333333329E-2</v>
      </c>
      <c r="BB686" s="6">
        <v>0</v>
      </c>
      <c r="BC686" s="6">
        <v>519</v>
      </c>
      <c r="BD686" s="6">
        <v>192.78225806451616</v>
      </c>
    </row>
    <row r="687" spans="52:56" x14ac:dyDescent="0.25">
      <c r="AZ687" s="6">
        <v>684</v>
      </c>
      <c r="BA687" s="6">
        <v>8.3333333333333329E-2</v>
      </c>
      <c r="BB687" s="6">
        <v>1</v>
      </c>
      <c r="BC687" s="6">
        <v>520</v>
      </c>
      <c r="BD687" s="6">
        <v>193.06451612903228</v>
      </c>
    </row>
    <row r="688" spans="52:56" x14ac:dyDescent="0.25">
      <c r="AZ688" s="6">
        <v>685</v>
      </c>
      <c r="BA688" s="6">
        <v>8.3333333333333329E-2</v>
      </c>
      <c r="BB688" s="6">
        <v>0</v>
      </c>
      <c r="BC688" s="6">
        <v>520</v>
      </c>
      <c r="BD688" s="6">
        <v>193.34677419354841</v>
      </c>
    </row>
    <row r="689" spans="52:56" x14ac:dyDescent="0.25">
      <c r="AZ689" s="6">
        <v>686</v>
      </c>
      <c r="BA689" s="6">
        <v>8.3333333333333329E-2</v>
      </c>
      <c r="BB689" s="6">
        <v>0</v>
      </c>
      <c r="BC689" s="6">
        <v>520</v>
      </c>
      <c r="BD689" s="6">
        <v>193.62903225806454</v>
      </c>
    </row>
    <row r="690" spans="52:56" x14ac:dyDescent="0.25">
      <c r="AZ690" s="6">
        <v>687</v>
      </c>
      <c r="BA690" s="6">
        <v>8.3333333333333329E-2</v>
      </c>
      <c r="BB690" s="6">
        <v>0</v>
      </c>
      <c r="BC690" s="6">
        <v>520</v>
      </c>
      <c r="BD690" s="6">
        <v>193.91129032258067</v>
      </c>
    </row>
    <row r="691" spans="52:56" x14ac:dyDescent="0.25">
      <c r="AZ691" s="6">
        <v>688</v>
      </c>
      <c r="BA691" s="6">
        <v>8.3333333333333329E-2</v>
      </c>
      <c r="BB691" s="6">
        <v>0</v>
      </c>
      <c r="BC691" s="6">
        <v>520</v>
      </c>
      <c r="BD691" s="6">
        <v>194.1935483870968</v>
      </c>
    </row>
    <row r="692" spans="52:56" x14ac:dyDescent="0.25">
      <c r="AZ692" s="6">
        <v>689</v>
      </c>
      <c r="BA692" s="6">
        <v>8.3333333333333329E-2</v>
      </c>
      <c r="BB692" s="6">
        <v>0</v>
      </c>
      <c r="BC692" s="6">
        <v>520</v>
      </c>
      <c r="BD692" s="6">
        <v>194.47580645161293</v>
      </c>
    </row>
    <row r="693" spans="52:56" x14ac:dyDescent="0.25">
      <c r="AZ693" s="6">
        <v>690</v>
      </c>
      <c r="BA693" s="6">
        <v>8.3333333333333329E-2</v>
      </c>
      <c r="BB693" s="6">
        <v>1</v>
      </c>
      <c r="BC693" s="6">
        <v>521</v>
      </c>
      <c r="BD693" s="6">
        <v>194.75806451612905</v>
      </c>
    </row>
    <row r="694" spans="52:56" x14ac:dyDescent="0.25">
      <c r="AZ694" s="6">
        <v>691</v>
      </c>
      <c r="BA694" s="6">
        <v>8.3333333333333329E-2</v>
      </c>
      <c r="BB694" s="6">
        <v>0</v>
      </c>
      <c r="BC694" s="6">
        <v>521</v>
      </c>
      <c r="BD694" s="6">
        <v>195.04032258064518</v>
      </c>
    </row>
    <row r="695" spans="52:56" x14ac:dyDescent="0.25">
      <c r="AZ695" s="6">
        <v>692</v>
      </c>
      <c r="BA695" s="6">
        <v>8.3333333333333329E-2</v>
      </c>
      <c r="BB695" s="6">
        <v>0</v>
      </c>
      <c r="BC695" s="6">
        <v>521</v>
      </c>
      <c r="BD695" s="6">
        <v>195.32258064516131</v>
      </c>
    </row>
    <row r="696" spans="52:56" x14ac:dyDescent="0.25">
      <c r="AZ696" s="6">
        <v>693</v>
      </c>
      <c r="BA696" s="6">
        <v>8.3333333333333329E-2</v>
      </c>
      <c r="BB696" s="6">
        <v>0</v>
      </c>
      <c r="BC696" s="6">
        <v>521</v>
      </c>
      <c r="BD696" s="6">
        <v>195.60483870967744</v>
      </c>
    </row>
    <row r="697" spans="52:56" x14ac:dyDescent="0.25">
      <c r="AZ697" s="6">
        <v>694</v>
      </c>
      <c r="BA697" s="6">
        <v>8.3333333333333329E-2</v>
      </c>
      <c r="BB697" s="6">
        <v>0</v>
      </c>
      <c r="BC697" s="6">
        <v>521</v>
      </c>
      <c r="BD697" s="6">
        <v>195.88709677419357</v>
      </c>
    </row>
    <row r="698" spans="52:56" x14ac:dyDescent="0.25">
      <c r="AZ698" s="6">
        <v>695</v>
      </c>
      <c r="BA698" s="6">
        <v>8.3333333333333329E-2</v>
      </c>
      <c r="BB698" s="6">
        <v>0</v>
      </c>
      <c r="BC698" s="6">
        <v>521</v>
      </c>
      <c r="BD698" s="6">
        <v>196.16935483870969</v>
      </c>
    </row>
    <row r="699" spans="52:56" x14ac:dyDescent="0.25">
      <c r="AZ699" s="6">
        <v>696</v>
      </c>
      <c r="BA699" s="6">
        <v>8.3333333333333329E-2</v>
      </c>
      <c r="BB699" s="6">
        <v>0</v>
      </c>
      <c r="BC699" s="6">
        <v>521</v>
      </c>
      <c r="BD699" s="6">
        <v>196.45161290322582</v>
      </c>
    </row>
    <row r="700" spans="52:56" x14ac:dyDescent="0.25">
      <c r="AZ700" s="6">
        <v>697</v>
      </c>
      <c r="BA700" s="6">
        <v>8.3333333333333329E-2</v>
      </c>
      <c r="BB700" s="6">
        <v>0</v>
      </c>
      <c r="BC700" s="6">
        <v>521</v>
      </c>
      <c r="BD700" s="6">
        <v>196.73387096774195</v>
      </c>
    </row>
    <row r="701" spans="52:56" x14ac:dyDescent="0.25">
      <c r="AZ701" s="6">
        <v>698</v>
      </c>
      <c r="BA701" s="6">
        <v>8.3333333333333329E-2</v>
      </c>
      <c r="BB701" s="6">
        <v>0</v>
      </c>
      <c r="BC701" s="6">
        <v>521</v>
      </c>
      <c r="BD701" s="6">
        <v>197.01612903225808</v>
      </c>
    </row>
    <row r="702" spans="52:56" x14ac:dyDescent="0.25">
      <c r="AZ702" s="6">
        <v>699</v>
      </c>
      <c r="BA702" s="6">
        <v>8.3333333333333329E-2</v>
      </c>
      <c r="BB702" s="6">
        <v>0</v>
      </c>
      <c r="BC702" s="6">
        <v>521</v>
      </c>
      <c r="BD702" s="6">
        <v>197.29838709677421</v>
      </c>
    </row>
    <row r="703" spans="52:56" x14ac:dyDescent="0.25">
      <c r="AZ703" s="6">
        <v>700</v>
      </c>
      <c r="BA703" s="6">
        <v>8.3333333333333329E-2</v>
      </c>
      <c r="BB703" s="6">
        <v>0</v>
      </c>
      <c r="BC703" s="6">
        <v>521</v>
      </c>
      <c r="BD703" s="6">
        <v>197.58064516129033</v>
      </c>
    </row>
    <row r="704" spans="52:56" x14ac:dyDescent="0.25">
      <c r="AZ704" s="6">
        <v>701</v>
      </c>
      <c r="BA704" s="6">
        <v>8.3333333333333329E-2</v>
      </c>
      <c r="BB704" s="6">
        <v>0</v>
      </c>
      <c r="BC704" s="6">
        <v>521</v>
      </c>
      <c r="BD704" s="6">
        <v>197.86290322580646</v>
      </c>
    </row>
    <row r="705" spans="52:56" x14ac:dyDescent="0.25">
      <c r="AZ705" s="6">
        <v>702</v>
      </c>
      <c r="BA705" s="6">
        <v>7.1428571428571411E-2</v>
      </c>
      <c r="BB705" s="6">
        <v>0</v>
      </c>
      <c r="BC705" s="6">
        <v>521</v>
      </c>
      <c r="BD705" s="6">
        <v>198.14516129032259</v>
      </c>
    </row>
    <row r="706" spans="52:56" x14ac:dyDescent="0.25">
      <c r="AZ706" s="6">
        <v>703</v>
      </c>
      <c r="BA706" s="6">
        <v>7.1428571428571411E-2</v>
      </c>
      <c r="BB706" s="6">
        <v>0</v>
      </c>
      <c r="BC706" s="6">
        <v>521</v>
      </c>
      <c r="BD706" s="6">
        <v>198.42741935483872</v>
      </c>
    </row>
    <row r="707" spans="52:56" x14ac:dyDescent="0.25">
      <c r="AZ707" s="6">
        <v>704</v>
      </c>
      <c r="BA707" s="6">
        <v>7.1428571428571411E-2</v>
      </c>
      <c r="BB707" s="6">
        <v>0</v>
      </c>
      <c r="BC707" s="6">
        <v>521</v>
      </c>
      <c r="BD707" s="6">
        <v>198.70967741935485</v>
      </c>
    </row>
    <row r="708" spans="52:56" x14ac:dyDescent="0.25">
      <c r="AZ708" s="6">
        <v>705</v>
      </c>
      <c r="BA708" s="6">
        <v>7.1428571428571411E-2</v>
      </c>
      <c r="BB708" s="6">
        <v>0</v>
      </c>
      <c r="BC708" s="6">
        <v>521</v>
      </c>
      <c r="BD708" s="6">
        <v>198.99193548387098</v>
      </c>
    </row>
    <row r="709" spans="52:56" x14ac:dyDescent="0.25">
      <c r="AZ709" s="6">
        <v>706</v>
      </c>
      <c r="BA709" s="6">
        <v>7.1428571428571411E-2</v>
      </c>
      <c r="BB709" s="6">
        <v>0</v>
      </c>
      <c r="BC709" s="6">
        <v>521</v>
      </c>
      <c r="BD709" s="6">
        <v>199.2741935483871</v>
      </c>
    </row>
    <row r="710" spans="52:56" x14ac:dyDescent="0.25">
      <c r="AZ710" s="6">
        <v>707</v>
      </c>
      <c r="BA710" s="6">
        <v>7.1428571428571411E-2</v>
      </c>
      <c r="BB710" s="6">
        <v>0</v>
      </c>
      <c r="BC710" s="6">
        <v>521</v>
      </c>
      <c r="BD710" s="6">
        <v>199.55645161290323</v>
      </c>
    </row>
    <row r="711" spans="52:56" x14ac:dyDescent="0.25">
      <c r="AZ711" s="6">
        <v>708</v>
      </c>
      <c r="BA711" s="6">
        <v>7.1428571428571411E-2</v>
      </c>
      <c r="BB711" s="6">
        <v>0</v>
      </c>
      <c r="BC711" s="6">
        <v>521</v>
      </c>
      <c r="BD711" s="6">
        <v>199.83870967741939</v>
      </c>
    </row>
    <row r="712" spans="52:56" x14ac:dyDescent="0.25">
      <c r="AZ712" s="6">
        <v>709</v>
      </c>
      <c r="BA712" s="6">
        <v>7.1428571428571411E-2</v>
      </c>
      <c r="BB712" s="6">
        <v>0</v>
      </c>
      <c r="BC712" s="6">
        <v>521</v>
      </c>
      <c r="BD712" s="6">
        <v>200.12096774193552</v>
      </c>
    </row>
    <row r="713" spans="52:56" x14ac:dyDescent="0.25">
      <c r="AZ713" s="6">
        <v>710</v>
      </c>
      <c r="BA713" s="6">
        <v>7.1428571428571411E-2</v>
      </c>
      <c r="BB713" s="6">
        <v>0</v>
      </c>
      <c r="BC713" s="6">
        <v>521</v>
      </c>
      <c r="BD713" s="6">
        <v>200.40322580645164</v>
      </c>
    </row>
    <row r="714" spans="52:56" x14ac:dyDescent="0.25">
      <c r="AZ714" s="6">
        <v>711</v>
      </c>
      <c r="BA714" s="6">
        <v>7.1428571428571411E-2</v>
      </c>
      <c r="BB714" s="6">
        <v>0</v>
      </c>
      <c r="BC714" s="6">
        <v>521</v>
      </c>
      <c r="BD714" s="6">
        <v>200.68548387096777</v>
      </c>
    </row>
    <row r="715" spans="52:56" x14ac:dyDescent="0.25">
      <c r="AZ715" s="6">
        <v>712</v>
      </c>
      <c r="BA715" s="6">
        <v>7.1428571428571411E-2</v>
      </c>
      <c r="BB715" s="6">
        <v>1</v>
      </c>
      <c r="BC715" s="6">
        <v>522</v>
      </c>
      <c r="BD715" s="6">
        <v>200.9677419354839</v>
      </c>
    </row>
    <row r="716" spans="52:56" x14ac:dyDescent="0.25">
      <c r="AZ716" s="6">
        <v>713</v>
      </c>
      <c r="BA716" s="6">
        <v>7.1428571428571411E-2</v>
      </c>
      <c r="BB716" s="6">
        <v>0</v>
      </c>
      <c r="BC716" s="6">
        <v>522</v>
      </c>
      <c r="BD716" s="6">
        <v>201.25000000000003</v>
      </c>
    </row>
    <row r="717" spans="52:56" x14ac:dyDescent="0.25">
      <c r="AZ717" s="6">
        <v>714</v>
      </c>
      <c r="BA717" s="6">
        <v>7.1428571428571411E-2</v>
      </c>
      <c r="BB717" s="6">
        <v>0</v>
      </c>
      <c r="BC717" s="6">
        <v>522</v>
      </c>
      <c r="BD717" s="6">
        <v>201.53225806451616</v>
      </c>
    </row>
    <row r="718" spans="52:56" x14ac:dyDescent="0.25">
      <c r="AZ718" s="6">
        <v>715</v>
      </c>
      <c r="BA718" s="6">
        <v>7.1428571428571411E-2</v>
      </c>
      <c r="BB718" s="6">
        <v>0</v>
      </c>
      <c r="BC718" s="6">
        <v>522</v>
      </c>
      <c r="BD718" s="6">
        <v>201.81451612903228</v>
      </c>
    </row>
    <row r="719" spans="52:56" x14ac:dyDescent="0.25">
      <c r="AZ719" s="6">
        <v>716</v>
      </c>
      <c r="BA719" s="6">
        <v>4.3478260869565209E-2</v>
      </c>
      <c r="BB719" s="6">
        <v>0</v>
      </c>
      <c r="BC719" s="6">
        <v>522</v>
      </c>
      <c r="BD719" s="6">
        <v>202.09677419354841</v>
      </c>
    </row>
    <row r="720" spans="52:56" x14ac:dyDescent="0.25">
      <c r="AZ720" s="6">
        <v>717</v>
      </c>
      <c r="BA720" s="6">
        <v>4.3478260869565209E-2</v>
      </c>
      <c r="BB720" s="6">
        <v>0</v>
      </c>
      <c r="BC720" s="6">
        <v>522</v>
      </c>
      <c r="BD720" s="6">
        <v>202.37903225806454</v>
      </c>
    </row>
    <row r="721" spans="52:56" x14ac:dyDescent="0.25">
      <c r="AZ721" s="6">
        <v>718</v>
      </c>
      <c r="BA721" s="6">
        <v>4.3478260869565209E-2</v>
      </c>
      <c r="BB721" s="6">
        <v>0</v>
      </c>
      <c r="BC721" s="6">
        <v>522</v>
      </c>
      <c r="BD721" s="6">
        <v>202.66129032258067</v>
      </c>
    </row>
    <row r="722" spans="52:56" x14ac:dyDescent="0.25">
      <c r="AZ722" s="6">
        <v>719</v>
      </c>
      <c r="BA722" s="6">
        <v>4.3478260869565209E-2</v>
      </c>
      <c r="BB722" s="6">
        <v>0</v>
      </c>
      <c r="BC722" s="6">
        <v>522</v>
      </c>
      <c r="BD722" s="6">
        <v>202.9435483870968</v>
      </c>
    </row>
    <row r="723" spans="52:56" x14ac:dyDescent="0.25">
      <c r="AZ723" s="6">
        <v>720</v>
      </c>
      <c r="BA723" s="6">
        <v>4.3478260869565209E-2</v>
      </c>
      <c r="BB723" s="6">
        <v>0</v>
      </c>
      <c r="BC723" s="6">
        <v>522</v>
      </c>
      <c r="BD723" s="6">
        <v>203.22580645161293</v>
      </c>
    </row>
    <row r="724" spans="52:56" x14ac:dyDescent="0.25">
      <c r="AZ724" s="6">
        <v>721</v>
      </c>
      <c r="BA724" s="6">
        <v>4.3478260869565209E-2</v>
      </c>
      <c r="BB724" s="6">
        <v>0</v>
      </c>
      <c r="BC724" s="6">
        <v>522</v>
      </c>
      <c r="BD724" s="6">
        <v>203.50806451612905</v>
      </c>
    </row>
    <row r="725" spans="52:56" x14ac:dyDescent="0.25">
      <c r="AZ725" s="6">
        <v>722</v>
      </c>
      <c r="BA725" s="6">
        <v>4.3478260869565209E-2</v>
      </c>
      <c r="BB725" s="6">
        <v>0</v>
      </c>
      <c r="BC725" s="6">
        <v>522</v>
      </c>
      <c r="BD725" s="6">
        <v>203.79032258064518</v>
      </c>
    </row>
    <row r="726" spans="52:56" x14ac:dyDescent="0.25">
      <c r="AZ726" s="6">
        <v>723</v>
      </c>
      <c r="BA726" s="6">
        <v>4.3478260869565209E-2</v>
      </c>
      <c r="BB726" s="6">
        <v>0</v>
      </c>
      <c r="BC726" s="6">
        <v>522</v>
      </c>
      <c r="BD726" s="6">
        <v>204.07258064516131</v>
      </c>
    </row>
    <row r="727" spans="52:56" x14ac:dyDescent="0.25">
      <c r="AZ727" s="6">
        <v>724</v>
      </c>
      <c r="BA727" s="6">
        <v>4.3478260869565209E-2</v>
      </c>
      <c r="BB727" s="6">
        <v>0</v>
      </c>
      <c r="BC727" s="6">
        <v>522</v>
      </c>
      <c r="BD727" s="6">
        <v>204.35483870967744</v>
      </c>
    </row>
    <row r="728" spans="52:56" x14ac:dyDescent="0.25">
      <c r="AZ728" s="6">
        <v>725</v>
      </c>
      <c r="BA728" s="6">
        <v>4.3478260869565209E-2</v>
      </c>
      <c r="BB728" s="6">
        <v>1</v>
      </c>
      <c r="BC728" s="6">
        <v>523</v>
      </c>
      <c r="BD728" s="6">
        <v>204.63709677419357</v>
      </c>
    </row>
    <row r="729" spans="52:56" x14ac:dyDescent="0.25">
      <c r="AZ729" s="6">
        <v>726</v>
      </c>
      <c r="BA729" s="6">
        <v>4.3478260869565209E-2</v>
      </c>
      <c r="BB729" s="6">
        <v>0</v>
      </c>
      <c r="BC729" s="6">
        <v>523</v>
      </c>
      <c r="BD729" s="6">
        <v>204.91935483870969</v>
      </c>
    </row>
    <row r="730" spans="52:56" x14ac:dyDescent="0.25">
      <c r="AZ730" s="6">
        <v>727</v>
      </c>
      <c r="BA730" s="6">
        <v>4.3478260869565209E-2</v>
      </c>
      <c r="BB730" s="6">
        <v>0</v>
      </c>
      <c r="BC730" s="6">
        <v>523</v>
      </c>
      <c r="BD730" s="6">
        <v>205.20161290322582</v>
      </c>
    </row>
    <row r="731" spans="52:56" x14ac:dyDescent="0.25">
      <c r="AZ731" s="6">
        <v>728</v>
      </c>
      <c r="BA731" s="6">
        <v>4.3478260869565209E-2</v>
      </c>
      <c r="BB731" s="6">
        <v>0</v>
      </c>
      <c r="BC731" s="6">
        <v>523</v>
      </c>
      <c r="BD731" s="6">
        <v>205.48387096774195</v>
      </c>
    </row>
    <row r="732" spans="52:56" x14ac:dyDescent="0.25">
      <c r="AZ732" s="6">
        <v>729</v>
      </c>
      <c r="BA732" s="6">
        <v>4.3478260869565209E-2</v>
      </c>
      <c r="BB732" s="6">
        <v>0</v>
      </c>
      <c r="BC732" s="6">
        <v>523</v>
      </c>
      <c r="BD732" s="6">
        <v>205.76612903225808</v>
      </c>
    </row>
    <row r="733" spans="52:56" x14ac:dyDescent="0.25">
      <c r="AZ733" s="6">
        <v>730</v>
      </c>
      <c r="BA733" s="6">
        <v>4.3478260869565209E-2</v>
      </c>
      <c r="BB733" s="6">
        <v>0</v>
      </c>
      <c r="BC733" s="6">
        <v>523</v>
      </c>
      <c r="BD733" s="6">
        <v>206.04838709677421</v>
      </c>
    </row>
    <row r="734" spans="52:56" x14ac:dyDescent="0.25">
      <c r="AZ734" s="6">
        <v>731</v>
      </c>
      <c r="BA734" s="6">
        <v>4.3478260869565209E-2</v>
      </c>
      <c r="BB734" s="6">
        <v>0</v>
      </c>
      <c r="BC734" s="6">
        <v>523</v>
      </c>
      <c r="BD734" s="6">
        <v>206.33064516129033</v>
      </c>
    </row>
    <row r="735" spans="52:56" x14ac:dyDescent="0.25">
      <c r="AZ735" s="6">
        <v>732</v>
      </c>
      <c r="BA735" s="6">
        <v>4.3478260869565209E-2</v>
      </c>
      <c r="BB735" s="6">
        <v>0</v>
      </c>
      <c r="BC735" s="6">
        <v>523</v>
      </c>
      <c r="BD735" s="6">
        <v>206.61290322580646</v>
      </c>
    </row>
    <row r="736" spans="52:56" x14ac:dyDescent="0.25">
      <c r="AZ736" s="6">
        <v>733</v>
      </c>
      <c r="BA736" s="6">
        <v>4.3478260869565209E-2</v>
      </c>
      <c r="BB736" s="6">
        <v>0</v>
      </c>
      <c r="BC736" s="6">
        <v>523</v>
      </c>
      <c r="BD736" s="6">
        <v>206.89516129032259</v>
      </c>
    </row>
    <row r="737" spans="52:56" x14ac:dyDescent="0.25">
      <c r="AZ737" s="6">
        <v>734</v>
      </c>
      <c r="BA737" s="6">
        <v>4.3478260869565209E-2</v>
      </c>
      <c r="BB737" s="6">
        <v>0</v>
      </c>
      <c r="BC737" s="6">
        <v>523</v>
      </c>
      <c r="BD737" s="6">
        <v>207.17741935483872</v>
      </c>
    </row>
    <row r="738" spans="52:56" x14ac:dyDescent="0.25">
      <c r="AZ738" s="6">
        <v>735</v>
      </c>
      <c r="BA738" s="6">
        <v>4.3478260869565209E-2</v>
      </c>
      <c r="BB738" s="6">
        <v>0</v>
      </c>
      <c r="BC738" s="6">
        <v>523</v>
      </c>
      <c r="BD738" s="6">
        <v>207.45967741935485</v>
      </c>
    </row>
    <row r="739" spans="52:56" x14ac:dyDescent="0.25">
      <c r="AZ739" s="6">
        <v>736</v>
      </c>
      <c r="BA739" s="6">
        <v>4.3478260869565209E-2</v>
      </c>
      <c r="BB739" s="6">
        <v>0</v>
      </c>
      <c r="BC739" s="6">
        <v>523</v>
      </c>
      <c r="BD739" s="6">
        <v>207.74193548387098</v>
      </c>
    </row>
    <row r="740" spans="52:56" x14ac:dyDescent="0.25">
      <c r="AZ740" s="6">
        <v>737</v>
      </c>
      <c r="BA740" s="6">
        <v>4.3478260869565209E-2</v>
      </c>
      <c r="BB740" s="6">
        <v>0</v>
      </c>
      <c r="BC740" s="6">
        <v>523</v>
      </c>
      <c r="BD740" s="6">
        <v>208.0241935483871</v>
      </c>
    </row>
    <row r="741" spans="52:56" x14ac:dyDescent="0.25">
      <c r="AZ741" s="6">
        <v>738</v>
      </c>
      <c r="BA741" s="6">
        <v>4.3478260869565209E-2</v>
      </c>
      <c r="BB741" s="6">
        <v>0</v>
      </c>
      <c r="BC741" s="6">
        <v>523</v>
      </c>
      <c r="BD741" s="6">
        <v>208.30645161290326</v>
      </c>
    </row>
    <row r="742" spans="52:56" x14ac:dyDescent="0.25">
      <c r="AZ742" s="6">
        <v>739</v>
      </c>
      <c r="BA742" s="6">
        <v>0.04</v>
      </c>
      <c r="BB742" s="6">
        <v>0</v>
      </c>
      <c r="BC742" s="6">
        <v>523</v>
      </c>
      <c r="BD742" s="6">
        <v>208.58870967741939</v>
      </c>
    </row>
    <row r="743" spans="52:56" x14ac:dyDescent="0.25">
      <c r="AZ743" s="6">
        <v>740</v>
      </c>
      <c r="BA743" s="6">
        <v>0.04</v>
      </c>
      <c r="BB743" s="6">
        <v>0</v>
      </c>
      <c r="BC743" s="6">
        <v>523</v>
      </c>
      <c r="BD743" s="6">
        <v>208.87096774193552</v>
      </c>
    </row>
    <row r="744" spans="52:56" x14ac:dyDescent="0.25">
      <c r="AZ744" s="6">
        <v>741</v>
      </c>
      <c r="BA744" s="6">
        <v>0.04</v>
      </c>
      <c r="BB744" s="6">
        <v>0</v>
      </c>
      <c r="BC744" s="6">
        <v>523</v>
      </c>
      <c r="BD744" s="6">
        <v>209.15322580645164</v>
      </c>
    </row>
    <row r="745" spans="52:56" x14ac:dyDescent="0.25">
      <c r="AZ745" s="6">
        <v>742</v>
      </c>
      <c r="BA745" s="6">
        <v>0.04</v>
      </c>
      <c r="BB745" s="6">
        <v>0</v>
      </c>
      <c r="BC745" s="6">
        <v>523</v>
      </c>
      <c r="BD745" s="6">
        <v>209.43548387096777</v>
      </c>
    </row>
    <row r="746" spans="52:56" x14ac:dyDescent="0.25">
      <c r="AZ746" s="6">
        <v>743</v>
      </c>
      <c r="BA746" s="6">
        <v>0.04</v>
      </c>
      <c r="BB746" s="6">
        <v>0</v>
      </c>
      <c r="BC746" s="6">
        <v>523</v>
      </c>
      <c r="BD746" s="6">
        <v>209.7177419354839</v>
      </c>
    </row>
    <row r="747" spans="52:56" x14ac:dyDescent="0.25">
      <c r="AZ747" s="6">
        <v>744</v>
      </c>
      <c r="BA747" s="6">
        <v>0.04</v>
      </c>
      <c r="BB747" s="6">
        <v>1</v>
      </c>
      <c r="BC747" s="6">
        <v>524</v>
      </c>
      <c r="BD747" s="6">
        <v>210.00000000000003</v>
      </c>
    </row>
    <row r="748" spans="52:56" x14ac:dyDescent="0.25">
      <c r="AZ748" s="5">
        <v>745</v>
      </c>
      <c r="BA748" s="5">
        <v>0.04</v>
      </c>
      <c r="BB748" s="5">
        <v>0</v>
      </c>
      <c r="BC748" s="5">
        <v>524</v>
      </c>
      <c r="BD748" s="5">
        <v>210.28225806451616</v>
      </c>
    </row>
    <row r="749" spans="52:56" x14ac:dyDescent="0.25">
      <c r="AZ749" s="5">
        <v>746</v>
      </c>
      <c r="BA749" s="5">
        <v>0.04</v>
      </c>
      <c r="BB749" s="5">
        <v>0</v>
      </c>
      <c r="BC749" s="5">
        <v>524</v>
      </c>
      <c r="BD749" s="5">
        <v>210.56451612903228</v>
      </c>
    </row>
    <row r="750" spans="52:56" x14ac:dyDescent="0.25">
      <c r="AZ750" s="5">
        <v>747</v>
      </c>
      <c r="BA750" s="5">
        <v>0.04</v>
      </c>
      <c r="BB750" s="5">
        <v>0</v>
      </c>
      <c r="BC750" s="5">
        <v>524</v>
      </c>
      <c r="BD750" s="5">
        <v>210.84677419354841</v>
      </c>
    </row>
    <row r="751" spans="52:56" x14ac:dyDescent="0.25">
      <c r="AZ751" s="5">
        <v>748</v>
      </c>
      <c r="BA751" s="5">
        <v>0.04</v>
      </c>
      <c r="BB751" s="5">
        <v>0</v>
      </c>
      <c r="BC751" s="5">
        <v>524</v>
      </c>
      <c r="BD751" s="5">
        <v>211.12903225806454</v>
      </c>
    </row>
    <row r="752" spans="52:56" x14ac:dyDescent="0.25">
      <c r="AZ752" s="5">
        <v>749</v>
      </c>
      <c r="BA752" s="5">
        <v>0.04</v>
      </c>
      <c r="BB752" s="5">
        <v>0</v>
      </c>
      <c r="BC752" s="5">
        <v>524</v>
      </c>
      <c r="BD752" s="5">
        <v>211.41129032258067</v>
      </c>
    </row>
    <row r="753" spans="52:56" x14ac:dyDescent="0.25">
      <c r="AZ753" s="5">
        <v>750</v>
      </c>
      <c r="BA753" s="5">
        <v>0.04</v>
      </c>
      <c r="BB753" s="5">
        <v>0</v>
      </c>
      <c r="BC753" s="5">
        <v>524</v>
      </c>
      <c r="BD753" s="5">
        <v>211.6935483870968</v>
      </c>
    </row>
    <row r="754" spans="52:56" x14ac:dyDescent="0.25">
      <c r="AZ754" s="5">
        <v>751</v>
      </c>
      <c r="BA754" s="5">
        <v>0.04</v>
      </c>
      <c r="BB754" s="5">
        <v>0</v>
      </c>
      <c r="BC754" s="5">
        <v>524</v>
      </c>
      <c r="BD754" s="5">
        <v>211.97580645161293</v>
      </c>
    </row>
    <row r="755" spans="52:56" x14ac:dyDescent="0.25">
      <c r="AZ755" s="5">
        <v>752</v>
      </c>
      <c r="BA755" s="5">
        <v>0.04</v>
      </c>
      <c r="BB755" s="5">
        <v>0</v>
      </c>
      <c r="BC755" s="5">
        <v>524</v>
      </c>
      <c r="BD755" s="5">
        <v>212.25806451612905</v>
      </c>
    </row>
    <row r="756" spans="52:56" x14ac:dyDescent="0.25">
      <c r="AZ756" s="5">
        <v>753</v>
      </c>
      <c r="BA756" s="5">
        <v>0.04</v>
      </c>
      <c r="BB756" s="5">
        <v>0</v>
      </c>
      <c r="BC756" s="5">
        <v>524</v>
      </c>
      <c r="BD756" s="5">
        <v>212.54032258064518</v>
      </c>
    </row>
    <row r="757" spans="52:56" x14ac:dyDescent="0.25">
      <c r="AZ757" s="5">
        <v>754</v>
      </c>
      <c r="BA757" s="5">
        <v>0.04</v>
      </c>
      <c r="BB757" s="5">
        <v>0</v>
      </c>
      <c r="BC757" s="5">
        <v>524</v>
      </c>
      <c r="BD757" s="5">
        <v>212.82258064516131</v>
      </c>
    </row>
    <row r="758" spans="52:56" x14ac:dyDescent="0.25">
      <c r="AZ758" s="5">
        <v>755</v>
      </c>
      <c r="BA758" s="5">
        <v>0.04</v>
      </c>
      <c r="BB758" s="5">
        <v>0</v>
      </c>
      <c r="BC758" s="5">
        <v>524</v>
      </c>
      <c r="BD758" s="5">
        <v>213.10483870967744</v>
      </c>
    </row>
    <row r="759" spans="52:56" x14ac:dyDescent="0.25">
      <c r="AZ759" s="5">
        <v>756</v>
      </c>
      <c r="BA759" s="5">
        <v>0.04</v>
      </c>
      <c r="BB759" s="5">
        <v>0</v>
      </c>
      <c r="BC759" s="5">
        <v>524</v>
      </c>
      <c r="BD759" s="5">
        <v>213.38709677419357</v>
      </c>
    </row>
    <row r="760" spans="52:56" x14ac:dyDescent="0.25">
      <c r="AZ760" s="5">
        <v>757</v>
      </c>
      <c r="BA760" s="5">
        <v>0.04</v>
      </c>
      <c r="BB760" s="5">
        <v>0</v>
      </c>
      <c r="BC760" s="5">
        <v>524</v>
      </c>
      <c r="BD760" s="5">
        <v>213.66935483870969</v>
      </c>
    </row>
    <row r="761" spans="52:56" x14ac:dyDescent="0.25">
      <c r="AZ761" s="5">
        <v>758</v>
      </c>
      <c r="BA761" s="5">
        <v>0.04</v>
      </c>
      <c r="BB761" s="5">
        <v>0</v>
      </c>
      <c r="BC761" s="5">
        <v>524</v>
      </c>
      <c r="BD761" s="5">
        <v>213.95161290322582</v>
      </c>
    </row>
    <row r="762" spans="52:56" x14ac:dyDescent="0.25">
      <c r="AZ762" s="5">
        <v>759</v>
      </c>
      <c r="BA762" s="5">
        <v>0.04</v>
      </c>
      <c r="BB762" s="5">
        <v>0</v>
      </c>
      <c r="BC762" s="5">
        <v>524</v>
      </c>
      <c r="BD762" s="5">
        <v>214.23387096774195</v>
      </c>
    </row>
    <row r="763" spans="52:56" x14ac:dyDescent="0.25">
      <c r="AZ763" s="5">
        <v>760</v>
      </c>
      <c r="BA763" s="5">
        <v>0.04</v>
      </c>
      <c r="BB763" s="5">
        <v>0</v>
      </c>
      <c r="BC763" s="5">
        <v>524</v>
      </c>
      <c r="BD763" s="5">
        <v>214.51612903225808</v>
      </c>
    </row>
    <row r="764" spans="52:56" x14ac:dyDescent="0.25">
      <c r="AZ764" s="5">
        <v>761</v>
      </c>
      <c r="BA764" s="5">
        <v>0.04</v>
      </c>
      <c r="BB764" s="5">
        <v>0</v>
      </c>
      <c r="BC764" s="5">
        <v>524</v>
      </c>
      <c r="BD764" s="5">
        <v>214.79838709677421</v>
      </c>
    </row>
    <row r="765" spans="52:56" x14ac:dyDescent="0.25">
      <c r="AZ765" s="5">
        <v>762</v>
      </c>
      <c r="BA765" s="5">
        <v>0.04</v>
      </c>
      <c r="BB765" s="5">
        <v>0</v>
      </c>
      <c r="BC765" s="5">
        <v>524</v>
      </c>
      <c r="BD765" s="5">
        <v>215.08064516129033</v>
      </c>
    </row>
    <row r="766" spans="52:56" x14ac:dyDescent="0.25">
      <c r="AZ766" s="5">
        <v>763</v>
      </c>
      <c r="BA766" s="5">
        <v>0.04</v>
      </c>
      <c r="BB766" s="5">
        <v>0</v>
      </c>
      <c r="BC766" s="5">
        <v>524</v>
      </c>
      <c r="BD766" s="5">
        <v>215.36290322580646</v>
      </c>
    </row>
    <row r="767" spans="52:56" x14ac:dyDescent="0.25">
      <c r="AZ767" s="5">
        <v>764</v>
      </c>
      <c r="BA767" s="5">
        <v>3.4482758620689655E-2</v>
      </c>
      <c r="BB767" s="5">
        <v>0</v>
      </c>
      <c r="BC767" s="5">
        <v>524</v>
      </c>
      <c r="BD767" s="5">
        <v>215.64516129032259</v>
      </c>
    </row>
    <row r="768" spans="52:56" x14ac:dyDescent="0.25">
      <c r="AZ768" s="5">
        <v>765</v>
      </c>
      <c r="BA768" s="5">
        <v>3.4482758620689655E-2</v>
      </c>
      <c r="BB768" s="5">
        <v>0</v>
      </c>
      <c r="BC768" s="5">
        <v>524</v>
      </c>
      <c r="BD768" s="5">
        <v>215.92741935483872</v>
      </c>
    </row>
    <row r="769" spans="52:56" x14ac:dyDescent="0.25">
      <c r="AZ769" s="5">
        <v>766</v>
      </c>
      <c r="BA769" s="5">
        <v>3.4482758620689655E-2</v>
      </c>
      <c r="BB769" s="5">
        <v>0</v>
      </c>
      <c r="BC769" s="5">
        <v>524</v>
      </c>
      <c r="BD769" s="5">
        <v>216.20967741935485</v>
      </c>
    </row>
    <row r="770" spans="52:56" x14ac:dyDescent="0.25">
      <c r="AZ770" s="5">
        <v>767</v>
      </c>
      <c r="BA770" s="5">
        <v>3.4482758620689655E-2</v>
      </c>
      <c r="BB770" s="5">
        <v>0</v>
      </c>
      <c r="BC770" s="5">
        <v>524</v>
      </c>
      <c r="BD770" s="5">
        <v>216.49193548387098</v>
      </c>
    </row>
    <row r="771" spans="52:56" x14ac:dyDescent="0.25">
      <c r="AZ771" s="5">
        <v>768</v>
      </c>
      <c r="BA771" s="5">
        <v>3.4482758620689655E-2</v>
      </c>
      <c r="BB771" s="5">
        <v>0</v>
      </c>
      <c r="BC771" s="5">
        <v>524</v>
      </c>
      <c r="BD771" s="5">
        <v>216.77419354838713</v>
      </c>
    </row>
    <row r="772" spans="52:56" x14ac:dyDescent="0.25">
      <c r="AZ772" s="5">
        <v>769</v>
      </c>
      <c r="BA772" s="5">
        <v>3.4482758620689655E-2</v>
      </c>
      <c r="BB772" s="5">
        <v>0</v>
      </c>
      <c r="BC772" s="5">
        <v>524</v>
      </c>
      <c r="BD772" s="5">
        <v>217.05645161290326</v>
      </c>
    </row>
    <row r="773" spans="52:56" x14ac:dyDescent="0.25">
      <c r="AZ773" s="5">
        <v>770</v>
      </c>
      <c r="BA773" s="5">
        <v>3.4482758620689655E-2</v>
      </c>
      <c r="BB773" s="5">
        <v>0</v>
      </c>
      <c r="BC773" s="5">
        <v>524</v>
      </c>
      <c r="BD773" s="5">
        <v>217.33870967741939</v>
      </c>
    </row>
    <row r="774" spans="52:56" x14ac:dyDescent="0.25">
      <c r="AZ774" s="5">
        <v>771</v>
      </c>
      <c r="BA774" s="5">
        <v>3.4482758620689655E-2</v>
      </c>
      <c r="BB774" s="5">
        <v>0</v>
      </c>
      <c r="BC774" s="5">
        <v>524</v>
      </c>
      <c r="BD774" s="5">
        <v>217.62096774193552</v>
      </c>
    </row>
    <row r="775" spans="52:56" x14ac:dyDescent="0.25">
      <c r="AZ775" s="5">
        <v>772</v>
      </c>
      <c r="BA775" s="5">
        <v>3.4482758620689655E-2</v>
      </c>
      <c r="BB775" s="5">
        <v>0</v>
      </c>
      <c r="BC775" s="5">
        <v>524</v>
      </c>
      <c r="BD775" s="5">
        <v>217.90322580645164</v>
      </c>
    </row>
    <row r="776" spans="52:56" x14ac:dyDescent="0.25">
      <c r="AZ776" s="5">
        <v>773</v>
      </c>
      <c r="BA776" s="5">
        <v>3.4482758620689655E-2</v>
      </c>
      <c r="BB776" s="5">
        <v>0</v>
      </c>
      <c r="BC776" s="5">
        <v>524</v>
      </c>
      <c r="BD776" s="5">
        <v>218.18548387096777</v>
      </c>
    </row>
    <row r="777" spans="52:56" x14ac:dyDescent="0.25">
      <c r="AZ777" s="5">
        <v>774</v>
      </c>
      <c r="BA777" s="5">
        <v>3.4482758620689655E-2</v>
      </c>
      <c r="BB777" s="5">
        <v>0</v>
      </c>
      <c r="BC777" s="5">
        <v>524</v>
      </c>
      <c r="BD777" s="5">
        <v>218.4677419354839</v>
      </c>
    </row>
    <row r="778" spans="52:56" x14ac:dyDescent="0.25">
      <c r="AZ778" s="5">
        <v>775</v>
      </c>
      <c r="BA778" s="5">
        <v>3.4482758620689655E-2</v>
      </c>
      <c r="BB778" s="5">
        <v>0</v>
      </c>
      <c r="BC778" s="5">
        <v>524</v>
      </c>
      <c r="BD778" s="5">
        <v>218.75000000000003</v>
      </c>
    </row>
    <row r="779" spans="52:56" x14ac:dyDescent="0.25">
      <c r="AZ779" s="5">
        <v>776</v>
      </c>
      <c r="BA779" s="5">
        <v>3.4482758620689655E-2</v>
      </c>
      <c r="BB779" s="5">
        <v>0</v>
      </c>
      <c r="BC779" s="5">
        <v>524</v>
      </c>
      <c r="BD779" s="5">
        <v>219.03225806451616</v>
      </c>
    </row>
    <row r="780" spans="52:56" x14ac:dyDescent="0.25">
      <c r="AZ780" s="5">
        <v>777</v>
      </c>
      <c r="BA780" s="5">
        <v>3.4482758620689655E-2</v>
      </c>
      <c r="BB780" s="5">
        <v>0</v>
      </c>
      <c r="BC780" s="5">
        <v>524</v>
      </c>
      <c r="BD780" s="5">
        <v>219.31451612903228</v>
      </c>
    </row>
    <row r="781" spans="52:56" x14ac:dyDescent="0.25">
      <c r="AZ781" s="5">
        <v>778</v>
      </c>
      <c r="BA781" s="5">
        <v>3.4482758620689655E-2</v>
      </c>
      <c r="BB781" s="5">
        <v>0</v>
      </c>
      <c r="BC781" s="5">
        <v>524</v>
      </c>
      <c r="BD781" s="5">
        <v>219.59677419354841</v>
      </c>
    </row>
    <row r="782" spans="52:56" x14ac:dyDescent="0.25">
      <c r="AZ782" s="5">
        <v>779</v>
      </c>
      <c r="BA782" s="5">
        <v>3.4482758620689655E-2</v>
      </c>
      <c r="BB782" s="5">
        <v>0</v>
      </c>
      <c r="BC782" s="5">
        <v>524</v>
      </c>
      <c r="BD782" s="5">
        <v>219.87903225806454</v>
      </c>
    </row>
    <row r="783" spans="52:56" x14ac:dyDescent="0.25">
      <c r="AZ783" s="5">
        <v>780</v>
      </c>
      <c r="BA783" s="5">
        <v>3.4482758620689655E-2</v>
      </c>
      <c r="BB783" s="5">
        <v>0</v>
      </c>
      <c r="BC783" s="5">
        <v>524</v>
      </c>
      <c r="BD783" s="5">
        <v>220.16129032258067</v>
      </c>
    </row>
    <row r="784" spans="52:56" x14ac:dyDescent="0.25">
      <c r="AZ784" s="5">
        <v>781</v>
      </c>
      <c r="BA784" s="5">
        <v>3.4482758620689655E-2</v>
      </c>
      <c r="BB784" s="5">
        <v>0</v>
      </c>
      <c r="BC784" s="5">
        <v>524</v>
      </c>
      <c r="BD784" s="5">
        <v>220.4435483870968</v>
      </c>
    </row>
    <row r="785" spans="52:56" x14ac:dyDescent="0.25">
      <c r="AZ785" s="5">
        <v>782</v>
      </c>
      <c r="BA785" s="5">
        <v>3.4482758620689655E-2</v>
      </c>
      <c r="BB785" s="5">
        <v>0</v>
      </c>
      <c r="BC785" s="5">
        <v>524</v>
      </c>
      <c r="BD785" s="5">
        <v>220.72580645161293</v>
      </c>
    </row>
    <row r="786" spans="52:56" x14ac:dyDescent="0.25">
      <c r="AZ786" s="5">
        <v>783</v>
      </c>
      <c r="BA786" s="5">
        <v>3.4482758620689655E-2</v>
      </c>
      <c r="BB786" s="5">
        <v>0</v>
      </c>
      <c r="BC786" s="5">
        <v>524</v>
      </c>
      <c r="BD786" s="5">
        <v>221.00806451612905</v>
      </c>
    </row>
    <row r="787" spans="52:56" x14ac:dyDescent="0.25">
      <c r="AZ787" s="5">
        <v>784</v>
      </c>
      <c r="BA787" s="5">
        <v>3.4482758620689655E-2</v>
      </c>
      <c r="BB787" s="5">
        <v>0</v>
      </c>
      <c r="BC787" s="5">
        <v>524</v>
      </c>
      <c r="BD787" s="5">
        <v>221.29032258064518</v>
      </c>
    </row>
    <row r="788" spans="52:56" x14ac:dyDescent="0.25">
      <c r="AZ788" s="5">
        <v>785</v>
      </c>
      <c r="BA788" s="5">
        <v>3.4482758620689655E-2</v>
      </c>
      <c r="BB788" s="5">
        <v>0</v>
      </c>
      <c r="BC788" s="5">
        <v>524</v>
      </c>
      <c r="BD788" s="5">
        <v>221.57258064516131</v>
      </c>
    </row>
    <row r="789" spans="52:56" x14ac:dyDescent="0.25">
      <c r="AZ789" s="5">
        <v>786</v>
      </c>
      <c r="BA789" s="5">
        <v>3.4482758620689655E-2</v>
      </c>
      <c r="BB789" s="5">
        <v>0</v>
      </c>
      <c r="BC789" s="5">
        <v>524</v>
      </c>
      <c r="BD789" s="5">
        <v>221.85483870967744</v>
      </c>
    </row>
    <row r="790" spans="52:56" x14ac:dyDescent="0.25">
      <c r="AZ790" s="5">
        <v>787</v>
      </c>
      <c r="BA790" s="5">
        <v>3.4482758620689655E-2</v>
      </c>
      <c r="BB790" s="5">
        <v>0</v>
      </c>
      <c r="BC790" s="5">
        <v>524</v>
      </c>
      <c r="BD790" s="5">
        <v>222.13709677419357</v>
      </c>
    </row>
    <row r="791" spans="52:56" x14ac:dyDescent="0.25">
      <c r="AZ791" s="5">
        <v>788</v>
      </c>
      <c r="BA791" s="5">
        <v>3.4482758620689655E-2</v>
      </c>
      <c r="BB791" s="5">
        <v>0</v>
      </c>
      <c r="BC791" s="5">
        <v>524</v>
      </c>
      <c r="BD791" s="5">
        <v>222.41935483870969</v>
      </c>
    </row>
    <row r="792" spans="52:56" x14ac:dyDescent="0.25">
      <c r="AZ792" s="5">
        <v>789</v>
      </c>
      <c r="BA792" s="5">
        <v>3.4482758620689655E-2</v>
      </c>
      <c r="BB792" s="5">
        <v>1</v>
      </c>
      <c r="BC792" s="5">
        <v>525</v>
      </c>
      <c r="BD792" s="5">
        <v>222.70161290322582</v>
      </c>
    </row>
    <row r="793" spans="52:56" x14ac:dyDescent="0.25">
      <c r="AZ793" s="5">
        <v>790</v>
      </c>
      <c r="BA793" s="5">
        <v>3.4482758620689655E-2</v>
      </c>
      <c r="BB793" s="5">
        <v>0</v>
      </c>
      <c r="BC793" s="5">
        <v>525</v>
      </c>
      <c r="BD793" s="5">
        <v>222.98387096774195</v>
      </c>
    </row>
    <row r="794" spans="52:56" x14ac:dyDescent="0.25">
      <c r="AZ794" s="5">
        <v>791</v>
      </c>
      <c r="BA794" s="5">
        <v>3.4482758620689655E-2</v>
      </c>
      <c r="BB794" s="5">
        <v>0</v>
      </c>
      <c r="BC794" s="5">
        <v>525</v>
      </c>
      <c r="BD794" s="5">
        <v>223.26612903225808</v>
      </c>
    </row>
    <row r="795" spans="52:56" x14ac:dyDescent="0.25">
      <c r="AZ795" s="5">
        <v>792</v>
      </c>
      <c r="BA795" s="5">
        <v>3.4482758620689655E-2</v>
      </c>
      <c r="BB795" s="5">
        <v>0</v>
      </c>
      <c r="BC795" s="5">
        <v>525</v>
      </c>
      <c r="BD795" s="5">
        <v>223.54838709677421</v>
      </c>
    </row>
    <row r="796" spans="52:56" x14ac:dyDescent="0.25">
      <c r="AZ796" s="5">
        <v>793</v>
      </c>
      <c r="BA796" s="5">
        <v>0</v>
      </c>
      <c r="BB796" s="5">
        <v>0</v>
      </c>
      <c r="BC796" s="5">
        <v>525</v>
      </c>
      <c r="BD796" s="5">
        <v>223.83064516129033</v>
      </c>
    </row>
    <row r="797" spans="52:56" x14ac:dyDescent="0.25">
      <c r="AZ797" s="5">
        <v>794</v>
      </c>
      <c r="BA797" s="5">
        <v>0</v>
      </c>
      <c r="BB797" s="5">
        <v>0</v>
      </c>
      <c r="BC797" s="5">
        <v>525</v>
      </c>
      <c r="BD797" s="5">
        <v>224.11290322580646</v>
      </c>
    </row>
    <row r="798" spans="52:56" x14ac:dyDescent="0.25">
      <c r="AZ798" s="5">
        <v>795</v>
      </c>
      <c r="BA798" s="5">
        <v>0</v>
      </c>
      <c r="BB798" s="5">
        <v>0</v>
      </c>
      <c r="BC798" s="5">
        <v>525</v>
      </c>
      <c r="BD798" s="5">
        <v>224.39516129032259</v>
      </c>
    </row>
    <row r="799" spans="52:56" x14ac:dyDescent="0.25">
      <c r="AZ799" s="5">
        <v>796</v>
      </c>
      <c r="BA799" s="5">
        <v>0</v>
      </c>
      <c r="BB799" s="5">
        <v>0</v>
      </c>
      <c r="BC799" s="5">
        <v>525</v>
      </c>
      <c r="BD799" s="5">
        <v>224.67741935483872</v>
      </c>
    </row>
    <row r="800" spans="52:56" x14ac:dyDescent="0.25">
      <c r="AZ800" s="5">
        <v>797</v>
      </c>
      <c r="BA800" s="5">
        <v>0</v>
      </c>
      <c r="BB800" s="5">
        <v>0</v>
      </c>
      <c r="BC800" s="5">
        <v>525</v>
      </c>
      <c r="BD800" s="5">
        <v>224.95967741935485</v>
      </c>
    </row>
    <row r="801" spans="52:56" x14ac:dyDescent="0.25">
      <c r="AZ801" s="5">
        <v>798</v>
      </c>
      <c r="BA801" s="5">
        <v>0</v>
      </c>
      <c r="BB801" s="5">
        <v>0</v>
      </c>
      <c r="BC801" s="5">
        <v>525</v>
      </c>
      <c r="BD801" s="5">
        <v>225.24193548387098</v>
      </c>
    </row>
    <row r="802" spans="52:56" x14ac:dyDescent="0.25">
      <c r="AZ802" s="5">
        <v>799</v>
      </c>
      <c r="BA802" s="5">
        <v>0</v>
      </c>
      <c r="BB802" s="5">
        <v>0</v>
      </c>
      <c r="BC802" s="5">
        <v>525</v>
      </c>
      <c r="BD802" s="5">
        <v>225.52419354838713</v>
      </c>
    </row>
    <row r="803" spans="52:56" x14ac:dyDescent="0.25">
      <c r="AZ803" s="5">
        <v>800</v>
      </c>
      <c r="BA803" s="5">
        <v>0</v>
      </c>
      <c r="BB803" s="5">
        <v>0</v>
      </c>
      <c r="BC803" s="5">
        <v>525</v>
      </c>
      <c r="BD803" s="5">
        <v>225.80645161290326</v>
      </c>
    </row>
    <row r="804" spans="52:56" x14ac:dyDescent="0.25">
      <c r="AZ804" s="5">
        <v>801</v>
      </c>
      <c r="BA804" s="5">
        <v>0</v>
      </c>
      <c r="BB804" s="5">
        <v>0</v>
      </c>
      <c r="BC804" s="5">
        <v>525</v>
      </c>
      <c r="BD804" s="5">
        <v>226.08870967741939</v>
      </c>
    </row>
    <row r="805" spans="52:56" x14ac:dyDescent="0.25">
      <c r="AZ805" s="5">
        <v>802</v>
      </c>
      <c r="BA805" s="5">
        <v>0</v>
      </c>
      <c r="BB805" s="5">
        <v>0</v>
      </c>
      <c r="BC805" s="5">
        <v>525</v>
      </c>
      <c r="BD805" s="5">
        <v>226.37096774193552</v>
      </c>
    </row>
    <row r="806" spans="52:56" x14ac:dyDescent="0.25">
      <c r="AZ806" s="5">
        <v>803</v>
      </c>
      <c r="BA806" s="5">
        <v>0</v>
      </c>
      <c r="BB806" s="5">
        <v>0</v>
      </c>
      <c r="BC806" s="5">
        <v>525</v>
      </c>
      <c r="BD806" s="5">
        <v>226.65322580645164</v>
      </c>
    </row>
    <row r="807" spans="52:56" x14ac:dyDescent="0.25">
      <c r="AZ807" s="5">
        <v>804</v>
      </c>
      <c r="BA807" s="5">
        <v>0</v>
      </c>
      <c r="BB807" s="5">
        <v>0</v>
      </c>
      <c r="BC807" s="5">
        <v>525</v>
      </c>
      <c r="BD807" s="5">
        <v>226.93548387096777</v>
      </c>
    </row>
    <row r="808" spans="52:56" x14ac:dyDescent="0.25">
      <c r="AZ808" s="5">
        <v>805</v>
      </c>
      <c r="BA808" s="5">
        <v>0</v>
      </c>
      <c r="BB808" s="5">
        <v>0</v>
      </c>
      <c r="BC808" s="5">
        <v>525</v>
      </c>
      <c r="BD808" s="5">
        <v>227.2177419354839</v>
      </c>
    </row>
    <row r="809" spans="52:56" x14ac:dyDescent="0.25">
      <c r="AZ809" s="5">
        <v>806</v>
      </c>
      <c r="BA809" s="5">
        <v>0</v>
      </c>
      <c r="BB809" s="5">
        <v>0</v>
      </c>
      <c r="BC809" s="5">
        <v>525</v>
      </c>
      <c r="BD809" s="5">
        <v>227.50000000000003</v>
      </c>
    </row>
    <row r="810" spans="52:56" x14ac:dyDescent="0.25">
      <c r="AZ810" s="5">
        <v>807</v>
      </c>
      <c r="BA810" s="5">
        <v>0</v>
      </c>
      <c r="BB810" s="5">
        <v>0</v>
      </c>
      <c r="BC810" s="5">
        <v>525</v>
      </c>
      <c r="BD810" s="5">
        <v>227.78225806451616</v>
      </c>
    </row>
    <row r="811" spans="52:56" x14ac:dyDescent="0.25">
      <c r="AZ811" s="5">
        <v>808</v>
      </c>
      <c r="BA811" s="5">
        <v>0</v>
      </c>
      <c r="BB811" s="5">
        <v>0</v>
      </c>
      <c r="BC811" s="5">
        <v>525</v>
      </c>
      <c r="BD811" s="5">
        <v>228.06451612903228</v>
      </c>
    </row>
    <row r="812" spans="52:56" x14ac:dyDescent="0.25">
      <c r="AZ812" s="5">
        <v>809</v>
      </c>
      <c r="BA812" s="5">
        <v>0</v>
      </c>
      <c r="BB812" s="5">
        <v>0</v>
      </c>
      <c r="BC812" s="5">
        <v>525</v>
      </c>
      <c r="BD812" s="5">
        <v>228.34677419354841</v>
      </c>
    </row>
    <row r="813" spans="52:56" x14ac:dyDescent="0.25">
      <c r="AZ813" s="5">
        <v>810</v>
      </c>
      <c r="BA813" s="5">
        <v>0</v>
      </c>
      <c r="BB813" s="5">
        <v>0</v>
      </c>
      <c r="BC813" s="5">
        <v>525</v>
      </c>
      <c r="BD813" s="5">
        <v>228.62903225806454</v>
      </c>
    </row>
    <row r="814" spans="52:56" x14ac:dyDescent="0.25">
      <c r="AZ814" s="5">
        <v>811</v>
      </c>
      <c r="BA814" s="5">
        <v>0</v>
      </c>
      <c r="BB814" s="5">
        <v>0</v>
      </c>
      <c r="BC814" s="5">
        <v>525</v>
      </c>
      <c r="BD814" s="5">
        <v>228.91129032258067</v>
      </c>
    </row>
    <row r="815" spans="52:56" x14ac:dyDescent="0.25">
      <c r="AZ815" s="5">
        <v>812</v>
      </c>
      <c r="BA815" s="5">
        <v>0</v>
      </c>
      <c r="BB815" s="5">
        <v>0</v>
      </c>
      <c r="BC815" s="5">
        <v>525</v>
      </c>
      <c r="BD815" s="5">
        <v>229.1935483870968</v>
      </c>
    </row>
    <row r="816" spans="52:56" x14ac:dyDescent="0.25">
      <c r="AZ816" s="5">
        <v>813</v>
      </c>
      <c r="BA816" s="5">
        <v>0</v>
      </c>
      <c r="BB816" s="5">
        <v>0</v>
      </c>
      <c r="BC816" s="5">
        <v>525</v>
      </c>
      <c r="BD816" s="5">
        <v>229.47580645161293</v>
      </c>
    </row>
    <row r="817" spans="52:56" x14ac:dyDescent="0.25">
      <c r="AZ817" s="5">
        <v>814</v>
      </c>
      <c r="BA817" s="5">
        <v>0</v>
      </c>
      <c r="BB817" s="5">
        <v>0</v>
      </c>
      <c r="BC817" s="5">
        <v>525</v>
      </c>
      <c r="BD817" s="5">
        <v>229.75806451612905</v>
      </c>
    </row>
    <row r="818" spans="52:56" x14ac:dyDescent="0.25">
      <c r="AZ818" s="5">
        <v>815</v>
      </c>
      <c r="BA818" s="5">
        <v>0</v>
      </c>
      <c r="BB818" s="5">
        <v>0</v>
      </c>
      <c r="BC818" s="5">
        <v>525</v>
      </c>
      <c r="BD818" s="5">
        <v>230.04032258064518</v>
      </c>
    </row>
    <row r="819" spans="52:56" x14ac:dyDescent="0.25">
      <c r="AZ819" s="5">
        <v>816</v>
      </c>
      <c r="BA819" s="5">
        <v>0</v>
      </c>
      <c r="BB819" s="5">
        <v>0</v>
      </c>
      <c r="BC819" s="5">
        <v>525</v>
      </c>
      <c r="BD819" s="5">
        <v>230.32258064516131</v>
      </c>
    </row>
    <row r="820" spans="52:56" x14ac:dyDescent="0.25">
      <c r="AZ820" s="5">
        <v>817</v>
      </c>
      <c r="BA820" s="5">
        <v>0</v>
      </c>
      <c r="BB820" s="5">
        <v>0</v>
      </c>
      <c r="BC820" s="5">
        <v>525</v>
      </c>
      <c r="BD820" s="5">
        <v>230.60483870967744</v>
      </c>
    </row>
    <row r="821" spans="52:56" x14ac:dyDescent="0.25">
      <c r="AZ821" s="5">
        <v>818</v>
      </c>
      <c r="BA821" s="5">
        <v>0</v>
      </c>
      <c r="BB821" s="5">
        <v>0</v>
      </c>
      <c r="BC821" s="5">
        <v>525</v>
      </c>
      <c r="BD821" s="5">
        <v>230.88709677419357</v>
      </c>
    </row>
    <row r="822" spans="52:56" x14ac:dyDescent="0.25">
      <c r="AZ822" s="5">
        <v>819</v>
      </c>
      <c r="BA822" s="5">
        <v>0</v>
      </c>
      <c r="BB822" s="5">
        <v>0</v>
      </c>
      <c r="BC822" s="5">
        <v>525</v>
      </c>
      <c r="BD822" s="5">
        <v>231.16935483870969</v>
      </c>
    </row>
    <row r="823" spans="52:56" x14ac:dyDescent="0.25">
      <c r="AZ823" s="5">
        <v>820</v>
      </c>
      <c r="BA823" s="5">
        <v>0</v>
      </c>
      <c r="BB823" s="5">
        <v>0</v>
      </c>
      <c r="BC823" s="5">
        <v>525</v>
      </c>
      <c r="BD823" s="5">
        <v>231.45161290322582</v>
      </c>
    </row>
    <row r="824" spans="52:56" x14ac:dyDescent="0.25">
      <c r="AZ824" s="5">
        <v>821</v>
      </c>
      <c r="BA824" s="5">
        <v>0</v>
      </c>
      <c r="BB824" s="5">
        <v>0</v>
      </c>
      <c r="BC824" s="5">
        <v>525</v>
      </c>
      <c r="BD824" s="5">
        <v>231.73387096774195</v>
      </c>
    </row>
    <row r="825" spans="52:56" x14ac:dyDescent="0.25">
      <c r="AZ825" s="5">
        <v>822</v>
      </c>
      <c r="BA825" s="5">
        <v>0</v>
      </c>
      <c r="BB825" s="5">
        <v>0</v>
      </c>
      <c r="BC825" s="5">
        <v>525</v>
      </c>
      <c r="BD825" s="5">
        <v>232.01612903225808</v>
      </c>
    </row>
    <row r="826" spans="52:56" x14ac:dyDescent="0.25">
      <c r="AZ826" s="5">
        <v>823</v>
      </c>
      <c r="BA826" s="5">
        <v>0</v>
      </c>
      <c r="BB826" s="5">
        <v>0</v>
      </c>
      <c r="BC826" s="5">
        <v>525</v>
      </c>
      <c r="BD826" s="5">
        <v>232.29838709677421</v>
      </c>
    </row>
    <row r="827" spans="52:56" x14ac:dyDescent="0.25">
      <c r="AZ827" s="5">
        <v>824</v>
      </c>
      <c r="BA827" s="5">
        <v>0</v>
      </c>
      <c r="BB827" s="5">
        <v>0</v>
      </c>
      <c r="BC827" s="5">
        <v>525</v>
      </c>
      <c r="BD827" s="5">
        <v>232.58064516129033</v>
      </c>
    </row>
    <row r="828" spans="52:56" x14ac:dyDescent="0.25">
      <c r="AZ828" s="5">
        <v>825</v>
      </c>
      <c r="BA828" s="5">
        <v>0</v>
      </c>
      <c r="BB828" s="5">
        <v>0</v>
      </c>
      <c r="BC828" s="5">
        <v>525</v>
      </c>
      <c r="BD828" s="5">
        <v>232.86290322580646</v>
      </c>
    </row>
    <row r="829" spans="52:56" x14ac:dyDescent="0.25">
      <c r="AZ829" s="5">
        <v>826</v>
      </c>
      <c r="BA829" s="5">
        <v>0</v>
      </c>
      <c r="BB829" s="5">
        <v>0</v>
      </c>
      <c r="BC829" s="5">
        <v>525</v>
      </c>
      <c r="BD829" s="5">
        <v>233.14516129032259</v>
      </c>
    </row>
    <row r="830" spans="52:56" x14ac:dyDescent="0.25">
      <c r="AZ830" s="5">
        <v>827</v>
      </c>
      <c r="BA830" s="5">
        <v>0</v>
      </c>
      <c r="BB830" s="5">
        <v>0</v>
      </c>
      <c r="BC830" s="5">
        <v>525</v>
      </c>
      <c r="BD830" s="5">
        <v>233.42741935483872</v>
      </c>
    </row>
    <row r="831" spans="52:56" x14ac:dyDescent="0.25">
      <c r="AZ831" s="5">
        <v>828</v>
      </c>
      <c r="BA831" s="5">
        <v>0</v>
      </c>
      <c r="BB831" s="5">
        <v>0</v>
      </c>
      <c r="BC831" s="5">
        <v>525</v>
      </c>
      <c r="BD831" s="5">
        <v>233.70967741935485</v>
      </c>
    </row>
    <row r="832" spans="52:56" x14ac:dyDescent="0.25">
      <c r="AZ832" s="5">
        <v>829</v>
      </c>
      <c r="BA832" s="5">
        <v>0</v>
      </c>
      <c r="BB832" s="5">
        <v>0</v>
      </c>
      <c r="BC832" s="5">
        <v>525</v>
      </c>
      <c r="BD832" s="5">
        <v>233.991935483871</v>
      </c>
    </row>
    <row r="833" spans="52:56" x14ac:dyDescent="0.25">
      <c r="AZ833" s="5">
        <v>830</v>
      </c>
      <c r="BA833" s="5">
        <v>0</v>
      </c>
      <c r="BB833" s="5">
        <v>0</v>
      </c>
      <c r="BC833" s="5">
        <v>525</v>
      </c>
      <c r="BD833" s="5">
        <v>234.27419354838713</v>
      </c>
    </row>
    <row r="834" spans="52:56" x14ac:dyDescent="0.25">
      <c r="AZ834" s="5">
        <v>831</v>
      </c>
      <c r="BA834" s="5">
        <v>0</v>
      </c>
      <c r="BB834" s="5">
        <v>0</v>
      </c>
      <c r="BC834" s="5">
        <v>525</v>
      </c>
      <c r="BD834" s="5">
        <v>234.55645161290326</v>
      </c>
    </row>
    <row r="835" spans="52:56" x14ac:dyDescent="0.25">
      <c r="AZ835" s="5">
        <v>832</v>
      </c>
      <c r="BA835" s="5">
        <v>0</v>
      </c>
      <c r="BB835" s="5">
        <v>0</v>
      </c>
      <c r="BC835" s="5">
        <v>525</v>
      </c>
      <c r="BD835" s="5">
        <v>234.83870967741939</v>
      </c>
    </row>
    <row r="836" spans="52:56" x14ac:dyDescent="0.25">
      <c r="AZ836" s="5">
        <v>833</v>
      </c>
      <c r="BA836" s="5">
        <v>0</v>
      </c>
      <c r="BB836" s="5">
        <v>0</v>
      </c>
      <c r="BC836" s="5">
        <v>525</v>
      </c>
      <c r="BD836" s="5">
        <v>235.12096774193552</v>
      </c>
    </row>
    <row r="837" spans="52:56" x14ac:dyDescent="0.25">
      <c r="AZ837" s="5">
        <v>834</v>
      </c>
      <c r="BA837" s="5">
        <v>0</v>
      </c>
      <c r="BB837" s="5">
        <v>0</v>
      </c>
      <c r="BC837" s="5">
        <v>525</v>
      </c>
      <c r="BD837" s="5">
        <v>235.40322580645164</v>
      </c>
    </row>
    <row r="838" spans="52:56" x14ac:dyDescent="0.25">
      <c r="AZ838" s="5">
        <v>835</v>
      </c>
      <c r="BA838" s="5">
        <v>0</v>
      </c>
      <c r="BB838" s="5">
        <v>0</v>
      </c>
      <c r="BC838" s="5">
        <v>525</v>
      </c>
      <c r="BD838" s="5">
        <v>235.68548387096777</v>
      </c>
    </row>
    <row r="839" spans="52:56" x14ac:dyDescent="0.25">
      <c r="AZ839" s="5">
        <v>836</v>
      </c>
      <c r="BA839" s="5">
        <v>0</v>
      </c>
      <c r="BB839" s="5">
        <v>0</v>
      </c>
      <c r="BC839" s="5">
        <v>525</v>
      </c>
      <c r="BD839" s="5">
        <v>235.9677419354839</v>
      </c>
    </row>
    <row r="840" spans="52:56" x14ac:dyDescent="0.25">
      <c r="AZ840" s="5">
        <v>837</v>
      </c>
      <c r="BA840" s="5">
        <v>0</v>
      </c>
      <c r="BB840" s="5">
        <v>0</v>
      </c>
      <c r="BC840" s="5">
        <v>525</v>
      </c>
      <c r="BD840" s="5">
        <v>236.25000000000003</v>
      </c>
    </row>
    <row r="841" spans="52:56" x14ac:dyDescent="0.25">
      <c r="AZ841" s="5">
        <v>838</v>
      </c>
      <c r="BA841" s="5">
        <v>0</v>
      </c>
      <c r="BB841" s="5">
        <v>0</v>
      </c>
      <c r="BC841" s="5">
        <v>525</v>
      </c>
      <c r="BD841" s="5">
        <v>236.53225806451616</v>
      </c>
    </row>
    <row r="842" spans="52:56" x14ac:dyDescent="0.25">
      <c r="AZ842" s="5">
        <v>839</v>
      </c>
      <c r="BA842" s="5">
        <v>0</v>
      </c>
      <c r="BB842" s="5">
        <v>0</v>
      </c>
      <c r="BC842" s="5">
        <v>525</v>
      </c>
      <c r="BD842" s="5">
        <v>236.81451612903228</v>
      </c>
    </row>
    <row r="843" spans="52:56" x14ac:dyDescent="0.25">
      <c r="AZ843" s="5">
        <v>840</v>
      </c>
      <c r="BA843" s="5">
        <v>0</v>
      </c>
      <c r="BB843" s="5">
        <v>0</v>
      </c>
      <c r="BC843" s="5">
        <v>525</v>
      </c>
      <c r="BD843" s="5">
        <v>237.09677419354841</v>
      </c>
    </row>
    <row r="844" spans="52:56" x14ac:dyDescent="0.25">
      <c r="AZ844" s="5">
        <v>841</v>
      </c>
      <c r="BA844" s="5">
        <v>0</v>
      </c>
      <c r="BB844" s="5">
        <v>0</v>
      </c>
      <c r="BC844" s="5">
        <v>525</v>
      </c>
      <c r="BD844" s="5">
        <v>237.37903225806454</v>
      </c>
    </row>
    <row r="845" spans="52:56" x14ac:dyDescent="0.25">
      <c r="AZ845" s="5">
        <v>842</v>
      </c>
      <c r="BA845" s="5">
        <v>0</v>
      </c>
      <c r="BB845" s="5">
        <v>0</v>
      </c>
      <c r="BC845" s="5">
        <v>525</v>
      </c>
      <c r="BD845" s="5">
        <v>237.66129032258067</v>
      </c>
    </row>
    <row r="846" spans="52:56" x14ac:dyDescent="0.25">
      <c r="AZ846" s="5">
        <v>843</v>
      </c>
      <c r="BA846" s="5">
        <v>0</v>
      </c>
      <c r="BB846" s="5">
        <v>0</v>
      </c>
      <c r="BC846" s="5">
        <v>525</v>
      </c>
      <c r="BD846" s="5">
        <v>237.9435483870968</v>
      </c>
    </row>
    <row r="847" spans="52:56" x14ac:dyDescent="0.25">
      <c r="AZ847" s="5">
        <v>844</v>
      </c>
      <c r="BA847" s="5">
        <v>0</v>
      </c>
      <c r="BB847" s="5">
        <v>0</v>
      </c>
      <c r="BC847" s="5">
        <v>525</v>
      </c>
      <c r="BD847" s="5">
        <v>238.22580645161293</v>
      </c>
    </row>
    <row r="848" spans="52:56" x14ac:dyDescent="0.25">
      <c r="AZ848" s="5">
        <v>845</v>
      </c>
      <c r="BA848" s="5">
        <v>0</v>
      </c>
      <c r="BB848" s="5">
        <v>0</v>
      </c>
      <c r="BC848" s="5">
        <v>525</v>
      </c>
      <c r="BD848" s="5">
        <v>238.50806451612905</v>
      </c>
    </row>
    <row r="849" spans="52:56" x14ac:dyDescent="0.25">
      <c r="AZ849" s="5">
        <v>846</v>
      </c>
      <c r="BA849" s="5">
        <v>0</v>
      </c>
      <c r="BB849" s="5">
        <v>0</v>
      </c>
      <c r="BC849" s="5">
        <v>525</v>
      </c>
      <c r="BD849" s="5">
        <v>238.79032258064518</v>
      </c>
    </row>
    <row r="850" spans="52:56" x14ac:dyDescent="0.25">
      <c r="AZ850" s="5">
        <v>847</v>
      </c>
      <c r="BA850" s="5">
        <v>0</v>
      </c>
      <c r="BB850" s="5">
        <v>0</v>
      </c>
      <c r="BC850" s="5">
        <v>525</v>
      </c>
      <c r="BD850" s="5">
        <v>239.07258064516131</v>
      </c>
    </row>
    <row r="851" spans="52:56" x14ac:dyDescent="0.25">
      <c r="AZ851" s="5">
        <v>848</v>
      </c>
      <c r="BA851" s="5">
        <v>0</v>
      </c>
      <c r="BB851" s="5">
        <v>0</v>
      </c>
      <c r="BC851" s="5">
        <v>525</v>
      </c>
      <c r="BD851" s="5">
        <v>239.35483870967744</v>
      </c>
    </row>
    <row r="852" spans="52:56" x14ac:dyDescent="0.25">
      <c r="AZ852" s="5">
        <v>849</v>
      </c>
      <c r="BA852" s="5">
        <v>0</v>
      </c>
      <c r="BB852" s="5">
        <v>0</v>
      </c>
      <c r="BC852" s="5">
        <v>525</v>
      </c>
      <c r="BD852" s="5">
        <v>239.63709677419357</v>
      </c>
    </row>
    <row r="853" spans="52:56" x14ac:dyDescent="0.25">
      <c r="AZ853" s="5">
        <v>850</v>
      </c>
      <c r="BA853" s="5">
        <v>0</v>
      </c>
      <c r="BB853" s="5">
        <v>0</v>
      </c>
      <c r="BC853" s="5">
        <v>525</v>
      </c>
      <c r="BD853" s="5">
        <v>239.91935483870969</v>
      </c>
    </row>
    <row r="854" spans="52:56" x14ac:dyDescent="0.25">
      <c r="AZ854" s="5">
        <v>851</v>
      </c>
      <c r="BA854" s="5">
        <v>0</v>
      </c>
      <c r="BB854" s="5">
        <v>0</v>
      </c>
      <c r="BC854" s="5">
        <v>525</v>
      </c>
      <c r="BD854" s="5">
        <v>240.20161290322582</v>
      </c>
    </row>
    <row r="855" spans="52:56" x14ac:dyDescent="0.25">
      <c r="AZ855" s="5">
        <v>852</v>
      </c>
      <c r="BA855" s="5">
        <v>0</v>
      </c>
      <c r="BB855" s="5">
        <v>0</v>
      </c>
      <c r="BC855" s="5">
        <v>525</v>
      </c>
      <c r="BD855" s="5">
        <v>240.48387096774195</v>
      </c>
    </row>
    <row r="856" spans="52:56" x14ac:dyDescent="0.25">
      <c r="AZ856" s="5">
        <v>853</v>
      </c>
      <c r="BA856" s="5">
        <v>0</v>
      </c>
      <c r="BB856" s="5">
        <v>0</v>
      </c>
      <c r="BC856" s="5">
        <v>525</v>
      </c>
      <c r="BD856" s="5">
        <v>240.76612903225808</v>
      </c>
    </row>
    <row r="857" spans="52:56" x14ac:dyDescent="0.25">
      <c r="AZ857" s="5">
        <v>854</v>
      </c>
      <c r="BA857" s="5">
        <v>0</v>
      </c>
      <c r="BB857" s="5">
        <v>0</v>
      </c>
      <c r="BC857" s="5">
        <v>525</v>
      </c>
      <c r="BD857" s="5">
        <v>241.04838709677421</v>
      </c>
    </row>
    <row r="858" spans="52:56" x14ac:dyDescent="0.25">
      <c r="AZ858" s="5">
        <v>855</v>
      </c>
      <c r="BA858" s="5">
        <v>0</v>
      </c>
      <c r="BB858" s="5">
        <v>0</v>
      </c>
      <c r="BC858" s="5">
        <v>525</v>
      </c>
      <c r="BD858" s="5">
        <v>241.33064516129033</v>
      </c>
    </row>
    <row r="859" spans="52:56" x14ac:dyDescent="0.25">
      <c r="AZ859" s="5">
        <v>856</v>
      </c>
      <c r="BA859" s="5">
        <v>0</v>
      </c>
      <c r="BB859" s="5">
        <v>0</v>
      </c>
      <c r="BC859" s="5">
        <v>525</v>
      </c>
      <c r="BD859" s="5">
        <v>241.61290322580646</v>
      </c>
    </row>
    <row r="860" spans="52:56" x14ac:dyDescent="0.25">
      <c r="AZ860" s="5">
        <v>857</v>
      </c>
      <c r="BA860" s="5">
        <v>0</v>
      </c>
      <c r="BB860" s="5">
        <v>0</v>
      </c>
      <c r="BC860" s="5">
        <v>525</v>
      </c>
      <c r="BD860" s="5">
        <v>241.89516129032259</v>
      </c>
    </row>
    <row r="861" spans="52:56" x14ac:dyDescent="0.25">
      <c r="AZ861" s="5">
        <v>858</v>
      </c>
      <c r="BA861" s="5">
        <v>0</v>
      </c>
      <c r="BB861" s="5">
        <v>0</v>
      </c>
      <c r="BC861" s="5">
        <v>525</v>
      </c>
      <c r="BD861" s="5">
        <v>242.17741935483872</v>
      </c>
    </row>
    <row r="862" spans="52:56" x14ac:dyDescent="0.25">
      <c r="AZ862" s="5">
        <v>859</v>
      </c>
      <c r="BA862" s="5">
        <v>0</v>
      </c>
      <c r="BB862" s="5">
        <v>0</v>
      </c>
      <c r="BC862" s="5">
        <v>525</v>
      </c>
      <c r="BD862" s="5">
        <v>242.45967741935488</v>
      </c>
    </row>
    <row r="863" spans="52:56" x14ac:dyDescent="0.25">
      <c r="AZ863" s="5">
        <v>860</v>
      </c>
      <c r="BA863" s="5">
        <v>0</v>
      </c>
      <c r="BB863" s="5">
        <v>0</v>
      </c>
      <c r="BC863" s="5">
        <v>525</v>
      </c>
      <c r="BD863" s="5">
        <v>242.741935483871</v>
      </c>
    </row>
    <row r="864" spans="52:56" x14ac:dyDescent="0.25">
      <c r="AZ864" s="5">
        <v>861</v>
      </c>
      <c r="BA864" s="5">
        <v>0</v>
      </c>
      <c r="BB864" s="5">
        <v>0</v>
      </c>
      <c r="BC864" s="5">
        <v>525</v>
      </c>
      <c r="BD864" s="5">
        <v>243.02419354838713</v>
      </c>
    </row>
    <row r="865" spans="52:56" x14ac:dyDescent="0.25">
      <c r="AZ865" s="5">
        <v>862</v>
      </c>
      <c r="BA865" s="5">
        <v>0</v>
      </c>
      <c r="BB865" s="5">
        <v>0</v>
      </c>
      <c r="BC865" s="5">
        <v>525</v>
      </c>
      <c r="BD865" s="5">
        <v>243.30645161290326</v>
      </c>
    </row>
    <row r="866" spans="52:56" x14ac:dyDescent="0.25">
      <c r="AZ866" s="5">
        <v>863</v>
      </c>
      <c r="BA866" s="5">
        <v>0</v>
      </c>
      <c r="BB866" s="5">
        <v>0</v>
      </c>
      <c r="BC866" s="5">
        <v>525</v>
      </c>
      <c r="BD866" s="5">
        <v>243.58870967741939</v>
      </c>
    </row>
    <row r="867" spans="52:56" x14ac:dyDescent="0.25">
      <c r="AZ867" s="5">
        <v>864</v>
      </c>
      <c r="BA867" s="5">
        <v>0</v>
      </c>
      <c r="BB867" s="5">
        <v>0</v>
      </c>
      <c r="BC867" s="5">
        <v>525</v>
      </c>
      <c r="BD867" s="5">
        <v>243.87096774193552</v>
      </c>
    </row>
    <row r="868" spans="52:56" x14ac:dyDescent="0.25">
      <c r="AZ868" s="5">
        <v>865</v>
      </c>
      <c r="BA868" s="5">
        <v>0</v>
      </c>
      <c r="BB868" s="5">
        <v>0</v>
      </c>
      <c r="BC868" s="5">
        <v>525</v>
      </c>
      <c r="BD868" s="5">
        <v>244.15322580645164</v>
      </c>
    </row>
    <row r="869" spans="52:56" x14ac:dyDescent="0.25">
      <c r="AZ869" s="5">
        <v>866</v>
      </c>
      <c r="BA869" s="5">
        <v>0</v>
      </c>
      <c r="BB869" s="5">
        <v>0</v>
      </c>
      <c r="BC869" s="5">
        <v>525</v>
      </c>
      <c r="BD869" s="5">
        <v>244.43548387096777</v>
      </c>
    </row>
    <row r="870" spans="52:56" x14ac:dyDescent="0.25">
      <c r="AZ870" s="5">
        <v>867</v>
      </c>
      <c r="BA870" s="5">
        <v>0</v>
      </c>
      <c r="BB870" s="5">
        <v>0</v>
      </c>
      <c r="BC870" s="5">
        <v>525</v>
      </c>
      <c r="BD870" s="5">
        <v>244.7177419354839</v>
      </c>
    </row>
    <row r="871" spans="52:56" x14ac:dyDescent="0.25">
      <c r="AZ871" s="5">
        <v>868</v>
      </c>
      <c r="BA871" s="5">
        <v>0</v>
      </c>
      <c r="BB871" s="5">
        <v>0</v>
      </c>
      <c r="BC871" s="5">
        <v>525</v>
      </c>
      <c r="BD871" s="5">
        <v>245.00000000000003</v>
      </c>
    </row>
    <row r="872" spans="52:56" x14ac:dyDescent="0.25">
      <c r="AZ872" s="5">
        <v>869</v>
      </c>
      <c r="BA872" s="5">
        <v>0</v>
      </c>
      <c r="BB872" s="5">
        <v>0</v>
      </c>
      <c r="BC872" s="5">
        <v>525</v>
      </c>
      <c r="BD872" s="5">
        <v>245.28225806451616</v>
      </c>
    </row>
    <row r="873" spans="52:56" x14ac:dyDescent="0.25">
      <c r="AZ873" s="5">
        <v>870</v>
      </c>
      <c r="BA873" s="5">
        <v>0</v>
      </c>
      <c r="BB873" s="5">
        <v>0</v>
      </c>
      <c r="BC873" s="5">
        <v>525</v>
      </c>
      <c r="BD873" s="5">
        <v>245.56451612903228</v>
      </c>
    </row>
    <row r="874" spans="52:56" x14ac:dyDescent="0.25">
      <c r="AZ874" s="5">
        <v>871</v>
      </c>
      <c r="BA874" s="5">
        <v>0</v>
      </c>
      <c r="BB874" s="5">
        <v>0</v>
      </c>
      <c r="BC874" s="5">
        <v>525</v>
      </c>
      <c r="BD874" s="5">
        <v>245.84677419354841</v>
      </c>
    </row>
    <row r="875" spans="52:56" x14ac:dyDescent="0.25">
      <c r="AZ875" s="5">
        <v>872</v>
      </c>
      <c r="BA875" s="5">
        <v>0</v>
      </c>
      <c r="BB875" s="5">
        <v>0</v>
      </c>
      <c r="BC875" s="5">
        <v>525</v>
      </c>
      <c r="BD875" s="5">
        <v>246.12903225806454</v>
      </c>
    </row>
    <row r="876" spans="52:56" x14ac:dyDescent="0.25">
      <c r="AZ876" s="5">
        <v>873</v>
      </c>
      <c r="BA876" s="5">
        <v>0</v>
      </c>
      <c r="BB876" s="5">
        <v>0</v>
      </c>
      <c r="BC876" s="5">
        <v>525</v>
      </c>
      <c r="BD876" s="5">
        <v>246.41129032258067</v>
      </c>
    </row>
    <row r="877" spans="52:56" x14ac:dyDescent="0.25">
      <c r="AZ877" s="5">
        <v>874</v>
      </c>
      <c r="BA877" s="5">
        <v>0</v>
      </c>
      <c r="BB877" s="5">
        <v>0</v>
      </c>
      <c r="BC877" s="5">
        <v>525</v>
      </c>
      <c r="BD877" s="5">
        <v>246.6935483870968</v>
      </c>
    </row>
    <row r="878" spans="52:56" x14ac:dyDescent="0.25">
      <c r="AZ878" s="5">
        <v>875</v>
      </c>
      <c r="BA878" s="5">
        <v>0</v>
      </c>
      <c r="BB878" s="5">
        <v>0</v>
      </c>
      <c r="BC878" s="5">
        <v>525</v>
      </c>
      <c r="BD878" s="5">
        <v>246.97580645161293</v>
      </c>
    </row>
    <row r="879" spans="52:56" x14ac:dyDescent="0.25">
      <c r="AZ879" s="5">
        <v>876</v>
      </c>
      <c r="BA879" s="5">
        <v>0</v>
      </c>
      <c r="BB879" s="5">
        <v>0</v>
      </c>
      <c r="BC879" s="5">
        <v>525</v>
      </c>
      <c r="BD879" s="5">
        <v>247.25806451612905</v>
      </c>
    </row>
    <row r="880" spans="52:56" x14ac:dyDescent="0.25">
      <c r="AZ880" s="5">
        <v>877</v>
      </c>
      <c r="BA880" s="5">
        <v>0</v>
      </c>
      <c r="BB880" s="5">
        <v>0</v>
      </c>
      <c r="BC880" s="5">
        <v>525</v>
      </c>
      <c r="BD880" s="5">
        <v>247.54032258064518</v>
      </c>
    </row>
    <row r="881" spans="52:56" x14ac:dyDescent="0.25">
      <c r="AZ881" s="5">
        <v>878</v>
      </c>
      <c r="BA881" s="5">
        <v>0</v>
      </c>
      <c r="BB881" s="5">
        <v>0</v>
      </c>
      <c r="BC881" s="5">
        <v>525</v>
      </c>
      <c r="BD881" s="5">
        <v>247.82258064516131</v>
      </c>
    </row>
    <row r="882" spans="52:56" x14ac:dyDescent="0.25">
      <c r="AZ882" s="5">
        <v>879</v>
      </c>
      <c r="BA882" s="5">
        <v>0</v>
      </c>
      <c r="BB882" s="5">
        <v>0</v>
      </c>
      <c r="BC882" s="5">
        <v>525</v>
      </c>
      <c r="BD882" s="5">
        <v>248.10483870967744</v>
      </c>
    </row>
    <row r="883" spans="52:56" x14ac:dyDescent="0.25">
      <c r="AZ883" s="5">
        <v>880</v>
      </c>
      <c r="BA883" s="5">
        <v>0</v>
      </c>
      <c r="BB883" s="5">
        <v>0</v>
      </c>
      <c r="BC883" s="5">
        <v>525</v>
      </c>
      <c r="BD883" s="5">
        <v>248.38709677419357</v>
      </c>
    </row>
    <row r="884" spans="52:56" x14ac:dyDescent="0.25">
      <c r="AZ884" s="5">
        <v>881</v>
      </c>
      <c r="BA884" s="5">
        <v>0</v>
      </c>
      <c r="BB884" s="5">
        <v>0</v>
      </c>
      <c r="BC884" s="5">
        <v>525</v>
      </c>
      <c r="BD884" s="5">
        <v>248.66935483870969</v>
      </c>
    </row>
    <row r="885" spans="52:56" x14ac:dyDescent="0.25">
      <c r="AZ885" s="5">
        <v>882</v>
      </c>
      <c r="BA885" s="5">
        <v>0</v>
      </c>
      <c r="BB885" s="5">
        <v>0</v>
      </c>
      <c r="BC885" s="5">
        <v>525</v>
      </c>
      <c r="BD885" s="5">
        <v>248.95161290322582</v>
      </c>
    </row>
    <row r="886" spans="52:56" x14ac:dyDescent="0.25">
      <c r="AZ886" s="5">
        <v>883</v>
      </c>
      <c r="BA886" s="5">
        <v>0</v>
      </c>
      <c r="BB886" s="5">
        <v>0</v>
      </c>
      <c r="BC886" s="5">
        <v>525</v>
      </c>
      <c r="BD886" s="5">
        <v>249.23387096774195</v>
      </c>
    </row>
    <row r="887" spans="52:56" x14ac:dyDescent="0.25">
      <c r="AZ887" s="5">
        <v>884</v>
      </c>
      <c r="BA887" s="5">
        <v>0</v>
      </c>
      <c r="BB887" s="5">
        <v>0</v>
      </c>
      <c r="BC887" s="5">
        <v>525</v>
      </c>
      <c r="BD887" s="5">
        <v>249.51612903225808</v>
      </c>
    </row>
    <row r="888" spans="52:56" x14ac:dyDescent="0.25">
      <c r="AZ888" s="5">
        <v>885</v>
      </c>
      <c r="BA888" s="5">
        <v>0</v>
      </c>
      <c r="BB888" s="5">
        <v>0</v>
      </c>
      <c r="BC888" s="5">
        <v>525</v>
      </c>
      <c r="BD888" s="5">
        <v>249.79838709677421</v>
      </c>
    </row>
    <row r="889" spans="52:56" x14ac:dyDescent="0.25">
      <c r="AZ889" s="5">
        <v>886</v>
      </c>
      <c r="BA889" s="5">
        <v>0</v>
      </c>
      <c r="BB889" s="5">
        <v>0</v>
      </c>
      <c r="BC889" s="5">
        <v>525</v>
      </c>
      <c r="BD889" s="5">
        <v>250.08064516129033</v>
      </c>
    </row>
    <row r="890" spans="52:56" x14ac:dyDescent="0.25">
      <c r="AZ890" s="5">
        <v>887</v>
      </c>
      <c r="BA890" s="5">
        <v>0</v>
      </c>
      <c r="BB890" s="5">
        <v>0</v>
      </c>
      <c r="BC890" s="5">
        <v>525</v>
      </c>
      <c r="BD890" s="5">
        <v>250.36290322580646</v>
      </c>
    </row>
    <row r="891" spans="52:56" x14ac:dyDescent="0.25">
      <c r="AZ891" s="5">
        <v>888</v>
      </c>
      <c r="BA891" s="5">
        <v>0</v>
      </c>
      <c r="BB891" s="5">
        <v>0</v>
      </c>
      <c r="BC891" s="5">
        <v>525</v>
      </c>
      <c r="BD891" s="5">
        <v>250.64516129032259</v>
      </c>
    </row>
    <row r="892" spans="52:56" x14ac:dyDescent="0.25">
      <c r="AZ892" s="5">
        <v>889</v>
      </c>
      <c r="BA892" s="5">
        <v>0</v>
      </c>
      <c r="BB892" s="5">
        <v>0</v>
      </c>
      <c r="BC892" s="5">
        <v>525</v>
      </c>
      <c r="BD892" s="5">
        <v>250.92741935483875</v>
      </c>
    </row>
    <row r="893" spans="52:56" x14ac:dyDescent="0.25">
      <c r="AZ893" s="5">
        <v>890</v>
      </c>
      <c r="BA893" s="5">
        <v>0</v>
      </c>
      <c r="BB893" s="5">
        <v>0</v>
      </c>
      <c r="BC893" s="5">
        <v>525</v>
      </c>
      <c r="BD893" s="5">
        <v>251.20967741935488</v>
      </c>
    </row>
    <row r="894" spans="52:56" x14ac:dyDescent="0.25">
      <c r="AZ894" s="5">
        <v>891</v>
      </c>
      <c r="BA894" s="5">
        <v>0</v>
      </c>
      <c r="BB894" s="5">
        <v>0</v>
      </c>
      <c r="BC894" s="5">
        <v>525</v>
      </c>
      <c r="BD894" s="5">
        <v>251.491935483871</v>
      </c>
    </row>
    <row r="895" spans="52:56" x14ac:dyDescent="0.25">
      <c r="AZ895" s="5">
        <v>892</v>
      </c>
      <c r="BA895" s="5">
        <v>0</v>
      </c>
      <c r="BB895" s="5">
        <v>0</v>
      </c>
      <c r="BC895" s="5">
        <v>525</v>
      </c>
      <c r="BD895" s="5">
        <v>251.77419354838713</v>
      </c>
    </row>
    <row r="896" spans="52:56" x14ac:dyDescent="0.25">
      <c r="AZ896" s="5">
        <v>893</v>
      </c>
      <c r="BA896" s="5">
        <v>0</v>
      </c>
      <c r="BB896" s="5">
        <v>0</v>
      </c>
      <c r="BC896" s="5">
        <v>525</v>
      </c>
      <c r="BD896" s="5">
        <v>252.05645161290326</v>
      </c>
    </row>
    <row r="897" spans="52:56" x14ac:dyDescent="0.25">
      <c r="AZ897" s="5">
        <v>894</v>
      </c>
      <c r="BA897" s="5">
        <v>0</v>
      </c>
      <c r="BB897" s="5">
        <v>0</v>
      </c>
      <c r="BC897" s="5">
        <v>525</v>
      </c>
      <c r="BD897" s="5">
        <v>252.33870967741939</v>
      </c>
    </row>
    <row r="898" spans="52:56" x14ac:dyDescent="0.25">
      <c r="AZ898" s="5">
        <v>895</v>
      </c>
      <c r="BA898" s="5">
        <v>0</v>
      </c>
      <c r="BB898" s="5">
        <v>0</v>
      </c>
      <c r="BC898" s="5">
        <v>525</v>
      </c>
      <c r="BD898" s="5">
        <v>252.62096774193552</v>
      </c>
    </row>
    <row r="899" spans="52:56" x14ac:dyDescent="0.25">
      <c r="AZ899" s="5">
        <v>896</v>
      </c>
      <c r="BA899" s="5">
        <v>0</v>
      </c>
      <c r="BB899" s="5">
        <v>0</v>
      </c>
      <c r="BC899" s="5">
        <v>525</v>
      </c>
      <c r="BD899" s="5">
        <v>252.90322580645164</v>
      </c>
    </row>
    <row r="900" spans="52:56" x14ac:dyDescent="0.25">
      <c r="AZ900" s="5">
        <v>897</v>
      </c>
      <c r="BA900" s="5">
        <v>0</v>
      </c>
      <c r="BB900" s="5">
        <v>0</v>
      </c>
      <c r="BC900" s="5">
        <v>525</v>
      </c>
      <c r="BD900" s="5">
        <v>253.18548387096777</v>
      </c>
    </row>
    <row r="901" spans="52:56" x14ac:dyDescent="0.25">
      <c r="AZ901" s="5">
        <v>898</v>
      </c>
      <c r="BA901" s="5">
        <v>0</v>
      </c>
      <c r="BB901" s="5">
        <v>0</v>
      </c>
      <c r="BC901" s="5">
        <v>525</v>
      </c>
      <c r="BD901" s="5">
        <v>253.4677419354839</v>
      </c>
    </row>
    <row r="902" spans="52:56" x14ac:dyDescent="0.25">
      <c r="AZ902" s="5">
        <v>899</v>
      </c>
      <c r="BA902" s="5">
        <v>0</v>
      </c>
      <c r="BB902" s="5">
        <v>0</v>
      </c>
      <c r="BC902" s="5">
        <v>525</v>
      </c>
      <c r="BD902" s="5">
        <v>253.75000000000003</v>
      </c>
    </row>
    <row r="903" spans="52:56" x14ac:dyDescent="0.25">
      <c r="AZ903" s="5">
        <v>900</v>
      </c>
      <c r="BA903" s="5">
        <v>0</v>
      </c>
      <c r="BB903" s="5">
        <v>0</v>
      </c>
      <c r="BC903" s="5">
        <v>525</v>
      </c>
      <c r="BD903" s="5">
        <v>254.03225806451616</v>
      </c>
    </row>
    <row r="904" spans="52:56" x14ac:dyDescent="0.25">
      <c r="AZ904" s="5">
        <v>901</v>
      </c>
      <c r="BA904" s="5">
        <v>0</v>
      </c>
      <c r="BB904" s="5">
        <v>0</v>
      </c>
      <c r="BC904" s="5">
        <v>525</v>
      </c>
      <c r="BD904" s="5">
        <v>254.31451612903228</v>
      </c>
    </row>
    <row r="905" spans="52:56" x14ac:dyDescent="0.25">
      <c r="AZ905" s="5">
        <v>902</v>
      </c>
      <c r="BA905" s="5">
        <v>0</v>
      </c>
      <c r="BB905" s="5">
        <v>0</v>
      </c>
      <c r="BC905" s="5">
        <v>525</v>
      </c>
      <c r="BD905" s="5">
        <v>254.59677419354841</v>
      </c>
    </row>
    <row r="906" spans="52:56" x14ac:dyDescent="0.25">
      <c r="AZ906" s="5">
        <v>903</v>
      </c>
      <c r="BA906" s="5">
        <v>0</v>
      </c>
      <c r="BB906" s="5">
        <v>0</v>
      </c>
      <c r="BC906" s="5">
        <v>525</v>
      </c>
      <c r="BD906" s="5">
        <v>254.87903225806454</v>
      </c>
    </row>
    <row r="907" spans="52:56" x14ac:dyDescent="0.25">
      <c r="AZ907" s="5">
        <v>904</v>
      </c>
      <c r="BA907" s="5">
        <v>0</v>
      </c>
      <c r="BB907" s="5">
        <v>0</v>
      </c>
      <c r="BC907" s="5">
        <v>525</v>
      </c>
      <c r="BD907" s="5">
        <v>255.16129032258067</v>
      </c>
    </row>
    <row r="908" spans="52:56" x14ac:dyDescent="0.25">
      <c r="AZ908" s="5">
        <v>905</v>
      </c>
      <c r="BA908" s="5">
        <v>0</v>
      </c>
      <c r="BB908" s="5">
        <v>0</v>
      </c>
      <c r="BC908" s="5">
        <v>525</v>
      </c>
      <c r="BD908" s="5">
        <v>255.4435483870968</v>
      </c>
    </row>
    <row r="909" spans="52:56" x14ac:dyDescent="0.25">
      <c r="AZ909" s="5">
        <v>906</v>
      </c>
      <c r="BA909" s="5">
        <v>0</v>
      </c>
      <c r="BB909" s="5">
        <v>0</v>
      </c>
      <c r="BC909" s="5">
        <v>525</v>
      </c>
      <c r="BD909" s="5">
        <v>255.72580645161293</v>
      </c>
    </row>
    <row r="910" spans="52:56" x14ac:dyDescent="0.25">
      <c r="AZ910" s="5">
        <v>907</v>
      </c>
      <c r="BA910" s="5">
        <v>0</v>
      </c>
      <c r="BB910" s="5">
        <v>0</v>
      </c>
      <c r="BC910" s="5">
        <v>525</v>
      </c>
      <c r="BD910" s="5">
        <v>256.00806451612908</v>
      </c>
    </row>
    <row r="911" spans="52:56" x14ac:dyDescent="0.25">
      <c r="AZ911" s="5">
        <v>908</v>
      </c>
      <c r="BA911" s="5">
        <v>0</v>
      </c>
      <c r="BB911" s="5">
        <v>0</v>
      </c>
      <c r="BC911" s="5">
        <v>525</v>
      </c>
      <c r="BD911" s="5">
        <v>256.29032258064518</v>
      </c>
    </row>
    <row r="912" spans="52:56" x14ac:dyDescent="0.25">
      <c r="AZ912" s="5">
        <v>909</v>
      </c>
      <c r="BA912" s="5">
        <v>0</v>
      </c>
      <c r="BB912" s="5">
        <v>0</v>
      </c>
      <c r="BC912" s="5">
        <v>525</v>
      </c>
      <c r="BD912" s="5">
        <v>256.57258064516134</v>
      </c>
    </row>
    <row r="913" spans="52:56" x14ac:dyDescent="0.25">
      <c r="AZ913" s="5">
        <v>910</v>
      </c>
      <c r="BA913" s="5">
        <v>0</v>
      </c>
      <c r="BB913" s="5">
        <v>0</v>
      </c>
      <c r="BC913" s="5">
        <v>525</v>
      </c>
      <c r="BD913" s="5">
        <v>256.85483870967744</v>
      </c>
    </row>
    <row r="914" spans="52:56" x14ac:dyDescent="0.25">
      <c r="AZ914" s="5">
        <v>911</v>
      </c>
      <c r="BA914" s="5">
        <v>0</v>
      </c>
      <c r="BB914" s="5">
        <v>0</v>
      </c>
      <c r="BC914" s="5">
        <v>525</v>
      </c>
      <c r="BD914" s="5">
        <v>257.13709677419359</v>
      </c>
    </row>
    <row r="915" spans="52:56" x14ac:dyDescent="0.25">
      <c r="AZ915" s="5">
        <v>912</v>
      </c>
      <c r="BA915" s="5">
        <v>0</v>
      </c>
      <c r="BB915" s="5">
        <v>0</v>
      </c>
      <c r="BC915" s="5">
        <v>525</v>
      </c>
      <c r="BD915" s="5">
        <v>257.41935483870969</v>
      </c>
    </row>
    <row r="916" spans="52:56" x14ac:dyDescent="0.25">
      <c r="AZ916" s="5">
        <v>913</v>
      </c>
      <c r="BA916" s="5">
        <v>0</v>
      </c>
      <c r="BB916" s="5">
        <v>0</v>
      </c>
      <c r="BC916" s="5">
        <v>525</v>
      </c>
      <c r="BD916" s="5">
        <v>257.70161290322585</v>
      </c>
    </row>
    <row r="917" spans="52:56" x14ac:dyDescent="0.25">
      <c r="AZ917" s="5">
        <v>914</v>
      </c>
      <c r="BA917" s="5">
        <v>0</v>
      </c>
      <c r="BB917" s="5">
        <v>0</v>
      </c>
      <c r="BC917" s="5">
        <v>525</v>
      </c>
      <c r="BD917" s="5">
        <v>257.98387096774195</v>
      </c>
    </row>
    <row r="918" spans="52:56" x14ac:dyDescent="0.25">
      <c r="AZ918" s="5">
        <v>915</v>
      </c>
      <c r="BA918" s="5">
        <v>0</v>
      </c>
      <c r="BB918" s="5">
        <v>0</v>
      </c>
      <c r="BC918" s="5">
        <v>525</v>
      </c>
      <c r="BD918" s="5">
        <v>258.26612903225811</v>
      </c>
    </row>
    <row r="919" spans="52:56" x14ac:dyDescent="0.25">
      <c r="AZ919" s="5">
        <v>916</v>
      </c>
      <c r="BA919" s="5">
        <v>0</v>
      </c>
      <c r="BB919" s="5">
        <v>0</v>
      </c>
      <c r="BC919" s="5">
        <v>525</v>
      </c>
      <c r="BD919" s="5">
        <v>258.54838709677421</v>
      </c>
    </row>
    <row r="920" spans="52:56" x14ac:dyDescent="0.25">
      <c r="AZ920" s="5">
        <v>917</v>
      </c>
      <c r="BA920" s="5">
        <v>0</v>
      </c>
      <c r="BB920" s="5">
        <v>0</v>
      </c>
      <c r="BC920" s="5">
        <v>525</v>
      </c>
      <c r="BD920" s="5">
        <v>258.83064516129036</v>
      </c>
    </row>
    <row r="921" spans="52:56" x14ac:dyDescent="0.25">
      <c r="AZ921" s="5">
        <v>918</v>
      </c>
      <c r="BA921" s="5">
        <v>0</v>
      </c>
      <c r="BB921" s="5">
        <v>0</v>
      </c>
      <c r="BC921" s="5">
        <v>525</v>
      </c>
      <c r="BD921" s="5">
        <v>259.11290322580646</v>
      </c>
    </row>
    <row r="922" spans="52:56" x14ac:dyDescent="0.25">
      <c r="AZ922" s="5">
        <v>919</v>
      </c>
      <c r="BA922" s="5">
        <v>0</v>
      </c>
      <c r="BB922" s="5">
        <v>0</v>
      </c>
      <c r="BC922" s="5">
        <v>525</v>
      </c>
      <c r="BD922" s="5">
        <v>259.39516129032262</v>
      </c>
    </row>
    <row r="923" spans="52:56" x14ac:dyDescent="0.25">
      <c r="AZ923" s="5">
        <v>920</v>
      </c>
      <c r="BA923" s="5">
        <v>0</v>
      </c>
      <c r="BB923" s="5">
        <v>0</v>
      </c>
      <c r="BC923" s="5">
        <v>525</v>
      </c>
      <c r="BD923" s="5">
        <v>259.67741935483872</v>
      </c>
    </row>
    <row r="924" spans="52:56" x14ac:dyDescent="0.25">
      <c r="AZ924" s="5">
        <v>921</v>
      </c>
      <c r="BA924" s="5">
        <v>0</v>
      </c>
      <c r="BB924" s="5">
        <v>0</v>
      </c>
      <c r="BC924" s="5">
        <v>525</v>
      </c>
      <c r="BD924" s="5">
        <v>259.95967741935488</v>
      </c>
    </row>
    <row r="925" spans="52:56" x14ac:dyDescent="0.25">
      <c r="AZ925" s="5">
        <v>922</v>
      </c>
      <c r="BA925" s="5">
        <v>0</v>
      </c>
      <c r="BB925" s="5">
        <v>0</v>
      </c>
      <c r="BC925" s="5">
        <v>525</v>
      </c>
      <c r="BD925" s="5">
        <v>260.24193548387098</v>
      </c>
    </row>
    <row r="926" spans="52:56" x14ac:dyDescent="0.25">
      <c r="AZ926" s="5">
        <v>923</v>
      </c>
      <c r="BA926" s="5">
        <v>0</v>
      </c>
      <c r="BB926" s="5">
        <v>0</v>
      </c>
      <c r="BC926" s="5">
        <v>525</v>
      </c>
      <c r="BD926" s="5">
        <v>260.52419354838713</v>
      </c>
    </row>
    <row r="927" spans="52:56" x14ac:dyDescent="0.25">
      <c r="AZ927" s="5">
        <v>924</v>
      </c>
      <c r="BA927" s="5">
        <v>0</v>
      </c>
      <c r="BB927" s="5">
        <v>0</v>
      </c>
      <c r="BC927" s="5">
        <v>525</v>
      </c>
      <c r="BD927" s="5">
        <v>260.80645161290323</v>
      </c>
    </row>
    <row r="928" spans="52:56" x14ac:dyDescent="0.25">
      <c r="AZ928" s="5">
        <v>925</v>
      </c>
      <c r="BA928" s="5">
        <v>0</v>
      </c>
      <c r="BB928" s="5">
        <v>0</v>
      </c>
      <c r="BC928" s="5">
        <v>525</v>
      </c>
      <c r="BD928" s="5">
        <v>261.08870967741939</v>
      </c>
    </row>
    <row r="929" spans="52:56" x14ac:dyDescent="0.25">
      <c r="AZ929" s="5">
        <v>926</v>
      </c>
      <c r="BA929" s="5">
        <v>0</v>
      </c>
      <c r="BB929" s="5">
        <v>0</v>
      </c>
      <c r="BC929" s="5">
        <v>525</v>
      </c>
      <c r="BD929" s="5">
        <v>261.37096774193549</v>
      </c>
    </row>
    <row r="930" spans="52:56" x14ac:dyDescent="0.25">
      <c r="AZ930" s="5">
        <v>927</v>
      </c>
      <c r="BA930" s="5">
        <v>0</v>
      </c>
      <c r="BB930" s="5">
        <v>0</v>
      </c>
      <c r="BC930" s="5">
        <v>525</v>
      </c>
      <c r="BD930" s="5">
        <v>261.65322580645164</v>
      </c>
    </row>
    <row r="931" spans="52:56" x14ac:dyDescent="0.25">
      <c r="AZ931" s="5">
        <v>928</v>
      </c>
      <c r="BA931" s="5">
        <v>0</v>
      </c>
      <c r="BB931" s="5">
        <v>0</v>
      </c>
      <c r="BC931" s="5">
        <v>525</v>
      </c>
      <c r="BD931" s="5">
        <v>261.93548387096774</v>
      </c>
    </row>
    <row r="932" spans="52:56" x14ac:dyDescent="0.25">
      <c r="AZ932" s="5">
        <v>929</v>
      </c>
      <c r="BA932" s="5">
        <v>0</v>
      </c>
      <c r="BB932" s="5">
        <v>0</v>
      </c>
      <c r="BC932" s="5">
        <v>525</v>
      </c>
      <c r="BD932" s="5">
        <v>262.2177419354839</v>
      </c>
    </row>
    <row r="933" spans="52:56" x14ac:dyDescent="0.25">
      <c r="AZ933" s="5">
        <v>930</v>
      </c>
      <c r="BA933" s="5">
        <v>0</v>
      </c>
      <c r="BB933" s="5">
        <v>0</v>
      </c>
      <c r="BC933" s="5">
        <v>525</v>
      </c>
      <c r="BD933" s="5">
        <v>262.5</v>
      </c>
    </row>
    <row r="934" spans="52:56" x14ac:dyDescent="0.25">
      <c r="AZ934" s="6">
        <v>931</v>
      </c>
      <c r="BA934" s="6">
        <v>0</v>
      </c>
      <c r="BB934" s="6">
        <v>0</v>
      </c>
      <c r="BC934" s="6">
        <v>525</v>
      </c>
      <c r="BD934" s="6">
        <v>262.78225806451616</v>
      </c>
    </row>
    <row r="935" spans="52:56" x14ac:dyDescent="0.25">
      <c r="AZ935" s="6">
        <v>932</v>
      </c>
      <c r="BA935" s="6">
        <v>0</v>
      </c>
      <c r="BB935" s="6">
        <v>0</v>
      </c>
      <c r="BC935" s="6">
        <v>525</v>
      </c>
      <c r="BD935" s="6">
        <v>263.06451612903226</v>
      </c>
    </row>
    <row r="936" spans="52:56" x14ac:dyDescent="0.25">
      <c r="AZ936" s="6">
        <v>933</v>
      </c>
      <c r="BA936" s="6">
        <v>0</v>
      </c>
      <c r="BB936" s="6">
        <v>0</v>
      </c>
      <c r="BC936" s="6">
        <v>525</v>
      </c>
      <c r="BD936" s="6">
        <v>263.34677419354841</v>
      </c>
    </row>
    <row r="937" spans="52:56" x14ac:dyDescent="0.25">
      <c r="AZ937" s="6">
        <v>934</v>
      </c>
      <c r="BA937" s="6">
        <v>0</v>
      </c>
      <c r="BB937" s="6">
        <v>0</v>
      </c>
      <c r="BC937" s="6">
        <v>525</v>
      </c>
      <c r="BD937" s="6">
        <v>263.62903225806457</v>
      </c>
    </row>
    <row r="938" spans="52:56" x14ac:dyDescent="0.25">
      <c r="AZ938" s="6">
        <v>935</v>
      </c>
      <c r="BA938" s="6">
        <v>0</v>
      </c>
      <c r="BB938" s="6">
        <v>0</v>
      </c>
      <c r="BC938" s="6">
        <v>525</v>
      </c>
      <c r="BD938" s="6">
        <v>263.91129032258067</v>
      </c>
    </row>
    <row r="939" spans="52:56" x14ac:dyDescent="0.25">
      <c r="AZ939" s="6">
        <v>936</v>
      </c>
      <c r="BA939" s="6">
        <v>0</v>
      </c>
      <c r="BB939" s="6">
        <v>0</v>
      </c>
      <c r="BC939" s="6">
        <v>525</v>
      </c>
      <c r="BD939" s="6">
        <v>264.19354838709683</v>
      </c>
    </row>
    <row r="940" spans="52:56" x14ac:dyDescent="0.25">
      <c r="AZ940" s="6">
        <v>937</v>
      </c>
      <c r="BA940" s="6">
        <v>0</v>
      </c>
      <c r="BB940" s="6">
        <v>0</v>
      </c>
      <c r="BC940" s="6">
        <v>525</v>
      </c>
      <c r="BD940" s="6">
        <v>264.47580645161293</v>
      </c>
    </row>
    <row r="941" spans="52:56" x14ac:dyDescent="0.25">
      <c r="AZ941" s="6">
        <v>938</v>
      </c>
      <c r="BA941" s="6">
        <v>0</v>
      </c>
      <c r="BB941" s="6">
        <v>0</v>
      </c>
      <c r="BC941" s="6">
        <v>525</v>
      </c>
      <c r="BD941" s="6">
        <v>264.75806451612908</v>
      </c>
    </row>
    <row r="942" spans="52:56" x14ac:dyDescent="0.25">
      <c r="AZ942" s="6">
        <v>939</v>
      </c>
      <c r="BA942" s="6">
        <v>0</v>
      </c>
      <c r="BB942" s="6">
        <v>0</v>
      </c>
      <c r="BC942" s="6">
        <v>525</v>
      </c>
      <c r="BD942" s="6">
        <v>265.04032258064518</v>
      </c>
    </row>
    <row r="943" spans="52:56" x14ac:dyDescent="0.25">
      <c r="AZ943" s="6">
        <v>940</v>
      </c>
      <c r="BA943" s="6">
        <v>0</v>
      </c>
      <c r="BB943" s="6">
        <v>0</v>
      </c>
      <c r="BC943" s="6">
        <v>525</v>
      </c>
      <c r="BD943" s="6">
        <v>265.32258064516134</v>
      </c>
    </row>
    <row r="944" spans="52:56" x14ac:dyDescent="0.25">
      <c r="AZ944" s="6">
        <v>941</v>
      </c>
      <c r="BA944" s="6">
        <v>0</v>
      </c>
      <c r="BB944" s="6">
        <v>0</v>
      </c>
      <c r="BC944" s="6">
        <v>525</v>
      </c>
      <c r="BD944" s="6">
        <v>265.60483870967744</v>
      </c>
    </row>
    <row r="945" spans="52:56" x14ac:dyDescent="0.25">
      <c r="AZ945" s="6">
        <v>942</v>
      </c>
      <c r="BA945" s="6">
        <v>0</v>
      </c>
      <c r="BB945" s="6">
        <v>0</v>
      </c>
      <c r="BC945" s="6">
        <v>525</v>
      </c>
      <c r="BD945" s="6">
        <v>265.88709677419359</v>
      </c>
    </row>
    <row r="946" spans="52:56" x14ac:dyDescent="0.25">
      <c r="AZ946" s="6">
        <v>943</v>
      </c>
      <c r="BA946" s="6">
        <v>0</v>
      </c>
      <c r="BB946" s="6">
        <v>0</v>
      </c>
      <c r="BC946" s="6">
        <v>525</v>
      </c>
      <c r="BD946" s="6">
        <v>266.16935483870969</v>
      </c>
    </row>
    <row r="947" spans="52:56" x14ac:dyDescent="0.25">
      <c r="AZ947" s="6">
        <v>944</v>
      </c>
      <c r="BA947" s="6">
        <v>0</v>
      </c>
      <c r="BB947" s="6">
        <v>0</v>
      </c>
      <c r="BC947" s="6">
        <v>525</v>
      </c>
      <c r="BD947" s="6">
        <v>266.45161290322585</v>
      </c>
    </row>
    <row r="948" spans="52:56" x14ac:dyDescent="0.25">
      <c r="AZ948" s="6">
        <v>945</v>
      </c>
      <c r="BA948" s="6">
        <v>0</v>
      </c>
      <c r="BB948" s="6">
        <v>0</v>
      </c>
      <c r="BC948" s="6">
        <v>525</v>
      </c>
      <c r="BD948" s="6">
        <v>266.73387096774195</v>
      </c>
    </row>
    <row r="949" spans="52:56" x14ac:dyDescent="0.25">
      <c r="AZ949" s="6">
        <v>946</v>
      </c>
      <c r="BA949" s="6">
        <v>0</v>
      </c>
      <c r="BB949" s="6">
        <v>0</v>
      </c>
      <c r="BC949" s="6">
        <v>525</v>
      </c>
      <c r="BD949" s="6">
        <v>267.01612903225811</v>
      </c>
    </row>
    <row r="950" spans="52:56" x14ac:dyDescent="0.25">
      <c r="AZ950" s="6">
        <v>947</v>
      </c>
      <c r="BA950" s="6">
        <v>0</v>
      </c>
      <c r="BB950" s="6">
        <v>0</v>
      </c>
      <c r="BC950" s="6">
        <v>525</v>
      </c>
      <c r="BD950" s="6">
        <v>267.29838709677421</v>
      </c>
    </row>
    <row r="951" spans="52:56" x14ac:dyDescent="0.25">
      <c r="AZ951" s="6">
        <v>948</v>
      </c>
      <c r="BA951" s="6">
        <v>0</v>
      </c>
      <c r="BB951" s="6">
        <v>0</v>
      </c>
      <c r="BC951" s="6">
        <v>525</v>
      </c>
      <c r="BD951" s="6">
        <v>267.58064516129036</v>
      </c>
    </row>
    <row r="952" spans="52:56" x14ac:dyDescent="0.25">
      <c r="AZ952" s="6">
        <v>949</v>
      </c>
      <c r="BA952" s="6">
        <v>0</v>
      </c>
      <c r="BB952" s="6">
        <v>0</v>
      </c>
      <c r="BC952" s="6">
        <v>525</v>
      </c>
      <c r="BD952" s="6">
        <v>267.86290322580646</v>
      </c>
    </row>
    <row r="953" spans="52:56" x14ac:dyDescent="0.25">
      <c r="AZ953" s="6">
        <v>950</v>
      </c>
      <c r="BA953" s="6">
        <v>0</v>
      </c>
      <c r="BB953" s="6">
        <v>0</v>
      </c>
      <c r="BC953" s="6">
        <v>525</v>
      </c>
      <c r="BD953" s="6">
        <v>268.14516129032262</v>
      </c>
    </row>
    <row r="954" spans="52:56" x14ac:dyDescent="0.25">
      <c r="AZ954" s="6">
        <v>951</v>
      </c>
      <c r="BA954" s="6">
        <v>0</v>
      </c>
      <c r="BB954" s="6">
        <v>0</v>
      </c>
      <c r="BC954" s="6">
        <v>525</v>
      </c>
      <c r="BD954" s="6">
        <v>268.42741935483872</v>
      </c>
    </row>
    <row r="955" spans="52:56" x14ac:dyDescent="0.25">
      <c r="AZ955" s="6">
        <v>952</v>
      </c>
      <c r="BA955" s="6">
        <v>0</v>
      </c>
      <c r="BB955" s="6">
        <v>0</v>
      </c>
      <c r="BC955" s="6">
        <v>525</v>
      </c>
      <c r="BD955" s="6">
        <v>268.70967741935488</v>
      </c>
    </row>
    <row r="956" spans="52:56" x14ac:dyDescent="0.25">
      <c r="AZ956" s="6">
        <v>953</v>
      </c>
      <c r="BA956" s="6">
        <v>0</v>
      </c>
      <c r="BB956" s="6">
        <v>0</v>
      </c>
      <c r="BC956" s="6">
        <v>525</v>
      </c>
      <c r="BD956" s="6">
        <v>268.99193548387098</v>
      </c>
    </row>
    <row r="957" spans="52:56" x14ac:dyDescent="0.25">
      <c r="AZ957" s="6">
        <v>954</v>
      </c>
      <c r="BA957" s="6">
        <v>0</v>
      </c>
      <c r="BB957" s="6">
        <v>0</v>
      </c>
      <c r="BC957" s="6">
        <v>525</v>
      </c>
      <c r="BD957" s="6">
        <v>269.27419354838713</v>
      </c>
    </row>
    <row r="958" spans="52:56" x14ac:dyDescent="0.25">
      <c r="AZ958" s="6">
        <v>955</v>
      </c>
      <c r="BA958" s="6">
        <v>0</v>
      </c>
      <c r="BB958" s="6">
        <v>0</v>
      </c>
      <c r="BC958" s="6">
        <v>525</v>
      </c>
      <c r="BD958" s="6">
        <v>269.55645161290323</v>
      </c>
    </row>
    <row r="959" spans="52:56" x14ac:dyDescent="0.25">
      <c r="AZ959" s="6">
        <v>956</v>
      </c>
      <c r="BA959" s="6">
        <v>0</v>
      </c>
      <c r="BB959" s="6">
        <v>0</v>
      </c>
      <c r="BC959" s="6">
        <v>525</v>
      </c>
      <c r="BD959" s="6">
        <v>269.83870967741939</v>
      </c>
    </row>
    <row r="960" spans="52:56" x14ac:dyDescent="0.25">
      <c r="AZ960" s="6">
        <v>957</v>
      </c>
      <c r="BA960" s="6">
        <v>0</v>
      </c>
      <c r="BB960" s="6">
        <v>0</v>
      </c>
      <c r="BC960" s="6">
        <v>525</v>
      </c>
      <c r="BD960" s="6">
        <v>270.12096774193549</v>
      </c>
    </row>
    <row r="961" spans="52:56" x14ac:dyDescent="0.25">
      <c r="AZ961" s="6">
        <v>958</v>
      </c>
      <c r="BA961" s="6">
        <v>0</v>
      </c>
      <c r="BB961" s="6">
        <v>0</v>
      </c>
      <c r="BC961" s="6">
        <v>525</v>
      </c>
      <c r="BD961" s="6">
        <v>270.40322580645164</v>
      </c>
    </row>
    <row r="962" spans="52:56" x14ac:dyDescent="0.25">
      <c r="AZ962" s="6">
        <v>959</v>
      </c>
      <c r="BA962" s="6">
        <v>0</v>
      </c>
      <c r="BB962" s="6">
        <v>0</v>
      </c>
      <c r="BC962" s="6">
        <v>525</v>
      </c>
      <c r="BD962" s="6">
        <v>270.68548387096774</v>
      </c>
    </row>
    <row r="963" spans="52:56" x14ac:dyDescent="0.25">
      <c r="AZ963" s="6">
        <v>960</v>
      </c>
      <c r="BA963" s="6">
        <v>0</v>
      </c>
      <c r="BB963" s="6">
        <v>0</v>
      </c>
      <c r="BC963" s="6">
        <v>525</v>
      </c>
      <c r="BD963" s="6">
        <v>270.9677419354839</v>
      </c>
    </row>
    <row r="964" spans="52:56" x14ac:dyDescent="0.25">
      <c r="AZ964" s="6">
        <v>961</v>
      </c>
      <c r="BA964" s="6">
        <v>0</v>
      </c>
      <c r="BB964" s="6">
        <v>0</v>
      </c>
      <c r="BC964" s="6">
        <v>525</v>
      </c>
      <c r="BD964" s="6">
        <v>271.25</v>
      </c>
    </row>
    <row r="965" spans="52:56" x14ac:dyDescent="0.25">
      <c r="AZ965" s="6">
        <v>962</v>
      </c>
      <c r="BA965" s="6">
        <v>0</v>
      </c>
      <c r="BB965" s="6">
        <v>0</v>
      </c>
      <c r="BC965" s="6">
        <v>525</v>
      </c>
      <c r="BD965" s="6">
        <v>271.53225806451616</v>
      </c>
    </row>
    <row r="966" spans="52:56" x14ac:dyDescent="0.25">
      <c r="AZ966" s="6">
        <v>963</v>
      </c>
      <c r="BA966" s="6">
        <v>0</v>
      </c>
      <c r="BB966" s="6">
        <v>0</v>
      </c>
      <c r="BC966" s="6">
        <v>525</v>
      </c>
      <c r="BD966" s="6">
        <v>271.81451612903226</v>
      </c>
    </row>
    <row r="967" spans="52:56" x14ac:dyDescent="0.25">
      <c r="AZ967" s="6">
        <v>964</v>
      </c>
      <c r="BA967" s="6">
        <v>0</v>
      </c>
      <c r="BB967" s="6">
        <v>0</v>
      </c>
      <c r="BC967" s="6">
        <v>525</v>
      </c>
      <c r="BD967" s="6">
        <v>272.09677419354841</v>
      </c>
    </row>
    <row r="968" spans="52:56" x14ac:dyDescent="0.25">
      <c r="AZ968" s="6">
        <v>965</v>
      </c>
      <c r="BA968" s="6">
        <v>0</v>
      </c>
      <c r="BB968" s="6">
        <v>0</v>
      </c>
      <c r="BC968" s="6">
        <v>525</v>
      </c>
      <c r="BD968" s="6">
        <v>272.37903225806457</v>
      </c>
    </row>
    <row r="969" spans="52:56" x14ac:dyDescent="0.25">
      <c r="AZ969" s="6">
        <v>966</v>
      </c>
      <c r="BA969" s="6">
        <v>0</v>
      </c>
      <c r="BB969" s="6">
        <v>0</v>
      </c>
      <c r="BC969" s="6">
        <v>525</v>
      </c>
      <c r="BD969" s="6">
        <v>272.66129032258067</v>
      </c>
    </row>
    <row r="970" spans="52:56" x14ac:dyDescent="0.25">
      <c r="AZ970" s="6">
        <v>967</v>
      </c>
      <c r="BA970" s="6">
        <v>0</v>
      </c>
      <c r="BB970" s="6">
        <v>0</v>
      </c>
      <c r="BC970" s="6">
        <v>525</v>
      </c>
      <c r="BD970" s="6">
        <v>272.94354838709683</v>
      </c>
    </row>
    <row r="971" spans="52:56" x14ac:dyDescent="0.25">
      <c r="AZ971" s="6">
        <v>968</v>
      </c>
      <c r="BA971" s="6">
        <v>0</v>
      </c>
      <c r="BB971" s="6">
        <v>0</v>
      </c>
      <c r="BC971" s="6">
        <v>525</v>
      </c>
      <c r="BD971" s="6">
        <v>273.22580645161293</v>
      </c>
    </row>
    <row r="972" spans="52:56" x14ac:dyDescent="0.25">
      <c r="AZ972" s="6">
        <v>969</v>
      </c>
      <c r="BA972" s="6">
        <v>0</v>
      </c>
      <c r="BB972" s="6">
        <v>0</v>
      </c>
      <c r="BC972" s="6">
        <v>525</v>
      </c>
      <c r="BD972" s="6">
        <v>273.50806451612908</v>
      </c>
    </row>
    <row r="973" spans="52:56" x14ac:dyDescent="0.25">
      <c r="AZ973" s="6">
        <v>970</v>
      </c>
      <c r="BA973" s="6">
        <v>0</v>
      </c>
      <c r="BB973" s="6">
        <v>0</v>
      </c>
      <c r="BC973" s="6">
        <v>525</v>
      </c>
      <c r="BD973" s="6">
        <v>273.79032258064518</v>
      </c>
    </row>
    <row r="974" spans="52:56" x14ac:dyDescent="0.25">
      <c r="AZ974" s="6">
        <v>971</v>
      </c>
      <c r="BA974" s="6">
        <v>0</v>
      </c>
      <c r="BB974" s="6">
        <v>0</v>
      </c>
      <c r="BC974" s="6">
        <v>525</v>
      </c>
      <c r="BD974" s="6">
        <v>274.07258064516134</v>
      </c>
    </row>
    <row r="975" spans="52:56" x14ac:dyDescent="0.25">
      <c r="AZ975" s="6">
        <v>972</v>
      </c>
      <c r="BA975" s="6">
        <v>0</v>
      </c>
      <c r="BB975" s="6">
        <v>0</v>
      </c>
      <c r="BC975" s="6">
        <v>525</v>
      </c>
      <c r="BD975" s="6">
        <v>274.35483870967744</v>
      </c>
    </row>
    <row r="976" spans="52:56" x14ac:dyDescent="0.25">
      <c r="AZ976" s="6">
        <v>973</v>
      </c>
      <c r="BA976" s="6">
        <v>0</v>
      </c>
      <c r="BB976" s="6">
        <v>0</v>
      </c>
      <c r="BC976" s="6">
        <v>525</v>
      </c>
      <c r="BD976" s="6">
        <v>274.63709677419359</v>
      </c>
    </row>
    <row r="977" spans="52:56" x14ac:dyDescent="0.25">
      <c r="AZ977" s="6">
        <v>974</v>
      </c>
      <c r="BA977" s="6">
        <v>0</v>
      </c>
      <c r="BB977" s="6">
        <v>0</v>
      </c>
      <c r="BC977" s="6">
        <v>525</v>
      </c>
      <c r="BD977" s="6">
        <v>274.91935483870969</v>
      </c>
    </row>
    <row r="978" spans="52:56" x14ac:dyDescent="0.25">
      <c r="AZ978" s="6">
        <v>975</v>
      </c>
      <c r="BA978" s="6">
        <v>0</v>
      </c>
      <c r="BB978" s="6">
        <v>0</v>
      </c>
      <c r="BC978" s="6">
        <v>525</v>
      </c>
      <c r="BD978" s="6">
        <v>275.20161290322585</v>
      </c>
    </row>
    <row r="979" spans="52:56" x14ac:dyDescent="0.25">
      <c r="AZ979" s="6">
        <v>976</v>
      </c>
      <c r="BA979" s="6">
        <v>0</v>
      </c>
      <c r="BB979" s="6">
        <v>0</v>
      </c>
      <c r="BC979" s="6">
        <v>525</v>
      </c>
      <c r="BD979" s="6">
        <v>275.48387096774195</v>
      </c>
    </row>
    <row r="980" spans="52:56" x14ac:dyDescent="0.25">
      <c r="AZ980" s="6">
        <v>977</v>
      </c>
      <c r="BA980" s="6">
        <v>0</v>
      </c>
      <c r="BB980" s="6">
        <v>0</v>
      </c>
      <c r="BC980" s="6">
        <v>525</v>
      </c>
      <c r="BD980" s="6">
        <v>275.76612903225811</v>
      </c>
    </row>
    <row r="981" spans="52:56" x14ac:dyDescent="0.25">
      <c r="AZ981" s="6">
        <v>978</v>
      </c>
      <c r="BA981" s="6">
        <v>0</v>
      </c>
      <c r="BB981" s="6">
        <v>0</v>
      </c>
      <c r="BC981" s="6">
        <v>525</v>
      </c>
      <c r="BD981" s="6">
        <v>276.04838709677421</v>
      </c>
    </row>
    <row r="982" spans="52:56" x14ac:dyDescent="0.25">
      <c r="AZ982" s="6">
        <v>979</v>
      </c>
      <c r="BA982" s="6">
        <v>0</v>
      </c>
      <c r="BB982" s="6">
        <v>0</v>
      </c>
      <c r="BC982" s="6">
        <v>525</v>
      </c>
      <c r="BD982" s="6">
        <v>276.33064516129036</v>
      </c>
    </row>
    <row r="983" spans="52:56" x14ac:dyDescent="0.25">
      <c r="AZ983" s="6">
        <v>980</v>
      </c>
      <c r="BA983" s="6">
        <v>0</v>
      </c>
      <c r="BB983" s="6">
        <v>0</v>
      </c>
      <c r="BC983" s="6">
        <v>525</v>
      </c>
      <c r="BD983" s="6">
        <v>276.61290322580646</v>
      </c>
    </row>
    <row r="984" spans="52:56" x14ac:dyDescent="0.25">
      <c r="AZ984" s="6">
        <v>981</v>
      </c>
      <c r="BA984" s="6">
        <v>0</v>
      </c>
      <c r="BB984" s="6">
        <v>0</v>
      </c>
      <c r="BC984" s="6">
        <v>525</v>
      </c>
      <c r="BD984" s="6">
        <v>276.89516129032262</v>
      </c>
    </row>
    <row r="985" spans="52:56" x14ac:dyDescent="0.25">
      <c r="AZ985" s="6">
        <v>982</v>
      </c>
      <c r="BA985" s="6">
        <v>0</v>
      </c>
      <c r="BB985" s="6">
        <v>0</v>
      </c>
      <c r="BC985" s="6">
        <v>525</v>
      </c>
      <c r="BD985" s="6">
        <v>277.17741935483872</v>
      </c>
    </row>
    <row r="986" spans="52:56" x14ac:dyDescent="0.25">
      <c r="AZ986" s="6">
        <v>983</v>
      </c>
      <c r="BA986" s="6">
        <v>0</v>
      </c>
      <c r="BB986" s="6">
        <v>0</v>
      </c>
      <c r="BC986" s="6">
        <v>525</v>
      </c>
      <c r="BD986" s="6">
        <v>277.45967741935488</v>
      </c>
    </row>
    <row r="987" spans="52:56" x14ac:dyDescent="0.25">
      <c r="AZ987" s="6">
        <v>984</v>
      </c>
      <c r="BA987" s="6">
        <v>0</v>
      </c>
      <c r="BB987" s="6">
        <v>0</v>
      </c>
      <c r="BC987" s="6">
        <v>525</v>
      </c>
      <c r="BD987" s="6">
        <v>277.74193548387098</v>
      </c>
    </row>
    <row r="988" spans="52:56" x14ac:dyDescent="0.25">
      <c r="AZ988" s="6">
        <v>985</v>
      </c>
      <c r="BA988" s="6">
        <v>0</v>
      </c>
      <c r="BB988" s="6">
        <v>0</v>
      </c>
      <c r="BC988" s="6">
        <v>525</v>
      </c>
      <c r="BD988" s="6">
        <v>278.02419354838713</v>
      </c>
    </row>
    <row r="989" spans="52:56" x14ac:dyDescent="0.25">
      <c r="AZ989" s="6">
        <v>986</v>
      </c>
      <c r="BA989" s="6">
        <v>0</v>
      </c>
      <c r="BB989" s="6">
        <v>0</v>
      </c>
      <c r="BC989" s="6">
        <v>525</v>
      </c>
      <c r="BD989" s="6">
        <v>278.30645161290323</v>
      </c>
    </row>
    <row r="990" spans="52:56" x14ac:dyDescent="0.25">
      <c r="AZ990" s="6">
        <v>987</v>
      </c>
      <c r="BA990" s="6">
        <v>0</v>
      </c>
      <c r="BB990" s="6">
        <v>0</v>
      </c>
      <c r="BC990" s="6">
        <v>525</v>
      </c>
      <c r="BD990" s="6">
        <v>278.58870967741939</v>
      </c>
    </row>
    <row r="991" spans="52:56" x14ac:dyDescent="0.25">
      <c r="AZ991" s="6">
        <v>988</v>
      </c>
      <c r="BA991" s="6">
        <v>0</v>
      </c>
      <c r="BB991" s="6">
        <v>0</v>
      </c>
      <c r="BC991" s="6">
        <v>525</v>
      </c>
      <c r="BD991" s="6">
        <v>278.87096774193549</v>
      </c>
    </row>
    <row r="992" spans="52:56" x14ac:dyDescent="0.25">
      <c r="AZ992" s="6">
        <v>989</v>
      </c>
      <c r="BA992" s="6">
        <v>0</v>
      </c>
      <c r="BB992" s="6">
        <v>0</v>
      </c>
      <c r="BC992" s="6">
        <v>525</v>
      </c>
      <c r="BD992" s="6">
        <v>279.15322580645164</v>
      </c>
    </row>
    <row r="993" spans="52:56" x14ac:dyDescent="0.25">
      <c r="AZ993" s="6">
        <v>990</v>
      </c>
      <c r="BA993" s="6">
        <v>0</v>
      </c>
      <c r="BB993" s="6">
        <v>0</v>
      </c>
      <c r="BC993" s="6">
        <v>525</v>
      </c>
      <c r="BD993" s="6">
        <v>279.43548387096774</v>
      </c>
    </row>
    <row r="994" spans="52:56" x14ac:dyDescent="0.25">
      <c r="AZ994" s="6">
        <v>991</v>
      </c>
      <c r="BA994" s="6">
        <v>0</v>
      </c>
      <c r="BB994" s="6">
        <v>0</v>
      </c>
      <c r="BC994" s="6">
        <v>525</v>
      </c>
      <c r="BD994" s="6">
        <v>279.7177419354839</v>
      </c>
    </row>
    <row r="995" spans="52:56" x14ac:dyDescent="0.25">
      <c r="AZ995" s="6">
        <v>992</v>
      </c>
      <c r="BA995" s="6">
        <v>0</v>
      </c>
      <c r="BB995" s="6">
        <v>0</v>
      </c>
      <c r="BC995" s="6">
        <v>525</v>
      </c>
      <c r="BD995" s="6">
        <v>280</v>
      </c>
    </row>
    <row r="996" spans="52:56" x14ac:dyDescent="0.25">
      <c r="AZ996" s="6">
        <v>993</v>
      </c>
      <c r="BA996" s="6">
        <v>0</v>
      </c>
      <c r="BB996" s="6">
        <v>0</v>
      </c>
      <c r="BC996" s="6">
        <v>525</v>
      </c>
      <c r="BD996" s="6">
        <v>280.28225806451616</v>
      </c>
    </row>
    <row r="997" spans="52:56" x14ac:dyDescent="0.25">
      <c r="AZ997" s="6">
        <v>994</v>
      </c>
      <c r="BA997" s="6">
        <v>0</v>
      </c>
      <c r="BB997" s="6">
        <v>0</v>
      </c>
      <c r="BC997" s="6">
        <v>525</v>
      </c>
      <c r="BD997" s="6">
        <v>280.56451612903231</v>
      </c>
    </row>
    <row r="998" spans="52:56" x14ac:dyDescent="0.25">
      <c r="AZ998" s="6">
        <v>995</v>
      </c>
      <c r="BA998" s="6">
        <v>0</v>
      </c>
      <c r="BB998" s="6">
        <v>0</v>
      </c>
      <c r="BC998" s="6">
        <v>525</v>
      </c>
      <c r="BD998" s="6">
        <v>280.84677419354841</v>
      </c>
    </row>
    <row r="999" spans="52:56" x14ac:dyDescent="0.25">
      <c r="AZ999" s="6">
        <v>996</v>
      </c>
      <c r="BA999" s="6">
        <v>0</v>
      </c>
      <c r="BB999" s="6">
        <v>0</v>
      </c>
      <c r="BC999" s="6">
        <v>525</v>
      </c>
      <c r="BD999" s="6">
        <v>281.12903225806457</v>
      </c>
    </row>
    <row r="1000" spans="52:56" x14ac:dyDescent="0.25">
      <c r="AZ1000" s="6">
        <v>997</v>
      </c>
      <c r="BA1000" s="6">
        <v>0</v>
      </c>
      <c r="BB1000" s="6">
        <v>0</v>
      </c>
      <c r="BC1000" s="6">
        <v>525</v>
      </c>
      <c r="BD1000" s="6">
        <v>281.41129032258067</v>
      </c>
    </row>
    <row r="1001" spans="52:56" x14ac:dyDescent="0.25">
      <c r="AZ1001" s="6">
        <v>998</v>
      </c>
      <c r="BA1001" s="6">
        <v>0</v>
      </c>
      <c r="BB1001" s="6">
        <v>0</v>
      </c>
      <c r="BC1001" s="6">
        <v>525</v>
      </c>
      <c r="BD1001" s="6">
        <v>281.69354838709683</v>
      </c>
    </row>
    <row r="1002" spans="52:56" x14ac:dyDescent="0.25">
      <c r="AZ1002" s="6">
        <v>999</v>
      </c>
      <c r="BA1002" s="6">
        <v>0</v>
      </c>
      <c r="BB1002" s="6">
        <v>0</v>
      </c>
      <c r="BC1002" s="6">
        <v>525</v>
      </c>
      <c r="BD1002" s="6">
        <v>281.97580645161293</v>
      </c>
    </row>
    <row r="1003" spans="52:56" x14ac:dyDescent="0.25">
      <c r="AZ1003" s="6">
        <v>1000</v>
      </c>
      <c r="BA1003" s="6">
        <v>0</v>
      </c>
      <c r="BB1003" s="6">
        <v>0</v>
      </c>
      <c r="BC1003" s="6">
        <v>525</v>
      </c>
      <c r="BD1003" s="6">
        <v>282.25806451612908</v>
      </c>
    </row>
    <row r="1004" spans="52:56" x14ac:dyDescent="0.25">
      <c r="AZ1004" s="6">
        <v>1001</v>
      </c>
      <c r="BA1004" s="6">
        <v>0</v>
      </c>
      <c r="BB1004" s="6">
        <v>0</v>
      </c>
      <c r="BC1004" s="6">
        <v>525</v>
      </c>
      <c r="BD1004" s="6">
        <v>282.54032258064518</v>
      </c>
    </row>
    <row r="1005" spans="52:56" x14ac:dyDescent="0.25">
      <c r="AZ1005" s="6">
        <v>1002</v>
      </c>
      <c r="BA1005" s="6">
        <v>0</v>
      </c>
      <c r="BB1005" s="6">
        <v>0</v>
      </c>
      <c r="BC1005" s="6">
        <v>525</v>
      </c>
      <c r="BD1005" s="6">
        <v>282.82258064516134</v>
      </c>
    </row>
    <row r="1006" spans="52:56" x14ac:dyDescent="0.25">
      <c r="AZ1006" s="6">
        <v>1003</v>
      </c>
      <c r="BA1006" s="6">
        <v>0</v>
      </c>
      <c r="BB1006" s="6">
        <v>0</v>
      </c>
      <c r="BC1006" s="6">
        <v>525</v>
      </c>
      <c r="BD1006" s="6">
        <v>283.10483870967744</v>
      </c>
    </row>
    <row r="1007" spans="52:56" x14ac:dyDescent="0.25">
      <c r="AZ1007" s="6">
        <v>1004</v>
      </c>
      <c r="BA1007" s="6">
        <v>0</v>
      </c>
      <c r="BB1007" s="6">
        <v>0</v>
      </c>
      <c r="BC1007" s="6">
        <v>525</v>
      </c>
      <c r="BD1007" s="6">
        <v>283.38709677419359</v>
      </c>
    </row>
    <row r="1008" spans="52:56" x14ac:dyDescent="0.25">
      <c r="AZ1008" s="6">
        <v>1005</v>
      </c>
      <c r="BA1008" s="6">
        <v>0</v>
      </c>
      <c r="BB1008" s="6">
        <v>0</v>
      </c>
      <c r="BC1008" s="6">
        <v>525</v>
      </c>
      <c r="BD1008" s="6">
        <v>283.66935483870969</v>
      </c>
    </row>
    <row r="1009" spans="52:56" x14ac:dyDescent="0.25">
      <c r="AZ1009" s="6">
        <v>1006</v>
      </c>
      <c r="BA1009" s="6">
        <v>0</v>
      </c>
      <c r="BB1009" s="6">
        <v>0</v>
      </c>
      <c r="BC1009" s="6">
        <v>525</v>
      </c>
      <c r="BD1009" s="6">
        <v>283.95161290322585</v>
      </c>
    </row>
    <row r="1010" spans="52:56" x14ac:dyDescent="0.25">
      <c r="AZ1010" s="6">
        <v>1007</v>
      </c>
      <c r="BA1010" s="6">
        <v>0</v>
      </c>
      <c r="BB1010" s="6">
        <v>0</v>
      </c>
      <c r="BC1010" s="6">
        <v>525</v>
      </c>
      <c r="BD1010" s="6">
        <v>284.23387096774195</v>
      </c>
    </row>
    <row r="1011" spans="52:56" x14ac:dyDescent="0.25">
      <c r="AZ1011" s="6">
        <v>1008</v>
      </c>
      <c r="BA1011" s="6">
        <v>0</v>
      </c>
      <c r="BB1011" s="6">
        <v>0</v>
      </c>
      <c r="BC1011" s="6">
        <v>525</v>
      </c>
      <c r="BD1011" s="6">
        <v>284.51612903225811</v>
      </c>
    </row>
    <row r="1012" spans="52:56" x14ac:dyDescent="0.25">
      <c r="AZ1012" s="6">
        <v>1009</v>
      </c>
      <c r="BA1012" s="6">
        <v>0</v>
      </c>
      <c r="BB1012" s="6">
        <v>0</v>
      </c>
      <c r="BC1012" s="6">
        <v>525</v>
      </c>
      <c r="BD1012" s="6">
        <v>284.79838709677421</v>
      </c>
    </row>
    <row r="1013" spans="52:56" x14ac:dyDescent="0.25">
      <c r="AZ1013" s="6">
        <v>1010</v>
      </c>
      <c r="BA1013" s="6">
        <v>0</v>
      </c>
      <c r="BB1013" s="6">
        <v>0</v>
      </c>
      <c r="BC1013" s="6">
        <v>525</v>
      </c>
      <c r="BD1013" s="6">
        <v>285.08064516129036</v>
      </c>
    </row>
    <row r="1014" spans="52:56" x14ac:dyDescent="0.25">
      <c r="AZ1014" s="6">
        <v>1011</v>
      </c>
      <c r="BA1014" s="6">
        <v>0</v>
      </c>
      <c r="BB1014" s="6">
        <v>0</v>
      </c>
      <c r="BC1014" s="6">
        <v>525</v>
      </c>
      <c r="BD1014" s="6">
        <v>285.36290322580646</v>
      </c>
    </row>
    <row r="1015" spans="52:56" x14ac:dyDescent="0.25">
      <c r="AZ1015" s="6">
        <v>1012</v>
      </c>
      <c r="BA1015" s="6">
        <v>0</v>
      </c>
      <c r="BB1015" s="6">
        <v>0</v>
      </c>
      <c r="BC1015" s="6">
        <v>525</v>
      </c>
      <c r="BD1015" s="6">
        <v>285.64516129032262</v>
      </c>
    </row>
    <row r="1016" spans="52:56" x14ac:dyDescent="0.25">
      <c r="AZ1016" s="6">
        <v>1013</v>
      </c>
      <c r="BA1016" s="6">
        <v>0</v>
      </c>
      <c r="BB1016" s="6">
        <v>0</v>
      </c>
      <c r="BC1016" s="6">
        <v>525</v>
      </c>
      <c r="BD1016" s="6">
        <v>285.92741935483872</v>
      </c>
    </row>
    <row r="1017" spans="52:56" x14ac:dyDescent="0.25">
      <c r="AZ1017" s="6">
        <v>1014</v>
      </c>
      <c r="BA1017" s="6">
        <v>0</v>
      </c>
      <c r="BB1017" s="6">
        <v>0</v>
      </c>
      <c r="BC1017" s="6">
        <v>525</v>
      </c>
      <c r="BD1017" s="6">
        <v>286.20967741935488</v>
      </c>
    </row>
    <row r="1018" spans="52:56" x14ac:dyDescent="0.25">
      <c r="AZ1018" s="6">
        <v>1015</v>
      </c>
      <c r="BA1018" s="6">
        <v>0</v>
      </c>
      <c r="BB1018" s="6">
        <v>0</v>
      </c>
      <c r="BC1018" s="6">
        <v>525</v>
      </c>
      <c r="BD1018" s="6">
        <v>286.49193548387098</v>
      </c>
    </row>
    <row r="1019" spans="52:56" x14ac:dyDescent="0.25">
      <c r="AZ1019" s="6">
        <v>1016</v>
      </c>
      <c r="BA1019" s="6">
        <v>0</v>
      </c>
      <c r="BB1019" s="6">
        <v>0</v>
      </c>
      <c r="BC1019" s="6">
        <v>525</v>
      </c>
      <c r="BD1019" s="6">
        <v>286.77419354838713</v>
      </c>
    </row>
    <row r="1020" spans="52:56" x14ac:dyDescent="0.25">
      <c r="AZ1020" s="6">
        <v>1017</v>
      </c>
      <c r="BA1020" s="6">
        <v>0</v>
      </c>
      <c r="BB1020" s="6">
        <v>0</v>
      </c>
      <c r="BC1020" s="6">
        <v>525</v>
      </c>
      <c r="BD1020" s="6">
        <v>287.05645161290323</v>
      </c>
    </row>
    <row r="1021" spans="52:56" x14ac:dyDescent="0.25">
      <c r="AZ1021" s="6">
        <v>1018</v>
      </c>
      <c r="BA1021" s="6">
        <v>0</v>
      </c>
      <c r="BB1021" s="6">
        <v>0</v>
      </c>
      <c r="BC1021" s="6">
        <v>525</v>
      </c>
      <c r="BD1021" s="6">
        <v>287.33870967741939</v>
      </c>
    </row>
    <row r="1022" spans="52:56" x14ac:dyDescent="0.25">
      <c r="AZ1022" s="6">
        <v>1019</v>
      </c>
      <c r="BA1022" s="6">
        <v>0</v>
      </c>
      <c r="BB1022" s="6">
        <v>0</v>
      </c>
      <c r="BC1022" s="6">
        <v>525</v>
      </c>
      <c r="BD1022" s="6">
        <v>287.62096774193549</v>
      </c>
    </row>
    <row r="1023" spans="52:56" x14ac:dyDescent="0.25">
      <c r="AZ1023" s="6">
        <v>1020</v>
      </c>
      <c r="BA1023" s="6">
        <v>0</v>
      </c>
      <c r="BB1023" s="6">
        <v>0</v>
      </c>
      <c r="BC1023" s="6">
        <v>525</v>
      </c>
      <c r="BD1023" s="6">
        <v>287.90322580645164</v>
      </c>
    </row>
    <row r="1024" spans="52:56" x14ac:dyDescent="0.25">
      <c r="AZ1024" s="6">
        <v>1021</v>
      </c>
      <c r="BA1024" s="6">
        <v>0</v>
      </c>
      <c r="BB1024" s="6">
        <v>0</v>
      </c>
      <c r="BC1024" s="6">
        <v>525</v>
      </c>
      <c r="BD1024" s="6">
        <v>288.18548387096774</v>
      </c>
    </row>
    <row r="1025" spans="52:56" x14ac:dyDescent="0.25">
      <c r="AZ1025" s="6">
        <v>1022</v>
      </c>
      <c r="BA1025" s="6">
        <v>0</v>
      </c>
      <c r="BB1025" s="6">
        <v>0</v>
      </c>
      <c r="BC1025" s="6">
        <v>525</v>
      </c>
      <c r="BD1025" s="6">
        <v>288.4677419354839</v>
      </c>
    </row>
    <row r="1026" spans="52:56" x14ac:dyDescent="0.25">
      <c r="AZ1026" s="6">
        <v>1023</v>
      </c>
      <c r="BA1026" s="6">
        <v>0</v>
      </c>
      <c r="BB1026" s="6">
        <v>0</v>
      </c>
      <c r="BC1026" s="6">
        <v>525</v>
      </c>
      <c r="BD1026" s="6">
        <v>288.75</v>
      </c>
    </row>
    <row r="1027" spans="52:56" x14ac:dyDescent="0.25">
      <c r="AZ1027" s="6">
        <v>1024</v>
      </c>
      <c r="BA1027" s="6">
        <v>0</v>
      </c>
      <c r="BB1027" s="6">
        <v>0</v>
      </c>
      <c r="BC1027" s="6">
        <v>525</v>
      </c>
      <c r="BD1027" s="6">
        <v>289.03225806451616</v>
      </c>
    </row>
    <row r="1028" spans="52:56" x14ac:dyDescent="0.25">
      <c r="AZ1028" s="6">
        <v>1025</v>
      </c>
      <c r="BA1028" s="6">
        <v>0</v>
      </c>
      <c r="BB1028" s="6">
        <v>0</v>
      </c>
      <c r="BC1028" s="6">
        <v>525</v>
      </c>
      <c r="BD1028" s="6">
        <v>289.31451612903231</v>
      </c>
    </row>
    <row r="1029" spans="52:56" x14ac:dyDescent="0.25">
      <c r="AZ1029" s="6">
        <v>1026</v>
      </c>
      <c r="BA1029" s="6">
        <v>0</v>
      </c>
      <c r="BB1029" s="6">
        <v>0</v>
      </c>
      <c r="BC1029" s="6">
        <v>525</v>
      </c>
      <c r="BD1029" s="6">
        <v>289.59677419354841</v>
      </c>
    </row>
    <row r="1030" spans="52:56" x14ac:dyDescent="0.25">
      <c r="AZ1030" s="6">
        <v>1027</v>
      </c>
      <c r="BA1030" s="6">
        <v>0</v>
      </c>
      <c r="BB1030" s="6">
        <v>0</v>
      </c>
      <c r="BC1030" s="6">
        <v>525</v>
      </c>
      <c r="BD1030" s="6">
        <v>289.87903225806457</v>
      </c>
    </row>
    <row r="1031" spans="52:56" x14ac:dyDescent="0.25">
      <c r="AZ1031" s="6">
        <v>1028</v>
      </c>
      <c r="BA1031" s="6">
        <v>0</v>
      </c>
      <c r="BB1031" s="6">
        <v>0</v>
      </c>
      <c r="BC1031" s="6">
        <v>525</v>
      </c>
      <c r="BD1031" s="6">
        <v>290.16129032258067</v>
      </c>
    </row>
    <row r="1032" spans="52:56" x14ac:dyDescent="0.25">
      <c r="AZ1032" s="6">
        <v>1029</v>
      </c>
      <c r="BA1032" s="6">
        <v>0</v>
      </c>
      <c r="BB1032" s="6">
        <v>0</v>
      </c>
      <c r="BC1032" s="6">
        <v>525</v>
      </c>
      <c r="BD1032" s="6">
        <v>290.44354838709683</v>
      </c>
    </row>
    <row r="1033" spans="52:56" x14ac:dyDescent="0.25">
      <c r="AZ1033" s="6">
        <v>1030</v>
      </c>
      <c r="BA1033" s="6">
        <v>0</v>
      </c>
      <c r="BB1033" s="6">
        <v>0</v>
      </c>
      <c r="BC1033" s="6">
        <v>525</v>
      </c>
      <c r="BD1033" s="6">
        <v>290.72580645161293</v>
      </c>
    </row>
    <row r="1034" spans="52:56" x14ac:dyDescent="0.25">
      <c r="AZ1034" s="6">
        <v>1031</v>
      </c>
      <c r="BA1034" s="6">
        <v>0</v>
      </c>
      <c r="BB1034" s="6">
        <v>0</v>
      </c>
      <c r="BC1034" s="6">
        <v>525</v>
      </c>
      <c r="BD1034" s="6">
        <v>291.00806451612908</v>
      </c>
    </row>
    <row r="1035" spans="52:56" x14ac:dyDescent="0.25">
      <c r="AZ1035" s="6">
        <v>1032</v>
      </c>
      <c r="BA1035" s="6">
        <v>0</v>
      </c>
      <c r="BB1035" s="6">
        <v>0</v>
      </c>
      <c r="BC1035" s="6">
        <v>525</v>
      </c>
      <c r="BD1035" s="6">
        <v>291.29032258064518</v>
      </c>
    </row>
    <row r="1036" spans="52:56" x14ac:dyDescent="0.25">
      <c r="AZ1036" s="6">
        <v>1033</v>
      </c>
      <c r="BA1036" s="6">
        <v>0</v>
      </c>
      <c r="BB1036" s="6">
        <v>0</v>
      </c>
      <c r="BC1036" s="6">
        <v>525</v>
      </c>
      <c r="BD1036" s="6">
        <v>291.57258064516134</v>
      </c>
    </row>
    <row r="1037" spans="52:56" x14ac:dyDescent="0.25">
      <c r="AZ1037" s="6">
        <v>1034</v>
      </c>
      <c r="BA1037" s="6">
        <v>0</v>
      </c>
      <c r="BB1037" s="6">
        <v>0</v>
      </c>
      <c r="BC1037" s="6">
        <v>525</v>
      </c>
      <c r="BD1037" s="6">
        <v>291.85483870967744</v>
      </c>
    </row>
    <row r="1038" spans="52:56" x14ac:dyDescent="0.25">
      <c r="AZ1038" s="6">
        <v>1035</v>
      </c>
      <c r="BA1038" s="6">
        <v>0</v>
      </c>
      <c r="BB1038" s="6">
        <v>0</v>
      </c>
      <c r="BC1038" s="6">
        <v>525</v>
      </c>
      <c r="BD1038" s="6">
        <v>292.13709677419359</v>
      </c>
    </row>
    <row r="1039" spans="52:56" x14ac:dyDescent="0.25">
      <c r="AZ1039" s="6">
        <v>1036</v>
      </c>
      <c r="BA1039" s="6">
        <v>0</v>
      </c>
      <c r="BB1039" s="6">
        <v>0</v>
      </c>
      <c r="BC1039" s="6">
        <v>525</v>
      </c>
      <c r="BD1039" s="6">
        <v>292.41935483870969</v>
      </c>
    </row>
    <row r="1040" spans="52:56" x14ac:dyDescent="0.25">
      <c r="AZ1040" s="6">
        <v>1037</v>
      </c>
      <c r="BA1040" s="6">
        <v>0</v>
      </c>
      <c r="BB1040" s="6">
        <v>0</v>
      </c>
      <c r="BC1040" s="6">
        <v>525</v>
      </c>
      <c r="BD1040" s="6">
        <v>292.70161290322585</v>
      </c>
    </row>
    <row r="1041" spans="52:56" x14ac:dyDescent="0.25">
      <c r="AZ1041" s="6">
        <v>1038</v>
      </c>
      <c r="BA1041" s="6">
        <v>0</v>
      </c>
      <c r="BB1041" s="6">
        <v>0</v>
      </c>
      <c r="BC1041" s="6">
        <v>525</v>
      </c>
      <c r="BD1041" s="6">
        <v>292.98387096774195</v>
      </c>
    </row>
    <row r="1042" spans="52:56" x14ac:dyDescent="0.25">
      <c r="AZ1042" s="6">
        <v>1039</v>
      </c>
      <c r="BA1042" s="6">
        <v>0</v>
      </c>
      <c r="BB1042" s="6">
        <v>0</v>
      </c>
      <c r="BC1042" s="6">
        <v>525</v>
      </c>
      <c r="BD1042" s="6">
        <v>293.26612903225811</v>
      </c>
    </row>
    <row r="1043" spans="52:56" x14ac:dyDescent="0.25">
      <c r="AZ1043" s="6">
        <v>1040</v>
      </c>
      <c r="BA1043" s="6">
        <v>0</v>
      </c>
      <c r="BB1043" s="6">
        <v>0</v>
      </c>
      <c r="BC1043" s="6">
        <v>525</v>
      </c>
      <c r="BD1043" s="6">
        <v>293.54838709677421</v>
      </c>
    </row>
    <row r="1044" spans="52:56" x14ac:dyDescent="0.25">
      <c r="AZ1044" s="6">
        <v>1041</v>
      </c>
      <c r="BA1044" s="6">
        <v>0</v>
      </c>
      <c r="BB1044" s="6">
        <v>0</v>
      </c>
      <c r="BC1044" s="6">
        <v>525</v>
      </c>
      <c r="BD1044" s="6">
        <v>293.83064516129036</v>
      </c>
    </row>
    <row r="1045" spans="52:56" x14ac:dyDescent="0.25">
      <c r="AZ1045" s="6">
        <v>1042</v>
      </c>
      <c r="BA1045" s="6">
        <v>0</v>
      </c>
      <c r="BB1045" s="6">
        <v>0</v>
      </c>
      <c r="BC1045" s="6">
        <v>525</v>
      </c>
      <c r="BD1045" s="6">
        <v>294.11290322580646</v>
      </c>
    </row>
    <row r="1046" spans="52:56" x14ac:dyDescent="0.25">
      <c r="AZ1046" s="6">
        <v>1043</v>
      </c>
      <c r="BA1046" s="6">
        <v>0</v>
      </c>
      <c r="BB1046" s="6">
        <v>0</v>
      </c>
      <c r="BC1046" s="6">
        <v>525</v>
      </c>
      <c r="BD1046" s="6">
        <v>294.39516129032262</v>
      </c>
    </row>
    <row r="1047" spans="52:56" x14ac:dyDescent="0.25">
      <c r="AZ1047" s="6">
        <v>1044</v>
      </c>
      <c r="BA1047" s="6">
        <v>0</v>
      </c>
      <c r="BB1047" s="6">
        <v>0</v>
      </c>
      <c r="BC1047" s="6">
        <v>525</v>
      </c>
      <c r="BD1047" s="6">
        <v>294.67741935483872</v>
      </c>
    </row>
    <row r="1048" spans="52:56" x14ac:dyDescent="0.25">
      <c r="AZ1048" s="6">
        <v>1045</v>
      </c>
      <c r="BA1048" s="6">
        <v>0</v>
      </c>
      <c r="BB1048" s="6">
        <v>0</v>
      </c>
      <c r="BC1048" s="6">
        <v>525</v>
      </c>
      <c r="BD1048" s="6">
        <v>294.95967741935488</v>
      </c>
    </row>
    <row r="1049" spans="52:56" x14ac:dyDescent="0.25">
      <c r="AZ1049" s="6">
        <v>1046</v>
      </c>
      <c r="BA1049" s="6">
        <v>0</v>
      </c>
      <c r="BB1049" s="6">
        <v>0</v>
      </c>
      <c r="BC1049" s="6">
        <v>525</v>
      </c>
      <c r="BD1049" s="6">
        <v>295.24193548387098</v>
      </c>
    </row>
    <row r="1050" spans="52:56" x14ac:dyDescent="0.25">
      <c r="AZ1050" s="6">
        <v>1047</v>
      </c>
      <c r="BA1050" s="6">
        <v>0</v>
      </c>
      <c r="BB1050" s="6">
        <v>0</v>
      </c>
      <c r="BC1050" s="6">
        <v>525</v>
      </c>
      <c r="BD1050" s="6">
        <v>295.52419354838713</v>
      </c>
    </row>
    <row r="1051" spans="52:56" x14ac:dyDescent="0.25">
      <c r="AZ1051" s="6">
        <v>1048</v>
      </c>
      <c r="BA1051" s="6">
        <v>0</v>
      </c>
      <c r="BB1051" s="6">
        <v>0</v>
      </c>
      <c r="BC1051" s="6">
        <v>525</v>
      </c>
      <c r="BD1051" s="6">
        <v>295.80645161290323</v>
      </c>
    </row>
    <row r="1052" spans="52:56" x14ac:dyDescent="0.25">
      <c r="AZ1052" s="6">
        <v>1049</v>
      </c>
      <c r="BA1052" s="6">
        <v>0</v>
      </c>
      <c r="BB1052" s="6">
        <v>0</v>
      </c>
      <c r="BC1052" s="6">
        <v>525</v>
      </c>
      <c r="BD1052" s="6">
        <v>296.08870967741939</v>
      </c>
    </row>
    <row r="1053" spans="52:56" x14ac:dyDescent="0.25">
      <c r="AZ1053" s="6">
        <v>1050</v>
      </c>
      <c r="BA1053" s="6">
        <v>0</v>
      </c>
      <c r="BB1053" s="6">
        <v>0</v>
      </c>
      <c r="BC1053" s="6">
        <v>525</v>
      </c>
      <c r="BD1053" s="6">
        <v>296.37096774193549</v>
      </c>
    </row>
    <row r="1054" spans="52:56" x14ac:dyDescent="0.25">
      <c r="AZ1054" s="6">
        <v>1051</v>
      </c>
      <c r="BA1054" s="6">
        <v>0</v>
      </c>
      <c r="BB1054" s="6">
        <v>0</v>
      </c>
      <c r="BC1054" s="6">
        <v>525</v>
      </c>
      <c r="BD1054" s="6">
        <v>296.65322580645164</v>
      </c>
    </row>
    <row r="1055" spans="52:56" x14ac:dyDescent="0.25">
      <c r="AZ1055" s="6">
        <v>1052</v>
      </c>
      <c r="BA1055" s="6">
        <v>0</v>
      </c>
      <c r="BB1055" s="6">
        <v>0</v>
      </c>
      <c r="BC1055" s="6">
        <v>525</v>
      </c>
      <c r="BD1055" s="6">
        <v>296.93548387096774</v>
      </c>
    </row>
    <row r="1056" spans="52:56" x14ac:dyDescent="0.25">
      <c r="AZ1056" s="6">
        <v>1053</v>
      </c>
      <c r="BA1056" s="6">
        <v>0</v>
      </c>
      <c r="BB1056" s="6">
        <v>0</v>
      </c>
      <c r="BC1056" s="6">
        <v>525</v>
      </c>
      <c r="BD1056" s="6">
        <v>297.2177419354839</v>
      </c>
    </row>
    <row r="1057" spans="52:56" x14ac:dyDescent="0.25">
      <c r="AZ1057" s="6">
        <v>1054</v>
      </c>
      <c r="BA1057" s="6">
        <v>0</v>
      </c>
      <c r="BB1057" s="6">
        <v>0</v>
      </c>
      <c r="BC1057" s="6">
        <v>525</v>
      </c>
      <c r="BD1057" s="6">
        <v>297.5</v>
      </c>
    </row>
    <row r="1058" spans="52:56" x14ac:dyDescent="0.25">
      <c r="AZ1058" s="6">
        <v>1055</v>
      </c>
      <c r="BA1058" s="6">
        <v>0</v>
      </c>
      <c r="BB1058" s="6">
        <v>0</v>
      </c>
      <c r="BC1058" s="6">
        <v>525</v>
      </c>
      <c r="BD1058" s="6">
        <v>297.78225806451616</v>
      </c>
    </row>
    <row r="1059" spans="52:56" x14ac:dyDescent="0.25">
      <c r="AZ1059" s="6">
        <v>1056</v>
      </c>
      <c r="BA1059" s="6">
        <v>0</v>
      </c>
      <c r="BB1059" s="6">
        <v>0</v>
      </c>
      <c r="BC1059" s="6">
        <v>525</v>
      </c>
      <c r="BD1059" s="6">
        <v>298.06451612903231</v>
      </c>
    </row>
    <row r="1060" spans="52:56" x14ac:dyDescent="0.25">
      <c r="AZ1060" s="6">
        <v>1057</v>
      </c>
      <c r="BA1060" s="6">
        <v>0</v>
      </c>
      <c r="BB1060" s="6">
        <v>0</v>
      </c>
      <c r="BC1060" s="6">
        <v>525</v>
      </c>
      <c r="BD1060" s="6">
        <v>298.34677419354841</v>
      </c>
    </row>
    <row r="1061" spans="52:56" x14ac:dyDescent="0.25">
      <c r="AZ1061" s="6">
        <v>1058</v>
      </c>
      <c r="BA1061" s="6">
        <v>0</v>
      </c>
      <c r="BB1061" s="6">
        <v>0</v>
      </c>
      <c r="BC1061" s="6">
        <v>525</v>
      </c>
      <c r="BD1061" s="6">
        <v>298.62903225806457</v>
      </c>
    </row>
    <row r="1062" spans="52:56" x14ac:dyDescent="0.25">
      <c r="AZ1062" s="6">
        <v>1059</v>
      </c>
      <c r="BA1062" s="6">
        <v>0</v>
      </c>
      <c r="BB1062" s="6">
        <v>0</v>
      </c>
      <c r="BC1062" s="6">
        <v>525</v>
      </c>
      <c r="BD1062" s="6">
        <v>298.91129032258067</v>
      </c>
    </row>
    <row r="1063" spans="52:56" x14ac:dyDescent="0.25">
      <c r="AZ1063" s="6">
        <v>1060</v>
      </c>
      <c r="BA1063" s="6">
        <v>0</v>
      </c>
      <c r="BB1063" s="6">
        <v>0</v>
      </c>
      <c r="BC1063" s="6">
        <v>525</v>
      </c>
      <c r="BD1063" s="6">
        <v>299.19354838709683</v>
      </c>
    </row>
    <row r="1064" spans="52:56" x14ac:dyDescent="0.25">
      <c r="AZ1064" s="6">
        <v>1061</v>
      </c>
      <c r="BA1064" s="6">
        <v>0</v>
      </c>
      <c r="BB1064" s="6">
        <v>0</v>
      </c>
      <c r="BC1064" s="6">
        <v>525</v>
      </c>
      <c r="BD1064" s="6">
        <v>299.47580645161293</v>
      </c>
    </row>
    <row r="1065" spans="52:56" x14ac:dyDescent="0.25">
      <c r="AZ1065" s="6">
        <v>1062</v>
      </c>
      <c r="BA1065" s="6">
        <v>0</v>
      </c>
      <c r="BB1065" s="6">
        <v>0</v>
      </c>
      <c r="BC1065" s="6">
        <v>525</v>
      </c>
      <c r="BD1065" s="6">
        <v>299.75806451612908</v>
      </c>
    </row>
    <row r="1066" spans="52:56" x14ac:dyDescent="0.25">
      <c r="AZ1066" s="6">
        <v>1063</v>
      </c>
      <c r="BA1066" s="6">
        <v>0</v>
      </c>
      <c r="BB1066" s="6">
        <v>0</v>
      </c>
      <c r="BC1066" s="6">
        <v>525</v>
      </c>
      <c r="BD1066" s="6">
        <v>300.04032258064518</v>
      </c>
    </row>
    <row r="1067" spans="52:56" x14ac:dyDescent="0.25">
      <c r="AZ1067" s="6">
        <v>1064</v>
      </c>
      <c r="BA1067" s="6">
        <v>0</v>
      </c>
      <c r="BB1067" s="6">
        <v>0</v>
      </c>
      <c r="BC1067" s="6">
        <v>525</v>
      </c>
      <c r="BD1067" s="6">
        <v>300.32258064516134</v>
      </c>
    </row>
    <row r="1068" spans="52:56" x14ac:dyDescent="0.25">
      <c r="AZ1068" s="6">
        <v>1065</v>
      </c>
      <c r="BA1068" s="6">
        <v>0</v>
      </c>
      <c r="BB1068" s="6">
        <v>0</v>
      </c>
      <c r="BC1068" s="6">
        <v>525</v>
      </c>
      <c r="BD1068" s="6">
        <v>300.60483870967744</v>
      </c>
    </row>
    <row r="1069" spans="52:56" x14ac:dyDescent="0.25">
      <c r="AZ1069" s="6">
        <v>1066</v>
      </c>
      <c r="BA1069" s="6">
        <v>0</v>
      </c>
      <c r="BB1069" s="6">
        <v>0</v>
      </c>
      <c r="BC1069" s="6">
        <v>525</v>
      </c>
      <c r="BD1069" s="6">
        <v>300.88709677419359</v>
      </c>
    </row>
    <row r="1070" spans="52:56" x14ac:dyDescent="0.25">
      <c r="AZ1070" s="6">
        <v>1067</v>
      </c>
      <c r="BA1070" s="6">
        <v>0</v>
      </c>
      <c r="BB1070" s="6">
        <v>0</v>
      </c>
      <c r="BC1070" s="6">
        <v>525</v>
      </c>
      <c r="BD1070" s="6">
        <v>301.16935483870969</v>
      </c>
    </row>
    <row r="1071" spans="52:56" x14ac:dyDescent="0.25">
      <c r="AZ1071" s="6">
        <v>1068</v>
      </c>
      <c r="BA1071" s="6">
        <v>0</v>
      </c>
      <c r="BB1071" s="6">
        <v>0</v>
      </c>
      <c r="BC1071" s="6">
        <v>525</v>
      </c>
      <c r="BD1071" s="6">
        <v>301.45161290322585</v>
      </c>
    </row>
    <row r="1072" spans="52:56" x14ac:dyDescent="0.25">
      <c r="AZ1072" s="6">
        <v>1069</v>
      </c>
      <c r="BA1072" s="6">
        <v>0</v>
      </c>
      <c r="BB1072" s="6">
        <v>0</v>
      </c>
      <c r="BC1072" s="6">
        <v>525</v>
      </c>
      <c r="BD1072" s="6">
        <v>301.73387096774195</v>
      </c>
    </row>
    <row r="1073" spans="52:56" x14ac:dyDescent="0.25">
      <c r="AZ1073" s="6">
        <v>1070</v>
      </c>
      <c r="BA1073" s="6">
        <v>0</v>
      </c>
      <c r="BB1073" s="6">
        <v>0</v>
      </c>
      <c r="BC1073" s="6">
        <v>525</v>
      </c>
      <c r="BD1073" s="6">
        <v>302.01612903225811</v>
      </c>
    </row>
    <row r="1074" spans="52:56" x14ac:dyDescent="0.25">
      <c r="AZ1074" s="6">
        <v>1071</v>
      </c>
      <c r="BA1074" s="6">
        <v>0</v>
      </c>
      <c r="BB1074" s="6">
        <v>0</v>
      </c>
      <c r="BC1074" s="6">
        <v>525</v>
      </c>
      <c r="BD1074" s="6">
        <v>302.29838709677421</v>
      </c>
    </row>
    <row r="1075" spans="52:56" x14ac:dyDescent="0.25">
      <c r="AZ1075" s="6">
        <v>1072</v>
      </c>
      <c r="BA1075" s="6">
        <v>0</v>
      </c>
      <c r="BB1075" s="6">
        <v>0</v>
      </c>
      <c r="BC1075" s="6">
        <v>525</v>
      </c>
      <c r="BD1075" s="6">
        <v>302.58064516129036</v>
      </c>
    </row>
    <row r="1076" spans="52:56" x14ac:dyDescent="0.25">
      <c r="AZ1076" s="6">
        <v>1073</v>
      </c>
      <c r="BA1076" s="6">
        <v>0</v>
      </c>
      <c r="BB1076" s="6">
        <v>0</v>
      </c>
      <c r="BC1076" s="6">
        <v>525</v>
      </c>
      <c r="BD1076" s="6">
        <v>302.86290322580646</v>
      </c>
    </row>
    <row r="1077" spans="52:56" x14ac:dyDescent="0.25">
      <c r="AZ1077" s="6">
        <v>1074</v>
      </c>
      <c r="BA1077" s="6">
        <v>0</v>
      </c>
      <c r="BB1077" s="6">
        <v>0</v>
      </c>
      <c r="BC1077" s="6">
        <v>525</v>
      </c>
      <c r="BD1077" s="6">
        <v>303.14516129032262</v>
      </c>
    </row>
    <row r="1078" spans="52:56" x14ac:dyDescent="0.25">
      <c r="AZ1078" s="6">
        <v>1075</v>
      </c>
      <c r="BA1078" s="6">
        <v>0</v>
      </c>
      <c r="BB1078" s="6">
        <v>0</v>
      </c>
      <c r="BC1078" s="6">
        <v>525</v>
      </c>
      <c r="BD1078" s="6">
        <v>303.42741935483872</v>
      </c>
    </row>
    <row r="1079" spans="52:56" x14ac:dyDescent="0.25">
      <c r="AZ1079" s="6">
        <v>1076</v>
      </c>
      <c r="BA1079" s="6">
        <v>0</v>
      </c>
      <c r="BB1079" s="6">
        <v>0</v>
      </c>
      <c r="BC1079" s="6">
        <v>525</v>
      </c>
      <c r="BD1079" s="6">
        <v>303.70967741935488</v>
      </c>
    </row>
    <row r="1080" spans="52:56" x14ac:dyDescent="0.25">
      <c r="AZ1080" s="6">
        <v>1077</v>
      </c>
      <c r="BA1080" s="6">
        <v>0</v>
      </c>
      <c r="BB1080" s="6">
        <v>0</v>
      </c>
      <c r="BC1080" s="6">
        <v>525</v>
      </c>
      <c r="BD1080" s="6">
        <v>303.99193548387098</v>
      </c>
    </row>
    <row r="1081" spans="52:56" x14ac:dyDescent="0.25">
      <c r="AZ1081" s="6">
        <v>1078</v>
      </c>
      <c r="BA1081" s="6">
        <v>0</v>
      </c>
      <c r="BB1081" s="6">
        <v>0</v>
      </c>
      <c r="BC1081" s="6">
        <v>525</v>
      </c>
      <c r="BD1081" s="6">
        <v>304.27419354838713</v>
      </c>
    </row>
    <row r="1082" spans="52:56" x14ac:dyDescent="0.25">
      <c r="AZ1082" s="6">
        <v>1079</v>
      </c>
      <c r="BA1082" s="6">
        <v>0</v>
      </c>
      <c r="BB1082" s="6">
        <v>0</v>
      </c>
      <c r="BC1082" s="6">
        <v>525</v>
      </c>
      <c r="BD1082" s="6">
        <v>304.55645161290323</v>
      </c>
    </row>
    <row r="1083" spans="52:56" x14ac:dyDescent="0.25">
      <c r="AZ1083" s="6">
        <v>1080</v>
      </c>
      <c r="BA1083" s="6">
        <v>0</v>
      </c>
      <c r="BB1083" s="6">
        <v>0</v>
      </c>
      <c r="BC1083" s="6">
        <v>525</v>
      </c>
      <c r="BD1083" s="6">
        <v>304.83870967741939</v>
      </c>
    </row>
    <row r="1084" spans="52:56" x14ac:dyDescent="0.25">
      <c r="AZ1084" s="6">
        <v>1081</v>
      </c>
      <c r="BA1084" s="6">
        <v>0</v>
      </c>
      <c r="BB1084" s="6">
        <v>0</v>
      </c>
      <c r="BC1084" s="6">
        <v>525</v>
      </c>
      <c r="BD1084" s="6">
        <v>305.12096774193549</v>
      </c>
    </row>
    <row r="1085" spans="52:56" x14ac:dyDescent="0.25">
      <c r="AZ1085" s="6">
        <v>1082</v>
      </c>
      <c r="BA1085" s="6">
        <v>0</v>
      </c>
      <c r="BB1085" s="6">
        <v>0</v>
      </c>
      <c r="BC1085" s="6">
        <v>525</v>
      </c>
      <c r="BD1085" s="6">
        <v>305.40322580645164</v>
      </c>
    </row>
    <row r="1086" spans="52:56" x14ac:dyDescent="0.25">
      <c r="AZ1086" s="6">
        <v>1083</v>
      </c>
      <c r="BA1086" s="6">
        <v>0</v>
      </c>
      <c r="BB1086" s="6">
        <v>0</v>
      </c>
      <c r="BC1086" s="6">
        <v>525</v>
      </c>
      <c r="BD1086" s="6">
        <v>305.68548387096774</v>
      </c>
    </row>
    <row r="1087" spans="52:56" x14ac:dyDescent="0.25">
      <c r="AZ1087" s="6">
        <v>1084</v>
      </c>
      <c r="BA1087" s="6">
        <v>0</v>
      </c>
      <c r="BB1087" s="6">
        <v>0</v>
      </c>
      <c r="BC1087" s="6">
        <v>525</v>
      </c>
      <c r="BD1087" s="6">
        <v>305.9677419354839</v>
      </c>
    </row>
    <row r="1088" spans="52:56" x14ac:dyDescent="0.25">
      <c r="AZ1088" s="6">
        <v>1085</v>
      </c>
      <c r="BA1088" s="6">
        <v>0</v>
      </c>
      <c r="BB1088" s="6">
        <v>0</v>
      </c>
      <c r="BC1088" s="6">
        <v>525</v>
      </c>
      <c r="BD1088" s="6">
        <v>306.25000000000006</v>
      </c>
    </row>
    <row r="1089" spans="52:56" x14ac:dyDescent="0.25">
      <c r="AZ1089" s="6">
        <v>1086</v>
      </c>
      <c r="BA1089" s="6">
        <v>0</v>
      </c>
      <c r="BB1089" s="6">
        <v>0</v>
      </c>
      <c r="BC1089" s="6">
        <v>525</v>
      </c>
      <c r="BD1089" s="6">
        <v>306.53225806451616</v>
      </c>
    </row>
    <row r="1090" spans="52:56" x14ac:dyDescent="0.25">
      <c r="AZ1090" s="6">
        <v>1087</v>
      </c>
      <c r="BA1090" s="6">
        <v>0</v>
      </c>
      <c r="BB1090" s="6">
        <v>0</v>
      </c>
      <c r="BC1090" s="6">
        <v>525</v>
      </c>
      <c r="BD1090" s="6">
        <v>306.81451612903231</v>
      </c>
    </row>
    <row r="1091" spans="52:56" x14ac:dyDescent="0.25">
      <c r="AZ1091" s="6">
        <v>1088</v>
      </c>
      <c r="BA1091" s="6">
        <v>0</v>
      </c>
      <c r="BB1091" s="6">
        <v>0</v>
      </c>
      <c r="BC1091" s="6">
        <v>525</v>
      </c>
      <c r="BD1091" s="6">
        <v>307.09677419354841</v>
      </c>
    </row>
    <row r="1092" spans="52:56" x14ac:dyDescent="0.25">
      <c r="AZ1092" s="6">
        <v>1089</v>
      </c>
      <c r="BA1092" s="6">
        <v>0</v>
      </c>
      <c r="BB1092" s="6">
        <v>0</v>
      </c>
      <c r="BC1092" s="6">
        <v>525</v>
      </c>
      <c r="BD1092" s="6">
        <v>307.37903225806457</v>
      </c>
    </row>
    <row r="1093" spans="52:56" x14ac:dyDescent="0.25">
      <c r="AZ1093" s="6">
        <v>1090</v>
      </c>
      <c r="BA1093" s="6">
        <v>0</v>
      </c>
      <c r="BB1093" s="6">
        <v>0</v>
      </c>
      <c r="BC1093" s="6">
        <v>525</v>
      </c>
      <c r="BD1093" s="6">
        <v>307.66129032258067</v>
      </c>
    </row>
    <row r="1094" spans="52:56" x14ac:dyDescent="0.25">
      <c r="AZ1094" s="6">
        <v>1091</v>
      </c>
      <c r="BA1094" s="6">
        <v>0</v>
      </c>
      <c r="BB1094" s="6">
        <v>0</v>
      </c>
      <c r="BC1094" s="6">
        <v>525</v>
      </c>
      <c r="BD1094" s="6">
        <v>307.94354838709683</v>
      </c>
    </row>
    <row r="1095" spans="52:56" x14ac:dyDescent="0.25">
      <c r="AZ1095" s="6">
        <v>1092</v>
      </c>
      <c r="BA1095" s="6">
        <v>0</v>
      </c>
      <c r="BB1095" s="6">
        <v>0</v>
      </c>
      <c r="BC1095" s="6">
        <v>525</v>
      </c>
      <c r="BD1095" s="6">
        <v>308.22580645161293</v>
      </c>
    </row>
    <row r="1096" spans="52:56" x14ac:dyDescent="0.25">
      <c r="AZ1096" s="6">
        <v>1093</v>
      </c>
      <c r="BA1096" s="6">
        <v>0</v>
      </c>
      <c r="BB1096" s="6">
        <v>0</v>
      </c>
      <c r="BC1096" s="6">
        <v>525</v>
      </c>
      <c r="BD1096" s="6">
        <v>308.50806451612908</v>
      </c>
    </row>
    <row r="1097" spans="52:56" x14ac:dyDescent="0.25">
      <c r="AZ1097" s="6">
        <v>1094</v>
      </c>
      <c r="BA1097" s="6">
        <v>0</v>
      </c>
      <c r="BB1097" s="6">
        <v>0</v>
      </c>
      <c r="BC1097" s="6">
        <v>525</v>
      </c>
      <c r="BD1097" s="6">
        <v>308.79032258064518</v>
      </c>
    </row>
    <row r="1098" spans="52:56" x14ac:dyDescent="0.25">
      <c r="AZ1098" s="6">
        <v>1095</v>
      </c>
      <c r="BA1098" s="6">
        <v>0</v>
      </c>
      <c r="BB1098" s="6">
        <v>0</v>
      </c>
      <c r="BC1098" s="6">
        <v>525</v>
      </c>
      <c r="BD1098" s="6">
        <v>309.07258064516134</v>
      </c>
    </row>
    <row r="1099" spans="52:56" x14ac:dyDescent="0.25">
      <c r="AZ1099" s="6">
        <v>1096</v>
      </c>
      <c r="BA1099" s="6">
        <v>0</v>
      </c>
      <c r="BB1099" s="6">
        <v>0</v>
      </c>
      <c r="BC1099" s="6">
        <v>525</v>
      </c>
      <c r="BD1099" s="6">
        <v>309.35483870967744</v>
      </c>
    </row>
    <row r="1100" spans="52:56" x14ac:dyDescent="0.25">
      <c r="AZ1100" s="6">
        <v>1097</v>
      </c>
      <c r="BA1100" s="6">
        <v>0</v>
      </c>
      <c r="BB1100" s="6">
        <v>0</v>
      </c>
      <c r="BC1100" s="6">
        <v>525</v>
      </c>
      <c r="BD1100" s="6">
        <v>309.63709677419359</v>
      </c>
    </row>
    <row r="1101" spans="52:56" x14ac:dyDescent="0.25">
      <c r="AZ1101" s="6">
        <v>1098</v>
      </c>
      <c r="BA1101" s="6">
        <v>0</v>
      </c>
      <c r="BB1101" s="6">
        <v>0</v>
      </c>
      <c r="BC1101" s="6">
        <v>525</v>
      </c>
      <c r="BD1101" s="6">
        <v>309.91935483870969</v>
      </c>
    </row>
    <row r="1102" spans="52:56" x14ac:dyDescent="0.25">
      <c r="AZ1102" s="6">
        <v>1099</v>
      </c>
      <c r="BA1102" s="6">
        <v>0</v>
      </c>
      <c r="BB1102" s="6">
        <v>0</v>
      </c>
      <c r="BC1102" s="6">
        <v>525</v>
      </c>
      <c r="BD1102" s="6">
        <v>310.20161290322585</v>
      </c>
    </row>
    <row r="1103" spans="52:56" x14ac:dyDescent="0.25">
      <c r="AZ1103" s="6">
        <v>1100</v>
      </c>
      <c r="BA1103" s="6">
        <v>0</v>
      </c>
      <c r="BB1103" s="6">
        <v>0</v>
      </c>
      <c r="BC1103" s="6">
        <v>525</v>
      </c>
      <c r="BD1103" s="6">
        <v>310.48387096774195</v>
      </c>
    </row>
    <row r="1104" spans="52:56" x14ac:dyDescent="0.25">
      <c r="AZ1104" s="6">
        <v>1101</v>
      </c>
      <c r="BA1104" s="6">
        <v>0</v>
      </c>
      <c r="BB1104" s="6">
        <v>0</v>
      </c>
      <c r="BC1104" s="6">
        <v>525</v>
      </c>
      <c r="BD1104" s="6">
        <v>310.76612903225811</v>
      </c>
    </row>
    <row r="1105" spans="52:56" x14ac:dyDescent="0.25">
      <c r="AZ1105" s="6">
        <v>1102</v>
      </c>
      <c r="BA1105" s="6">
        <v>0</v>
      </c>
      <c r="BB1105" s="6">
        <v>0</v>
      </c>
      <c r="BC1105" s="6">
        <v>525</v>
      </c>
      <c r="BD1105" s="6">
        <v>311.04838709677421</v>
      </c>
    </row>
    <row r="1106" spans="52:56" x14ac:dyDescent="0.25">
      <c r="AZ1106" s="6">
        <v>1103</v>
      </c>
      <c r="BA1106" s="6">
        <v>0</v>
      </c>
      <c r="BB1106" s="6">
        <v>0</v>
      </c>
      <c r="BC1106" s="6">
        <v>525</v>
      </c>
      <c r="BD1106" s="6">
        <v>311.33064516129036</v>
      </c>
    </row>
    <row r="1107" spans="52:56" x14ac:dyDescent="0.25">
      <c r="AZ1107" s="6">
        <v>1104</v>
      </c>
      <c r="BA1107" s="6">
        <v>0</v>
      </c>
      <c r="BB1107" s="6">
        <v>0</v>
      </c>
      <c r="BC1107" s="6">
        <v>525</v>
      </c>
      <c r="BD1107" s="6">
        <v>311.61290322580646</v>
      </c>
    </row>
    <row r="1108" spans="52:56" x14ac:dyDescent="0.25">
      <c r="AZ1108" s="6">
        <v>1105</v>
      </c>
      <c r="BA1108" s="6">
        <v>0</v>
      </c>
      <c r="BB1108" s="6">
        <v>0</v>
      </c>
      <c r="BC1108" s="6">
        <v>525</v>
      </c>
      <c r="BD1108" s="6">
        <v>311.89516129032262</v>
      </c>
    </row>
    <row r="1109" spans="52:56" x14ac:dyDescent="0.25">
      <c r="AZ1109" s="6">
        <v>1106</v>
      </c>
      <c r="BA1109" s="6">
        <v>0</v>
      </c>
      <c r="BB1109" s="6">
        <v>0</v>
      </c>
      <c r="BC1109" s="6">
        <v>525</v>
      </c>
      <c r="BD1109" s="6">
        <v>312.17741935483872</v>
      </c>
    </row>
    <row r="1110" spans="52:56" x14ac:dyDescent="0.25">
      <c r="AZ1110" s="6">
        <v>1107</v>
      </c>
      <c r="BA1110" s="6">
        <v>0</v>
      </c>
      <c r="BB1110" s="6">
        <v>0</v>
      </c>
      <c r="BC1110" s="6">
        <v>525</v>
      </c>
      <c r="BD1110" s="6">
        <v>312.45967741935488</v>
      </c>
    </row>
    <row r="1111" spans="52:56" x14ac:dyDescent="0.25">
      <c r="AZ1111" s="6">
        <v>1108</v>
      </c>
      <c r="BA1111" s="6">
        <v>0</v>
      </c>
      <c r="BB1111" s="6">
        <v>0</v>
      </c>
      <c r="BC1111" s="6">
        <v>525</v>
      </c>
      <c r="BD1111" s="6">
        <v>312.74193548387098</v>
      </c>
    </row>
    <row r="1112" spans="52:56" x14ac:dyDescent="0.25">
      <c r="AZ1112" s="6">
        <v>1109</v>
      </c>
      <c r="BA1112" s="6">
        <v>0</v>
      </c>
      <c r="BB1112" s="6">
        <v>0</v>
      </c>
      <c r="BC1112" s="6">
        <v>525</v>
      </c>
      <c r="BD1112" s="6">
        <v>313.02419354838713</v>
      </c>
    </row>
    <row r="1113" spans="52:56" x14ac:dyDescent="0.25">
      <c r="AZ1113" s="6">
        <v>1110</v>
      </c>
      <c r="BA1113" s="6">
        <v>0</v>
      </c>
      <c r="BB1113" s="6">
        <v>0</v>
      </c>
      <c r="BC1113" s="6">
        <v>525</v>
      </c>
      <c r="BD1113" s="6">
        <v>313.30645161290323</v>
      </c>
    </row>
    <row r="1114" spans="52:56" x14ac:dyDescent="0.25">
      <c r="AZ1114" s="6">
        <v>1111</v>
      </c>
      <c r="BA1114" s="6">
        <v>0</v>
      </c>
      <c r="BB1114" s="6">
        <v>0</v>
      </c>
      <c r="BC1114" s="6">
        <v>525</v>
      </c>
      <c r="BD1114" s="6">
        <v>313.58870967741939</v>
      </c>
    </row>
    <row r="1115" spans="52:56" x14ac:dyDescent="0.25">
      <c r="AZ1115" s="6">
        <v>1112</v>
      </c>
      <c r="BA1115" s="6">
        <v>0</v>
      </c>
      <c r="BB1115" s="6">
        <v>0</v>
      </c>
      <c r="BC1115" s="6">
        <v>525</v>
      </c>
      <c r="BD1115" s="6">
        <v>313.87096774193549</v>
      </c>
    </row>
    <row r="1116" spans="52:56" x14ac:dyDescent="0.25">
      <c r="AZ1116" s="6">
        <v>1113</v>
      </c>
      <c r="BA1116" s="6">
        <v>0</v>
      </c>
      <c r="BB1116" s="6">
        <v>0</v>
      </c>
      <c r="BC1116" s="6">
        <v>525</v>
      </c>
      <c r="BD1116" s="6">
        <v>314.15322580645164</v>
      </c>
    </row>
    <row r="1117" spans="52:56" x14ac:dyDescent="0.25">
      <c r="AZ1117" s="6">
        <v>1114</v>
      </c>
      <c r="BA1117" s="6">
        <v>0</v>
      </c>
      <c r="BB1117" s="6">
        <v>0</v>
      </c>
      <c r="BC1117" s="6">
        <v>525</v>
      </c>
      <c r="BD1117" s="6">
        <v>314.43548387096774</v>
      </c>
    </row>
    <row r="1118" spans="52:56" x14ac:dyDescent="0.25">
      <c r="AZ1118" s="6">
        <v>1115</v>
      </c>
      <c r="BA1118" s="6">
        <v>0</v>
      </c>
      <c r="BB1118" s="6">
        <v>0</v>
      </c>
      <c r="BC1118" s="6">
        <v>525</v>
      </c>
      <c r="BD1118" s="6">
        <v>314.7177419354839</v>
      </c>
    </row>
    <row r="1119" spans="52:56" x14ac:dyDescent="0.25">
      <c r="AZ1119" s="6">
        <v>1116</v>
      </c>
      <c r="BA1119" s="6">
        <v>0</v>
      </c>
      <c r="BB1119" s="6">
        <v>0</v>
      </c>
      <c r="BC1119" s="6">
        <v>525</v>
      </c>
      <c r="BD1119" s="6">
        <v>315.00000000000006</v>
      </c>
    </row>
    <row r="1120" spans="52:56" x14ac:dyDescent="0.25">
      <c r="AZ1120" s="5">
        <v>1117</v>
      </c>
      <c r="BA1120" s="5">
        <v>0</v>
      </c>
      <c r="BB1120" s="5">
        <v>0</v>
      </c>
      <c r="BC1120" s="5">
        <v>525</v>
      </c>
      <c r="BD1120" s="5">
        <v>315.28225806451616</v>
      </c>
    </row>
    <row r="1121" spans="52:56" x14ac:dyDescent="0.25">
      <c r="AZ1121" s="5">
        <v>1118</v>
      </c>
      <c r="BA1121" s="5">
        <v>0</v>
      </c>
      <c r="BB1121" s="5">
        <v>0</v>
      </c>
      <c r="BC1121" s="5">
        <v>525</v>
      </c>
      <c r="BD1121" s="5">
        <v>315.56451612903231</v>
      </c>
    </row>
    <row r="1122" spans="52:56" x14ac:dyDescent="0.25">
      <c r="AZ1122" s="5">
        <v>1119</v>
      </c>
      <c r="BA1122" s="5">
        <v>0</v>
      </c>
      <c r="BB1122" s="5">
        <v>0</v>
      </c>
      <c r="BC1122" s="5">
        <v>525</v>
      </c>
      <c r="BD1122" s="5">
        <v>315.84677419354841</v>
      </c>
    </row>
    <row r="1123" spans="52:56" x14ac:dyDescent="0.25">
      <c r="AZ1123" s="5">
        <v>1120</v>
      </c>
      <c r="BA1123" s="5">
        <v>0</v>
      </c>
      <c r="BB1123" s="5">
        <v>0</v>
      </c>
      <c r="BC1123" s="5">
        <v>525</v>
      </c>
      <c r="BD1123" s="5">
        <v>316.12903225806457</v>
      </c>
    </row>
    <row r="1124" spans="52:56" x14ac:dyDescent="0.25">
      <c r="AZ1124" s="5">
        <v>1121</v>
      </c>
      <c r="BA1124" s="5">
        <v>0</v>
      </c>
      <c r="BB1124" s="5">
        <v>0</v>
      </c>
      <c r="BC1124" s="5">
        <v>525</v>
      </c>
      <c r="BD1124" s="5">
        <v>316.41129032258067</v>
      </c>
    </row>
    <row r="1125" spans="52:56" x14ac:dyDescent="0.25">
      <c r="AZ1125" s="5">
        <v>1122</v>
      </c>
      <c r="BA1125" s="5">
        <v>0</v>
      </c>
      <c r="BB1125" s="5">
        <v>0</v>
      </c>
      <c r="BC1125" s="5">
        <v>525</v>
      </c>
      <c r="BD1125" s="5">
        <v>316.69354838709683</v>
      </c>
    </row>
    <row r="1126" spans="52:56" x14ac:dyDescent="0.25">
      <c r="AZ1126" s="5">
        <v>1123</v>
      </c>
      <c r="BA1126" s="5">
        <v>0</v>
      </c>
      <c r="BB1126" s="5">
        <v>0</v>
      </c>
      <c r="BC1126" s="5">
        <v>525</v>
      </c>
      <c r="BD1126" s="5">
        <v>316.97580645161293</v>
      </c>
    </row>
    <row r="1127" spans="52:56" x14ac:dyDescent="0.25">
      <c r="AZ1127" s="5">
        <v>1124</v>
      </c>
      <c r="BA1127" s="5">
        <v>0</v>
      </c>
      <c r="BB1127" s="5">
        <v>0</v>
      </c>
      <c r="BC1127" s="5">
        <v>525</v>
      </c>
      <c r="BD1127" s="5">
        <v>317.25806451612908</v>
      </c>
    </row>
    <row r="1128" spans="52:56" x14ac:dyDescent="0.25">
      <c r="AZ1128" s="5">
        <v>1125</v>
      </c>
      <c r="BA1128" s="5">
        <v>0</v>
      </c>
      <c r="BB1128" s="5">
        <v>0</v>
      </c>
      <c r="BC1128" s="5">
        <v>525</v>
      </c>
      <c r="BD1128" s="5">
        <v>317.54032258064518</v>
      </c>
    </row>
    <row r="1129" spans="52:56" x14ac:dyDescent="0.25">
      <c r="AZ1129" s="5">
        <v>1126</v>
      </c>
      <c r="BA1129" s="5">
        <v>0</v>
      </c>
      <c r="BB1129" s="5">
        <v>0</v>
      </c>
      <c r="BC1129" s="5">
        <v>525</v>
      </c>
      <c r="BD1129" s="5">
        <v>317.82258064516134</v>
      </c>
    </row>
    <row r="1130" spans="52:56" x14ac:dyDescent="0.25">
      <c r="AZ1130" s="5">
        <v>1127</v>
      </c>
      <c r="BA1130" s="5">
        <v>0</v>
      </c>
      <c r="BB1130" s="5">
        <v>0</v>
      </c>
      <c r="BC1130" s="5">
        <v>525</v>
      </c>
      <c r="BD1130" s="5">
        <v>318.10483870967744</v>
      </c>
    </row>
    <row r="1131" spans="52:56" x14ac:dyDescent="0.25">
      <c r="AZ1131" s="5">
        <v>1128</v>
      </c>
      <c r="BA1131" s="5">
        <v>0</v>
      </c>
      <c r="BB1131" s="5">
        <v>0</v>
      </c>
      <c r="BC1131" s="5">
        <v>525</v>
      </c>
      <c r="BD1131" s="5">
        <v>318.38709677419359</v>
      </c>
    </row>
    <row r="1132" spans="52:56" x14ac:dyDescent="0.25">
      <c r="AZ1132" s="5">
        <v>1129</v>
      </c>
      <c r="BA1132" s="5">
        <v>0</v>
      </c>
      <c r="BB1132" s="5">
        <v>0</v>
      </c>
      <c r="BC1132" s="5">
        <v>525</v>
      </c>
      <c r="BD1132" s="5">
        <v>318.66935483870969</v>
      </c>
    </row>
    <row r="1133" spans="52:56" x14ac:dyDescent="0.25">
      <c r="AZ1133" s="5">
        <v>1130</v>
      </c>
      <c r="BA1133" s="5">
        <v>0</v>
      </c>
      <c r="BB1133" s="5">
        <v>0</v>
      </c>
      <c r="BC1133" s="5">
        <v>525</v>
      </c>
      <c r="BD1133" s="5">
        <v>318.95161290322585</v>
      </c>
    </row>
    <row r="1134" spans="52:56" x14ac:dyDescent="0.25">
      <c r="AZ1134" s="5">
        <v>1131</v>
      </c>
      <c r="BA1134" s="5">
        <v>0</v>
      </c>
      <c r="BB1134" s="5">
        <v>0</v>
      </c>
      <c r="BC1134" s="5">
        <v>525</v>
      </c>
      <c r="BD1134" s="5">
        <v>319.23387096774195</v>
      </c>
    </row>
    <row r="1135" spans="52:56" x14ac:dyDescent="0.25">
      <c r="AZ1135" s="5">
        <v>1132</v>
      </c>
      <c r="BA1135" s="5">
        <v>0</v>
      </c>
      <c r="BB1135" s="5">
        <v>0</v>
      </c>
      <c r="BC1135" s="5">
        <v>525</v>
      </c>
      <c r="BD1135" s="5">
        <v>319.51612903225811</v>
      </c>
    </row>
    <row r="1136" spans="52:56" x14ac:dyDescent="0.25">
      <c r="AZ1136" s="5">
        <v>1133</v>
      </c>
      <c r="BA1136" s="5">
        <v>0</v>
      </c>
      <c r="BB1136" s="5">
        <v>0</v>
      </c>
      <c r="BC1136" s="5">
        <v>525</v>
      </c>
      <c r="BD1136" s="5">
        <v>319.79838709677421</v>
      </c>
    </row>
    <row r="1137" spans="52:56" x14ac:dyDescent="0.25">
      <c r="AZ1137" s="5">
        <v>1134</v>
      </c>
      <c r="BA1137" s="5">
        <v>0</v>
      </c>
      <c r="BB1137" s="5">
        <v>0</v>
      </c>
      <c r="BC1137" s="5">
        <v>525</v>
      </c>
      <c r="BD1137" s="5">
        <v>320.08064516129036</v>
      </c>
    </row>
    <row r="1138" spans="52:56" x14ac:dyDescent="0.25">
      <c r="AZ1138" s="5">
        <v>1135</v>
      </c>
      <c r="BA1138" s="5">
        <v>0</v>
      </c>
      <c r="BB1138" s="5">
        <v>0</v>
      </c>
      <c r="BC1138" s="5">
        <v>525</v>
      </c>
      <c r="BD1138" s="5">
        <v>320.36290322580646</v>
      </c>
    </row>
    <row r="1139" spans="52:56" x14ac:dyDescent="0.25">
      <c r="AZ1139" s="5">
        <v>1136</v>
      </c>
      <c r="BA1139" s="5">
        <v>0</v>
      </c>
      <c r="BB1139" s="5">
        <v>0</v>
      </c>
      <c r="BC1139" s="5">
        <v>525</v>
      </c>
      <c r="BD1139" s="5">
        <v>320.64516129032262</v>
      </c>
    </row>
    <row r="1140" spans="52:56" x14ac:dyDescent="0.25">
      <c r="AZ1140" s="5">
        <v>1137</v>
      </c>
      <c r="BA1140" s="5">
        <v>0</v>
      </c>
      <c r="BB1140" s="5">
        <v>0</v>
      </c>
      <c r="BC1140" s="5">
        <v>525</v>
      </c>
      <c r="BD1140" s="5">
        <v>320.92741935483872</v>
      </c>
    </row>
    <row r="1141" spans="52:56" x14ac:dyDescent="0.25">
      <c r="AZ1141" s="5">
        <v>1138</v>
      </c>
      <c r="BA1141" s="5">
        <v>0</v>
      </c>
      <c r="BB1141" s="5">
        <v>0</v>
      </c>
      <c r="BC1141" s="5">
        <v>525</v>
      </c>
      <c r="BD1141" s="5">
        <v>321.20967741935488</v>
      </c>
    </row>
    <row r="1142" spans="52:56" x14ac:dyDescent="0.25">
      <c r="AZ1142" s="5">
        <v>1139</v>
      </c>
      <c r="BA1142" s="5">
        <v>0</v>
      </c>
      <c r="BB1142" s="5">
        <v>0</v>
      </c>
      <c r="BC1142" s="5">
        <v>525</v>
      </c>
      <c r="BD1142" s="5">
        <v>321.49193548387098</v>
      </c>
    </row>
    <row r="1143" spans="52:56" x14ac:dyDescent="0.25">
      <c r="AZ1143" s="5">
        <v>1140</v>
      </c>
      <c r="BA1143" s="5">
        <v>0</v>
      </c>
      <c r="BB1143" s="5">
        <v>0</v>
      </c>
      <c r="BC1143" s="5">
        <v>525</v>
      </c>
      <c r="BD1143" s="5">
        <v>321.77419354838713</v>
      </c>
    </row>
    <row r="1144" spans="52:56" x14ac:dyDescent="0.25">
      <c r="AZ1144" s="5">
        <v>1141</v>
      </c>
      <c r="BA1144" s="5">
        <v>0</v>
      </c>
      <c r="BB1144" s="5">
        <v>0</v>
      </c>
      <c r="BC1144" s="5">
        <v>525</v>
      </c>
      <c r="BD1144" s="5">
        <v>322.05645161290323</v>
      </c>
    </row>
    <row r="1145" spans="52:56" x14ac:dyDescent="0.25">
      <c r="AZ1145" s="5">
        <v>1142</v>
      </c>
      <c r="BA1145" s="5">
        <v>0</v>
      </c>
      <c r="BB1145" s="5">
        <v>0</v>
      </c>
      <c r="BC1145" s="5">
        <v>525</v>
      </c>
      <c r="BD1145" s="5">
        <v>322.33870967741939</v>
      </c>
    </row>
    <row r="1146" spans="52:56" x14ac:dyDescent="0.25">
      <c r="AZ1146" s="5">
        <v>1143</v>
      </c>
      <c r="BA1146" s="5">
        <v>0</v>
      </c>
      <c r="BB1146" s="5">
        <v>0</v>
      </c>
      <c r="BC1146" s="5">
        <v>525</v>
      </c>
      <c r="BD1146" s="5">
        <v>322.62096774193549</v>
      </c>
    </row>
    <row r="1147" spans="52:56" x14ac:dyDescent="0.25">
      <c r="AZ1147" s="5">
        <v>1144</v>
      </c>
      <c r="BA1147" s="5">
        <v>0</v>
      </c>
      <c r="BB1147" s="5">
        <v>0</v>
      </c>
      <c r="BC1147" s="5">
        <v>525</v>
      </c>
      <c r="BD1147" s="5">
        <v>322.90322580645164</v>
      </c>
    </row>
    <row r="1148" spans="52:56" x14ac:dyDescent="0.25">
      <c r="AZ1148" s="5">
        <v>1145</v>
      </c>
      <c r="BA1148" s="5">
        <v>0</v>
      </c>
      <c r="BB1148" s="5">
        <v>0</v>
      </c>
      <c r="BC1148" s="5">
        <v>525</v>
      </c>
      <c r="BD1148" s="5">
        <v>323.1854838709678</v>
      </c>
    </row>
    <row r="1149" spans="52:56" x14ac:dyDescent="0.25">
      <c r="AZ1149" s="5">
        <v>1146</v>
      </c>
      <c r="BA1149" s="5">
        <v>0</v>
      </c>
      <c r="BB1149" s="5">
        <v>0</v>
      </c>
      <c r="BC1149" s="5">
        <v>525</v>
      </c>
      <c r="BD1149" s="5">
        <v>323.4677419354839</v>
      </c>
    </row>
    <row r="1150" spans="52:56" x14ac:dyDescent="0.25">
      <c r="AZ1150" s="5">
        <v>1147</v>
      </c>
      <c r="BA1150" s="5">
        <v>0</v>
      </c>
      <c r="BB1150" s="5">
        <v>0</v>
      </c>
      <c r="BC1150" s="5">
        <v>525</v>
      </c>
      <c r="BD1150" s="5">
        <v>323.75000000000006</v>
      </c>
    </row>
    <row r="1151" spans="52:56" x14ac:dyDescent="0.25">
      <c r="AZ1151" s="5">
        <v>1148</v>
      </c>
      <c r="BA1151" s="5">
        <v>0</v>
      </c>
      <c r="BB1151" s="5">
        <v>0</v>
      </c>
      <c r="BC1151" s="5">
        <v>525</v>
      </c>
      <c r="BD1151" s="5">
        <v>324.03225806451616</v>
      </c>
    </row>
    <row r="1152" spans="52:56" x14ac:dyDescent="0.25">
      <c r="AZ1152" s="5">
        <v>1149</v>
      </c>
      <c r="BA1152" s="5">
        <v>0</v>
      </c>
      <c r="BB1152" s="5">
        <v>0</v>
      </c>
      <c r="BC1152" s="5">
        <v>525</v>
      </c>
      <c r="BD1152" s="5">
        <v>324.31451612903231</v>
      </c>
    </row>
    <row r="1153" spans="52:56" x14ac:dyDescent="0.25">
      <c r="AZ1153" s="5">
        <v>1150</v>
      </c>
      <c r="BA1153" s="5">
        <v>0</v>
      </c>
      <c r="BB1153" s="5">
        <v>0</v>
      </c>
      <c r="BC1153" s="5">
        <v>525</v>
      </c>
      <c r="BD1153" s="5">
        <v>324.59677419354841</v>
      </c>
    </row>
    <row r="1154" spans="52:56" x14ac:dyDescent="0.25">
      <c r="AZ1154" s="5">
        <v>1151</v>
      </c>
      <c r="BA1154" s="5">
        <v>0</v>
      </c>
      <c r="BB1154" s="5">
        <v>0</v>
      </c>
      <c r="BC1154" s="5">
        <v>525</v>
      </c>
      <c r="BD1154" s="5">
        <v>324.87903225806457</v>
      </c>
    </row>
    <row r="1155" spans="52:56" x14ac:dyDescent="0.25">
      <c r="AZ1155" s="5">
        <v>1152</v>
      </c>
      <c r="BA1155" s="5">
        <v>0</v>
      </c>
      <c r="BB1155" s="5">
        <v>0</v>
      </c>
      <c r="BC1155" s="5">
        <v>525</v>
      </c>
      <c r="BD1155" s="5">
        <v>325.16129032258067</v>
      </c>
    </row>
    <row r="1156" spans="52:56" x14ac:dyDescent="0.25">
      <c r="AZ1156" s="5">
        <v>1153</v>
      </c>
      <c r="BA1156" s="5">
        <v>0</v>
      </c>
      <c r="BB1156" s="5">
        <v>0</v>
      </c>
      <c r="BC1156" s="5">
        <v>525</v>
      </c>
      <c r="BD1156" s="5">
        <v>325.44354838709683</v>
      </c>
    </row>
    <row r="1157" spans="52:56" x14ac:dyDescent="0.25">
      <c r="AZ1157" s="5">
        <v>1154</v>
      </c>
      <c r="BA1157" s="5">
        <v>0</v>
      </c>
      <c r="BB1157" s="5">
        <v>0</v>
      </c>
      <c r="BC1157" s="5">
        <v>525</v>
      </c>
      <c r="BD1157" s="5">
        <v>325.72580645161293</v>
      </c>
    </row>
    <row r="1158" spans="52:56" x14ac:dyDescent="0.25">
      <c r="AZ1158" s="5">
        <v>1155</v>
      </c>
      <c r="BA1158" s="5">
        <v>0</v>
      </c>
      <c r="BB1158" s="5">
        <v>0</v>
      </c>
      <c r="BC1158" s="5">
        <v>525</v>
      </c>
      <c r="BD1158" s="5">
        <v>326.00806451612908</v>
      </c>
    </row>
    <row r="1159" spans="52:56" x14ac:dyDescent="0.25">
      <c r="AZ1159" s="5">
        <v>1156</v>
      </c>
      <c r="BA1159" s="5">
        <v>0</v>
      </c>
      <c r="BB1159" s="5">
        <v>0</v>
      </c>
      <c r="BC1159" s="5">
        <v>525</v>
      </c>
      <c r="BD1159" s="5">
        <v>326.29032258064518</v>
      </c>
    </row>
    <row r="1160" spans="52:56" x14ac:dyDescent="0.25">
      <c r="AZ1160" s="5">
        <v>1157</v>
      </c>
      <c r="BA1160" s="5">
        <v>0</v>
      </c>
      <c r="BB1160" s="5">
        <v>0</v>
      </c>
      <c r="BC1160" s="5">
        <v>525</v>
      </c>
      <c r="BD1160" s="5">
        <v>326.57258064516134</v>
      </c>
    </row>
    <row r="1161" spans="52:56" x14ac:dyDescent="0.25">
      <c r="AZ1161" s="5">
        <v>1158</v>
      </c>
      <c r="BA1161" s="5">
        <v>0</v>
      </c>
      <c r="BB1161" s="5">
        <v>0</v>
      </c>
      <c r="BC1161" s="5">
        <v>525</v>
      </c>
      <c r="BD1161" s="5">
        <v>326.85483870967744</v>
      </c>
    </row>
    <row r="1162" spans="52:56" x14ac:dyDescent="0.25">
      <c r="AZ1162" s="5">
        <v>1159</v>
      </c>
      <c r="BA1162" s="5">
        <v>0</v>
      </c>
      <c r="BB1162" s="5">
        <v>0</v>
      </c>
      <c r="BC1162" s="5">
        <v>525</v>
      </c>
      <c r="BD1162" s="5">
        <v>327.13709677419359</v>
      </c>
    </row>
    <row r="1163" spans="52:56" x14ac:dyDescent="0.25">
      <c r="AZ1163" s="5">
        <v>1160</v>
      </c>
      <c r="BA1163" s="5">
        <v>0</v>
      </c>
      <c r="BB1163" s="5">
        <v>0</v>
      </c>
      <c r="BC1163" s="5">
        <v>525</v>
      </c>
      <c r="BD1163" s="5">
        <v>327.41935483870969</v>
      </c>
    </row>
    <row r="1164" spans="52:56" x14ac:dyDescent="0.25">
      <c r="AZ1164" s="5">
        <v>1161</v>
      </c>
      <c r="BA1164" s="5">
        <v>0</v>
      </c>
      <c r="BB1164" s="5">
        <v>0</v>
      </c>
      <c r="BC1164" s="5">
        <v>525</v>
      </c>
      <c r="BD1164" s="5">
        <v>327.70161290322585</v>
      </c>
    </row>
    <row r="1165" spans="52:56" x14ac:dyDescent="0.25">
      <c r="AZ1165" s="5">
        <v>1162</v>
      </c>
      <c r="BA1165" s="5">
        <v>0</v>
      </c>
      <c r="BB1165" s="5">
        <v>0</v>
      </c>
      <c r="BC1165" s="5">
        <v>525</v>
      </c>
      <c r="BD1165" s="5">
        <v>327.98387096774195</v>
      </c>
    </row>
    <row r="1166" spans="52:56" x14ac:dyDescent="0.25">
      <c r="AZ1166" s="5">
        <v>1163</v>
      </c>
      <c r="BA1166" s="5">
        <v>0</v>
      </c>
      <c r="BB1166" s="5">
        <v>0</v>
      </c>
      <c r="BC1166" s="5">
        <v>525</v>
      </c>
      <c r="BD1166" s="5">
        <v>328.26612903225811</v>
      </c>
    </row>
    <row r="1167" spans="52:56" x14ac:dyDescent="0.25">
      <c r="AZ1167" s="5">
        <v>1164</v>
      </c>
      <c r="BA1167" s="5">
        <v>0</v>
      </c>
      <c r="BB1167" s="5">
        <v>0</v>
      </c>
      <c r="BC1167" s="5">
        <v>525</v>
      </c>
      <c r="BD1167" s="5">
        <v>328.54838709677421</v>
      </c>
    </row>
    <row r="1168" spans="52:56" x14ac:dyDescent="0.25">
      <c r="AZ1168" s="5">
        <v>1165</v>
      </c>
      <c r="BA1168" s="5">
        <v>0</v>
      </c>
      <c r="BB1168" s="5">
        <v>0</v>
      </c>
      <c r="BC1168" s="5">
        <v>525</v>
      </c>
      <c r="BD1168" s="5">
        <v>328.83064516129036</v>
      </c>
    </row>
    <row r="1169" spans="52:56" x14ac:dyDescent="0.25">
      <c r="AZ1169" s="5">
        <v>1166</v>
      </c>
      <c r="BA1169" s="5">
        <v>0</v>
      </c>
      <c r="BB1169" s="5">
        <v>0</v>
      </c>
      <c r="BC1169" s="5">
        <v>525</v>
      </c>
      <c r="BD1169" s="5">
        <v>329.11290322580646</v>
      </c>
    </row>
    <row r="1170" spans="52:56" x14ac:dyDescent="0.25">
      <c r="AZ1170" s="5">
        <v>1167</v>
      </c>
      <c r="BA1170" s="5">
        <v>0</v>
      </c>
      <c r="BB1170" s="5">
        <v>0</v>
      </c>
      <c r="BC1170" s="5">
        <v>525</v>
      </c>
      <c r="BD1170" s="5">
        <v>329.39516129032262</v>
      </c>
    </row>
    <row r="1171" spans="52:56" x14ac:dyDescent="0.25">
      <c r="AZ1171" s="5">
        <v>1168</v>
      </c>
      <c r="BA1171" s="5">
        <v>0</v>
      </c>
      <c r="BB1171" s="5">
        <v>0</v>
      </c>
      <c r="BC1171" s="5">
        <v>525</v>
      </c>
      <c r="BD1171" s="5">
        <v>329.67741935483872</v>
      </c>
    </row>
    <row r="1172" spans="52:56" x14ac:dyDescent="0.25">
      <c r="AZ1172" s="5">
        <v>1169</v>
      </c>
      <c r="BA1172" s="5">
        <v>0</v>
      </c>
      <c r="BB1172" s="5">
        <v>0</v>
      </c>
      <c r="BC1172" s="5">
        <v>525</v>
      </c>
      <c r="BD1172" s="5">
        <v>329.95967741935488</v>
      </c>
    </row>
    <row r="1173" spans="52:56" x14ac:dyDescent="0.25">
      <c r="AZ1173" s="5">
        <v>1170</v>
      </c>
      <c r="BA1173" s="5">
        <v>0</v>
      </c>
      <c r="BB1173" s="5">
        <v>0</v>
      </c>
      <c r="BC1173" s="5">
        <v>525</v>
      </c>
      <c r="BD1173" s="5">
        <v>330.24193548387098</v>
      </c>
    </row>
    <row r="1174" spans="52:56" x14ac:dyDescent="0.25">
      <c r="AZ1174" s="5">
        <v>1171</v>
      </c>
      <c r="BA1174" s="5">
        <v>0</v>
      </c>
      <c r="BB1174" s="5">
        <v>0</v>
      </c>
      <c r="BC1174" s="5">
        <v>525</v>
      </c>
      <c r="BD1174" s="5">
        <v>330.52419354838713</v>
      </c>
    </row>
    <row r="1175" spans="52:56" x14ac:dyDescent="0.25">
      <c r="AZ1175" s="5">
        <v>1172</v>
      </c>
      <c r="BA1175" s="5">
        <v>0</v>
      </c>
      <c r="BB1175" s="5">
        <v>0</v>
      </c>
      <c r="BC1175" s="5">
        <v>525</v>
      </c>
      <c r="BD1175" s="5">
        <v>330.80645161290323</v>
      </c>
    </row>
    <row r="1176" spans="52:56" x14ac:dyDescent="0.25">
      <c r="AZ1176" s="5">
        <v>1173</v>
      </c>
      <c r="BA1176" s="5">
        <v>0</v>
      </c>
      <c r="BB1176" s="5">
        <v>0</v>
      </c>
      <c r="BC1176" s="5">
        <v>525</v>
      </c>
      <c r="BD1176" s="5">
        <v>331.08870967741939</v>
      </c>
    </row>
    <row r="1177" spans="52:56" x14ac:dyDescent="0.25">
      <c r="AZ1177" s="5">
        <v>1174</v>
      </c>
      <c r="BA1177" s="5">
        <v>0</v>
      </c>
      <c r="BB1177" s="5">
        <v>0</v>
      </c>
      <c r="BC1177" s="5">
        <v>525</v>
      </c>
      <c r="BD1177" s="5">
        <v>331.37096774193549</v>
      </c>
    </row>
    <row r="1178" spans="52:56" x14ac:dyDescent="0.25">
      <c r="AZ1178" s="5">
        <v>1175</v>
      </c>
      <c r="BA1178" s="5">
        <v>0</v>
      </c>
      <c r="BB1178" s="5">
        <v>0</v>
      </c>
      <c r="BC1178" s="5">
        <v>525</v>
      </c>
      <c r="BD1178" s="5">
        <v>331.65322580645164</v>
      </c>
    </row>
    <row r="1179" spans="52:56" x14ac:dyDescent="0.25">
      <c r="AZ1179" s="5">
        <v>1176</v>
      </c>
      <c r="BA1179" s="5">
        <v>0</v>
      </c>
      <c r="BB1179" s="5">
        <v>0</v>
      </c>
      <c r="BC1179" s="5">
        <v>525</v>
      </c>
      <c r="BD1179" s="5">
        <v>331.9354838709678</v>
      </c>
    </row>
    <row r="1180" spans="52:56" x14ac:dyDescent="0.25">
      <c r="AZ1180" s="5">
        <v>1177</v>
      </c>
      <c r="BA1180" s="5">
        <v>0</v>
      </c>
      <c r="BB1180" s="5">
        <v>0</v>
      </c>
      <c r="BC1180" s="5">
        <v>525</v>
      </c>
      <c r="BD1180" s="5">
        <v>332.2177419354839</v>
      </c>
    </row>
    <row r="1181" spans="52:56" x14ac:dyDescent="0.25">
      <c r="AZ1181" s="5">
        <v>1178</v>
      </c>
      <c r="BA1181" s="5">
        <v>0</v>
      </c>
      <c r="BB1181" s="5">
        <v>0</v>
      </c>
      <c r="BC1181" s="5">
        <v>525</v>
      </c>
      <c r="BD1181" s="5">
        <v>332.50000000000006</v>
      </c>
    </row>
    <row r="1182" spans="52:56" x14ac:dyDescent="0.25">
      <c r="AZ1182" s="5">
        <v>1179</v>
      </c>
      <c r="BA1182" s="5">
        <v>0</v>
      </c>
      <c r="BB1182" s="5">
        <v>0</v>
      </c>
      <c r="BC1182" s="5">
        <v>525</v>
      </c>
      <c r="BD1182" s="5">
        <v>332.78225806451616</v>
      </c>
    </row>
    <row r="1183" spans="52:56" x14ac:dyDescent="0.25">
      <c r="AZ1183" s="5">
        <v>1180</v>
      </c>
      <c r="BA1183" s="5">
        <v>0</v>
      </c>
      <c r="BB1183" s="5">
        <v>0</v>
      </c>
      <c r="BC1183" s="5">
        <v>525</v>
      </c>
      <c r="BD1183" s="5">
        <v>333.06451612903231</v>
      </c>
    </row>
    <row r="1184" spans="52:56" x14ac:dyDescent="0.25">
      <c r="AZ1184" s="5">
        <v>1181</v>
      </c>
      <c r="BA1184" s="5">
        <v>0</v>
      </c>
      <c r="BB1184" s="5">
        <v>0</v>
      </c>
      <c r="BC1184" s="5">
        <v>525</v>
      </c>
      <c r="BD1184" s="5">
        <v>333.34677419354841</v>
      </c>
    </row>
    <row r="1185" spans="52:56" x14ac:dyDescent="0.25">
      <c r="AZ1185" s="5">
        <v>1182</v>
      </c>
      <c r="BA1185" s="5">
        <v>0</v>
      </c>
      <c r="BB1185" s="5">
        <v>0</v>
      </c>
      <c r="BC1185" s="5">
        <v>525</v>
      </c>
      <c r="BD1185" s="5">
        <v>333.62903225806457</v>
      </c>
    </row>
    <row r="1186" spans="52:56" x14ac:dyDescent="0.25">
      <c r="AZ1186" s="5">
        <v>1183</v>
      </c>
      <c r="BA1186" s="5">
        <v>0</v>
      </c>
      <c r="BB1186" s="5">
        <v>0</v>
      </c>
      <c r="BC1186" s="5">
        <v>525</v>
      </c>
      <c r="BD1186" s="5">
        <v>333.91129032258067</v>
      </c>
    </row>
    <row r="1187" spans="52:56" x14ac:dyDescent="0.25">
      <c r="AZ1187" s="5">
        <v>1184</v>
      </c>
      <c r="BA1187" s="5">
        <v>0</v>
      </c>
      <c r="BB1187" s="5">
        <v>0</v>
      </c>
      <c r="BC1187" s="5">
        <v>525</v>
      </c>
      <c r="BD1187" s="5">
        <v>334.19354838709683</v>
      </c>
    </row>
    <row r="1188" spans="52:56" x14ac:dyDescent="0.25">
      <c r="AZ1188" s="5">
        <v>1185</v>
      </c>
      <c r="BA1188" s="5">
        <v>0</v>
      </c>
      <c r="BB1188" s="5">
        <v>0</v>
      </c>
      <c r="BC1188" s="5">
        <v>525</v>
      </c>
      <c r="BD1188" s="5">
        <v>334.47580645161293</v>
      </c>
    </row>
    <row r="1189" spans="52:56" x14ac:dyDescent="0.25">
      <c r="AZ1189" s="5">
        <v>1186</v>
      </c>
      <c r="BA1189" s="5">
        <v>0</v>
      </c>
      <c r="BB1189" s="5">
        <v>0</v>
      </c>
      <c r="BC1189" s="5">
        <v>525</v>
      </c>
      <c r="BD1189" s="5">
        <v>334.75806451612908</v>
      </c>
    </row>
    <row r="1190" spans="52:56" x14ac:dyDescent="0.25">
      <c r="AZ1190" s="5">
        <v>1187</v>
      </c>
      <c r="BA1190" s="5">
        <v>0</v>
      </c>
      <c r="BB1190" s="5">
        <v>0</v>
      </c>
      <c r="BC1190" s="5">
        <v>525</v>
      </c>
      <c r="BD1190" s="5">
        <v>335.04032258064518</v>
      </c>
    </row>
    <row r="1191" spans="52:56" x14ac:dyDescent="0.25">
      <c r="AZ1191" s="5">
        <v>1188</v>
      </c>
      <c r="BA1191" s="5">
        <v>0</v>
      </c>
      <c r="BB1191" s="5">
        <v>0</v>
      </c>
      <c r="BC1191" s="5">
        <v>525</v>
      </c>
      <c r="BD1191" s="5">
        <v>335.32258064516134</v>
      </c>
    </row>
    <row r="1192" spans="52:56" x14ac:dyDescent="0.25">
      <c r="AZ1192" s="5">
        <v>1189</v>
      </c>
      <c r="BA1192" s="5">
        <v>0</v>
      </c>
      <c r="BB1192" s="5">
        <v>0</v>
      </c>
      <c r="BC1192" s="5">
        <v>525</v>
      </c>
      <c r="BD1192" s="5">
        <v>335.60483870967744</v>
      </c>
    </row>
    <row r="1193" spans="52:56" x14ac:dyDescent="0.25">
      <c r="AZ1193" s="5">
        <v>1190</v>
      </c>
      <c r="BA1193" s="5">
        <v>0</v>
      </c>
      <c r="BB1193" s="5">
        <v>0</v>
      </c>
      <c r="BC1193" s="5">
        <v>525</v>
      </c>
      <c r="BD1193" s="5">
        <v>335.88709677419359</v>
      </c>
    </row>
    <row r="1194" spans="52:56" x14ac:dyDescent="0.25">
      <c r="AZ1194" s="5">
        <v>1191</v>
      </c>
      <c r="BA1194" s="5">
        <v>0</v>
      </c>
      <c r="BB1194" s="5">
        <v>0</v>
      </c>
      <c r="BC1194" s="5">
        <v>525</v>
      </c>
      <c r="BD1194" s="5">
        <v>336.16935483870969</v>
      </c>
    </row>
    <row r="1195" spans="52:56" x14ac:dyDescent="0.25">
      <c r="AZ1195" s="5">
        <v>1192</v>
      </c>
      <c r="BA1195" s="5">
        <v>0</v>
      </c>
      <c r="BB1195" s="5">
        <v>0</v>
      </c>
      <c r="BC1195" s="5">
        <v>525</v>
      </c>
      <c r="BD1195" s="5">
        <v>336.45161290322585</v>
      </c>
    </row>
    <row r="1196" spans="52:56" x14ac:dyDescent="0.25">
      <c r="AZ1196" s="5">
        <v>1193</v>
      </c>
      <c r="BA1196" s="5">
        <v>0</v>
      </c>
      <c r="BB1196" s="5">
        <v>0</v>
      </c>
      <c r="BC1196" s="5">
        <v>525</v>
      </c>
      <c r="BD1196" s="5">
        <v>336.73387096774195</v>
      </c>
    </row>
    <row r="1197" spans="52:56" x14ac:dyDescent="0.25">
      <c r="AZ1197" s="5">
        <v>1194</v>
      </c>
      <c r="BA1197" s="5">
        <v>0</v>
      </c>
      <c r="BB1197" s="5">
        <v>0</v>
      </c>
      <c r="BC1197" s="5">
        <v>525</v>
      </c>
      <c r="BD1197" s="5">
        <v>337.01612903225811</v>
      </c>
    </row>
    <row r="1198" spans="52:56" x14ac:dyDescent="0.25">
      <c r="AZ1198" s="5">
        <v>1195</v>
      </c>
      <c r="BA1198" s="5">
        <v>0</v>
      </c>
      <c r="BB1198" s="5">
        <v>0</v>
      </c>
      <c r="BC1198" s="5">
        <v>525</v>
      </c>
      <c r="BD1198" s="5">
        <v>337.29838709677421</v>
      </c>
    </row>
    <row r="1199" spans="52:56" x14ac:dyDescent="0.25">
      <c r="AZ1199" s="5">
        <v>1196</v>
      </c>
      <c r="BA1199" s="5">
        <v>0</v>
      </c>
      <c r="BB1199" s="5">
        <v>0</v>
      </c>
      <c r="BC1199" s="5">
        <v>525</v>
      </c>
      <c r="BD1199" s="5">
        <v>337.58064516129036</v>
      </c>
    </row>
    <row r="1200" spans="52:56" x14ac:dyDescent="0.25">
      <c r="AZ1200" s="5">
        <v>1197</v>
      </c>
      <c r="BA1200" s="5">
        <v>0</v>
      </c>
      <c r="BB1200" s="5">
        <v>0</v>
      </c>
      <c r="BC1200" s="5">
        <v>525</v>
      </c>
      <c r="BD1200" s="5">
        <v>337.86290322580646</v>
      </c>
    </row>
    <row r="1201" spans="52:56" x14ac:dyDescent="0.25">
      <c r="AZ1201" s="5">
        <v>1198</v>
      </c>
      <c r="BA1201" s="5">
        <v>0</v>
      </c>
      <c r="BB1201" s="5">
        <v>0</v>
      </c>
      <c r="BC1201" s="5">
        <v>525</v>
      </c>
      <c r="BD1201" s="5">
        <v>338.14516129032262</v>
      </c>
    </row>
    <row r="1202" spans="52:56" x14ac:dyDescent="0.25">
      <c r="AZ1202" s="5">
        <v>1199</v>
      </c>
      <c r="BA1202" s="5">
        <v>0</v>
      </c>
      <c r="BB1202" s="5">
        <v>0</v>
      </c>
      <c r="BC1202" s="5">
        <v>525</v>
      </c>
      <c r="BD1202" s="5">
        <v>338.42741935483872</v>
      </c>
    </row>
    <row r="1203" spans="52:56" x14ac:dyDescent="0.25">
      <c r="AZ1203" s="5">
        <v>1200</v>
      </c>
      <c r="BA1203" s="5">
        <v>0</v>
      </c>
      <c r="BB1203" s="5">
        <v>0</v>
      </c>
      <c r="BC1203" s="5">
        <v>525</v>
      </c>
      <c r="BD1203" s="5">
        <v>338.70967741935488</v>
      </c>
    </row>
    <row r="1204" spans="52:56" x14ac:dyDescent="0.25">
      <c r="AZ1204" s="5">
        <v>1201</v>
      </c>
      <c r="BA1204" s="5">
        <v>0</v>
      </c>
      <c r="BB1204" s="5">
        <v>0</v>
      </c>
      <c r="BC1204" s="5">
        <v>525</v>
      </c>
      <c r="BD1204" s="5">
        <v>338.99193548387098</v>
      </c>
    </row>
    <row r="1205" spans="52:56" x14ac:dyDescent="0.25">
      <c r="AZ1205" s="5">
        <v>1202</v>
      </c>
      <c r="BA1205" s="5">
        <v>0</v>
      </c>
      <c r="BB1205" s="5">
        <v>0</v>
      </c>
      <c r="BC1205" s="5">
        <v>525</v>
      </c>
      <c r="BD1205" s="5">
        <v>339.27419354838713</v>
      </c>
    </row>
    <row r="1206" spans="52:56" x14ac:dyDescent="0.25">
      <c r="AZ1206" s="5">
        <v>1203</v>
      </c>
      <c r="BA1206" s="5">
        <v>0</v>
      </c>
      <c r="BB1206" s="5">
        <v>0</v>
      </c>
      <c r="BC1206" s="5">
        <v>525</v>
      </c>
      <c r="BD1206" s="5">
        <v>339.55645161290323</v>
      </c>
    </row>
    <row r="1207" spans="52:56" x14ac:dyDescent="0.25">
      <c r="AZ1207" s="5">
        <v>1204</v>
      </c>
      <c r="BA1207" s="5">
        <v>0</v>
      </c>
      <c r="BB1207" s="5">
        <v>0</v>
      </c>
      <c r="BC1207" s="5">
        <v>525</v>
      </c>
      <c r="BD1207" s="5">
        <v>339.83870967741939</v>
      </c>
    </row>
    <row r="1208" spans="52:56" x14ac:dyDescent="0.25">
      <c r="AZ1208" s="5">
        <v>1205</v>
      </c>
      <c r="BA1208" s="5">
        <v>0</v>
      </c>
      <c r="BB1208" s="5">
        <v>0</v>
      </c>
      <c r="BC1208" s="5">
        <v>525</v>
      </c>
      <c r="BD1208" s="5">
        <v>340.12096774193554</v>
      </c>
    </row>
    <row r="1209" spans="52:56" x14ac:dyDescent="0.25">
      <c r="AZ1209" s="5">
        <v>1206</v>
      </c>
      <c r="BA1209" s="5">
        <v>0</v>
      </c>
      <c r="BB1209" s="5">
        <v>0</v>
      </c>
      <c r="BC1209" s="5">
        <v>525</v>
      </c>
      <c r="BD1209" s="5">
        <v>340.40322580645164</v>
      </c>
    </row>
    <row r="1210" spans="52:56" x14ac:dyDescent="0.25">
      <c r="AZ1210" s="5">
        <v>1207</v>
      </c>
      <c r="BA1210" s="5">
        <v>0</v>
      </c>
      <c r="BB1210" s="5">
        <v>0</v>
      </c>
      <c r="BC1210" s="5">
        <v>525</v>
      </c>
      <c r="BD1210" s="5">
        <v>340.6854838709678</v>
      </c>
    </row>
    <row r="1211" spans="52:56" x14ac:dyDescent="0.25">
      <c r="AZ1211" s="5">
        <v>1208</v>
      </c>
      <c r="BA1211" s="5">
        <v>0</v>
      </c>
      <c r="BB1211" s="5">
        <v>0</v>
      </c>
      <c r="BC1211" s="5">
        <v>525</v>
      </c>
      <c r="BD1211" s="5">
        <v>340.9677419354839</v>
      </c>
    </row>
    <row r="1212" spans="52:56" x14ac:dyDescent="0.25">
      <c r="AZ1212" s="5">
        <v>1209</v>
      </c>
      <c r="BA1212" s="5">
        <v>0</v>
      </c>
      <c r="BB1212" s="5">
        <v>0</v>
      </c>
      <c r="BC1212" s="5">
        <v>525</v>
      </c>
      <c r="BD1212" s="5">
        <v>341.25000000000006</v>
      </c>
    </row>
    <row r="1213" spans="52:56" x14ac:dyDescent="0.25">
      <c r="AZ1213" s="5">
        <v>1210</v>
      </c>
      <c r="BA1213" s="5">
        <v>0</v>
      </c>
      <c r="BB1213" s="5">
        <v>0</v>
      </c>
      <c r="BC1213" s="5">
        <v>525</v>
      </c>
      <c r="BD1213" s="5">
        <v>341.53225806451616</v>
      </c>
    </row>
    <row r="1214" spans="52:56" x14ac:dyDescent="0.25">
      <c r="AZ1214" s="5">
        <v>1211</v>
      </c>
      <c r="BA1214" s="5">
        <v>0</v>
      </c>
      <c r="BB1214" s="5">
        <v>0</v>
      </c>
      <c r="BC1214" s="5">
        <v>525</v>
      </c>
      <c r="BD1214" s="5">
        <v>341.81451612903231</v>
      </c>
    </row>
    <row r="1215" spans="52:56" x14ac:dyDescent="0.25">
      <c r="AZ1215" s="5">
        <v>1212</v>
      </c>
      <c r="BA1215" s="5">
        <v>0</v>
      </c>
      <c r="BB1215" s="5">
        <v>0</v>
      </c>
      <c r="BC1215" s="5">
        <v>525</v>
      </c>
      <c r="BD1215" s="5">
        <v>342.09677419354841</v>
      </c>
    </row>
    <row r="1216" spans="52:56" x14ac:dyDescent="0.25">
      <c r="AZ1216" s="5">
        <v>1213</v>
      </c>
      <c r="BA1216" s="5">
        <v>0</v>
      </c>
      <c r="BB1216" s="5">
        <v>0</v>
      </c>
      <c r="BC1216" s="5">
        <v>525</v>
      </c>
      <c r="BD1216" s="5">
        <v>342.37903225806457</v>
      </c>
    </row>
    <row r="1217" spans="52:56" x14ac:dyDescent="0.25">
      <c r="AZ1217" s="5">
        <v>1214</v>
      </c>
      <c r="BA1217" s="5">
        <v>0</v>
      </c>
      <c r="BB1217" s="5">
        <v>0</v>
      </c>
      <c r="BC1217" s="5">
        <v>525</v>
      </c>
      <c r="BD1217" s="5">
        <v>342.66129032258067</v>
      </c>
    </row>
    <row r="1218" spans="52:56" x14ac:dyDescent="0.25">
      <c r="AZ1218" s="5">
        <v>1215</v>
      </c>
      <c r="BA1218" s="5">
        <v>0</v>
      </c>
      <c r="BB1218" s="5">
        <v>0</v>
      </c>
      <c r="BC1218" s="5">
        <v>525</v>
      </c>
      <c r="BD1218" s="5">
        <v>342.94354838709683</v>
      </c>
    </row>
    <row r="1219" spans="52:56" x14ac:dyDescent="0.25">
      <c r="AZ1219" s="5">
        <v>1216</v>
      </c>
      <c r="BA1219" s="5">
        <v>0</v>
      </c>
      <c r="BB1219" s="5">
        <v>0</v>
      </c>
      <c r="BC1219" s="5">
        <v>525</v>
      </c>
      <c r="BD1219" s="5">
        <v>343.22580645161293</v>
      </c>
    </row>
    <row r="1220" spans="52:56" x14ac:dyDescent="0.25">
      <c r="AZ1220" s="5">
        <v>1217</v>
      </c>
      <c r="BA1220" s="5">
        <v>0</v>
      </c>
      <c r="BB1220" s="5">
        <v>0</v>
      </c>
      <c r="BC1220" s="5">
        <v>525</v>
      </c>
      <c r="BD1220" s="5">
        <v>343.50806451612908</v>
      </c>
    </row>
    <row r="1221" spans="52:56" x14ac:dyDescent="0.25">
      <c r="AZ1221" s="5">
        <v>1218</v>
      </c>
      <c r="BA1221" s="5">
        <v>0</v>
      </c>
      <c r="BB1221" s="5">
        <v>0</v>
      </c>
      <c r="BC1221" s="5">
        <v>525</v>
      </c>
      <c r="BD1221" s="5">
        <v>343.79032258064518</v>
      </c>
    </row>
    <row r="1222" spans="52:56" x14ac:dyDescent="0.25">
      <c r="AZ1222" s="5">
        <v>1219</v>
      </c>
      <c r="BA1222" s="5">
        <v>0</v>
      </c>
      <c r="BB1222" s="5">
        <v>0</v>
      </c>
      <c r="BC1222" s="5">
        <v>525</v>
      </c>
      <c r="BD1222" s="5">
        <v>344.07258064516134</v>
      </c>
    </row>
    <row r="1223" spans="52:56" x14ac:dyDescent="0.25">
      <c r="AZ1223" s="5">
        <v>1220</v>
      </c>
      <c r="BA1223" s="5">
        <v>0</v>
      </c>
      <c r="BB1223" s="5">
        <v>0</v>
      </c>
      <c r="BC1223" s="5">
        <v>525</v>
      </c>
      <c r="BD1223" s="5">
        <v>344.35483870967744</v>
      </c>
    </row>
    <row r="1224" spans="52:56" x14ac:dyDescent="0.25">
      <c r="AZ1224" s="5">
        <v>1221</v>
      </c>
      <c r="BA1224" s="5">
        <v>0</v>
      </c>
      <c r="BB1224" s="5">
        <v>0</v>
      </c>
      <c r="BC1224" s="5">
        <v>525</v>
      </c>
      <c r="BD1224" s="5">
        <v>344.63709677419359</v>
      </c>
    </row>
    <row r="1225" spans="52:56" x14ac:dyDescent="0.25">
      <c r="AZ1225" s="5">
        <v>1222</v>
      </c>
      <c r="BA1225" s="5">
        <v>0</v>
      </c>
      <c r="BB1225" s="5">
        <v>0</v>
      </c>
      <c r="BC1225" s="5">
        <v>525</v>
      </c>
      <c r="BD1225" s="5">
        <v>344.91935483870969</v>
      </c>
    </row>
    <row r="1226" spans="52:56" x14ac:dyDescent="0.25">
      <c r="AZ1226" s="5">
        <v>1223</v>
      </c>
      <c r="BA1226" s="5">
        <v>0</v>
      </c>
      <c r="BB1226" s="5">
        <v>0</v>
      </c>
      <c r="BC1226" s="5">
        <v>525</v>
      </c>
      <c r="BD1226" s="5">
        <v>345.20161290322585</v>
      </c>
    </row>
    <row r="1227" spans="52:56" x14ac:dyDescent="0.25">
      <c r="AZ1227" s="5">
        <v>1224</v>
      </c>
      <c r="BA1227" s="5">
        <v>0</v>
      </c>
      <c r="BB1227" s="5">
        <v>0</v>
      </c>
      <c r="BC1227" s="5">
        <v>525</v>
      </c>
      <c r="BD1227" s="5">
        <v>345.48387096774195</v>
      </c>
    </row>
    <row r="1228" spans="52:56" x14ac:dyDescent="0.25">
      <c r="AZ1228" s="5">
        <v>1225</v>
      </c>
      <c r="BA1228" s="5">
        <v>0</v>
      </c>
      <c r="BB1228" s="5">
        <v>0</v>
      </c>
      <c r="BC1228" s="5">
        <v>525</v>
      </c>
      <c r="BD1228" s="5">
        <v>345.76612903225811</v>
      </c>
    </row>
    <row r="1229" spans="52:56" x14ac:dyDescent="0.25">
      <c r="AZ1229" s="5">
        <v>1226</v>
      </c>
      <c r="BA1229" s="5">
        <v>0</v>
      </c>
      <c r="BB1229" s="5">
        <v>0</v>
      </c>
      <c r="BC1229" s="5">
        <v>525</v>
      </c>
      <c r="BD1229" s="5">
        <v>346.04838709677421</v>
      </c>
    </row>
    <row r="1230" spans="52:56" x14ac:dyDescent="0.25">
      <c r="AZ1230" s="5">
        <v>1227</v>
      </c>
      <c r="BA1230" s="5">
        <v>0</v>
      </c>
      <c r="BB1230" s="5">
        <v>0</v>
      </c>
      <c r="BC1230" s="5">
        <v>525</v>
      </c>
      <c r="BD1230" s="5">
        <v>346.33064516129036</v>
      </c>
    </row>
    <row r="1231" spans="52:56" x14ac:dyDescent="0.25">
      <c r="AZ1231" s="5">
        <v>1228</v>
      </c>
      <c r="BA1231" s="5">
        <v>0</v>
      </c>
      <c r="BB1231" s="5">
        <v>0</v>
      </c>
      <c r="BC1231" s="5">
        <v>525</v>
      </c>
      <c r="BD1231" s="5">
        <v>346.61290322580646</v>
      </c>
    </row>
    <row r="1232" spans="52:56" x14ac:dyDescent="0.25">
      <c r="AZ1232" s="5">
        <v>1229</v>
      </c>
      <c r="BA1232" s="5">
        <v>0</v>
      </c>
      <c r="BB1232" s="5">
        <v>0</v>
      </c>
      <c r="BC1232" s="5">
        <v>525</v>
      </c>
      <c r="BD1232" s="5">
        <v>346.89516129032262</v>
      </c>
    </row>
    <row r="1233" spans="52:56" x14ac:dyDescent="0.25">
      <c r="AZ1233" s="5">
        <v>1230</v>
      </c>
      <c r="BA1233" s="5">
        <v>0</v>
      </c>
      <c r="BB1233" s="5">
        <v>0</v>
      </c>
      <c r="BC1233" s="5">
        <v>525</v>
      </c>
      <c r="BD1233" s="5">
        <v>347.17741935483872</v>
      </c>
    </row>
    <row r="1234" spans="52:56" x14ac:dyDescent="0.25">
      <c r="AZ1234" s="5">
        <v>1231</v>
      </c>
      <c r="BA1234" s="5">
        <v>0</v>
      </c>
      <c r="BB1234" s="5">
        <v>0</v>
      </c>
      <c r="BC1234" s="5">
        <v>525</v>
      </c>
      <c r="BD1234" s="5">
        <v>347.45967741935488</v>
      </c>
    </row>
    <row r="1235" spans="52:56" x14ac:dyDescent="0.25">
      <c r="AZ1235" s="5">
        <v>1232</v>
      </c>
      <c r="BA1235" s="5">
        <v>0</v>
      </c>
      <c r="BB1235" s="5">
        <v>0</v>
      </c>
      <c r="BC1235" s="5">
        <v>525</v>
      </c>
      <c r="BD1235" s="5">
        <v>347.74193548387098</v>
      </c>
    </row>
    <row r="1236" spans="52:56" x14ac:dyDescent="0.25">
      <c r="AZ1236" s="5">
        <v>1233</v>
      </c>
      <c r="BA1236" s="5">
        <v>0</v>
      </c>
      <c r="BB1236" s="5">
        <v>0</v>
      </c>
      <c r="BC1236" s="5">
        <v>525</v>
      </c>
      <c r="BD1236" s="5">
        <v>348.02419354838713</v>
      </c>
    </row>
    <row r="1237" spans="52:56" x14ac:dyDescent="0.25">
      <c r="AZ1237" s="5">
        <v>1234</v>
      </c>
      <c r="BA1237" s="5">
        <v>0</v>
      </c>
      <c r="BB1237" s="5">
        <v>0</v>
      </c>
      <c r="BC1237" s="5">
        <v>525</v>
      </c>
      <c r="BD1237" s="5">
        <v>348.30645161290323</v>
      </c>
    </row>
    <row r="1238" spans="52:56" x14ac:dyDescent="0.25">
      <c r="AZ1238" s="5">
        <v>1235</v>
      </c>
      <c r="BA1238" s="5">
        <v>0</v>
      </c>
      <c r="BB1238" s="5">
        <v>0</v>
      </c>
      <c r="BC1238" s="5">
        <v>525</v>
      </c>
      <c r="BD1238" s="5">
        <v>348.58870967741939</v>
      </c>
    </row>
    <row r="1239" spans="52:56" x14ac:dyDescent="0.25">
      <c r="AZ1239" s="5">
        <v>1236</v>
      </c>
      <c r="BA1239" s="5">
        <v>0</v>
      </c>
      <c r="BB1239" s="5">
        <v>0</v>
      </c>
      <c r="BC1239" s="5">
        <v>525</v>
      </c>
      <c r="BD1239" s="5">
        <v>348.87096774193554</v>
      </c>
    </row>
    <row r="1240" spans="52:56" x14ac:dyDescent="0.25">
      <c r="AZ1240" s="5">
        <v>1237</v>
      </c>
      <c r="BA1240" s="5">
        <v>0</v>
      </c>
      <c r="BB1240" s="5">
        <v>0</v>
      </c>
      <c r="BC1240" s="5">
        <v>525</v>
      </c>
      <c r="BD1240" s="5">
        <v>349.15322580645164</v>
      </c>
    </row>
    <row r="1241" spans="52:56" x14ac:dyDescent="0.25">
      <c r="AZ1241" s="5">
        <v>1238</v>
      </c>
      <c r="BA1241" s="5">
        <v>0</v>
      </c>
      <c r="BB1241" s="5">
        <v>0</v>
      </c>
      <c r="BC1241" s="5">
        <v>525</v>
      </c>
      <c r="BD1241" s="5">
        <v>349.4354838709678</v>
      </c>
    </row>
    <row r="1242" spans="52:56" x14ac:dyDescent="0.25">
      <c r="AZ1242" s="5">
        <v>1239</v>
      </c>
      <c r="BA1242" s="5">
        <v>0</v>
      </c>
      <c r="BB1242" s="5">
        <v>0</v>
      </c>
      <c r="BC1242" s="5">
        <v>525</v>
      </c>
      <c r="BD1242" s="5">
        <v>349.7177419354839</v>
      </c>
    </row>
    <row r="1243" spans="52:56" x14ac:dyDescent="0.25">
      <c r="AZ1243" s="5">
        <v>1240</v>
      </c>
      <c r="BA1243" s="5">
        <v>0</v>
      </c>
      <c r="BB1243" s="5">
        <v>0</v>
      </c>
      <c r="BC1243" s="5">
        <v>525</v>
      </c>
      <c r="BD1243" s="5">
        <v>350.00000000000006</v>
      </c>
    </row>
    <row r="1244" spans="52:56" x14ac:dyDescent="0.25">
      <c r="AZ1244" s="5">
        <v>1241</v>
      </c>
      <c r="BA1244" s="5">
        <v>0</v>
      </c>
      <c r="BB1244" s="5">
        <v>0</v>
      </c>
      <c r="BC1244" s="5">
        <v>525</v>
      </c>
      <c r="BD1244" s="5">
        <v>350.28225806451616</v>
      </c>
    </row>
    <row r="1245" spans="52:56" x14ac:dyDescent="0.25">
      <c r="AZ1245" s="5">
        <v>1242</v>
      </c>
      <c r="BA1245" s="5">
        <v>0</v>
      </c>
      <c r="BB1245" s="5">
        <v>0</v>
      </c>
      <c r="BC1245" s="5">
        <v>525</v>
      </c>
      <c r="BD1245" s="5">
        <v>350.56451612903231</v>
      </c>
    </row>
    <row r="1246" spans="52:56" x14ac:dyDescent="0.25">
      <c r="AZ1246" s="5">
        <v>1243</v>
      </c>
      <c r="BA1246" s="5">
        <v>0</v>
      </c>
      <c r="BB1246" s="5">
        <v>0</v>
      </c>
      <c r="BC1246" s="5">
        <v>525</v>
      </c>
      <c r="BD1246" s="5">
        <v>350.84677419354841</v>
      </c>
    </row>
    <row r="1247" spans="52:56" x14ac:dyDescent="0.25">
      <c r="AZ1247" s="5">
        <v>1244</v>
      </c>
      <c r="BA1247" s="5">
        <v>0</v>
      </c>
      <c r="BB1247" s="5">
        <v>0</v>
      </c>
      <c r="BC1247" s="5">
        <v>525</v>
      </c>
      <c r="BD1247" s="5">
        <v>351.12903225806457</v>
      </c>
    </row>
    <row r="1248" spans="52:56" x14ac:dyDescent="0.25">
      <c r="AZ1248" s="5">
        <v>1245</v>
      </c>
      <c r="BA1248" s="5">
        <v>0</v>
      </c>
      <c r="BB1248" s="5">
        <v>0</v>
      </c>
      <c r="BC1248" s="5">
        <v>525</v>
      </c>
      <c r="BD1248" s="5">
        <v>351.41129032258067</v>
      </c>
    </row>
    <row r="1249" spans="52:56" x14ac:dyDescent="0.25">
      <c r="AZ1249" s="5">
        <v>1246</v>
      </c>
      <c r="BA1249" s="5">
        <v>0</v>
      </c>
      <c r="BB1249" s="5">
        <v>0</v>
      </c>
      <c r="BC1249" s="5">
        <v>525</v>
      </c>
      <c r="BD1249" s="5">
        <v>351.69354838709683</v>
      </c>
    </row>
    <row r="1250" spans="52:56" x14ac:dyDescent="0.25">
      <c r="AZ1250" s="5">
        <v>1247</v>
      </c>
      <c r="BA1250" s="5">
        <v>0</v>
      </c>
      <c r="BB1250" s="5">
        <v>0</v>
      </c>
      <c r="BC1250" s="5">
        <v>525</v>
      </c>
      <c r="BD1250" s="5">
        <v>351.97580645161293</v>
      </c>
    </row>
    <row r="1251" spans="52:56" x14ac:dyDescent="0.25">
      <c r="AZ1251" s="5">
        <v>1248</v>
      </c>
      <c r="BA1251" s="5">
        <v>0</v>
      </c>
      <c r="BB1251" s="5">
        <v>0</v>
      </c>
      <c r="BC1251" s="5">
        <v>525</v>
      </c>
      <c r="BD1251" s="5">
        <v>352.25806451612908</v>
      </c>
    </row>
    <row r="1252" spans="52:56" x14ac:dyDescent="0.25">
      <c r="AZ1252" s="5">
        <v>1249</v>
      </c>
      <c r="BA1252" s="5">
        <v>0</v>
      </c>
      <c r="BB1252" s="5">
        <v>0</v>
      </c>
      <c r="BC1252" s="5">
        <v>525</v>
      </c>
      <c r="BD1252" s="5">
        <v>352.54032258064518</v>
      </c>
    </row>
    <row r="1253" spans="52:56" x14ac:dyDescent="0.25">
      <c r="AZ1253" s="5">
        <v>1250</v>
      </c>
      <c r="BA1253" s="5">
        <v>0</v>
      </c>
      <c r="BB1253" s="5">
        <v>0</v>
      </c>
      <c r="BC1253" s="5">
        <v>525</v>
      </c>
      <c r="BD1253" s="5">
        <v>352.82258064516134</v>
      </c>
    </row>
    <row r="1254" spans="52:56" x14ac:dyDescent="0.25">
      <c r="AZ1254" s="5">
        <v>1251</v>
      </c>
      <c r="BA1254" s="5">
        <v>0</v>
      </c>
      <c r="BB1254" s="5">
        <v>0</v>
      </c>
      <c r="BC1254" s="5">
        <v>525</v>
      </c>
      <c r="BD1254" s="5">
        <v>353.10483870967744</v>
      </c>
    </row>
    <row r="1255" spans="52:56" x14ac:dyDescent="0.25">
      <c r="AZ1255" s="5">
        <v>1252</v>
      </c>
      <c r="BA1255" s="5">
        <v>0</v>
      </c>
      <c r="BB1255" s="5">
        <v>0</v>
      </c>
      <c r="BC1255" s="5">
        <v>525</v>
      </c>
      <c r="BD1255" s="5">
        <v>353.38709677419359</v>
      </c>
    </row>
    <row r="1256" spans="52:56" x14ac:dyDescent="0.25">
      <c r="AZ1256" s="5">
        <v>1253</v>
      </c>
      <c r="BA1256" s="5">
        <v>0</v>
      </c>
      <c r="BB1256" s="5">
        <v>0</v>
      </c>
      <c r="BC1256" s="5">
        <v>525</v>
      </c>
      <c r="BD1256" s="5">
        <v>353.66935483870969</v>
      </c>
    </row>
    <row r="1257" spans="52:56" x14ac:dyDescent="0.25">
      <c r="AZ1257" s="5">
        <v>1254</v>
      </c>
      <c r="BA1257" s="5">
        <v>0</v>
      </c>
      <c r="BB1257" s="5">
        <v>0</v>
      </c>
      <c r="BC1257" s="5">
        <v>525</v>
      </c>
      <c r="BD1257" s="5">
        <v>353.95161290322585</v>
      </c>
    </row>
    <row r="1258" spans="52:56" x14ac:dyDescent="0.25">
      <c r="AZ1258" s="5">
        <v>1255</v>
      </c>
      <c r="BA1258" s="5">
        <v>0</v>
      </c>
      <c r="BB1258" s="5">
        <v>0</v>
      </c>
      <c r="BC1258" s="5">
        <v>525</v>
      </c>
      <c r="BD1258" s="5">
        <v>354.23387096774195</v>
      </c>
    </row>
    <row r="1259" spans="52:56" x14ac:dyDescent="0.25">
      <c r="AZ1259" s="5">
        <v>1256</v>
      </c>
      <c r="BA1259" s="5">
        <v>0</v>
      </c>
      <c r="BB1259" s="5">
        <v>0</v>
      </c>
      <c r="BC1259" s="5">
        <v>525</v>
      </c>
      <c r="BD1259" s="5">
        <v>354.51612903225811</v>
      </c>
    </row>
    <row r="1260" spans="52:56" x14ac:dyDescent="0.25">
      <c r="AZ1260" s="5">
        <v>1257</v>
      </c>
      <c r="BA1260" s="5">
        <v>0</v>
      </c>
      <c r="BB1260" s="5">
        <v>0</v>
      </c>
      <c r="BC1260" s="5">
        <v>525</v>
      </c>
      <c r="BD1260" s="5">
        <v>354.79838709677421</v>
      </c>
    </row>
    <row r="1261" spans="52:56" x14ac:dyDescent="0.25">
      <c r="AZ1261" s="5">
        <v>1258</v>
      </c>
      <c r="BA1261" s="5">
        <v>0</v>
      </c>
      <c r="BB1261" s="5">
        <v>0</v>
      </c>
      <c r="BC1261" s="5">
        <v>525</v>
      </c>
      <c r="BD1261" s="5">
        <v>355.08064516129036</v>
      </c>
    </row>
    <row r="1262" spans="52:56" x14ac:dyDescent="0.25">
      <c r="AZ1262" s="5">
        <v>1259</v>
      </c>
      <c r="BA1262" s="5">
        <v>0</v>
      </c>
      <c r="BB1262" s="5">
        <v>0</v>
      </c>
      <c r="BC1262" s="5">
        <v>525</v>
      </c>
      <c r="BD1262" s="5">
        <v>355.36290322580646</v>
      </c>
    </row>
    <row r="1263" spans="52:56" x14ac:dyDescent="0.25">
      <c r="AZ1263" s="5">
        <v>1260</v>
      </c>
      <c r="BA1263" s="5">
        <v>0</v>
      </c>
      <c r="BB1263" s="5">
        <v>0</v>
      </c>
      <c r="BC1263" s="5">
        <v>525</v>
      </c>
      <c r="BD1263" s="5">
        <v>355.64516129032262</v>
      </c>
    </row>
    <row r="1264" spans="52:56" x14ac:dyDescent="0.25">
      <c r="AZ1264" s="5">
        <v>1261</v>
      </c>
      <c r="BA1264" s="5">
        <v>0</v>
      </c>
      <c r="BB1264" s="5">
        <v>0</v>
      </c>
      <c r="BC1264" s="5">
        <v>525</v>
      </c>
      <c r="BD1264" s="5">
        <v>355.92741935483872</v>
      </c>
    </row>
    <row r="1265" spans="52:56" x14ac:dyDescent="0.25">
      <c r="AZ1265" s="5">
        <v>1262</v>
      </c>
      <c r="BA1265" s="5">
        <v>0</v>
      </c>
      <c r="BB1265" s="5">
        <v>0</v>
      </c>
      <c r="BC1265" s="5">
        <v>525</v>
      </c>
      <c r="BD1265" s="5">
        <v>356.20967741935488</v>
      </c>
    </row>
    <row r="1266" spans="52:56" x14ac:dyDescent="0.25">
      <c r="AZ1266" s="5">
        <v>1263</v>
      </c>
      <c r="BA1266" s="5">
        <v>0</v>
      </c>
      <c r="BB1266" s="5">
        <v>0</v>
      </c>
      <c r="BC1266" s="5">
        <v>525</v>
      </c>
      <c r="BD1266" s="5">
        <v>356.49193548387098</v>
      </c>
    </row>
    <row r="1267" spans="52:56" x14ac:dyDescent="0.25">
      <c r="AZ1267" s="5">
        <v>1264</v>
      </c>
      <c r="BA1267" s="5">
        <v>0</v>
      </c>
      <c r="BB1267" s="5">
        <v>0</v>
      </c>
      <c r="BC1267" s="5">
        <v>525</v>
      </c>
      <c r="BD1267" s="5">
        <v>356.77419354838713</v>
      </c>
    </row>
    <row r="1268" spans="52:56" x14ac:dyDescent="0.25">
      <c r="AZ1268" s="5">
        <v>1265</v>
      </c>
      <c r="BA1268" s="5">
        <v>0</v>
      </c>
      <c r="BB1268" s="5">
        <v>0</v>
      </c>
      <c r="BC1268" s="5">
        <v>525</v>
      </c>
      <c r="BD1268" s="5">
        <v>357.05645161290329</v>
      </c>
    </row>
    <row r="1269" spans="52:56" x14ac:dyDescent="0.25">
      <c r="AZ1269" s="5">
        <v>1266</v>
      </c>
      <c r="BA1269" s="5">
        <v>0</v>
      </c>
      <c r="BB1269" s="5">
        <v>0</v>
      </c>
      <c r="BC1269" s="5">
        <v>525</v>
      </c>
      <c r="BD1269" s="5">
        <v>357.33870967741939</v>
      </c>
    </row>
    <row r="1270" spans="52:56" x14ac:dyDescent="0.25">
      <c r="AZ1270" s="5">
        <v>1267</v>
      </c>
      <c r="BA1270" s="5">
        <v>0</v>
      </c>
      <c r="BB1270" s="5">
        <v>0</v>
      </c>
      <c r="BC1270" s="5">
        <v>525</v>
      </c>
      <c r="BD1270" s="5">
        <v>357.62096774193554</v>
      </c>
    </row>
    <row r="1271" spans="52:56" x14ac:dyDescent="0.25">
      <c r="AZ1271" s="5">
        <v>1268</v>
      </c>
      <c r="BA1271" s="5">
        <v>0</v>
      </c>
      <c r="BB1271" s="5">
        <v>0</v>
      </c>
      <c r="BC1271" s="5">
        <v>525</v>
      </c>
      <c r="BD1271" s="5">
        <v>357.90322580645164</v>
      </c>
    </row>
    <row r="1272" spans="52:56" x14ac:dyDescent="0.25">
      <c r="AZ1272" s="5">
        <v>1269</v>
      </c>
      <c r="BA1272" s="5">
        <v>0</v>
      </c>
      <c r="BB1272" s="5">
        <v>0</v>
      </c>
      <c r="BC1272" s="5">
        <v>525</v>
      </c>
      <c r="BD1272" s="5">
        <v>358.1854838709678</v>
      </c>
    </row>
    <row r="1273" spans="52:56" x14ac:dyDescent="0.25">
      <c r="AZ1273" s="5">
        <v>1270</v>
      </c>
      <c r="BA1273" s="5">
        <v>0</v>
      </c>
      <c r="BB1273" s="5">
        <v>0</v>
      </c>
      <c r="BC1273" s="5">
        <v>525</v>
      </c>
      <c r="BD1273" s="5">
        <v>358.4677419354839</v>
      </c>
    </row>
    <row r="1274" spans="52:56" x14ac:dyDescent="0.25">
      <c r="AZ1274" s="5">
        <v>1271</v>
      </c>
      <c r="BA1274" s="5">
        <v>0</v>
      </c>
      <c r="BB1274" s="5">
        <v>0</v>
      </c>
      <c r="BC1274" s="5">
        <v>525</v>
      </c>
      <c r="BD1274" s="5">
        <v>358.75000000000006</v>
      </c>
    </row>
    <row r="1275" spans="52:56" x14ac:dyDescent="0.25">
      <c r="AZ1275" s="5">
        <v>1272</v>
      </c>
      <c r="BA1275" s="5">
        <v>0</v>
      </c>
      <c r="BB1275" s="5">
        <v>0</v>
      </c>
      <c r="BC1275" s="5">
        <v>525</v>
      </c>
      <c r="BD1275" s="5">
        <v>359.03225806451616</v>
      </c>
    </row>
    <row r="1276" spans="52:56" x14ac:dyDescent="0.25">
      <c r="AZ1276" s="5">
        <v>1273</v>
      </c>
      <c r="BA1276" s="5">
        <v>0</v>
      </c>
      <c r="BB1276" s="5">
        <v>0</v>
      </c>
      <c r="BC1276" s="5">
        <v>525</v>
      </c>
      <c r="BD1276" s="5">
        <v>359.31451612903231</v>
      </c>
    </row>
    <row r="1277" spans="52:56" x14ac:dyDescent="0.25">
      <c r="AZ1277" s="5">
        <v>1274</v>
      </c>
      <c r="BA1277" s="5">
        <v>0</v>
      </c>
      <c r="BB1277" s="5">
        <v>0</v>
      </c>
      <c r="BC1277" s="5">
        <v>525</v>
      </c>
      <c r="BD1277" s="5">
        <v>359.59677419354841</v>
      </c>
    </row>
    <row r="1278" spans="52:56" x14ac:dyDescent="0.25">
      <c r="AZ1278" s="5">
        <v>1275</v>
      </c>
      <c r="BA1278" s="5">
        <v>0</v>
      </c>
      <c r="BB1278" s="5">
        <v>0</v>
      </c>
      <c r="BC1278" s="5">
        <v>525</v>
      </c>
      <c r="BD1278" s="5">
        <v>359.87903225806457</v>
      </c>
    </row>
    <row r="1279" spans="52:56" x14ac:dyDescent="0.25">
      <c r="AZ1279" s="5">
        <v>1276</v>
      </c>
      <c r="BA1279" s="5">
        <v>0</v>
      </c>
      <c r="BB1279" s="5">
        <v>0</v>
      </c>
      <c r="BC1279" s="5">
        <v>525</v>
      </c>
      <c r="BD1279" s="5">
        <v>360.16129032258067</v>
      </c>
    </row>
    <row r="1280" spans="52:56" x14ac:dyDescent="0.25">
      <c r="AZ1280" s="5">
        <v>1277</v>
      </c>
      <c r="BA1280" s="5">
        <v>0</v>
      </c>
      <c r="BB1280" s="5">
        <v>0</v>
      </c>
      <c r="BC1280" s="5">
        <v>525</v>
      </c>
      <c r="BD1280" s="5">
        <v>360.44354838709683</v>
      </c>
    </row>
    <row r="1281" spans="52:56" x14ac:dyDescent="0.25">
      <c r="AZ1281" s="5">
        <v>1278</v>
      </c>
      <c r="BA1281" s="5">
        <v>0</v>
      </c>
      <c r="BB1281" s="5">
        <v>0</v>
      </c>
      <c r="BC1281" s="5">
        <v>525</v>
      </c>
      <c r="BD1281" s="5">
        <v>360.72580645161293</v>
      </c>
    </row>
    <row r="1282" spans="52:56" x14ac:dyDescent="0.25">
      <c r="AZ1282" s="5">
        <v>1279</v>
      </c>
      <c r="BA1282" s="5">
        <v>0</v>
      </c>
      <c r="BB1282" s="5">
        <v>0</v>
      </c>
      <c r="BC1282" s="5">
        <v>525</v>
      </c>
      <c r="BD1282" s="5">
        <v>361.00806451612908</v>
      </c>
    </row>
    <row r="1283" spans="52:56" x14ac:dyDescent="0.25">
      <c r="AZ1283" s="5">
        <v>1280</v>
      </c>
      <c r="BA1283" s="5">
        <v>0</v>
      </c>
      <c r="BB1283" s="5">
        <v>0</v>
      </c>
      <c r="BC1283" s="5">
        <v>525</v>
      </c>
      <c r="BD1283" s="5">
        <v>361.29032258064518</v>
      </c>
    </row>
    <row r="1284" spans="52:56" x14ac:dyDescent="0.25">
      <c r="AZ1284" s="5">
        <v>1281</v>
      </c>
      <c r="BA1284" s="5">
        <v>0</v>
      </c>
      <c r="BB1284" s="5">
        <v>0</v>
      </c>
      <c r="BC1284" s="5">
        <v>525</v>
      </c>
      <c r="BD1284" s="5">
        <v>361.57258064516134</v>
      </c>
    </row>
    <row r="1285" spans="52:56" x14ac:dyDescent="0.25">
      <c r="AZ1285" s="5">
        <v>1282</v>
      </c>
      <c r="BA1285" s="5">
        <v>0</v>
      </c>
      <c r="BB1285" s="5">
        <v>0</v>
      </c>
      <c r="BC1285" s="5">
        <v>525</v>
      </c>
      <c r="BD1285" s="5">
        <v>361.85483870967744</v>
      </c>
    </row>
    <row r="1286" spans="52:56" x14ac:dyDescent="0.25">
      <c r="AZ1286" s="5">
        <v>1283</v>
      </c>
      <c r="BA1286" s="5">
        <v>0</v>
      </c>
      <c r="BB1286" s="5">
        <v>0</v>
      </c>
      <c r="BC1286" s="5">
        <v>525</v>
      </c>
      <c r="BD1286" s="5">
        <v>362.13709677419359</v>
      </c>
    </row>
    <row r="1287" spans="52:56" x14ac:dyDescent="0.25">
      <c r="AZ1287" s="5">
        <v>1284</v>
      </c>
      <c r="BA1287" s="5">
        <v>0</v>
      </c>
      <c r="BB1287" s="5">
        <v>0</v>
      </c>
      <c r="BC1287" s="5">
        <v>525</v>
      </c>
      <c r="BD1287" s="5">
        <v>362.41935483870969</v>
      </c>
    </row>
    <row r="1288" spans="52:56" x14ac:dyDescent="0.25">
      <c r="AZ1288" s="5">
        <v>1285</v>
      </c>
      <c r="BA1288" s="5">
        <v>0</v>
      </c>
      <c r="BB1288" s="5">
        <v>0</v>
      </c>
      <c r="BC1288" s="5">
        <v>525</v>
      </c>
      <c r="BD1288" s="5">
        <v>362.70161290322585</v>
      </c>
    </row>
    <row r="1289" spans="52:56" x14ac:dyDescent="0.25">
      <c r="AZ1289" s="5">
        <v>1286</v>
      </c>
      <c r="BA1289" s="5">
        <v>0</v>
      </c>
      <c r="BB1289" s="5">
        <v>0</v>
      </c>
      <c r="BC1289" s="5">
        <v>525</v>
      </c>
      <c r="BD1289" s="5">
        <v>362.98387096774195</v>
      </c>
    </row>
    <row r="1290" spans="52:56" x14ac:dyDescent="0.25">
      <c r="AZ1290" s="5">
        <v>1287</v>
      </c>
      <c r="BA1290" s="5">
        <v>0</v>
      </c>
      <c r="BB1290" s="5">
        <v>0</v>
      </c>
      <c r="BC1290" s="5">
        <v>525</v>
      </c>
      <c r="BD1290" s="5">
        <v>363.26612903225811</v>
      </c>
    </row>
    <row r="1291" spans="52:56" x14ac:dyDescent="0.25">
      <c r="AZ1291" s="5">
        <v>1288</v>
      </c>
      <c r="BA1291" s="5">
        <v>0</v>
      </c>
      <c r="BB1291" s="5">
        <v>0</v>
      </c>
      <c r="BC1291" s="5">
        <v>525</v>
      </c>
      <c r="BD1291" s="5">
        <v>363.54838709677421</v>
      </c>
    </row>
    <row r="1292" spans="52:56" x14ac:dyDescent="0.25">
      <c r="AZ1292" s="5">
        <v>1289</v>
      </c>
      <c r="BA1292" s="5">
        <v>0</v>
      </c>
      <c r="BB1292" s="5">
        <v>0</v>
      </c>
      <c r="BC1292" s="5">
        <v>525</v>
      </c>
      <c r="BD1292" s="5">
        <v>363.83064516129036</v>
      </c>
    </row>
    <row r="1293" spans="52:56" x14ac:dyDescent="0.25">
      <c r="AZ1293" s="5">
        <v>1290</v>
      </c>
      <c r="BA1293" s="5">
        <v>0</v>
      </c>
      <c r="BB1293" s="5">
        <v>0</v>
      </c>
      <c r="BC1293" s="5">
        <v>525</v>
      </c>
      <c r="BD1293" s="5">
        <v>364.11290322580646</v>
      </c>
    </row>
    <row r="1294" spans="52:56" x14ac:dyDescent="0.25">
      <c r="AZ1294" s="5">
        <v>1291</v>
      </c>
      <c r="BA1294" s="5">
        <v>0</v>
      </c>
      <c r="BB1294" s="5">
        <v>0</v>
      </c>
      <c r="BC1294" s="5">
        <v>525</v>
      </c>
      <c r="BD1294" s="5">
        <v>364.39516129032262</v>
      </c>
    </row>
    <row r="1295" spans="52:56" x14ac:dyDescent="0.25">
      <c r="AZ1295" s="5">
        <v>1292</v>
      </c>
      <c r="BA1295" s="5">
        <v>0</v>
      </c>
      <c r="BB1295" s="5">
        <v>0</v>
      </c>
      <c r="BC1295" s="5">
        <v>525</v>
      </c>
      <c r="BD1295" s="5">
        <v>364.67741935483872</v>
      </c>
    </row>
    <row r="1296" spans="52:56" x14ac:dyDescent="0.25">
      <c r="AZ1296" s="5">
        <v>1293</v>
      </c>
      <c r="BA1296" s="5">
        <v>0</v>
      </c>
      <c r="BB1296" s="5">
        <v>0</v>
      </c>
      <c r="BC1296" s="5">
        <v>525</v>
      </c>
      <c r="BD1296" s="5">
        <v>364.95967741935488</v>
      </c>
    </row>
    <row r="1297" spans="52:56" x14ac:dyDescent="0.25">
      <c r="AZ1297" s="5">
        <v>1294</v>
      </c>
      <c r="BA1297" s="5">
        <v>0</v>
      </c>
      <c r="BB1297" s="5">
        <v>0</v>
      </c>
      <c r="BC1297" s="5">
        <v>525</v>
      </c>
      <c r="BD1297" s="5">
        <v>365.24193548387098</v>
      </c>
    </row>
    <row r="1298" spans="52:56" x14ac:dyDescent="0.25">
      <c r="AZ1298" s="5">
        <v>1295</v>
      </c>
      <c r="BA1298" s="5">
        <v>0</v>
      </c>
      <c r="BB1298" s="5">
        <v>0</v>
      </c>
      <c r="BC1298" s="5">
        <v>525</v>
      </c>
      <c r="BD1298" s="5">
        <v>365.52419354838713</v>
      </c>
    </row>
    <row r="1299" spans="52:56" x14ac:dyDescent="0.25">
      <c r="AZ1299" s="5">
        <v>1296</v>
      </c>
      <c r="BA1299" s="5">
        <v>0</v>
      </c>
      <c r="BB1299" s="5">
        <v>0</v>
      </c>
      <c r="BC1299" s="5">
        <v>525</v>
      </c>
      <c r="BD1299" s="5">
        <v>365.80645161290329</v>
      </c>
    </row>
    <row r="1300" spans="52:56" x14ac:dyDescent="0.25">
      <c r="AZ1300" s="5">
        <v>1297</v>
      </c>
      <c r="BA1300" s="5">
        <v>0</v>
      </c>
      <c r="BB1300" s="5">
        <v>0</v>
      </c>
      <c r="BC1300" s="5">
        <v>525</v>
      </c>
      <c r="BD1300" s="5">
        <v>366.08870967741939</v>
      </c>
    </row>
    <row r="1301" spans="52:56" x14ac:dyDescent="0.25">
      <c r="AZ1301" s="5">
        <v>1298</v>
      </c>
      <c r="BA1301" s="5">
        <v>0</v>
      </c>
      <c r="BB1301" s="5">
        <v>0</v>
      </c>
      <c r="BC1301" s="5">
        <v>525</v>
      </c>
      <c r="BD1301" s="5">
        <v>366.37096774193554</v>
      </c>
    </row>
    <row r="1302" spans="52:56" x14ac:dyDescent="0.25">
      <c r="AZ1302" s="5">
        <v>1299</v>
      </c>
      <c r="BA1302" s="5">
        <v>0</v>
      </c>
      <c r="BB1302" s="5">
        <v>0</v>
      </c>
      <c r="BC1302" s="5">
        <v>525</v>
      </c>
      <c r="BD1302" s="5">
        <v>366.65322580645164</v>
      </c>
    </row>
    <row r="1303" spans="52:56" x14ac:dyDescent="0.25">
      <c r="AZ1303" s="5">
        <v>1300</v>
      </c>
      <c r="BA1303" s="5">
        <v>0</v>
      </c>
      <c r="BB1303" s="5">
        <v>0</v>
      </c>
      <c r="BC1303" s="5">
        <v>525</v>
      </c>
      <c r="BD1303" s="5">
        <v>366.9354838709678</v>
      </c>
    </row>
    <row r="1304" spans="52:56" x14ac:dyDescent="0.25">
      <c r="AZ1304" s="5">
        <v>1301</v>
      </c>
      <c r="BA1304" s="5">
        <v>0</v>
      </c>
      <c r="BB1304" s="5">
        <v>0</v>
      </c>
      <c r="BC1304" s="5">
        <v>525</v>
      </c>
      <c r="BD1304" s="5">
        <v>367.2177419354839</v>
      </c>
    </row>
    <row r="1305" spans="52:56" x14ac:dyDescent="0.25">
      <c r="AZ1305" s="5">
        <v>1302</v>
      </c>
      <c r="BA1305" s="5">
        <v>0</v>
      </c>
      <c r="BB1305" s="5">
        <v>0</v>
      </c>
      <c r="BC1305" s="5">
        <v>525</v>
      </c>
      <c r="BD1305" s="5">
        <v>367.50000000000006</v>
      </c>
    </row>
    <row r="1306" spans="52:56" x14ac:dyDescent="0.25">
      <c r="AZ1306" s="6">
        <v>1303</v>
      </c>
      <c r="BA1306" s="6">
        <v>0</v>
      </c>
      <c r="BB1306" s="6">
        <v>0</v>
      </c>
      <c r="BC1306" s="6">
        <v>525</v>
      </c>
      <c r="BD1306" s="6">
        <v>367.78225806451616</v>
      </c>
    </row>
    <row r="1307" spans="52:56" x14ac:dyDescent="0.25">
      <c r="AZ1307" s="6">
        <v>1304</v>
      </c>
      <c r="BA1307" s="6">
        <v>0</v>
      </c>
      <c r="BB1307" s="6">
        <v>0</v>
      </c>
      <c r="BC1307" s="6">
        <v>525</v>
      </c>
      <c r="BD1307" s="6">
        <v>368.06451612903231</v>
      </c>
    </row>
    <row r="1308" spans="52:56" x14ac:dyDescent="0.25">
      <c r="AZ1308" s="6">
        <v>1305</v>
      </c>
      <c r="BA1308" s="6">
        <v>0</v>
      </c>
      <c r="BB1308" s="6">
        <v>0</v>
      </c>
      <c r="BC1308" s="6">
        <v>525</v>
      </c>
      <c r="BD1308" s="6">
        <v>368.34677419354841</v>
      </c>
    </row>
    <row r="1309" spans="52:56" x14ac:dyDescent="0.25">
      <c r="AZ1309" s="6">
        <v>1306</v>
      </c>
      <c r="BA1309" s="6">
        <v>0</v>
      </c>
      <c r="BB1309" s="6">
        <v>0</v>
      </c>
      <c r="BC1309" s="6">
        <v>525</v>
      </c>
      <c r="BD1309" s="6">
        <v>368.62903225806457</v>
      </c>
    </row>
    <row r="1310" spans="52:56" x14ac:dyDescent="0.25">
      <c r="AZ1310" s="6">
        <v>1307</v>
      </c>
      <c r="BA1310" s="6">
        <v>0</v>
      </c>
      <c r="BB1310" s="6">
        <v>0</v>
      </c>
      <c r="BC1310" s="6">
        <v>525</v>
      </c>
      <c r="BD1310" s="6">
        <v>368.91129032258067</v>
      </c>
    </row>
    <row r="1311" spans="52:56" x14ac:dyDescent="0.25">
      <c r="AZ1311" s="6">
        <v>1308</v>
      </c>
      <c r="BA1311" s="6">
        <v>0</v>
      </c>
      <c r="BB1311" s="6">
        <v>0</v>
      </c>
      <c r="BC1311" s="6">
        <v>525</v>
      </c>
      <c r="BD1311" s="6">
        <v>369.19354838709683</v>
      </c>
    </row>
    <row r="1312" spans="52:56" x14ac:dyDescent="0.25">
      <c r="AZ1312" s="6">
        <v>1309</v>
      </c>
      <c r="BA1312" s="6">
        <v>0</v>
      </c>
      <c r="BB1312" s="6">
        <v>0</v>
      </c>
      <c r="BC1312" s="6">
        <v>525</v>
      </c>
      <c r="BD1312" s="6">
        <v>369.47580645161293</v>
      </c>
    </row>
    <row r="1313" spans="52:56" x14ac:dyDescent="0.25">
      <c r="AZ1313" s="6">
        <v>1310</v>
      </c>
      <c r="BA1313" s="6">
        <v>0</v>
      </c>
      <c r="BB1313" s="6">
        <v>0</v>
      </c>
      <c r="BC1313" s="6">
        <v>525</v>
      </c>
      <c r="BD1313" s="6">
        <v>369.75806451612908</v>
      </c>
    </row>
    <row r="1314" spans="52:56" x14ac:dyDescent="0.25">
      <c r="AZ1314" s="6">
        <v>1311</v>
      </c>
      <c r="BA1314" s="6">
        <v>0</v>
      </c>
      <c r="BB1314" s="6">
        <v>0</v>
      </c>
      <c r="BC1314" s="6">
        <v>525</v>
      </c>
      <c r="BD1314" s="6">
        <v>370.04032258064518</v>
      </c>
    </row>
    <row r="1315" spans="52:56" x14ac:dyDescent="0.25">
      <c r="AZ1315" s="6">
        <v>1312</v>
      </c>
      <c r="BA1315" s="6">
        <v>0</v>
      </c>
      <c r="BB1315" s="6">
        <v>0</v>
      </c>
      <c r="BC1315" s="6">
        <v>525</v>
      </c>
      <c r="BD1315" s="6">
        <v>370.32258064516134</v>
      </c>
    </row>
    <row r="1316" spans="52:56" x14ac:dyDescent="0.25">
      <c r="AZ1316" s="6">
        <v>1313</v>
      </c>
      <c r="BA1316" s="6">
        <v>0</v>
      </c>
      <c r="BB1316" s="6">
        <v>0</v>
      </c>
      <c r="BC1316" s="6">
        <v>525</v>
      </c>
      <c r="BD1316" s="6">
        <v>370.60483870967744</v>
      </c>
    </row>
    <row r="1317" spans="52:56" x14ac:dyDescent="0.25">
      <c r="AZ1317" s="6">
        <v>1314</v>
      </c>
      <c r="BA1317" s="6">
        <v>0</v>
      </c>
      <c r="BB1317" s="6">
        <v>0</v>
      </c>
      <c r="BC1317" s="6">
        <v>525</v>
      </c>
      <c r="BD1317" s="6">
        <v>370.88709677419359</v>
      </c>
    </row>
    <row r="1318" spans="52:56" x14ac:dyDescent="0.25">
      <c r="AZ1318" s="6">
        <v>1315</v>
      </c>
      <c r="BA1318" s="6">
        <v>0</v>
      </c>
      <c r="BB1318" s="6">
        <v>0</v>
      </c>
      <c r="BC1318" s="6">
        <v>525</v>
      </c>
      <c r="BD1318" s="6">
        <v>371.16935483870969</v>
      </c>
    </row>
    <row r="1319" spans="52:56" x14ac:dyDescent="0.25">
      <c r="AZ1319" s="6">
        <v>1316</v>
      </c>
      <c r="BA1319" s="6">
        <v>0</v>
      </c>
      <c r="BB1319" s="6">
        <v>0</v>
      </c>
      <c r="BC1319" s="6">
        <v>525</v>
      </c>
      <c r="BD1319" s="6">
        <v>371.45161290322585</v>
      </c>
    </row>
    <row r="1320" spans="52:56" x14ac:dyDescent="0.25">
      <c r="AZ1320" s="6">
        <v>1317</v>
      </c>
      <c r="BA1320" s="6">
        <v>0</v>
      </c>
      <c r="BB1320" s="6">
        <v>0</v>
      </c>
      <c r="BC1320" s="6">
        <v>525</v>
      </c>
      <c r="BD1320" s="6">
        <v>371.73387096774195</v>
      </c>
    </row>
    <row r="1321" spans="52:56" x14ac:dyDescent="0.25">
      <c r="AZ1321" s="6">
        <v>1318</v>
      </c>
      <c r="BA1321" s="6">
        <v>0</v>
      </c>
      <c r="BB1321" s="6">
        <v>0</v>
      </c>
      <c r="BC1321" s="6">
        <v>525</v>
      </c>
      <c r="BD1321" s="6">
        <v>372.01612903225811</v>
      </c>
    </row>
    <row r="1322" spans="52:56" x14ac:dyDescent="0.25">
      <c r="AZ1322" s="6">
        <v>1319</v>
      </c>
      <c r="BA1322" s="6">
        <v>0</v>
      </c>
      <c r="BB1322" s="6">
        <v>0</v>
      </c>
      <c r="BC1322" s="6">
        <v>525</v>
      </c>
      <c r="BD1322" s="6">
        <v>372.29838709677421</v>
      </c>
    </row>
    <row r="1323" spans="52:56" x14ac:dyDescent="0.25">
      <c r="AZ1323" s="6">
        <v>1320</v>
      </c>
      <c r="BA1323" s="6">
        <v>0</v>
      </c>
      <c r="BB1323" s="6">
        <v>0</v>
      </c>
      <c r="BC1323" s="6">
        <v>525</v>
      </c>
      <c r="BD1323" s="6">
        <v>372.58064516129036</v>
      </c>
    </row>
    <row r="1324" spans="52:56" x14ac:dyDescent="0.25">
      <c r="AZ1324" s="6">
        <v>1321</v>
      </c>
      <c r="BA1324" s="6">
        <v>0</v>
      </c>
      <c r="BB1324" s="6">
        <v>0</v>
      </c>
      <c r="BC1324" s="6">
        <v>525</v>
      </c>
      <c r="BD1324" s="6">
        <v>372.86290322580646</v>
      </c>
    </row>
    <row r="1325" spans="52:56" x14ac:dyDescent="0.25">
      <c r="AZ1325" s="6">
        <v>1322</v>
      </c>
      <c r="BA1325" s="6">
        <v>0</v>
      </c>
      <c r="BB1325" s="6">
        <v>0</v>
      </c>
      <c r="BC1325" s="6">
        <v>525</v>
      </c>
      <c r="BD1325" s="6">
        <v>373.14516129032262</v>
      </c>
    </row>
    <row r="1326" spans="52:56" x14ac:dyDescent="0.25">
      <c r="AZ1326" s="6">
        <v>1323</v>
      </c>
      <c r="BA1326" s="6">
        <v>0</v>
      </c>
      <c r="BB1326" s="6">
        <v>0</v>
      </c>
      <c r="BC1326" s="6">
        <v>525</v>
      </c>
      <c r="BD1326" s="6">
        <v>373.42741935483872</v>
      </c>
    </row>
    <row r="1327" spans="52:56" x14ac:dyDescent="0.25">
      <c r="AZ1327" s="6">
        <v>1324</v>
      </c>
      <c r="BA1327" s="6">
        <v>0</v>
      </c>
      <c r="BB1327" s="6">
        <v>0</v>
      </c>
      <c r="BC1327" s="6">
        <v>525</v>
      </c>
      <c r="BD1327" s="6">
        <v>373.70967741935488</v>
      </c>
    </row>
    <row r="1328" spans="52:56" x14ac:dyDescent="0.25">
      <c r="AZ1328" s="6">
        <v>1325</v>
      </c>
      <c r="BA1328" s="6">
        <v>0</v>
      </c>
      <c r="BB1328" s="6">
        <v>0</v>
      </c>
      <c r="BC1328" s="6">
        <v>525</v>
      </c>
      <c r="BD1328" s="6">
        <v>373.99193548387098</v>
      </c>
    </row>
    <row r="1329" spans="52:56" x14ac:dyDescent="0.25">
      <c r="AZ1329" s="6">
        <v>1326</v>
      </c>
      <c r="BA1329" s="6">
        <v>0</v>
      </c>
      <c r="BB1329" s="6">
        <v>0</v>
      </c>
      <c r="BC1329" s="6">
        <v>525</v>
      </c>
      <c r="BD1329" s="6">
        <v>374.27419354838713</v>
      </c>
    </row>
    <row r="1330" spans="52:56" x14ac:dyDescent="0.25">
      <c r="AZ1330" s="6">
        <v>1327</v>
      </c>
      <c r="BA1330" s="6">
        <v>0</v>
      </c>
      <c r="BB1330" s="6">
        <v>0</v>
      </c>
      <c r="BC1330" s="6">
        <v>525</v>
      </c>
      <c r="BD1330" s="6">
        <v>374.55645161290329</v>
      </c>
    </row>
    <row r="1331" spans="52:56" x14ac:dyDescent="0.25">
      <c r="AZ1331" s="6">
        <v>1328</v>
      </c>
      <c r="BA1331" s="6">
        <v>0</v>
      </c>
      <c r="BB1331" s="6">
        <v>0</v>
      </c>
      <c r="BC1331" s="6">
        <v>525</v>
      </c>
      <c r="BD1331" s="6">
        <v>374.83870967741939</v>
      </c>
    </row>
    <row r="1332" spans="52:56" x14ac:dyDescent="0.25">
      <c r="AZ1332" s="6">
        <v>1329</v>
      </c>
      <c r="BA1332" s="6">
        <v>0</v>
      </c>
      <c r="BB1332" s="6">
        <v>0</v>
      </c>
      <c r="BC1332" s="6">
        <v>525</v>
      </c>
      <c r="BD1332" s="6">
        <v>375.12096774193554</v>
      </c>
    </row>
    <row r="1333" spans="52:56" x14ac:dyDescent="0.25">
      <c r="AZ1333" s="6">
        <v>1330</v>
      </c>
      <c r="BA1333" s="6">
        <v>0</v>
      </c>
      <c r="BB1333" s="6">
        <v>0</v>
      </c>
      <c r="BC1333" s="6">
        <v>525</v>
      </c>
      <c r="BD1333" s="6">
        <v>375.40322580645164</v>
      </c>
    </row>
    <row r="1334" spans="52:56" x14ac:dyDescent="0.25">
      <c r="AZ1334" s="6">
        <v>1331</v>
      </c>
      <c r="BA1334" s="6">
        <v>0</v>
      </c>
      <c r="BB1334" s="6">
        <v>0</v>
      </c>
      <c r="BC1334" s="6">
        <v>525</v>
      </c>
      <c r="BD1334" s="6">
        <v>375.6854838709678</v>
      </c>
    </row>
    <row r="1335" spans="52:56" x14ac:dyDescent="0.25">
      <c r="AZ1335" s="6">
        <v>1332</v>
      </c>
      <c r="BA1335" s="6">
        <v>0</v>
      </c>
      <c r="BB1335" s="6">
        <v>0</v>
      </c>
      <c r="BC1335" s="6">
        <v>525</v>
      </c>
      <c r="BD1335" s="6">
        <v>375.9677419354839</v>
      </c>
    </row>
    <row r="1336" spans="52:56" x14ac:dyDescent="0.25">
      <c r="AZ1336" s="6">
        <v>1333</v>
      </c>
      <c r="BA1336" s="6">
        <v>0</v>
      </c>
      <c r="BB1336" s="6">
        <v>0</v>
      </c>
      <c r="BC1336" s="6">
        <v>525</v>
      </c>
      <c r="BD1336" s="6">
        <v>376.25000000000006</v>
      </c>
    </row>
    <row r="1337" spans="52:56" x14ac:dyDescent="0.25">
      <c r="AZ1337" s="6">
        <v>1334</v>
      </c>
      <c r="BA1337" s="6">
        <v>0</v>
      </c>
      <c r="BB1337" s="6">
        <v>0</v>
      </c>
      <c r="BC1337" s="6">
        <v>525</v>
      </c>
      <c r="BD1337" s="6">
        <v>376.53225806451616</v>
      </c>
    </row>
    <row r="1338" spans="52:56" x14ac:dyDescent="0.25">
      <c r="AZ1338" s="6">
        <v>1335</v>
      </c>
      <c r="BA1338" s="6">
        <v>0</v>
      </c>
      <c r="BB1338" s="6">
        <v>0</v>
      </c>
      <c r="BC1338" s="6">
        <v>525</v>
      </c>
      <c r="BD1338" s="6">
        <v>376.81451612903231</v>
      </c>
    </row>
    <row r="1339" spans="52:56" x14ac:dyDescent="0.25">
      <c r="AZ1339" s="6">
        <v>1336</v>
      </c>
      <c r="BA1339" s="6">
        <v>0</v>
      </c>
      <c r="BB1339" s="6">
        <v>0</v>
      </c>
      <c r="BC1339" s="6">
        <v>525</v>
      </c>
      <c r="BD1339" s="6">
        <v>377.09677419354841</v>
      </c>
    </row>
    <row r="1340" spans="52:56" x14ac:dyDescent="0.25">
      <c r="AZ1340" s="6">
        <v>1337</v>
      </c>
      <c r="BA1340" s="6">
        <v>0</v>
      </c>
      <c r="BB1340" s="6">
        <v>0</v>
      </c>
      <c r="BC1340" s="6">
        <v>525</v>
      </c>
      <c r="BD1340" s="6">
        <v>377.37903225806457</v>
      </c>
    </row>
    <row r="1341" spans="52:56" x14ac:dyDescent="0.25">
      <c r="AZ1341" s="6">
        <v>1338</v>
      </c>
      <c r="BA1341" s="6">
        <v>0</v>
      </c>
      <c r="BB1341" s="6">
        <v>0</v>
      </c>
      <c r="BC1341" s="6">
        <v>525</v>
      </c>
      <c r="BD1341" s="6">
        <v>377.66129032258067</v>
      </c>
    </row>
    <row r="1342" spans="52:56" x14ac:dyDescent="0.25">
      <c r="AZ1342" s="6">
        <v>1339</v>
      </c>
      <c r="BA1342" s="6">
        <v>0</v>
      </c>
      <c r="BB1342" s="6">
        <v>0</v>
      </c>
      <c r="BC1342" s="6">
        <v>525</v>
      </c>
      <c r="BD1342" s="6">
        <v>377.94354838709683</v>
      </c>
    </row>
    <row r="1343" spans="52:56" x14ac:dyDescent="0.25">
      <c r="AZ1343" s="6">
        <v>1340</v>
      </c>
      <c r="BA1343" s="6">
        <v>0</v>
      </c>
      <c r="BB1343" s="6">
        <v>0</v>
      </c>
      <c r="BC1343" s="6">
        <v>525</v>
      </c>
      <c r="BD1343" s="6">
        <v>378.22580645161293</v>
      </c>
    </row>
    <row r="1344" spans="52:56" x14ac:dyDescent="0.25">
      <c r="AZ1344" s="6">
        <v>1341</v>
      </c>
      <c r="BA1344" s="6">
        <v>0</v>
      </c>
      <c r="BB1344" s="6">
        <v>0</v>
      </c>
      <c r="BC1344" s="6">
        <v>525</v>
      </c>
      <c r="BD1344" s="6">
        <v>378.50806451612908</v>
      </c>
    </row>
    <row r="1345" spans="52:56" x14ac:dyDescent="0.25">
      <c r="AZ1345" s="6">
        <v>1342</v>
      </c>
      <c r="BA1345" s="6">
        <v>0</v>
      </c>
      <c r="BB1345" s="6">
        <v>0</v>
      </c>
      <c r="BC1345" s="6">
        <v>525</v>
      </c>
      <c r="BD1345" s="6">
        <v>378.79032258064518</v>
      </c>
    </row>
    <row r="1346" spans="52:56" x14ac:dyDescent="0.25">
      <c r="AZ1346" s="6">
        <v>1343</v>
      </c>
      <c r="BA1346" s="6">
        <v>0</v>
      </c>
      <c r="BB1346" s="6">
        <v>0</v>
      </c>
      <c r="BC1346" s="6">
        <v>525</v>
      </c>
      <c r="BD1346" s="6">
        <v>379.07258064516134</v>
      </c>
    </row>
    <row r="1347" spans="52:56" x14ac:dyDescent="0.25">
      <c r="AZ1347" s="6">
        <v>1344</v>
      </c>
      <c r="BA1347" s="6">
        <v>0</v>
      </c>
      <c r="BB1347" s="6">
        <v>0</v>
      </c>
      <c r="BC1347" s="6">
        <v>525</v>
      </c>
      <c r="BD1347" s="6">
        <v>379.35483870967744</v>
      </c>
    </row>
    <row r="1348" spans="52:56" x14ac:dyDescent="0.25">
      <c r="AZ1348" s="6">
        <v>1345</v>
      </c>
      <c r="BA1348" s="6">
        <v>0</v>
      </c>
      <c r="BB1348" s="6">
        <v>0</v>
      </c>
      <c r="BC1348" s="6">
        <v>525</v>
      </c>
      <c r="BD1348" s="6">
        <v>379.63709677419359</v>
      </c>
    </row>
    <row r="1349" spans="52:56" x14ac:dyDescent="0.25">
      <c r="AZ1349" s="6">
        <v>1346</v>
      </c>
      <c r="BA1349" s="6">
        <v>0</v>
      </c>
      <c r="BB1349" s="6">
        <v>0</v>
      </c>
      <c r="BC1349" s="6">
        <v>525</v>
      </c>
      <c r="BD1349" s="6">
        <v>379.91935483870969</v>
      </c>
    </row>
    <row r="1350" spans="52:56" x14ac:dyDescent="0.25">
      <c r="AZ1350" s="6">
        <v>1347</v>
      </c>
      <c r="BA1350" s="6">
        <v>0</v>
      </c>
      <c r="BB1350" s="6">
        <v>0</v>
      </c>
      <c r="BC1350" s="6">
        <v>525</v>
      </c>
      <c r="BD1350" s="6">
        <v>380.20161290322585</v>
      </c>
    </row>
    <row r="1351" spans="52:56" x14ac:dyDescent="0.25">
      <c r="AZ1351" s="6">
        <v>1348</v>
      </c>
      <c r="BA1351" s="6">
        <v>0</v>
      </c>
      <c r="BB1351" s="6">
        <v>0</v>
      </c>
      <c r="BC1351" s="6">
        <v>525</v>
      </c>
      <c r="BD1351" s="6">
        <v>380.48387096774195</v>
      </c>
    </row>
    <row r="1352" spans="52:56" x14ac:dyDescent="0.25">
      <c r="AZ1352" s="6">
        <v>1349</v>
      </c>
      <c r="BA1352" s="6">
        <v>0</v>
      </c>
      <c r="BB1352" s="6">
        <v>0</v>
      </c>
      <c r="BC1352" s="6">
        <v>525</v>
      </c>
      <c r="BD1352" s="6">
        <v>380.76612903225811</v>
      </c>
    </row>
    <row r="1353" spans="52:56" x14ac:dyDescent="0.25">
      <c r="AZ1353" s="6">
        <v>1350</v>
      </c>
      <c r="BA1353" s="6">
        <v>0</v>
      </c>
      <c r="BB1353" s="6">
        <v>0</v>
      </c>
      <c r="BC1353" s="6">
        <v>525</v>
      </c>
      <c r="BD1353" s="6">
        <v>381.04838709677421</v>
      </c>
    </row>
    <row r="1354" spans="52:56" x14ac:dyDescent="0.25">
      <c r="AZ1354" s="6">
        <v>1351</v>
      </c>
      <c r="BA1354" s="6">
        <v>0</v>
      </c>
      <c r="BB1354" s="6">
        <v>0</v>
      </c>
      <c r="BC1354" s="6">
        <v>525</v>
      </c>
      <c r="BD1354" s="6">
        <v>381.33064516129036</v>
      </c>
    </row>
    <row r="1355" spans="52:56" x14ac:dyDescent="0.25">
      <c r="AZ1355" s="6">
        <v>1352</v>
      </c>
      <c r="BA1355" s="6">
        <v>0</v>
      </c>
      <c r="BB1355" s="6">
        <v>0</v>
      </c>
      <c r="BC1355" s="6">
        <v>525</v>
      </c>
      <c r="BD1355" s="6">
        <v>381.61290322580646</v>
      </c>
    </row>
    <row r="1356" spans="52:56" x14ac:dyDescent="0.25">
      <c r="AZ1356" s="6">
        <v>1353</v>
      </c>
      <c r="BA1356" s="6">
        <v>0</v>
      </c>
      <c r="BB1356" s="6">
        <v>0</v>
      </c>
      <c r="BC1356" s="6">
        <v>525</v>
      </c>
      <c r="BD1356" s="6">
        <v>381.89516129032262</v>
      </c>
    </row>
    <row r="1357" spans="52:56" x14ac:dyDescent="0.25">
      <c r="AZ1357" s="6">
        <v>1354</v>
      </c>
      <c r="BA1357" s="6">
        <v>0</v>
      </c>
      <c r="BB1357" s="6">
        <v>0</v>
      </c>
      <c r="BC1357" s="6">
        <v>525</v>
      </c>
      <c r="BD1357" s="6">
        <v>382.17741935483872</v>
      </c>
    </row>
    <row r="1358" spans="52:56" x14ac:dyDescent="0.25">
      <c r="AZ1358" s="6">
        <v>1355</v>
      </c>
      <c r="BA1358" s="6">
        <v>0</v>
      </c>
      <c r="BB1358" s="6">
        <v>0</v>
      </c>
      <c r="BC1358" s="6">
        <v>525</v>
      </c>
      <c r="BD1358" s="6">
        <v>382.45967741935488</v>
      </c>
    </row>
    <row r="1359" spans="52:56" x14ac:dyDescent="0.25">
      <c r="AZ1359" s="6">
        <v>1356</v>
      </c>
      <c r="BA1359" s="6">
        <v>0</v>
      </c>
      <c r="BB1359" s="6">
        <v>0</v>
      </c>
      <c r="BC1359" s="6">
        <v>525</v>
      </c>
      <c r="BD1359" s="6">
        <v>382.74193548387103</v>
      </c>
    </row>
    <row r="1360" spans="52:56" x14ac:dyDescent="0.25">
      <c r="AZ1360" s="6">
        <v>1357</v>
      </c>
      <c r="BA1360" s="6">
        <v>0</v>
      </c>
      <c r="BB1360" s="6">
        <v>0</v>
      </c>
      <c r="BC1360" s="6">
        <v>525</v>
      </c>
      <c r="BD1360" s="6">
        <v>383.02419354838713</v>
      </c>
    </row>
    <row r="1361" spans="52:56" x14ac:dyDescent="0.25">
      <c r="AZ1361" s="6">
        <v>1358</v>
      </c>
      <c r="BA1361" s="6">
        <v>0</v>
      </c>
      <c r="BB1361" s="6">
        <v>0</v>
      </c>
      <c r="BC1361" s="6">
        <v>525</v>
      </c>
      <c r="BD1361" s="6">
        <v>383.30645161290329</v>
      </c>
    </row>
    <row r="1362" spans="52:56" x14ac:dyDescent="0.25">
      <c r="AZ1362" s="6">
        <v>1359</v>
      </c>
      <c r="BA1362" s="6">
        <v>0</v>
      </c>
      <c r="BB1362" s="6">
        <v>0</v>
      </c>
      <c r="BC1362" s="6">
        <v>525</v>
      </c>
      <c r="BD1362" s="6">
        <v>383.58870967741939</v>
      </c>
    </row>
    <row r="1363" spans="52:56" x14ac:dyDescent="0.25">
      <c r="AZ1363" s="6">
        <v>1360</v>
      </c>
      <c r="BA1363" s="6">
        <v>0</v>
      </c>
      <c r="BB1363" s="6">
        <v>0</v>
      </c>
      <c r="BC1363" s="6">
        <v>525</v>
      </c>
      <c r="BD1363" s="6">
        <v>383.87096774193554</v>
      </c>
    </row>
    <row r="1364" spans="52:56" x14ac:dyDescent="0.25">
      <c r="AZ1364" s="6">
        <v>1361</v>
      </c>
      <c r="BA1364" s="6">
        <v>0</v>
      </c>
      <c r="BB1364" s="6">
        <v>0</v>
      </c>
      <c r="BC1364" s="6">
        <v>525</v>
      </c>
      <c r="BD1364" s="6">
        <v>384.15322580645164</v>
      </c>
    </row>
    <row r="1365" spans="52:56" x14ac:dyDescent="0.25">
      <c r="AZ1365" s="6">
        <v>1362</v>
      </c>
      <c r="BA1365" s="6">
        <v>0</v>
      </c>
      <c r="BB1365" s="6">
        <v>0</v>
      </c>
      <c r="BC1365" s="6">
        <v>525</v>
      </c>
      <c r="BD1365" s="6">
        <v>384.4354838709678</v>
      </c>
    </row>
    <row r="1366" spans="52:56" x14ac:dyDescent="0.25">
      <c r="AZ1366" s="6">
        <v>1363</v>
      </c>
      <c r="BA1366" s="6">
        <v>0</v>
      </c>
      <c r="BB1366" s="6">
        <v>0</v>
      </c>
      <c r="BC1366" s="6">
        <v>525</v>
      </c>
      <c r="BD1366" s="6">
        <v>384.7177419354839</v>
      </c>
    </row>
    <row r="1367" spans="52:56" x14ac:dyDescent="0.25">
      <c r="AZ1367" s="6">
        <v>1364</v>
      </c>
      <c r="BA1367" s="6">
        <v>0</v>
      </c>
      <c r="BB1367" s="6">
        <v>0</v>
      </c>
      <c r="BC1367" s="6">
        <v>525</v>
      </c>
      <c r="BD1367" s="6">
        <v>385.00000000000006</v>
      </c>
    </row>
    <row r="1368" spans="52:56" x14ac:dyDescent="0.25">
      <c r="AZ1368" s="6">
        <v>1365</v>
      </c>
      <c r="BA1368" s="6">
        <v>0</v>
      </c>
      <c r="BB1368" s="6">
        <v>0</v>
      </c>
      <c r="BC1368" s="6">
        <v>525</v>
      </c>
      <c r="BD1368" s="6">
        <v>385.28225806451616</v>
      </c>
    </row>
    <row r="1369" spans="52:56" x14ac:dyDescent="0.25">
      <c r="AZ1369" s="6">
        <v>1366</v>
      </c>
      <c r="BA1369" s="6">
        <v>0</v>
      </c>
      <c r="BB1369" s="6">
        <v>0</v>
      </c>
      <c r="BC1369" s="6">
        <v>525</v>
      </c>
      <c r="BD1369" s="6">
        <v>385.56451612903231</v>
      </c>
    </row>
    <row r="1370" spans="52:56" x14ac:dyDescent="0.25">
      <c r="AZ1370" s="6">
        <v>1367</v>
      </c>
      <c r="BA1370" s="6">
        <v>0</v>
      </c>
      <c r="BB1370" s="6">
        <v>0</v>
      </c>
      <c r="BC1370" s="6">
        <v>525</v>
      </c>
      <c r="BD1370" s="6">
        <v>385.84677419354841</v>
      </c>
    </row>
    <row r="1371" spans="52:56" x14ac:dyDescent="0.25">
      <c r="AZ1371" s="6">
        <v>1368</v>
      </c>
      <c r="BA1371" s="6">
        <v>0</v>
      </c>
      <c r="BB1371" s="6">
        <v>0</v>
      </c>
      <c r="BC1371" s="6">
        <v>525</v>
      </c>
      <c r="BD1371" s="6">
        <v>386.12903225806457</v>
      </c>
    </row>
    <row r="1372" spans="52:56" x14ac:dyDescent="0.25">
      <c r="AZ1372" s="6">
        <v>1369</v>
      </c>
      <c r="BA1372" s="6">
        <v>0</v>
      </c>
      <c r="BB1372" s="6">
        <v>0</v>
      </c>
      <c r="BC1372" s="6">
        <v>525</v>
      </c>
      <c r="BD1372" s="6">
        <v>386.41129032258067</v>
      </c>
    </row>
    <row r="1373" spans="52:56" x14ac:dyDescent="0.25">
      <c r="AZ1373" s="6">
        <v>1370</v>
      </c>
      <c r="BA1373" s="6">
        <v>0</v>
      </c>
      <c r="BB1373" s="6">
        <v>0</v>
      </c>
      <c r="BC1373" s="6">
        <v>525</v>
      </c>
      <c r="BD1373" s="6">
        <v>386.69354838709683</v>
      </c>
    </row>
    <row r="1374" spans="52:56" x14ac:dyDescent="0.25">
      <c r="AZ1374" s="6">
        <v>1371</v>
      </c>
      <c r="BA1374" s="6">
        <v>0</v>
      </c>
      <c r="BB1374" s="6">
        <v>0</v>
      </c>
      <c r="BC1374" s="6">
        <v>525</v>
      </c>
      <c r="BD1374" s="6">
        <v>386.97580645161293</v>
      </c>
    </row>
    <row r="1375" spans="52:56" x14ac:dyDescent="0.25">
      <c r="AZ1375" s="6">
        <v>1372</v>
      </c>
      <c r="BA1375" s="6">
        <v>0</v>
      </c>
      <c r="BB1375" s="6">
        <v>0</v>
      </c>
      <c r="BC1375" s="6">
        <v>525</v>
      </c>
      <c r="BD1375" s="6">
        <v>387.25806451612908</v>
      </c>
    </row>
    <row r="1376" spans="52:56" x14ac:dyDescent="0.25">
      <c r="AZ1376" s="6">
        <v>1373</v>
      </c>
      <c r="BA1376" s="6">
        <v>0</v>
      </c>
      <c r="BB1376" s="6">
        <v>0</v>
      </c>
      <c r="BC1376" s="6">
        <v>525</v>
      </c>
      <c r="BD1376" s="6">
        <v>387.54032258064518</v>
      </c>
    </row>
    <row r="1377" spans="52:56" x14ac:dyDescent="0.25">
      <c r="AZ1377" s="6">
        <v>1374</v>
      </c>
      <c r="BA1377" s="6">
        <v>0</v>
      </c>
      <c r="BB1377" s="6">
        <v>0</v>
      </c>
      <c r="BC1377" s="6">
        <v>525</v>
      </c>
      <c r="BD1377" s="6">
        <v>387.82258064516134</v>
      </c>
    </row>
    <row r="1378" spans="52:56" x14ac:dyDescent="0.25">
      <c r="AZ1378" s="6">
        <v>1375</v>
      </c>
      <c r="BA1378" s="6">
        <v>0</v>
      </c>
      <c r="BB1378" s="6">
        <v>0</v>
      </c>
      <c r="BC1378" s="6">
        <v>525</v>
      </c>
      <c r="BD1378" s="6">
        <v>388.10483870967744</v>
      </c>
    </row>
    <row r="1379" spans="52:56" x14ac:dyDescent="0.25">
      <c r="AZ1379" s="6">
        <v>1376</v>
      </c>
      <c r="BA1379" s="6">
        <v>0</v>
      </c>
      <c r="BB1379" s="6">
        <v>0</v>
      </c>
      <c r="BC1379" s="6">
        <v>525</v>
      </c>
      <c r="BD1379" s="6">
        <v>388.38709677419359</v>
      </c>
    </row>
    <row r="1380" spans="52:56" x14ac:dyDescent="0.25">
      <c r="AZ1380" s="6">
        <v>1377</v>
      </c>
      <c r="BA1380" s="6">
        <v>0</v>
      </c>
      <c r="BB1380" s="6">
        <v>0</v>
      </c>
      <c r="BC1380" s="6">
        <v>525</v>
      </c>
      <c r="BD1380" s="6">
        <v>388.66935483870969</v>
      </c>
    </row>
    <row r="1381" spans="52:56" x14ac:dyDescent="0.25">
      <c r="AZ1381" s="6">
        <v>1378</v>
      </c>
      <c r="BA1381" s="6">
        <v>0</v>
      </c>
      <c r="BB1381" s="6">
        <v>0</v>
      </c>
      <c r="BC1381" s="6">
        <v>525</v>
      </c>
      <c r="BD1381" s="6">
        <v>388.95161290322585</v>
      </c>
    </row>
    <row r="1382" spans="52:56" x14ac:dyDescent="0.25">
      <c r="AZ1382" s="6">
        <v>1379</v>
      </c>
      <c r="BA1382" s="6">
        <v>0</v>
      </c>
      <c r="BB1382" s="6">
        <v>0</v>
      </c>
      <c r="BC1382" s="6">
        <v>525</v>
      </c>
      <c r="BD1382" s="6">
        <v>389.23387096774195</v>
      </c>
    </row>
    <row r="1383" spans="52:56" x14ac:dyDescent="0.25">
      <c r="AZ1383" s="6">
        <v>1380</v>
      </c>
      <c r="BA1383" s="6">
        <v>0</v>
      </c>
      <c r="BB1383" s="6">
        <v>0</v>
      </c>
      <c r="BC1383" s="6">
        <v>525</v>
      </c>
      <c r="BD1383" s="6">
        <v>389.51612903225811</v>
      </c>
    </row>
    <row r="1384" spans="52:56" x14ac:dyDescent="0.25">
      <c r="AZ1384" s="6">
        <v>1381</v>
      </c>
      <c r="BA1384" s="6">
        <v>0</v>
      </c>
      <c r="BB1384" s="6">
        <v>0</v>
      </c>
      <c r="BC1384" s="6">
        <v>525</v>
      </c>
      <c r="BD1384" s="6">
        <v>389.79838709677421</v>
      </c>
    </row>
    <row r="1385" spans="52:56" x14ac:dyDescent="0.25">
      <c r="AZ1385" s="6">
        <v>1382</v>
      </c>
      <c r="BA1385" s="6">
        <v>0</v>
      </c>
      <c r="BB1385" s="6">
        <v>0</v>
      </c>
      <c r="BC1385" s="6">
        <v>525</v>
      </c>
      <c r="BD1385" s="6">
        <v>390.08064516129036</v>
      </c>
    </row>
    <row r="1386" spans="52:56" x14ac:dyDescent="0.25">
      <c r="AZ1386" s="6">
        <v>1383</v>
      </c>
      <c r="BA1386" s="6">
        <v>0</v>
      </c>
      <c r="BB1386" s="6">
        <v>0</v>
      </c>
      <c r="BC1386" s="6">
        <v>525</v>
      </c>
      <c r="BD1386" s="6">
        <v>390.36290322580646</v>
      </c>
    </row>
    <row r="1387" spans="52:56" x14ac:dyDescent="0.25">
      <c r="AZ1387" s="6">
        <v>1384</v>
      </c>
      <c r="BA1387" s="6">
        <v>0</v>
      </c>
      <c r="BB1387" s="6">
        <v>0</v>
      </c>
      <c r="BC1387" s="6">
        <v>525</v>
      </c>
      <c r="BD1387" s="6">
        <v>390.64516129032262</v>
      </c>
    </row>
    <row r="1388" spans="52:56" x14ac:dyDescent="0.25">
      <c r="AZ1388" s="6">
        <v>1385</v>
      </c>
      <c r="BA1388" s="6">
        <v>0</v>
      </c>
      <c r="BB1388" s="6">
        <v>0</v>
      </c>
      <c r="BC1388" s="6">
        <v>525</v>
      </c>
      <c r="BD1388" s="6">
        <v>390.92741935483872</v>
      </c>
    </row>
    <row r="1389" spans="52:56" x14ac:dyDescent="0.25">
      <c r="AZ1389" s="6">
        <v>1386</v>
      </c>
      <c r="BA1389" s="6">
        <v>0</v>
      </c>
      <c r="BB1389" s="6">
        <v>0</v>
      </c>
      <c r="BC1389" s="6">
        <v>525</v>
      </c>
      <c r="BD1389" s="6">
        <v>391.20967741935488</v>
      </c>
    </row>
    <row r="1390" spans="52:56" x14ac:dyDescent="0.25">
      <c r="AZ1390" s="6">
        <v>1387</v>
      </c>
      <c r="BA1390" s="6">
        <v>0</v>
      </c>
      <c r="BB1390" s="6">
        <v>0</v>
      </c>
      <c r="BC1390" s="6">
        <v>525</v>
      </c>
      <c r="BD1390" s="6">
        <v>391.49193548387103</v>
      </c>
    </row>
    <row r="1391" spans="52:56" x14ac:dyDescent="0.25">
      <c r="AZ1391" s="6">
        <v>1388</v>
      </c>
      <c r="BA1391" s="6">
        <v>0</v>
      </c>
      <c r="BB1391" s="6">
        <v>0</v>
      </c>
      <c r="BC1391" s="6">
        <v>525</v>
      </c>
      <c r="BD1391" s="6">
        <v>391.77419354838713</v>
      </c>
    </row>
    <row r="1392" spans="52:56" x14ac:dyDescent="0.25">
      <c r="AZ1392" s="6">
        <v>1389</v>
      </c>
      <c r="BA1392" s="6">
        <v>0</v>
      </c>
      <c r="BB1392" s="6">
        <v>0</v>
      </c>
      <c r="BC1392" s="6">
        <v>525</v>
      </c>
      <c r="BD1392" s="6">
        <v>392.05645161290329</v>
      </c>
    </row>
    <row r="1393" spans="52:56" x14ac:dyDescent="0.25">
      <c r="AZ1393" s="6">
        <v>1390</v>
      </c>
      <c r="BA1393" s="6">
        <v>0</v>
      </c>
      <c r="BB1393" s="6">
        <v>0</v>
      </c>
      <c r="BC1393" s="6">
        <v>525</v>
      </c>
      <c r="BD1393" s="6">
        <v>392.33870967741939</v>
      </c>
    </row>
    <row r="1394" spans="52:56" x14ac:dyDescent="0.25">
      <c r="AZ1394" s="6">
        <v>1391</v>
      </c>
      <c r="BA1394" s="6">
        <v>0</v>
      </c>
      <c r="BB1394" s="6">
        <v>0</v>
      </c>
      <c r="BC1394" s="6">
        <v>525</v>
      </c>
      <c r="BD1394" s="6">
        <v>392.62096774193554</v>
      </c>
    </row>
    <row r="1395" spans="52:56" x14ac:dyDescent="0.25">
      <c r="AZ1395" s="6">
        <v>1392</v>
      </c>
      <c r="BA1395" s="6">
        <v>0</v>
      </c>
      <c r="BB1395" s="6">
        <v>0</v>
      </c>
      <c r="BC1395" s="6">
        <v>525</v>
      </c>
      <c r="BD1395" s="6">
        <v>392.90322580645164</v>
      </c>
    </row>
    <row r="1396" spans="52:56" x14ac:dyDescent="0.25">
      <c r="AZ1396" s="6">
        <v>1393</v>
      </c>
      <c r="BA1396" s="6">
        <v>0</v>
      </c>
      <c r="BB1396" s="6">
        <v>0</v>
      </c>
      <c r="BC1396" s="6">
        <v>525</v>
      </c>
      <c r="BD1396" s="6">
        <v>393.1854838709678</v>
      </c>
    </row>
    <row r="1397" spans="52:56" x14ac:dyDescent="0.25">
      <c r="AZ1397" s="6">
        <v>1394</v>
      </c>
      <c r="BA1397" s="6">
        <v>0</v>
      </c>
      <c r="BB1397" s="6">
        <v>0</v>
      </c>
      <c r="BC1397" s="6">
        <v>525</v>
      </c>
      <c r="BD1397" s="6">
        <v>393.4677419354839</v>
      </c>
    </row>
    <row r="1398" spans="52:56" x14ac:dyDescent="0.25">
      <c r="AZ1398" s="6">
        <v>1395</v>
      </c>
      <c r="BA1398" s="6">
        <v>0</v>
      </c>
      <c r="BB1398" s="6">
        <v>0</v>
      </c>
      <c r="BC1398" s="6">
        <v>525</v>
      </c>
      <c r="BD1398" s="6">
        <v>393.75000000000006</v>
      </c>
    </row>
    <row r="1399" spans="52:56" x14ac:dyDescent="0.25">
      <c r="AZ1399" s="6">
        <v>1396</v>
      </c>
      <c r="BA1399" s="6">
        <v>0</v>
      </c>
      <c r="BB1399" s="6">
        <v>0</v>
      </c>
      <c r="BC1399" s="6">
        <v>525</v>
      </c>
      <c r="BD1399" s="6">
        <v>394.03225806451616</v>
      </c>
    </row>
    <row r="1400" spans="52:56" x14ac:dyDescent="0.25">
      <c r="AZ1400" s="6">
        <v>1397</v>
      </c>
      <c r="BA1400" s="6">
        <v>0</v>
      </c>
      <c r="BB1400" s="6">
        <v>0</v>
      </c>
      <c r="BC1400" s="6">
        <v>525</v>
      </c>
      <c r="BD1400" s="6">
        <v>394.31451612903231</v>
      </c>
    </row>
    <row r="1401" spans="52:56" x14ac:dyDescent="0.25">
      <c r="AZ1401" s="6">
        <v>1398</v>
      </c>
      <c r="BA1401" s="6">
        <v>0</v>
      </c>
      <c r="BB1401" s="6">
        <v>0</v>
      </c>
      <c r="BC1401" s="6">
        <v>525</v>
      </c>
      <c r="BD1401" s="6">
        <v>394.59677419354841</v>
      </c>
    </row>
    <row r="1402" spans="52:56" x14ac:dyDescent="0.25">
      <c r="AZ1402" s="6">
        <v>1399</v>
      </c>
      <c r="BA1402" s="6">
        <v>0</v>
      </c>
      <c r="BB1402" s="6">
        <v>0</v>
      </c>
      <c r="BC1402" s="6">
        <v>525</v>
      </c>
      <c r="BD1402" s="6">
        <v>394.87903225806457</v>
      </c>
    </row>
    <row r="1403" spans="52:56" x14ac:dyDescent="0.25">
      <c r="AZ1403" s="6">
        <v>1400</v>
      </c>
      <c r="BA1403" s="6">
        <v>0</v>
      </c>
      <c r="BB1403" s="6">
        <v>0</v>
      </c>
      <c r="BC1403" s="6">
        <v>525</v>
      </c>
      <c r="BD1403" s="6">
        <v>395.16129032258067</v>
      </c>
    </row>
    <row r="1404" spans="52:56" x14ac:dyDescent="0.25">
      <c r="AZ1404" s="6">
        <v>1401</v>
      </c>
      <c r="BA1404" s="6">
        <v>0</v>
      </c>
      <c r="BB1404" s="6">
        <v>0</v>
      </c>
      <c r="BC1404" s="6">
        <v>525</v>
      </c>
      <c r="BD1404" s="6">
        <v>395.44354838709683</v>
      </c>
    </row>
    <row r="1405" spans="52:56" x14ac:dyDescent="0.25">
      <c r="AZ1405" s="6">
        <v>1402</v>
      </c>
      <c r="BA1405" s="6">
        <v>0</v>
      </c>
      <c r="BB1405" s="6">
        <v>0</v>
      </c>
      <c r="BC1405" s="6">
        <v>525</v>
      </c>
      <c r="BD1405" s="6">
        <v>395.72580645161293</v>
      </c>
    </row>
    <row r="1406" spans="52:56" x14ac:dyDescent="0.25">
      <c r="AZ1406" s="6">
        <v>1403</v>
      </c>
      <c r="BA1406" s="6">
        <v>0</v>
      </c>
      <c r="BB1406" s="6">
        <v>0</v>
      </c>
      <c r="BC1406" s="6">
        <v>525</v>
      </c>
      <c r="BD1406" s="6">
        <v>396.00806451612908</v>
      </c>
    </row>
    <row r="1407" spans="52:56" x14ac:dyDescent="0.25">
      <c r="AZ1407" s="6">
        <v>1404</v>
      </c>
      <c r="BA1407" s="6">
        <v>0</v>
      </c>
      <c r="BB1407" s="6">
        <v>0</v>
      </c>
      <c r="BC1407" s="6">
        <v>525</v>
      </c>
      <c r="BD1407" s="6">
        <v>396.29032258064518</v>
      </c>
    </row>
    <row r="1408" spans="52:56" x14ac:dyDescent="0.25">
      <c r="AZ1408" s="6">
        <v>1405</v>
      </c>
      <c r="BA1408" s="6">
        <v>0</v>
      </c>
      <c r="BB1408" s="6">
        <v>0</v>
      </c>
      <c r="BC1408" s="6">
        <v>525</v>
      </c>
      <c r="BD1408" s="6">
        <v>396.57258064516134</v>
      </c>
    </row>
    <row r="1409" spans="52:56" x14ac:dyDescent="0.25">
      <c r="AZ1409" s="6">
        <v>1406</v>
      </c>
      <c r="BA1409" s="6">
        <v>0</v>
      </c>
      <c r="BB1409" s="6">
        <v>0</v>
      </c>
      <c r="BC1409" s="6">
        <v>525</v>
      </c>
      <c r="BD1409" s="6">
        <v>396.85483870967744</v>
      </c>
    </row>
    <row r="1410" spans="52:56" x14ac:dyDescent="0.25">
      <c r="AZ1410" s="6">
        <v>1407</v>
      </c>
      <c r="BA1410" s="6">
        <v>0</v>
      </c>
      <c r="BB1410" s="6">
        <v>0</v>
      </c>
      <c r="BC1410" s="6">
        <v>525</v>
      </c>
      <c r="BD1410" s="6">
        <v>397.13709677419359</v>
      </c>
    </row>
    <row r="1411" spans="52:56" x14ac:dyDescent="0.25">
      <c r="AZ1411" s="6">
        <v>1408</v>
      </c>
      <c r="BA1411" s="6">
        <v>0</v>
      </c>
      <c r="BB1411" s="6">
        <v>0</v>
      </c>
      <c r="BC1411" s="6">
        <v>525</v>
      </c>
      <c r="BD1411" s="6">
        <v>397.41935483870969</v>
      </c>
    </row>
    <row r="1412" spans="52:56" x14ac:dyDescent="0.25">
      <c r="AZ1412" s="6">
        <v>1409</v>
      </c>
      <c r="BA1412" s="6">
        <v>0</v>
      </c>
      <c r="BB1412" s="6">
        <v>0</v>
      </c>
      <c r="BC1412" s="6">
        <v>525</v>
      </c>
      <c r="BD1412" s="6">
        <v>397.70161290322585</v>
      </c>
    </row>
    <row r="1413" spans="52:56" x14ac:dyDescent="0.25">
      <c r="AZ1413" s="6">
        <v>1410</v>
      </c>
      <c r="BA1413" s="6">
        <v>0</v>
      </c>
      <c r="BB1413" s="6">
        <v>0</v>
      </c>
      <c r="BC1413" s="6">
        <v>525</v>
      </c>
      <c r="BD1413" s="6">
        <v>397.98387096774195</v>
      </c>
    </row>
    <row r="1414" spans="52:56" x14ac:dyDescent="0.25">
      <c r="AZ1414" s="6">
        <v>1411</v>
      </c>
      <c r="BA1414" s="6">
        <v>0</v>
      </c>
      <c r="BB1414" s="6">
        <v>0</v>
      </c>
      <c r="BC1414" s="6">
        <v>525</v>
      </c>
      <c r="BD1414" s="6">
        <v>398.26612903225811</v>
      </c>
    </row>
    <row r="1415" spans="52:56" x14ac:dyDescent="0.25">
      <c r="AZ1415" s="6">
        <v>1412</v>
      </c>
      <c r="BA1415" s="6">
        <v>0</v>
      </c>
      <c r="BB1415" s="6">
        <v>0</v>
      </c>
      <c r="BC1415" s="6">
        <v>525</v>
      </c>
      <c r="BD1415" s="6">
        <v>398.54838709677421</v>
      </c>
    </row>
    <row r="1416" spans="52:56" x14ac:dyDescent="0.25">
      <c r="AZ1416" s="6">
        <v>1413</v>
      </c>
      <c r="BA1416" s="6">
        <v>0</v>
      </c>
      <c r="BB1416" s="6">
        <v>0</v>
      </c>
      <c r="BC1416" s="6">
        <v>525</v>
      </c>
      <c r="BD1416" s="6">
        <v>398.83064516129036</v>
      </c>
    </row>
    <row r="1417" spans="52:56" x14ac:dyDescent="0.25">
      <c r="AZ1417" s="6">
        <v>1414</v>
      </c>
      <c r="BA1417" s="6">
        <v>0</v>
      </c>
      <c r="BB1417" s="6">
        <v>0</v>
      </c>
      <c r="BC1417" s="6">
        <v>525</v>
      </c>
      <c r="BD1417" s="6">
        <v>399.11290322580646</v>
      </c>
    </row>
    <row r="1418" spans="52:56" x14ac:dyDescent="0.25">
      <c r="AZ1418" s="6">
        <v>1415</v>
      </c>
      <c r="BA1418" s="6">
        <v>0</v>
      </c>
      <c r="BB1418" s="6">
        <v>0</v>
      </c>
      <c r="BC1418" s="6">
        <v>525</v>
      </c>
      <c r="BD1418" s="6">
        <v>399.39516129032262</v>
      </c>
    </row>
    <row r="1419" spans="52:56" x14ac:dyDescent="0.25">
      <c r="AZ1419" s="6">
        <v>1416</v>
      </c>
      <c r="BA1419" s="6">
        <v>0</v>
      </c>
      <c r="BB1419" s="6">
        <v>0</v>
      </c>
      <c r="BC1419" s="6">
        <v>525</v>
      </c>
      <c r="BD1419" s="6">
        <v>399.67741935483878</v>
      </c>
    </row>
    <row r="1420" spans="52:56" x14ac:dyDescent="0.25">
      <c r="AZ1420" s="6">
        <v>1417</v>
      </c>
      <c r="BA1420" s="6">
        <v>0</v>
      </c>
      <c r="BB1420" s="6">
        <v>0</v>
      </c>
      <c r="BC1420" s="6">
        <v>525</v>
      </c>
      <c r="BD1420" s="6">
        <v>399.95967741935488</v>
      </c>
    </row>
    <row r="1421" spans="52:56" x14ac:dyDescent="0.25">
      <c r="AZ1421" s="6">
        <v>1418</v>
      </c>
      <c r="BA1421" s="6">
        <v>0</v>
      </c>
      <c r="BB1421" s="6">
        <v>0</v>
      </c>
      <c r="BC1421" s="6">
        <v>525</v>
      </c>
      <c r="BD1421" s="6">
        <v>400.24193548387103</v>
      </c>
    </row>
    <row r="1422" spans="52:56" x14ac:dyDescent="0.25">
      <c r="AZ1422" s="6">
        <v>1419</v>
      </c>
      <c r="BA1422" s="6">
        <v>0</v>
      </c>
      <c r="BB1422" s="6">
        <v>0</v>
      </c>
      <c r="BC1422" s="6">
        <v>525</v>
      </c>
      <c r="BD1422" s="6">
        <v>400.52419354838713</v>
      </c>
    </row>
    <row r="1423" spans="52:56" x14ac:dyDescent="0.25">
      <c r="AZ1423" s="6">
        <v>1420</v>
      </c>
      <c r="BA1423" s="6">
        <v>0</v>
      </c>
      <c r="BB1423" s="6">
        <v>0</v>
      </c>
      <c r="BC1423" s="6">
        <v>525</v>
      </c>
      <c r="BD1423" s="6">
        <v>400.80645161290329</v>
      </c>
    </row>
    <row r="1424" spans="52:56" x14ac:dyDescent="0.25">
      <c r="AZ1424" s="6">
        <v>1421</v>
      </c>
      <c r="BA1424" s="6">
        <v>0</v>
      </c>
      <c r="BB1424" s="6">
        <v>0</v>
      </c>
      <c r="BC1424" s="6">
        <v>525</v>
      </c>
      <c r="BD1424" s="6">
        <v>401.08870967741939</v>
      </c>
    </row>
    <row r="1425" spans="52:56" x14ac:dyDescent="0.25">
      <c r="AZ1425" s="6">
        <v>1422</v>
      </c>
      <c r="BA1425" s="6">
        <v>0</v>
      </c>
      <c r="BB1425" s="6">
        <v>0</v>
      </c>
      <c r="BC1425" s="6">
        <v>525</v>
      </c>
      <c r="BD1425" s="6">
        <v>401.37096774193554</v>
      </c>
    </row>
    <row r="1426" spans="52:56" x14ac:dyDescent="0.25">
      <c r="AZ1426" s="6">
        <v>1423</v>
      </c>
      <c r="BA1426" s="6">
        <v>0</v>
      </c>
      <c r="BB1426" s="6">
        <v>0</v>
      </c>
      <c r="BC1426" s="6">
        <v>525</v>
      </c>
      <c r="BD1426" s="6">
        <v>401.65322580645164</v>
      </c>
    </row>
    <row r="1427" spans="52:56" x14ac:dyDescent="0.25">
      <c r="AZ1427" s="6">
        <v>1424</v>
      </c>
      <c r="BA1427" s="6">
        <v>0</v>
      </c>
      <c r="BB1427" s="6">
        <v>0</v>
      </c>
      <c r="BC1427" s="6">
        <v>525</v>
      </c>
      <c r="BD1427" s="6">
        <v>401.9354838709678</v>
      </c>
    </row>
    <row r="1428" spans="52:56" x14ac:dyDescent="0.25">
      <c r="AZ1428" s="6">
        <v>1425</v>
      </c>
      <c r="BA1428" s="6">
        <v>0</v>
      </c>
      <c r="BB1428" s="6">
        <v>0</v>
      </c>
      <c r="BC1428" s="6">
        <v>525</v>
      </c>
      <c r="BD1428" s="6">
        <v>402.2177419354839</v>
      </c>
    </row>
    <row r="1429" spans="52:56" x14ac:dyDescent="0.25">
      <c r="AZ1429" s="6">
        <v>1426</v>
      </c>
      <c r="BA1429" s="6">
        <v>0</v>
      </c>
      <c r="BB1429" s="6">
        <v>0</v>
      </c>
      <c r="BC1429" s="6">
        <v>525</v>
      </c>
      <c r="BD1429" s="6">
        <v>402.50000000000006</v>
      </c>
    </row>
    <row r="1430" spans="52:56" x14ac:dyDescent="0.25">
      <c r="AZ1430" s="6">
        <v>1427</v>
      </c>
      <c r="BA1430" s="6">
        <v>0</v>
      </c>
      <c r="BB1430" s="6">
        <v>0</v>
      </c>
      <c r="BC1430" s="6">
        <v>525</v>
      </c>
      <c r="BD1430" s="6">
        <v>402.78225806451616</v>
      </c>
    </row>
    <row r="1431" spans="52:56" x14ac:dyDescent="0.25">
      <c r="AZ1431" s="6">
        <v>1428</v>
      </c>
      <c r="BA1431" s="6">
        <v>0</v>
      </c>
      <c r="BB1431" s="6">
        <v>0</v>
      </c>
      <c r="BC1431" s="6">
        <v>525</v>
      </c>
      <c r="BD1431" s="6">
        <v>403.06451612903231</v>
      </c>
    </row>
    <row r="1432" spans="52:56" x14ac:dyDescent="0.25">
      <c r="AZ1432" s="6">
        <v>1429</v>
      </c>
      <c r="BA1432" s="6">
        <v>0</v>
      </c>
      <c r="BB1432" s="6">
        <v>0</v>
      </c>
      <c r="BC1432" s="6">
        <v>525</v>
      </c>
      <c r="BD1432" s="6">
        <v>403.34677419354841</v>
      </c>
    </row>
    <row r="1433" spans="52:56" x14ac:dyDescent="0.25">
      <c r="AZ1433" s="6">
        <v>1430</v>
      </c>
      <c r="BA1433" s="6">
        <v>0</v>
      </c>
      <c r="BB1433" s="6">
        <v>0</v>
      </c>
      <c r="BC1433" s="6">
        <v>525</v>
      </c>
      <c r="BD1433" s="6">
        <v>403.62903225806457</v>
      </c>
    </row>
    <row r="1434" spans="52:56" x14ac:dyDescent="0.25">
      <c r="AZ1434" s="6">
        <v>1431</v>
      </c>
      <c r="BA1434" s="6">
        <v>0</v>
      </c>
      <c r="BB1434" s="6">
        <v>0</v>
      </c>
      <c r="BC1434" s="6">
        <v>525</v>
      </c>
      <c r="BD1434" s="6">
        <v>403.91129032258067</v>
      </c>
    </row>
    <row r="1435" spans="52:56" x14ac:dyDescent="0.25">
      <c r="AZ1435" s="6">
        <v>1432</v>
      </c>
      <c r="BA1435" s="6">
        <v>0</v>
      </c>
      <c r="BB1435" s="6">
        <v>0</v>
      </c>
      <c r="BC1435" s="6">
        <v>525</v>
      </c>
      <c r="BD1435" s="6">
        <v>404.19354838709683</v>
      </c>
    </row>
    <row r="1436" spans="52:56" x14ac:dyDescent="0.25">
      <c r="AZ1436" s="6">
        <v>1433</v>
      </c>
      <c r="BA1436" s="6">
        <v>0</v>
      </c>
      <c r="BB1436" s="6">
        <v>0</v>
      </c>
      <c r="BC1436" s="6">
        <v>525</v>
      </c>
      <c r="BD1436" s="6">
        <v>404.47580645161293</v>
      </c>
    </row>
    <row r="1437" spans="52:56" x14ac:dyDescent="0.25">
      <c r="AZ1437" s="6">
        <v>1434</v>
      </c>
      <c r="BA1437" s="6">
        <v>0</v>
      </c>
      <c r="BB1437" s="6">
        <v>0</v>
      </c>
      <c r="BC1437" s="6">
        <v>525</v>
      </c>
      <c r="BD1437" s="6">
        <v>404.75806451612908</v>
      </c>
    </row>
    <row r="1438" spans="52:56" x14ac:dyDescent="0.25">
      <c r="AZ1438" s="6">
        <v>1435</v>
      </c>
      <c r="BA1438" s="6">
        <v>0</v>
      </c>
      <c r="BB1438" s="6">
        <v>0</v>
      </c>
      <c r="BC1438" s="6">
        <v>525</v>
      </c>
      <c r="BD1438" s="6">
        <v>405.04032258064518</v>
      </c>
    </row>
    <row r="1439" spans="52:56" x14ac:dyDescent="0.25">
      <c r="AZ1439" s="6">
        <v>1436</v>
      </c>
      <c r="BA1439" s="6">
        <v>0</v>
      </c>
      <c r="BB1439" s="6">
        <v>0</v>
      </c>
      <c r="BC1439" s="6">
        <v>525</v>
      </c>
      <c r="BD1439" s="6">
        <v>405.32258064516134</v>
      </c>
    </row>
    <row r="1440" spans="52:56" x14ac:dyDescent="0.25">
      <c r="AZ1440" s="6">
        <v>1437</v>
      </c>
      <c r="BA1440" s="6">
        <v>0</v>
      </c>
      <c r="BB1440" s="6">
        <v>0</v>
      </c>
      <c r="BC1440" s="6">
        <v>525</v>
      </c>
      <c r="BD1440" s="6">
        <v>405.60483870967744</v>
      </c>
    </row>
    <row r="1441" spans="52:56" x14ac:dyDescent="0.25">
      <c r="AZ1441" s="6">
        <v>1438</v>
      </c>
      <c r="BA1441" s="6">
        <v>0</v>
      </c>
      <c r="BB1441" s="6">
        <v>0</v>
      </c>
      <c r="BC1441" s="6">
        <v>525</v>
      </c>
      <c r="BD1441" s="6">
        <v>405.88709677419359</v>
      </c>
    </row>
    <row r="1442" spans="52:56" x14ac:dyDescent="0.25">
      <c r="AZ1442" s="6">
        <v>1439</v>
      </c>
      <c r="BA1442" s="6">
        <v>0</v>
      </c>
      <c r="BB1442" s="6">
        <v>0</v>
      </c>
      <c r="BC1442" s="6">
        <v>525</v>
      </c>
      <c r="BD1442" s="6">
        <v>406.16935483870969</v>
      </c>
    </row>
    <row r="1443" spans="52:56" x14ac:dyDescent="0.25">
      <c r="AZ1443" s="6">
        <v>1440</v>
      </c>
      <c r="BA1443" s="6">
        <v>0</v>
      </c>
      <c r="BB1443" s="6">
        <v>0</v>
      </c>
      <c r="BC1443" s="6">
        <v>525</v>
      </c>
      <c r="BD1443" s="6">
        <v>406.45161290322585</v>
      </c>
    </row>
    <row r="1444" spans="52:56" x14ac:dyDescent="0.25">
      <c r="AZ1444" s="6">
        <v>1441</v>
      </c>
      <c r="BA1444" s="6">
        <v>0</v>
      </c>
      <c r="BB1444" s="6">
        <v>0</v>
      </c>
      <c r="BC1444" s="6">
        <v>525</v>
      </c>
      <c r="BD1444" s="6">
        <v>406.73387096774195</v>
      </c>
    </row>
    <row r="1445" spans="52:56" x14ac:dyDescent="0.25">
      <c r="AZ1445" s="6">
        <v>1442</v>
      </c>
      <c r="BA1445" s="6">
        <v>0</v>
      </c>
      <c r="BB1445" s="6">
        <v>0</v>
      </c>
      <c r="BC1445" s="6">
        <v>525</v>
      </c>
      <c r="BD1445" s="6">
        <v>407.01612903225811</v>
      </c>
    </row>
    <row r="1446" spans="52:56" x14ac:dyDescent="0.25">
      <c r="AZ1446" s="6">
        <v>1443</v>
      </c>
      <c r="BA1446" s="6">
        <v>0</v>
      </c>
      <c r="BB1446" s="6">
        <v>0</v>
      </c>
      <c r="BC1446" s="6">
        <v>525</v>
      </c>
      <c r="BD1446" s="6">
        <v>407.29838709677421</v>
      </c>
    </row>
    <row r="1447" spans="52:56" x14ac:dyDescent="0.25">
      <c r="AZ1447" s="6">
        <v>1444</v>
      </c>
      <c r="BA1447" s="6">
        <v>0</v>
      </c>
      <c r="BB1447" s="6">
        <v>0</v>
      </c>
      <c r="BC1447" s="6">
        <v>525</v>
      </c>
      <c r="BD1447" s="6">
        <v>407.58064516129036</v>
      </c>
    </row>
    <row r="1448" spans="52:56" x14ac:dyDescent="0.25">
      <c r="AZ1448" s="6">
        <v>1445</v>
      </c>
      <c r="BA1448" s="6">
        <v>0</v>
      </c>
      <c r="BB1448" s="6">
        <v>0</v>
      </c>
      <c r="BC1448" s="6">
        <v>525</v>
      </c>
      <c r="BD1448" s="6">
        <v>407.86290322580646</v>
      </c>
    </row>
    <row r="1449" spans="52:56" x14ac:dyDescent="0.25">
      <c r="AZ1449" s="6">
        <v>1446</v>
      </c>
      <c r="BA1449" s="6">
        <v>0</v>
      </c>
      <c r="BB1449" s="6">
        <v>0</v>
      </c>
      <c r="BC1449" s="6">
        <v>525</v>
      </c>
      <c r="BD1449" s="6">
        <v>408.14516129032262</v>
      </c>
    </row>
    <row r="1450" spans="52:56" x14ac:dyDescent="0.25">
      <c r="AZ1450" s="6">
        <v>1447</v>
      </c>
      <c r="BA1450" s="6">
        <v>0</v>
      </c>
      <c r="BB1450" s="6">
        <v>0</v>
      </c>
      <c r="BC1450" s="6">
        <v>525</v>
      </c>
      <c r="BD1450" s="6">
        <v>408.42741935483878</v>
      </c>
    </row>
    <row r="1451" spans="52:56" x14ac:dyDescent="0.25">
      <c r="AZ1451" s="6">
        <v>1448</v>
      </c>
      <c r="BA1451" s="6">
        <v>0</v>
      </c>
      <c r="BB1451" s="6">
        <v>0</v>
      </c>
      <c r="BC1451" s="6">
        <v>525</v>
      </c>
      <c r="BD1451" s="6">
        <v>408.70967741935488</v>
      </c>
    </row>
    <row r="1452" spans="52:56" x14ac:dyDescent="0.25">
      <c r="AZ1452" s="6">
        <v>1449</v>
      </c>
      <c r="BA1452" s="6">
        <v>0</v>
      </c>
      <c r="BB1452" s="6">
        <v>0</v>
      </c>
      <c r="BC1452" s="6">
        <v>525</v>
      </c>
      <c r="BD1452" s="6">
        <v>408.99193548387103</v>
      </c>
    </row>
    <row r="1453" spans="52:56" x14ac:dyDescent="0.25">
      <c r="AZ1453" s="6">
        <v>1450</v>
      </c>
      <c r="BA1453" s="6">
        <v>0</v>
      </c>
      <c r="BB1453" s="6">
        <v>0</v>
      </c>
      <c r="BC1453" s="6">
        <v>525</v>
      </c>
      <c r="BD1453" s="6">
        <v>409.27419354838713</v>
      </c>
    </row>
    <row r="1454" spans="52:56" x14ac:dyDescent="0.25">
      <c r="AZ1454" s="6">
        <v>1451</v>
      </c>
      <c r="BA1454" s="6">
        <v>0</v>
      </c>
      <c r="BB1454" s="6">
        <v>0</v>
      </c>
      <c r="BC1454" s="6">
        <v>525</v>
      </c>
      <c r="BD1454" s="6">
        <v>409.55645161290329</v>
      </c>
    </row>
    <row r="1455" spans="52:56" x14ac:dyDescent="0.25">
      <c r="AZ1455" s="6">
        <v>1452</v>
      </c>
      <c r="BA1455" s="6">
        <v>0</v>
      </c>
      <c r="BB1455" s="6">
        <v>0</v>
      </c>
      <c r="BC1455" s="6">
        <v>525</v>
      </c>
      <c r="BD1455" s="6">
        <v>409.83870967741939</v>
      </c>
    </row>
    <row r="1456" spans="52:56" x14ac:dyDescent="0.25">
      <c r="AZ1456" s="6">
        <v>1453</v>
      </c>
      <c r="BA1456" s="6">
        <v>0</v>
      </c>
      <c r="BB1456" s="6">
        <v>0</v>
      </c>
      <c r="BC1456" s="6">
        <v>525</v>
      </c>
      <c r="BD1456" s="6">
        <v>410.12096774193554</v>
      </c>
    </row>
    <row r="1457" spans="52:56" x14ac:dyDescent="0.25">
      <c r="AZ1457" s="6">
        <v>1454</v>
      </c>
      <c r="BA1457" s="6">
        <v>0</v>
      </c>
      <c r="BB1457" s="6">
        <v>0</v>
      </c>
      <c r="BC1457" s="6">
        <v>525</v>
      </c>
      <c r="BD1457" s="6">
        <v>410.40322580645164</v>
      </c>
    </row>
    <row r="1458" spans="52:56" x14ac:dyDescent="0.25">
      <c r="AZ1458" s="6">
        <v>1455</v>
      </c>
      <c r="BA1458" s="6">
        <v>0</v>
      </c>
      <c r="BB1458" s="6">
        <v>0</v>
      </c>
      <c r="BC1458" s="6">
        <v>525</v>
      </c>
      <c r="BD1458" s="6">
        <v>410.6854838709678</v>
      </c>
    </row>
    <row r="1459" spans="52:56" x14ac:dyDescent="0.25">
      <c r="AZ1459" s="6">
        <v>1456</v>
      </c>
      <c r="BA1459" s="6">
        <v>0</v>
      </c>
      <c r="BB1459" s="6">
        <v>0</v>
      </c>
      <c r="BC1459" s="6">
        <v>525</v>
      </c>
      <c r="BD1459" s="6">
        <v>410.9677419354839</v>
      </c>
    </row>
    <row r="1460" spans="52:56" x14ac:dyDescent="0.25">
      <c r="AZ1460" s="6">
        <v>1457</v>
      </c>
      <c r="BA1460" s="6">
        <v>0</v>
      </c>
      <c r="BB1460" s="6">
        <v>0</v>
      </c>
      <c r="BC1460" s="6">
        <v>525</v>
      </c>
      <c r="BD1460" s="6">
        <v>411.25000000000006</v>
      </c>
    </row>
    <row r="1461" spans="52:56" x14ac:dyDescent="0.25">
      <c r="AZ1461" s="6">
        <v>1458</v>
      </c>
      <c r="BA1461" s="6">
        <v>0</v>
      </c>
      <c r="BB1461" s="6">
        <v>0</v>
      </c>
      <c r="BC1461" s="6">
        <v>525</v>
      </c>
      <c r="BD1461" s="6">
        <v>411.53225806451616</v>
      </c>
    </row>
    <row r="1462" spans="52:56" x14ac:dyDescent="0.25">
      <c r="AZ1462" s="6">
        <v>1459</v>
      </c>
      <c r="BA1462" s="6">
        <v>0</v>
      </c>
      <c r="BB1462" s="6">
        <v>0</v>
      </c>
      <c r="BC1462" s="6">
        <v>525</v>
      </c>
      <c r="BD1462" s="6">
        <v>411.81451612903231</v>
      </c>
    </row>
    <row r="1463" spans="52:56" x14ac:dyDescent="0.25">
      <c r="AZ1463" s="6">
        <v>1460</v>
      </c>
      <c r="BA1463" s="6">
        <v>0</v>
      </c>
      <c r="BB1463" s="6">
        <v>0</v>
      </c>
      <c r="BC1463" s="6">
        <v>525</v>
      </c>
      <c r="BD1463" s="6">
        <v>412.09677419354841</v>
      </c>
    </row>
    <row r="1464" spans="52:56" x14ac:dyDescent="0.25">
      <c r="AZ1464" s="6">
        <v>1461</v>
      </c>
      <c r="BA1464" s="6">
        <v>0</v>
      </c>
      <c r="BB1464" s="6">
        <v>0</v>
      </c>
      <c r="BC1464" s="6">
        <v>525</v>
      </c>
      <c r="BD1464" s="6">
        <v>412.37903225806457</v>
      </c>
    </row>
    <row r="1465" spans="52:56" x14ac:dyDescent="0.25">
      <c r="AZ1465" s="6">
        <v>1462</v>
      </c>
      <c r="BA1465" s="6">
        <v>0</v>
      </c>
      <c r="BB1465" s="6">
        <v>0</v>
      </c>
      <c r="BC1465" s="6">
        <v>525</v>
      </c>
      <c r="BD1465" s="6">
        <v>412.66129032258067</v>
      </c>
    </row>
    <row r="1466" spans="52:56" x14ac:dyDescent="0.25">
      <c r="AZ1466" s="6">
        <v>1463</v>
      </c>
      <c r="BA1466" s="6">
        <v>0</v>
      </c>
      <c r="BB1466" s="6">
        <v>0</v>
      </c>
      <c r="BC1466" s="6">
        <v>525</v>
      </c>
      <c r="BD1466" s="6">
        <v>412.94354838709683</v>
      </c>
    </row>
    <row r="1467" spans="52:56" x14ac:dyDescent="0.25">
      <c r="AZ1467" s="6">
        <v>1464</v>
      </c>
      <c r="BA1467" s="6">
        <v>0</v>
      </c>
      <c r="BB1467" s="6">
        <v>0</v>
      </c>
      <c r="BC1467" s="6">
        <v>525</v>
      </c>
      <c r="BD1467" s="6">
        <v>413.22580645161293</v>
      </c>
    </row>
    <row r="1468" spans="52:56" x14ac:dyDescent="0.25">
      <c r="AZ1468" s="6">
        <v>1465</v>
      </c>
      <c r="BA1468" s="6">
        <v>0</v>
      </c>
      <c r="BB1468" s="6">
        <v>0</v>
      </c>
      <c r="BC1468" s="6">
        <v>525</v>
      </c>
      <c r="BD1468" s="6">
        <v>413.50806451612908</v>
      </c>
    </row>
    <row r="1469" spans="52:56" x14ac:dyDescent="0.25">
      <c r="AZ1469" s="6">
        <v>1466</v>
      </c>
      <c r="BA1469" s="6">
        <v>0</v>
      </c>
      <c r="BB1469" s="6">
        <v>0</v>
      </c>
      <c r="BC1469" s="6">
        <v>525</v>
      </c>
      <c r="BD1469" s="6">
        <v>413.79032258064518</v>
      </c>
    </row>
    <row r="1470" spans="52:56" x14ac:dyDescent="0.25">
      <c r="AZ1470" s="6">
        <v>1467</v>
      </c>
      <c r="BA1470" s="6">
        <v>0</v>
      </c>
      <c r="BB1470" s="6">
        <v>0</v>
      </c>
      <c r="BC1470" s="6">
        <v>525</v>
      </c>
      <c r="BD1470" s="6">
        <v>414.07258064516134</v>
      </c>
    </row>
    <row r="1471" spans="52:56" x14ac:dyDescent="0.25">
      <c r="AZ1471" s="6">
        <v>1468</v>
      </c>
      <c r="BA1471" s="6">
        <v>0</v>
      </c>
      <c r="BB1471" s="6">
        <v>0</v>
      </c>
      <c r="BC1471" s="6">
        <v>525</v>
      </c>
      <c r="BD1471" s="6">
        <v>414.35483870967744</v>
      </c>
    </row>
    <row r="1472" spans="52:56" x14ac:dyDescent="0.25">
      <c r="AZ1472" s="6">
        <v>1469</v>
      </c>
      <c r="BA1472" s="6">
        <v>0</v>
      </c>
      <c r="BB1472" s="6">
        <v>0</v>
      </c>
      <c r="BC1472" s="6">
        <v>525</v>
      </c>
      <c r="BD1472" s="6">
        <v>414.63709677419359</v>
      </c>
    </row>
    <row r="1473" spans="52:56" x14ac:dyDescent="0.25">
      <c r="AZ1473" s="6">
        <v>1470</v>
      </c>
      <c r="BA1473" s="6">
        <v>0</v>
      </c>
      <c r="BB1473" s="6">
        <v>0</v>
      </c>
      <c r="BC1473" s="6">
        <v>525</v>
      </c>
      <c r="BD1473" s="6">
        <v>414.91935483870969</v>
      </c>
    </row>
    <row r="1474" spans="52:56" x14ac:dyDescent="0.25">
      <c r="AZ1474" s="6">
        <v>1471</v>
      </c>
      <c r="BA1474" s="6">
        <v>0</v>
      </c>
      <c r="BB1474" s="6">
        <v>0</v>
      </c>
      <c r="BC1474" s="6">
        <v>525</v>
      </c>
      <c r="BD1474" s="6">
        <v>415.20161290322585</v>
      </c>
    </row>
    <row r="1475" spans="52:56" x14ac:dyDescent="0.25">
      <c r="AZ1475" s="6">
        <v>1472</v>
      </c>
      <c r="BA1475" s="6">
        <v>0</v>
      </c>
      <c r="BB1475" s="6">
        <v>0</v>
      </c>
      <c r="BC1475" s="6">
        <v>525</v>
      </c>
      <c r="BD1475" s="6">
        <v>415.48387096774195</v>
      </c>
    </row>
    <row r="1476" spans="52:56" x14ac:dyDescent="0.25">
      <c r="AZ1476" s="6">
        <v>1473</v>
      </c>
      <c r="BA1476" s="6">
        <v>0</v>
      </c>
      <c r="BB1476" s="6">
        <v>0</v>
      </c>
      <c r="BC1476" s="6">
        <v>525</v>
      </c>
      <c r="BD1476" s="6">
        <v>415.76612903225811</v>
      </c>
    </row>
    <row r="1477" spans="52:56" x14ac:dyDescent="0.25">
      <c r="AZ1477" s="6">
        <v>1474</v>
      </c>
      <c r="BA1477" s="6">
        <v>0</v>
      </c>
      <c r="BB1477" s="6">
        <v>0</v>
      </c>
      <c r="BC1477" s="6">
        <v>525</v>
      </c>
      <c r="BD1477" s="6">
        <v>416.04838709677421</v>
      </c>
    </row>
    <row r="1478" spans="52:56" x14ac:dyDescent="0.25">
      <c r="AZ1478" s="6">
        <v>1475</v>
      </c>
      <c r="BA1478" s="6">
        <v>0</v>
      </c>
      <c r="BB1478" s="6">
        <v>0</v>
      </c>
      <c r="BC1478" s="6">
        <v>525</v>
      </c>
      <c r="BD1478" s="6">
        <v>416.33064516129036</v>
      </c>
    </row>
    <row r="1479" spans="52:56" x14ac:dyDescent="0.25">
      <c r="AZ1479" s="6">
        <v>1476</v>
      </c>
      <c r="BA1479" s="6">
        <v>0</v>
      </c>
      <c r="BB1479" s="6">
        <v>0</v>
      </c>
      <c r="BC1479" s="6">
        <v>525</v>
      </c>
      <c r="BD1479" s="6">
        <v>416.61290322580652</v>
      </c>
    </row>
    <row r="1480" spans="52:56" x14ac:dyDescent="0.25">
      <c r="AZ1480" s="6">
        <v>1477</v>
      </c>
      <c r="BA1480" s="6">
        <v>0</v>
      </c>
      <c r="BB1480" s="6">
        <v>0</v>
      </c>
      <c r="BC1480" s="6">
        <v>525</v>
      </c>
      <c r="BD1480" s="6">
        <v>416.89516129032262</v>
      </c>
    </row>
    <row r="1481" spans="52:56" x14ac:dyDescent="0.25">
      <c r="AZ1481" s="6">
        <v>1478</v>
      </c>
      <c r="BA1481" s="6">
        <v>0</v>
      </c>
      <c r="BB1481" s="6">
        <v>0</v>
      </c>
      <c r="BC1481" s="6">
        <v>525</v>
      </c>
      <c r="BD1481" s="6">
        <v>417.17741935483878</v>
      </c>
    </row>
    <row r="1482" spans="52:56" x14ac:dyDescent="0.25">
      <c r="AZ1482" s="6">
        <v>1479</v>
      </c>
      <c r="BA1482" s="6">
        <v>0</v>
      </c>
      <c r="BB1482" s="6">
        <v>0</v>
      </c>
      <c r="BC1482" s="6">
        <v>525</v>
      </c>
      <c r="BD1482" s="6">
        <v>417.45967741935488</v>
      </c>
    </row>
    <row r="1483" spans="52:56" x14ac:dyDescent="0.25">
      <c r="AZ1483" s="6">
        <v>1480</v>
      </c>
      <c r="BA1483" s="6">
        <v>0</v>
      </c>
      <c r="BB1483" s="6">
        <v>0</v>
      </c>
      <c r="BC1483" s="6">
        <v>525</v>
      </c>
      <c r="BD1483" s="6">
        <v>417.74193548387103</v>
      </c>
    </row>
    <row r="1484" spans="52:56" x14ac:dyDescent="0.25">
      <c r="AZ1484" s="6">
        <v>1481</v>
      </c>
      <c r="BA1484" s="6">
        <v>0</v>
      </c>
      <c r="BB1484" s="6">
        <v>0</v>
      </c>
      <c r="BC1484" s="6">
        <v>525</v>
      </c>
      <c r="BD1484" s="6">
        <v>418.02419354838713</v>
      </c>
    </row>
    <row r="1485" spans="52:56" x14ac:dyDescent="0.25">
      <c r="AZ1485" s="6">
        <v>1482</v>
      </c>
      <c r="BA1485" s="6">
        <v>0</v>
      </c>
      <c r="BB1485" s="6">
        <v>0</v>
      </c>
      <c r="BC1485" s="6">
        <v>525</v>
      </c>
      <c r="BD1485" s="6">
        <v>418.30645161290329</v>
      </c>
    </row>
    <row r="1486" spans="52:56" x14ac:dyDescent="0.25">
      <c r="AZ1486" s="6">
        <v>1483</v>
      </c>
      <c r="BA1486" s="6">
        <v>0</v>
      </c>
      <c r="BB1486" s="6">
        <v>0</v>
      </c>
      <c r="BC1486" s="6">
        <v>525</v>
      </c>
      <c r="BD1486" s="6">
        <v>418.58870967741939</v>
      </c>
    </row>
    <row r="1487" spans="52:56" x14ac:dyDescent="0.25">
      <c r="AZ1487" s="6">
        <v>1484</v>
      </c>
      <c r="BA1487" s="6">
        <v>0</v>
      </c>
      <c r="BB1487" s="6">
        <v>0</v>
      </c>
      <c r="BC1487" s="6">
        <v>525</v>
      </c>
      <c r="BD1487" s="6">
        <v>418.87096774193554</v>
      </c>
    </row>
    <row r="1488" spans="52:56" x14ac:dyDescent="0.25">
      <c r="AZ1488" s="6">
        <v>1485</v>
      </c>
      <c r="BA1488" s="6">
        <v>0</v>
      </c>
      <c r="BB1488" s="6">
        <v>0</v>
      </c>
      <c r="BC1488" s="6">
        <v>525</v>
      </c>
      <c r="BD1488" s="6">
        <v>419.15322580645164</v>
      </c>
    </row>
    <row r="1489" spans="52:56" x14ac:dyDescent="0.25">
      <c r="AZ1489" s="6">
        <v>1486</v>
      </c>
      <c r="BA1489" s="6">
        <v>0</v>
      </c>
      <c r="BB1489" s="6">
        <v>0</v>
      </c>
      <c r="BC1489" s="6">
        <v>525</v>
      </c>
      <c r="BD1489" s="6">
        <v>419.4354838709678</v>
      </c>
    </row>
    <row r="1490" spans="52:56" x14ac:dyDescent="0.25">
      <c r="AZ1490" s="6">
        <v>1487</v>
      </c>
      <c r="BA1490" s="6">
        <v>0</v>
      </c>
      <c r="BB1490" s="6">
        <v>0</v>
      </c>
      <c r="BC1490" s="6">
        <v>525</v>
      </c>
      <c r="BD1490" s="6">
        <v>419.7177419354839</v>
      </c>
    </row>
    <row r="1491" spans="52:56" x14ac:dyDescent="0.25">
      <c r="AZ1491" s="6">
        <v>1488</v>
      </c>
      <c r="BA1491" s="6">
        <v>0</v>
      </c>
      <c r="BB1491" s="6">
        <v>0</v>
      </c>
      <c r="BC1491" s="6">
        <v>525</v>
      </c>
      <c r="BD1491" s="6">
        <v>420.00000000000006</v>
      </c>
    </row>
    <row r="1492" spans="52:56" x14ac:dyDescent="0.25">
      <c r="AZ1492" s="5">
        <v>1489</v>
      </c>
      <c r="BA1492" s="5">
        <v>0</v>
      </c>
      <c r="BB1492" s="5">
        <v>0</v>
      </c>
      <c r="BC1492" s="5">
        <v>525</v>
      </c>
      <c r="BD1492" s="5">
        <v>420.28225806451616</v>
      </c>
    </row>
    <row r="1493" spans="52:56" x14ac:dyDescent="0.25">
      <c r="AZ1493" s="5">
        <v>1490</v>
      </c>
      <c r="BA1493" s="5">
        <v>0</v>
      </c>
      <c r="BB1493" s="5">
        <v>0</v>
      </c>
      <c r="BC1493" s="5">
        <v>525</v>
      </c>
      <c r="BD1493" s="5">
        <v>420.56451612903231</v>
      </c>
    </row>
    <row r="1494" spans="52:56" x14ac:dyDescent="0.25">
      <c r="AZ1494" s="5">
        <v>1491</v>
      </c>
      <c r="BA1494" s="5">
        <v>0</v>
      </c>
      <c r="BB1494" s="5">
        <v>0</v>
      </c>
      <c r="BC1494" s="5">
        <v>525</v>
      </c>
      <c r="BD1494" s="5">
        <v>420.84677419354841</v>
      </c>
    </row>
    <row r="1495" spans="52:56" x14ac:dyDescent="0.25">
      <c r="AZ1495" s="5">
        <v>1492</v>
      </c>
      <c r="BA1495" s="5">
        <v>0</v>
      </c>
      <c r="BB1495" s="5">
        <v>0</v>
      </c>
      <c r="BC1495" s="5">
        <v>525</v>
      </c>
      <c r="BD1495" s="5">
        <v>421.12903225806457</v>
      </c>
    </row>
    <row r="1496" spans="52:56" x14ac:dyDescent="0.25">
      <c r="AZ1496" s="5">
        <v>1493</v>
      </c>
      <c r="BA1496" s="5">
        <v>0</v>
      </c>
      <c r="BB1496" s="5">
        <v>0</v>
      </c>
      <c r="BC1496" s="5">
        <v>525</v>
      </c>
      <c r="BD1496" s="5">
        <v>421.41129032258067</v>
      </c>
    </row>
    <row r="1497" spans="52:56" x14ac:dyDescent="0.25">
      <c r="AZ1497" s="5">
        <v>1494</v>
      </c>
      <c r="BA1497" s="5">
        <v>0</v>
      </c>
      <c r="BB1497" s="5">
        <v>0</v>
      </c>
      <c r="BC1497" s="5">
        <v>525</v>
      </c>
      <c r="BD1497" s="5">
        <v>421.69354838709683</v>
      </c>
    </row>
    <row r="1498" spans="52:56" x14ac:dyDescent="0.25">
      <c r="AZ1498" s="5">
        <v>1495</v>
      </c>
      <c r="BA1498" s="5">
        <v>0</v>
      </c>
      <c r="BB1498" s="5">
        <v>0</v>
      </c>
      <c r="BC1498" s="5">
        <v>525</v>
      </c>
      <c r="BD1498" s="5">
        <v>421.97580645161293</v>
      </c>
    </row>
    <row r="1499" spans="52:56" x14ac:dyDescent="0.25">
      <c r="AZ1499" s="5">
        <v>1496</v>
      </c>
      <c r="BA1499" s="5">
        <v>0</v>
      </c>
      <c r="BB1499" s="5">
        <v>0</v>
      </c>
      <c r="BC1499" s="5">
        <v>525</v>
      </c>
      <c r="BD1499" s="5">
        <v>422.25806451612908</v>
      </c>
    </row>
    <row r="1500" spans="52:56" x14ac:dyDescent="0.25">
      <c r="AZ1500" s="5">
        <v>1497</v>
      </c>
      <c r="BA1500" s="5">
        <v>0</v>
      </c>
      <c r="BB1500" s="5">
        <v>0</v>
      </c>
      <c r="BC1500" s="5">
        <v>525</v>
      </c>
      <c r="BD1500" s="5">
        <v>422.54032258064518</v>
      </c>
    </row>
    <row r="1501" spans="52:56" x14ac:dyDescent="0.25">
      <c r="AZ1501" s="5">
        <v>1498</v>
      </c>
      <c r="BA1501" s="5">
        <v>0</v>
      </c>
      <c r="BB1501" s="5">
        <v>0</v>
      </c>
      <c r="BC1501" s="5">
        <v>525</v>
      </c>
      <c r="BD1501" s="5">
        <v>422.82258064516134</v>
      </c>
    </row>
    <row r="1502" spans="52:56" x14ac:dyDescent="0.25">
      <c r="AZ1502" s="5">
        <v>1499</v>
      </c>
      <c r="BA1502" s="5">
        <v>0</v>
      </c>
      <c r="BB1502" s="5">
        <v>0</v>
      </c>
      <c r="BC1502" s="5">
        <v>525</v>
      </c>
      <c r="BD1502" s="5">
        <v>423.10483870967744</v>
      </c>
    </row>
    <row r="1503" spans="52:56" x14ac:dyDescent="0.25">
      <c r="AZ1503" s="5">
        <v>1500</v>
      </c>
      <c r="BA1503" s="5">
        <v>0</v>
      </c>
      <c r="BB1503" s="5">
        <v>0</v>
      </c>
      <c r="BC1503" s="5">
        <v>525</v>
      </c>
      <c r="BD1503" s="5">
        <v>423.38709677419359</v>
      </c>
    </row>
    <row r="1504" spans="52:56" x14ac:dyDescent="0.25">
      <c r="AZ1504" s="5">
        <v>1501</v>
      </c>
      <c r="BA1504" s="5">
        <v>0</v>
      </c>
      <c r="BB1504" s="5">
        <v>0</v>
      </c>
      <c r="BC1504" s="5">
        <v>525</v>
      </c>
      <c r="BD1504" s="5">
        <v>423.66935483870969</v>
      </c>
    </row>
    <row r="1505" spans="52:56" x14ac:dyDescent="0.25">
      <c r="AZ1505" s="5">
        <v>1502</v>
      </c>
      <c r="BA1505" s="5">
        <v>0</v>
      </c>
      <c r="BB1505" s="5">
        <v>0</v>
      </c>
      <c r="BC1505" s="5">
        <v>525</v>
      </c>
      <c r="BD1505" s="5">
        <v>423.95161290322585</v>
      </c>
    </row>
    <row r="1506" spans="52:56" x14ac:dyDescent="0.25">
      <c r="AZ1506" s="5">
        <v>1503</v>
      </c>
      <c r="BA1506" s="5">
        <v>0</v>
      </c>
      <c r="BB1506" s="5">
        <v>0</v>
      </c>
      <c r="BC1506" s="5">
        <v>525</v>
      </c>
      <c r="BD1506" s="5">
        <v>424.23387096774195</v>
      </c>
    </row>
    <row r="1507" spans="52:56" x14ac:dyDescent="0.25">
      <c r="AZ1507" s="5">
        <v>1504</v>
      </c>
      <c r="BA1507" s="5">
        <v>0</v>
      </c>
      <c r="BB1507" s="5">
        <v>0</v>
      </c>
      <c r="BC1507" s="5">
        <v>525</v>
      </c>
      <c r="BD1507" s="5">
        <v>424.51612903225811</v>
      </c>
    </row>
    <row r="1508" spans="52:56" x14ac:dyDescent="0.25">
      <c r="AZ1508" s="5">
        <v>1505</v>
      </c>
      <c r="BA1508" s="5">
        <v>0</v>
      </c>
      <c r="BB1508" s="5">
        <v>0</v>
      </c>
      <c r="BC1508" s="5">
        <v>525</v>
      </c>
      <c r="BD1508" s="5">
        <v>424.79838709677421</v>
      </c>
    </row>
    <row r="1509" spans="52:56" x14ac:dyDescent="0.25">
      <c r="AZ1509" s="5">
        <v>1506</v>
      </c>
      <c r="BA1509" s="5">
        <v>0</v>
      </c>
      <c r="BB1509" s="5">
        <v>0</v>
      </c>
      <c r="BC1509" s="5">
        <v>525</v>
      </c>
      <c r="BD1509" s="5">
        <v>425.08064516129036</v>
      </c>
    </row>
    <row r="1510" spans="52:56" x14ac:dyDescent="0.25">
      <c r="AZ1510" s="5">
        <v>1507</v>
      </c>
      <c r="BA1510" s="5">
        <v>0</v>
      </c>
      <c r="BB1510" s="5">
        <v>0</v>
      </c>
      <c r="BC1510" s="5">
        <v>525</v>
      </c>
      <c r="BD1510" s="5">
        <v>425.36290322580652</v>
      </c>
    </row>
    <row r="1511" spans="52:56" x14ac:dyDescent="0.25">
      <c r="AZ1511" s="5">
        <v>1508</v>
      </c>
      <c r="BA1511" s="5">
        <v>0</v>
      </c>
      <c r="BB1511" s="5">
        <v>0</v>
      </c>
      <c r="BC1511" s="5">
        <v>525</v>
      </c>
      <c r="BD1511" s="5">
        <v>425.64516129032262</v>
      </c>
    </row>
    <row r="1512" spans="52:56" x14ac:dyDescent="0.25">
      <c r="AZ1512" s="5">
        <v>1509</v>
      </c>
      <c r="BA1512" s="5">
        <v>0</v>
      </c>
      <c r="BB1512" s="5">
        <v>0</v>
      </c>
      <c r="BC1512" s="5">
        <v>525</v>
      </c>
      <c r="BD1512" s="5">
        <v>425.92741935483878</v>
      </c>
    </row>
    <row r="1513" spans="52:56" x14ac:dyDescent="0.25">
      <c r="AZ1513" s="5">
        <v>1510</v>
      </c>
      <c r="BA1513" s="5">
        <v>0</v>
      </c>
      <c r="BB1513" s="5">
        <v>0</v>
      </c>
      <c r="BC1513" s="5">
        <v>525</v>
      </c>
      <c r="BD1513" s="5">
        <v>426.20967741935488</v>
      </c>
    </row>
    <row r="1514" spans="52:56" x14ac:dyDescent="0.25">
      <c r="AZ1514" s="5">
        <v>1511</v>
      </c>
      <c r="BA1514" s="5">
        <v>0</v>
      </c>
      <c r="BB1514" s="5">
        <v>0</v>
      </c>
      <c r="BC1514" s="5">
        <v>525</v>
      </c>
      <c r="BD1514" s="5">
        <v>426.49193548387103</v>
      </c>
    </row>
    <row r="1515" spans="52:56" x14ac:dyDescent="0.25">
      <c r="AZ1515" s="5">
        <v>1512</v>
      </c>
      <c r="BA1515" s="5">
        <v>0</v>
      </c>
      <c r="BB1515" s="5">
        <v>0</v>
      </c>
      <c r="BC1515" s="5">
        <v>525</v>
      </c>
      <c r="BD1515" s="5">
        <v>426.77419354838713</v>
      </c>
    </row>
    <row r="1516" spans="52:56" x14ac:dyDescent="0.25">
      <c r="AZ1516" s="5">
        <v>1513</v>
      </c>
      <c r="BA1516" s="5">
        <v>0</v>
      </c>
      <c r="BB1516" s="5">
        <v>0</v>
      </c>
      <c r="BC1516" s="5">
        <v>525</v>
      </c>
      <c r="BD1516" s="5">
        <v>427.05645161290329</v>
      </c>
    </row>
    <row r="1517" spans="52:56" x14ac:dyDescent="0.25">
      <c r="AZ1517" s="5">
        <v>1514</v>
      </c>
      <c r="BA1517" s="5">
        <v>0</v>
      </c>
      <c r="BB1517" s="5">
        <v>0</v>
      </c>
      <c r="BC1517" s="5">
        <v>525</v>
      </c>
      <c r="BD1517" s="5">
        <v>427.33870967741939</v>
      </c>
    </row>
    <row r="1518" spans="52:56" x14ac:dyDescent="0.25">
      <c r="AZ1518" s="5">
        <v>1515</v>
      </c>
      <c r="BA1518" s="5">
        <v>0</v>
      </c>
      <c r="BB1518" s="5">
        <v>0</v>
      </c>
      <c r="BC1518" s="5">
        <v>525</v>
      </c>
      <c r="BD1518" s="5">
        <v>427.62096774193554</v>
      </c>
    </row>
    <row r="1519" spans="52:56" x14ac:dyDescent="0.25">
      <c r="AZ1519" s="5">
        <v>1516</v>
      </c>
      <c r="BA1519" s="5">
        <v>0</v>
      </c>
      <c r="BB1519" s="5">
        <v>0</v>
      </c>
      <c r="BC1519" s="5">
        <v>525</v>
      </c>
      <c r="BD1519" s="5">
        <v>427.90322580645164</v>
      </c>
    </row>
    <row r="1520" spans="52:56" x14ac:dyDescent="0.25">
      <c r="AZ1520" s="5">
        <v>1517</v>
      </c>
      <c r="BA1520" s="5">
        <v>0</v>
      </c>
      <c r="BB1520" s="5">
        <v>0</v>
      </c>
      <c r="BC1520" s="5">
        <v>525</v>
      </c>
      <c r="BD1520" s="5">
        <v>428.1854838709678</v>
      </c>
    </row>
    <row r="1521" spans="52:56" x14ac:dyDescent="0.25">
      <c r="AZ1521" s="5">
        <v>1518</v>
      </c>
      <c r="BA1521" s="5">
        <v>0</v>
      </c>
      <c r="BB1521" s="5">
        <v>0</v>
      </c>
      <c r="BC1521" s="5">
        <v>525</v>
      </c>
      <c r="BD1521" s="5">
        <v>428.4677419354839</v>
      </c>
    </row>
    <row r="1522" spans="52:56" x14ac:dyDescent="0.25">
      <c r="AZ1522" s="5">
        <v>1519</v>
      </c>
      <c r="BA1522" s="5">
        <v>0</v>
      </c>
      <c r="BB1522" s="5">
        <v>0</v>
      </c>
      <c r="BC1522" s="5">
        <v>525</v>
      </c>
      <c r="BD1522" s="5">
        <v>428.75000000000006</v>
      </c>
    </row>
    <row r="1523" spans="52:56" x14ac:dyDescent="0.25">
      <c r="AZ1523" s="5">
        <v>1520</v>
      </c>
      <c r="BA1523" s="5">
        <v>0</v>
      </c>
      <c r="BB1523" s="5">
        <v>0</v>
      </c>
      <c r="BC1523" s="5">
        <v>525</v>
      </c>
      <c r="BD1523" s="5">
        <v>429.03225806451616</v>
      </c>
    </row>
    <row r="1524" spans="52:56" x14ac:dyDescent="0.25">
      <c r="AZ1524" s="5">
        <v>1521</v>
      </c>
      <c r="BA1524" s="5">
        <v>0</v>
      </c>
      <c r="BB1524" s="5">
        <v>0</v>
      </c>
      <c r="BC1524" s="5">
        <v>525</v>
      </c>
      <c r="BD1524" s="5">
        <v>429.31451612903231</v>
      </c>
    </row>
    <row r="1525" spans="52:56" x14ac:dyDescent="0.25">
      <c r="AZ1525" s="5">
        <v>1522</v>
      </c>
      <c r="BA1525" s="5">
        <v>0</v>
      </c>
      <c r="BB1525" s="5">
        <v>0</v>
      </c>
      <c r="BC1525" s="5">
        <v>525</v>
      </c>
      <c r="BD1525" s="5">
        <v>429.59677419354841</v>
      </c>
    </row>
    <row r="1526" spans="52:56" x14ac:dyDescent="0.25">
      <c r="AZ1526" s="5">
        <v>1523</v>
      </c>
      <c r="BA1526" s="5">
        <v>0</v>
      </c>
      <c r="BB1526" s="5">
        <v>0</v>
      </c>
      <c r="BC1526" s="5">
        <v>525</v>
      </c>
      <c r="BD1526" s="5">
        <v>429.87903225806457</v>
      </c>
    </row>
    <row r="1527" spans="52:56" x14ac:dyDescent="0.25">
      <c r="AZ1527" s="5">
        <v>1524</v>
      </c>
      <c r="BA1527" s="5">
        <v>0</v>
      </c>
      <c r="BB1527" s="5">
        <v>0</v>
      </c>
      <c r="BC1527" s="5">
        <v>525</v>
      </c>
      <c r="BD1527" s="5">
        <v>430.16129032258067</v>
      </c>
    </row>
    <row r="1528" spans="52:56" x14ac:dyDescent="0.25">
      <c r="AZ1528" s="5">
        <v>1525</v>
      </c>
      <c r="BA1528" s="5">
        <v>0</v>
      </c>
      <c r="BB1528" s="5">
        <v>0</v>
      </c>
      <c r="BC1528" s="5">
        <v>525</v>
      </c>
      <c r="BD1528" s="5">
        <v>430.44354838709683</v>
      </c>
    </row>
    <row r="1529" spans="52:56" x14ac:dyDescent="0.25">
      <c r="AZ1529" s="5">
        <v>1526</v>
      </c>
      <c r="BA1529" s="5">
        <v>0</v>
      </c>
      <c r="BB1529" s="5">
        <v>0</v>
      </c>
      <c r="BC1529" s="5">
        <v>525</v>
      </c>
      <c r="BD1529" s="5">
        <v>430.72580645161293</v>
      </c>
    </row>
    <row r="1530" spans="52:56" x14ac:dyDescent="0.25">
      <c r="AZ1530" s="5">
        <v>1527</v>
      </c>
      <c r="BA1530" s="5">
        <v>0</v>
      </c>
      <c r="BB1530" s="5">
        <v>0</v>
      </c>
      <c r="BC1530" s="5">
        <v>525</v>
      </c>
      <c r="BD1530" s="5">
        <v>431.00806451612908</v>
      </c>
    </row>
    <row r="1531" spans="52:56" x14ac:dyDescent="0.25">
      <c r="AZ1531" s="5">
        <v>1528</v>
      </c>
      <c r="BA1531" s="5">
        <v>0</v>
      </c>
      <c r="BB1531" s="5">
        <v>0</v>
      </c>
      <c r="BC1531" s="5">
        <v>525</v>
      </c>
      <c r="BD1531" s="5">
        <v>431.29032258064518</v>
      </c>
    </row>
    <row r="1532" spans="52:56" x14ac:dyDescent="0.25">
      <c r="AZ1532" s="5">
        <v>1529</v>
      </c>
      <c r="BA1532" s="5">
        <v>0</v>
      </c>
      <c r="BB1532" s="5">
        <v>0</v>
      </c>
      <c r="BC1532" s="5">
        <v>525</v>
      </c>
      <c r="BD1532" s="5">
        <v>431.57258064516134</v>
      </c>
    </row>
    <row r="1533" spans="52:56" x14ac:dyDescent="0.25">
      <c r="AZ1533" s="5">
        <v>1530</v>
      </c>
      <c r="BA1533" s="5">
        <v>0</v>
      </c>
      <c r="BB1533" s="5">
        <v>0</v>
      </c>
      <c r="BC1533" s="5">
        <v>525</v>
      </c>
      <c r="BD1533" s="5">
        <v>431.85483870967744</v>
      </c>
    </row>
    <row r="1534" spans="52:56" x14ac:dyDescent="0.25">
      <c r="AZ1534" s="5">
        <v>1531</v>
      </c>
      <c r="BA1534" s="5">
        <v>0</v>
      </c>
      <c r="BB1534" s="5">
        <v>0</v>
      </c>
      <c r="BC1534" s="5">
        <v>525</v>
      </c>
      <c r="BD1534" s="5">
        <v>432.13709677419359</v>
      </c>
    </row>
    <row r="1535" spans="52:56" x14ac:dyDescent="0.25">
      <c r="AZ1535" s="5">
        <v>1532</v>
      </c>
      <c r="BA1535" s="5">
        <v>0</v>
      </c>
      <c r="BB1535" s="5">
        <v>0</v>
      </c>
      <c r="BC1535" s="5">
        <v>525</v>
      </c>
      <c r="BD1535" s="5">
        <v>432.41935483870969</v>
      </c>
    </row>
    <row r="1536" spans="52:56" x14ac:dyDescent="0.25">
      <c r="AZ1536" s="5">
        <v>1533</v>
      </c>
      <c r="BA1536" s="5">
        <v>0</v>
      </c>
      <c r="BB1536" s="5">
        <v>0</v>
      </c>
      <c r="BC1536" s="5">
        <v>525</v>
      </c>
      <c r="BD1536" s="5">
        <v>432.70161290322585</v>
      </c>
    </row>
    <row r="1537" spans="52:56" x14ac:dyDescent="0.25">
      <c r="AZ1537" s="5">
        <v>1534</v>
      </c>
      <c r="BA1537" s="5">
        <v>0</v>
      </c>
      <c r="BB1537" s="5">
        <v>0</v>
      </c>
      <c r="BC1537" s="5">
        <v>525</v>
      </c>
      <c r="BD1537" s="5">
        <v>432.98387096774195</v>
      </c>
    </row>
    <row r="1538" spans="52:56" x14ac:dyDescent="0.25">
      <c r="AZ1538" s="5">
        <v>1535</v>
      </c>
      <c r="BA1538" s="5">
        <v>0</v>
      </c>
      <c r="BB1538" s="5">
        <v>0</v>
      </c>
      <c r="BC1538" s="5">
        <v>525</v>
      </c>
      <c r="BD1538" s="5">
        <v>433.26612903225811</v>
      </c>
    </row>
    <row r="1539" spans="52:56" x14ac:dyDescent="0.25">
      <c r="AZ1539" s="5">
        <v>1536</v>
      </c>
      <c r="BA1539" s="5">
        <v>0</v>
      </c>
      <c r="BB1539" s="5">
        <v>0</v>
      </c>
      <c r="BC1539" s="5">
        <v>525</v>
      </c>
      <c r="BD1539" s="5">
        <v>433.54838709677426</v>
      </c>
    </row>
    <row r="1540" spans="52:56" x14ac:dyDescent="0.25">
      <c r="AZ1540" s="5">
        <v>1537</v>
      </c>
      <c r="BA1540" s="5">
        <v>0</v>
      </c>
      <c r="BB1540" s="5">
        <v>0</v>
      </c>
      <c r="BC1540" s="5">
        <v>525</v>
      </c>
      <c r="BD1540" s="5">
        <v>433.83064516129036</v>
      </c>
    </row>
    <row r="1541" spans="52:56" x14ac:dyDescent="0.25">
      <c r="AZ1541" s="5">
        <v>1538</v>
      </c>
      <c r="BA1541" s="5">
        <v>0</v>
      </c>
      <c r="BB1541" s="5">
        <v>0</v>
      </c>
      <c r="BC1541" s="5">
        <v>525</v>
      </c>
      <c r="BD1541" s="5">
        <v>434.11290322580652</v>
      </c>
    </row>
    <row r="1542" spans="52:56" x14ac:dyDescent="0.25">
      <c r="AZ1542" s="5">
        <v>1539</v>
      </c>
      <c r="BA1542" s="5">
        <v>0</v>
      </c>
      <c r="BB1542" s="5">
        <v>0</v>
      </c>
      <c r="BC1542" s="5">
        <v>525</v>
      </c>
      <c r="BD1542" s="5">
        <v>434.39516129032262</v>
      </c>
    </row>
    <row r="1543" spans="52:56" x14ac:dyDescent="0.25">
      <c r="AZ1543" s="5">
        <v>1540</v>
      </c>
      <c r="BA1543" s="5">
        <v>0</v>
      </c>
      <c r="BB1543" s="5">
        <v>0</v>
      </c>
      <c r="BC1543" s="5">
        <v>525</v>
      </c>
      <c r="BD1543" s="5">
        <v>434.67741935483878</v>
      </c>
    </row>
    <row r="1544" spans="52:56" x14ac:dyDescent="0.25">
      <c r="AZ1544" s="5">
        <v>1541</v>
      </c>
      <c r="BA1544" s="5">
        <v>0</v>
      </c>
      <c r="BB1544" s="5">
        <v>0</v>
      </c>
      <c r="BC1544" s="5">
        <v>525</v>
      </c>
      <c r="BD1544" s="5">
        <v>434.95967741935488</v>
      </c>
    </row>
    <row r="1545" spans="52:56" x14ac:dyDescent="0.25">
      <c r="AZ1545" s="5">
        <v>1542</v>
      </c>
      <c r="BA1545" s="5">
        <v>0</v>
      </c>
      <c r="BB1545" s="5">
        <v>0</v>
      </c>
      <c r="BC1545" s="5">
        <v>525</v>
      </c>
      <c r="BD1545" s="5">
        <v>435.24193548387103</v>
      </c>
    </row>
    <row r="1546" spans="52:56" x14ac:dyDescent="0.25">
      <c r="AZ1546" s="5">
        <v>1543</v>
      </c>
      <c r="BA1546" s="5">
        <v>0</v>
      </c>
      <c r="BB1546" s="5">
        <v>0</v>
      </c>
      <c r="BC1546" s="5">
        <v>525</v>
      </c>
      <c r="BD1546" s="5">
        <v>435.52419354838713</v>
      </c>
    </row>
    <row r="1547" spans="52:56" x14ac:dyDescent="0.25">
      <c r="AZ1547" s="5">
        <v>1544</v>
      </c>
      <c r="BA1547" s="5">
        <v>0</v>
      </c>
      <c r="BB1547" s="5">
        <v>0</v>
      </c>
      <c r="BC1547" s="5">
        <v>525</v>
      </c>
      <c r="BD1547" s="5">
        <v>435.80645161290329</v>
      </c>
    </row>
    <row r="1548" spans="52:56" x14ac:dyDescent="0.25">
      <c r="AZ1548" s="5">
        <v>1545</v>
      </c>
      <c r="BA1548" s="5">
        <v>0</v>
      </c>
      <c r="BB1548" s="5">
        <v>0</v>
      </c>
      <c r="BC1548" s="5">
        <v>525</v>
      </c>
      <c r="BD1548" s="5">
        <v>436.08870967741939</v>
      </c>
    </row>
    <row r="1549" spans="52:56" x14ac:dyDescent="0.25">
      <c r="AZ1549" s="5">
        <v>1546</v>
      </c>
      <c r="BA1549" s="5">
        <v>0</v>
      </c>
      <c r="BB1549" s="5">
        <v>0</v>
      </c>
      <c r="BC1549" s="5">
        <v>525</v>
      </c>
      <c r="BD1549" s="5">
        <v>436.37096774193554</v>
      </c>
    </row>
    <row r="1550" spans="52:56" x14ac:dyDescent="0.25">
      <c r="AZ1550" s="5">
        <v>1547</v>
      </c>
      <c r="BA1550" s="5">
        <v>0</v>
      </c>
      <c r="BB1550" s="5">
        <v>0</v>
      </c>
      <c r="BC1550" s="5">
        <v>525</v>
      </c>
      <c r="BD1550" s="5">
        <v>436.65322580645164</v>
      </c>
    </row>
    <row r="1551" spans="52:56" x14ac:dyDescent="0.25">
      <c r="AZ1551" s="5">
        <v>1548</v>
      </c>
      <c r="BA1551" s="5">
        <v>0</v>
      </c>
      <c r="BB1551" s="5">
        <v>0</v>
      </c>
      <c r="BC1551" s="5">
        <v>525</v>
      </c>
      <c r="BD1551" s="5">
        <v>436.9354838709678</v>
      </c>
    </row>
    <row r="1552" spans="52:56" x14ac:dyDescent="0.25">
      <c r="AZ1552" s="5">
        <v>1549</v>
      </c>
      <c r="BA1552" s="5">
        <v>0</v>
      </c>
      <c r="BB1552" s="5">
        <v>0</v>
      </c>
      <c r="BC1552" s="5">
        <v>525</v>
      </c>
      <c r="BD1552" s="5">
        <v>437.2177419354839</v>
      </c>
    </row>
    <row r="1553" spans="52:56" x14ac:dyDescent="0.25">
      <c r="AZ1553" s="5">
        <v>1550</v>
      </c>
      <c r="BA1553" s="5">
        <v>0</v>
      </c>
      <c r="BB1553" s="5">
        <v>0</v>
      </c>
      <c r="BC1553" s="5">
        <v>525</v>
      </c>
      <c r="BD1553" s="5">
        <v>437.50000000000006</v>
      </c>
    </row>
    <row r="1554" spans="52:56" x14ac:dyDescent="0.25">
      <c r="AZ1554" s="5">
        <v>1551</v>
      </c>
      <c r="BA1554" s="5">
        <v>0</v>
      </c>
      <c r="BB1554" s="5">
        <v>0</v>
      </c>
      <c r="BC1554" s="5">
        <v>525</v>
      </c>
      <c r="BD1554" s="5">
        <v>437.78225806451616</v>
      </c>
    </row>
    <row r="1555" spans="52:56" x14ac:dyDescent="0.25">
      <c r="AZ1555" s="5">
        <v>1552</v>
      </c>
      <c r="BA1555" s="5">
        <v>0</v>
      </c>
      <c r="BB1555" s="5">
        <v>0</v>
      </c>
      <c r="BC1555" s="5">
        <v>525</v>
      </c>
      <c r="BD1555" s="5">
        <v>438.06451612903231</v>
      </c>
    </row>
    <row r="1556" spans="52:56" x14ac:dyDescent="0.25">
      <c r="AZ1556" s="5">
        <v>1553</v>
      </c>
      <c r="BA1556" s="5">
        <v>0</v>
      </c>
      <c r="BB1556" s="5">
        <v>0</v>
      </c>
      <c r="BC1556" s="5">
        <v>525</v>
      </c>
      <c r="BD1556" s="5">
        <v>438.34677419354841</v>
      </c>
    </row>
    <row r="1557" spans="52:56" x14ac:dyDescent="0.25">
      <c r="AZ1557" s="5">
        <v>1554</v>
      </c>
      <c r="BA1557" s="5">
        <v>0</v>
      </c>
      <c r="BB1557" s="5">
        <v>0</v>
      </c>
      <c r="BC1557" s="5">
        <v>525</v>
      </c>
      <c r="BD1557" s="5">
        <v>438.62903225806457</v>
      </c>
    </row>
    <row r="1558" spans="52:56" x14ac:dyDescent="0.25">
      <c r="AZ1558" s="5">
        <v>1555</v>
      </c>
      <c r="BA1558" s="5">
        <v>0</v>
      </c>
      <c r="BB1558" s="5">
        <v>0</v>
      </c>
      <c r="BC1558" s="5">
        <v>525</v>
      </c>
      <c r="BD1558" s="5">
        <v>438.91129032258067</v>
      </c>
    </row>
    <row r="1559" spans="52:56" x14ac:dyDescent="0.25">
      <c r="AZ1559" s="5">
        <v>1556</v>
      </c>
      <c r="BA1559" s="5">
        <v>0</v>
      </c>
      <c r="BB1559" s="5">
        <v>0</v>
      </c>
      <c r="BC1559" s="5">
        <v>525</v>
      </c>
      <c r="BD1559" s="5">
        <v>439.19354838709683</v>
      </c>
    </row>
    <row r="1560" spans="52:56" x14ac:dyDescent="0.25">
      <c r="AZ1560" s="5">
        <v>1557</v>
      </c>
      <c r="BA1560" s="5">
        <v>0</v>
      </c>
      <c r="BB1560" s="5">
        <v>0</v>
      </c>
      <c r="BC1560" s="5">
        <v>525</v>
      </c>
      <c r="BD1560" s="5">
        <v>439.47580645161293</v>
      </c>
    </row>
    <row r="1561" spans="52:56" x14ac:dyDescent="0.25">
      <c r="AZ1561" s="5">
        <v>1558</v>
      </c>
      <c r="BA1561" s="5">
        <v>0</v>
      </c>
      <c r="BB1561" s="5">
        <v>0</v>
      </c>
      <c r="BC1561" s="5">
        <v>525</v>
      </c>
      <c r="BD1561" s="5">
        <v>439.75806451612908</v>
      </c>
    </row>
    <row r="1562" spans="52:56" x14ac:dyDescent="0.25">
      <c r="AZ1562" s="5">
        <v>1559</v>
      </c>
      <c r="BA1562" s="5">
        <v>0</v>
      </c>
      <c r="BB1562" s="5">
        <v>0</v>
      </c>
      <c r="BC1562" s="5">
        <v>525</v>
      </c>
      <c r="BD1562" s="5">
        <v>440.04032258064518</v>
      </c>
    </row>
    <row r="1563" spans="52:56" x14ac:dyDescent="0.25">
      <c r="AZ1563" s="5">
        <v>1560</v>
      </c>
      <c r="BA1563" s="5">
        <v>0</v>
      </c>
      <c r="BB1563" s="5">
        <v>0</v>
      </c>
      <c r="BC1563" s="5">
        <v>525</v>
      </c>
      <c r="BD1563" s="5">
        <v>440.32258064516134</v>
      </c>
    </row>
    <row r="1564" spans="52:56" x14ac:dyDescent="0.25">
      <c r="AZ1564" s="5">
        <v>1561</v>
      </c>
      <c r="BA1564" s="5">
        <v>0</v>
      </c>
      <c r="BB1564" s="5">
        <v>0</v>
      </c>
      <c r="BC1564" s="5">
        <v>525</v>
      </c>
      <c r="BD1564" s="5">
        <v>440.60483870967744</v>
      </c>
    </row>
    <row r="1565" spans="52:56" x14ac:dyDescent="0.25">
      <c r="AZ1565" s="5">
        <v>1562</v>
      </c>
      <c r="BA1565" s="5">
        <v>0</v>
      </c>
      <c r="BB1565" s="5">
        <v>0</v>
      </c>
      <c r="BC1565" s="5">
        <v>525</v>
      </c>
      <c r="BD1565" s="5">
        <v>440.88709677419359</v>
      </c>
    </row>
    <row r="1566" spans="52:56" x14ac:dyDescent="0.25">
      <c r="AZ1566" s="5">
        <v>1563</v>
      </c>
      <c r="BA1566" s="5">
        <v>0</v>
      </c>
      <c r="BB1566" s="5">
        <v>0</v>
      </c>
      <c r="BC1566" s="5">
        <v>525</v>
      </c>
      <c r="BD1566" s="5">
        <v>441.16935483870969</v>
      </c>
    </row>
    <row r="1567" spans="52:56" x14ac:dyDescent="0.25">
      <c r="AZ1567" s="5">
        <v>1564</v>
      </c>
      <c r="BA1567" s="5">
        <v>0</v>
      </c>
      <c r="BB1567" s="5">
        <v>0</v>
      </c>
      <c r="BC1567" s="5">
        <v>525</v>
      </c>
      <c r="BD1567" s="5">
        <v>441.45161290322585</v>
      </c>
    </row>
    <row r="1568" spans="52:56" x14ac:dyDescent="0.25">
      <c r="AZ1568" s="5">
        <v>1565</v>
      </c>
      <c r="BA1568" s="5">
        <v>0</v>
      </c>
      <c r="BB1568" s="5">
        <v>0</v>
      </c>
      <c r="BC1568" s="5">
        <v>525</v>
      </c>
      <c r="BD1568" s="5">
        <v>441.73387096774195</v>
      </c>
    </row>
    <row r="1569" spans="52:56" x14ac:dyDescent="0.25">
      <c r="AZ1569" s="5">
        <v>1566</v>
      </c>
      <c r="BA1569" s="5">
        <v>0</v>
      </c>
      <c r="BB1569" s="5">
        <v>0</v>
      </c>
      <c r="BC1569" s="5">
        <v>525</v>
      </c>
      <c r="BD1569" s="5">
        <v>442.01612903225811</v>
      </c>
    </row>
    <row r="1570" spans="52:56" x14ac:dyDescent="0.25">
      <c r="AZ1570" s="5">
        <v>1567</v>
      </c>
      <c r="BA1570" s="5">
        <v>0</v>
      </c>
      <c r="BB1570" s="5">
        <v>0</v>
      </c>
      <c r="BC1570" s="5">
        <v>525</v>
      </c>
      <c r="BD1570" s="5">
        <v>442.29838709677426</v>
      </c>
    </row>
    <row r="1571" spans="52:56" x14ac:dyDescent="0.25">
      <c r="AZ1571" s="5">
        <v>1568</v>
      </c>
      <c r="BA1571" s="5">
        <v>0</v>
      </c>
      <c r="BB1571" s="5">
        <v>0</v>
      </c>
      <c r="BC1571" s="5">
        <v>525</v>
      </c>
      <c r="BD1571" s="5">
        <v>442.58064516129036</v>
      </c>
    </row>
    <row r="1572" spans="52:56" x14ac:dyDescent="0.25">
      <c r="AZ1572" s="5">
        <v>1569</v>
      </c>
      <c r="BA1572" s="5">
        <v>0</v>
      </c>
      <c r="BB1572" s="5">
        <v>0</v>
      </c>
      <c r="BC1572" s="5">
        <v>525</v>
      </c>
      <c r="BD1572" s="5">
        <v>442.86290322580652</v>
      </c>
    </row>
    <row r="1573" spans="52:56" x14ac:dyDescent="0.25">
      <c r="AZ1573" s="5">
        <v>1570</v>
      </c>
      <c r="BA1573" s="5">
        <v>0</v>
      </c>
      <c r="BB1573" s="5">
        <v>0</v>
      </c>
      <c r="BC1573" s="5">
        <v>525</v>
      </c>
      <c r="BD1573" s="5">
        <v>443.14516129032262</v>
      </c>
    </row>
    <row r="1574" spans="52:56" x14ac:dyDescent="0.25">
      <c r="AZ1574" s="5">
        <v>1571</v>
      </c>
      <c r="BA1574" s="5">
        <v>0</v>
      </c>
      <c r="BB1574" s="5">
        <v>0</v>
      </c>
      <c r="BC1574" s="5">
        <v>525</v>
      </c>
      <c r="BD1574" s="5">
        <v>443.42741935483878</v>
      </c>
    </row>
    <row r="1575" spans="52:56" x14ac:dyDescent="0.25">
      <c r="AZ1575" s="5">
        <v>1572</v>
      </c>
      <c r="BA1575" s="5">
        <v>0</v>
      </c>
      <c r="BB1575" s="5">
        <v>0</v>
      </c>
      <c r="BC1575" s="5">
        <v>525</v>
      </c>
      <c r="BD1575" s="5">
        <v>443.70967741935488</v>
      </c>
    </row>
    <row r="1576" spans="52:56" x14ac:dyDescent="0.25">
      <c r="AZ1576" s="5">
        <v>1573</v>
      </c>
      <c r="BA1576" s="5">
        <v>0</v>
      </c>
      <c r="BB1576" s="5">
        <v>0</v>
      </c>
      <c r="BC1576" s="5">
        <v>525</v>
      </c>
      <c r="BD1576" s="5">
        <v>443.99193548387103</v>
      </c>
    </row>
    <row r="1577" spans="52:56" x14ac:dyDescent="0.25">
      <c r="AZ1577" s="5">
        <v>1574</v>
      </c>
      <c r="BA1577" s="5">
        <v>0</v>
      </c>
      <c r="BB1577" s="5">
        <v>0</v>
      </c>
      <c r="BC1577" s="5">
        <v>525</v>
      </c>
      <c r="BD1577" s="5">
        <v>444.27419354838713</v>
      </c>
    </row>
    <row r="1578" spans="52:56" x14ac:dyDescent="0.25">
      <c r="AZ1578" s="5">
        <v>1575</v>
      </c>
      <c r="BA1578" s="5">
        <v>0</v>
      </c>
      <c r="BB1578" s="5">
        <v>0</v>
      </c>
      <c r="BC1578" s="5">
        <v>525</v>
      </c>
      <c r="BD1578" s="5">
        <v>444.55645161290329</v>
      </c>
    </row>
    <row r="1579" spans="52:56" x14ac:dyDescent="0.25">
      <c r="AZ1579" s="5">
        <v>1576</v>
      </c>
      <c r="BA1579" s="5">
        <v>0</v>
      </c>
      <c r="BB1579" s="5">
        <v>0</v>
      </c>
      <c r="BC1579" s="5">
        <v>525</v>
      </c>
      <c r="BD1579" s="5">
        <v>444.83870967741939</v>
      </c>
    </row>
    <row r="1580" spans="52:56" x14ac:dyDescent="0.25">
      <c r="AZ1580" s="5">
        <v>1577</v>
      </c>
      <c r="BA1580" s="5">
        <v>0</v>
      </c>
      <c r="BB1580" s="5">
        <v>0</v>
      </c>
      <c r="BC1580" s="5">
        <v>525</v>
      </c>
      <c r="BD1580" s="5">
        <v>445.12096774193554</v>
      </c>
    </row>
    <row r="1581" spans="52:56" x14ac:dyDescent="0.25">
      <c r="AZ1581" s="5">
        <v>1578</v>
      </c>
      <c r="BA1581" s="5">
        <v>0</v>
      </c>
      <c r="BB1581" s="5">
        <v>0</v>
      </c>
      <c r="BC1581" s="5">
        <v>525</v>
      </c>
      <c r="BD1581" s="5">
        <v>445.40322580645164</v>
      </c>
    </row>
    <row r="1582" spans="52:56" x14ac:dyDescent="0.25">
      <c r="AZ1582" s="5">
        <v>1579</v>
      </c>
      <c r="BA1582" s="5">
        <v>0</v>
      </c>
      <c r="BB1582" s="5">
        <v>0</v>
      </c>
      <c r="BC1582" s="5">
        <v>525</v>
      </c>
      <c r="BD1582" s="5">
        <v>445.6854838709678</v>
      </c>
    </row>
    <row r="1583" spans="52:56" x14ac:dyDescent="0.25">
      <c r="AZ1583" s="5">
        <v>1580</v>
      </c>
      <c r="BA1583" s="5">
        <v>0</v>
      </c>
      <c r="BB1583" s="5">
        <v>0</v>
      </c>
      <c r="BC1583" s="5">
        <v>525</v>
      </c>
      <c r="BD1583" s="5">
        <v>445.9677419354839</v>
      </c>
    </row>
    <row r="1584" spans="52:56" x14ac:dyDescent="0.25">
      <c r="AZ1584" s="5">
        <v>1581</v>
      </c>
      <c r="BA1584" s="5">
        <v>0</v>
      </c>
      <c r="BB1584" s="5">
        <v>0</v>
      </c>
      <c r="BC1584" s="5">
        <v>525</v>
      </c>
      <c r="BD1584" s="5">
        <v>446.25000000000006</v>
      </c>
    </row>
    <row r="1585" spans="52:56" x14ac:dyDescent="0.25">
      <c r="AZ1585" s="5">
        <v>1582</v>
      </c>
      <c r="BA1585" s="5">
        <v>0</v>
      </c>
      <c r="BB1585" s="5">
        <v>0</v>
      </c>
      <c r="BC1585" s="5">
        <v>525</v>
      </c>
      <c r="BD1585" s="5">
        <v>446.53225806451616</v>
      </c>
    </row>
    <row r="1586" spans="52:56" x14ac:dyDescent="0.25">
      <c r="AZ1586" s="5">
        <v>1583</v>
      </c>
      <c r="BA1586" s="5">
        <v>0</v>
      </c>
      <c r="BB1586" s="5">
        <v>0</v>
      </c>
      <c r="BC1586" s="5">
        <v>525</v>
      </c>
      <c r="BD1586" s="5">
        <v>446.81451612903231</v>
      </c>
    </row>
    <row r="1587" spans="52:56" x14ac:dyDescent="0.25">
      <c r="AZ1587" s="5">
        <v>1584</v>
      </c>
      <c r="BA1587" s="5">
        <v>0</v>
      </c>
      <c r="BB1587" s="5">
        <v>0</v>
      </c>
      <c r="BC1587" s="5">
        <v>525</v>
      </c>
      <c r="BD1587" s="5">
        <v>447.09677419354841</v>
      </c>
    </row>
    <row r="1588" spans="52:56" x14ac:dyDescent="0.25">
      <c r="AZ1588" s="5">
        <v>1585</v>
      </c>
      <c r="BA1588" s="5">
        <v>0</v>
      </c>
      <c r="BB1588" s="5">
        <v>0</v>
      </c>
      <c r="BC1588" s="5">
        <v>525</v>
      </c>
      <c r="BD1588" s="5">
        <v>447.37903225806457</v>
      </c>
    </row>
    <row r="1589" spans="52:56" x14ac:dyDescent="0.25">
      <c r="AZ1589" s="5">
        <v>1586</v>
      </c>
      <c r="BA1589" s="5">
        <v>0</v>
      </c>
      <c r="BB1589" s="5">
        <v>0</v>
      </c>
      <c r="BC1589" s="5">
        <v>525</v>
      </c>
      <c r="BD1589" s="5">
        <v>447.66129032258067</v>
      </c>
    </row>
    <row r="1590" spans="52:56" x14ac:dyDescent="0.25">
      <c r="AZ1590" s="5">
        <v>1587</v>
      </c>
      <c r="BA1590" s="5">
        <v>0</v>
      </c>
      <c r="BB1590" s="5">
        <v>0</v>
      </c>
      <c r="BC1590" s="5">
        <v>525</v>
      </c>
      <c r="BD1590" s="5">
        <v>447.94354838709683</v>
      </c>
    </row>
    <row r="1591" spans="52:56" x14ac:dyDescent="0.25">
      <c r="AZ1591" s="5">
        <v>1588</v>
      </c>
      <c r="BA1591" s="5">
        <v>0</v>
      </c>
      <c r="BB1591" s="5">
        <v>0</v>
      </c>
      <c r="BC1591" s="5">
        <v>525</v>
      </c>
      <c r="BD1591" s="5">
        <v>448.22580645161293</v>
      </c>
    </row>
    <row r="1592" spans="52:56" x14ac:dyDescent="0.25">
      <c r="AZ1592" s="5">
        <v>1589</v>
      </c>
      <c r="BA1592" s="5">
        <v>0</v>
      </c>
      <c r="BB1592" s="5">
        <v>0</v>
      </c>
      <c r="BC1592" s="5">
        <v>525</v>
      </c>
      <c r="BD1592" s="5">
        <v>448.50806451612908</v>
      </c>
    </row>
    <row r="1593" spans="52:56" x14ac:dyDescent="0.25">
      <c r="AZ1593" s="5">
        <v>1590</v>
      </c>
      <c r="BA1593" s="5">
        <v>0</v>
      </c>
      <c r="BB1593" s="5">
        <v>0</v>
      </c>
      <c r="BC1593" s="5">
        <v>525</v>
      </c>
      <c r="BD1593" s="5">
        <v>448.79032258064518</v>
      </c>
    </row>
    <row r="1594" spans="52:56" x14ac:dyDescent="0.25">
      <c r="AZ1594" s="5">
        <v>1591</v>
      </c>
      <c r="BA1594" s="5">
        <v>0</v>
      </c>
      <c r="BB1594" s="5">
        <v>0</v>
      </c>
      <c r="BC1594" s="5">
        <v>525</v>
      </c>
      <c r="BD1594" s="5">
        <v>449.07258064516134</v>
      </c>
    </row>
    <row r="1595" spans="52:56" x14ac:dyDescent="0.25">
      <c r="AZ1595" s="5">
        <v>1592</v>
      </c>
      <c r="BA1595" s="5">
        <v>0</v>
      </c>
      <c r="BB1595" s="5">
        <v>0</v>
      </c>
      <c r="BC1595" s="5">
        <v>525</v>
      </c>
      <c r="BD1595" s="5">
        <v>449.35483870967744</v>
      </c>
    </row>
    <row r="1596" spans="52:56" x14ac:dyDescent="0.25">
      <c r="AZ1596" s="5">
        <v>1593</v>
      </c>
      <c r="BA1596" s="5">
        <v>0</v>
      </c>
      <c r="BB1596" s="5">
        <v>0</v>
      </c>
      <c r="BC1596" s="5">
        <v>525</v>
      </c>
      <c r="BD1596" s="5">
        <v>449.63709677419359</v>
      </c>
    </row>
    <row r="1597" spans="52:56" x14ac:dyDescent="0.25">
      <c r="AZ1597" s="5">
        <v>1594</v>
      </c>
      <c r="BA1597" s="5">
        <v>0</v>
      </c>
      <c r="BB1597" s="5">
        <v>0</v>
      </c>
      <c r="BC1597" s="5">
        <v>525</v>
      </c>
      <c r="BD1597" s="5">
        <v>449.91935483870969</v>
      </c>
    </row>
    <row r="1598" spans="52:56" x14ac:dyDescent="0.25">
      <c r="AZ1598" s="5">
        <v>1595</v>
      </c>
      <c r="BA1598" s="5">
        <v>0</v>
      </c>
      <c r="BB1598" s="5">
        <v>0</v>
      </c>
      <c r="BC1598" s="5">
        <v>525</v>
      </c>
      <c r="BD1598" s="5">
        <v>450.20161290322585</v>
      </c>
    </row>
    <row r="1599" spans="52:56" x14ac:dyDescent="0.25">
      <c r="AZ1599" s="5">
        <v>1596</v>
      </c>
      <c r="BA1599" s="5">
        <v>0</v>
      </c>
      <c r="BB1599" s="5">
        <v>0</v>
      </c>
      <c r="BC1599" s="5">
        <v>525</v>
      </c>
      <c r="BD1599" s="5">
        <v>450.48387096774195</v>
      </c>
    </row>
    <row r="1600" spans="52:56" x14ac:dyDescent="0.25">
      <c r="AZ1600" s="5">
        <v>1597</v>
      </c>
      <c r="BA1600" s="5">
        <v>0</v>
      </c>
      <c r="BB1600" s="5">
        <v>0</v>
      </c>
      <c r="BC1600" s="5">
        <v>525</v>
      </c>
      <c r="BD1600" s="5">
        <v>450.76612903225811</v>
      </c>
    </row>
    <row r="1601" spans="52:56" x14ac:dyDescent="0.25">
      <c r="AZ1601" s="5">
        <v>1598</v>
      </c>
      <c r="BA1601" s="5">
        <v>0</v>
      </c>
      <c r="BB1601" s="5">
        <v>0</v>
      </c>
      <c r="BC1601" s="5">
        <v>525</v>
      </c>
      <c r="BD1601" s="5">
        <v>451.04838709677426</v>
      </c>
    </row>
    <row r="1602" spans="52:56" x14ac:dyDescent="0.25">
      <c r="AZ1602" s="5">
        <v>1599</v>
      </c>
      <c r="BA1602" s="5">
        <v>0</v>
      </c>
      <c r="BB1602" s="5">
        <v>0</v>
      </c>
      <c r="BC1602" s="5">
        <v>525</v>
      </c>
      <c r="BD1602" s="5">
        <v>451.33064516129036</v>
      </c>
    </row>
    <row r="1603" spans="52:56" x14ac:dyDescent="0.25">
      <c r="AZ1603" s="5">
        <v>1600</v>
      </c>
      <c r="BA1603" s="5">
        <v>0</v>
      </c>
      <c r="BB1603" s="5">
        <v>0</v>
      </c>
      <c r="BC1603" s="5">
        <v>525</v>
      </c>
      <c r="BD1603" s="5">
        <v>451.61290322580652</v>
      </c>
    </row>
    <row r="1604" spans="52:56" x14ac:dyDescent="0.25">
      <c r="AZ1604" s="5">
        <v>1601</v>
      </c>
      <c r="BA1604" s="5">
        <v>0</v>
      </c>
      <c r="BB1604" s="5">
        <v>0</v>
      </c>
      <c r="BC1604" s="5">
        <v>525</v>
      </c>
      <c r="BD1604" s="5">
        <v>451.89516129032262</v>
      </c>
    </row>
    <row r="1605" spans="52:56" x14ac:dyDescent="0.25">
      <c r="AZ1605" s="5">
        <v>1602</v>
      </c>
      <c r="BA1605" s="5">
        <v>0</v>
      </c>
      <c r="BB1605" s="5">
        <v>0</v>
      </c>
      <c r="BC1605" s="5">
        <v>525</v>
      </c>
      <c r="BD1605" s="5">
        <v>452.17741935483878</v>
      </c>
    </row>
    <row r="1606" spans="52:56" x14ac:dyDescent="0.25">
      <c r="AZ1606" s="5">
        <v>1603</v>
      </c>
      <c r="BA1606" s="5">
        <v>0</v>
      </c>
      <c r="BB1606" s="5">
        <v>0</v>
      </c>
      <c r="BC1606" s="5">
        <v>525</v>
      </c>
      <c r="BD1606" s="5">
        <v>452.45967741935488</v>
      </c>
    </row>
    <row r="1607" spans="52:56" x14ac:dyDescent="0.25">
      <c r="AZ1607" s="5">
        <v>1604</v>
      </c>
      <c r="BA1607" s="5">
        <v>0</v>
      </c>
      <c r="BB1607" s="5">
        <v>0</v>
      </c>
      <c r="BC1607" s="5">
        <v>525</v>
      </c>
      <c r="BD1607" s="5">
        <v>452.74193548387103</v>
      </c>
    </row>
    <row r="1608" spans="52:56" x14ac:dyDescent="0.25">
      <c r="AZ1608" s="5">
        <v>1605</v>
      </c>
      <c r="BA1608" s="5">
        <v>0</v>
      </c>
      <c r="BB1608" s="5">
        <v>0</v>
      </c>
      <c r="BC1608" s="5">
        <v>525</v>
      </c>
      <c r="BD1608" s="5">
        <v>453.02419354838713</v>
      </c>
    </row>
    <row r="1609" spans="52:56" x14ac:dyDescent="0.25">
      <c r="AZ1609" s="5">
        <v>1606</v>
      </c>
      <c r="BA1609" s="5">
        <v>0</v>
      </c>
      <c r="BB1609" s="5">
        <v>0</v>
      </c>
      <c r="BC1609" s="5">
        <v>525</v>
      </c>
      <c r="BD1609" s="5">
        <v>453.30645161290329</v>
      </c>
    </row>
    <row r="1610" spans="52:56" x14ac:dyDescent="0.25">
      <c r="AZ1610" s="5">
        <v>1607</v>
      </c>
      <c r="BA1610" s="5">
        <v>0</v>
      </c>
      <c r="BB1610" s="5">
        <v>0</v>
      </c>
      <c r="BC1610" s="5">
        <v>525</v>
      </c>
      <c r="BD1610" s="5">
        <v>453.58870967741939</v>
      </c>
    </row>
    <row r="1611" spans="52:56" x14ac:dyDescent="0.25">
      <c r="AZ1611" s="5">
        <v>1608</v>
      </c>
      <c r="BA1611" s="5">
        <v>0</v>
      </c>
      <c r="BB1611" s="5">
        <v>0</v>
      </c>
      <c r="BC1611" s="5">
        <v>525</v>
      </c>
      <c r="BD1611" s="5">
        <v>453.87096774193554</v>
      </c>
    </row>
    <row r="1612" spans="52:56" x14ac:dyDescent="0.25">
      <c r="AZ1612" s="5">
        <v>1609</v>
      </c>
      <c r="BA1612" s="5">
        <v>0</v>
      </c>
      <c r="BB1612" s="5">
        <v>0</v>
      </c>
      <c r="BC1612" s="5">
        <v>525</v>
      </c>
      <c r="BD1612" s="5">
        <v>454.15322580645164</v>
      </c>
    </row>
    <row r="1613" spans="52:56" x14ac:dyDescent="0.25">
      <c r="AZ1613" s="5">
        <v>1610</v>
      </c>
      <c r="BA1613" s="5">
        <v>0</v>
      </c>
      <c r="BB1613" s="5">
        <v>0</v>
      </c>
      <c r="BC1613" s="5">
        <v>525</v>
      </c>
      <c r="BD1613" s="5">
        <v>454.4354838709678</v>
      </c>
    </row>
    <row r="1614" spans="52:56" x14ac:dyDescent="0.25">
      <c r="AZ1614" s="5">
        <v>1611</v>
      </c>
      <c r="BA1614" s="5">
        <v>0</v>
      </c>
      <c r="BB1614" s="5">
        <v>0</v>
      </c>
      <c r="BC1614" s="5">
        <v>525</v>
      </c>
      <c r="BD1614" s="5">
        <v>454.7177419354839</v>
      </c>
    </row>
    <row r="1615" spans="52:56" x14ac:dyDescent="0.25">
      <c r="AZ1615" s="5">
        <v>1612</v>
      </c>
      <c r="BA1615" s="5">
        <v>0</v>
      </c>
      <c r="BB1615" s="5">
        <v>0</v>
      </c>
      <c r="BC1615" s="5">
        <v>525</v>
      </c>
      <c r="BD1615" s="5">
        <v>455.00000000000006</v>
      </c>
    </row>
    <row r="1616" spans="52:56" x14ac:dyDescent="0.25">
      <c r="AZ1616" s="5">
        <v>1613</v>
      </c>
      <c r="BA1616" s="5">
        <v>0</v>
      </c>
      <c r="BB1616" s="5">
        <v>0</v>
      </c>
      <c r="BC1616" s="5">
        <v>525</v>
      </c>
      <c r="BD1616" s="5">
        <v>455.28225806451616</v>
      </c>
    </row>
    <row r="1617" spans="52:56" x14ac:dyDescent="0.25">
      <c r="AZ1617" s="5">
        <v>1614</v>
      </c>
      <c r="BA1617" s="5">
        <v>0</v>
      </c>
      <c r="BB1617" s="5">
        <v>0</v>
      </c>
      <c r="BC1617" s="5">
        <v>525</v>
      </c>
      <c r="BD1617" s="5">
        <v>455.56451612903231</v>
      </c>
    </row>
    <row r="1618" spans="52:56" x14ac:dyDescent="0.25">
      <c r="AZ1618" s="5">
        <v>1615</v>
      </c>
      <c r="BA1618" s="5">
        <v>0</v>
      </c>
      <c r="BB1618" s="5">
        <v>0</v>
      </c>
      <c r="BC1618" s="5">
        <v>525</v>
      </c>
      <c r="BD1618" s="5">
        <v>455.84677419354841</v>
      </c>
    </row>
    <row r="1619" spans="52:56" x14ac:dyDescent="0.25">
      <c r="AZ1619" s="5">
        <v>1616</v>
      </c>
      <c r="BA1619" s="5">
        <v>0</v>
      </c>
      <c r="BB1619" s="5">
        <v>0</v>
      </c>
      <c r="BC1619" s="5">
        <v>525</v>
      </c>
      <c r="BD1619" s="5">
        <v>456.12903225806457</v>
      </c>
    </row>
    <row r="1620" spans="52:56" x14ac:dyDescent="0.25">
      <c r="AZ1620" s="5">
        <v>1617</v>
      </c>
      <c r="BA1620" s="5">
        <v>0</v>
      </c>
      <c r="BB1620" s="5">
        <v>0</v>
      </c>
      <c r="BC1620" s="5">
        <v>525</v>
      </c>
      <c r="BD1620" s="5">
        <v>456.41129032258067</v>
      </c>
    </row>
    <row r="1621" spans="52:56" x14ac:dyDescent="0.25">
      <c r="AZ1621" s="5">
        <v>1618</v>
      </c>
      <c r="BA1621" s="5">
        <v>0</v>
      </c>
      <c r="BB1621" s="5">
        <v>0</v>
      </c>
      <c r="BC1621" s="5">
        <v>525</v>
      </c>
      <c r="BD1621" s="5">
        <v>456.69354838709683</v>
      </c>
    </row>
    <row r="1622" spans="52:56" x14ac:dyDescent="0.25">
      <c r="AZ1622" s="5">
        <v>1619</v>
      </c>
      <c r="BA1622" s="5">
        <v>0</v>
      </c>
      <c r="BB1622" s="5">
        <v>0</v>
      </c>
      <c r="BC1622" s="5">
        <v>525</v>
      </c>
      <c r="BD1622" s="5">
        <v>456.97580645161293</v>
      </c>
    </row>
    <row r="1623" spans="52:56" x14ac:dyDescent="0.25">
      <c r="AZ1623" s="5">
        <v>1620</v>
      </c>
      <c r="BA1623" s="5">
        <v>0</v>
      </c>
      <c r="BB1623" s="5">
        <v>0</v>
      </c>
      <c r="BC1623" s="5">
        <v>525</v>
      </c>
      <c r="BD1623" s="5">
        <v>457.25806451612908</v>
      </c>
    </row>
    <row r="1624" spans="52:56" x14ac:dyDescent="0.25">
      <c r="AZ1624" s="5">
        <v>1621</v>
      </c>
      <c r="BA1624" s="5">
        <v>0</v>
      </c>
      <c r="BB1624" s="5">
        <v>0</v>
      </c>
      <c r="BC1624" s="5">
        <v>525</v>
      </c>
      <c r="BD1624" s="5">
        <v>457.54032258064518</v>
      </c>
    </row>
    <row r="1625" spans="52:56" x14ac:dyDescent="0.25">
      <c r="AZ1625" s="5">
        <v>1622</v>
      </c>
      <c r="BA1625" s="5">
        <v>0</v>
      </c>
      <c r="BB1625" s="5">
        <v>0</v>
      </c>
      <c r="BC1625" s="5">
        <v>525</v>
      </c>
      <c r="BD1625" s="5">
        <v>457.82258064516134</v>
      </c>
    </row>
    <row r="1626" spans="52:56" x14ac:dyDescent="0.25">
      <c r="AZ1626" s="5">
        <v>1623</v>
      </c>
      <c r="BA1626" s="5">
        <v>0</v>
      </c>
      <c r="BB1626" s="5">
        <v>0</v>
      </c>
      <c r="BC1626" s="5">
        <v>525</v>
      </c>
      <c r="BD1626" s="5">
        <v>458.10483870967744</v>
      </c>
    </row>
    <row r="1627" spans="52:56" x14ac:dyDescent="0.25">
      <c r="AZ1627" s="5">
        <v>1624</v>
      </c>
      <c r="BA1627" s="5">
        <v>0</v>
      </c>
      <c r="BB1627" s="5">
        <v>0</v>
      </c>
      <c r="BC1627" s="5">
        <v>525</v>
      </c>
      <c r="BD1627" s="5">
        <v>458.38709677419359</v>
      </c>
    </row>
    <row r="1628" spans="52:56" x14ac:dyDescent="0.25">
      <c r="AZ1628" s="5">
        <v>1625</v>
      </c>
      <c r="BA1628" s="5">
        <v>0</v>
      </c>
      <c r="BB1628" s="5">
        <v>0</v>
      </c>
      <c r="BC1628" s="5">
        <v>525</v>
      </c>
      <c r="BD1628" s="5">
        <v>458.66935483870969</v>
      </c>
    </row>
    <row r="1629" spans="52:56" x14ac:dyDescent="0.25">
      <c r="AZ1629" s="5">
        <v>1626</v>
      </c>
      <c r="BA1629" s="5">
        <v>0</v>
      </c>
      <c r="BB1629" s="5">
        <v>0</v>
      </c>
      <c r="BC1629" s="5">
        <v>525</v>
      </c>
      <c r="BD1629" s="5">
        <v>458.95161290322585</v>
      </c>
    </row>
    <row r="1630" spans="52:56" x14ac:dyDescent="0.25">
      <c r="AZ1630" s="5">
        <v>1627</v>
      </c>
      <c r="BA1630" s="5">
        <v>0</v>
      </c>
      <c r="BB1630" s="5">
        <v>0</v>
      </c>
      <c r="BC1630" s="5">
        <v>525</v>
      </c>
      <c r="BD1630" s="5">
        <v>459.23387096774201</v>
      </c>
    </row>
    <row r="1631" spans="52:56" x14ac:dyDescent="0.25">
      <c r="AZ1631" s="5">
        <v>1628</v>
      </c>
      <c r="BA1631" s="5">
        <v>0</v>
      </c>
      <c r="BB1631" s="5">
        <v>0</v>
      </c>
      <c r="BC1631" s="5">
        <v>525</v>
      </c>
      <c r="BD1631" s="5">
        <v>459.51612903225811</v>
      </c>
    </row>
    <row r="1632" spans="52:56" x14ac:dyDescent="0.25">
      <c r="AZ1632" s="5">
        <v>1629</v>
      </c>
      <c r="BA1632" s="5">
        <v>0</v>
      </c>
      <c r="BB1632" s="5">
        <v>0</v>
      </c>
      <c r="BC1632" s="5">
        <v>525</v>
      </c>
      <c r="BD1632" s="5">
        <v>459.79838709677426</v>
      </c>
    </row>
    <row r="1633" spans="52:56" x14ac:dyDescent="0.25">
      <c r="AZ1633" s="5">
        <v>1630</v>
      </c>
      <c r="BA1633" s="5">
        <v>0</v>
      </c>
      <c r="BB1633" s="5">
        <v>0</v>
      </c>
      <c r="BC1633" s="5">
        <v>525</v>
      </c>
      <c r="BD1633" s="5">
        <v>460.08064516129036</v>
      </c>
    </row>
    <row r="1634" spans="52:56" x14ac:dyDescent="0.25">
      <c r="AZ1634" s="5">
        <v>1631</v>
      </c>
      <c r="BA1634" s="5">
        <v>0</v>
      </c>
      <c r="BB1634" s="5">
        <v>0</v>
      </c>
      <c r="BC1634" s="5">
        <v>525</v>
      </c>
      <c r="BD1634" s="5">
        <v>460.36290322580652</v>
      </c>
    </row>
    <row r="1635" spans="52:56" x14ac:dyDescent="0.25">
      <c r="AZ1635" s="5">
        <v>1632</v>
      </c>
      <c r="BA1635" s="5">
        <v>0</v>
      </c>
      <c r="BB1635" s="5">
        <v>0</v>
      </c>
      <c r="BC1635" s="5">
        <v>525</v>
      </c>
      <c r="BD1635" s="5">
        <v>460.64516129032262</v>
      </c>
    </row>
    <row r="1636" spans="52:56" x14ac:dyDescent="0.25">
      <c r="AZ1636" s="5">
        <v>1633</v>
      </c>
      <c r="BA1636" s="5">
        <v>0</v>
      </c>
      <c r="BB1636" s="5">
        <v>0</v>
      </c>
      <c r="BC1636" s="5">
        <v>525</v>
      </c>
      <c r="BD1636" s="5">
        <v>460.92741935483878</v>
      </c>
    </row>
    <row r="1637" spans="52:56" x14ac:dyDescent="0.25">
      <c r="AZ1637" s="5">
        <v>1634</v>
      </c>
      <c r="BA1637" s="5">
        <v>0</v>
      </c>
      <c r="BB1637" s="5">
        <v>0</v>
      </c>
      <c r="BC1637" s="5">
        <v>525</v>
      </c>
      <c r="BD1637" s="5">
        <v>461.20967741935488</v>
      </c>
    </row>
    <row r="1638" spans="52:56" x14ac:dyDescent="0.25">
      <c r="AZ1638" s="5">
        <v>1635</v>
      </c>
      <c r="BA1638" s="5">
        <v>0</v>
      </c>
      <c r="BB1638" s="5">
        <v>0</v>
      </c>
      <c r="BC1638" s="5">
        <v>525</v>
      </c>
      <c r="BD1638" s="5">
        <v>461.49193548387103</v>
      </c>
    </row>
    <row r="1639" spans="52:56" x14ac:dyDescent="0.25">
      <c r="AZ1639" s="5">
        <v>1636</v>
      </c>
      <c r="BA1639" s="5">
        <v>0</v>
      </c>
      <c r="BB1639" s="5">
        <v>0</v>
      </c>
      <c r="BC1639" s="5">
        <v>525</v>
      </c>
      <c r="BD1639" s="5">
        <v>461.77419354838713</v>
      </c>
    </row>
    <row r="1640" spans="52:56" x14ac:dyDescent="0.25">
      <c r="AZ1640" s="5">
        <v>1637</v>
      </c>
      <c r="BA1640" s="5">
        <v>0</v>
      </c>
      <c r="BB1640" s="5">
        <v>0</v>
      </c>
      <c r="BC1640" s="5">
        <v>525</v>
      </c>
      <c r="BD1640" s="5">
        <v>462.05645161290329</v>
      </c>
    </row>
    <row r="1641" spans="52:56" x14ac:dyDescent="0.25">
      <c r="AZ1641" s="5">
        <v>1638</v>
      </c>
      <c r="BA1641" s="5">
        <v>0</v>
      </c>
      <c r="BB1641" s="5">
        <v>0</v>
      </c>
      <c r="BC1641" s="5">
        <v>525</v>
      </c>
      <c r="BD1641" s="5">
        <v>462.33870967741939</v>
      </c>
    </row>
    <row r="1642" spans="52:56" x14ac:dyDescent="0.25">
      <c r="AZ1642" s="5">
        <v>1639</v>
      </c>
      <c r="BA1642" s="5">
        <v>0</v>
      </c>
      <c r="BB1642" s="5">
        <v>0</v>
      </c>
      <c r="BC1642" s="5">
        <v>525</v>
      </c>
      <c r="BD1642" s="5">
        <v>462.62096774193554</v>
      </c>
    </row>
    <row r="1643" spans="52:56" x14ac:dyDescent="0.25">
      <c r="AZ1643" s="5">
        <v>1640</v>
      </c>
      <c r="BA1643" s="5">
        <v>0</v>
      </c>
      <c r="BB1643" s="5">
        <v>0</v>
      </c>
      <c r="BC1643" s="5">
        <v>525</v>
      </c>
      <c r="BD1643" s="5">
        <v>462.90322580645164</v>
      </c>
    </row>
    <row r="1644" spans="52:56" x14ac:dyDescent="0.25">
      <c r="AZ1644" s="5">
        <v>1641</v>
      </c>
      <c r="BA1644" s="5">
        <v>0</v>
      </c>
      <c r="BB1644" s="5">
        <v>0</v>
      </c>
      <c r="BC1644" s="5">
        <v>525</v>
      </c>
      <c r="BD1644" s="5">
        <v>463.1854838709678</v>
      </c>
    </row>
    <row r="1645" spans="52:56" x14ac:dyDescent="0.25">
      <c r="AZ1645" s="5">
        <v>1642</v>
      </c>
      <c r="BA1645" s="5">
        <v>0</v>
      </c>
      <c r="BB1645" s="5">
        <v>0</v>
      </c>
      <c r="BC1645" s="5">
        <v>525</v>
      </c>
      <c r="BD1645" s="5">
        <v>463.4677419354839</v>
      </c>
    </row>
    <row r="1646" spans="52:56" x14ac:dyDescent="0.25">
      <c r="AZ1646" s="5">
        <v>1643</v>
      </c>
      <c r="BA1646" s="5">
        <v>0</v>
      </c>
      <c r="BB1646" s="5">
        <v>0</v>
      </c>
      <c r="BC1646" s="5">
        <v>525</v>
      </c>
      <c r="BD1646" s="5">
        <v>463.75000000000006</v>
      </c>
    </row>
    <row r="1647" spans="52:56" x14ac:dyDescent="0.25">
      <c r="AZ1647" s="5">
        <v>1644</v>
      </c>
      <c r="BA1647" s="5">
        <v>0</v>
      </c>
      <c r="BB1647" s="5">
        <v>0</v>
      </c>
      <c r="BC1647" s="5">
        <v>525</v>
      </c>
      <c r="BD1647" s="5">
        <v>464.03225806451616</v>
      </c>
    </row>
    <row r="1648" spans="52:56" x14ac:dyDescent="0.25">
      <c r="AZ1648" s="5">
        <v>1645</v>
      </c>
      <c r="BA1648" s="5">
        <v>0</v>
      </c>
      <c r="BB1648" s="5">
        <v>0</v>
      </c>
      <c r="BC1648" s="5">
        <v>525</v>
      </c>
      <c r="BD1648" s="5">
        <v>464.31451612903231</v>
      </c>
    </row>
    <row r="1649" spans="52:56" x14ac:dyDescent="0.25">
      <c r="AZ1649" s="5">
        <v>1646</v>
      </c>
      <c r="BA1649" s="5">
        <v>0</v>
      </c>
      <c r="BB1649" s="5">
        <v>0</v>
      </c>
      <c r="BC1649" s="5">
        <v>525</v>
      </c>
      <c r="BD1649" s="5">
        <v>464.59677419354841</v>
      </c>
    </row>
    <row r="1650" spans="52:56" x14ac:dyDescent="0.25">
      <c r="AZ1650" s="5">
        <v>1647</v>
      </c>
      <c r="BA1650" s="5">
        <v>0</v>
      </c>
      <c r="BB1650" s="5">
        <v>0</v>
      </c>
      <c r="BC1650" s="5">
        <v>525</v>
      </c>
      <c r="BD1650" s="5">
        <v>464.87903225806457</v>
      </c>
    </row>
    <row r="1651" spans="52:56" x14ac:dyDescent="0.25">
      <c r="AZ1651" s="5">
        <v>1648</v>
      </c>
      <c r="BA1651" s="5">
        <v>0</v>
      </c>
      <c r="BB1651" s="5">
        <v>0</v>
      </c>
      <c r="BC1651" s="5">
        <v>525</v>
      </c>
      <c r="BD1651" s="5">
        <v>465.16129032258067</v>
      </c>
    </row>
    <row r="1652" spans="52:56" x14ac:dyDescent="0.25">
      <c r="AZ1652" s="5">
        <v>1649</v>
      </c>
      <c r="BA1652" s="5">
        <v>0</v>
      </c>
      <c r="BB1652" s="5">
        <v>0</v>
      </c>
      <c r="BC1652" s="5">
        <v>525</v>
      </c>
      <c r="BD1652" s="5">
        <v>465.44354838709683</v>
      </c>
    </row>
    <row r="1653" spans="52:56" x14ac:dyDescent="0.25">
      <c r="AZ1653" s="5">
        <v>1650</v>
      </c>
      <c r="BA1653" s="5">
        <v>0</v>
      </c>
      <c r="BB1653" s="5">
        <v>0</v>
      </c>
      <c r="BC1653" s="5">
        <v>525</v>
      </c>
      <c r="BD1653" s="5">
        <v>465.72580645161293</v>
      </c>
    </row>
    <row r="1654" spans="52:56" x14ac:dyDescent="0.25">
      <c r="AZ1654" s="5">
        <v>1651</v>
      </c>
      <c r="BA1654" s="5">
        <v>0</v>
      </c>
      <c r="BB1654" s="5">
        <v>0</v>
      </c>
      <c r="BC1654" s="5">
        <v>525</v>
      </c>
      <c r="BD1654" s="5">
        <v>466.00806451612908</v>
      </c>
    </row>
    <row r="1655" spans="52:56" x14ac:dyDescent="0.25">
      <c r="AZ1655" s="5">
        <v>1652</v>
      </c>
      <c r="BA1655" s="5">
        <v>0</v>
      </c>
      <c r="BB1655" s="5">
        <v>0</v>
      </c>
      <c r="BC1655" s="5">
        <v>525</v>
      </c>
      <c r="BD1655" s="5">
        <v>466.29032258064518</v>
      </c>
    </row>
    <row r="1656" spans="52:56" x14ac:dyDescent="0.25">
      <c r="AZ1656" s="5">
        <v>1653</v>
      </c>
      <c r="BA1656" s="5">
        <v>0</v>
      </c>
      <c r="BB1656" s="5">
        <v>0</v>
      </c>
      <c r="BC1656" s="5">
        <v>525</v>
      </c>
      <c r="BD1656" s="5">
        <v>466.57258064516134</v>
      </c>
    </row>
    <row r="1657" spans="52:56" x14ac:dyDescent="0.25">
      <c r="AZ1657" s="5">
        <v>1654</v>
      </c>
      <c r="BA1657" s="5">
        <v>0</v>
      </c>
      <c r="BB1657" s="5">
        <v>0</v>
      </c>
      <c r="BC1657" s="5">
        <v>525</v>
      </c>
      <c r="BD1657" s="5">
        <v>466.85483870967744</v>
      </c>
    </row>
    <row r="1658" spans="52:56" x14ac:dyDescent="0.25">
      <c r="AZ1658" s="5">
        <v>1655</v>
      </c>
      <c r="BA1658" s="5">
        <v>0</v>
      </c>
      <c r="BB1658" s="5">
        <v>0</v>
      </c>
      <c r="BC1658" s="5">
        <v>525</v>
      </c>
      <c r="BD1658" s="5">
        <v>467.13709677419359</v>
      </c>
    </row>
    <row r="1659" spans="52:56" x14ac:dyDescent="0.25">
      <c r="AZ1659" s="5">
        <v>1656</v>
      </c>
      <c r="BA1659" s="5">
        <v>0</v>
      </c>
      <c r="BB1659" s="5">
        <v>0</v>
      </c>
      <c r="BC1659" s="5">
        <v>525</v>
      </c>
      <c r="BD1659" s="5">
        <v>467.41935483870969</v>
      </c>
    </row>
    <row r="1660" spans="52:56" x14ac:dyDescent="0.25">
      <c r="AZ1660" s="5">
        <v>1657</v>
      </c>
      <c r="BA1660" s="5">
        <v>0</v>
      </c>
      <c r="BB1660" s="5">
        <v>0</v>
      </c>
      <c r="BC1660" s="5">
        <v>525</v>
      </c>
      <c r="BD1660" s="5">
        <v>467.70161290322585</v>
      </c>
    </row>
    <row r="1661" spans="52:56" x14ac:dyDescent="0.25">
      <c r="AZ1661" s="5">
        <v>1658</v>
      </c>
      <c r="BA1661" s="5">
        <v>0</v>
      </c>
      <c r="BB1661" s="5">
        <v>0</v>
      </c>
      <c r="BC1661" s="5">
        <v>525</v>
      </c>
      <c r="BD1661" s="5">
        <v>467.98387096774201</v>
      </c>
    </row>
    <row r="1662" spans="52:56" x14ac:dyDescent="0.25">
      <c r="AZ1662" s="5">
        <v>1659</v>
      </c>
      <c r="BA1662" s="5">
        <v>0</v>
      </c>
      <c r="BB1662" s="5">
        <v>0</v>
      </c>
      <c r="BC1662" s="5">
        <v>525</v>
      </c>
      <c r="BD1662" s="5">
        <v>468.26612903225811</v>
      </c>
    </row>
    <row r="1663" spans="52:56" x14ac:dyDescent="0.25">
      <c r="AZ1663" s="5">
        <v>1660</v>
      </c>
      <c r="BA1663" s="5">
        <v>0</v>
      </c>
      <c r="BB1663" s="5">
        <v>0</v>
      </c>
      <c r="BC1663" s="5">
        <v>525</v>
      </c>
      <c r="BD1663" s="5">
        <v>468.54838709677426</v>
      </c>
    </row>
    <row r="1664" spans="52:56" x14ac:dyDescent="0.25">
      <c r="AZ1664" s="5">
        <v>1661</v>
      </c>
      <c r="BA1664" s="5">
        <v>0</v>
      </c>
      <c r="BB1664" s="5">
        <v>0</v>
      </c>
      <c r="BC1664" s="5">
        <v>525</v>
      </c>
      <c r="BD1664" s="5">
        <v>468.83064516129036</v>
      </c>
    </row>
    <row r="1665" spans="52:56" x14ac:dyDescent="0.25">
      <c r="AZ1665" s="5">
        <v>1662</v>
      </c>
      <c r="BA1665" s="5">
        <v>0</v>
      </c>
      <c r="BB1665" s="5">
        <v>0</v>
      </c>
      <c r="BC1665" s="5">
        <v>525</v>
      </c>
      <c r="BD1665" s="5">
        <v>469.11290322580652</v>
      </c>
    </row>
    <row r="1666" spans="52:56" x14ac:dyDescent="0.25">
      <c r="AZ1666" s="5">
        <v>1663</v>
      </c>
      <c r="BA1666" s="5">
        <v>0</v>
      </c>
      <c r="BB1666" s="5">
        <v>0</v>
      </c>
      <c r="BC1666" s="5">
        <v>525</v>
      </c>
      <c r="BD1666" s="5">
        <v>469.39516129032262</v>
      </c>
    </row>
    <row r="1667" spans="52:56" x14ac:dyDescent="0.25">
      <c r="AZ1667" s="5">
        <v>1664</v>
      </c>
      <c r="BA1667" s="5">
        <v>0</v>
      </c>
      <c r="BB1667" s="5">
        <v>0</v>
      </c>
      <c r="BC1667" s="5">
        <v>525</v>
      </c>
      <c r="BD1667" s="5">
        <v>469.67741935483878</v>
      </c>
    </row>
    <row r="1668" spans="52:56" x14ac:dyDescent="0.25">
      <c r="AZ1668" s="5">
        <v>1665</v>
      </c>
      <c r="BA1668" s="5">
        <v>0</v>
      </c>
      <c r="BB1668" s="5">
        <v>0</v>
      </c>
      <c r="BC1668" s="5">
        <v>525</v>
      </c>
      <c r="BD1668" s="5">
        <v>469.95967741935488</v>
      </c>
    </row>
    <row r="1669" spans="52:56" x14ac:dyDescent="0.25">
      <c r="AZ1669" s="5">
        <v>1666</v>
      </c>
      <c r="BA1669" s="5">
        <v>0</v>
      </c>
      <c r="BB1669" s="5">
        <v>0</v>
      </c>
      <c r="BC1669" s="5">
        <v>525</v>
      </c>
      <c r="BD1669" s="5">
        <v>470.24193548387103</v>
      </c>
    </row>
    <row r="1670" spans="52:56" x14ac:dyDescent="0.25">
      <c r="AZ1670" s="5">
        <v>1667</v>
      </c>
      <c r="BA1670" s="5">
        <v>0</v>
      </c>
      <c r="BB1670" s="5">
        <v>0</v>
      </c>
      <c r="BC1670" s="5">
        <v>525</v>
      </c>
      <c r="BD1670" s="5">
        <v>470.52419354838713</v>
      </c>
    </row>
    <row r="1671" spans="52:56" x14ac:dyDescent="0.25">
      <c r="AZ1671" s="5">
        <v>1668</v>
      </c>
      <c r="BA1671" s="5">
        <v>0</v>
      </c>
      <c r="BB1671" s="5">
        <v>0</v>
      </c>
      <c r="BC1671" s="5">
        <v>525</v>
      </c>
      <c r="BD1671" s="5">
        <v>470.80645161290329</v>
      </c>
    </row>
    <row r="1672" spans="52:56" x14ac:dyDescent="0.25">
      <c r="AZ1672" s="5">
        <v>1669</v>
      </c>
      <c r="BA1672" s="5">
        <v>0</v>
      </c>
      <c r="BB1672" s="5">
        <v>0</v>
      </c>
      <c r="BC1672" s="5">
        <v>525</v>
      </c>
      <c r="BD1672" s="5">
        <v>471.08870967741939</v>
      </c>
    </row>
    <row r="1673" spans="52:56" x14ac:dyDescent="0.25">
      <c r="AZ1673" s="5">
        <v>1670</v>
      </c>
      <c r="BA1673" s="5">
        <v>0</v>
      </c>
      <c r="BB1673" s="5">
        <v>0</v>
      </c>
      <c r="BC1673" s="5">
        <v>525</v>
      </c>
      <c r="BD1673" s="5">
        <v>471.37096774193554</v>
      </c>
    </row>
    <row r="1674" spans="52:56" x14ac:dyDescent="0.25">
      <c r="AZ1674" s="5">
        <v>1671</v>
      </c>
      <c r="BA1674" s="5">
        <v>0</v>
      </c>
      <c r="BB1674" s="5">
        <v>0</v>
      </c>
      <c r="BC1674" s="5">
        <v>525</v>
      </c>
      <c r="BD1674" s="5">
        <v>471.65322580645164</v>
      </c>
    </row>
    <row r="1675" spans="52:56" x14ac:dyDescent="0.25">
      <c r="AZ1675" s="5">
        <v>1672</v>
      </c>
      <c r="BA1675" s="5">
        <v>0</v>
      </c>
      <c r="BB1675" s="5">
        <v>0</v>
      </c>
      <c r="BC1675" s="5">
        <v>525</v>
      </c>
      <c r="BD1675" s="5">
        <v>471.9354838709678</v>
      </c>
    </row>
    <row r="1676" spans="52:56" x14ac:dyDescent="0.25">
      <c r="AZ1676" s="5">
        <v>1673</v>
      </c>
      <c r="BA1676" s="5">
        <v>0</v>
      </c>
      <c r="BB1676" s="5">
        <v>0</v>
      </c>
      <c r="BC1676" s="5">
        <v>525</v>
      </c>
      <c r="BD1676" s="5">
        <v>472.2177419354839</v>
      </c>
    </row>
    <row r="1677" spans="52:56" x14ac:dyDescent="0.25">
      <c r="AZ1677" s="5">
        <v>1674</v>
      </c>
      <c r="BA1677" s="5">
        <v>0</v>
      </c>
      <c r="BB1677" s="5">
        <v>0</v>
      </c>
      <c r="BC1677" s="5">
        <v>525</v>
      </c>
      <c r="BD1677" s="5">
        <v>472.50000000000006</v>
      </c>
    </row>
    <row r="1678" spans="52:56" x14ac:dyDescent="0.25">
      <c r="AZ1678" s="6">
        <v>1675</v>
      </c>
      <c r="BA1678" s="6">
        <v>0</v>
      </c>
      <c r="BB1678" s="6">
        <v>0</v>
      </c>
      <c r="BC1678" s="6">
        <v>525</v>
      </c>
      <c r="BD1678" s="6">
        <v>472.78225806451616</v>
      </c>
    </row>
    <row r="1679" spans="52:56" x14ac:dyDescent="0.25">
      <c r="AZ1679" s="6">
        <v>1676</v>
      </c>
      <c r="BA1679" s="6">
        <v>0</v>
      </c>
      <c r="BB1679" s="6">
        <v>0</v>
      </c>
      <c r="BC1679" s="6">
        <v>525</v>
      </c>
      <c r="BD1679" s="6">
        <v>473.06451612903231</v>
      </c>
    </row>
    <row r="1680" spans="52:56" x14ac:dyDescent="0.25">
      <c r="AZ1680" s="6">
        <v>1677</v>
      </c>
      <c r="BA1680" s="6">
        <v>0</v>
      </c>
      <c r="BB1680" s="6">
        <v>0</v>
      </c>
      <c r="BC1680" s="6">
        <v>525</v>
      </c>
      <c r="BD1680" s="6">
        <v>473.34677419354841</v>
      </c>
    </row>
    <row r="1681" spans="52:56" x14ac:dyDescent="0.25">
      <c r="AZ1681" s="6">
        <v>1678</v>
      </c>
      <c r="BA1681" s="6">
        <v>0</v>
      </c>
      <c r="BB1681" s="6">
        <v>0</v>
      </c>
      <c r="BC1681" s="6">
        <v>525</v>
      </c>
      <c r="BD1681" s="6">
        <v>473.62903225806457</v>
      </c>
    </row>
    <row r="1682" spans="52:56" x14ac:dyDescent="0.25">
      <c r="AZ1682" s="6">
        <v>1679</v>
      </c>
      <c r="BA1682" s="6">
        <v>0</v>
      </c>
      <c r="BB1682" s="6">
        <v>0</v>
      </c>
      <c r="BC1682" s="6">
        <v>525</v>
      </c>
      <c r="BD1682" s="6">
        <v>473.91129032258067</v>
      </c>
    </row>
    <row r="1683" spans="52:56" x14ac:dyDescent="0.25">
      <c r="AZ1683" s="6">
        <v>1680</v>
      </c>
      <c r="BA1683" s="6">
        <v>0</v>
      </c>
      <c r="BB1683" s="6">
        <v>0</v>
      </c>
      <c r="BC1683" s="6">
        <v>525</v>
      </c>
      <c r="BD1683" s="6">
        <v>474.19354838709683</v>
      </c>
    </row>
    <row r="1684" spans="52:56" x14ac:dyDescent="0.25">
      <c r="AZ1684" s="6">
        <v>1681</v>
      </c>
      <c r="BA1684" s="6">
        <v>0</v>
      </c>
      <c r="BB1684" s="6">
        <v>0</v>
      </c>
      <c r="BC1684" s="6">
        <v>525</v>
      </c>
      <c r="BD1684" s="6">
        <v>474.47580645161293</v>
      </c>
    </row>
    <row r="1685" spans="52:56" x14ac:dyDescent="0.25">
      <c r="AZ1685" s="6">
        <v>1682</v>
      </c>
      <c r="BA1685" s="6">
        <v>0</v>
      </c>
      <c r="BB1685" s="6">
        <v>0</v>
      </c>
      <c r="BC1685" s="6">
        <v>525</v>
      </c>
      <c r="BD1685" s="6">
        <v>474.75806451612908</v>
      </c>
    </row>
    <row r="1686" spans="52:56" x14ac:dyDescent="0.25">
      <c r="AZ1686" s="6">
        <v>1683</v>
      </c>
      <c r="BA1686" s="6">
        <v>0</v>
      </c>
      <c r="BB1686" s="6">
        <v>0</v>
      </c>
      <c r="BC1686" s="6">
        <v>525</v>
      </c>
      <c r="BD1686" s="6">
        <v>475.04032258064518</v>
      </c>
    </row>
    <row r="1687" spans="52:56" x14ac:dyDescent="0.25">
      <c r="AZ1687" s="6">
        <v>1684</v>
      </c>
      <c r="BA1687" s="6">
        <v>0</v>
      </c>
      <c r="BB1687" s="6">
        <v>0</v>
      </c>
      <c r="BC1687" s="6">
        <v>525</v>
      </c>
      <c r="BD1687" s="6">
        <v>475.32258064516134</v>
      </c>
    </row>
    <row r="1688" spans="52:56" x14ac:dyDescent="0.25">
      <c r="AZ1688" s="6">
        <v>1685</v>
      </c>
      <c r="BA1688" s="6">
        <v>0</v>
      </c>
      <c r="BB1688" s="6">
        <v>0</v>
      </c>
      <c r="BC1688" s="6">
        <v>525</v>
      </c>
      <c r="BD1688" s="6">
        <v>475.60483870967744</v>
      </c>
    </row>
    <row r="1689" spans="52:56" x14ac:dyDescent="0.25">
      <c r="AZ1689" s="6">
        <v>1686</v>
      </c>
      <c r="BA1689" s="6">
        <v>0</v>
      </c>
      <c r="BB1689" s="6">
        <v>0</v>
      </c>
      <c r="BC1689" s="6">
        <v>525</v>
      </c>
      <c r="BD1689" s="6">
        <v>475.88709677419359</v>
      </c>
    </row>
    <row r="1690" spans="52:56" x14ac:dyDescent="0.25">
      <c r="AZ1690" s="6">
        <v>1687</v>
      </c>
      <c r="BA1690" s="6">
        <v>0</v>
      </c>
      <c r="BB1690" s="6">
        <v>0</v>
      </c>
      <c r="BC1690" s="6">
        <v>525</v>
      </c>
      <c r="BD1690" s="6">
        <v>476.16935483870975</v>
      </c>
    </row>
    <row r="1691" spans="52:56" x14ac:dyDescent="0.25">
      <c r="AZ1691" s="6">
        <v>1688</v>
      </c>
      <c r="BA1691" s="6">
        <v>0</v>
      </c>
      <c r="BB1691" s="6">
        <v>0</v>
      </c>
      <c r="BC1691" s="6">
        <v>525</v>
      </c>
      <c r="BD1691" s="6">
        <v>476.45161290322585</v>
      </c>
    </row>
    <row r="1692" spans="52:56" x14ac:dyDescent="0.25">
      <c r="AZ1692" s="6">
        <v>1689</v>
      </c>
      <c r="BA1692" s="6">
        <v>0</v>
      </c>
      <c r="BB1692" s="6">
        <v>0</v>
      </c>
      <c r="BC1692" s="6">
        <v>525</v>
      </c>
      <c r="BD1692" s="6">
        <v>476.73387096774201</v>
      </c>
    </row>
    <row r="1693" spans="52:56" x14ac:dyDescent="0.25">
      <c r="AZ1693" s="6">
        <v>1690</v>
      </c>
      <c r="BA1693" s="6">
        <v>0</v>
      </c>
      <c r="BB1693" s="6">
        <v>0</v>
      </c>
      <c r="BC1693" s="6">
        <v>525</v>
      </c>
      <c r="BD1693" s="6">
        <v>477.01612903225811</v>
      </c>
    </row>
    <row r="1694" spans="52:56" x14ac:dyDescent="0.25">
      <c r="AZ1694" s="6">
        <v>1691</v>
      </c>
      <c r="BA1694" s="6">
        <v>0</v>
      </c>
      <c r="BB1694" s="6">
        <v>0</v>
      </c>
      <c r="BC1694" s="6">
        <v>525</v>
      </c>
      <c r="BD1694" s="6">
        <v>477.29838709677426</v>
      </c>
    </row>
    <row r="1695" spans="52:56" x14ac:dyDescent="0.25">
      <c r="AZ1695" s="6">
        <v>1692</v>
      </c>
      <c r="BA1695" s="6">
        <v>0</v>
      </c>
      <c r="BB1695" s="6">
        <v>0</v>
      </c>
      <c r="BC1695" s="6">
        <v>525</v>
      </c>
      <c r="BD1695" s="6">
        <v>477.58064516129036</v>
      </c>
    </row>
    <row r="1696" spans="52:56" x14ac:dyDescent="0.25">
      <c r="AZ1696" s="6">
        <v>1693</v>
      </c>
      <c r="BA1696" s="6">
        <v>0</v>
      </c>
      <c r="BB1696" s="6">
        <v>0</v>
      </c>
      <c r="BC1696" s="6">
        <v>525</v>
      </c>
      <c r="BD1696" s="6">
        <v>477.86290322580652</v>
      </c>
    </row>
    <row r="1697" spans="52:56" x14ac:dyDescent="0.25">
      <c r="AZ1697" s="6">
        <v>1694</v>
      </c>
      <c r="BA1697" s="6">
        <v>0</v>
      </c>
      <c r="BB1697" s="6">
        <v>0</v>
      </c>
      <c r="BC1697" s="6">
        <v>525</v>
      </c>
      <c r="BD1697" s="6">
        <v>478.14516129032262</v>
      </c>
    </row>
    <row r="1698" spans="52:56" x14ac:dyDescent="0.25">
      <c r="AZ1698" s="6">
        <v>1695</v>
      </c>
      <c r="BA1698" s="6">
        <v>0</v>
      </c>
      <c r="BB1698" s="6">
        <v>0</v>
      </c>
      <c r="BC1698" s="6">
        <v>525</v>
      </c>
      <c r="BD1698" s="6">
        <v>478.42741935483878</v>
      </c>
    </row>
    <row r="1699" spans="52:56" x14ac:dyDescent="0.25">
      <c r="AZ1699" s="6">
        <v>1696</v>
      </c>
      <c r="BA1699" s="6">
        <v>0</v>
      </c>
      <c r="BB1699" s="6">
        <v>0</v>
      </c>
      <c r="BC1699" s="6">
        <v>525</v>
      </c>
      <c r="BD1699" s="6">
        <v>478.70967741935488</v>
      </c>
    </row>
    <row r="1700" spans="52:56" x14ac:dyDescent="0.25">
      <c r="AZ1700" s="6">
        <v>1697</v>
      </c>
      <c r="BA1700" s="6">
        <v>0</v>
      </c>
      <c r="BB1700" s="6">
        <v>0</v>
      </c>
      <c r="BC1700" s="6">
        <v>525</v>
      </c>
      <c r="BD1700" s="6">
        <v>478.99193548387103</v>
      </c>
    </row>
    <row r="1701" spans="52:56" x14ac:dyDescent="0.25">
      <c r="AZ1701" s="6">
        <v>1698</v>
      </c>
      <c r="BA1701" s="6">
        <v>0</v>
      </c>
      <c r="BB1701" s="6">
        <v>0</v>
      </c>
      <c r="BC1701" s="6">
        <v>525</v>
      </c>
      <c r="BD1701" s="6">
        <v>479.27419354838713</v>
      </c>
    </row>
    <row r="1702" spans="52:56" x14ac:dyDescent="0.25">
      <c r="AZ1702" s="6">
        <v>1699</v>
      </c>
      <c r="BA1702" s="6">
        <v>0</v>
      </c>
      <c r="BB1702" s="6">
        <v>0</v>
      </c>
      <c r="BC1702" s="6">
        <v>525</v>
      </c>
      <c r="BD1702" s="6">
        <v>479.55645161290329</v>
      </c>
    </row>
    <row r="1703" spans="52:56" x14ac:dyDescent="0.25">
      <c r="AZ1703" s="6">
        <v>1700</v>
      </c>
      <c r="BA1703" s="6">
        <v>0</v>
      </c>
      <c r="BB1703" s="6">
        <v>0</v>
      </c>
      <c r="BC1703" s="6">
        <v>525</v>
      </c>
      <c r="BD1703" s="6">
        <v>479.83870967741939</v>
      </c>
    </row>
    <row r="1704" spans="52:56" x14ac:dyDescent="0.25">
      <c r="AZ1704" s="6">
        <v>1701</v>
      </c>
      <c r="BA1704" s="6">
        <v>0</v>
      </c>
      <c r="BB1704" s="6">
        <v>0</v>
      </c>
      <c r="BC1704" s="6">
        <v>525</v>
      </c>
      <c r="BD1704" s="6">
        <v>480.12096774193554</v>
      </c>
    </row>
    <row r="1705" spans="52:56" x14ac:dyDescent="0.25">
      <c r="AZ1705" s="6">
        <v>1702</v>
      </c>
      <c r="BA1705" s="6">
        <v>0</v>
      </c>
      <c r="BB1705" s="6">
        <v>0</v>
      </c>
      <c r="BC1705" s="6">
        <v>525</v>
      </c>
      <c r="BD1705" s="6">
        <v>480.40322580645164</v>
      </c>
    </row>
    <row r="1706" spans="52:56" x14ac:dyDescent="0.25">
      <c r="AZ1706" s="6">
        <v>1703</v>
      </c>
      <c r="BA1706" s="6">
        <v>0</v>
      </c>
      <c r="BB1706" s="6">
        <v>0</v>
      </c>
      <c r="BC1706" s="6">
        <v>525</v>
      </c>
      <c r="BD1706" s="6">
        <v>480.6854838709678</v>
      </c>
    </row>
    <row r="1707" spans="52:56" x14ac:dyDescent="0.25">
      <c r="AZ1707" s="6">
        <v>1704</v>
      </c>
      <c r="BA1707" s="6">
        <v>0</v>
      </c>
      <c r="BB1707" s="6">
        <v>0</v>
      </c>
      <c r="BC1707" s="6">
        <v>525</v>
      </c>
      <c r="BD1707" s="6">
        <v>480.9677419354839</v>
      </c>
    </row>
    <row r="1708" spans="52:56" x14ac:dyDescent="0.25">
      <c r="AZ1708" s="6">
        <v>1705</v>
      </c>
      <c r="BA1708" s="6">
        <v>0</v>
      </c>
      <c r="BB1708" s="6">
        <v>0</v>
      </c>
      <c r="BC1708" s="6">
        <v>525</v>
      </c>
      <c r="BD1708" s="6">
        <v>481.25000000000006</v>
      </c>
    </row>
    <row r="1709" spans="52:56" x14ac:dyDescent="0.25">
      <c r="AZ1709" s="6">
        <v>1706</v>
      </c>
      <c r="BA1709" s="6">
        <v>0</v>
      </c>
      <c r="BB1709" s="6">
        <v>0</v>
      </c>
      <c r="BC1709" s="6">
        <v>525</v>
      </c>
      <c r="BD1709" s="6">
        <v>481.53225806451616</v>
      </c>
    </row>
    <row r="1710" spans="52:56" x14ac:dyDescent="0.25">
      <c r="AZ1710" s="6">
        <v>1707</v>
      </c>
      <c r="BA1710" s="6">
        <v>0</v>
      </c>
      <c r="BB1710" s="6">
        <v>0</v>
      </c>
      <c r="BC1710" s="6">
        <v>525</v>
      </c>
      <c r="BD1710" s="6">
        <v>481.81451612903231</v>
      </c>
    </row>
    <row r="1711" spans="52:56" x14ac:dyDescent="0.25">
      <c r="AZ1711" s="6">
        <v>1708</v>
      </c>
      <c r="BA1711" s="6">
        <v>0</v>
      </c>
      <c r="BB1711" s="6">
        <v>0</v>
      </c>
      <c r="BC1711" s="6">
        <v>525</v>
      </c>
      <c r="BD1711" s="6">
        <v>482.09677419354841</v>
      </c>
    </row>
    <row r="1712" spans="52:56" x14ac:dyDescent="0.25">
      <c r="AZ1712" s="6">
        <v>1709</v>
      </c>
      <c r="BA1712" s="6">
        <v>0</v>
      </c>
      <c r="BB1712" s="6">
        <v>0</v>
      </c>
      <c r="BC1712" s="6">
        <v>525</v>
      </c>
      <c r="BD1712" s="6">
        <v>482.37903225806457</v>
      </c>
    </row>
    <row r="1713" spans="52:56" x14ac:dyDescent="0.25">
      <c r="AZ1713" s="6">
        <v>1710</v>
      </c>
      <c r="BA1713" s="6">
        <v>0</v>
      </c>
      <c r="BB1713" s="6">
        <v>0</v>
      </c>
      <c r="BC1713" s="6">
        <v>525</v>
      </c>
      <c r="BD1713" s="6">
        <v>482.66129032258067</v>
      </c>
    </row>
    <row r="1714" spans="52:56" x14ac:dyDescent="0.25">
      <c r="AZ1714" s="6">
        <v>1711</v>
      </c>
      <c r="BA1714" s="6">
        <v>0</v>
      </c>
      <c r="BB1714" s="6">
        <v>0</v>
      </c>
      <c r="BC1714" s="6">
        <v>525</v>
      </c>
      <c r="BD1714" s="6">
        <v>482.94354838709683</v>
      </c>
    </row>
    <row r="1715" spans="52:56" x14ac:dyDescent="0.25">
      <c r="AZ1715" s="6">
        <v>1712</v>
      </c>
      <c r="BA1715" s="6">
        <v>0</v>
      </c>
      <c r="BB1715" s="6">
        <v>0</v>
      </c>
      <c r="BC1715" s="6">
        <v>525</v>
      </c>
      <c r="BD1715" s="6">
        <v>483.22580645161293</v>
      </c>
    </row>
    <row r="1716" spans="52:56" x14ac:dyDescent="0.25">
      <c r="AZ1716" s="6">
        <v>1713</v>
      </c>
      <c r="BA1716" s="6">
        <v>0</v>
      </c>
      <c r="BB1716" s="6">
        <v>0</v>
      </c>
      <c r="BC1716" s="6">
        <v>525</v>
      </c>
      <c r="BD1716" s="6">
        <v>483.50806451612908</v>
      </c>
    </row>
    <row r="1717" spans="52:56" x14ac:dyDescent="0.25">
      <c r="AZ1717" s="6">
        <v>1714</v>
      </c>
      <c r="BA1717" s="6">
        <v>0</v>
      </c>
      <c r="BB1717" s="6">
        <v>0</v>
      </c>
      <c r="BC1717" s="6">
        <v>525</v>
      </c>
      <c r="BD1717" s="6">
        <v>483.79032258064518</v>
      </c>
    </row>
    <row r="1718" spans="52:56" x14ac:dyDescent="0.25">
      <c r="AZ1718" s="6">
        <v>1715</v>
      </c>
      <c r="BA1718" s="6">
        <v>0</v>
      </c>
      <c r="BB1718" s="6">
        <v>0</v>
      </c>
      <c r="BC1718" s="6">
        <v>525</v>
      </c>
      <c r="BD1718" s="6">
        <v>484.07258064516134</v>
      </c>
    </row>
    <row r="1719" spans="52:56" x14ac:dyDescent="0.25">
      <c r="AZ1719" s="6">
        <v>1716</v>
      </c>
      <c r="BA1719" s="6">
        <v>0</v>
      </c>
      <c r="BB1719" s="6">
        <v>0</v>
      </c>
      <c r="BC1719" s="6">
        <v>525</v>
      </c>
      <c r="BD1719" s="6">
        <v>484.35483870967744</v>
      </c>
    </row>
    <row r="1720" spans="52:56" x14ac:dyDescent="0.25">
      <c r="AZ1720" s="6">
        <v>1717</v>
      </c>
      <c r="BA1720" s="6">
        <v>0</v>
      </c>
      <c r="BB1720" s="6">
        <v>0</v>
      </c>
      <c r="BC1720" s="6">
        <v>525</v>
      </c>
      <c r="BD1720" s="6">
        <v>484.63709677419359</v>
      </c>
    </row>
    <row r="1721" spans="52:56" x14ac:dyDescent="0.25">
      <c r="AZ1721" s="6">
        <v>1718</v>
      </c>
      <c r="BA1721" s="6">
        <v>0</v>
      </c>
      <c r="BB1721" s="6">
        <v>0</v>
      </c>
      <c r="BC1721" s="6">
        <v>525</v>
      </c>
      <c r="BD1721" s="6">
        <v>484.91935483870975</v>
      </c>
    </row>
    <row r="1722" spans="52:56" x14ac:dyDescent="0.25">
      <c r="AZ1722" s="6">
        <v>1719</v>
      </c>
      <c r="BA1722" s="6">
        <v>0</v>
      </c>
      <c r="BB1722" s="6">
        <v>0</v>
      </c>
      <c r="BC1722" s="6">
        <v>525</v>
      </c>
      <c r="BD1722" s="6">
        <v>485.20161290322585</v>
      </c>
    </row>
    <row r="1723" spans="52:56" x14ac:dyDescent="0.25">
      <c r="AZ1723" s="6">
        <v>1720</v>
      </c>
      <c r="BA1723" s="6">
        <v>0</v>
      </c>
      <c r="BB1723" s="6">
        <v>0</v>
      </c>
      <c r="BC1723" s="6">
        <v>525</v>
      </c>
      <c r="BD1723" s="6">
        <v>485.48387096774201</v>
      </c>
    </row>
    <row r="1724" spans="52:56" x14ac:dyDescent="0.25">
      <c r="AZ1724" s="6">
        <v>1721</v>
      </c>
      <c r="BA1724" s="6">
        <v>0</v>
      </c>
      <c r="BB1724" s="6">
        <v>0</v>
      </c>
      <c r="BC1724" s="6">
        <v>525</v>
      </c>
      <c r="BD1724" s="6">
        <v>485.76612903225811</v>
      </c>
    </row>
    <row r="1725" spans="52:56" x14ac:dyDescent="0.25">
      <c r="AZ1725" s="6">
        <v>1722</v>
      </c>
      <c r="BA1725" s="6">
        <v>0</v>
      </c>
      <c r="BB1725" s="6">
        <v>0</v>
      </c>
      <c r="BC1725" s="6">
        <v>525</v>
      </c>
      <c r="BD1725" s="6">
        <v>486.04838709677426</v>
      </c>
    </row>
    <row r="1726" spans="52:56" x14ac:dyDescent="0.25">
      <c r="AZ1726" s="6">
        <v>1723</v>
      </c>
      <c r="BA1726" s="6">
        <v>0</v>
      </c>
      <c r="BB1726" s="6">
        <v>0</v>
      </c>
      <c r="BC1726" s="6">
        <v>525</v>
      </c>
      <c r="BD1726" s="6">
        <v>486.33064516129036</v>
      </c>
    </row>
    <row r="1727" spans="52:56" x14ac:dyDescent="0.25">
      <c r="AZ1727" s="6">
        <v>1724</v>
      </c>
      <c r="BA1727" s="6">
        <v>0</v>
      </c>
      <c r="BB1727" s="6">
        <v>0</v>
      </c>
      <c r="BC1727" s="6">
        <v>525</v>
      </c>
      <c r="BD1727" s="6">
        <v>486.61290322580652</v>
      </c>
    </row>
    <row r="1728" spans="52:56" x14ac:dyDescent="0.25">
      <c r="AZ1728" s="6">
        <v>1725</v>
      </c>
      <c r="BA1728" s="6">
        <v>0</v>
      </c>
      <c r="BB1728" s="6">
        <v>0</v>
      </c>
      <c r="BC1728" s="6">
        <v>525</v>
      </c>
      <c r="BD1728" s="6">
        <v>486.89516129032262</v>
      </c>
    </row>
    <row r="1729" spans="52:56" x14ac:dyDescent="0.25">
      <c r="AZ1729" s="6">
        <v>1726</v>
      </c>
      <c r="BA1729" s="6">
        <v>0</v>
      </c>
      <c r="BB1729" s="6">
        <v>0</v>
      </c>
      <c r="BC1729" s="6">
        <v>525</v>
      </c>
      <c r="BD1729" s="6">
        <v>487.17741935483878</v>
      </c>
    </row>
    <row r="1730" spans="52:56" x14ac:dyDescent="0.25">
      <c r="AZ1730" s="6">
        <v>1727</v>
      </c>
      <c r="BA1730" s="6">
        <v>0</v>
      </c>
      <c r="BB1730" s="6">
        <v>0</v>
      </c>
      <c r="BC1730" s="6">
        <v>525</v>
      </c>
      <c r="BD1730" s="6">
        <v>487.45967741935488</v>
      </c>
    </row>
    <row r="1731" spans="52:56" x14ac:dyDescent="0.25">
      <c r="AZ1731" s="6">
        <v>1728</v>
      </c>
      <c r="BA1731" s="6">
        <v>0</v>
      </c>
      <c r="BB1731" s="6">
        <v>0</v>
      </c>
      <c r="BC1731" s="6">
        <v>525</v>
      </c>
      <c r="BD1731" s="6">
        <v>487.74193548387103</v>
      </c>
    </row>
    <row r="1732" spans="52:56" x14ac:dyDescent="0.25">
      <c r="AZ1732" s="6">
        <v>1729</v>
      </c>
      <c r="BA1732" s="6">
        <v>0</v>
      </c>
      <c r="BB1732" s="6">
        <v>0</v>
      </c>
      <c r="BC1732" s="6">
        <v>525</v>
      </c>
      <c r="BD1732" s="6">
        <v>488.02419354838713</v>
      </c>
    </row>
    <row r="1733" spans="52:56" x14ac:dyDescent="0.25">
      <c r="AZ1733" s="6">
        <v>1730</v>
      </c>
      <c r="BA1733" s="6">
        <v>0</v>
      </c>
      <c r="BB1733" s="6">
        <v>0</v>
      </c>
      <c r="BC1733" s="6">
        <v>525</v>
      </c>
      <c r="BD1733" s="6">
        <v>488.30645161290329</v>
      </c>
    </row>
    <row r="1734" spans="52:56" x14ac:dyDescent="0.25">
      <c r="AZ1734" s="6">
        <v>1731</v>
      </c>
      <c r="BA1734" s="6">
        <v>0</v>
      </c>
      <c r="BB1734" s="6">
        <v>0</v>
      </c>
      <c r="BC1734" s="6">
        <v>525</v>
      </c>
      <c r="BD1734" s="6">
        <v>488.58870967741939</v>
      </c>
    </row>
    <row r="1735" spans="52:56" x14ac:dyDescent="0.25">
      <c r="AZ1735" s="6">
        <v>1732</v>
      </c>
      <c r="BA1735" s="6">
        <v>0</v>
      </c>
      <c r="BB1735" s="6">
        <v>0</v>
      </c>
      <c r="BC1735" s="6">
        <v>525</v>
      </c>
      <c r="BD1735" s="6">
        <v>488.87096774193554</v>
      </c>
    </row>
    <row r="1736" spans="52:56" x14ac:dyDescent="0.25">
      <c r="AZ1736" s="6">
        <v>1733</v>
      </c>
      <c r="BA1736" s="6">
        <v>0</v>
      </c>
      <c r="BB1736" s="6">
        <v>0</v>
      </c>
      <c r="BC1736" s="6">
        <v>525</v>
      </c>
      <c r="BD1736" s="6">
        <v>489.15322580645164</v>
      </c>
    </row>
    <row r="1737" spans="52:56" x14ac:dyDescent="0.25">
      <c r="AZ1737" s="6">
        <v>1734</v>
      </c>
      <c r="BA1737" s="6">
        <v>0</v>
      </c>
      <c r="BB1737" s="6">
        <v>0</v>
      </c>
      <c r="BC1737" s="6">
        <v>525</v>
      </c>
      <c r="BD1737" s="6">
        <v>489.4354838709678</v>
      </c>
    </row>
    <row r="1738" spans="52:56" x14ac:dyDescent="0.25">
      <c r="AZ1738" s="6">
        <v>1735</v>
      </c>
      <c r="BA1738" s="6">
        <v>0</v>
      </c>
      <c r="BB1738" s="6">
        <v>0</v>
      </c>
      <c r="BC1738" s="6">
        <v>525</v>
      </c>
      <c r="BD1738" s="6">
        <v>489.7177419354839</v>
      </c>
    </row>
    <row r="1739" spans="52:56" x14ac:dyDescent="0.25">
      <c r="AZ1739" s="6">
        <v>1736</v>
      </c>
      <c r="BA1739" s="6">
        <v>0</v>
      </c>
      <c r="BB1739" s="6">
        <v>0</v>
      </c>
      <c r="BC1739" s="6">
        <v>525</v>
      </c>
      <c r="BD1739" s="6">
        <v>490.00000000000006</v>
      </c>
    </row>
    <row r="1740" spans="52:56" x14ac:dyDescent="0.25">
      <c r="AZ1740" s="6">
        <v>1737</v>
      </c>
      <c r="BA1740" s="6">
        <v>0</v>
      </c>
      <c r="BB1740" s="6">
        <v>0</v>
      </c>
      <c r="BC1740" s="6">
        <v>525</v>
      </c>
      <c r="BD1740" s="6">
        <v>490.28225806451616</v>
      </c>
    </row>
    <row r="1741" spans="52:56" x14ac:dyDescent="0.25">
      <c r="AZ1741" s="6">
        <v>1738</v>
      </c>
      <c r="BA1741" s="6">
        <v>0</v>
      </c>
      <c r="BB1741" s="6">
        <v>0</v>
      </c>
      <c r="BC1741" s="6">
        <v>525</v>
      </c>
      <c r="BD1741" s="6">
        <v>490.56451612903231</v>
      </c>
    </row>
    <row r="1742" spans="52:56" x14ac:dyDescent="0.25">
      <c r="AZ1742" s="6">
        <v>1739</v>
      </c>
      <c r="BA1742" s="6">
        <v>0</v>
      </c>
      <c r="BB1742" s="6">
        <v>0</v>
      </c>
      <c r="BC1742" s="6">
        <v>525</v>
      </c>
      <c r="BD1742" s="6">
        <v>490.84677419354841</v>
      </c>
    </row>
    <row r="1743" spans="52:56" x14ac:dyDescent="0.25">
      <c r="AZ1743" s="6">
        <v>1740</v>
      </c>
      <c r="BA1743" s="6">
        <v>0</v>
      </c>
      <c r="BB1743" s="6">
        <v>0</v>
      </c>
      <c r="BC1743" s="6">
        <v>525</v>
      </c>
      <c r="BD1743" s="6">
        <v>491.12903225806457</v>
      </c>
    </row>
    <row r="1744" spans="52:56" x14ac:dyDescent="0.25">
      <c r="AZ1744" s="6">
        <v>1741</v>
      </c>
      <c r="BA1744" s="6">
        <v>0</v>
      </c>
      <c r="BB1744" s="6">
        <v>0</v>
      </c>
      <c r="BC1744" s="6">
        <v>525</v>
      </c>
      <c r="BD1744" s="6">
        <v>491.41129032258067</v>
      </c>
    </row>
    <row r="1745" spans="52:56" x14ac:dyDescent="0.25">
      <c r="AZ1745" s="6">
        <v>1742</v>
      </c>
      <c r="BA1745" s="6">
        <v>0</v>
      </c>
      <c r="BB1745" s="6">
        <v>0</v>
      </c>
      <c r="BC1745" s="6">
        <v>525</v>
      </c>
      <c r="BD1745" s="6">
        <v>491.69354838709683</v>
      </c>
    </row>
    <row r="1746" spans="52:56" x14ac:dyDescent="0.25">
      <c r="AZ1746" s="6">
        <v>1743</v>
      </c>
      <c r="BA1746" s="6">
        <v>0</v>
      </c>
      <c r="BB1746" s="6">
        <v>0</v>
      </c>
      <c r="BC1746" s="6">
        <v>525</v>
      </c>
      <c r="BD1746" s="6">
        <v>491.97580645161293</v>
      </c>
    </row>
    <row r="1747" spans="52:56" x14ac:dyDescent="0.25">
      <c r="AZ1747" s="6">
        <v>1744</v>
      </c>
      <c r="BA1747" s="6">
        <v>0</v>
      </c>
      <c r="BB1747" s="6">
        <v>0</v>
      </c>
      <c r="BC1747" s="6">
        <v>525</v>
      </c>
      <c r="BD1747" s="6">
        <v>492.25806451612908</v>
      </c>
    </row>
    <row r="1748" spans="52:56" x14ac:dyDescent="0.25">
      <c r="AZ1748" s="6">
        <v>1745</v>
      </c>
      <c r="BA1748" s="6">
        <v>0</v>
      </c>
      <c r="BB1748" s="6">
        <v>0</v>
      </c>
      <c r="BC1748" s="6">
        <v>525</v>
      </c>
      <c r="BD1748" s="6">
        <v>492.54032258064518</v>
      </c>
    </row>
    <row r="1749" spans="52:56" x14ac:dyDescent="0.25">
      <c r="AZ1749" s="6">
        <v>1746</v>
      </c>
      <c r="BA1749" s="6">
        <v>0</v>
      </c>
      <c r="BB1749" s="6">
        <v>0</v>
      </c>
      <c r="BC1749" s="6">
        <v>525</v>
      </c>
      <c r="BD1749" s="6">
        <v>492.82258064516134</v>
      </c>
    </row>
    <row r="1750" spans="52:56" x14ac:dyDescent="0.25">
      <c r="AZ1750" s="6">
        <v>1747</v>
      </c>
      <c r="BA1750" s="6">
        <v>0</v>
      </c>
      <c r="BB1750" s="6">
        <v>0</v>
      </c>
      <c r="BC1750" s="6">
        <v>525</v>
      </c>
      <c r="BD1750" s="6">
        <v>493.10483870967749</v>
      </c>
    </row>
    <row r="1751" spans="52:56" x14ac:dyDescent="0.25">
      <c r="AZ1751" s="6">
        <v>1748</v>
      </c>
      <c r="BA1751" s="6">
        <v>0</v>
      </c>
      <c r="BB1751" s="6">
        <v>0</v>
      </c>
      <c r="BC1751" s="6">
        <v>525</v>
      </c>
      <c r="BD1751" s="6">
        <v>493.38709677419359</v>
      </c>
    </row>
    <row r="1752" spans="52:56" x14ac:dyDescent="0.25">
      <c r="AZ1752" s="6">
        <v>1749</v>
      </c>
      <c r="BA1752" s="6">
        <v>0</v>
      </c>
      <c r="BB1752" s="6">
        <v>0</v>
      </c>
      <c r="BC1752" s="6">
        <v>525</v>
      </c>
      <c r="BD1752" s="6">
        <v>493.66935483870975</v>
      </c>
    </row>
    <row r="1753" spans="52:56" x14ac:dyDescent="0.25">
      <c r="AZ1753" s="6">
        <v>1750</v>
      </c>
      <c r="BA1753" s="6">
        <v>0</v>
      </c>
      <c r="BB1753" s="6">
        <v>0</v>
      </c>
      <c r="BC1753" s="6">
        <v>525</v>
      </c>
      <c r="BD1753" s="6">
        <v>493.95161290322585</v>
      </c>
    </row>
    <row r="1754" spans="52:56" x14ac:dyDescent="0.25">
      <c r="AZ1754" s="6">
        <v>1751</v>
      </c>
      <c r="BA1754" s="6">
        <v>0</v>
      </c>
      <c r="BB1754" s="6">
        <v>0</v>
      </c>
      <c r="BC1754" s="6">
        <v>525</v>
      </c>
      <c r="BD1754" s="6">
        <v>494.23387096774201</v>
      </c>
    </row>
    <row r="1755" spans="52:56" x14ac:dyDescent="0.25">
      <c r="AZ1755" s="6">
        <v>1752</v>
      </c>
      <c r="BA1755" s="6">
        <v>0</v>
      </c>
      <c r="BB1755" s="6">
        <v>0</v>
      </c>
      <c r="BC1755" s="6">
        <v>525</v>
      </c>
      <c r="BD1755" s="6">
        <v>494.51612903225811</v>
      </c>
    </row>
    <row r="1756" spans="52:56" x14ac:dyDescent="0.25">
      <c r="AZ1756" s="6">
        <v>1753</v>
      </c>
      <c r="BA1756" s="6">
        <v>0</v>
      </c>
      <c r="BB1756" s="6">
        <v>0</v>
      </c>
      <c r="BC1756" s="6">
        <v>525</v>
      </c>
      <c r="BD1756" s="6">
        <v>494.79838709677426</v>
      </c>
    </row>
    <row r="1757" spans="52:56" x14ac:dyDescent="0.25">
      <c r="AZ1757" s="6">
        <v>1754</v>
      </c>
      <c r="BA1757" s="6">
        <v>0</v>
      </c>
      <c r="BB1757" s="6">
        <v>0</v>
      </c>
      <c r="BC1757" s="6">
        <v>525</v>
      </c>
      <c r="BD1757" s="6">
        <v>495.08064516129036</v>
      </c>
    </row>
    <row r="1758" spans="52:56" x14ac:dyDescent="0.25">
      <c r="AZ1758" s="6">
        <v>1755</v>
      </c>
      <c r="BA1758" s="6">
        <v>0</v>
      </c>
      <c r="BB1758" s="6">
        <v>0</v>
      </c>
      <c r="BC1758" s="6">
        <v>525</v>
      </c>
      <c r="BD1758" s="6">
        <v>495.36290322580652</v>
      </c>
    </row>
    <row r="1759" spans="52:56" x14ac:dyDescent="0.25">
      <c r="AZ1759" s="6">
        <v>1756</v>
      </c>
      <c r="BA1759" s="6">
        <v>0</v>
      </c>
      <c r="BB1759" s="6">
        <v>0</v>
      </c>
      <c r="BC1759" s="6">
        <v>525</v>
      </c>
      <c r="BD1759" s="6">
        <v>495.64516129032262</v>
      </c>
    </row>
    <row r="1760" spans="52:56" x14ac:dyDescent="0.25">
      <c r="AZ1760" s="6">
        <v>1757</v>
      </c>
      <c r="BA1760" s="6">
        <v>0</v>
      </c>
      <c r="BB1760" s="6">
        <v>0</v>
      </c>
      <c r="BC1760" s="6">
        <v>525</v>
      </c>
      <c r="BD1760" s="6">
        <v>495.92741935483878</v>
      </c>
    </row>
    <row r="1761" spans="52:56" x14ac:dyDescent="0.25">
      <c r="AZ1761" s="6">
        <v>1758</v>
      </c>
      <c r="BA1761" s="6">
        <v>0</v>
      </c>
      <c r="BB1761" s="6">
        <v>0</v>
      </c>
      <c r="BC1761" s="6">
        <v>525</v>
      </c>
      <c r="BD1761" s="6">
        <v>496.20967741935488</v>
      </c>
    </row>
    <row r="1762" spans="52:56" x14ac:dyDescent="0.25">
      <c r="AZ1762" s="6">
        <v>1759</v>
      </c>
      <c r="BA1762" s="6">
        <v>0</v>
      </c>
      <c r="BB1762" s="6">
        <v>0</v>
      </c>
      <c r="BC1762" s="6">
        <v>525</v>
      </c>
      <c r="BD1762" s="6">
        <v>496.49193548387103</v>
      </c>
    </row>
    <row r="1763" spans="52:56" x14ac:dyDescent="0.25">
      <c r="AZ1763" s="6">
        <v>1760</v>
      </c>
      <c r="BA1763" s="6">
        <v>0</v>
      </c>
      <c r="BB1763" s="6">
        <v>0</v>
      </c>
      <c r="BC1763" s="6">
        <v>525</v>
      </c>
      <c r="BD1763" s="6">
        <v>496.77419354838713</v>
      </c>
    </row>
    <row r="1764" spans="52:56" x14ac:dyDescent="0.25">
      <c r="AZ1764" s="6">
        <v>1761</v>
      </c>
      <c r="BA1764" s="6">
        <v>0</v>
      </c>
      <c r="BB1764" s="6">
        <v>0</v>
      </c>
      <c r="BC1764" s="6">
        <v>525</v>
      </c>
      <c r="BD1764" s="6">
        <v>497.05645161290329</v>
      </c>
    </row>
    <row r="1765" spans="52:56" x14ac:dyDescent="0.25">
      <c r="AZ1765" s="6">
        <v>1762</v>
      </c>
      <c r="BA1765" s="6">
        <v>0</v>
      </c>
      <c r="BB1765" s="6">
        <v>0</v>
      </c>
      <c r="BC1765" s="6">
        <v>525</v>
      </c>
      <c r="BD1765" s="6">
        <v>497.33870967741939</v>
      </c>
    </row>
    <row r="1766" spans="52:56" x14ac:dyDescent="0.25">
      <c r="AZ1766" s="6">
        <v>1763</v>
      </c>
      <c r="BA1766" s="6">
        <v>0</v>
      </c>
      <c r="BB1766" s="6">
        <v>0</v>
      </c>
      <c r="BC1766" s="6">
        <v>525</v>
      </c>
      <c r="BD1766" s="6">
        <v>497.62096774193554</v>
      </c>
    </row>
    <row r="1767" spans="52:56" x14ac:dyDescent="0.25">
      <c r="AZ1767" s="6">
        <v>1764</v>
      </c>
      <c r="BA1767" s="6">
        <v>0</v>
      </c>
      <c r="BB1767" s="6">
        <v>0</v>
      </c>
      <c r="BC1767" s="6">
        <v>525</v>
      </c>
      <c r="BD1767" s="6">
        <v>497.90322580645164</v>
      </c>
    </row>
    <row r="1768" spans="52:56" x14ac:dyDescent="0.25">
      <c r="AZ1768" s="6">
        <v>1765</v>
      </c>
      <c r="BA1768" s="6">
        <v>0</v>
      </c>
      <c r="BB1768" s="6">
        <v>0</v>
      </c>
      <c r="BC1768" s="6">
        <v>525</v>
      </c>
      <c r="BD1768" s="6">
        <v>498.1854838709678</v>
      </c>
    </row>
    <row r="1769" spans="52:56" x14ac:dyDescent="0.25">
      <c r="AZ1769" s="6">
        <v>1766</v>
      </c>
      <c r="BA1769" s="6">
        <v>0</v>
      </c>
      <c r="BB1769" s="6">
        <v>0</v>
      </c>
      <c r="BC1769" s="6">
        <v>525</v>
      </c>
      <c r="BD1769" s="6">
        <v>498.4677419354839</v>
      </c>
    </row>
    <row r="1770" spans="52:56" x14ac:dyDescent="0.25">
      <c r="AZ1770" s="6">
        <v>1767</v>
      </c>
      <c r="BA1770" s="6">
        <v>0</v>
      </c>
      <c r="BB1770" s="6">
        <v>0</v>
      </c>
      <c r="BC1770" s="6">
        <v>525</v>
      </c>
      <c r="BD1770" s="6">
        <v>498.75000000000006</v>
      </c>
    </row>
    <row r="1771" spans="52:56" x14ac:dyDescent="0.25">
      <c r="AZ1771" s="6">
        <v>1768</v>
      </c>
      <c r="BA1771" s="6">
        <v>0</v>
      </c>
      <c r="BB1771" s="6">
        <v>0</v>
      </c>
      <c r="BC1771" s="6">
        <v>525</v>
      </c>
      <c r="BD1771" s="6">
        <v>499.03225806451616</v>
      </c>
    </row>
    <row r="1772" spans="52:56" x14ac:dyDescent="0.25">
      <c r="AZ1772" s="6">
        <v>1769</v>
      </c>
      <c r="BA1772" s="6">
        <v>0</v>
      </c>
      <c r="BB1772" s="6">
        <v>0</v>
      </c>
      <c r="BC1772" s="6">
        <v>525</v>
      </c>
      <c r="BD1772" s="6">
        <v>499.31451612903231</v>
      </c>
    </row>
    <row r="1773" spans="52:56" x14ac:dyDescent="0.25">
      <c r="AZ1773" s="6">
        <v>1770</v>
      </c>
      <c r="BA1773" s="6">
        <v>0</v>
      </c>
      <c r="BB1773" s="6">
        <v>0</v>
      </c>
      <c r="BC1773" s="6">
        <v>525</v>
      </c>
      <c r="BD1773" s="6">
        <v>499.59677419354841</v>
      </c>
    </row>
    <row r="1774" spans="52:56" x14ac:dyDescent="0.25">
      <c r="AZ1774" s="6">
        <v>1771</v>
      </c>
      <c r="BA1774" s="6">
        <v>0</v>
      </c>
      <c r="BB1774" s="6">
        <v>0</v>
      </c>
      <c r="BC1774" s="6">
        <v>525</v>
      </c>
      <c r="BD1774" s="6">
        <v>499.87903225806457</v>
      </c>
    </row>
    <row r="1775" spans="52:56" x14ac:dyDescent="0.25">
      <c r="AZ1775" s="6">
        <v>1772</v>
      </c>
      <c r="BA1775" s="6">
        <v>0</v>
      </c>
      <c r="BB1775" s="6">
        <v>0</v>
      </c>
      <c r="BC1775" s="6">
        <v>525</v>
      </c>
      <c r="BD1775" s="6">
        <v>500.16129032258067</v>
      </c>
    </row>
    <row r="1776" spans="52:56" x14ac:dyDescent="0.25">
      <c r="AZ1776" s="6">
        <v>1773</v>
      </c>
      <c r="BA1776" s="6">
        <v>0</v>
      </c>
      <c r="BB1776" s="6">
        <v>0</v>
      </c>
      <c r="BC1776" s="6">
        <v>525</v>
      </c>
      <c r="BD1776" s="6">
        <v>500.44354838709683</v>
      </c>
    </row>
    <row r="1777" spans="52:56" x14ac:dyDescent="0.25">
      <c r="AZ1777" s="6">
        <v>1774</v>
      </c>
      <c r="BA1777" s="6">
        <v>0</v>
      </c>
      <c r="BB1777" s="6">
        <v>0</v>
      </c>
      <c r="BC1777" s="6">
        <v>525</v>
      </c>
      <c r="BD1777" s="6">
        <v>500.72580645161293</v>
      </c>
    </row>
    <row r="1778" spans="52:56" x14ac:dyDescent="0.25">
      <c r="AZ1778" s="6">
        <v>1775</v>
      </c>
      <c r="BA1778" s="6">
        <v>0</v>
      </c>
      <c r="BB1778" s="6">
        <v>0</v>
      </c>
      <c r="BC1778" s="6">
        <v>525</v>
      </c>
      <c r="BD1778" s="6">
        <v>501.00806451612908</v>
      </c>
    </row>
    <row r="1779" spans="52:56" x14ac:dyDescent="0.25">
      <c r="AZ1779" s="6">
        <v>1776</v>
      </c>
      <c r="BA1779" s="6">
        <v>0</v>
      </c>
      <c r="BB1779" s="6">
        <v>0</v>
      </c>
      <c r="BC1779" s="6">
        <v>525</v>
      </c>
      <c r="BD1779" s="6">
        <v>501.29032258064518</v>
      </c>
    </row>
    <row r="1780" spans="52:56" x14ac:dyDescent="0.25">
      <c r="AZ1780" s="6">
        <v>1777</v>
      </c>
      <c r="BA1780" s="6">
        <v>0</v>
      </c>
      <c r="BB1780" s="6">
        <v>0</v>
      </c>
      <c r="BC1780" s="6">
        <v>525</v>
      </c>
      <c r="BD1780" s="6">
        <v>501.57258064516134</v>
      </c>
    </row>
    <row r="1781" spans="52:56" x14ac:dyDescent="0.25">
      <c r="AZ1781" s="6">
        <v>1778</v>
      </c>
      <c r="BA1781" s="6">
        <v>0</v>
      </c>
      <c r="BB1781" s="6">
        <v>0</v>
      </c>
      <c r="BC1781" s="6">
        <v>525</v>
      </c>
      <c r="BD1781" s="6">
        <v>501.85483870967749</v>
      </c>
    </row>
    <row r="1782" spans="52:56" x14ac:dyDescent="0.25">
      <c r="AZ1782" s="6">
        <v>1779</v>
      </c>
      <c r="BA1782" s="6">
        <v>0</v>
      </c>
      <c r="BB1782" s="6">
        <v>0</v>
      </c>
      <c r="BC1782" s="6">
        <v>525</v>
      </c>
      <c r="BD1782" s="6">
        <v>502.13709677419359</v>
      </c>
    </row>
    <row r="1783" spans="52:56" x14ac:dyDescent="0.25">
      <c r="AZ1783" s="6">
        <v>1780</v>
      </c>
      <c r="BA1783" s="6">
        <v>0</v>
      </c>
      <c r="BB1783" s="6">
        <v>0</v>
      </c>
      <c r="BC1783" s="6">
        <v>525</v>
      </c>
      <c r="BD1783" s="6">
        <v>502.41935483870975</v>
      </c>
    </row>
    <row r="1784" spans="52:56" x14ac:dyDescent="0.25">
      <c r="AZ1784" s="6">
        <v>1781</v>
      </c>
      <c r="BA1784" s="6">
        <v>0</v>
      </c>
      <c r="BB1784" s="6">
        <v>0</v>
      </c>
      <c r="BC1784" s="6">
        <v>525</v>
      </c>
      <c r="BD1784" s="6">
        <v>502.70161290322585</v>
      </c>
    </row>
    <row r="1785" spans="52:56" x14ac:dyDescent="0.25">
      <c r="AZ1785" s="6">
        <v>1782</v>
      </c>
      <c r="BA1785" s="6">
        <v>0</v>
      </c>
      <c r="BB1785" s="6">
        <v>0</v>
      </c>
      <c r="BC1785" s="6">
        <v>525</v>
      </c>
      <c r="BD1785" s="6">
        <v>502.98387096774201</v>
      </c>
    </row>
    <row r="1786" spans="52:56" x14ac:dyDescent="0.25">
      <c r="AZ1786" s="6">
        <v>1783</v>
      </c>
      <c r="BA1786" s="6">
        <v>0</v>
      </c>
      <c r="BB1786" s="6">
        <v>0</v>
      </c>
      <c r="BC1786" s="6">
        <v>525</v>
      </c>
      <c r="BD1786" s="6">
        <v>503.26612903225811</v>
      </c>
    </row>
    <row r="1787" spans="52:56" x14ac:dyDescent="0.25">
      <c r="AZ1787" s="6">
        <v>1784</v>
      </c>
      <c r="BA1787" s="6">
        <v>0</v>
      </c>
      <c r="BB1787" s="6">
        <v>0</v>
      </c>
      <c r="BC1787" s="6">
        <v>525</v>
      </c>
      <c r="BD1787" s="6">
        <v>503.54838709677426</v>
      </c>
    </row>
    <row r="1788" spans="52:56" x14ac:dyDescent="0.25">
      <c r="AZ1788" s="6">
        <v>1785</v>
      </c>
      <c r="BA1788" s="6">
        <v>0</v>
      </c>
      <c r="BB1788" s="6">
        <v>0</v>
      </c>
      <c r="BC1788" s="6">
        <v>525</v>
      </c>
      <c r="BD1788" s="6">
        <v>503.83064516129036</v>
      </c>
    </row>
    <row r="1789" spans="52:56" x14ac:dyDescent="0.25">
      <c r="AZ1789" s="6">
        <v>1786</v>
      </c>
      <c r="BA1789" s="6">
        <v>0</v>
      </c>
      <c r="BB1789" s="6">
        <v>0</v>
      </c>
      <c r="BC1789" s="6">
        <v>525</v>
      </c>
      <c r="BD1789" s="6">
        <v>504.11290322580652</v>
      </c>
    </row>
    <row r="1790" spans="52:56" x14ac:dyDescent="0.25">
      <c r="AZ1790" s="6">
        <v>1787</v>
      </c>
      <c r="BA1790" s="6">
        <v>0</v>
      </c>
      <c r="BB1790" s="6">
        <v>0</v>
      </c>
      <c r="BC1790" s="6">
        <v>525</v>
      </c>
      <c r="BD1790" s="6">
        <v>504.39516129032262</v>
      </c>
    </row>
    <row r="1791" spans="52:56" x14ac:dyDescent="0.25">
      <c r="AZ1791" s="6">
        <v>1788</v>
      </c>
      <c r="BA1791" s="6">
        <v>0</v>
      </c>
      <c r="BB1791" s="6">
        <v>0</v>
      </c>
      <c r="BC1791" s="6">
        <v>525</v>
      </c>
      <c r="BD1791" s="6">
        <v>504.67741935483878</v>
      </c>
    </row>
    <row r="1792" spans="52:56" x14ac:dyDescent="0.25">
      <c r="AZ1792" s="6">
        <v>1789</v>
      </c>
      <c r="BA1792" s="6">
        <v>0</v>
      </c>
      <c r="BB1792" s="6">
        <v>0</v>
      </c>
      <c r="BC1792" s="6">
        <v>525</v>
      </c>
      <c r="BD1792" s="6">
        <v>504.95967741935488</v>
      </c>
    </row>
    <row r="1793" spans="52:56" x14ac:dyDescent="0.25">
      <c r="AZ1793" s="6">
        <v>1790</v>
      </c>
      <c r="BA1793" s="6">
        <v>0</v>
      </c>
      <c r="BB1793" s="6">
        <v>0</v>
      </c>
      <c r="BC1793" s="6">
        <v>525</v>
      </c>
      <c r="BD1793" s="6">
        <v>505.24193548387103</v>
      </c>
    </row>
    <row r="1794" spans="52:56" x14ac:dyDescent="0.25">
      <c r="AZ1794" s="6">
        <v>1791</v>
      </c>
      <c r="BA1794" s="6">
        <v>0</v>
      </c>
      <c r="BB1794" s="6">
        <v>0</v>
      </c>
      <c r="BC1794" s="6">
        <v>525</v>
      </c>
      <c r="BD1794" s="6">
        <v>505.52419354838713</v>
      </c>
    </row>
    <row r="1795" spans="52:56" x14ac:dyDescent="0.25">
      <c r="AZ1795" s="6">
        <v>1792</v>
      </c>
      <c r="BA1795" s="6">
        <v>0</v>
      </c>
      <c r="BB1795" s="6">
        <v>0</v>
      </c>
      <c r="BC1795" s="6">
        <v>525</v>
      </c>
      <c r="BD1795" s="6">
        <v>505.80645161290329</v>
      </c>
    </row>
    <row r="1796" spans="52:56" x14ac:dyDescent="0.25">
      <c r="AZ1796" s="6">
        <v>1793</v>
      </c>
      <c r="BA1796" s="6">
        <v>0</v>
      </c>
      <c r="BB1796" s="6">
        <v>0</v>
      </c>
      <c r="BC1796" s="6">
        <v>525</v>
      </c>
      <c r="BD1796" s="6">
        <v>506.08870967741939</v>
      </c>
    </row>
    <row r="1797" spans="52:56" x14ac:dyDescent="0.25">
      <c r="AZ1797" s="6">
        <v>1794</v>
      </c>
      <c r="BA1797" s="6">
        <v>0</v>
      </c>
      <c r="BB1797" s="6">
        <v>0</v>
      </c>
      <c r="BC1797" s="6">
        <v>525</v>
      </c>
      <c r="BD1797" s="6">
        <v>506.37096774193554</v>
      </c>
    </row>
    <row r="1798" spans="52:56" x14ac:dyDescent="0.25">
      <c r="AZ1798" s="6">
        <v>1795</v>
      </c>
      <c r="BA1798" s="6">
        <v>0</v>
      </c>
      <c r="BB1798" s="6">
        <v>0</v>
      </c>
      <c r="BC1798" s="6">
        <v>525</v>
      </c>
      <c r="BD1798" s="6">
        <v>506.65322580645164</v>
      </c>
    </row>
    <row r="1799" spans="52:56" x14ac:dyDescent="0.25">
      <c r="AZ1799" s="6">
        <v>1796</v>
      </c>
      <c r="BA1799" s="6">
        <v>0</v>
      </c>
      <c r="BB1799" s="6">
        <v>0</v>
      </c>
      <c r="BC1799" s="6">
        <v>525</v>
      </c>
      <c r="BD1799" s="6">
        <v>506.9354838709678</v>
      </c>
    </row>
    <row r="1800" spans="52:56" x14ac:dyDescent="0.25">
      <c r="AZ1800" s="6">
        <v>1797</v>
      </c>
      <c r="BA1800" s="6">
        <v>0</v>
      </c>
      <c r="BB1800" s="6">
        <v>0</v>
      </c>
      <c r="BC1800" s="6">
        <v>525</v>
      </c>
      <c r="BD1800" s="6">
        <v>507.2177419354839</v>
      </c>
    </row>
    <row r="1801" spans="52:56" x14ac:dyDescent="0.25">
      <c r="AZ1801" s="6">
        <v>1798</v>
      </c>
      <c r="BA1801" s="6">
        <v>0</v>
      </c>
      <c r="BB1801" s="6">
        <v>0</v>
      </c>
      <c r="BC1801" s="6">
        <v>525</v>
      </c>
      <c r="BD1801" s="6">
        <v>507.50000000000006</v>
      </c>
    </row>
    <row r="1802" spans="52:56" x14ac:dyDescent="0.25">
      <c r="AZ1802" s="6">
        <v>1799</v>
      </c>
      <c r="BA1802" s="6">
        <v>0</v>
      </c>
      <c r="BB1802" s="6">
        <v>0</v>
      </c>
      <c r="BC1802" s="6">
        <v>525</v>
      </c>
      <c r="BD1802" s="6">
        <v>507.78225806451616</v>
      </c>
    </row>
    <row r="1803" spans="52:56" x14ac:dyDescent="0.25">
      <c r="AZ1803" s="6">
        <v>1800</v>
      </c>
      <c r="BA1803" s="6">
        <v>0</v>
      </c>
      <c r="BB1803" s="6">
        <v>0</v>
      </c>
      <c r="BC1803" s="6">
        <v>525</v>
      </c>
      <c r="BD1803" s="6">
        <v>508.06451612903231</v>
      </c>
    </row>
    <row r="1804" spans="52:56" x14ac:dyDescent="0.25">
      <c r="AZ1804" s="6">
        <v>1801</v>
      </c>
      <c r="BA1804" s="6">
        <v>0</v>
      </c>
      <c r="BB1804" s="6">
        <v>0</v>
      </c>
      <c r="BC1804" s="6">
        <v>525</v>
      </c>
      <c r="BD1804" s="6">
        <v>508.34677419354841</v>
      </c>
    </row>
    <row r="1805" spans="52:56" x14ac:dyDescent="0.25">
      <c r="AZ1805" s="6">
        <v>1802</v>
      </c>
      <c r="BA1805" s="6">
        <v>0</v>
      </c>
      <c r="BB1805" s="6">
        <v>0</v>
      </c>
      <c r="BC1805" s="6">
        <v>525</v>
      </c>
      <c r="BD1805" s="6">
        <v>508.62903225806457</v>
      </c>
    </row>
    <row r="1806" spans="52:56" x14ac:dyDescent="0.25">
      <c r="AZ1806" s="6">
        <v>1803</v>
      </c>
      <c r="BA1806" s="6">
        <v>0</v>
      </c>
      <c r="BB1806" s="6">
        <v>0</v>
      </c>
      <c r="BC1806" s="6">
        <v>525</v>
      </c>
      <c r="BD1806" s="6">
        <v>508.91129032258067</v>
      </c>
    </row>
    <row r="1807" spans="52:56" x14ac:dyDescent="0.25">
      <c r="AZ1807" s="6">
        <v>1804</v>
      </c>
      <c r="BA1807" s="6">
        <v>0</v>
      </c>
      <c r="BB1807" s="6">
        <v>0</v>
      </c>
      <c r="BC1807" s="6">
        <v>525</v>
      </c>
      <c r="BD1807" s="6">
        <v>509.19354838709683</v>
      </c>
    </row>
    <row r="1808" spans="52:56" x14ac:dyDescent="0.25">
      <c r="AZ1808" s="6">
        <v>1805</v>
      </c>
      <c r="BA1808" s="6">
        <v>0</v>
      </c>
      <c r="BB1808" s="6">
        <v>0</v>
      </c>
      <c r="BC1808" s="6">
        <v>525</v>
      </c>
      <c r="BD1808" s="6">
        <v>509.47580645161293</v>
      </c>
    </row>
    <row r="1809" spans="52:56" x14ac:dyDescent="0.25">
      <c r="AZ1809" s="6">
        <v>1806</v>
      </c>
      <c r="BA1809" s="6">
        <v>0</v>
      </c>
      <c r="BB1809" s="6">
        <v>0</v>
      </c>
      <c r="BC1809" s="6">
        <v>525</v>
      </c>
      <c r="BD1809" s="6">
        <v>509.75806451612908</v>
      </c>
    </row>
    <row r="1810" spans="52:56" x14ac:dyDescent="0.25">
      <c r="AZ1810" s="6">
        <v>1807</v>
      </c>
      <c r="BA1810" s="6">
        <v>0</v>
      </c>
      <c r="BB1810" s="6">
        <v>0</v>
      </c>
      <c r="BC1810" s="6">
        <v>525</v>
      </c>
      <c r="BD1810" s="6">
        <v>510.04032258064518</v>
      </c>
    </row>
    <row r="1811" spans="52:56" x14ac:dyDescent="0.25">
      <c r="AZ1811" s="6">
        <v>1808</v>
      </c>
      <c r="BA1811" s="6">
        <v>0</v>
      </c>
      <c r="BB1811" s="6">
        <v>0</v>
      </c>
      <c r="BC1811" s="6">
        <v>525</v>
      </c>
      <c r="BD1811" s="6">
        <v>510.32258064516134</v>
      </c>
    </row>
    <row r="1812" spans="52:56" x14ac:dyDescent="0.25">
      <c r="AZ1812" s="6">
        <v>1809</v>
      </c>
      <c r="BA1812" s="6">
        <v>0</v>
      </c>
      <c r="BB1812" s="6">
        <v>0</v>
      </c>
      <c r="BC1812" s="6">
        <v>525</v>
      </c>
      <c r="BD1812" s="6">
        <v>510.60483870967749</v>
      </c>
    </row>
    <row r="1813" spans="52:56" x14ac:dyDescent="0.25">
      <c r="AZ1813" s="6">
        <v>1810</v>
      </c>
      <c r="BA1813" s="6">
        <v>0</v>
      </c>
      <c r="BB1813" s="6">
        <v>0</v>
      </c>
      <c r="BC1813" s="6">
        <v>525</v>
      </c>
      <c r="BD1813" s="6">
        <v>510.88709677419359</v>
      </c>
    </row>
    <row r="1814" spans="52:56" x14ac:dyDescent="0.25">
      <c r="AZ1814" s="6">
        <v>1811</v>
      </c>
      <c r="BA1814" s="6">
        <v>0</v>
      </c>
      <c r="BB1814" s="6">
        <v>0</v>
      </c>
      <c r="BC1814" s="6">
        <v>525</v>
      </c>
      <c r="BD1814" s="6">
        <v>511.16935483870975</v>
      </c>
    </row>
    <row r="1815" spans="52:56" x14ac:dyDescent="0.25">
      <c r="AZ1815" s="6">
        <v>1812</v>
      </c>
      <c r="BA1815" s="6">
        <v>0</v>
      </c>
      <c r="BB1815" s="6">
        <v>0</v>
      </c>
      <c r="BC1815" s="6">
        <v>525</v>
      </c>
      <c r="BD1815" s="6">
        <v>511.45161290322585</v>
      </c>
    </row>
    <row r="1816" spans="52:56" x14ac:dyDescent="0.25">
      <c r="AZ1816" s="6">
        <v>1813</v>
      </c>
      <c r="BA1816" s="6">
        <v>0</v>
      </c>
      <c r="BB1816" s="6">
        <v>0</v>
      </c>
      <c r="BC1816" s="6">
        <v>525</v>
      </c>
      <c r="BD1816" s="6">
        <v>511.73387096774201</v>
      </c>
    </row>
    <row r="1817" spans="52:56" x14ac:dyDescent="0.25">
      <c r="AZ1817" s="6">
        <v>1814</v>
      </c>
      <c r="BA1817" s="6">
        <v>0</v>
      </c>
      <c r="BB1817" s="6">
        <v>0</v>
      </c>
      <c r="BC1817" s="6">
        <v>525</v>
      </c>
      <c r="BD1817" s="6">
        <v>512.01612903225816</v>
      </c>
    </row>
    <row r="1818" spans="52:56" x14ac:dyDescent="0.25">
      <c r="AZ1818" s="6">
        <v>1815</v>
      </c>
      <c r="BA1818" s="6">
        <v>0</v>
      </c>
      <c r="BB1818" s="6">
        <v>0</v>
      </c>
      <c r="BC1818" s="6">
        <v>525</v>
      </c>
      <c r="BD1818" s="6">
        <v>512.29838709677426</v>
      </c>
    </row>
    <row r="1819" spans="52:56" x14ac:dyDescent="0.25">
      <c r="AZ1819" s="6">
        <v>1816</v>
      </c>
      <c r="BA1819" s="6">
        <v>0</v>
      </c>
      <c r="BB1819" s="6">
        <v>0</v>
      </c>
      <c r="BC1819" s="6">
        <v>525</v>
      </c>
      <c r="BD1819" s="6">
        <v>512.58064516129036</v>
      </c>
    </row>
    <row r="1820" spans="52:56" x14ac:dyDescent="0.25">
      <c r="AZ1820" s="6">
        <v>1817</v>
      </c>
      <c r="BA1820" s="6">
        <v>0</v>
      </c>
      <c r="BB1820" s="6">
        <v>0</v>
      </c>
      <c r="BC1820" s="6">
        <v>525</v>
      </c>
      <c r="BD1820" s="6">
        <v>512.86290322580646</v>
      </c>
    </row>
    <row r="1821" spans="52:56" x14ac:dyDescent="0.25">
      <c r="AZ1821" s="6">
        <v>1818</v>
      </c>
      <c r="BA1821" s="6">
        <v>0</v>
      </c>
      <c r="BB1821" s="6">
        <v>0</v>
      </c>
      <c r="BC1821" s="6">
        <v>525</v>
      </c>
      <c r="BD1821" s="6">
        <v>513.14516129032268</v>
      </c>
    </row>
    <row r="1822" spans="52:56" x14ac:dyDescent="0.25">
      <c r="AZ1822" s="6">
        <v>1819</v>
      </c>
      <c r="BA1822" s="6">
        <v>0</v>
      </c>
      <c r="BB1822" s="6">
        <v>0</v>
      </c>
      <c r="BC1822" s="6">
        <v>525</v>
      </c>
      <c r="BD1822" s="6">
        <v>513.42741935483878</v>
      </c>
    </row>
    <row r="1823" spans="52:56" x14ac:dyDescent="0.25">
      <c r="AZ1823" s="6">
        <v>1820</v>
      </c>
      <c r="BA1823" s="6">
        <v>0</v>
      </c>
      <c r="BB1823" s="6">
        <v>0</v>
      </c>
      <c r="BC1823" s="6">
        <v>525</v>
      </c>
      <c r="BD1823" s="6">
        <v>513.70967741935488</v>
      </c>
    </row>
    <row r="1824" spans="52:56" x14ac:dyDescent="0.25">
      <c r="AZ1824" s="6">
        <v>1821</v>
      </c>
      <c r="BA1824" s="6">
        <v>0</v>
      </c>
      <c r="BB1824" s="6">
        <v>0</v>
      </c>
      <c r="BC1824" s="6">
        <v>525</v>
      </c>
      <c r="BD1824" s="6">
        <v>513.99193548387098</v>
      </c>
    </row>
    <row r="1825" spans="52:56" x14ac:dyDescent="0.25">
      <c r="AZ1825" s="6">
        <v>1822</v>
      </c>
      <c r="BA1825" s="6">
        <v>0</v>
      </c>
      <c r="BB1825" s="6">
        <v>0</v>
      </c>
      <c r="BC1825" s="6">
        <v>525</v>
      </c>
      <c r="BD1825" s="6">
        <v>514.27419354838719</v>
      </c>
    </row>
    <row r="1826" spans="52:56" x14ac:dyDescent="0.25">
      <c r="AZ1826" s="6">
        <v>1823</v>
      </c>
      <c r="BA1826" s="6">
        <v>0</v>
      </c>
      <c r="BB1826" s="6">
        <v>0</v>
      </c>
      <c r="BC1826" s="6">
        <v>525</v>
      </c>
      <c r="BD1826" s="6">
        <v>514.55645161290329</v>
      </c>
    </row>
    <row r="1827" spans="52:56" x14ac:dyDescent="0.25">
      <c r="AZ1827" s="6">
        <v>1824</v>
      </c>
      <c r="BA1827" s="6">
        <v>0</v>
      </c>
      <c r="BB1827" s="6">
        <v>0</v>
      </c>
      <c r="BC1827" s="6">
        <v>525</v>
      </c>
      <c r="BD1827" s="6">
        <v>514.83870967741939</v>
      </c>
    </row>
    <row r="1828" spans="52:56" x14ac:dyDescent="0.25">
      <c r="AZ1828" s="6">
        <v>1825</v>
      </c>
      <c r="BA1828" s="6">
        <v>0</v>
      </c>
      <c r="BB1828" s="6">
        <v>0</v>
      </c>
      <c r="BC1828" s="6">
        <v>525</v>
      </c>
      <c r="BD1828" s="6">
        <v>515.12096774193549</v>
      </c>
    </row>
    <row r="1829" spans="52:56" x14ac:dyDescent="0.25">
      <c r="AZ1829" s="6">
        <v>1826</v>
      </c>
      <c r="BA1829" s="6">
        <v>0</v>
      </c>
      <c r="BB1829" s="6">
        <v>0</v>
      </c>
      <c r="BC1829" s="6">
        <v>525</v>
      </c>
      <c r="BD1829" s="6">
        <v>515.4032258064517</v>
      </c>
    </row>
    <row r="1830" spans="52:56" x14ac:dyDescent="0.25">
      <c r="AZ1830" s="6">
        <v>1827</v>
      </c>
      <c r="BA1830" s="6">
        <v>0</v>
      </c>
      <c r="BB1830" s="6">
        <v>0</v>
      </c>
      <c r="BC1830" s="6">
        <v>525</v>
      </c>
      <c r="BD1830" s="6">
        <v>515.6854838709678</v>
      </c>
    </row>
    <row r="1831" spans="52:56" x14ac:dyDescent="0.25">
      <c r="AZ1831" s="6">
        <v>1828</v>
      </c>
      <c r="BA1831" s="6">
        <v>0</v>
      </c>
      <c r="BB1831" s="6">
        <v>0</v>
      </c>
      <c r="BC1831" s="6">
        <v>525</v>
      </c>
      <c r="BD1831" s="6">
        <v>515.9677419354839</v>
      </c>
    </row>
    <row r="1832" spans="52:56" x14ac:dyDescent="0.25">
      <c r="AZ1832" s="6">
        <v>1829</v>
      </c>
      <c r="BA1832" s="6">
        <v>0</v>
      </c>
      <c r="BB1832" s="6">
        <v>0</v>
      </c>
      <c r="BC1832" s="6">
        <v>525</v>
      </c>
      <c r="BD1832" s="6">
        <v>516.25</v>
      </c>
    </row>
    <row r="1833" spans="52:56" x14ac:dyDescent="0.25">
      <c r="AZ1833" s="6">
        <v>1830</v>
      </c>
      <c r="BA1833" s="6">
        <v>0</v>
      </c>
      <c r="BB1833" s="6">
        <v>0</v>
      </c>
      <c r="BC1833" s="6">
        <v>525</v>
      </c>
      <c r="BD1833" s="6">
        <v>516.53225806451621</v>
      </c>
    </row>
    <row r="1834" spans="52:56" x14ac:dyDescent="0.25">
      <c r="AZ1834" s="6">
        <v>1831</v>
      </c>
      <c r="BA1834" s="6">
        <v>0</v>
      </c>
      <c r="BB1834" s="6">
        <v>0</v>
      </c>
      <c r="BC1834" s="6">
        <v>525</v>
      </c>
      <c r="BD1834" s="6">
        <v>516.81451612903231</v>
      </c>
    </row>
    <row r="1835" spans="52:56" x14ac:dyDescent="0.25">
      <c r="AZ1835" s="6">
        <v>1832</v>
      </c>
      <c r="BA1835" s="6">
        <v>0</v>
      </c>
      <c r="BB1835" s="6">
        <v>0</v>
      </c>
      <c r="BC1835" s="6">
        <v>525</v>
      </c>
      <c r="BD1835" s="6">
        <v>517.09677419354841</v>
      </c>
    </row>
    <row r="1836" spans="52:56" x14ac:dyDescent="0.25">
      <c r="AZ1836" s="6">
        <v>1833</v>
      </c>
      <c r="BA1836" s="6">
        <v>0</v>
      </c>
      <c r="BB1836" s="6">
        <v>0</v>
      </c>
      <c r="BC1836" s="6">
        <v>525</v>
      </c>
      <c r="BD1836" s="6">
        <v>517.37903225806451</v>
      </c>
    </row>
    <row r="1837" spans="52:56" x14ac:dyDescent="0.25">
      <c r="AZ1837" s="6">
        <v>1834</v>
      </c>
      <c r="BA1837" s="6">
        <v>0</v>
      </c>
      <c r="BB1837" s="6">
        <v>0</v>
      </c>
      <c r="BC1837" s="6">
        <v>525</v>
      </c>
      <c r="BD1837" s="6">
        <v>517.66129032258073</v>
      </c>
    </row>
    <row r="1838" spans="52:56" x14ac:dyDescent="0.25">
      <c r="AZ1838" s="6">
        <v>1835</v>
      </c>
      <c r="BA1838" s="6">
        <v>0</v>
      </c>
      <c r="BB1838" s="6">
        <v>0</v>
      </c>
      <c r="BC1838" s="6">
        <v>525</v>
      </c>
      <c r="BD1838" s="6">
        <v>517.94354838709683</v>
      </c>
    </row>
    <row r="1839" spans="52:56" x14ac:dyDescent="0.25">
      <c r="AZ1839" s="6">
        <v>1836</v>
      </c>
      <c r="BA1839" s="6">
        <v>0</v>
      </c>
      <c r="BB1839" s="6">
        <v>0</v>
      </c>
      <c r="BC1839" s="6">
        <v>525</v>
      </c>
      <c r="BD1839" s="6">
        <v>518.22580645161293</v>
      </c>
    </row>
    <row r="1840" spans="52:56" x14ac:dyDescent="0.25">
      <c r="AZ1840" s="6">
        <v>1837</v>
      </c>
      <c r="BA1840" s="6">
        <v>0</v>
      </c>
      <c r="BB1840" s="6">
        <v>0</v>
      </c>
      <c r="BC1840" s="6">
        <v>525</v>
      </c>
      <c r="BD1840" s="6">
        <v>518.50806451612902</v>
      </c>
    </row>
    <row r="1841" spans="52:56" x14ac:dyDescent="0.25">
      <c r="AZ1841" s="6">
        <v>1838</v>
      </c>
      <c r="BA1841" s="6">
        <v>0</v>
      </c>
      <c r="BB1841" s="6">
        <v>0</v>
      </c>
      <c r="BC1841" s="6">
        <v>525</v>
      </c>
      <c r="BD1841" s="6">
        <v>518.79032258064524</v>
      </c>
    </row>
    <row r="1842" spans="52:56" x14ac:dyDescent="0.25">
      <c r="AZ1842" s="6">
        <v>1839</v>
      </c>
      <c r="BA1842" s="6">
        <v>0</v>
      </c>
      <c r="BB1842" s="6">
        <v>0</v>
      </c>
      <c r="BC1842" s="6">
        <v>525</v>
      </c>
      <c r="BD1842" s="6">
        <v>519.07258064516134</v>
      </c>
    </row>
    <row r="1843" spans="52:56" x14ac:dyDescent="0.25">
      <c r="AZ1843" s="6">
        <v>1840</v>
      </c>
      <c r="BA1843" s="6">
        <v>0</v>
      </c>
      <c r="BB1843" s="6">
        <v>0</v>
      </c>
      <c r="BC1843" s="6">
        <v>525</v>
      </c>
      <c r="BD1843" s="6">
        <v>519.35483870967744</v>
      </c>
    </row>
    <row r="1844" spans="52:56" x14ac:dyDescent="0.25">
      <c r="AZ1844" s="6">
        <v>1841</v>
      </c>
      <c r="BA1844" s="6">
        <v>0</v>
      </c>
      <c r="BB1844" s="6">
        <v>0</v>
      </c>
      <c r="BC1844" s="6">
        <v>525</v>
      </c>
      <c r="BD1844" s="6">
        <v>519.63709677419365</v>
      </c>
    </row>
    <row r="1845" spans="52:56" x14ac:dyDescent="0.25">
      <c r="AZ1845" s="6">
        <v>1842</v>
      </c>
      <c r="BA1845" s="6">
        <v>0</v>
      </c>
      <c r="BB1845" s="6">
        <v>0</v>
      </c>
      <c r="BC1845" s="6">
        <v>525</v>
      </c>
      <c r="BD1845" s="6">
        <v>519.91935483870975</v>
      </c>
    </row>
    <row r="1846" spans="52:56" x14ac:dyDescent="0.25">
      <c r="AZ1846" s="6">
        <v>1843</v>
      </c>
      <c r="BA1846" s="6">
        <v>0</v>
      </c>
      <c r="BB1846" s="6">
        <v>0</v>
      </c>
      <c r="BC1846" s="6">
        <v>525</v>
      </c>
      <c r="BD1846" s="6">
        <v>520.20161290322585</v>
      </c>
    </row>
    <row r="1847" spans="52:56" x14ac:dyDescent="0.25">
      <c r="AZ1847" s="6">
        <v>1844</v>
      </c>
      <c r="BA1847" s="6">
        <v>0</v>
      </c>
      <c r="BB1847" s="6">
        <v>0</v>
      </c>
      <c r="BC1847" s="6">
        <v>525</v>
      </c>
      <c r="BD1847" s="6">
        <v>520.48387096774195</v>
      </c>
    </row>
    <row r="1848" spans="52:56" x14ac:dyDescent="0.25">
      <c r="AZ1848" s="6">
        <v>1845</v>
      </c>
      <c r="BA1848" s="6">
        <v>0</v>
      </c>
      <c r="BB1848" s="6">
        <v>0</v>
      </c>
      <c r="BC1848" s="6">
        <v>525</v>
      </c>
      <c r="BD1848" s="6">
        <v>520.76612903225816</v>
      </c>
    </row>
    <row r="1849" spans="52:56" x14ac:dyDescent="0.25">
      <c r="AZ1849" s="6">
        <v>1846</v>
      </c>
      <c r="BA1849" s="6">
        <v>0</v>
      </c>
      <c r="BB1849" s="6">
        <v>0</v>
      </c>
      <c r="BC1849" s="6">
        <v>525</v>
      </c>
      <c r="BD1849" s="6">
        <v>521.04838709677426</v>
      </c>
    </row>
    <row r="1850" spans="52:56" x14ac:dyDescent="0.25">
      <c r="AZ1850" s="6">
        <v>1847</v>
      </c>
      <c r="BA1850" s="6">
        <v>0</v>
      </c>
      <c r="BB1850" s="6">
        <v>0</v>
      </c>
      <c r="BC1850" s="6">
        <v>525</v>
      </c>
      <c r="BD1850" s="6">
        <v>521.33064516129036</v>
      </c>
    </row>
    <row r="1851" spans="52:56" x14ac:dyDescent="0.25">
      <c r="AZ1851" s="6">
        <v>1848</v>
      </c>
      <c r="BA1851" s="6">
        <v>0</v>
      </c>
      <c r="BB1851" s="6">
        <v>0</v>
      </c>
      <c r="BC1851" s="6">
        <v>525</v>
      </c>
      <c r="BD1851" s="6">
        <v>521.61290322580646</v>
      </c>
    </row>
    <row r="1852" spans="52:56" x14ac:dyDescent="0.25">
      <c r="AZ1852" s="6">
        <v>1849</v>
      </c>
      <c r="BA1852" s="6">
        <v>0</v>
      </c>
      <c r="BB1852" s="6">
        <v>0</v>
      </c>
      <c r="BC1852" s="6">
        <v>525</v>
      </c>
      <c r="BD1852" s="6">
        <v>521.89516129032268</v>
      </c>
    </row>
    <row r="1853" spans="52:56" x14ac:dyDescent="0.25">
      <c r="AZ1853" s="6">
        <v>1850</v>
      </c>
      <c r="BA1853" s="6">
        <v>0</v>
      </c>
      <c r="BB1853" s="6">
        <v>0</v>
      </c>
      <c r="BC1853" s="6">
        <v>525</v>
      </c>
      <c r="BD1853" s="6">
        <v>522.17741935483878</v>
      </c>
    </row>
    <row r="1854" spans="52:56" x14ac:dyDescent="0.25">
      <c r="AZ1854" s="6">
        <v>1851</v>
      </c>
      <c r="BA1854" s="6">
        <v>0</v>
      </c>
      <c r="BB1854" s="6">
        <v>0</v>
      </c>
      <c r="BC1854" s="6">
        <v>525</v>
      </c>
      <c r="BD1854" s="6">
        <v>522.45967741935488</v>
      </c>
    </row>
    <row r="1855" spans="52:56" x14ac:dyDescent="0.25">
      <c r="AZ1855" s="6">
        <v>1852</v>
      </c>
      <c r="BA1855" s="6">
        <v>0</v>
      </c>
      <c r="BB1855" s="6">
        <v>0</v>
      </c>
      <c r="BC1855" s="6">
        <v>525</v>
      </c>
      <c r="BD1855" s="6">
        <v>522.74193548387098</v>
      </c>
    </row>
    <row r="1856" spans="52:56" x14ac:dyDescent="0.25">
      <c r="AZ1856" s="6">
        <v>1853</v>
      </c>
      <c r="BA1856" s="6">
        <v>0</v>
      </c>
      <c r="BB1856" s="6">
        <v>0</v>
      </c>
      <c r="BC1856" s="6">
        <v>525</v>
      </c>
      <c r="BD1856" s="6">
        <v>523.02419354838719</v>
      </c>
    </row>
    <row r="1857" spans="52:56" x14ac:dyDescent="0.25">
      <c r="AZ1857" s="6">
        <v>1854</v>
      </c>
      <c r="BA1857" s="6">
        <v>0</v>
      </c>
      <c r="BB1857" s="6">
        <v>0</v>
      </c>
      <c r="BC1857" s="6">
        <v>525</v>
      </c>
      <c r="BD1857" s="6">
        <v>523.30645161290329</v>
      </c>
    </row>
    <row r="1858" spans="52:56" x14ac:dyDescent="0.25">
      <c r="AZ1858" s="6">
        <v>1855</v>
      </c>
      <c r="BA1858" s="6">
        <v>0</v>
      </c>
      <c r="BB1858" s="6">
        <v>0</v>
      </c>
      <c r="BC1858" s="6">
        <v>525</v>
      </c>
      <c r="BD1858" s="6">
        <v>523.58870967741939</v>
      </c>
    </row>
    <row r="1859" spans="52:56" x14ac:dyDescent="0.25">
      <c r="AZ1859" s="6">
        <v>1856</v>
      </c>
      <c r="BA1859" s="6">
        <v>0</v>
      </c>
      <c r="BB1859" s="6">
        <v>0</v>
      </c>
      <c r="BC1859" s="6">
        <v>525</v>
      </c>
      <c r="BD1859" s="6">
        <v>523.87096774193549</v>
      </c>
    </row>
    <row r="1860" spans="52:56" x14ac:dyDescent="0.25">
      <c r="AZ1860" s="6">
        <v>1857</v>
      </c>
      <c r="BA1860" s="6">
        <v>0</v>
      </c>
      <c r="BB1860" s="6">
        <v>0</v>
      </c>
      <c r="BC1860" s="6">
        <v>525</v>
      </c>
      <c r="BD1860" s="6">
        <v>524.1532258064517</v>
      </c>
    </row>
    <row r="1861" spans="52:56" x14ac:dyDescent="0.25">
      <c r="AZ1861" s="6">
        <v>1858</v>
      </c>
      <c r="BA1861" s="6">
        <v>0</v>
      </c>
      <c r="BB1861" s="6">
        <v>0</v>
      </c>
      <c r="BC1861" s="6">
        <v>525</v>
      </c>
      <c r="BD1861" s="6">
        <v>524.4354838709678</v>
      </c>
    </row>
    <row r="1862" spans="52:56" x14ac:dyDescent="0.25">
      <c r="AZ1862" s="6">
        <v>1859</v>
      </c>
      <c r="BA1862" s="6">
        <v>0</v>
      </c>
      <c r="BB1862" s="6">
        <v>0</v>
      </c>
      <c r="BC1862" s="6">
        <v>525</v>
      </c>
      <c r="BD1862" s="6">
        <v>524.7177419354839</v>
      </c>
    </row>
    <row r="1863" spans="52:56" x14ac:dyDescent="0.25">
      <c r="AZ1863" s="6">
        <v>1860</v>
      </c>
      <c r="BA1863" s="6">
        <v>0</v>
      </c>
      <c r="BB1863" s="6">
        <v>0</v>
      </c>
      <c r="BC1863" s="6">
        <v>525</v>
      </c>
      <c r="BD1863" s="6">
        <v>525</v>
      </c>
    </row>
  </sheetData>
  <mergeCells count="17">
    <mergeCell ref="N4:Q4"/>
    <mergeCell ref="B7:C7"/>
    <mergeCell ref="D7:E7"/>
    <mergeCell ref="F7:G7"/>
    <mergeCell ref="H7:I7"/>
    <mergeCell ref="J7:K7"/>
    <mergeCell ref="B4:K4"/>
    <mergeCell ref="B5:C5"/>
    <mergeCell ref="D5:E5"/>
    <mergeCell ref="F5:G5"/>
    <mergeCell ref="H5:I5"/>
    <mergeCell ref="J5:K5"/>
    <mergeCell ref="B6:C6"/>
    <mergeCell ref="D6:E6"/>
    <mergeCell ref="F6:G6"/>
    <mergeCell ref="H6:I6"/>
    <mergeCell ref="J6:K6"/>
  </mergeCells>
  <hyperlinks>
    <hyperlink ref="B5" location="'CT_FullTree'!$B$12:$B$12" display="Full-Grown Tree"/>
    <hyperlink ref="D5" location="'CT_Output'!$B$12:$B$12" display="Inputs"/>
    <hyperlink ref="F5" location="'CT_Output'!$B$46:$B$46" display="Prior class probs"/>
    <hyperlink ref="H5" location="'CT_Output'!$B$54:$B$54" display="Train Log"/>
    <hyperlink ref="J5" location="'CT_Output'!$B$104:$B$104" display="Full-Grown Tree Rules"/>
    <hyperlink ref="B6" location="'CT_Output'!$B$202:$B$202" display="Train. Score Summary."/>
    <hyperlink ref="D6" location="'CT_Output'!$B$225:$B$225" display="Best-Pruned Tree Rules"/>
    <hyperlink ref="F6" location="'CT_Output'!$B$279:$B$279" display="Valid. Score Summary"/>
    <hyperlink ref="H6" location="'CT_PruneLog'!$B$2:$B$2" display="Prune Log"/>
    <hyperlink ref="J6" location="'CT_PruneTree'!$B$12:$B$12" display="Best-Pruned Tree"/>
    <hyperlink ref="B7" location="'CT_TrainingLiftChart'!$B$12:$B$12" display="CT Train. Lift Chart"/>
    <hyperlink ref="D7" location="'CT_TrainingScore'!$B$2:$B$2" display="Train. Score Detail"/>
    <hyperlink ref="F7" location="'CT_ValidationLiftChart'!$B$12:$B$12" display="CT Valid. Lift Chart"/>
    <hyperlink ref="H7" location="'CT_ValidationScore'!$B$2:$B$2" display="Valid. Score Detail"/>
  </hyperlink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CB1243"/>
  <sheetViews>
    <sheetView showGridLines="0" topLeftCell="A25" workbookViewId="0"/>
  </sheetViews>
  <sheetFormatPr defaultRowHeight="15" x14ac:dyDescent="0.25"/>
  <cols>
    <col min="14" max="14" width="11.140625" bestFit="1" customWidth="1"/>
    <col min="52" max="52" width="8.140625" bestFit="1" customWidth="1"/>
    <col min="53" max="53" width="15.7109375" bestFit="1" customWidth="1"/>
    <col min="54" max="54" width="12.85546875" bestFit="1" customWidth="1"/>
    <col min="55" max="55" width="46.28515625" bestFit="1" customWidth="1"/>
    <col min="56" max="56" width="28.42578125" bestFit="1" customWidth="1"/>
    <col min="57" max="57" width="6.42578125" bestFit="1" customWidth="1"/>
    <col min="58" max="58" width="22.42578125" bestFit="1" customWidth="1"/>
    <col min="78" max="80" width="12" bestFit="1" customWidth="1"/>
  </cols>
  <sheetData>
    <row r="1" spans="2:80" x14ac:dyDescent="0.25">
      <c r="BZ1" s="2" t="s">
        <v>94</v>
      </c>
      <c r="CA1" s="2" t="s">
        <v>95</v>
      </c>
      <c r="CB1" s="2" t="s">
        <v>96</v>
      </c>
    </row>
    <row r="2" spans="2:80" ht="18.75" x14ac:dyDescent="0.3">
      <c r="B2" s="4" t="s">
        <v>80</v>
      </c>
      <c r="N2" t="s">
        <v>9</v>
      </c>
      <c r="BZ2">
        <v>0</v>
      </c>
      <c r="CA2">
        <v>0</v>
      </c>
      <c r="CB2">
        <v>0</v>
      </c>
    </row>
    <row r="3" spans="2:80" x14ac:dyDescent="0.25">
      <c r="AZ3" s="2" t="s">
        <v>87</v>
      </c>
      <c r="BA3" s="2" t="s">
        <v>88</v>
      </c>
      <c r="BB3" s="2" t="s">
        <v>89</v>
      </c>
      <c r="BC3" s="2" t="s">
        <v>90</v>
      </c>
      <c r="BD3" s="2" t="s">
        <v>91</v>
      </c>
      <c r="BE3" s="2" t="s">
        <v>92</v>
      </c>
      <c r="BF3" s="2" t="s">
        <v>93</v>
      </c>
      <c r="BZ3">
        <v>4.4543429844097994E-3</v>
      </c>
      <c r="CA3">
        <v>0.59649122807017541</v>
      </c>
      <c r="CB3">
        <v>4.4543429844097994E-3</v>
      </c>
    </row>
    <row r="4" spans="2:80" ht="15.75" x14ac:dyDescent="0.25">
      <c r="B4" s="9" t="s">
        <v>81</v>
      </c>
      <c r="C4" s="10"/>
      <c r="D4" s="10"/>
      <c r="E4" s="10"/>
      <c r="F4" s="10"/>
      <c r="G4" s="10"/>
      <c r="H4" s="10"/>
      <c r="I4" s="10"/>
      <c r="J4" s="10"/>
      <c r="K4" s="11"/>
      <c r="N4" s="9" t="s">
        <v>82</v>
      </c>
      <c r="O4" s="10"/>
      <c r="P4" s="10"/>
      <c r="Q4" s="11"/>
      <c r="AZ4" s="5">
        <v>1</v>
      </c>
      <c r="BA4" s="5">
        <v>1</v>
      </c>
      <c r="BB4" s="5">
        <v>1</v>
      </c>
      <c r="BC4" s="5">
        <v>1</v>
      </c>
      <c r="BD4" s="5">
        <v>0.27580645161290324</v>
      </c>
      <c r="BE4">
        <v>1</v>
      </c>
      <c r="BF4">
        <v>3.5672514619883038</v>
      </c>
      <c r="BZ4">
        <v>8.9086859688195987E-3</v>
      </c>
      <c r="CA4">
        <v>0.62865497076023391</v>
      </c>
      <c r="CB4">
        <v>8.9086859688195987E-3</v>
      </c>
    </row>
    <row r="5" spans="2:80" x14ac:dyDescent="0.25">
      <c r="B5" s="12" t="s">
        <v>102</v>
      </c>
      <c r="C5" s="8"/>
      <c r="D5" s="12" t="s">
        <v>103</v>
      </c>
      <c r="E5" s="8"/>
      <c r="F5" s="12" t="s">
        <v>104</v>
      </c>
      <c r="G5" s="8"/>
      <c r="H5" s="12" t="s">
        <v>105</v>
      </c>
      <c r="I5" s="8"/>
      <c r="J5" s="12" t="s">
        <v>106</v>
      </c>
      <c r="K5" s="8"/>
      <c r="N5" s="2" t="s">
        <v>83</v>
      </c>
      <c r="O5" s="2" t="s">
        <v>84</v>
      </c>
      <c r="P5" s="2" t="s">
        <v>85</v>
      </c>
      <c r="Q5" s="2" t="s">
        <v>86</v>
      </c>
      <c r="AZ5" s="5">
        <v>2</v>
      </c>
      <c r="BA5" s="5">
        <v>1</v>
      </c>
      <c r="BB5" s="5">
        <v>1</v>
      </c>
      <c r="BC5" s="5">
        <v>2</v>
      </c>
      <c r="BD5" s="5">
        <v>0.55161290322580647</v>
      </c>
      <c r="BE5">
        <v>2</v>
      </c>
      <c r="BF5">
        <v>3.1286549707602336</v>
      </c>
      <c r="BZ5">
        <v>1.2249443207126948E-2</v>
      </c>
      <c r="CA5">
        <v>0.65204678362573099</v>
      </c>
      <c r="CB5">
        <v>1.2249443207126948E-2</v>
      </c>
    </row>
    <row r="6" spans="2:80" x14ac:dyDescent="0.25">
      <c r="B6" s="12" t="s">
        <v>107</v>
      </c>
      <c r="C6" s="8"/>
      <c r="D6" s="12" t="s">
        <v>108</v>
      </c>
      <c r="E6" s="8"/>
      <c r="F6" s="12" t="s">
        <v>109</v>
      </c>
      <c r="G6" s="8"/>
      <c r="H6" s="12" t="s">
        <v>110</v>
      </c>
      <c r="I6" s="8"/>
      <c r="J6" s="12" t="s">
        <v>111</v>
      </c>
      <c r="K6" s="8"/>
      <c r="N6" s="1">
        <v>15</v>
      </c>
      <c r="O6" s="1">
        <v>579</v>
      </c>
      <c r="P6" s="1">
        <v>78</v>
      </c>
      <c r="Q6" s="1">
        <v>672</v>
      </c>
      <c r="AZ6" s="5">
        <v>3</v>
      </c>
      <c r="BA6" s="5">
        <v>1</v>
      </c>
      <c r="BB6" s="5">
        <v>1</v>
      </c>
      <c r="BC6" s="5">
        <v>3</v>
      </c>
      <c r="BD6" s="5">
        <v>0.82741935483870965</v>
      </c>
      <c r="BE6">
        <v>3</v>
      </c>
      <c r="BF6">
        <v>1.9883040935672514</v>
      </c>
      <c r="BZ6">
        <v>1.7817371937639197E-2</v>
      </c>
      <c r="CA6">
        <v>0.65789473684210531</v>
      </c>
      <c r="CB6">
        <v>1.7817371937639197E-2</v>
      </c>
    </row>
    <row r="7" spans="2:80" x14ac:dyDescent="0.25">
      <c r="B7" s="12" t="s">
        <v>112</v>
      </c>
      <c r="C7" s="8"/>
      <c r="D7" s="12" t="s">
        <v>113</v>
      </c>
      <c r="E7" s="8"/>
      <c r="F7" s="12" t="s">
        <v>114</v>
      </c>
      <c r="G7" s="8"/>
      <c r="H7" s="12" t="s">
        <v>115</v>
      </c>
      <c r="I7" s="8"/>
      <c r="J7" s="7"/>
      <c r="K7" s="8"/>
      <c r="AZ7" s="5">
        <v>4</v>
      </c>
      <c r="BA7" s="5">
        <v>1</v>
      </c>
      <c r="BB7" s="5">
        <v>1</v>
      </c>
      <c r="BC7" s="5">
        <v>4</v>
      </c>
      <c r="BD7" s="5">
        <v>1.1032258064516129</v>
      </c>
      <c r="BE7">
        <v>4</v>
      </c>
      <c r="BF7">
        <v>0.93567251461988299</v>
      </c>
      <c r="BZ7">
        <v>2.5612472160356347E-2</v>
      </c>
      <c r="CA7">
        <v>0.71052631578947367</v>
      </c>
      <c r="CB7">
        <v>2.5612472160356347E-2</v>
      </c>
    </row>
    <row r="8" spans="2:80" x14ac:dyDescent="0.25">
      <c r="AZ8" s="5">
        <v>5</v>
      </c>
      <c r="BA8" s="5">
        <v>1</v>
      </c>
      <c r="BB8" s="5">
        <v>1</v>
      </c>
      <c r="BC8" s="5">
        <v>5</v>
      </c>
      <c r="BD8" s="5">
        <v>1.3790322580645162</v>
      </c>
      <c r="BE8">
        <v>5</v>
      </c>
      <c r="BF8">
        <v>0.11695906432748537</v>
      </c>
      <c r="BZ8">
        <v>4.0089086859688199E-2</v>
      </c>
      <c r="CA8">
        <v>0.71345029239766078</v>
      </c>
      <c r="CB8">
        <v>4.0089086859688199E-2</v>
      </c>
    </row>
    <row r="9" spans="2:80" x14ac:dyDescent="0.25">
      <c r="AZ9" s="5">
        <v>6</v>
      </c>
      <c r="BA9" s="5">
        <v>1</v>
      </c>
      <c r="BB9" s="5">
        <v>1</v>
      </c>
      <c r="BC9" s="5">
        <v>6</v>
      </c>
      <c r="BD9" s="5">
        <v>1.6548387096774193</v>
      </c>
      <c r="BE9">
        <v>6</v>
      </c>
      <c r="BF9">
        <v>0.11695906432748537</v>
      </c>
      <c r="BZ9">
        <v>4.3429844097995544E-2</v>
      </c>
      <c r="CA9">
        <v>0.73099415204678364</v>
      </c>
      <c r="CB9">
        <v>4.3429844097995544E-2</v>
      </c>
    </row>
    <row r="10" spans="2:80" x14ac:dyDescent="0.25">
      <c r="AZ10" s="5">
        <v>7</v>
      </c>
      <c r="BA10" s="5">
        <v>1</v>
      </c>
      <c r="BB10" s="5">
        <v>1</v>
      </c>
      <c r="BC10" s="5">
        <v>7</v>
      </c>
      <c r="BD10" s="5">
        <v>1.9306451612903226</v>
      </c>
      <c r="BE10">
        <v>7</v>
      </c>
      <c r="BF10">
        <v>0.14619883040935672</v>
      </c>
      <c r="BZ10">
        <v>5.0111358574610243E-2</v>
      </c>
      <c r="CA10">
        <v>0.77485380116959068</v>
      </c>
      <c r="CB10">
        <v>5.0111358574610243E-2</v>
      </c>
    </row>
    <row r="11" spans="2:80" x14ac:dyDescent="0.25">
      <c r="AZ11" s="5">
        <v>8</v>
      </c>
      <c r="BA11" s="5">
        <v>1</v>
      </c>
      <c r="BB11" s="5">
        <v>1</v>
      </c>
      <c r="BC11" s="5">
        <v>8</v>
      </c>
      <c r="BD11" s="5">
        <v>2.2064516129032259</v>
      </c>
      <c r="BE11">
        <v>8</v>
      </c>
      <c r="BF11">
        <v>0</v>
      </c>
      <c r="BZ11">
        <v>6.0133630289532294E-2</v>
      </c>
      <c r="CA11">
        <v>0.81578947368421051</v>
      </c>
      <c r="CB11">
        <v>6.0133630289532294E-2</v>
      </c>
    </row>
    <row r="12" spans="2:80" x14ac:dyDescent="0.25">
      <c r="AZ12" s="5">
        <v>9</v>
      </c>
      <c r="BA12" s="5">
        <v>1</v>
      </c>
      <c r="BB12" s="5">
        <v>1</v>
      </c>
      <c r="BC12" s="5">
        <v>9</v>
      </c>
      <c r="BD12" s="5">
        <v>2.4822580645161292</v>
      </c>
      <c r="BE12">
        <v>9</v>
      </c>
      <c r="BF12">
        <v>0</v>
      </c>
      <c r="BZ12">
        <v>6.4587973273942098E-2</v>
      </c>
      <c r="CA12">
        <v>0.83040935672514615</v>
      </c>
      <c r="CB12">
        <v>6.4587973273942098E-2</v>
      </c>
    </row>
    <row r="13" spans="2:80" x14ac:dyDescent="0.25">
      <c r="AZ13" s="5">
        <v>10</v>
      </c>
      <c r="BA13" s="5">
        <v>1</v>
      </c>
      <c r="BB13" s="5">
        <v>1</v>
      </c>
      <c r="BC13" s="5">
        <v>10</v>
      </c>
      <c r="BD13" s="5">
        <v>2.7580645161290325</v>
      </c>
      <c r="BE13">
        <v>10</v>
      </c>
      <c r="BF13">
        <v>0</v>
      </c>
      <c r="BZ13">
        <v>8.2405345211581285E-2</v>
      </c>
      <c r="CA13">
        <v>0.86842105263157898</v>
      </c>
      <c r="CB13">
        <v>8.2405345211581285E-2</v>
      </c>
    </row>
    <row r="14" spans="2:80" x14ac:dyDescent="0.25">
      <c r="AZ14" s="5">
        <v>11</v>
      </c>
      <c r="BA14" s="5">
        <v>1</v>
      </c>
      <c r="BB14" s="5">
        <v>1</v>
      </c>
      <c r="BC14" s="5">
        <v>11</v>
      </c>
      <c r="BD14" s="5">
        <v>3.0338709677419358</v>
      </c>
      <c r="BZ14">
        <v>0.10356347438752785</v>
      </c>
      <c r="CA14">
        <v>0.91812865497076024</v>
      </c>
      <c r="CB14">
        <v>0.10356347438752785</v>
      </c>
    </row>
    <row r="15" spans="2:80" x14ac:dyDescent="0.25">
      <c r="AZ15" s="5">
        <v>12</v>
      </c>
      <c r="BA15" s="5">
        <v>1</v>
      </c>
      <c r="BB15" s="5">
        <v>1</v>
      </c>
      <c r="BC15" s="5">
        <v>12</v>
      </c>
      <c r="BD15" s="5">
        <v>3.3096774193548386</v>
      </c>
      <c r="BZ15">
        <v>0.10467706013363029</v>
      </c>
      <c r="CA15">
        <v>0.92397660818713445</v>
      </c>
      <c r="CB15">
        <v>0.10467706013363029</v>
      </c>
    </row>
    <row r="16" spans="2:80" x14ac:dyDescent="0.25">
      <c r="AZ16" s="5">
        <v>13</v>
      </c>
      <c r="BA16" s="5">
        <v>1</v>
      </c>
      <c r="BB16" s="5">
        <v>1</v>
      </c>
      <c r="BC16" s="5">
        <v>13</v>
      </c>
      <c r="BD16" s="5">
        <v>3.5854838709677419</v>
      </c>
      <c r="BZ16">
        <v>0.15144766146993319</v>
      </c>
      <c r="CA16">
        <v>0.94444444444444442</v>
      </c>
      <c r="CB16">
        <v>0.15144766146993319</v>
      </c>
    </row>
    <row r="17" spans="52:80" x14ac:dyDescent="0.25">
      <c r="AZ17" s="5">
        <v>14</v>
      </c>
      <c r="BA17" s="5">
        <v>1</v>
      </c>
      <c r="BB17" s="5">
        <v>1</v>
      </c>
      <c r="BC17" s="5">
        <v>14</v>
      </c>
      <c r="BD17" s="5">
        <v>3.8612903225806452</v>
      </c>
      <c r="BZ17">
        <v>0.17594654788418709</v>
      </c>
      <c r="CA17">
        <v>0.95906432748538006</v>
      </c>
      <c r="CB17">
        <v>0.17594654788418709</v>
      </c>
    </row>
    <row r="18" spans="52:80" x14ac:dyDescent="0.25">
      <c r="AZ18" s="5">
        <v>15</v>
      </c>
      <c r="BA18" s="5">
        <v>1</v>
      </c>
      <c r="BB18" s="5">
        <v>1</v>
      </c>
      <c r="BC18" s="5">
        <v>15</v>
      </c>
      <c r="BD18" s="5">
        <v>4.1370967741935489</v>
      </c>
      <c r="BZ18">
        <v>0.24610244988864144</v>
      </c>
      <c r="CA18">
        <v>0.97368421052631582</v>
      </c>
      <c r="CB18">
        <v>0.24610244988864144</v>
      </c>
    </row>
    <row r="19" spans="52:80" x14ac:dyDescent="0.25">
      <c r="AZ19" s="5">
        <v>16</v>
      </c>
      <c r="BA19" s="5">
        <v>1</v>
      </c>
      <c r="BB19" s="5">
        <v>1</v>
      </c>
      <c r="BC19" s="5">
        <v>16</v>
      </c>
      <c r="BD19" s="5">
        <v>4.4129032258064518</v>
      </c>
      <c r="BZ19">
        <v>0.5657015590200446</v>
      </c>
      <c r="CA19">
        <v>1</v>
      </c>
      <c r="CB19">
        <v>0.5657015590200446</v>
      </c>
    </row>
    <row r="20" spans="52:80" x14ac:dyDescent="0.25">
      <c r="AZ20" s="5">
        <v>17</v>
      </c>
      <c r="BA20" s="5">
        <v>1</v>
      </c>
      <c r="BB20" s="5">
        <v>1</v>
      </c>
      <c r="BC20" s="5">
        <v>17</v>
      </c>
      <c r="BD20" s="5">
        <v>4.6887096774193546</v>
      </c>
      <c r="BZ20">
        <v>0.84966592427616927</v>
      </c>
      <c r="CA20">
        <v>1</v>
      </c>
      <c r="CB20">
        <v>0.84966592427616927</v>
      </c>
    </row>
    <row r="21" spans="52:80" x14ac:dyDescent="0.25">
      <c r="AZ21" s="5">
        <v>18</v>
      </c>
      <c r="BA21" s="5">
        <v>1</v>
      </c>
      <c r="BB21" s="5">
        <v>1</v>
      </c>
      <c r="BC21" s="5">
        <v>18</v>
      </c>
      <c r="BD21" s="5">
        <v>4.9645161290322584</v>
      </c>
      <c r="BZ21">
        <v>1</v>
      </c>
      <c r="CA21">
        <v>1</v>
      </c>
      <c r="CB21">
        <v>1</v>
      </c>
    </row>
    <row r="22" spans="52:80" x14ac:dyDescent="0.25">
      <c r="AZ22" s="5">
        <v>19</v>
      </c>
      <c r="BA22" s="5">
        <v>1</v>
      </c>
      <c r="BB22" s="5">
        <v>1</v>
      </c>
      <c r="BC22" s="5">
        <v>19</v>
      </c>
      <c r="BD22" s="5">
        <v>5.2403225806451612</v>
      </c>
    </row>
    <row r="23" spans="52:80" x14ac:dyDescent="0.25">
      <c r="AZ23" s="5">
        <v>20</v>
      </c>
      <c r="BA23" s="5">
        <v>1</v>
      </c>
      <c r="BB23" s="5">
        <v>1</v>
      </c>
      <c r="BC23" s="5">
        <v>20</v>
      </c>
      <c r="BD23" s="5">
        <v>5.5161290322580649</v>
      </c>
    </row>
    <row r="24" spans="52:80" x14ac:dyDescent="0.25">
      <c r="AZ24" s="5">
        <v>21</v>
      </c>
      <c r="BA24" s="5">
        <v>1</v>
      </c>
      <c r="BB24" s="5">
        <v>1</v>
      </c>
      <c r="BC24" s="5">
        <v>21</v>
      </c>
      <c r="BD24" s="5">
        <v>5.7919354838709678</v>
      </c>
    </row>
    <row r="25" spans="52:80" x14ac:dyDescent="0.25">
      <c r="AZ25" s="5">
        <v>22</v>
      </c>
      <c r="BA25" s="5">
        <v>1</v>
      </c>
      <c r="BB25" s="5">
        <v>1</v>
      </c>
      <c r="BC25" s="5">
        <v>22</v>
      </c>
      <c r="BD25" s="5">
        <v>6.0677419354838715</v>
      </c>
    </row>
    <row r="26" spans="52:80" x14ac:dyDescent="0.25">
      <c r="AZ26" s="5">
        <v>23</v>
      </c>
      <c r="BA26" s="5">
        <v>1</v>
      </c>
      <c r="BB26" s="5">
        <v>1</v>
      </c>
      <c r="BC26" s="5">
        <v>23</v>
      </c>
      <c r="BD26" s="5">
        <v>6.3435483870967744</v>
      </c>
    </row>
    <row r="27" spans="52:80" x14ac:dyDescent="0.25">
      <c r="AZ27" s="5">
        <v>24</v>
      </c>
      <c r="BA27" s="5">
        <v>1</v>
      </c>
      <c r="BB27" s="5">
        <v>1</v>
      </c>
      <c r="BC27" s="5">
        <v>24</v>
      </c>
      <c r="BD27" s="5">
        <v>6.6193548387096772</v>
      </c>
    </row>
    <row r="28" spans="52:80" x14ac:dyDescent="0.25">
      <c r="AZ28" s="5">
        <v>25</v>
      </c>
      <c r="BA28" s="5">
        <v>1</v>
      </c>
      <c r="BB28" s="5">
        <v>1</v>
      </c>
      <c r="BC28" s="5">
        <v>25</v>
      </c>
      <c r="BD28" s="5">
        <v>6.895161290322581</v>
      </c>
    </row>
    <row r="29" spans="52:80" x14ac:dyDescent="0.25">
      <c r="AZ29" s="5">
        <v>26</v>
      </c>
      <c r="BA29" s="5">
        <v>1</v>
      </c>
      <c r="BB29" s="5">
        <v>1</v>
      </c>
      <c r="BC29" s="5">
        <v>26</v>
      </c>
      <c r="BD29" s="5">
        <v>7.1709677419354838</v>
      </c>
    </row>
    <row r="30" spans="52:80" x14ac:dyDescent="0.25">
      <c r="AZ30" s="5">
        <v>27</v>
      </c>
      <c r="BA30" s="5">
        <v>1</v>
      </c>
      <c r="BB30" s="5">
        <v>1</v>
      </c>
      <c r="BC30" s="5">
        <v>27</v>
      </c>
      <c r="BD30" s="5">
        <v>7.4467741935483875</v>
      </c>
    </row>
    <row r="31" spans="52:80" x14ac:dyDescent="0.25">
      <c r="AZ31" s="5">
        <v>28</v>
      </c>
      <c r="BA31" s="5">
        <v>1</v>
      </c>
      <c r="BB31" s="5">
        <v>1</v>
      </c>
      <c r="BC31" s="5">
        <v>28</v>
      </c>
      <c r="BD31" s="5">
        <v>7.7225806451612904</v>
      </c>
    </row>
    <row r="32" spans="52:80" x14ac:dyDescent="0.25">
      <c r="AZ32" s="5">
        <v>29</v>
      </c>
      <c r="BA32" s="5">
        <v>1</v>
      </c>
      <c r="BB32" s="5">
        <v>1</v>
      </c>
      <c r="BC32" s="5">
        <v>29</v>
      </c>
      <c r="BD32" s="5">
        <v>7.9983870967741941</v>
      </c>
    </row>
    <row r="33" spans="9:56" x14ac:dyDescent="0.25">
      <c r="AZ33" s="5">
        <v>30</v>
      </c>
      <c r="BA33" s="5">
        <v>1</v>
      </c>
      <c r="BB33" s="5">
        <v>1</v>
      </c>
      <c r="BC33" s="5">
        <v>30</v>
      </c>
      <c r="BD33" s="5">
        <v>8.2741935483870979</v>
      </c>
    </row>
    <row r="34" spans="9:56" x14ac:dyDescent="0.25">
      <c r="AZ34" s="5">
        <v>31</v>
      </c>
      <c r="BA34" s="5">
        <v>1</v>
      </c>
      <c r="BB34" s="5">
        <v>1</v>
      </c>
      <c r="BC34" s="5">
        <v>31</v>
      </c>
      <c r="BD34" s="5">
        <v>8.5500000000000007</v>
      </c>
    </row>
    <row r="35" spans="9:56" x14ac:dyDescent="0.25">
      <c r="AZ35" s="5">
        <v>32</v>
      </c>
      <c r="BA35" s="5">
        <v>1</v>
      </c>
      <c r="BB35" s="5">
        <v>1</v>
      </c>
      <c r="BC35" s="5">
        <v>32</v>
      </c>
      <c r="BD35" s="5">
        <v>8.8258064516129036</v>
      </c>
    </row>
    <row r="36" spans="9:56" x14ac:dyDescent="0.25">
      <c r="AZ36" s="5">
        <v>33</v>
      </c>
      <c r="BA36" s="5">
        <v>1</v>
      </c>
      <c r="BB36" s="5">
        <v>1</v>
      </c>
      <c r="BC36" s="5">
        <v>33</v>
      </c>
      <c r="BD36" s="5">
        <v>9.1016129032258064</v>
      </c>
    </row>
    <row r="37" spans="9:56" x14ac:dyDescent="0.25">
      <c r="AZ37" s="5">
        <v>34</v>
      </c>
      <c r="BA37" s="5">
        <v>1</v>
      </c>
      <c r="BB37" s="5">
        <v>1</v>
      </c>
      <c r="BC37" s="5">
        <v>34</v>
      </c>
      <c r="BD37" s="5">
        <v>9.3774193548387093</v>
      </c>
    </row>
    <row r="38" spans="9:56" x14ac:dyDescent="0.25">
      <c r="AZ38" s="5">
        <v>35</v>
      </c>
      <c r="BA38" s="5">
        <v>1</v>
      </c>
      <c r="BB38" s="5">
        <v>1</v>
      </c>
      <c r="BC38" s="5">
        <v>35</v>
      </c>
      <c r="BD38" s="5">
        <v>9.6532258064516139</v>
      </c>
    </row>
    <row r="39" spans="9:56" x14ac:dyDescent="0.25">
      <c r="AZ39" s="5">
        <v>36</v>
      </c>
      <c r="BA39" s="5">
        <v>1</v>
      </c>
      <c r="BB39" s="5">
        <v>1</v>
      </c>
      <c r="BC39" s="5">
        <v>36</v>
      </c>
      <c r="BD39" s="5">
        <v>9.9290322580645167</v>
      </c>
    </row>
    <row r="40" spans="9:56" x14ac:dyDescent="0.25">
      <c r="I40" s="2" t="s">
        <v>97</v>
      </c>
      <c r="J40" s="2" t="s">
        <v>98</v>
      </c>
      <c r="K40" s="2" t="s">
        <v>99</v>
      </c>
      <c r="L40" s="2" t="s">
        <v>100</v>
      </c>
      <c r="M40" s="2" t="s">
        <v>101</v>
      </c>
      <c r="AZ40" s="5">
        <v>37</v>
      </c>
      <c r="BA40" s="5">
        <v>1</v>
      </c>
      <c r="BB40" s="5">
        <v>1</v>
      </c>
      <c r="BC40" s="5">
        <v>37</v>
      </c>
      <c r="BD40" s="5">
        <v>10.20483870967742</v>
      </c>
    </row>
    <row r="41" spans="9:56" x14ac:dyDescent="0.25">
      <c r="I41" s="3">
        <v>1</v>
      </c>
      <c r="J41" s="1">
        <v>0.9838709677419355</v>
      </c>
      <c r="K41" s="1">
        <v>0.12648281272371761</v>
      </c>
      <c r="L41" s="1">
        <v>0</v>
      </c>
      <c r="M41" s="1">
        <v>1</v>
      </c>
      <c r="AZ41" s="5">
        <v>38</v>
      </c>
      <c r="BA41" s="5">
        <v>1</v>
      </c>
      <c r="BB41" s="5">
        <v>1</v>
      </c>
      <c r="BC41" s="5">
        <v>38</v>
      </c>
      <c r="BD41" s="5">
        <v>10.480645161290322</v>
      </c>
    </row>
    <row r="42" spans="9:56" x14ac:dyDescent="0.25">
      <c r="I42" s="3">
        <v>2</v>
      </c>
      <c r="J42" s="1">
        <v>0.86290322580645162</v>
      </c>
      <c r="K42" s="1">
        <v>0.34534482400809824</v>
      </c>
      <c r="L42" s="1">
        <v>0</v>
      </c>
      <c r="M42" s="1">
        <v>1</v>
      </c>
      <c r="AZ42" s="5">
        <v>39</v>
      </c>
      <c r="BA42" s="5">
        <v>1</v>
      </c>
      <c r="BB42" s="5">
        <v>1</v>
      </c>
      <c r="BC42" s="5">
        <v>39</v>
      </c>
      <c r="BD42" s="5">
        <v>10.756451612903227</v>
      </c>
    </row>
    <row r="43" spans="9:56" x14ac:dyDescent="0.25">
      <c r="I43" s="3">
        <v>3</v>
      </c>
      <c r="J43" s="1">
        <v>0.54838709677419351</v>
      </c>
      <c r="K43" s="1">
        <v>0.49967206660078239</v>
      </c>
      <c r="L43" s="1">
        <v>0</v>
      </c>
      <c r="M43" s="1">
        <v>1</v>
      </c>
      <c r="AZ43" s="5">
        <v>40</v>
      </c>
      <c r="BA43" s="5">
        <v>1</v>
      </c>
      <c r="BB43" s="5">
        <v>1</v>
      </c>
      <c r="BC43" s="5">
        <v>40</v>
      </c>
      <c r="BD43" s="5">
        <v>11.03225806451613</v>
      </c>
    </row>
    <row r="44" spans="9:56" x14ac:dyDescent="0.25">
      <c r="I44" s="3">
        <v>4</v>
      </c>
      <c r="J44" s="1">
        <v>0.25806451612903225</v>
      </c>
      <c r="K44" s="1">
        <v>0.43934481415230991</v>
      </c>
      <c r="L44" s="1">
        <v>0</v>
      </c>
      <c r="M44" s="1">
        <v>1</v>
      </c>
      <c r="AZ44" s="5">
        <v>41</v>
      </c>
      <c r="BA44" s="5">
        <v>1</v>
      </c>
      <c r="BB44" s="5">
        <v>1</v>
      </c>
      <c r="BC44" s="5">
        <v>41</v>
      </c>
      <c r="BD44" s="5">
        <v>11.308064516129033</v>
      </c>
    </row>
    <row r="45" spans="9:56" x14ac:dyDescent="0.25">
      <c r="I45" s="3">
        <v>5</v>
      </c>
      <c r="J45" s="1">
        <v>3.2258064516129031E-2</v>
      </c>
      <c r="K45" s="1">
        <v>0.17740147252703448</v>
      </c>
      <c r="L45" s="1">
        <v>0</v>
      </c>
      <c r="M45" s="1">
        <v>1</v>
      </c>
      <c r="AZ45" s="5">
        <v>42</v>
      </c>
      <c r="BA45" s="5">
        <v>1</v>
      </c>
      <c r="BB45" s="5">
        <v>1</v>
      </c>
      <c r="BC45" s="5">
        <v>42</v>
      </c>
      <c r="BD45" s="5">
        <v>11.583870967741936</v>
      </c>
    </row>
    <row r="46" spans="9:56" x14ac:dyDescent="0.25">
      <c r="I46" s="3">
        <v>6</v>
      </c>
      <c r="J46" s="1">
        <v>3.2258064516129031E-2</v>
      </c>
      <c r="K46" s="1">
        <v>0.17740147252703431</v>
      </c>
      <c r="L46" s="1">
        <v>0</v>
      </c>
      <c r="M46" s="1">
        <v>1</v>
      </c>
      <c r="AZ46" s="5">
        <v>43</v>
      </c>
      <c r="BA46" s="5">
        <v>1</v>
      </c>
      <c r="BB46" s="5">
        <v>1</v>
      </c>
      <c r="BC46" s="5">
        <v>43</v>
      </c>
      <c r="BD46" s="5">
        <v>11.859677419354838</v>
      </c>
    </row>
    <row r="47" spans="9:56" x14ac:dyDescent="0.25">
      <c r="I47" s="3">
        <v>7</v>
      </c>
      <c r="J47" s="1">
        <v>4.0322580645161289E-2</v>
      </c>
      <c r="K47" s="1">
        <v>0.19751272670272751</v>
      </c>
      <c r="L47" s="1">
        <v>0</v>
      </c>
      <c r="M47" s="1">
        <v>1</v>
      </c>
      <c r="AZ47" s="5">
        <v>44</v>
      </c>
      <c r="BA47" s="5">
        <v>1</v>
      </c>
      <c r="BB47" s="5">
        <v>1</v>
      </c>
      <c r="BC47" s="5">
        <v>44</v>
      </c>
      <c r="BD47" s="5">
        <v>12.135483870967743</v>
      </c>
    </row>
    <row r="48" spans="9:56" x14ac:dyDescent="0.25">
      <c r="I48" s="3">
        <v>8</v>
      </c>
      <c r="J48" s="1">
        <v>0</v>
      </c>
      <c r="K48" s="1">
        <v>0</v>
      </c>
      <c r="L48" s="1">
        <v>0</v>
      </c>
      <c r="M48" s="1">
        <v>0</v>
      </c>
      <c r="AZ48" s="5">
        <v>45</v>
      </c>
      <c r="BA48" s="5">
        <v>1</v>
      </c>
      <c r="BB48" s="5">
        <v>1</v>
      </c>
      <c r="BC48" s="5">
        <v>45</v>
      </c>
      <c r="BD48" s="5">
        <v>12.411290322580646</v>
      </c>
    </row>
    <row r="49" spans="9:56" x14ac:dyDescent="0.25">
      <c r="I49" s="3">
        <v>9</v>
      </c>
      <c r="J49" s="1">
        <v>0</v>
      </c>
      <c r="K49" s="1">
        <v>0</v>
      </c>
      <c r="L49" s="1">
        <v>0</v>
      </c>
      <c r="M49" s="1">
        <v>0</v>
      </c>
      <c r="AZ49" s="5">
        <v>46</v>
      </c>
      <c r="BA49" s="5">
        <v>1</v>
      </c>
      <c r="BB49" s="5">
        <v>1</v>
      </c>
      <c r="BC49" s="5">
        <v>46</v>
      </c>
      <c r="BD49" s="5">
        <v>12.687096774193549</v>
      </c>
    </row>
    <row r="50" spans="9:56" x14ac:dyDescent="0.25">
      <c r="I50" s="3">
        <v>10</v>
      </c>
      <c r="J50" s="1">
        <v>0</v>
      </c>
      <c r="K50" s="1">
        <v>0</v>
      </c>
      <c r="L50" s="1">
        <v>0</v>
      </c>
      <c r="M50" s="1">
        <v>0</v>
      </c>
      <c r="AZ50" s="5">
        <v>47</v>
      </c>
      <c r="BA50" s="5">
        <v>1</v>
      </c>
      <c r="BB50" s="5">
        <v>1</v>
      </c>
      <c r="BC50" s="5">
        <v>47</v>
      </c>
      <c r="BD50" s="5">
        <v>12.962903225806452</v>
      </c>
    </row>
    <row r="51" spans="9:56" x14ac:dyDescent="0.25">
      <c r="AZ51" s="5">
        <v>48</v>
      </c>
      <c r="BA51" s="5">
        <v>1</v>
      </c>
      <c r="BB51" s="5">
        <v>1</v>
      </c>
      <c r="BC51" s="5">
        <v>48</v>
      </c>
      <c r="BD51" s="5">
        <v>13.238709677419354</v>
      </c>
    </row>
    <row r="52" spans="9:56" x14ac:dyDescent="0.25">
      <c r="AZ52" s="5">
        <v>49</v>
      </c>
      <c r="BA52" s="5">
        <v>1</v>
      </c>
      <c r="BB52" s="5">
        <v>1</v>
      </c>
      <c r="BC52" s="5">
        <v>49</v>
      </c>
      <c r="BD52" s="5">
        <v>13.514516129032259</v>
      </c>
    </row>
    <row r="53" spans="9:56" x14ac:dyDescent="0.25">
      <c r="AZ53" s="5">
        <v>50</v>
      </c>
      <c r="BA53" s="5">
        <v>1</v>
      </c>
      <c r="BB53" s="5">
        <v>1</v>
      </c>
      <c r="BC53" s="5">
        <v>50</v>
      </c>
      <c r="BD53" s="5">
        <v>13.790322580645162</v>
      </c>
    </row>
    <row r="54" spans="9:56" x14ac:dyDescent="0.25">
      <c r="AZ54" s="5">
        <v>51</v>
      </c>
      <c r="BA54" s="5">
        <v>1</v>
      </c>
      <c r="BB54" s="5">
        <v>1</v>
      </c>
      <c r="BC54" s="5">
        <v>51</v>
      </c>
      <c r="BD54" s="5">
        <v>14.066129032258065</v>
      </c>
    </row>
    <row r="55" spans="9:56" x14ac:dyDescent="0.25">
      <c r="AZ55" s="5">
        <v>52</v>
      </c>
      <c r="BA55" s="5">
        <v>1</v>
      </c>
      <c r="BB55" s="5">
        <v>1</v>
      </c>
      <c r="BC55" s="5">
        <v>52</v>
      </c>
      <c r="BD55" s="5">
        <v>14.341935483870968</v>
      </c>
    </row>
    <row r="56" spans="9:56" x14ac:dyDescent="0.25">
      <c r="AZ56" s="5">
        <v>53</v>
      </c>
      <c r="BA56" s="5">
        <v>1</v>
      </c>
      <c r="BB56" s="5">
        <v>1</v>
      </c>
      <c r="BC56" s="5">
        <v>53</v>
      </c>
      <c r="BD56" s="5">
        <v>14.617741935483872</v>
      </c>
    </row>
    <row r="57" spans="9:56" x14ac:dyDescent="0.25">
      <c r="AZ57" s="5">
        <v>54</v>
      </c>
      <c r="BA57" s="5">
        <v>1</v>
      </c>
      <c r="BB57" s="5">
        <v>1</v>
      </c>
      <c r="BC57" s="5">
        <v>54</v>
      </c>
      <c r="BD57" s="5">
        <v>14.893548387096775</v>
      </c>
    </row>
    <row r="58" spans="9:56" x14ac:dyDescent="0.25">
      <c r="AZ58" s="5">
        <v>55</v>
      </c>
      <c r="BA58" s="5">
        <v>1</v>
      </c>
      <c r="BB58" s="5">
        <v>1</v>
      </c>
      <c r="BC58" s="5">
        <v>55</v>
      </c>
      <c r="BD58" s="5">
        <v>15.169354838709678</v>
      </c>
    </row>
    <row r="59" spans="9:56" x14ac:dyDescent="0.25">
      <c r="AZ59" s="5">
        <v>56</v>
      </c>
      <c r="BA59" s="5">
        <v>1</v>
      </c>
      <c r="BB59" s="5">
        <v>1</v>
      </c>
      <c r="BC59" s="5">
        <v>56</v>
      </c>
      <c r="BD59" s="5">
        <v>15.445161290322581</v>
      </c>
    </row>
    <row r="60" spans="9:56" x14ac:dyDescent="0.25">
      <c r="AZ60" s="5">
        <v>57</v>
      </c>
      <c r="BA60" s="5">
        <v>1</v>
      </c>
      <c r="BB60" s="5">
        <v>1</v>
      </c>
      <c r="BC60" s="5">
        <v>57</v>
      </c>
      <c r="BD60" s="5">
        <v>15.720967741935484</v>
      </c>
    </row>
    <row r="61" spans="9:56" x14ac:dyDescent="0.25">
      <c r="AZ61" s="5">
        <v>58</v>
      </c>
      <c r="BA61" s="5">
        <v>1</v>
      </c>
      <c r="BB61" s="5">
        <v>1</v>
      </c>
      <c r="BC61" s="5">
        <v>58</v>
      </c>
      <c r="BD61" s="5">
        <v>15.996774193548388</v>
      </c>
    </row>
    <row r="62" spans="9:56" x14ac:dyDescent="0.25">
      <c r="AZ62" s="5">
        <v>59</v>
      </c>
      <c r="BA62" s="5">
        <v>1</v>
      </c>
      <c r="BB62" s="5">
        <v>1</v>
      </c>
      <c r="BC62" s="5">
        <v>59</v>
      </c>
      <c r="BD62" s="5">
        <v>16.272580645161291</v>
      </c>
    </row>
    <row r="63" spans="9:56" x14ac:dyDescent="0.25">
      <c r="AZ63" s="5">
        <v>60</v>
      </c>
      <c r="BA63" s="5">
        <v>1</v>
      </c>
      <c r="BB63" s="5">
        <v>1</v>
      </c>
      <c r="BC63" s="5">
        <v>60</v>
      </c>
      <c r="BD63" s="5">
        <v>16.548387096774196</v>
      </c>
    </row>
    <row r="64" spans="9:56" x14ac:dyDescent="0.25">
      <c r="AZ64" s="5">
        <v>61</v>
      </c>
      <c r="BA64" s="5">
        <v>1</v>
      </c>
      <c r="BB64" s="5">
        <v>1</v>
      </c>
      <c r="BC64" s="5">
        <v>61</v>
      </c>
      <c r="BD64" s="5">
        <v>16.824193548387097</v>
      </c>
    </row>
    <row r="65" spans="52:56" x14ac:dyDescent="0.25">
      <c r="AZ65" s="5">
        <v>62</v>
      </c>
      <c r="BA65" s="5">
        <v>1</v>
      </c>
      <c r="BB65" s="5">
        <v>1</v>
      </c>
      <c r="BC65" s="5">
        <v>62</v>
      </c>
      <c r="BD65" s="5">
        <v>17.100000000000001</v>
      </c>
    </row>
    <row r="66" spans="52:56" x14ac:dyDescent="0.25">
      <c r="AZ66" s="5">
        <v>63</v>
      </c>
      <c r="BA66" s="5">
        <v>1</v>
      </c>
      <c r="BB66" s="5">
        <v>1</v>
      </c>
      <c r="BC66" s="5">
        <v>63</v>
      </c>
      <c r="BD66" s="5">
        <v>17.375806451612902</v>
      </c>
    </row>
    <row r="67" spans="52:56" x14ac:dyDescent="0.25">
      <c r="AZ67" s="5">
        <v>64</v>
      </c>
      <c r="BA67" s="5">
        <v>1</v>
      </c>
      <c r="BB67" s="5">
        <v>1</v>
      </c>
      <c r="BC67" s="5">
        <v>64</v>
      </c>
      <c r="BD67" s="5">
        <v>17.651612903225807</v>
      </c>
    </row>
    <row r="68" spans="52:56" x14ac:dyDescent="0.25">
      <c r="AZ68" s="5">
        <v>65</v>
      </c>
      <c r="BA68" s="5">
        <v>1</v>
      </c>
      <c r="BB68" s="5">
        <v>1</v>
      </c>
      <c r="BC68" s="5">
        <v>65</v>
      </c>
      <c r="BD68" s="5">
        <v>17.927419354838712</v>
      </c>
    </row>
    <row r="69" spans="52:56" x14ac:dyDescent="0.25">
      <c r="AZ69" s="5">
        <v>66</v>
      </c>
      <c r="BA69" s="5">
        <v>1</v>
      </c>
      <c r="BB69" s="5">
        <v>1</v>
      </c>
      <c r="BC69" s="5">
        <v>66</v>
      </c>
      <c r="BD69" s="5">
        <v>18.203225806451613</v>
      </c>
    </row>
    <row r="70" spans="52:56" x14ac:dyDescent="0.25">
      <c r="AZ70" s="5">
        <v>67</v>
      </c>
      <c r="BA70" s="5">
        <v>1</v>
      </c>
      <c r="BB70" s="5">
        <v>1</v>
      </c>
      <c r="BC70" s="5">
        <v>67</v>
      </c>
      <c r="BD70" s="5">
        <v>18.479032258064517</v>
      </c>
    </row>
    <row r="71" spans="52:56" x14ac:dyDescent="0.25">
      <c r="AZ71" s="5">
        <v>68</v>
      </c>
      <c r="BA71" s="5">
        <v>1</v>
      </c>
      <c r="BB71" s="5">
        <v>1</v>
      </c>
      <c r="BC71" s="5">
        <v>68</v>
      </c>
      <c r="BD71" s="5">
        <v>18.754838709677419</v>
      </c>
    </row>
    <row r="72" spans="52:56" x14ac:dyDescent="0.25">
      <c r="AZ72" s="5">
        <v>69</v>
      </c>
      <c r="BA72" s="5">
        <v>1</v>
      </c>
      <c r="BB72" s="5">
        <v>1</v>
      </c>
      <c r="BC72" s="5">
        <v>69</v>
      </c>
      <c r="BD72" s="5">
        <v>19.030645161290323</v>
      </c>
    </row>
    <row r="73" spans="52:56" x14ac:dyDescent="0.25">
      <c r="AZ73" s="5">
        <v>70</v>
      </c>
      <c r="BA73" s="5">
        <v>1</v>
      </c>
      <c r="BB73" s="5">
        <v>1</v>
      </c>
      <c r="BC73" s="5">
        <v>70</v>
      </c>
      <c r="BD73" s="5">
        <v>19.306451612903228</v>
      </c>
    </row>
    <row r="74" spans="52:56" x14ac:dyDescent="0.25">
      <c r="AZ74" s="5">
        <v>71</v>
      </c>
      <c r="BA74" s="5">
        <v>1</v>
      </c>
      <c r="BB74" s="5">
        <v>1</v>
      </c>
      <c r="BC74" s="5">
        <v>71</v>
      </c>
      <c r="BD74" s="5">
        <v>19.582258064516129</v>
      </c>
    </row>
    <row r="75" spans="52:56" x14ac:dyDescent="0.25">
      <c r="AZ75" s="5">
        <v>72</v>
      </c>
      <c r="BA75" s="5">
        <v>1</v>
      </c>
      <c r="BB75" s="5">
        <v>1</v>
      </c>
      <c r="BC75" s="5">
        <v>72</v>
      </c>
      <c r="BD75" s="5">
        <v>19.858064516129033</v>
      </c>
    </row>
    <row r="76" spans="52:56" x14ac:dyDescent="0.25">
      <c r="AZ76" s="5">
        <v>73</v>
      </c>
      <c r="BA76" s="5">
        <v>1</v>
      </c>
      <c r="BB76" s="5">
        <v>1</v>
      </c>
      <c r="BC76" s="5">
        <v>73</v>
      </c>
      <c r="BD76" s="5">
        <v>20.133870967741935</v>
      </c>
    </row>
    <row r="77" spans="52:56" x14ac:dyDescent="0.25">
      <c r="AZ77" s="5">
        <v>74</v>
      </c>
      <c r="BA77" s="5">
        <v>1</v>
      </c>
      <c r="BB77" s="5">
        <v>1</v>
      </c>
      <c r="BC77" s="5">
        <v>74</v>
      </c>
      <c r="BD77" s="5">
        <v>20.409677419354839</v>
      </c>
    </row>
    <row r="78" spans="52:56" x14ac:dyDescent="0.25">
      <c r="AZ78" s="5">
        <v>75</v>
      </c>
      <c r="BA78" s="5">
        <v>1</v>
      </c>
      <c r="BB78" s="5">
        <v>1</v>
      </c>
      <c r="BC78" s="5">
        <v>75</v>
      </c>
      <c r="BD78" s="5">
        <v>20.685483870967744</v>
      </c>
    </row>
    <row r="79" spans="52:56" x14ac:dyDescent="0.25">
      <c r="AZ79" s="5">
        <v>76</v>
      </c>
      <c r="BA79" s="5">
        <v>1</v>
      </c>
      <c r="BB79" s="5">
        <v>1</v>
      </c>
      <c r="BC79" s="5">
        <v>76</v>
      </c>
      <c r="BD79" s="5">
        <v>20.961290322580645</v>
      </c>
    </row>
    <row r="80" spans="52:56" x14ac:dyDescent="0.25">
      <c r="AZ80" s="5">
        <v>77</v>
      </c>
      <c r="BA80" s="5">
        <v>1</v>
      </c>
      <c r="BB80" s="5">
        <v>1</v>
      </c>
      <c r="BC80" s="5">
        <v>77</v>
      </c>
      <c r="BD80" s="5">
        <v>21.237096774193549</v>
      </c>
    </row>
    <row r="81" spans="52:56" x14ac:dyDescent="0.25">
      <c r="AZ81" s="5">
        <v>78</v>
      </c>
      <c r="BA81" s="5">
        <v>1</v>
      </c>
      <c r="BB81" s="5">
        <v>1</v>
      </c>
      <c r="BC81" s="5">
        <v>78</v>
      </c>
      <c r="BD81" s="5">
        <v>21.512903225806454</v>
      </c>
    </row>
    <row r="82" spans="52:56" x14ac:dyDescent="0.25">
      <c r="AZ82" s="5">
        <v>79</v>
      </c>
      <c r="BA82" s="5">
        <v>1</v>
      </c>
      <c r="BB82" s="5">
        <v>1</v>
      </c>
      <c r="BC82" s="5">
        <v>79</v>
      </c>
      <c r="BD82" s="5">
        <v>21.788709677419355</v>
      </c>
    </row>
    <row r="83" spans="52:56" x14ac:dyDescent="0.25">
      <c r="AZ83" s="5">
        <v>80</v>
      </c>
      <c r="BA83" s="5">
        <v>1</v>
      </c>
      <c r="BB83" s="5">
        <v>0</v>
      </c>
      <c r="BC83" s="5">
        <v>79</v>
      </c>
      <c r="BD83" s="5">
        <v>22.06451612903226</v>
      </c>
    </row>
    <row r="84" spans="52:56" x14ac:dyDescent="0.25">
      <c r="AZ84" s="5">
        <v>81</v>
      </c>
      <c r="BA84" s="5">
        <v>1</v>
      </c>
      <c r="BB84" s="5">
        <v>1</v>
      </c>
      <c r="BC84" s="5">
        <v>80</v>
      </c>
      <c r="BD84" s="5">
        <v>22.340322580645161</v>
      </c>
    </row>
    <row r="85" spans="52:56" x14ac:dyDescent="0.25">
      <c r="AZ85" s="5">
        <v>82</v>
      </c>
      <c r="BA85" s="5">
        <v>1</v>
      </c>
      <c r="BB85" s="5">
        <v>1</v>
      </c>
      <c r="BC85" s="5">
        <v>81</v>
      </c>
      <c r="BD85" s="5">
        <v>22.616129032258065</v>
      </c>
    </row>
    <row r="86" spans="52:56" x14ac:dyDescent="0.25">
      <c r="AZ86" s="5">
        <v>83</v>
      </c>
      <c r="BA86" s="5">
        <v>1</v>
      </c>
      <c r="BB86" s="5">
        <v>1</v>
      </c>
      <c r="BC86" s="5">
        <v>82</v>
      </c>
      <c r="BD86" s="5">
        <v>22.89193548387097</v>
      </c>
    </row>
    <row r="87" spans="52:56" x14ac:dyDescent="0.25">
      <c r="AZ87" s="5">
        <v>84</v>
      </c>
      <c r="BA87" s="5">
        <v>1</v>
      </c>
      <c r="BB87" s="5">
        <v>1</v>
      </c>
      <c r="BC87" s="5">
        <v>83</v>
      </c>
      <c r="BD87" s="5">
        <v>23.167741935483871</v>
      </c>
    </row>
    <row r="88" spans="52:56" x14ac:dyDescent="0.25">
      <c r="AZ88" s="5">
        <v>85</v>
      </c>
      <c r="BA88" s="5">
        <v>1</v>
      </c>
      <c r="BB88" s="5">
        <v>1</v>
      </c>
      <c r="BC88" s="5">
        <v>84</v>
      </c>
      <c r="BD88" s="5">
        <v>23.443548387096776</v>
      </c>
    </row>
    <row r="89" spans="52:56" x14ac:dyDescent="0.25">
      <c r="AZ89" s="5">
        <v>86</v>
      </c>
      <c r="BA89" s="5">
        <v>1</v>
      </c>
      <c r="BB89" s="5">
        <v>1</v>
      </c>
      <c r="BC89" s="5">
        <v>85</v>
      </c>
      <c r="BD89" s="5">
        <v>23.719354838709677</v>
      </c>
    </row>
    <row r="90" spans="52:56" x14ac:dyDescent="0.25">
      <c r="AZ90" s="5">
        <v>87</v>
      </c>
      <c r="BA90" s="5">
        <v>1</v>
      </c>
      <c r="BB90" s="5">
        <v>1</v>
      </c>
      <c r="BC90" s="5">
        <v>86</v>
      </c>
      <c r="BD90" s="5">
        <v>23.995161290322581</v>
      </c>
    </row>
    <row r="91" spans="52:56" x14ac:dyDescent="0.25">
      <c r="AZ91" s="5">
        <v>88</v>
      </c>
      <c r="BA91" s="5">
        <v>1</v>
      </c>
      <c r="BB91" s="5">
        <v>1</v>
      </c>
      <c r="BC91" s="5">
        <v>87</v>
      </c>
      <c r="BD91" s="5">
        <v>24.270967741935486</v>
      </c>
    </row>
    <row r="92" spans="52:56" x14ac:dyDescent="0.25">
      <c r="AZ92" s="5">
        <v>89</v>
      </c>
      <c r="BA92" s="5">
        <v>1</v>
      </c>
      <c r="BB92" s="5">
        <v>1</v>
      </c>
      <c r="BC92" s="5">
        <v>88</v>
      </c>
      <c r="BD92" s="5">
        <v>24.546774193548387</v>
      </c>
    </row>
    <row r="93" spans="52:56" x14ac:dyDescent="0.25">
      <c r="AZ93" s="5">
        <v>90</v>
      </c>
      <c r="BA93" s="5">
        <v>1</v>
      </c>
      <c r="BB93" s="5">
        <v>1</v>
      </c>
      <c r="BC93" s="5">
        <v>89</v>
      </c>
      <c r="BD93" s="5">
        <v>24.822580645161292</v>
      </c>
    </row>
    <row r="94" spans="52:56" x14ac:dyDescent="0.25">
      <c r="AZ94" s="5">
        <v>91</v>
      </c>
      <c r="BA94" s="5">
        <v>1</v>
      </c>
      <c r="BB94" s="5">
        <v>1</v>
      </c>
      <c r="BC94" s="5">
        <v>90</v>
      </c>
      <c r="BD94" s="5">
        <v>25.098387096774193</v>
      </c>
    </row>
    <row r="95" spans="52:56" x14ac:dyDescent="0.25">
      <c r="AZ95" s="5">
        <v>92</v>
      </c>
      <c r="BA95" s="5">
        <v>1</v>
      </c>
      <c r="BB95" s="5">
        <v>1</v>
      </c>
      <c r="BC95" s="5">
        <v>91</v>
      </c>
      <c r="BD95" s="5">
        <v>25.374193548387098</v>
      </c>
    </row>
    <row r="96" spans="52:56" x14ac:dyDescent="0.25">
      <c r="AZ96" s="5">
        <v>93</v>
      </c>
      <c r="BA96" s="5">
        <v>1</v>
      </c>
      <c r="BB96" s="5">
        <v>1</v>
      </c>
      <c r="BC96" s="5">
        <v>92</v>
      </c>
      <c r="BD96" s="5">
        <v>25.650000000000002</v>
      </c>
    </row>
    <row r="97" spans="52:56" x14ac:dyDescent="0.25">
      <c r="AZ97" s="5">
        <v>94</v>
      </c>
      <c r="BA97" s="5">
        <v>1</v>
      </c>
      <c r="BB97" s="5">
        <v>1</v>
      </c>
      <c r="BC97" s="5">
        <v>93</v>
      </c>
      <c r="BD97" s="5">
        <v>25.925806451612903</v>
      </c>
    </row>
    <row r="98" spans="52:56" x14ac:dyDescent="0.25">
      <c r="AZ98" s="5">
        <v>95</v>
      </c>
      <c r="BA98" s="5">
        <v>1</v>
      </c>
      <c r="BB98" s="5">
        <v>1</v>
      </c>
      <c r="BC98" s="5">
        <v>94</v>
      </c>
      <c r="BD98" s="5">
        <v>26.201612903225808</v>
      </c>
    </row>
    <row r="99" spans="52:56" x14ac:dyDescent="0.25">
      <c r="AZ99" s="5">
        <v>96</v>
      </c>
      <c r="BA99" s="5">
        <v>1</v>
      </c>
      <c r="BB99" s="5">
        <v>1</v>
      </c>
      <c r="BC99" s="5">
        <v>95</v>
      </c>
      <c r="BD99" s="5">
        <v>26.477419354838709</v>
      </c>
    </row>
    <row r="100" spans="52:56" x14ac:dyDescent="0.25">
      <c r="AZ100" s="5">
        <v>97</v>
      </c>
      <c r="BA100" s="5">
        <v>1</v>
      </c>
      <c r="BB100" s="5">
        <v>1</v>
      </c>
      <c r="BC100" s="5">
        <v>96</v>
      </c>
      <c r="BD100" s="5">
        <v>26.753225806451614</v>
      </c>
    </row>
    <row r="101" spans="52:56" x14ac:dyDescent="0.25">
      <c r="AZ101" s="5">
        <v>98</v>
      </c>
      <c r="BA101" s="5">
        <v>1</v>
      </c>
      <c r="BB101" s="5">
        <v>1</v>
      </c>
      <c r="BC101" s="5">
        <v>97</v>
      </c>
      <c r="BD101" s="5">
        <v>27.029032258064518</v>
      </c>
    </row>
    <row r="102" spans="52:56" x14ac:dyDescent="0.25">
      <c r="AZ102" s="5">
        <v>99</v>
      </c>
      <c r="BA102" s="5">
        <v>1</v>
      </c>
      <c r="BB102" s="5">
        <v>1</v>
      </c>
      <c r="BC102" s="5">
        <v>98</v>
      </c>
      <c r="BD102" s="5">
        <v>27.304838709677419</v>
      </c>
    </row>
    <row r="103" spans="52:56" x14ac:dyDescent="0.25">
      <c r="AZ103" s="5">
        <v>100</v>
      </c>
      <c r="BA103" s="5">
        <v>1</v>
      </c>
      <c r="BB103" s="5">
        <v>1</v>
      </c>
      <c r="BC103" s="5">
        <v>99</v>
      </c>
      <c r="BD103" s="5">
        <v>27.580645161290324</v>
      </c>
    </row>
    <row r="104" spans="52:56" x14ac:dyDescent="0.25">
      <c r="AZ104" s="5">
        <v>101</v>
      </c>
      <c r="BA104" s="5">
        <v>1</v>
      </c>
      <c r="BB104" s="5">
        <v>1</v>
      </c>
      <c r="BC104" s="5">
        <v>100</v>
      </c>
      <c r="BD104" s="5">
        <v>27.856451612903228</v>
      </c>
    </row>
    <row r="105" spans="52:56" x14ac:dyDescent="0.25">
      <c r="AZ105" s="5">
        <v>102</v>
      </c>
      <c r="BA105" s="5">
        <v>1</v>
      </c>
      <c r="BB105" s="5">
        <v>1</v>
      </c>
      <c r="BC105" s="5">
        <v>101</v>
      </c>
      <c r="BD105" s="5">
        <v>28.13225806451613</v>
      </c>
    </row>
    <row r="106" spans="52:56" x14ac:dyDescent="0.25">
      <c r="AZ106" s="5">
        <v>103</v>
      </c>
      <c r="BA106" s="5">
        <v>1</v>
      </c>
      <c r="BB106" s="5">
        <v>1</v>
      </c>
      <c r="BC106" s="5">
        <v>102</v>
      </c>
      <c r="BD106" s="5">
        <v>28.408064516129034</v>
      </c>
    </row>
    <row r="107" spans="52:56" x14ac:dyDescent="0.25">
      <c r="AZ107" s="5">
        <v>104</v>
      </c>
      <c r="BA107" s="5">
        <v>1</v>
      </c>
      <c r="BB107" s="5">
        <v>1</v>
      </c>
      <c r="BC107" s="5">
        <v>103</v>
      </c>
      <c r="BD107" s="5">
        <v>28.683870967741935</v>
      </c>
    </row>
    <row r="108" spans="52:56" x14ac:dyDescent="0.25">
      <c r="AZ108" s="5">
        <v>105</v>
      </c>
      <c r="BA108" s="5">
        <v>1</v>
      </c>
      <c r="BB108" s="5">
        <v>1</v>
      </c>
      <c r="BC108" s="5">
        <v>104</v>
      </c>
      <c r="BD108" s="5">
        <v>28.95967741935484</v>
      </c>
    </row>
    <row r="109" spans="52:56" x14ac:dyDescent="0.25">
      <c r="AZ109" s="5">
        <v>106</v>
      </c>
      <c r="BA109" s="5">
        <v>1</v>
      </c>
      <c r="BB109" s="5">
        <v>1</v>
      </c>
      <c r="BC109" s="5">
        <v>105</v>
      </c>
      <c r="BD109" s="5">
        <v>29.235483870967744</v>
      </c>
    </row>
    <row r="110" spans="52:56" x14ac:dyDescent="0.25">
      <c r="AZ110" s="5">
        <v>107</v>
      </c>
      <c r="BA110" s="5">
        <v>1</v>
      </c>
      <c r="BB110" s="5">
        <v>1</v>
      </c>
      <c r="BC110" s="5">
        <v>106</v>
      </c>
      <c r="BD110" s="5">
        <v>29.511290322580646</v>
      </c>
    </row>
    <row r="111" spans="52:56" x14ac:dyDescent="0.25">
      <c r="AZ111" s="5">
        <v>108</v>
      </c>
      <c r="BA111" s="5">
        <v>1</v>
      </c>
      <c r="BB111" s="5">
        <v>1</v>
      </c>
      <c r="BC111" s="5">
        <v>107</v>
      </c>
      <c r="BD111" s="5">
        <v>29.78709677419355</v>
      </c>
    </row>
    <row r="112" spans="52:56" x14ac:dyDescent="0.25">
      <c r="AZ112" s="5">
        <v>109</v>
      </c>
      <c r="BA112" s="5">
        <v>1</v>
      </c>
      <c r="BB112" s="5">
        <v>1</v>
      </c>
      <c r="BC112" s="5">
        <v>108</v>
      </c>
      <c r="BD112" s="5">
        <v>30.062903225806451</v>
      </c>
    </row>
    <row r="113" spans="52:56" x14ac:dyDescent="0.25">
      <c r="AZ113" s="5">
        <v>110</v>
      </c>
      <c r="BA113" s="5">
        <v>1</v>
      </c>
      <c r="BB113" s="5">
        <v>1</v>
      </c>
      <c r="BC113" s="5">
        <v>109</v>
      </c>
      <c r="BD113" s="5">
        <v>30.338709677419356</v>
      </c>
    </row>
    <row r="114" spans="52:56" x14ac:dyDescent="0.25">
      <c r="AZ114" s="5">
        <v>111</v>
      </c>
      <c r="BA114" s="5">
        <v>1</v>
      </c>
      <c r="BB114" s="5">
        <v>1</v>
      </c>
      <c r="BC114" s="5">
        <v>110</v>
      </c>
      <c r="BD114" s="5">
        <v>30.61451612903226</v>
      </c>
    </row>
    <row r="115" spans="52:56" x14ac:dyDescent="0.25">
      <c r="AZ115" s="5">
        <v>112</v>
      </c>
      <c r="BA115" s="5">
        <v>1</v>
      </c>
      <c r="BB115" s="5">
        <v>1</v>
      </c>
      <c r="BC115" s="5">
        <v>111</v>
      </c>
      <c r="BD115" s="5">
        <v>30.890322580645162</v>
      </c>
    </row>
    <row r="116" spans="52:56" x14ac:dyDescent="0.25">
      <c r="AZ116" s="5">
        <v>113</v>
      </c>
      <c r="BA116" s="5">
        <v>1</v>
      </c>
      <c r="BB116" s="5">
        <v>1</v>
      </c>
      <c r="BC116" s="5">
        <v>112</v>
      </c>
      <c r="BD116" s="5">
        <v>31.166129032258066</v>
      </c>
    </row>
    <row r="117" spans="52:56" x14ac:dyDescent="0.25">
      <c r="AZ117" s="5">
        <v>114</v>
      </c>
      <c r="BA117" s="5">
        <v>1</v>
      </c>
      <c r="BB117" s="5">
        <v>0</v>
      </c>
      <c r="BC117" s="5">
        <v>112</v>
      </c>
      <c r="BD117" s="5">
        <v>31.441935483870967</v>
      </c>
    </row>
    <row r="118" spans="52:56" x14ac:dyDescent="0.25">
      <c r="AZ118" s="5">
        <v>115</v>
      </c>
      <c r="BA118" s="5">
        <v>1</v>
      </c>
      <c r="BB118" s="5">
        <v>1</v>
      </c>
      <c r="BC118" s="5">
        <v>113</v>
      </c>
      <c r="BD118" s="5">
        <v>31.717741935483872</v>
      </c>
    </row>
    <row r="119" spans="52:56" x14ac:dyDescent="0.25">
      <c r="AZ119" s="5">
        <v>116</v>
      </c>
      <c r="BA119" s="5">
        <v>1</v>
      </c>
      <c r="BB119" s="5">
        <v>1</v>
      </c>
      <c r="BC119" s="5">
        <v>114</v>
      </c>
      <c r="BD119" s="5">
        <v>31.993548387096777</v>
      </c>
    </row>
    <row r="120" spans="52:56" x14ac:dyDescent="0.25">
      <c r="AZ120" s="5">
        <v>117</v>
      </c>
      <c r="BA120" s="5">
        <v>1</v>
      </c>
      <c r="BB120" s="5">
        <v>1</v>
      </c>
      <c r="BC120" s="5">
        <v>115</v>
      </c>
      <c r="BD120" s="5">
        <v>32.269354838709681</v>
      </c>
    </row>
    <row r="121" spans="52:56" x14ac:dyDescent="0.25">
      <c r="AZ121" s="5">
        <v>118</v>
      </c>
      <c r="BA121" s="5">
        <v>1</v>
      </c>
      <c r="BB121" s="5">
        <v>1</v>
      </c>
      <c r="BC121" s="5">
        <v>116</v>
      </c>
      <c r="BD121" s="5">
        <v>32.545161290322582</v>
      </c>
    </row>
    <row r="122" spans="52:56" x14ac:dyDescent="0.25">
      <c r="AZ122" s="5">
        <v>119</v>
      </c>
      <c r="BA122" s="5">
        <v>1</v>
      </c>
      <c r="BB122" s="5">
        <v>1</v>
      </c>
      <c r="BC122" s="5">
        <v>117</v>
      </c>
      <c r="BD122" s="5">
        <v>32.820967741935483</v>
      </c>
    </row>
    <row r="123" spans="52:56" x14ac:dyDescent="0.25">
      <c r="AZ123" s="5">
        <v>120</v>
      </c>
      <c r="BA123" s="5">
        <v>1</v>
      </c>
      <c r="BB123" s="5">
        <v>1</v>
      </c>
      <c r="BC123" s="5">
        <v>118</v>
      </c>
      <c r="BD123" s="5">
        <v>33.096774193548391</v>
      </c>
    </row>
    <row r="124" spans="52:56" x14ac:dyDescent="0.25">
      <c r="AZ124" s="5">
        <v>121</v>
      </c>
      <c r="BA124" s="5">
        <v>1</v>
      </c>
      <c r="BB124" s="5">
        <v>1</v>
      </c>
      <c r="BC124" s="5">
        <v>119</v>
      </c>
      <c r="BD124" s="5">
        <v>33.372580645161293</v>
      </c>
    </row>
    <row r="125" spans="52:56" x14ac:dyDescent="0.25">
      <c r="AZ125" s="5">
        <v>122</v>
      </c>
      <c r="BA125" s="5">
        <v>1</v>
      </c>
      <c r="BB125" s="5">
        <v>1</v>
      </c>
      <c r="BC125" s="5">
        <v>120</v>
      </c>
      <c r="BD125" s="5">
        <v>33.648387096774194</v>
      </c>
    </row>
    <row r="126" spans="52:56" x14ac:dyDescent="0.25">
      <c r="AZ126" s="5">
        <v>123</v>
      </c>
      <c r="BA126" s="5">
        <v>1</v>
      </c>
      <c r="BB126" s="5">
        <v>1</v>
      </c>
      <c r="BC126" s="5">
        <v>121</v>
      </c>
      <c r="BD126" s="5">
        <v>33.924193548387095</v>
      </c>
    </row>
    <row r="127" spans="52:56" x14ac:dyDescent="0.25">
      <c r="AZ127" s="5">
        <v>124</v>
      </c>
      <c r="BA127" s="5">
        <v>1</v>
      </c>
      <c r="BB127" s="5">
        <v>1</v>
      </c>
      <c r="BC127" s="5">
        <v>122</v>
      </c>
      <c r="BD127" s="5">
        <v>34.200000000000003</v>
      </c>
    </row>
    <row r="128" spans="52:56" x14ac:dyDescent="0.25">
      <c r="AZ128" s="6">
        <v>125</v>
      </c>
      <c r="BA128" s="6">
        <v>1</v>
      </c>
      <c r="BB128" s="6">
        <v>1</v>
      </c>
      <c r="BC128" s="6">
        <v>123</v>
      </c>
      <c r="BD128" s="6">
        <v>34.475806451612904</v>
      </c>
    </row>
    <row r="129" spans="52:56" x14ac:dyDescent="0.25">
      <c r="AZ129" s="6">
        <v>126</v>
      </c>
      <c r="BA129" s="6">
        <v>1</v>
      </c>
      <c r="BB129" s="6">
        <v>1</v>
      </c>
      <c r="BC129" s="6">
        <v>124</v>
      </c>
      <c r="BD129" s="6">
        <v>34.751612903225805</v>
      </c>
    </row>
    <row r="130" spans="52:56" x14ac:dyDescent="0.25">
      <c r="AZ130" s="6">
        <v>127</v>
      </c>
      <c r="BA130" s="6">
        <v>1</v>
      </c>
      <c r="BB130" s="6">
        <v>1</v>
      </c>
      <c r="BC130" s="6">
        <v>125</v>
      </c>
      <c r="BD130" s="6">
        <v>35.027419354838713</v>
      </c>
    </row>
    <row r="131" spans="52:56" x14ac:dyDescent="0.25">
      <c r="AZ131" s="6">
        <v>128</v>
      </c>
      <c r="BA131" s="6">
        <v>1</v>
      </c>
      <c r="BB131" s="6">
        <v>1</v>
      </c>
      <c r="BC131" s="6">
        <v>126</v>
      </c>
      <c r="BD131" s="6">
        <v>35.303225806451614</v>
      </c>
    </row>
    <row r="132" spans="52:56" x14ac:dyDescent="0.25">
      <c r="AZ132" s="6">
        <v>129</v>
      </c>
      <c r="BA132" s="6">
        <v>1</v>
      </c>
      <c r="BB132" s="6">
        <v>1</v>
      </c>
      <c r="BC132" s="6">
        <v>127</v>
      </c>
      <c r="BD132" s="6">
        <v>35.579032258064515</v>
      </c>
    </row>
    <row r="133" spans="52:56" x14ac:dyDescent="0.25">
      <c r="AZ133" s="6">
        <v>130</v>
      </c>
      <c r="BA133" s="6">
        <v>1</v>
      </c>
      <c r="BB133" s="6">
        <v>1</v>
      </c>
      <c r="BC133" s="6">
        <v>128</v>
      </c>
      <c r="BD133" s="6">
        <v>35.854838709677423</v>
      </c>
    </row>
    <row r="134" spans="52:56" x14ac:dyDescent="0.25">
      <c r="AZ134" s="6">
        <v>131</v>
      </c>
      <c r="BA134" s="6">
        <v>1</v>
      </c>
      <c r="BB134" s="6">
        <v>1</v>
      </c>
      <c r="BC134" s="6">
        <v>129</v>
      </c>
      <c r="BD134" s="6">
        <v>36.130645161290325</v>
      </c>
    </row>
    <row r="135" spans="52:56" x14ac:dyDescent="0.25">
      <c r="AZ135" s="6">
        <v>132</v>
      </c>
      <c r="BA135" s="6">
        <v>1</v>
      </c>
      <c r="BB135" s="6">
        <v>1</v>
      </c>
      <c r="BC135" s="6">
        <v>130</v>
      </c>
      <c r="BD135" s="6">
        <v>36.406451612903226</v>
      </c>
    </row>
    <row r="136" spans="52:56" x14ac:dyDescent="0.25">
      <c r="AZ136" s="6">
        <v>133</v>
      </c>
      <c r="BA136" s="6">
        <v>1</v>
      </c>
      <c r="BB136" s="6">
        <v>1</v>
      </c>
      <c r="BC136" s="6">
        <v>131</v>
      </c>
      <c r="BD136" s="6">
        <v>36.682258064516134</v>
      </c>
    </row>
    <row r="137" spans="52:56" x14ac:dyDescent="0.25">
      <c r="AZ137" s="6">
        <v>134</v>
      </c>
      <c r="BA137" s="6">
        <v>1</v>
      </c>
      <c r="BB137" s="6">
        <v>1</v>
      </c>
      <c r="BC137" s="6">
        <v>132</v>
      </c>
      <c r="BD137" s="6">
        <v>36.958064516129035</v>
      </c>
    </row>
    <row r="138" spans="52:56" x14ac:dyDescent="0.25">
      <c r="AZ138" s="6">
        <v>135</v>
      </c>
      <c r="BA138" s="6">
        <v>1</v>
      </c>
      <c r="BB138" s="6">
        <v>1</v>
      </c>
      <c r="BC138" s="6">
        <v>133</v>
      </c>
      <c r="BD138" s="6">
        <v>37.233870967741936</v>
      </c>
    </row>
    <row r="139" spans="52:56" x14ac:dyDescent="0.25">
      <c r="AZ139" s="6">
        <v>136</v>
      </c>
      <c r="BA139" s="6">
        <v>1</v>
      </c>
      <c r="BB139" s="6">
        <v>1</v>
      </c>
      <c r="BC139" s="6">
        <v>134</v>
      </c>
      <c r="BD139" s="6">
        <v>37.509677419354837</v>
      </c>
    </row>
    <row r="140" spans="52:56" x14ac:dyDescent="0.25">
      <c r="AZ140" s="6">
        <v>137</v>
      </c>
      <c r="BA140" s="6">
        <v>1</v>
      </c>
      <c r="BB140" s="6">
        <v>1</v>
      </c>
      <c r="BC140" s="6">
        <v>135</v>
      </c>
      <c r="BD140" s="6">
        <v>37.785483870967745</v>
      </c>
    </row>
    <row r="141" spans="52:56" x14ac:dyDescent="0.25">
      <c r="AZ141" s="6">
        <v>138</v>
      </c>
      <c r="BA141" s="6">
        <v>1</v>
      </c>
      <c r="BB141" s="6">
        <v>1</v>
      </c>
      <c r="BC141" s="6">
        <v>136</v>
      </c>
      <c r="BD141" s="6">
        <v>38.061290322580646</v>
      </c>
    </row>
    <row r="142" spans="52:56" x14ac:dyDescent="0.25">
      <c r="AZ142" s="6">
        <v>139</v>
      </c>
      <c r="BA142" s="6">
        <v>1</v>
      </c>
      <c r="BB142" s="6">
        <v>1</v>
      </c>
      <c r="BC142" s="6">
        <v>137</v>
      </c>
      <c r="BD142" s="6">
        <v>38.337096774193547</v>
      </c>
    </row>
    <row r="143" spans="52:56" x14ac:dyDescent="0.25">
      <c r="AZ143" s="6">
        <v>140</v>
      </c>
      <c r="BA143" s="6">
        <v>1</v>
      </c>
      <c r="BB143" s="6">
        <v>1</v>
      </c>
      <c r="BC143" s="6">
        <v>138</v>
      </c>
      <c r="BD143" s="6">
        <v>38.612903225806456</v>
      </c>
    </row>
    <row r="144" spans="52:56" x14ac:dyDescent="0.25">
      <c r="AZ144" s="6">
        <v>141</v>
      </c>
      <c r="BA144" s="6">
        <v>1</v>
      </c>
      <c r="BB144" s="6">
        <v>1</v>
      </c>
      <c r="BC144" s="6">
        <v>139</v>
      </c>
      <c r="BD144" s="6">
        <v>38.888709677419357</v>
      </c>
    </row>
    <row r="145" spans="52:56" x14ac:dyDescent="0.25">
      <c r="AZ145" s="6">
        <v>142</v>
      </c>
      <c r="BA145" s="6">
        <v>1</v>
      </c>
      <c r="BB145" s="6">
        <v>1</v>
      </c>
      <c r="BC145" s="6">
        <v>140</v>
      </c>
      <c r="BD145" s="6">
        <v>39.164516129032258</v>
      </c>
    </row>
    <row r="146" spans="52:56" x14ac:dyDescent="0.25">
      <c r="AZ146" s="6">
        <v>143</v>
      </c>
      <c r="BA146" s="6">
        <v>1</v>
      </c>
      <c r="BB146" s="6">
        <v>1</v>
      </c>
      <c r="BC146" s="6">
        <v>141</v>
      </c>
      <c r="BD146" s="6">
        <v>39.440322580645166</v>
      </c>
    </row>
    <row r="147" spans="52:56" x14ac:dyDescent="0.25">
      <c r="AZ147" s="6">
        <v>144</v>
      </c>
      <c r="BA147" s="6">
        <v>1</v>
      </c>
      <c r="BB147" s="6">
        <v>1</v>
      </c>
      <c r="BC147" s="6">
        <v>142</v>
      </c>
      <c r="BD147" s="6">
        <v>39.716129032258067</v>
      </c>
    </row>
    <row r="148" spans="52:56" x14ac:dyDescent="0.25">
      <c r="AZ148" s="6">
        <v>145</v>
      </c>
      <c r="BA148" s="6">
        <v>1</v>
      </c>
      <c r="BB148" s="6">
        <v>1</v>
      </c>
      <c r="BC148" s="6">
        <v>143</v>
      </c>
      <c r="BD148" s="6">
        <v>39.991935483870968</v>
      </c>
    </row>
    <row r="149" spans="52:56" x14ac:dyDescent="0.25">
      <c r="AZ149" s="6">
        <v>146</v>
      </c>
      <c r="BA149" s="6">
        <v>1</v>
      </c>
      <c r="BB149" s="6">
        <v>1</v>
      </c>
      <c r="BC149" s="6">
        <v>144</v>
      </c>
      <c r="BD149" s="6">
        <v>40.267741935483869</v>
      </c>
    </row>
    <row r="150" spans="52:56" x14ac:dyDescent="0.25">
      <c r="AZ150" s="6">
        <v>147</v>
      </c>
      <c r="BA150" s="6">
        <v>1</v>
      </c>
      <c r="BB150" s="6">
        <v>1</v>
      </c>
      <c r="BC150" s="6">
        <v>145</v>
      </c>
      <c r="BD150" s="6">
        <v>40.543548387096777</v>
      </c>
    </row>
    <row r="151" spans="52:56" x14ac:dyDescent="0.25">
      <c r="AZ151" s="6">
        <v>148</v>
      </c>
      <c r="BA151" s="6">
        <v>1</v>
      </c>
      <c r="BB151" s="6">
        <v>1</v>
      </c>
      <c r="BC151" s="6">
        <v>146</v>
      </c>
      <c r="BD151" s="6">
        <v>40.819354838709678</v>
      </c>
    </row>
    <row r="152" spans="52:56" x14ac:dyDescent="0.25">
      <c r="AZ152" s="6">
        <v>149</v>
      </c>
      <c r="BA152" s="6">
        <v>1</v>
      </c>
      <c r="BB152" s="6">
        <v>1</v>
      </c>
      <c r="BC152" s="6">
        <v>147</v>
      </c>
      <c r="BD152" s="6">
        <v>41.095161290322579</v>
      </c>
    </row>
    <row r="153" spans="52:56" x14ac:dyDescent="0.25">
      <c r="AZ153" s="6">
        <v>150</v>
      </c>
      <c r="BA153" s="6">
        <v>1</v>
      </c>
      <c r="BB153" s="6">
        <v>1</v>
      </c>
      <c r="BC153" s="6">
        <v>148</v>
      </c>
      <c r="BD153" s="6">
        <v>41.370967741935488</v>
      </c>
    </row>
    <row r="154" spans="52:56" x14ac:dyDescent="0.25">
      <c r="AZ154" s="6">
        <v>151</v>
      </c>
      <c r="BA154" s="6">
        <v>1</v>
      </c>
      <c r="BB154" s="6">
        <v>1</v>
      </c>
      <c r="BC154" s="6">
        <v>149</v>
      </c>
      <c r="BD154" s="6">
        <v>41.646774193548389</v>
      </c>
    </row>
    <row r="155" spans="52:56" x14ac:dyDescent="0.25">
      <c r="AZ155" s="6">
        <v>152</v>
      </c>
      <c r="BA155" s="6">
        <v>1</v>
      </c>
      <c r="BB155" s="6">
        <v>1</v>
      </c>
      <c r="BC155" s="6">
        <v>150</v>
      </c>
      <c r="BD155" s="6">
        <v>41.92258064516129</v>
      </c>
    </row>
    <row r="156" spans="52:56" x14ac:dyDescent="0.25">
      <c r="AZ156" s="6">
        <v>153</v>
      </c>
      <c r="BA156" s="6">
        <v>1</v>
      </c>
      <c r="BB156" s="6">
        <v>1</v>
      </c>
      <c r="BC156" s="6">
        <v>151</v>
      </c>
      <c r="BD156" s="6">
        <v>42.198387096774198</v>
      </c>
    </row>
    <row r="157" spans="52:56" x14ac:dyDescent="0.25">
      <c r="AZ157" s="6">
        <v>154</v>
      </c>
      <c r="BA157" s="6">
        <v>1</v>
      </c>
      <c r="BB157" s="6">
        <v>1</v>
      </c>
      <c r="BC157" s="6">
        <v>152</v>
      </c>
      <c r="BD157" s="6">
        <v>42.474193548387099</v>
      </c>
    </row>
    <row r="158" spans="52:56" x14ac:dyDescent="0.25">
      <c r="AZ158" s="6">
        <v>155</v>
      </c>
      <c r="BA158" s="6">
        <v>1</v>
      </c>
      <c r="BB158" s="6">
        <v>1</v>
      </c>
      <c r="BC158" s="6">
        <v>153</v>
      </c>
      <c r="BD158" s="6">
        <v>42.75</v>
      </c>
    </row>
    <row r="159" spans="52:56" x14ac:dyDescent="0.25">
      <c r="AZ159" s="6">
        <v>156</v>
      </c>
      <c r="BA159" s="6">
        <v>1</v>
      </c>
      <c r="BB159" s="6">
        <v>1</v>
      </c>
      <c r="BC159" s="6">
        <v>154</v>
      </c>
      <c r="BD159" s="6">
        <v>43.025806451612908</v>
      </c>
    </row>
    <row r="160" spans="52:56" x14ac:dyDescent="0.25">
      <c r="AZ160" s="6">
        <v>157</v>
      </c>
      <c r="BA160" s="6">
        <v>1</v>
      </c>
      <c r="BB160" s="6">
        <v>1</v>
      </c>
      <c r="BC160" s="6">
        <v>155</v>
      </c>
      <c r="BD160" s="6">
        <v>43.301612903225809</v>
      </c>
    </row>
    <row r="161" spans="52:56" x14ac:dyDescent="0.25">
      <c r="AZ161" s="6">
        <v>158</v>
      </c>
      <c r="BA161" s="6">
        <v>1</v>
      </c>
      <c r="BB161" s="6">
        <v>1</v>
      </c>
      <c r="BC161" s="6">
        <v>156</v>
      </c>
      <c r="BD161" s="6">
        <v>43.57741935483871</v>
      </c>
    </row>
    <row r="162" spans="52:56" x14ac:dyDescent="0.25">
      <c r="AZ162" s="6">
        <v>159</v>
      </c>
      <c r="BA162" s="6">
        <v>1</v>
      </c>
      <c r="BB162" s="6">
        <v>1</v>
      </c>
      <c r="BC162" s="6">
        <v>157</v>
      </c>
      <c r="BD162" s="6">
        <v>43.853225806451611</v>
      </c>
    </row>
    <row r="163" spans="52:56" x14ac:dyDescent="0.25">
      <c r="AZ163" s="6">
        <v>160</v>
      </c>
      <c r="BA163" s="6">
        <v>1</v>
      </c>
      <c r="BB163" s="6">
        <v>1</v>
      </c>
      <c r="BC163" s="6">
        <v>158</v>
      </c>
      <c r="BD163" s="6">
        <v>44.12903225806452</v>
      </c>
    </row>
    <row r="164" spans="52:56" x14ac:dyDescent="0.25">
      <c r="AZ164" s="6">
        <v>161</v>
      </c>
      <c r="BA164" s="6">
        <v>1</v>
      </c>
      <c r="BB164" s="6">
        <v>1</v>
      </c>
      <c r="BC164" s="6">
        <v>159</v>
      </c>
      <c r="BD164" s="6">
        <v>44.404838709677421</v>
      </c>
    </row>
    <row r="165" spans="52:56" x14ac:dyDescent="0.25">
      <c r="AZ165" s="6">
        <v>162</v>
      </c>
      <c r="BA165" s="6">
        <v>1</v>
      </c>
      <c r="BB165" s="6">
        <v>1</v>
      </c>
      <c r="BC165" s="6">
        <v>160</v>
      </c>
      <c r="BD165" s="6">
        <v>44.680645161290322</v>
      </c>
    </row>
    <row r="166" spans="52:56" x14ac:dyDescent="0.25">
      <c r="AZ166" s="6">
        <v>163</v>
      </c>
      <c r="BA166" s="6">
        <v>1</v>
      </c>
      <c r="BB166" s="6">
        <v>1</v>
      </c>
      <c r="BC166" s="6">
        <v>161</v>
      </c>
      <c r="BD166" s="6">
        <v>44.95645161290323</v>
      </c>
    </row>
    <row r="167" spans="52:56" x14ac:dyDescent="0.25">
      <c r="AZ167" s="6">
        <v>164</v>
      </c>
      <c r="BA167" s="6">
        <v>1</v>
      </c>
      <c r="BB167" s="6">
        <v>1</v>
      </c>
      <c r="BC167" s="6">
        <v>162</v>
      </c>
      <c r="BD167" s="6">
        <v>45.232258064516131</v>
      </c>
    </row>
    <row r="168" spans="52:56" x14ac:dyDescent="0.25">
      <c r="AZ168" s="6">
        <v>165</v>
      </c>
      <c r="BA168" s="6">
        <v>1</v>
      </c>
      <c r="BB168" s="6">
        <v>1</v>
      </c>
      <c r="BC168" s="6">
        <v>163</v>
      </c>
      <c r="BD168" s="6">
        <v>45.508064516129032</v>
      </c>
    </row>
    <row r="169" spans="52:56" x14ac:dyDescent="0.25">
      <c r="AZ169" s="6">
        <v>166</v>
      </c>
      <c r="BA169" s="6">
        <v>1</v>
      </c>
      <c r="BB169" s="6">
        <v>1</v>
      </c>
      <c r="BC169" s="6">
        <v>164</v>
      </c>
      <c r="BD169" s="6">
        <v>45.78387096774194</v>
      </c>
    </row>
    <row r="170" spans="52:56" x14ac:dyDescent="0.25">
      <c r="AZ170" s="6">
        <v>167</v>
      </c>
      <c r="BA170" s="6">
        <v>1</v>
      </c>
      <c r="BB170" s="6">
        <v>1</v>
      </c>
      <c r="BC170" s="6">
        <v>165</v>
      </c>
      <c r="BD170" s="6">
        <v>46.059677419354841</v>
      </c>
    </row>
    <row r="171" spans="52:56" x14ac:dyDescent="0.25">
      <c r="AZ171" s="6">
        <v>168</v>
      </c>
      <c r="BA171" s="6">
        <v>1</v>
      </c>
      <c r="BB171" s="6">
        <v>1</v>
      </c>
      <c r="BC171" s="6">
        <v>166</v>
      </c>
      <c r="BD171" s="6">
        <v>46.335483870967742</v>
      </c>
    </row>
    <row r="172" spans="52:56" x14ac:dyDescent="0.25">
      <c r="AZ172" s="6">
        <v>169</v>
      </c>
      <c r="BA172" s="6">
        <v>1</v>
      </c>
      <c r="BB172" s="6">
        <v>1</v>
      </c>
      <c r="BC172" s="6">
        <v>167</v>
      </c>
      <c r="BD172" s="6">
        <v>46.611290322580643</v>
      </c>
    </row>
    <row r="173" spans="52:56" x14ac:dyDescent="0.25">
      <c r="AZ173" s="6">
        <v>170</v>
      </c>
      <c r="BA173" s="6">
        <v>1</v>
      </c>
      <c r="BB173" s="6">
        <v>1</v>
      </c>
      <c r="BC173" s="6">
        <v>168</v>
      </c>
      <c r="BD173" s="6">
        <v>46.887096774193552</v>
      </c>
    </row>
    <row r="174" spans="52:56" x14ac:dyDescent="0.25">
      <c r="AZ174" s="6">
        <v>171</v>
      </c>
      <c r="BA174" s="6">
        <v>1</v>
      </c>
      <c r="BB174" s="6">
        <v>1</v>
      </c>
      <c r="BC174" s="6">
        <v>169</v>
      </c>
      <c r="BD174" s="6">
        <v>47.162903225806453</v>
      </c>
    </row>
    <row r="175" spans="52:56" x14ac:dyDescent="0.25">
      <c r="AZ175" s="6">
        <v>172</v>
      </c>
      <c r="BA175" s="6">
        <v>1</v>
      </c>
      <c r="BB175" s="6">
        <v>1</v>
      </c>
      <c r="BC175" s="6">
        <v>170</v>
      </c>
      <c r="BD175" s="6">
        <v>47.438709677419354</v>
      </c>
    </row>
    <row r="176" spans="52:56" x14ac:dyDescent="0.25">
      <c r="AZ176" s="6">
        <v>173</v>
      </c>
      <c r="BA176" s="6">
        <v>1</v>
      </c>
      <c r="BB176" s="6">
        <v>1</v>
      </c>
      <c r="BC176" s="6">
        <v>171</v>
      </c>
      <c r="BD176" s="6">
        <v>47.714516129032262</v>
      </c>
    </row>
    <row r="177" spans="52:56" x14ac:dyDescent="0.25">
      <c r="AZ177" s="6">
        <v>174</v>
      </c>
      <c r="BA177" s="6">
        <v>1</v>
      </c>
      <c r="BB177" s="6">
        <v>1</v>
      </c>
      <c r="BC177" s="6">
        <v>172</v>
      </c>
      <c r="BD177" s="6">
        <v>47.990322580645163</v>
      </c>
    </row>
    <row r="178" spans="52:56" x14ac:dyDescent="0.25">
      <c r="AZ178" s="6">
        <v>175</v>
      </c>
      <c r="BA178" s="6">
        <v>1</v>
      </c>
      <c r="BB178" s="6">
        <v>1</v>
      </c>
      <c r="BC178" s="6">
        <v>173</v>
      </c>
      <c r="BD178" s="6">
        <v>48.266129032258064</v>
      </c>
    </row>
    <row r="179" spans="52:56" x14ac:dyDescent="0.25">
      <c r="AZ179" s="6">
        <v>176</v>
      </c>
      <c r="BA179" s="6">
        <v>1</v>
      </c>
      <c r="BB179" s="6">
        <v>1</v>
      </c>
      <c r="BC179" s="6">
        <v>174</v>
      </c>
      <c r="BD179" s="6">
        <v>48.541935483870972</v>
      </c>
    </row>
    <row r="180" spans="52:56" x14ac:dyDescent="0.25">
      <c r="AZ180" s="6">
        <v>177</v>
      </c>
      <c r="BA180" s="6">
        <v>1</v>
      </c>
      <c r="BB180" s="6">
        <v>0</v>
      </c>
      <c r="BC180" s="6">
        <v>174</v>
      </c>
      <c r="BD180" s="6">
        <v>48.817741935483873</v>
      </c>
    </row>
    <row r="181" spans="52:56" x14ac:dyDescent="0.25">
      <c r="AZ181" s="6">
        <v>178</v>
      </c>
      <c r="BA181" s="6">
        <v>1</v>
      </c>
      <c r="BB181" s="6">
        <v>1</v>
      </c>
      <c r="BC181" s="6">
        <v>175</v>
      </c>
      <c r="BD181" s="6">
        <v>49.093548387096774</v>
      </c>
    </row>
    <row r="182" spans="52:56" x14ac:dyDescent="0.25">
      <c r="AZ182" s="6">
        <v>179</v>
      </c>
      <c r="BA182" s="6">
        <v>1</v>
      </c>
      <c r="BB182" s="6">
        <v>1</v>
      </c>
      <c r="BC182" s="6">
        <v>176</v>
      </c>
      <c r="BD182" s="6">
        <v>49.369354838709683</v>
      </c>
    </row>
    <row r="183" spans="52:56" x14ac:dyDescent="0.25">
      <c r="AZ183" s="6">
        <v>180</v>
      </c>
      <c r="BA183" s="6">
        <v>1</v>
      </c>
      <c r="BB183" s="6">
        <v>1</v>
      </c>
      <c r="BC183" s="6">
        <v>177</v>
      </c>
      <c r="BD183" s="6">
        <v>49.645161290322584</v>
      </c>
    </row>
    <row r="184" spans="52:56" x14ac:dyDescent="0.25">
      <c r="AZ184" s="6">
        <v>181</v>
      </c>
      <c r="BA184" s="6">
        <v>1</v>
      </c>
      <c r="BB184" s="6">
        <v>1</v>
      </c>
      <c r="BC184" s="6">
        <v>178</v>
      </c>
      <c r="BD184" s="6">
        <v>49.920967741935485</v>
      </c>
    </row>
    <row r="185" spans="52:56" x14ac:dyDescent="0.25">
      <c r="AZ185" s="6">
        <v>182</v>
      </c>
      <c r="BA185" s="6">
        <v>1</v>
      </c>
      <c r="BB185" s="6">
        <v>1</v>
      </c>
      <c r="BC185" s="6">
        <v>179</v>
      </c>
      <c r="BD185" s="6">
        <v>50.196774193548386</v>
      </c>
    </row>
    <row r="186" spans="52:56" x14ac:dyDescent="0.25">
      <c r="AZ186" s="6">
        <v>183</v>
      </c>
      <c r="BA186" s="6">
        <v>1</v>
      </c>
      <c r="BB186" s="6">
        <v>1</v>
      </c>
      <c r="BC186" s="6">
        <v>180</v>
      </c>
      <c r="BD186" s="6">
        <v>50.472580645161294</v>
      </c>
    </row>
    <row r="187" spans="52:56" x14ac:dyDescent="0.25">
      <c r="AZ187" s="6">
        <v>184</v>
      </c>
      <c r="BA187" s="6">
        <v>1</v>
      </c>
      <c r="BB187" s="6">
        <v>1</v>
      </c>
      <c r="BC187" s="6">
        <v>181</v>
      </c>
      <c r="BD187" s="6">
        <v>50.748387096774195</v>
      </c>
    </row>
    <row r="188" spans="52:56" x14ac:dyDescent="0.25">
      <c r="AZ188" s="6">
        <v>185</v>
      </c>
      <c r="BA188" s="6">
        <v>1</v>
      </c>
      <c r="BB188" s="6">
        <v>1</v>
      </c>
      <c r="BC188" s="6">
        <v>182</v>
      </c>
      <c r="BD188" s="6">
        <v>51.024193548387096</v>
      </c>
    </row>
    <row r="189" spans="52:56" x14ac:dyDescent="0.25">
      <c r="AZ189" s="6">
        <v>186</v>
      </c>
      <c r="BA189" s="6">
        <v>1</v>
      </c>
      <c r="BB189" s="6">
        <v>1</v>
      </c>
      <c r="BC189" s="6">
        <v>183</v>
      </c>
      <c r="BD189" s="6">
        <v>51.300000000000004</v>
      </c>
    </row>
    <row r="190" spans="52:56" x14ac:dyDescent="0.25">
      <c r="AZ190" s="6">
        <v>187</v>
      </c>
      <c r="BA190" s="6">
        <v>1</v>
      </c>
      <c r="BB190" s="6">
        <v>1</v>
      </c>
      <c r="BC190" s="6">
        <v>184</v>
      </c>
      <c r="BD190" s="6">
        <v>51.575806451612905</v>
      </c>
    </row>
    <row r="191" spans="52:56" x14ac:dyDescent="0.25">
      <c r="AZ191" s="6">
        <v>188</v>
      </c>
      <c r="BA191" s="6">
        <v>1</v>
      </c>
      <c r="BB191" s="6">
        <v>1</v>
      </c>
      <c r="BC191" s="6">
        <v>185</v>
      </c>
      <c r="BD191" s="6">
        <v>51.851612903225806</v>
      </c>
    </row>
    <row r="192" spans="52:56" x14ac:dyDescent="0.25">
      <c r="AZ192" s="6">
        <v>189</v>
      </c>
      <c r="BA192" s="6">
        <v>1</v>
      </c>
      <c r="BB192" s="6">
        <v>1</v>
      </c>
      <c r="BC192" s="6">
        <v>186</v>
      </c>
      <c r="BD192" s="6">
        <v>52.127419354838715</v>
      </c>
    </row>
    <row r="193" spans="52:56" x14ac:dyDescent="0.25">
      <c r="AZ193" s="6">
        <v>190</v>
      </c>
      <c r="BA193" s="6">
        <v>1</v>
      </c>
      <c r="BB193" s="6">
        <v>1</v>
      </c>
      <c r="BC193" s="6">
        <v>187</v>
      </c>
      <c r="BD193" s="6">
        <v>52.403225806451616</v>
      </c>
    </row>
    <row r="194" spans="52:56" x14ac:dyDescent="0.25">
      <c r="AZ194" s="6">
        <v>191</v>
      </c>
      <c r="BA194" s="6">
        <v>1</v>
      </c>
      <c r="BB194" s="6">
        <v>1</v>
      </c>
      <c r="BC194" s="6">
        <v>188</v>
      </c>
      <c r="BD194" s="6">
        <v>52.679032258064517</v>
      </c>
    </row>
    <row r="195" spans="52:56" x14ac:dyDescent="0.25">
      <c r="AZ195" s="6">
        <v>192</v>
      </c>
      <c r="BA195" s="6">
        <v>1</v>
      </c>
      <c r="BB195" s="6">
        <v>1</v>
      </c>
      <c r="BC195" s="6">
        <v>189</v>
      </c>
      <c r="BD195" s="6">
        <v>52.954838709677418</v>
      </c>
    </row>
    <row r="196" spans="52:56" x14ac:dyDescent="0.25">
      <c r="AZ196" s="6">
        <v>193</v>
      </c>
      <c r="BA196" s="6">
        <v>1</v>
      </c>
      <c r="BB196" s="6">
        <v>1</v>
      </c>
      <c r="BC196" s="6">
        <v>190</v>
      </c>
      <c r="BD196" s="6">
        <v>53.230645161290326</v>
      </c>
    </row>
    <row r="197" spans="52:56" x14ac:dyDescent="0.25">
      <c r="AZ197" s="6">
        <v>194</v>
      </c>
      <c r="BA197" s="6">
        <v>1</v>
      </c>
      <c r="BB197" s="6">
        <v>1</v>
      </c>
      <c r="BC197" s="6">
        <v>191</v>
      </c>
      <c r="BD197" s="6">
        <v>53.506451612903227</v>
      </c>
    </row>
    <row r="198" spans="52:56" x14ac:dyDescent="0.25">
      <c r="AZ198" s="6">
        <v>195</v>
      </c>
      <c r="BA198" s="6">
        <v>1</v>
      </c>
      <c r="BB198" s="6">
        <v>1</v>
      </c>
      <c r="BC198" s="6">
        <v>192</v>
      </c>
      <c r="BD198" s="6">
        <v>53.782258064516128</v>
      </c>
    </row>
    <row r="199" spans="52:56" x14ac:dyDescent="0.25">
      <c r="AZ199" s="6">
        <v>196</v>
      </c>
      <c r="BA199" s="6">
        <v>1</v>
      </c>
      <c r="BB199" s="6">
        <v>1</v>
      </c>
      <c r="BC199" s="6">
        <v>193</v>
      </c>
      <c r="BD199" s="6">
        <v>54.058064516129036</v>
      </c>
    </row>
    <row r="200" spans="52:56" x14ac:dyDescent="0.25">
      <c r="AZ200" s="6">
        <v>197</v>
      </c>
      <c r="BA200" s="6">
        <v>1</v>
      </c>
      <c r="BB200" s="6">
        <v>1</v>
      </c>
      <c r="BC200" s="6">
        <v>194</v>
      </c>
      <c r="BD200" s="6">
        <v>54.333870967741937</v>
      </c>
    </row>
    <row r="201" spans="52:56" x14ac:dyDescent="0.25">
      <c r="AZ201" s="6">
        <v>198</v>
      </c>
      <c r="BA201" s="6">
        <v>1</v>
      </c>
      <c r="BB201" s="6">
        <v>1</v>
      </c>
      <c r="BC201" s="6">
        <v>195</v>
      </c>
      <c r="BD201" s="6">
        <v>54.609677419354838</v>
      </c>
    </row>
    <row r="202" spans="52:56" x14ac:dyDescent="0.25">
      <c r="AZ202" s="6">
        <v>199</v>
      </c>
      <c r="BA202" s="6">
        <v>1</v>
      </c>
      <c r="BB202" s="6">
        <v>1</v>
      </c>
      <c r="BC202" s="6">
        <v>196</v>
      </c>
      <c r="BD202" s="6">
        <v>54.885483870967747</v>
      </c>
    </row>
    <row r="203" spans="52:56" x14ac:dyDescent="0.25">
      <c r="AZ203" s="6">
        <v>200</v>
      </c>
      <c r="BA203" s="6">
        <v>1</v>
      </c>
      <c r="BB203" s="6">
        <v>0</v>
      </c>
      <c r="BC203" s="6">
        <v>196</v>
      </c>
      <c r="BD203" s="6">
        <v>55.161290322580648</v>
      </c>
    </row>
    <row r="204" spans="52:56" x14ac:dyDescent="0.25">
      <c r="AZ204" s="6">
        <v>201</v>
      </c>
      <c r="BA204" s="6">
        <v>1</v>
      </c>
      <c r="BB204" s="6">
        <v>1</v>
      </c>
      <c r="BC204" s="6">
        <v>197</v>
      </c>
      <c r="BD204" s="6">
        <v>55.437096774193549</v>
      </c>
    </row>
    <row r="205" spans="52:56" x14ac:dyDescent="0.25">
      <c r="AZ205" s="6">
        <v>202</v>
      </c>
      <c r="BA205" s="6">
        <v>1</v>
      </c>
      <c r="BB205" s="6">
        <v>1</v>
      </c>
      <c r="BC205" s="6">
        <v>198</v>
      </c>
      <c r="BD205" s="6">
        <v>55.712903225806457</v>
      </c>
    </row>
    <row r="206" spans="52:56" x14ac:dyDescent="0.25">
      <c r="AZ206" s="6">
        <v>203</v>
      </c>
      <c r="BA206" s="6">
        <v>1</v>
      </c>
      <c r="BB206" s="6">
        <v>1</v>
      </c>
      <c r="BC206" s="6">
        <v>199</v>
      </c>
      <c r="BD206" s="6">
        <v>55.988709677419358</v>
      </c>
    </row>
    <row r="207" spans="52:56" x14ac:dyDescent="0.25">
      <c r="AZ207" s="6">
        <v>204</v>
      </c>
      <c r="BA207" s="6">
        <v>1</v>
      </c>
      <c r="BB207" s="6">
        <v>1</v>
      </c>
      <c r="BC207" s="6">
        <v>200</v>
      </c>
      <c r="BD207" s="6">
        <v>56.264516129032259</v>
      </c>
    </row>
    <row r="208" spans="52:56" x14ac:dyDescent="0.25">
      <c r="AZ208" s="6">
        <v>205</v>
      </c>
      <c r="BA208" s="6">
        <v>1</v>
      </c>
      <c r="BB208" s="6">
        <v>1</v>
      </c>
      <c r="BC208" s="6">
        <v>201</v>
      </c>
      <c r="BD208" s="6">
        <v>56.54032258064516</v>
      </c>
    </row>
    <row r="209" spans="52:56" x14ac:dyDescent="0.25">
      <c r="AZ209" s="6">
        <v>206</v>
      </c>
      <c r="BA209" s="6">
        <v>1</v>
      </c>
      <c r="BB209" s="6">
        <v>1</v>
      </c>
      <c r="BC209" s="6">
        <v>202</v>
      </c>
      <c r="BD209" s="6">
        <v>56.816129032258068</v>
      </c>
    </row>
    <row r="210" spans="52:56" x14ac:dyDescent="0.25">
      <c r="AZ210" s="6">
        <v>207</v>
      </c>
      <c r="BA210" s="6">
        <v>1</v>
      </c>
      <c r="BB210" s="6">
        <v>1</v>
      </c>
      <c r="BC210" s="6">
        <v>203</v>
      </c>
      <c r="BD210" s="6">
        <v>57.091935483870969</v>
      </c>
    </row>
    <row r="211" spans="52:56" x14ac:dyDescent="0.25">
      <c r="AZ211" s="6">
        <v>208</v>
      </c>
      <c r="BA211" s="6">
        <v>1</v>
      </c>
      <c r="BB211" s="6">
        <v>1</v>
      </c>
      <c r="BC211" s="6">
        <v>204</v>
      </c>
      <c r="BD211" s="6">
        <v>57.36774193548387</v>
      </c>
    </row>
    <row r="212" spans="52:56" x14ac:dyDescent="0.25">
      <c r="AZ212" s="6">
        <v>209</v>
      </c>
      <c r="BA212" s="6">
        <v>0.90476190476190477</v>
      </c>
      <c r="BB212" s="6">
        <v>0</v>
      </c>
      <c r="BC212" s="6">
        <v>204</v>
      </c>
      <c r="BD212" s="6">
        <v>57.643548387096779</v>
      </c>
    </row>
    <row r="213" spans="52:56" x14ac:dyDescent="0.25">
      <c r="AZ213" s="6">
        <v>210</v>
      </c>
      <c r="BA213" s="6">
        <v>0.90476190476190477</v>
      </c>
      <c r="BB213" s="6">
        <v>1</v>
      </c>
      <c r="BC213" s="6">
        <v>205</v>
      </c>
      <c r="BD213" s="6">
        <v>57.91935483870968</v>
      </c>
    </row>
    <row r="214" spans="52:56" x14ac:dyDescent="0.25">
      <c r="AZ214" s="6">
        <v>211</v>
      </c>
      <c r="BA214" s="6">
        <v>0.90476190476190477</v>
      </c>
      <c r="BB214" s="6">
        <v>1</v>
      </c>
      <c r="BC214" s="6">
        <v>206</v>
      </c>
      <c r="BD214" s="6">
        <v>58.195161290322581</v>
      </c>
    </row>
    <row r="215" spans="52:56" x14ac:dyDescent="0.25">
      <c r="AZ215" s="6">
        <v>212</v>
      </c>
      <c r="BA215" s="6">
        <v>0.90476190476190477</v>
      </c>
      <c r="BB215" s="6">
        <v>0</v>
      </c>
      <c r="BC215" s="6">
        <v>206</v>
      </c>
      <c r="BD215" s="6">
        <v>58.470967741935489</v>
      </c>
    </row>
    <row r="216" spans="52:56" x14ac:dyDescent="0.25">
      <c r="AZ216" s="6">
        <v>213</v>
      </c>
      <c r="BA216" s="6">
        <v>0.90476190476190477</v>
      </c>
      <c r="BB216" s="6">
        <v>0</v>
      </c>
      <c r="BC216" s="6">
        <v>206</v>
      </c>
      <c r="BD216" s="6">
        <v>58.74677419354839</v>
      </c>
    </row>
    <row r="217" spans="52:56" x14ac:dyDescent="0.25">
      <c r="AZ217" s="6">
        <v>214</v>
      </c>
      <c r="BA217" s="6">
        <v>0.90476190476190477</v>
      </c>
      <c r="BB217" s="6">
        <v>1</v>
      </c>
      <c r="BC217" s="6">
        <v>207</v>
      </c>
      <c r="BD217" s="6">
        <v>59.022580645161291</v>
      </c>
    </row>
    <row r="218" spans="52:56" x14ac:dyDescent="0.25">
      <c r="AZ218" s="6">
        <v>215</v>
      </c>
      <c r="BA218" s="6">
        <v>0.90476190476190477</v>
      </c>
      <c r="BB218" s="6">
        <v>1</v>
      </c>
      <c r="BC218" s="6">
        <v>208</v>
      </c>
      <c r="BD218" s="6">
        <v>59.298387096774199</v>
      </c>
    </row>
    <row r="219" spans="52:56" x14ac:dyDescent="0.25">
      <c r="AZ219" s="6">
        <v>216</v>
      </c>
      <c r="BA219" s="6">
        <v>0.90476190476190477</v>
      </c>
      <c r="BB219" s="6">
        <v>1</v>
      </c>
      <c r="BC219" s="6">
        <v>209</v>
      </c>
      <c r="BD219" s="6">
        <v>59.5741935483871</v>
      </c>
    </row>
    <row r="220" spans="52:56" x14ac:dyDescent="0.25">
      <c r="AZ220" s="6">
        <v>217</v>
      </c>
      <c r="BA220" s="6">
        <v>0.90476190476190477</v>
      </c>
      <c r="BB220" s="6">
        <v>1</v>
      </c>
      <c r="BC220" s="6">
        <v>210</v>
      </c>
      <c r="BD220" s="6">
        <v>59.85</v>
      </c>
    </row>
    <row r="221" spans="52:56" x14ac:dyDescent="0.25">
      <c r="AZ221" s="6">
        <v>218</v>
      </c>
      <c r="BA221" s="6">
        <v>0.90476190476190477</v>
      </c>
      <c r="BB221" s="6">
        <v>1</v>
      </c>
      <c r="BC221" s="6">
        <v>211</v>
      </c>
      <c r="BD221" s="6">
        <v>60.125806451612902</v>
      </c>
    </row>
    <row r="222" spans="52:56" x14ac:dyDescent="0.25">
      <c r="AZ222" s="6">
        <v>219</v>
      </c>
      <c r="BA222" s="6">
        <v>0.90476190476190477</v>
      </c>
      <c r="BB222" s="6">
        <v>1</v>
      </c>
      <c r="BC222" s="6">
        <v>212</v>
      </c>
      <c r="BD222" s="6">
        <v>60.401612903225811</v>
      </c>
    </row>
    <row r="223" spans="52:56" x14ac:dyDescent="0.25">
      <c r="AZ223" s="6">
        <v>220</v>
      </c>
      <c r="BA223" s="6">
        <v>0.90476190476190477</v>
      </c>
      <c r="BB223" s="6">
        <v>1</v>
      </c>
      <c r="BC223" s="6">
        <v>213</v>
      </c>
      <c r="BD223" s="6">
        <v>60.677419354838712</v>
      </c>
    </row>
    <row r="224" spans="52:56" x14ac:dyDescent="0.25">
      <c r="AZ224" s="6">
        <v>221</v>
      </c>
      <c r="BA224" s="6">
        <v>0.90476190476190477</v>
      </c>
      <c r="BB224" s="6">
        <v>1</v>
      </c>
      <c r="BC224" s="6">
        <v>214</v>
      </c>
      <c r="BD224" s="6">
        <v>60.953225806451613</v>
      </c>
    </row>
    <row r="225" spans="52:56" x14ac:dyDescent="0.25">
      <c r="AZ225" s="6">
        <v>222</v>
      </c>
      <c r="BA225" s="6">
        <v>0.90476190476190477</v>
      </c>
      <c r="BB225" s="6">
        <v>0</v>
      </c>
      <c r="BC225" s="6">
        <v>214</v>
      </c>
      <c r="BD225" s="6">
        <v>61.229032258064521</v>
      </c>
    </row>
    <row r="226" spans="52:56" x14ac:dyDescent="0.25">
      <c r="AZ226" s="6">
        <v>223</v>
      </c>
      <c r="BA226" s="6">
        <v>0.90476190476190477</v>
      </c>
      <c r="BB226" s="6">
        <v>1</v>
      </c>
      <c r="BC226" s="6">
        <v>215</v>
      </c>
      <c r="BD226" s="6">
        <v>61.504838709677422</v>
      </c>
    </row>
    <row r="227" spans="52:56" x14ac:dyDescent="0.25">
      <c r="AZ227" s="6">
        <v>224</v>
      </c>
      <c r="BA227" s="6">
        <v>0.9</v>
      </c>
      <c r="BB227" s="6">
        <v>0</v>
      </c>
      <c r="BC227" s="6">
        <v>215</v>
      </c>
      <c r="BD227" s="6">
        <v>61.780645161290323</v>
      </c>
    </row>
    <row r="228" spans="52:56" x14ac:dyDescent="0.25">
      <c r="AZ228" s="6">
        <v>225</v>
      </c>
      <c r="BA228" s="6">
        <v>0.9</v>
      </c>
      <c r="BB228" s="6">
        <v>0</v>
      </c>
      <c r="BC228" s="6">
        <v>215</v>
      </c>
      <c r="BD228" s="6">
        <v>62.056451612903231</v>
      </c>
    </row>
    <row r="229" spans="52:56" x14ac:dyDescent="0.25">
      <c r="AZ229" s="6">
        <v>226</v>
      </c>
      <c r="BA229" s="6">
        <v>0.9</v>
      </c>
      <c r="BB229" s="6">
        <v>1</v>
      </c>
      <c r="BC229" s="6">
        <v>216</v>
      </c>
      <c r="BD229" s="6">
        <v>62.332258064516132</v>
      </c>
    </row>
    <row r="230" spans="52:56" x14ac:dyDescent="0.25">
      <c r="AZ230" s="6">
        <v>227</v>
      </c>
      <c r="BA230" s="6">
        <v>0.9</v>
      </c>
      <c r="BB230" s="6">
        <v>1</v>
      </c>
      <c r="BC230" s="6">
        <v>217</v>
      </c>
      <c r="BD230" s="6">
        <v>62.608064516129033</v>
      </c>
    </row>
    <row r="231" spans="52:56" x14ac:dyDescent="0.25">
      <c r="AZ231" s="6">
        <v>228</v>
      </c>
      <c r="BA231" s="6">
        <v>0.9</v>
      </c>
      <c r="BB231" s="6">
        <v>1</v>
      </c>
      <c r="BC231" s="6">
        <v>218</v>
      </c>
      <c r="BD231" s="6">
        <v>62.883870967741935</v>
      </c>
    </row>
    <row r="232" spans="52:56" x14ac:dyDescent="0.25">
      <c r="AZ232" s="6">
        <v>229</v>
      </c>
      <c r="BA232" s="6">
        <v>0.9</v>
      </c>
      <c r="BB232" s="6">
        <v>1</v>
      </c>
      <c r="BC232" s="6">
        <v>219</v>
      </c>
      <c r="BD232" s="6">
        <v>63.159677419354843</v>
      </c>
    </row>
    <row r="233" spans="52:56" x14ac:dyDescent="0.25">
      <c r="AZ233" s="6">
        <v>230</v>
      </c>
      <c r="BA233" s="6">
        <v>0.9</v>
      </c>
      <c r="BB233" s="6">
        <v>0</v>
      </c>
      <c r="BC233" s="6">
        <v>219</v>
      </c>
      <c r="BD233" s="6">
        <v>63.435483870967744</v>
      </c>
    </row>
    <row r="234" spans="52:56" x14ac:dyDescent="0.25">
      <c r="AZ234" s="6">
        <v>231</v>
      </c>
      <c r="BA234" s="6">
        <v>0.9</v>
      </c>
      <c r="BB234" s="6">
        <v>1</v>
      </c>
      <c r="BC234" s="6">
        <v>220</v>
      </c>
      <c r="BD234" s="6">
        <v>63.711290322580645</v>
      </c>
    </row>
    <row r="235" spans="52:56" x14ac:dyDescent="0.25">
      <c r="AZ235" s="6">
        <v>232</v>
      </c>
      <c r="BA235" s="6">
        <v>0.9</v>
      </c>
      <c r="BB235" s="6">
        <v>1</v>
      </c>
      <c r="BC235" s="6">
        <v>221</v>
      </c>
      <c r="BD235" s="6">
        <v>63.987096774193553</v>
      </c>
    </row>
    <row r="236" spans="52:56" x14ac:dyDescent="0.25">
      <c r="AZ236" s="6">
        <v>233</v>
      </c>
      <c r="BA236" s="6">
        <v>0.9</v>
      </c>
      <c r="BB236" s="6">
        <v>1</v>
      </c>
      <c r="BC236" s="6">
        <v>222</v>
      </c>
      <c r="BD236" s="6">
        <v>64.262903225806454</v>
      </c>
    </row>
    <row r="237" spans="52:56" x14ac:dyDescent="0.25">
      <c r="AZ237" s="6">
        <v>234</v>
      </c>
      <c r="BA237" s="6">
        <v>0.9</v>
      </c>
      <c r="BB237" s="6">
        <v>1</v>
      </c>
      <c r="BC237" s="6">
        <v>223</v>
      </c>
      <c r="BD237" s="6">
        <v>64.538709677419362</v>
      </c>
    </row>
    <row r="238" spans="52:56" x14ac:dyDescent="0.25">
      <c r="AZ238" s="6">
        <v>235</v>
      </c>
      <c r="BA238" s="6">
        <v>0.83333333333333326</v>
      </c>
      <c r="BB238" s="6">
        <v>0</v>
      </c>
      <c r="BC238" s="6">
        <v>223</v>
      </c>
      <c r="BD238" s="6">
        <v>64.814516129032256</v>
      </c>
    </row>
    <row r="239" spans="52:56" x14ac:dyDescent="0.25">
      <c r="AZ239" s="6">
        <v>236</v>
      </c>
      <c r="BA239" s="6">
        <v>0.83333333333333326</v>
      </c>
      <c r="BB239" s="6">
        <v>0</v>
      </c>
      <c r="BC239" s="6">
        <v>223</v>
      </c>
      <c r="BD239" s="6">
        <v>65.090322580645164</v>
      </c>
    </row>
    <row r="240" spans="52:56" x14ac:dyDescent="0.25">
      <c r="AZ240" s="6">
        <v>237</v>
      </c>
      <c r="BA240" s="6">
        <v>0.83333333333333326</v>
      </c>
      <c r="BB240" s="6">
        <v>1</v>
      </c>
      <c r="BC240" s="6">
        <v>224</v>
      </c>
      <c r="BD240" s="6">
        <v>65.366129032258073</v>
      </c>
    </row>
    <row r="241" spans="52:56" x14ac:dyDescent="0.25">
      <c r="AZ241" s="6">
        <v>238</v>
      </c>
      <c r="BA241" s="6">
        <v>0.83333333333333326</v>
      </c>
      <c r="BB241" s="6">
        <v>0</v>
      </c>
      <c r="BC241" s="6">
        <v>224</v>
      </c>
      <c r="BD241" s="6">
        <v>65.641935483870967</v>
      </c>
    </row>
    <row r="242" spans="52:56" x14ac:dyDescent="0.25">
      <c r="AZ242" s="6">
        <v>239</v>
      </c>
      <c r="BA242" s="6">
        <v>0.83333333333333326</v>
      </c>
      <c r="BB242" s="6">
        <v>1</v>
      </c>
      <c r="BC242" s="6">
        <v>225</v>
      </c>
      <c r="BD242" s="6">
        <v>65.917741935483875</v>
      </c>
    </row>
    <row r="243" spans="52:56" x14ac:dyDescent="0.25">
      <c r="AZ243" s="6">
        <v>240</v>
      </c>
      <c r="BA243" s="6">
        <v>0.83333333333333326</v>
      </c>
      <c r="BB243" s="6">
        <v>0</v>
      </c>
      <c r="BC243" s="6">
        <v>225</v>
      </c>
      <c r="BD243" s="6">
        <v>66.193548387096783</v>
      </c>
    </row>
    <row r="244" spans="52:56" x14ac:dyDescent="0.25">
      <c r="AZ244" s="6">
        <v>241</v>
      </c>
      <c r="BA244" s="6">
        <v>0.83333333333333326</v>
      </c>
      <c r="BB244" s="6">
        <v>0</v>
      </c>
      <c r="BC244" s="6">
        <v>225</v>
      </c>
      <c r="BD244" s="6">
        <v>66.469354838709677</v>
      </c>
    </row>
    <row r="245" spans="52:56" x14ac:dyDescent="0.25">
      <c r="AZ245" s="6">
        <v>242</v>
      </c>
      <c r="BA245" s="6">
        <v>0.79999999999999993</v>
      </c>
      <c r="BB245" s="6">
        <v>0</v>
      </c>
      <c r="BC245" s="6">
        <v>225</v>
      </c>
      <c r="BD245" s="6">
        <v>66.745161290322585</v>
      </c>
    </row>
    <row r="246" spans="52:56" x14ac:dyDescent="0.25">
      <c r="AZ246" s="6">
        <v>243</v>
      </c>
      <c r="BA246" s="6">
        <v>0.79999999999999993</v>
      </c>
      <c r="BB246" s="6">
        <v>0</v>
      </c>
      <c r="BC246" s="6">
        <v>225</v>
      </c>
      <c r="BD246" s="6">
        <v>67.020967741935493</v>
      </c>
    </row>
    <row r="247" spans="52:56" x14ac:dyDescent="0.25">
      <c r="AZ247" s="6">
        <v>244</v>
      </c>
      <c r="BA247" s="6">
        <v>0.79999999999999993</v>
      </c>
      <c r="BB247" s="6">
        <v>1</v>
      </c>
      <c r="BC247" s="6">
        <v>226</v>
      </c>
      <c r="BD247" s="6">
        <v>67.296774193548387</v>
      </c>
    </row>
    <row r="248" spans="52:56" x14ac:dyDescent="0.25">
      <c r="AZ248" s="6">
        <v>245</v>
      </c>
      <c r="BA248" s="6">
        <v>0.79999999999999993</v>
      </c>
      <c r="BB248" s="6">
        <v>1</v>
      </c>
      <c r="BC248" s="6">
        <v>227</v>
      </c>
      <c r="BD248" s="6">
        <v>67.572580645161295</v>
      </c>
    </row>
    <row r="249" spans="52:56" x14ac:dyDescent="0.25">
      <c r="AZ249" s="6">
        <v>246</v>
      </c>
      <c r="BA249" s="6">
        <v>0.79999999999999993</v>
      </c>
      <c r="BB249" s="6">
        <v>1</v>
      </c>
      <c r="BC249" s="6">
        <v>228</v>
      </c>
      <c r="BD249" s="6">
        <v>67.848387096774189</v>
      </c>
    </row>
    <row r="250" spans="52:56" x14ac:dyDescent="0.25">
      <c r="AZ250" s="6">
        <v>247</v>
      </c>
      <c r="BA250" s="6">
        <v>0.79999999999999993</v>
      </c>
      <c r="BB250" s="6">
        <v>1</v>
      </c>
      <c r="BC250" s="6">
        <v>229</v>
      </c>
      <c r="BD250" s="6">
        <v>68.124193548387098</v>
      </c>
    </row>
    <row r="251" spans="52:56" x14ac:dyDescent="0.25">
      <c r="AZ251" s="6">
        <v>248</v>
      </c>
      <c r="BA251" s="6">
        <v>0.79999999999999993</v>
      </c>
      <c r="BB251" s="6">
        <v>0</v>
      </c>
      <c r="BC251" s="6">
        <v>229</v>
      </c>
      <c r="BD251" s="6">
        <v>68.400000000000006</v>
      </c>
    </row>
    <row r="252" spans="52:56" x14ac:dyDescent="0.25">
      <c r="AZ252" s="5">
        <v>249</v>
      </c>
      <c r="BA252" s="5">
        <v>0.79999999999999993</v>
      </c>
      <c r="BB252" s="5">
        <v>1</v>
      </c>
      <c r="BC252" s="5">
        <v>230</v>
      </c>
      <c r="BD252" s="5">
        <v>68.6758064516129</v>
      </c>
    </row>
    <row r="253" spans="52:56" x14ac:dyDescent="0.25">
      <c r="AZ253" s="5">
        <v>250</v>
      </c>
      <c r="BA253" s="5">
        <v>0.79999999999999993</v>
      </c>
      <c r="BB253" s="5">
        <v>0</v>
      </c>
      <c r="BC253" s="5">
        <v>230</v>
      </c>
      <c r="BD253" s="5">
        <v>68.951612903225808</v>
      </c>
    </row>
    <row r="254" spans="52:56" x14ac:dyDescent="0.25">
      <c r="AZ254" s="5">
        <v>251</v>
      </c>
      <c r="BA254" s="5">
        <v>0.79999999999999993</v>
      </c>
      <c r="BB254" s="5">
        <v>1</v>
      </c>
      <c r="BC254" s="5">
        <v>231</v>
      </c>
      <c r="BD254" s="5">
        <v>69.227419354838716</v>
      </c>
    </row>
    <row r="255" spans="52:56" x14ac:dyDescent="0.25">
      <c r="AZ255" s="5">
        <v>252</v>
      </c>
      <c r="BA255" s="5">
        <v>0.79999999999999993</v>
      </c>
      <c r="BB255" s="5">
        <v>1</v>
      </c>
      <c r="BC255" s="5">
        <v>232</v>
      </c>
      <c r="BD255" s="5">
        <v>69.50322580645161</v>
      </c>
    </row>
    <row r="256" spans="52:56" x14ac:dyDescent="0.25">
      <c r="AZ256" s="5">
        <v>253</v>
      </c>
      <c r="BA256" s="5">
        <v>0.79999999999999993</v>
      </c>
      <c r="BB256" s="5">
        <v>1</v>
      </c>
      <c r="BC256" s="5">
        <v>233</v>
      </c>
      <c r="BD256" s="5">
        <v>69.779032258064518</v>
      </c>
    </row>
    <row r="257" spans="52:56" x14ac:dyDescent="0.25">
      <c r="AZ257" s="5">
        <v>254</v>
      </c>
      <c r="BA257" s="5">
        <v>0.79999999999999993</v>
      </c>
      <c r="BB257" s="5">
        <v>1</v>
      </c>
      <c r="BC257" s="5">
        <v>234</v>
      </c>
      <c r="BD257" s="5">
        <v>70.054838709677426</v>
      </c>
    </row>
    <row r="258" spans="52:56" x14ac:dyDescent="0.25">
      <c r="AZ258" s="5">
        <v>255</v>
      </c>
      <c r="BA258" s="5">
        <v>0.79999999999999993</v>
      </c>
      <c r="BB258" s="5">
        <v>1</v>
      </c>
      <c r="BC258" s="5">
        <v>235</v>
      </c>
      <c r="BD258" s="5">
        <v>70.33064516129032</v>
      </c>
    </row>
    <row r="259" spans="52:56" x14ac:dyDescent="0.25">
      <c r="AZ259" s="5">
        <v>256</v>
      </c>
      <c r="BA259" s="5">
        <v>0.79999999999999993</v>
      </c>
      <c r="BB259" s="5">
        <v>1</v>
      </c>
      <c r="BC259" s="5">
        <v>236</v>
      </c>
      <c r="BD259" s="5">
        <v>70.606451612903228</v>
      </c>
    </row>
    <row r="260" spans="52:56" x14ac:dyDescent="0.25">
      <c r="AZ260" s="5">
        <v>257</v>
      </c>
      <c r="BA260" s="5">
        <v>0.79999999999999993</v>
      </c>
      <c r="BB260" s="5">
        <v>1</v>
      </c>
      <c r="BC260" s="5">
        <v>237</v>
      </c>
      <c r="BD260" s="5">
        <v>70.882258064516137</v>
      </c>
    </row>
    <row r="261" spans="52:56" x14ac:dyDescent="0.25">
      <c r="AZ261" s="5">
        <v>258</v>
      </c>
      <c r="BA261" s="5">
        <v>0.79999999999999993</v>
      </c>
      <c r="BB261" s="5">
        <v>0</v>
      </c>
      <c r="BC261" s="5">
        <v>237</v>
      </c>
      <c r="BD261" s="5">
        <v>71.158064516129031</v>
      </c>
    </row>
    <row r="262" spans="52:56" x14ac:dyDescent="0.25">
      <c r="AZ262" s="5">
        <v>259</v>
      </c>
      <c r="BA262" s="5">
        <v>0.79999999999999993</v>
      </c>
      <c r="BB262" s="5">
        <v>0</v>
      </c>
      <c r="BC262" s="5">
        <v>237</v>
      </c>
      <c r="BD262" s="5">
        <v>71.433870967741939</v>
      </c>
    </row>
    <row r="263" spans="52:56" x14ac:dyDescent="0.25">
      <c r="AZ263" s="5">
        <v>260</v>
      </c>
      <c r="BA263" s="5">
        <v>0.79999999999999993</v>
      </c>
      <c r="BB263" s="5">
        <v>1</v>
      </c>
      <c r="BC263" s="5">
        <v>238</v>
      </c>
      <c r="BD263" s="5">
        <v>71.709677419354847</v>
      </c>
    </row>
    <row r="264" spans="52:56" x14ac:dyDescent="0.25">
      <c r="AZ264" s="5">
        <v>261</v>
      </c>
      <c r="BA264" s="5">
        <v>0.79999999999999993</v>
      </c>
      <c r="BB264" s="5">
        <v>1</v>
      </c>
      <c r="BC264" s="5">
        <v>239</v>
      </c>
      <c r="BD264" s="5">
        <v>71.985483870967741</v>
      </c>
    </row>
    <row r="265" spans="52:56" x14ac:dyDescent="0.25">
      <c r="AZ265" s="5">
        <v>262</v>
      </c>
      <c r="BA265" s="5">
        <v>0.79999999999999993</v>
      </c>
      <c r="BB265" s="5">
        <v>1</v>
      </c>
      <c r="BC265" s="5">
        <v>240</v>
      </c>
      <c r="BD265" s="5">
        <v>72.261290322580649</v>
      </c>
    </row>
    <row r="266" spans="52:56" x14ac:dyDescent="0.25">
      <c r="AZ266" s="5">
        <v>263</v>
      </c>
      <c r="BA266" s="5">
        <v>0.79999999999999993</v>
      </c>
      <c r="BB266" s="5">
        <v>1</v>
      </c>
      <c r="BC266" s="5">
        <v>241</v>
      </c>
      <c r="BD266" s="5">
        <v>72.537096774193557</v>
      </c>
    </row>
    <row r="267" spans="52:56" x14ac:dyDescent="0.25">
      <c r="AZ267" s="5">
        <v>264</v>
      </c>
      <c r="BA267" s="5">
        <v>0.79999999999999993</v>
      </c>
      <c r="BB267" s="5">
        <v>0</v>
      </c>
      <c r="BC267" s="5">
        <v>241</v>
      </c>
      <c r="BD267" s="5">
        <v>72.812903225806451</v>
      </c>
    </row>
    <row r="268" spans="52:56" x14ac:dyDescent="0.25">
      <c r="AZ268" s="5">
        <v>265</v>
      </c>
      <c r="BA268" s="5">
        <v>0.79999999999999993</v>
      </c>
      <c r="BB268" s="5">
        <v>1</v>
      </c>
      <c r="BC268" s="5">
        <v>242</v>
      </c>
      <c r="BD268" s="5">
        <v>73.088709677419359</v>
      </c>
    </row>
    <row r="269" spans="52:56" x14ac:dyDescent="0.25">
      <c r="AZ269" s="5">
        <v>266</v>
      </c>
      <c r="BA269" s="5">
        <v>0.79999999999999993</v>
      </c>
      <c r="BB269" s="5">
        <v>1</v>
      </c>
      <c r="BC269" s="5">
        <v>243</v>
      </c>
      <c r="BD269" s="5">
        <v>73.364516129032268</v>
      </c>
    </row>
    <row r="270" spans="52:56" x14ac:dyDescent="0.25">
      <c r="AZ270" s="5">
        <v>267</v>
      </c>
      <c r="BA270" s="5">
        <v>0.72727272727272729</v>
      </c>
      <c r="BB270" s="5">
        <v>0</v>
      </c>
      <c r="BC270" s="5">
        <v>243</v>
      </c>
      <c r="BD270" s="5">
        <v>73.640322580645162</v>
      </c>
    </row>
    <row r="271" spans="52:56" x14ac:dyDescent="0.25">
      <c r="AZ271" s="5">
        <v>268</v>
      </c>
      <c r="BA271" s="5">
        <v>0.72727272727272729</v>
      </c>
      <c r="BB271" s="5">
        <v>0</v>
      </c>
      <c r="BC271" s="5">
        <v>243</v>
      </c>
      <c r="BD271" s="5">
        <v>73.91612903225807</v>
      </c>
    </row>
    <row r="272" spans="52:56" x14ac:dyDescent="0.25">
      <c r="AZ272" s="5">
        <v>269</v>
      </c>
      <c r="BA272" s="5">
        <v>0.72727272727272729</v>
      </c>
      <c r="BB272" s="5">
        <v>0</v>
      </c>
      <c r="BC272" s="5">
        <v>243</v>
      </c>
      <c r="BD272" s="5">
        <v>74.191935483870964</v>
      </c>
    </row>
    <row r="273" spans="52:56" x14ac:dyDescent="0.25">
      <c r="AZ273" s="5">
        <v>270</v>
      </c>
      <c r="BA273" s="5">
        <v>0.72727272727272729</v>
      </c>
      <c r="BB273" s="5">
        <v>0</v>
      </c>
      <c r="BC273" s="5">
        <v>243</v>
      </c>
      <c r="BD273" s="5">
        <v>74.467741935483872</v>
      </c>
    </row>
    <row r="274" spans="52:56" x14ac:dyDescent="0.25">
      <c r="AZ274" s="5">
        <v>271</v>
      </c>
      <c r="BA274" s="5">
        <v>0.72727272727272729</v>
      </c>
      <c r="BB274" s="5">
        <v>0</v>
      </c>
      <c r="BC274" s="5">
        <v>243</v>
      </c>
      <c r="BD274" s="5">
        <v>74.74354838709678</v>
      </c>
    </row>
    <row r="275" spans="52:56" x14ac:dyDescent="0.25">
      <c r="AZ275" s="5">
        <v>272</v>
      </c>
      <c r="BA275" s="5">
        <v>0.72727272727272729</v>
      </c>
      <c r="BB275" s="5">
        <v>0</v>
      </c>
      <c r="BC275" s="5">
        <v>243</v>
      </c>
      <c r="BD275" s="5">
        <v>75.019354838709674</v>
      </c>
    </row>
    <row r="276" spans="52:56" x14ac:dyDescent="0.25">
      <c r="AZ276" s="5">
        <v>273</v>
      </c>
      <c r="BA276" s="5">
        <v>0.72727272727272729</v>
      </c>
      <c r="BB276" s="5">
        <v>0</v>
      </c>
      <c r="BC276" s="5">
        <v>243</v>
      </c>
      <c r="BD276" s="5">
        <v>75.295161290322582</v>
      </c>
    </row>
    <row r="277" spans="52:56" x14ac:dyDescent="0.25">
      <c r="AZ277" s="5">
        <v>274</v>
      </c>
      <c r="BA277" s="5">
        <v>0.72727272727272729</v>
      </c>
      <c r="BB277" s="5">
        <v>0</v>
      </c>
      <c r="BC277" s="5">
        <v>243</v>
      </c>
      <c r="BD277" s="5">
        <v>75.57096774193549</v>
      </c>
    </row>
    <row r="278" spans="52:56" x14ac:dyDescent="0.25">
      <c r="AZ278" s="5">
        <v>275</v>
      </c>
      <c r="BA278" s="5">
        <v>0.72727272727272729</v>
      </c>
      <c r="BB278" s="5">
        <v>0</v>
      </c>
      <c r="BC278" s="5">
        <v>243</v>
      </c>
      <c r="BD278" s="5">
        <v>75.846774193548384</v>
      </c>
    </row>
    <row r="279" spans="52:56" x14ac:dyDescent="0.25">
      <c r="AZ279" s="5">
        <v>276</v>
      </c>
      <c r="BA279" s="5">
        <v>0.72727272727272729</v>
      </c>
      <c r="BB279" s="5">
        <v>1</v>
      </c>
      <c r="BC279" s="5">
        <v>244</v>
      </c>
      <c r="BD279" s="5">
        <v>76.122580645161293</v>
      </c>
    </row>
    <row r="280" spans="52:56" x14ac:dyDescent="0.25">
      <c r="AZ280" s="5">
        <v>277</v>
      </c>
      <c r="BA280" s="5">
        <v>0.72727272727272729</v>
      </c>
      <c r="BB280" s="5">
        <v>0</v>
      </c>
      <c r="BC280" s="5">
        <v>244</v>
      </c>
      <c r="BD280" s="5">
        <v>76.398387096774201</v>
      </c>
    </row>
    <row r="281" spans="52:56" x14ac:dyDescent="0.25">
      <c r="AZ281" s="5">
        <v>278</v>
      </c>
      <c r="BA281" s="5">
        <v>0.72727272727272729</v>
      </c>
      <c r="BB281" s="5">
        <v>0</v>
      </c>
      <c r="BC281" s="5">
        <v>244</v>
      </c>
      <c r="BD281" s="5">
        <v>76.674193548387095</v>
      </c>
    </row>
    <row r="282" spans="52:56" x14ac:dyDescent="0.25">
      <c r="AZ282" s="5">
        <v>279</v>
      </c>
      <c r="BA282" s="5">
        <v>0.72727272727272729</v>
      </c>
      <c r="BB282" s="5">
        <v>0</v>
      </c>
      <c r="BC282" s="5">
        <v>244</v>
      </c>
      <c r="BD282" s="5">
        <v>76.95</v>
      </c>
    </row>
    <row r="283" spans="52:56" x14ac:dyDescent="0.25">
      <c r="AZ283" s="5">
        <v>280</v>
      </c>
      <c r="BA283" s="5">
        <v>0.72727272727272729</v>
      </c>
      <c r="BB283" s="5">
        <v>0</v>
      </c>
      <c r="BC283" s="5">
        <v>244</v>
      </c>
      <c r="BD283" s="5">
        <v>77.225806451612911</v>
      </c>
    </row>
    <row r="284" spans="52:56" x14ac:dyDescent="0.25">
      <c r="AZ284" s="5">
        <v>281</v>
      </c>
      <c r="BA284" s="5">
        <v>0.69230769230769229</v>
      </c>
      <c r="BB284" s="5">
        <v>1</v>
      </c>
      <c r="BC284" s="5">
        <v>245</v>
      </c>
      <c r="BD284" s="5">
        <v>77.501612903225805</v>
      </c>
    </row>
    <row r="285" spans="52:56" x14ac:dyDescent="0.25">
      <c r="AZ285" s="5">
        <v>282</v>
      </c>
      <c r="BA285" s="5">
        <v>0.69230769230769229</v>
      </c>
      <c r="BB285" s="5">
        <v>0</v>
      </c>
      <c r="BC285" s="5">
        <v>245</v>
      </c>
      <c r="BD285" s="5">
        <v>77.777419354838713</v>
      </c>
    </row>
    <row r="286" spans="52:56" x14ac:dyDescent="0.25">
      <c r="AZ286" s="5">
        <v>283</v>
      </c>
      <c r="BA286" s="5">
        <v>0.69230769230769229</v>
      </c>
      <c r="BB286" s="5">
        <v>1</v>
      </c>
      <c r="BC286" s="5">
        <v>246</v>
      </c>
      <c r="BD286" s="5">
        <v>78.053225806451621</v>
      </c>
    </row>
    <row r="287" spans="52:56" x14ac:dyDescent="0.25">
      <c r="AZ287" s="5">
        <v>284</v>
      </c>
      <c r="BA287" s="5">
        <v>0.69230769230769229</v>
      </c>
      <c r="BB287" s="5">
        <v>0</v>
      </c>
      <c r="BC287" s="5">
        <v>246</v>
      </c>
      <c r="BD287" s="5">
        <v>78.329032258064515</v>
      </c>
    </row>
    <row r="288" spans="52:56" x14ac:dyDescent="0.25">
      <c r="AZ288" s="5">
        <v>285</v>
      </c>
      <c r="BA288" s="5">
        <v>0.69230769230769229</v>
      </c>
      <c r="BB288" s="5">
        <v>1</v>
      </c>
      <c r="BC288" s="5">
        <v>247</v>
      </c>
      <c r="BD288" s="5">
        <v>78.604838709677423</v>
      </c>
    </row>
    <row r="289" spans="52:56" x14ac:dyDescent="0.25">
      <c r="AZ289" s="5">
        <v>286</v>
      </c>
      <c r="BA289" s="5">
        <v>0.69230769230769229</v>
      </c>
      <c r="BB289" s="5">
        <v>1</v>
      </c>
      <c r="BC289" s="5">
        <v>248</v>
      </c>
      <c r="BD289" s="5">
        <v>78.880645161290332</v>
      </c>
    </row>
    <row r="290" spans="52:56" x14ac:dyDescent="0.25">
      <c r="AZ290" s="5">
        <v>287</v>
      </c>
      <c r="BA290" s="5">
        <v>0.69230769230769229</v>
      </c>
      <c r="BB290" s="5">
        <v>0</v>
      </c>
      <c r="BC290" s="5">
        <v>248</v>
      </c>
      <c r="BD290" s="5">
        <v>79.156451612903226</v>
      </c>
    </row>
    <row r="291" spans="52:56" x14ac:dyDescent="0.25">
      <c r="AZ291" s="5">
        <v>288</v>
      </c>
      <c r="BA291" s="5">
        <v>0.69230769230769229</v>
      </c>
      <c r="BB291" s="5">
        <v>1</v>
      </c>
      <c r="BC291" s="5">
        <v>249</v>
      </c>
      <c r="BD291" s="5">
        <v>79.432258064516134</v>
      </c>
    </row>
    <row r="292" spans="52:56" x14ac:dyDescent="0.25">
      <c r="AZ292" s="5">
        <v>289</v>
      </c>
      <c r="BA292" s="5">
        <v>0.69230769230769229</v>
      </c>
      <c r="BB292" s="5">
        <v>1</v>
      </c>
      <c r="BC292" s="5">
        <v>250</v>
      </c>
      <c r="BD292" s="5">
        <v>79.708064516129042</v>
      </c>
    </row>
    <row r="293" spans="52:56" x14ac:dyDescent="0.25">
      <c r="AZ293" s="5">
        <v>290</v>
      </c>
      <c r="BA293" s="5">
        <v>0.68181818181818188</v>
      </c>
      <c r="BB293" s="5">
        <v>1</v>
      </c>
      <c r="BC293" s="5">
        <v>251</v>
      </c>
      <c r="BD293" s="5">
        <v>79.983870967741936</v>
      </c>
    </row>
    <row r="294" spans="52:56" x14ac:dyDescent="0.25">
      <c r="AZ294" s="5">
        <v>291</v>
      </c>
      <c r="BA294" s="5">
        <v>0.68181818181818188</v>
      </c>
      <c r="BB294" s="5">
        <v>0</v>
      </c>
      <c r="BC294" s="5">
        <v>251</v>
      </c>
      <c r="BD294" s="5">
        <v>80.259677419354844</v>
      </c>
    </row>
    <row r="295" spans="52:56" x14ac:dyDescent="0.25">
      <c r="AZ295" s="5">
        <v>292</v>
      </c>
      <c r="BA295" s="5">
        <v>0.68181818181818188</v>
      </c>
      <c r="BB295" s="5">
        <v>1</v>
      </c>
      <c r="BC295" s="5">
        <v>252</v>
      </c>
      <c r="BD295" s="5">
        <v>80.535483870967738</v>
      </c>
    </row>
    <row r="296" spans="52:56" x14ac:dyDescent="0.25">
      <c r="AZ296" s="5">
        <v>293</v>
      </c>
      <c r="BA296" s="5">
        <v>0.68181818181818188</v>
      </c>
      <c r="BB296" s="5">
        <v>0</v>
      </c>
      <c r="BC296" s="5">
        <v>252</v>
      </c>
      <c r="BD296" s="5">
        <v>80.811290322580646</v>
      </c>
    </row>
    <row r="297" spans="52:56" x14ac:dyDescent="0.25">
      <c r="AZ297" s="5">
        <v>294</v>
      </c>
      <c r="BA297" s="5">
        <v>0.68181818181818188</v>
      </c>
      <c r="BB297" s="5">
        <v>1</v>
      </c>
      <c r="BC297" s="5">
        <v>253</v>
      </c>
      <c r="BD297" s="5">
        <v>81.087096774193554</v>
      </c>
    </row>
    <row r="298" spans="52:56" x14ac:dyDescent="0.25">
      <c r="AZ298" s="5">
        <v>295</v>
      </c>
      <c r="BA298" s="5">
        <v>0.68181818181818188</v>
      </c>
      <c r="BB298" s="5">
        <v>1</v>
      </c>
      <c r="BC298" s="5">
        <v>254</v>
      </c>
      <c r="BD298" s="5">
        <v>81.362903225806448</v>
      </c>
    </row>
    <row r="299" spans="52:56" x14ac:dyDescent="0.25">
      <c r="AZ299" s="5">
        <v>296</v>
      </c>
      <c r="BA299" s="5">
        <v>0.68181818181818188</v>
      </c>
      <c r="BB299" s="5">
        <v>1</v>
      </c>
      <c r="BC299" s="5">
        <v>255</v>
      </c>
      <c r="BD299" s="5">
        <v>81.638709677419357</v>
      </c>
    </row>
    <row r="300" spans="52:56" x14ac:dyDescent="0.25">
      <c r="AZ300" s="5">
        <v>297</v>
      </c>
      <c r="BA300" s="5">
        <v>0.68181818181818188</v>
      </c>
      <c r="BB300" s="5">
        <v>1</v>
      </c>
      <c r="BC300" s="5">
        <v>256</v>
      </c>
      <c r="BD300" s="5">
        <v>81.914516129032265</v>
      </c>
    </row>
    <row r="301" spans="52:56" x14ac:dyDescent="0.25">
      <c r="AZ301" s="5">
        <v>298</v>
      </c>
      <c r="BA301" s="5">
        <v>0.68181818181818188</v>
      </c>
      <c r="BB301" s="5">
        <v>1</v>
      </c>
      <c r="BC301" s="5">
        <v>257</v>
      </c>
      <c r="BD301" s="5">
        <v>82.190322580645159</v>
      </c>
    </row>
    <row r="302" spans="52:56" x14ac:dyDescent="0.25">
      <c r="AZ302" s="5">
        <v>299</v>
      </c>
      <c r="BA302" s="5">
        <v>0.68181818181818188</v>
      </c>
      <c r="BB302" s="5">
        <v>1</v>
      </c>
      <c r="BC302" s="5">
        <v>258</v>
      </c>
      <c r="BD302" s="5">
        <v>82.466129032258067</v>
      </c>
    </row>
    <row r="303" spans="52:56" x14ac:dyDescent="0.25">
      <c r="AZ303" s="5">
        <v>300</v>
      </c>
      <c r="BA303" s="5">
        <v>0.68181818181818188</v>
      </c>
      <c r="BB303" s="5">
        <v>1</v>
      </c>
      <c r="BC303" s="5">
        <v>259</v>
      </c>
      <c r="BD303" s="5">
        <v>82.741935483870975</v>
      </c>
    </row>
    <row r="304" spans="52:56" x14ac:dyDescent="0.25">
      <c r="AZ304" s="5">
        <v>301</v>
      </c>
      <c r="BA304" s="5">
        <v>0.68181818181818188</v>
      </c>
      <c r="BB304" s="5">
        <v>1</v>
      </c>
      <c r="BC304" s="5">
        <v>260</v>
      </c>
      <c r="BD304" s="5">
        <v>83.017741935483869</v>
      </c>
    </row>
    <row r="305" spans="52:56" x14ac:dyDescent="0.25">
      <c r="AZ305" s="5">
        <v>302</v>
      </c>
      <c r="BA305" s="5">
        <v>0.68181818181818188</v>
      </c>
      <c r="BB305" s="5">
        <v>1</v>
      </c>
      <c r="BC305" s="5">
        <v>261</v>
      </c>
      <c r="BD305" s="5">
        <v>83.293548387096777</v>
      </c>
    </row>
    <row r="306" spans="52:56" x14ac:dyDescent="0.25">
      <c r="AZ306" s="5">
        <v>303</v>
      </c>
      <c r="BA306" s="5">
        <v>0.68181818181818188</v>
      </c>
      <c r="BB306" s="5">
        <v>0</v>
      </c>
      <c r="BC306" s="5">
        <v>261</v>
      </c>
      <c r="BD306" s="5">
        <v>83.569354838709685</v>
      </c>
    </row>
    <row r="307" spans="52:56" x14ac:dyDescent="0.25">
      <c r="AZ307" s="5">
        <v>304</v>
      </c>
      <c r="BA307" s="5">
        <v>0.68181818181818188</v>
      </c>
      <c r="BB307" s="5">
        <v>1</v>
      </c>
      <c r="BC307" s="5">
        <v>262</v>
      </c>
      <c r="BD307" s="5">
        <v>83.845161290322579</v>
      </c>
    </row>
    <row r="308" spans="52:56" x14ac:dyDescent="0.25">
      <c r="AZ308" s="5">
        <v>305</v>
      </c>
      <c r="BA308" s="5">
        <v>0.68181818181818188</v>
      </c>
      <c r="BB308" s="5">
        <v>0</v>
      </c>
      <c r="BC308" s="5">
        <v>262</v>
      </c>
      <c r="BD308" s="5">
        <v>84.120967741935488</v>
      </c>
    </row>
    <row r="309" spans="52:56" x14ac:dyDescent="0.25">
      <c r="AZ309" s="5">
        <v>306</v>
      </c>
      <c r="BA309" s="5">
        <v>0.68181818181818188</v>
      </c>
      <c r="BB309" s="5">
        <v>1</v>
      </c>
      <c r="BC309" s="5">
        <v>263</v>
      </c>
      <c r="BD309" s="5">
        <v>84.396774193548396</v>
      </c>
    </row>
    <row r="310" spans="52:56" x14ac:dyDescent="0.25">
      <c r="AZ310" s="5">
        <v>307</v>
      </c>
      <c r="BA310" s="5">
        <v>0.68181818181818188</v>
      </c>
      <c r="BB310" s="5">
        <v>1</v>
      </c>
      <c r="BC310" s="5">
        <v>264</v>
      </c>
      <c r="BD310" s="5">
        <v>84.67258064516129</v>
      </c>
    </row>
    <row r="311" spans="52:56" x14ac:dyDescent="0.25">
      <c r="AZ311" s="5">
        <v>308</v>
      </c>
      <c r="BA311" s="5">
        <v>0.68181818181818188</v>
      </c>
      <c r="BB311" s="5">
        <v>0</v>
      </c>
      <c r="BC311" s="5">
        <v>264</v>
      </c>
      <c r="BD311" s="5">
        <v>84.948387096774198</v>
      </c>
    </row>
    <row r="312" spans="52:56" x14ac:dyDescent="0.25">
      <c r="AZ312" s="5">
        <v>309</v>
      </c>
      <c r="BA312" s="5">
        <v>0.68181818181818188</v>
      </c>
      <c r="BB312" s="5">
        <v>1</v>
      </c>
      <c r="BC312" s="5">
        <v>265</v>
      </c>
      <c r="BD312" s="5">
        <v>85.224193548387106</v>
      </c>
    </row>
    <row r="313" spans="52:56" x14ac:dyDescent="0.25">
      <c r="AZ313" s="5">
        <v>310</v>
      </c>
      <c r="BA313" s="5">
        <v>0.68181818181818188</v>
      </c>
      <c r="BB313" s="5">
        <v>0</v>
      </c>
      <c r="BC313" s="5">
        <v>265</v>
      </c>
      <c r="BD313" s="5">
        <v>85.5</v>
      </c>
    </row>
    <row r="314" spans="52:56" x14ac:dyDescent="0.25">
      <c r="AZ314" s="5">
        <v>311</v>
      </c>
      <c r="BA314" s="5">
        <v>0.64</v>
      </c>
      <c r="BB314" s="5">
        <v>1</v>
      </c>
      <c r="BC314" s="5">
        <v>266</v>
      </c>
      <c r="BD314" s="5">
        <v>85.775806451612908</v>
      </c>
    </row>
    <row r="315" spans="52:56" x14ac:dyDescent="0.25">
      <c r="AZ315" s="5">
        <v>312</v>
      </c>
      <c r="BA315" s="5">
        <v>0.64</v>
      </c>
      <c r="BB315" s="5">
        <v>1</v>
      </c>
      <c r="BC315" s="5">
        <v>267</v>
      </c>
      <c r="BD315" s="5">
        <v>86.051612903225816</v>
      </c>
    </row>
    <row r="316" spans="52:56" x14ac:dyDescent="0.25">
      <c r="AZ316" s="5">
        <v>313</v>
      </c>
      <c r="BA316" s="5">
        <v>0.64</v>
      </c>
      <c r="BB316" s="5">
        <v>1</v>
      </c>
      <c r="BC316" s="5">
        <v>268</v>
      </c>
      <c r="BD316" s="5">
        <v>86.32741935483871</v>
      </c>
    </row>
    <row r="317" spans="52:56" x14ac:dyDescent="0.25">
      <c r="AZ317" s="5">
        <v>314</v>
      </c>
      <c r="BA317" s="5">
        <v>0.64</v>
      </c>
      <c r="BB317" s="5">
        <v>1</v>
      </c>
      <c r="BC317" s="5">
        <v>269</v>
      </c>
      <c r="BD317" s="5">
        <v>86.603225806451618</v>
      </c>
    </row>
    <row r="318" spans="52:56" x14ac:dyDescent="0.25">
      <c r="AZ318" s="5">
        <v>315</v>
      </c>
      <c r="BA318" s="5">
        <v>0.64</v>
      </c>
      <c r="BB318" s="5">
        <v>0</v>
      </c>
      <c r="BC318" s="5">
        <v>269</v>
      </c>
      <c r="BD318" s="5">
        <v>86.879032258064512</v>
      </c>
    </row>
    <row r="319" spans="52:56" x14ac:dyDescent="0.25">
      <c r="AZ319" s="5">
        <v>316</v>
      </c>
      <c r="BA319" s="5">
        <v>0.64</v>
      </c>
      <c r="BB319" s="5">
        <v>1</v>
      </c>
      <c r="BC319" s="5">
        <v>270</v>
      </c>
      <c r="BD319" s="5">
        <v>87.154838709677421</v>
      </c>
    </row>
    <row r="320" spans="52:56" x14ac:dyDescent="0.25">
      <c r="AZ320" s="5">
        <v>317</v>
      </c>
      <c r="BA320" s="5">
        <v>0.64</v>
      </c>
      <c r="BB320" s="5">
        <v>1</v>
      </c>
      <c r="BC320" s="5">
        <v>271</v>
      </c>
      <c r="BD320" s="5">
        <v>87.430645161290329</v>
      </c>
    </row>
    <row r="321" spans="52:56" x14ac:dyDescent="0.25">
      <c r="AZ321" s="5">
        <v>318</v>
      </c>
      <c r="BA321" s="5">
        <v>0.64</v>
      </c>
      <c r="BB321" s="5">
        <v>1</v>
      </c>
      <c r="BC321" s="5">
        <v>272</v>
      </c>
      <c r="BD321" s="5">
        <v>87.706451612903223</v>
      </c>
    </row>
    <row r="322" spans="52:56" x14ac:dyDescent="0.25">
      <c r="AZ322" s="5">
        <v>319</v>
      </c>
      <c r="BA322" s="5">
        <v>0.64</v>
      </c>
      <c r="BB322" s="5">
        <v>0</v>
      </c>
      <c r="BC322" s="5">
        <v>272</v>
      </c>
      <c r="BD322" s="5">
        <v>87.982258064516131</v>
      </c>
    </row>
    <row r="323" spans="52:56" x14ac:dyDescent="0.25">
      <c r="AZ323" s="5">
        <v>320</v>
      </c>
      <c r="BA323" s="5">
        <v>0.64</v>
      </c>
      <c r="BB323" s="5">
        <v>1</v>
      </c>
      <c r="BC323" s="5">
        <v>273</v>
      </c>
      <c r="BD323" s="5">
        <v>88.258064516129039</v>
      </c>
    </row>
    <row r="324" spans="52:56" x14ac:dyDescent="0.25">
      <c r="AZ324" s="5">
        <v>321</v>
      </c>
      <c r="BA324" s="5">
        <v>0.64</v>
      </c>
      <c r="BB324" s="5">
        <v>1</v>
      </c>
      <c r="BC324" s="5">
        <v>274</v>
      </c>
      <c r="BD324" s="5">
        <v>88.533870967741933</v>
      </c>
    </row>
    <row r="325" spans="52:56" x14ac:dyDescent="0.25">
      <c r="AZ325" s="5">
        <v>322</v>
      </c>
      <c r="BA325" s="5">
        <v>0.64</v>
      </c>
      <c r="BB325" s="5">
        <v>1</v>
      </c>
      <c r="BC325" s="5">
        <v>275</v>
      </c>
      <c r="BD325" s="5">
        <v>88.809677419354841</v>
      </c>
    </row>
    <row r="326" spans="52:56" x14ac:dyDescent="0.25">
      <c r="AZ326" s="5">
        <v>323</v>
      </c>
      <c r="BA326" s="5">
        <v>0.64</v>
      </c>
      <c r="BB326" s="5">
        <v>0</v>
      </c>
      <c r="BC326" s="5">
        <v>275</v>
      </c>
      <c r="BD326" s="5">
        <v>89.085483870967749</v>
      </c>
    </row>
    <row r="327" spans="52:56" x14ac:dyDescent="0.25">
      <c r="AZ327" s="5">
        <v>324</v>
      </c>
      <c r="BA327" s="5">
        <v>0.64</v>
      </c>
      <c r="BB327" s="5">
        <v>1</v>
      </c>
      <c r="BC327" s="5">
        <v>276</v>
      </c>
      <c r="BD327" s="5">
        <v>89.361290322580643</v>
      </c>
    </row>
    <row r="328" spans="52:56" x14ac:dyDescent="0.25">
      <c r="AZ328" s="5">
        <v>325</v>
      </c>
      <c r="BA328" s="5">
        <v>0.64</v>
      </c>
      <c r="BB328" s="5">
        <v>0</v>
      </c>
      <c r="BC328" s="5">
        <v>276</v>
      </c>
      <c r="BD328" s="5">
        <v>89.637096774193552</v>
      </c>
    </row>
    <row r="329" spans="52:56" x14ac:dyDescent="0.25">
      <c r="AZ329" s="5">
        <v>326</v>
      </c>
      <c r="BA329" s="5">
        <v>0.64</v>
      </c>
      <c r="BB329" s="5">
        <v>0</v>
      </c>
      <c r="BC329" s="5">
        <v>276</v>
      </c>
      <c r="BD329" s="5">
        <v>89.91290322580646</v>
      </c>
    </row>
    <row r="330" spans="52:56" x14ac:dyDescent="0.25">
      <c r="AZ330" s="5">
        <v>327</v>
      </c>
      <c r="BA330" s="5">
        <v>0.64</v>
      </c>
      <c r="BB330" s="5">
        <v>1</v>
      </c>
      <c r="BC330" s="5">
        <v>277</v>
      </c>
      <c r="BD330" s="5">
        <v>90.188709677419354</v>
      </c>
    </row>
    <row r="331" spans="52:56" x14ac:dyDescent="0.25">
      <c r="AZ331" s="5">
        <v>328</v>
      </c>
      <c r="BA331" s="5">
        <v>0.64</v>
      </c>
      <c r="BB331" s="5">
        <v>1</v>
      </c>
      <c r="BC331" s="5">
        <v>278</v>
      </c>
      <c r="BD331" s="5">
        <v>90.464516129032262</v>
      </c>
    </row>
    <row r="332" spans="52:56" x14ac:dyDescent="0.25">
      <c r="AZ332" s="5">
        <v>329</v>
      </c>
      <c r="BA332" s="5">
        <v>0.64</v>
      </c>
      <c r="BB332" s="5">
        <v>0</v>
      </c>
      <c r="BC332" s="5">
        <v>278</v>
      </c>
      <c r="BD332" s="5">
        <v>90.74032258064517</v>
      </c>
    </row>
    <row r="333" spans="52:56" x14ac:dyDescent="0.25">
      <c r="AZ333" s="5">
        <v>330</v>
      </c>
      <c r="BA333" s="5">
        <v>0.64</v>
      </c>
      <c r="BB333" s="5">
        <v>0</v>
      </c>
      <c r="BC333" s="5">
        <v>278</v>
      </c>
      <c r="BD333" s="5">
        <v>91.016129032258064</v>
      </c>
    </row>
    <row r="334" spans="52:56" x14ac:dyDescent="0.25">
      <c r="AZ334" s="5">
        <v>331</v>
      </c>
      <c r="BA334" s="5">
        <v>0.64</v>
      </c>
      <c r="BB334" s="5">
        <v>0</v>
      </c>
      <c r="BC334" s="5">
        <v>278</v>
      </c>
      <c r="BD334" s="5">
        <v>91.291935483870972</v>
      </c>
    </row>
    <row r="335" spans="52:56" x14ac:dyDescent="0.25">
      <c r="AZ335" s="5">
        <v>332</v>
      </c>
      <c r="BA335" s="5">
        <v>0.64</v>
      </c>
      <c r="BB335" s="5">
        <v>0</v>
      </c>
      <c r="BC335" s="5">
        <v>278</v>
      </c>
      <c r="BD335" s="5">
        <v>91.56774193548388</v>
      </c>
    </row>
    <row r="336" spans="52:56" x14ac:dyDescent="0.25">
      <c r="AZ336" s="5">
        <v>333</v>
      </c>
      <c r="BA336" s="5">
        <v>0.64</v>
      </c>
      <c r="BB336" s="5">
        <v>1</v>
      </c>
      <c r="BC336" s="5">
        <v>279</v>
      </c>
      <c r="BD336" s="5">
        <v>91.843548387096774</v>
      </c>
    </row>
    <row r="337" spans="52:56" x14ac:dyDescent="0.25">
      <c r="AZ337" s="5">
        <v>334</v>
      </c>
      <c r="BA337" s="5">
        <v>0.5625</v>
      </c>
      <c r="BB337" s="5">
        <v>1</v>
      </c>
      <c r="BC337" s="5">
        <v>280</v>
      </c>
      <c r="BD337" s="5">
        <v>92.119354838709683</v>
      </c>
    </row>
    <row r="338" spans="52:56" x14ac:dyDescent="0.25">
      <c r="AZ338" s="5">
        <v>335</v>
      </c>
      <c r="BA338" s="5">
        <v>0.5625</v>
      </c>
      <c r="BB338" s="5">
        <v>1</v>
      </c>
      <c r="BC338" s="5">
        <v>281</v>
      </c>
      <c r="BD338" s="5">
        <v>92.395161290322591</v>
      </c>
    </row>
    <row r="339" spans="52:56" x14ac:dyDescent="0.25">
      <c r="AZ339" s="5">
        <v>336</v>
      </c>
      <c r="BA339" s="5">
        <v>0.5625</v>
      </c>
      <c r="BB339" s="5">
        <v>0</v>
      </c>
      <c r="BC339" s="5">
        <v>281</v>
      </c>
      <c r="BD339" s="5">
        <v>92.670967741935485</v>
      </c>
    </row>
    <row r="340" spans="52:56" x14ac:dyDescent="0.25">
      <c r="AZ340" s="5">
        <v>337</v>
      </c>
      <c r="BA340" s="5">
        <v>0.5625</v>
      </c>
      <c r="BB340" s="5">
        <v>1</v>
      </c>
      <c r="BC340" s="5">
        <v>282</v>
      </c>
      <c r="BD340" s="5">
        <v>92.946774193548393</v>
      </c>
    </row>
    <row r="341" spans="52:56" x14ac:dyDescent="0.25">
      <c r="AZ341" s="5">
        <v>338</v>
      </c>
      <c r="BA341" s="5">
        <v>0.5625</v>
      </c>
      <c r="BB341" s="5">
        <v>0</v>
      </c>
      <c r="BC341" s="5">
        <v>282</v>
      </c>
      <c r="BD341" s="5">
        <v>93.222580645161287</v>
      </c>
    </row>
    <row r="342" spans="52:56" x14ac:dyDescent="0.25">
      <c r="AZ342" s="5">
        <v>339</v>
      </c>
      <c r="BA342" s="5">
        <v>0.5625</v>
      </c>
      <c r="BB342" s="5">
        <v>1</v>
      </c>
      <c r="BC342" s="5">
        <v>283</v>
      </c>
      <c r="BD342" s="5">
        <v>93.498387096774195</v>
      </c>
    </row>
    <row r="343" spans="52:56" x14ac:dyDescent="0.25">
      <c r="AZ343" s="5">
        <v>340</v>
      </c>
      <c r="BA343" s="5">
        <v>0.5625</v>
      </c>
      <c r="BB343" s="5">
        <v>0</v>
      </c>
      <c r="BC343" s="5">
        <v>283</v>
      </c>
      <c r="BD343" s="5">
        <v>93.774193548387103</v>
      </c>
    </row>
    <row r="344" spans="52:56" x14ac:dyDescent="0.25">
      <c r="AZ344" s="5">
        <v>341</v>
      </c>
      <c r="BA344" s="5">
        <v>0.5625</v>
      </c>
      <c r="BB344" s="5">
        <v>0</v>
      </c>
      <c r="BC344" s="5">
        <v>283</v>
      </c>
      <c r="BD344" s="5">
        <v>94.05</v>
      </c>
    </row>
    <row r="345" spans="52:56" x14ac:dyDescent="0.25">
      <c r="AZ345" s="5">
        <v>342</v>
      </c>
      <c r="BA345" s="5">
        <v>0.5625</v>
      </c>
      <c r="BB345" s="5">
        <v>1</v>
      </c>
      <c r="BC345" s="5">
        <v>284</v>
      </c>
      <c r="BD345" s="5">
        <v>94.325806451612905</v>
      </c>
    </row>
    <row r="346" spans="52:56" x14ac:dyDescent="0.25">
      <c r="AZ346" s="5">
        <v>343</v>
      </c>
      <c r="BA346" s="5">
        <v>0.37500000000000006</v>
      </c>
      <c r="BB346" s="5">
        <v>1</v>
      </c>
      <c r="BC346" s="5">
        <v>285</v>
      </c>
      <c r="BD346" s="5">
        <v>94.601612903225814</v>
      </c>
    </row>
    <row r="347" spans="52:56" x14ac:dyDescent="0.25">
      <c r="AZ347" s="5">
        <v>344</v>
      </c>
      <c r="BA347" s="5">
        <v>0.37500000000000006</v>
      </c>
      <c r="BB347" s="5">
        <v>0</v>
      </c>
      <c r="BC347" s="5">
        <v>285</v>
      </c>
      <c r="BD347" s="5">
        <v>94.877419354838707</v>
      </c>
    </row>
    <row r="348" spans="52:56" x14ac:dyDescent="0.25">
      <c r="AZ348" s="5">
        <v>345</v>
      </c>
      <c r="BA348" s="5">
        <v>0.37500000000000006</v>
      </c>
      <c r="BB348" s="5">
        <v>0</v>
      </c>
      <c r="BC348" s="5">
        <v>285</v>
      </c>
      <c r="BD348" s="5">
        <v>95.153225806451616</v>
      </c>
    </row>
    <row r="349" spans="52:56" x14ac:dyDescent="0.25">
      <c r="AZ349" s="5">
        <v>346</v>
      </c>
      <c r="BA349" s="5">
        <v>0.37500000000000006</v>
      </c>
      <c r="BB349" s="5">
        <v>1</v>
      </c>
      <c r="BC349" s="5">
        <v>286</v>
      </c>
      <c r="BD349" s="5">
        <v>95.429032258064524</v>
      </c>
    </row>
    <row r="350" spans="52:56" x14ac:dyDescent="0.25">
      <c r="AZ350" s="5">
        <v>347</v>
      </c>
      <c r="BA350" s="5">
        <v>0.37500000000000006</v>
      </c>
      <c r="BB350" s="5">
        <v>1</v>
      </c>
      <c r="BC350" s="5">
        <v>287</v>
      </c>
      <c r="BD350" s="5">
        <v>95.704838709677418</v>
      </c>
    </row>
    <row r="351" spans="52:56" x14ac:dyDescent="0.25">
      <c r="AZ351" s="5">
        <v>348</v>
      </c>
      <c r="BA351" s="5">
        <v>0.37500000000000006</v>
      </c>
      <c r="BB351" s="5">
        <v>0</v>
      </c>
      <c r="BC351" s="5">
        <v>287</v>
      </c>
      <c r="BD351" s="5">
        <v>95.980645161290326</v>
      </c>
    </row>
    <row r="352" spans="52:56" x14ac:dyDescent="0.25">
      <c r="AZ352" s="5">
        <v>349</v>
      </c>
      <c r="BA352" s="5">
        <v>0.37500000000000006</v>
      </c>
      <c r="BB352" s="5">
        <v>0</v>
      </c>
      <c r="BC352" s="5">
        <v>287</v>
      </c>
      <c r="BD352" s="5">
        <v>96.256451612903234</v>
      </c>
    </row>
    <row r="353" spans="52:56" x14ac:dyDescent="0.25">
      <c r="AZ353" s="5">
        <v>350</v>
      </c>
      <c r="BA353" s="5">
        <v>0.37500000000000006</v>
      </c>
      <c r="BB353" s="5">
        <v>0</v>
      </c>
      <c r="BC353" s="5">
        <v>287</v>
      </c>
      <c r="BD353" s="5">
        <v>96.532258064516128</v>
      </c>
    </row>
    <row r="354" spans="52:56" x14ac:dyDescent="0.25">
      <c r="AZ354" s="5">
        <v>351</v>
      </c>
      <c r="BA354" s="5">
        <v>0.37500000000000006</v>
      </c>
      <c r="BB354" s="5">
        <v>1</v>
      </c>
      <c r="BC354" s="5">
        <v>288</v>
      </c>
      <c r="BD354" s="5">
        <v>96.808064516129036</v>
      </c>
    </row>
    <row r="355" spans="52:56" x14ac:dyDescent="0.25">
      <c r="AZ355" s="5">
        <v>352</v>
      </c>
      <c r="BA355" s="5">
        <v>0.37500000000000006</v>
      </c>
      <c r="BB355" s="5">
        <v>1</v>
      </c>
      <c r="BC355" s="5">
        <v>289</v>
      </c>
      <c r="BD355" s="5">
        <v>97.083870967741944</v>
      </c>
    </row>
    <row r="356" spans="52:56" x14ac:dyDescent="0.25">
      <c r="AZ356" s="5">
        <v>353</v>
      </c>
      <c r="BA356" s="5">
        <v>0.37500000000000006</v>
      </c>
      <c r="BB356" s="5">
        <v>0</v>
      </c>
      <c r="BC356" s="5">
        <v>289</v>
      </c>
      <c r="BD356" s="5">
        <v>97.359677419354838</v>
      </c>
    </row>
    <row r="357" spans="52:56" x14ac:dyDescent="0.25">
      <c r="AZ357" s="5">
        <v>354</v>
      </c>
      <c r="BA357" s="5">
        <v>0.37500000000000006</v>
      </c>
      <c r="BB357" s="5">
        <v>1</v>
      </c>
      <c r="BC357" s="5">
        <v>290</v>
      </c>
      <c r="BD357" s="5">
        <v>97.635483870967747</v>
      </c>
    </row>
    <row r="358" spans="52:56" x14ac:dyDescent="0.25">
      <c r="AZ358" s="5">
        <v>355</v>
      </c>
      <c r="BA358" s="5">
        <v>0.37500000000000006</v>
      </c>
      <c r="BB358" s="5">
        <v>0</v>
      </c>
      <c r="BC358" s="5">
        <v>290</v>
      </c>
      <c r="BD358" s="5">
        <v>97.911290322580655</v>
      </c>
    </row>
    <row r="359" spans="52:56" x14ac:dyDescent="0.25">
      <c r="AZ359" s="5">
        <v>356</v>
      </c>
      <c r="BA359" s="5">
        <v>0.37500000000000006</v>
      </c>
      <c r="BB359" s="5">
        <v>1</v>
      </c>
      <c r="BC359" s="5">
        <v>291</v>
      </c>
      <c r="BD359" s="5">
        <v>98.187096774193549</v>
      </c>
    </row>
    <row r="360" spans="52:56" x14ac:dyDescent="0.25">
      <c r="AZ360" s="5">
        <v>357</v>
      </c>
      <c r="BA360" s="5">
        <v>0.37500000000000006</v>
      </c>
      <c r="BB360" s="5">
        <v>0</v>
      </c>
      <c r="BC360" s="5">
        <v>291</v>
      </c>
      <c r="BD360" s="5">
        <v>98.462903225806457</v>
      </c>
    </row>
    <row r="361" spans="52:56" x14ac:dyDescent="0.25">
      <c r="AZ361" s="5">
        <v>358</v>
      </c>
      <c r="BA361" s="5">
        <v>0.37500000000000006</v>
      </c>
      <c r="BB361" s="5">
        <v>1</v>
      </c>
      <c r="BC361" s="5">
        <v>292</v>
      </c>
      <c r="BD361" s="5">
        <v>98.738709677419365</v>
      </c>
    </row>
    <row r="362" spans="52:56" x14ac:dyDescent="0.25">
      <c r="AZ362" s="5">
        <v>359</v>
      </c>
      <c r="BA362" s="5">
        <v>0.37500000000000006</v>
      </c>
      <c r="BB362" s="5">
        <v>0</v>
      </c>
      <c r="BC362" s="5">
        <v>292</v>
      </c>
      <c r="BD362" s="5">
        <v>99.014516129032259</v>
      </c>
    </row>
    <row r="363" spans="52:56" x14ac:dyDescent="0.25">
      <c r="AZ363" s="5">
        <v>360</v>
      </c>
      <c r="BA363" s="5">
        <v>0.37500000000000006</v>
      </c>
      <c r="BB363" s="5">
        <v>1</v>
      </c>
      <c r="BC363" s="5">
        <v>293</v>
      </c>
      <c r="BD363" s="5">
        <v>99.290322580645167</v>
      </c>
    </row>
    <row r="364" spans="52:56" x14ac:dyDescent="0.25">
      <c r="AZ364" s="5">
        <v>361</v>
      </c>
      <c r="BA364" s="5">
        <v>0.37500000000000006</v>
      </c>
      <c r="BB364" s="5">
        <v>0</v>
      </c>
      <c r="BC364" s="5">
        <v>293</v>
      </c>
      <c r="BD364" s="5">
        <v>99.566129032258061</v>
      </c>
    </row>
    <row r="365" spans="52:56" x14ac:dyDescent="0.25">
      <c r="AZ365" s="5">
        <v>362</v>
      </c>
      <c r="BA365" s="5">
        <v>0.37500000000000006</v>
      </c>
      <c r="BB365" s="5">
        <v>0</v>
      </c>
      <c r="BC365" s="5">
        <v>293</v>
      </c>
      <c r="BD365" s="5">
        <v>99.841935483870969</v>
      </c>
    </row>
    <row r="366" spans="52:56" x14ac:dyDescent="0.25">
      <c r="AZ366" s="5">
        <v>363</v>
      </c>
      <c r="BA366" s="5">
        <v>0.37500000000000006</v>
      </c>
      <c r="BB366" s="5">
        <v>0</v>
      </c>
      <c r="BC366" s="5">
        <v>293</v>
      </c>
      <c r="BD366" s="5">
        <v>100.11774193548388</v>
      </c>
    </row>
    <row r="367" spans="52:56" x14ac:dyDescent="0.25">
      <c r="AZ367" s="5">
        <v>364</v>
      </c>
      <c r="BA367" s="5">
        <v>0.37500000000000006</v>
      </c>
      <c r="BB367" s="5">
        <v>1</v>
      </c>
      <c r="BC367" s="5">
        <v>294</v>
      </c>
      <c r="BD367" s="5">
        <v>100.39354838709677</v>
      </c>
    </row>
    <row r="368" spans="52:56" x14ac:dyDescent="0.25">
      <c r="AZ368" s="5">
        <v>365</v>
      </c>
      <c r="BA368" s="5">
        <v>0.37500000000000006</v>
      </c>
      <c r="BB368" s="5">
        <v>0</v>
      </c>
      <c r="BC368" s="5">
        <v>294</v>
      </c>
      <c r="BD368" s="5">
        <v>100.66935483870968</v>
      </c>
    </row>
    <row r="369" spans="52:56" x14ac:dyDescent="0.25">
      <c r="AZ369" s="5">
        <v>366</v>
      </c>
      <c r="BA369" s="5">
        <v>0.37500000000000006</v>
      </c>
      <c r="BB369" s="5">
        <v>1</v>
      </c>
      <c r="BC369" s="5">
        <v>295</v>
      </c>
      <c r="BD369" s="5">
        <v>100.94516129032259</v>
      </c>
    </row>
    <row r="370" spans="52:56" x14ac:dyDescent="0.25">
      <c r="AZ370" s="5">
        <v>367</v>
      </c>
      <c r="BA370" s="5">
        <v>0.37500000000000006</v>
      </c>
      <c r="BB370" s="5">
        <v>0</v>
      </c>
      <c r="BC370" s="5">
        <v>295</v>
      </c>
      <c r="BD370" s="5">
        <v>101.22096774193548</v>
      </c>
    </row>
    <row r="371" spans="52:56" x14ac:dyDescent="0.25">
      <c r="AZ371" s="5">
        <v>368</v>
      </c>
      <c r="BA371" s="5">
        <v>0.37500000000000006</v>
      </c>
      <c r="BB371" s="5">
        <v>0</v>
      </c>
      <c r="BC371" s="5">
        <v>295</v>
      </c>
      <c r="BD371" s="5">
        <v>101.49677419354839</v>
      </c>
    </row>
    <row r="372" spans="52:56" x14ac:dyDescent="0.25">
      <c r="AZ372" s="5">
        <v>369</v>
      </c>
      <c r="BA372" s="5">
        <v>0.37500000000000006</v>
      </c>
      <c r="BB372" s="5">
        <v>1</v>
      </c>
      <c r="BC372" s="5">
        <v>296</v>
      </c>
      <c r="BD372" s="5">
        <v>101.7725806451613</v>
      </c>
    </row>
    <row r="373" spans="52:56" x14ac:dyDescent="0.25">
      <c r="AZ373" s="5">
        <v>370</v>
      </c>
      <c r="BA373" s="5">
        <v>0.37500000000000006</v>
      </c>
      <c r="BB373" s="5">
        <v>1</v>
      </c>
      <c r="BC373" s="5">
        <v>297</v>
      </c>
      <c r="BD373" s="5">
        <v>102.04838709677419</v>
      </c>
    </row>
    <row r="374" spans="52:56" x14ac:dyDescent="0.25">
      <c r="AZ374" s="5">
        <v>371</v>
      </c>
      <c r="BA374" s="5">
        <v>0.37500000000000006</v>
      </c>
      <c r="BB374" s="5">
        <v>0</v>
      </c>
      <c r="BC374" s="5">
        <v>297</v>
      </c>
      <c r="BD374" s="5">
        <v>102.3241935483871</v>
      </c>
    </row>
    <row r="375" spans="52:56" x14ac:dyDescent="0.25">
      <c r="AZ375" s="5">
        <v>372</v>
      </c>
      <c r="BA375" s="5">
        <v>0.32</v>
      </c>
      <c r="BB375" s="5">
        <v>0</v>
      </c>
      <c r="BC375" s="5">
        <v>297</v>
      </c>
      <c r="BD375" s="5">
        <v>102.60000000000001</v>
      </c>
    </row>
    <row r="376" spans="52:56" x14ac:dyDescent="0.25">
      <c r="AZ376" s="6">
        <v>373</v>
      </c>
      <c r="BA376" s="6">
        <v>0.32</v>
      </c>
      <c r="BB376" s="6">
        <v>0</v>
      </c>
      <c r="BC376" s="6">
        <v>297</v>
      </c>
      <c r="BD376" s="6">
        <v>102.8758064516129</v>
      </c>
    </row>
    <row r="377" spans="52:56" x14ac:dyDescent="0.25">
      <c r="AZ377" s="6">
        <v>374</v>
      </c>
      <c r="BA377" s="6">
        <v>0.32</v>
      </c>
      <c r="BB377" s="6">
        <v>1</v>
      </c>
      <c r="BC377" s="6">
        <v>298</v>
      </c>
      <c r="BD377" s="6">
        <v>103.15161290322581</v>
      </c>
    </row>
    <row r="378" spans="52:56" x14ac:dyDescent="0.25">
      <c r="AZ378" s="6">
        <v>375</v>
      </c>
      <c r="BA378" s="6">
        <v>0.32</v>
      </c>
      <c r="BB378" s="6">
        <v>1</v>
      </c>
      <c r="BC378" s="6">
        <v>299</v>
      </c>
      <c r="BD378" s="6">
        <v>103.42741935483872</v>
      </c>
    </row>
    <row r="379" spans="52:56" x14ac:dyDescent="0.25">
      <c r="AZ379" s="6">
        <v>376</v>
      </c>
      <c r="BA379" s="6">
        <v>0.32</v>
      </c>
      <c r="BB379" s="6">
        <v>1</v>
      </c>
      <c r="BC379" s="6">
        <v>300</v>
      </c>
      <c r="BD379" s="6">
        <v>103.70322580645161</v>
      </c>
    </row>
    <row r="380" spans="52:56" x14ac:dyDescent="0.25">
      <c r="AZ380" s="6">
        <v>377</v>
      </c>
      <c r="BA380" s="6">
        <v>0.32</v>
      </c>
      <c r="BB380" s="6">
        <v>0</v>
      </c>
      <c r="BC380" s="6">
        <v>300</v>
      </c>
      <c r="BD380" s="6">
        <v>103.97903225806452</v>
      </c>
    </row>
    <row r="381" spans="52:56" x14ac:dyDescent="0.25">
      <c r="AZ381" s="6">
        <v>378</v>
      </c>
      <c r="BA381" s="6">
        <v>0.32</v>
      </c>
      <c r="BB381" s="6">
        <v>1</v>
      </c>
      <c r="BC381" s="6">
        <v>301</v>
      </c>
      <c r="BD381" s="6">
        <v>104.25483870967743</v>
      </c>
    </row>
    <row r="382" spans="52:56" x14ac:dyDescent="0.25">
      <c r="AZ382" s="6">
        <v>379</v>
      </c>
      <c r="BA382" s="6">
        <v>0.32</v>
      </c>
      <c r="BB382" s="6">
        <v>1</v>
      </c>
      <c r="BC382" s="6">
        <v>302</v>
      </c>
      <c r="BD382" s="6">
        <v>104.53064516129032</v>
      </c>
    </row>
    <row r="383" spans="52:56" x14ac:dyDescent="0.25">
      <c r="AZ383" s="6">
        <v>380</v>
      </c>
      <c r="BA383" s="6">
        <v>0.32</v>
      </c>
      <c r="BB383" s="6">
        <v>0</v>
      </c>
      <c r="BC383" s="6">
        <v>302</v>
      </c>
      <c r="BD383" s="6">
        <v>104.80645161290323</v>
      </c>
    </row>
    <row r="384" spans="52:56" x14ac:dyDescent="0.25">
      <c r="AZ384" s="6">
        <v>381</v>
      </c>
      <c r="BA384" s="6">
        <v>0.32</v>
      </c>
      <c r="BB384" s="6">
        <v>1</v>
      </c>
      <c r="BC384" s="6">
        <v>303</v>
      </c>
      <c r="BD384" s="6">
        <v>105.08225806451614</v>
      </c>
    </row>
    <row r="385" spans="52:56" x14ac:dyDescent="0.25">
      <c r="AZ385" s="6">
        <v>382</v>
      </c>
      <c r="BA385" s="6">
        <v>0.32</v>
      </c>
      <c r="BB385" s="6">
        <v>0</v>
      </c>
      <c r="BC385" s="6">
        <v>303</v>
      </c>
      <c r="BD385" s="6">
        <v>105.35806451612903</v>
      </c>
    </row>
    <row r="386" spans="52:56" x14ac:dyDescent="0.25">
      <c r="AZ386" s="6">
        <v>383</v>
      </c>
      <c r="BA386" s="6">
        <v>0.32</v>
      </c>
      <c r="BB386" s="6">
        <v>0</v>
      </c>
      <c r="BC386" s="6">
        <v>303</v>
      </c>
      <c r="BD386" s="6">
        <v>105.63387096774194</v>
      </c>
    </row>
    <row r="387" spans="52:56" x14ac:dyDescent="0.25">
      <c r="AZ387" s="6">
        <v>384</v>
      </c>
      <c r="BA387" s="6">
        <v>0.32</v>
      </c>
      <c r="BB387" s="6">
        <v>0</v>
      </c>
      <c r="BC387" s="6">
        <v>303</v>
      </c>
      <c r="BD387" s="6">
        <v>105.90967741935484</v>
      </c>
    </row>
    <row r="388" spans="52:56" x14ac:dyDescent="0.25">
      <c r="AZ388" s="6">
        <v>385</v>
      </c>
      <c r="BA388" s="6">
        <v>0.32</v>
      </c>
      <c r="BB388" s="6">
        <v>0</v>
      </c>
      <c r="BC388" s="6">
        <v>303</v>
      </c>
      <c r="BD388" s="6">
        <v>106.18548387096774</v>
      </c>
    </row>
    <row r="389" spans="52:56" x14ac:dyDescent="0.25">
      <c r="AZ389" s="6">
        <v>386</v>
      </c>
      <c r="BA389" s="6">
        <v>0.32</v>
      </c>
      <c r="BB389" s="6">
        <v>1</v>
      </c>
      <c r="BC389" s="6">
        <v>304</v>
      </c>
      <c r="BD389" s="6">
        <v>106.46129032258065</v>
      </c>
    </row>
    <row r="390" spans="52:56" x14ac:dyDescent="0.25">
      <c r="AZ390" s="6">
        <v>387</v>
      </c>
      <c r="BA390" s="6">
        <v>0.32</v>
      </c>
      <c r="BB390" s="6">
        <v>0</v>
      </c>
      <c r="BC390" s="6">
        <v>304</v>
      </c>
      <c r="BD390" s="6">
        <v>106.73709677419355</v>
      </c>
    </row>
    <row r="391" spans="52:56" x14ac:dyDescent="0.25">
      <c r="AZ391" s="6">
        <v>388</v>
      </c>
      <c r="BA391" s="6">
        <v>0.32</v>
      </c>
      <c r="BB391" s="6">
        <v>1</v>
      </c>
      <c r="BC391" s="6">
        <v>305</v>
      </c>
      <c r="BD391" s="6">
        <v>107.01290322580645</v>
      </c>
    </row>
    <row r="392" spans="52:56" x14ac:dyDescent="0.25">
      <c r="AZ392" s="6">
        <v>389</v>
      </c>
      <c r="BA392" s="6">
        <v>0.32</v>
      </c>
      <c r="BB392" s="6">
        <v>1</v>
      </c>
      <c r="BC392" s="6">
        <v>306</v>
      </c>
      <c r="BD392" s="6">
        <v>107.28870967741936</v>
      </c>
    </row>
    <row r="393" spans="52:56" x14ac:dyDescent="0.25">
      <c r="AZ393" s="6">
        <v>390</v>
      </c>
      <c r="BA393" s="6">
        <v>0.32</v>
      </c>
      <c r="BB393" s="6">
        <v>0</v>
      </c>
      <c r="BC393" s="6">
        <v>306</v>
      </c>
      <c r="BD393" s="6">
        <v>107.56451612903226</v>
      </c>
    </row>
    <row r="394" spans="52:56" x14ac:dyDescent="0.25">
      <c r="AZ394" s="6">
        <v>391</v>
      </c>
      <c r="BA394" s="6">
        <v>0.32</v>
      </c>
      <c r="BB394" s="6">
        <v>1</v>
      </c>
      <c r="BC394" s="6">
        <v>307</v>
      </c>
      <c r="BD394" s="6">
        <v>107.84032258064516</v>
      </c>
    </row>
    <row r="395" spans="52:56" x14ac:dyDescent="0.25">
      <c r="AZ395" s="6">
        <v>392</v>
      </c>
      <c r="BA395" s="6">
        <v>0.32</v>
      </c>
      <c r="BB395" s="6">
        <v>1</v>
      </c>
      <c r="BC395" s="6">
        <v>308</v>
      </c>
      <c r="BD395" s="6">
        <v>108.11612903225807</v>
      </c>
    </row>
    <row r="396" spans="52:56" x14ac:dyDescent="0.25">
      <c r="AZ396" s="6">
        <v>393</v>
      </c>
      <c r="BA396" s="6">
        <v>0.32</v>
      </c>
      <c r="BB396" s="6">
        <v>0</v>
      </c>
      <c r="BC396" s="6">
        <v>308</v>
      </c>
      <c r="BD396" s="6">
        <v>108.39193548387097</v>
      </c>
    </row>
    <row r="397" spans="52:56" x14ac:dyDescent="0.25">
      <c r="AZ397" s="6">
        <v>394</v>
      </c>
      <c r="BA397" s="6">
        <v>0.32</v>
      </c>
      <c r="BB397" s="6">
        <v>0</v>
      </c>
      <c r="BC397" s="6">
        <v>308</v>
      </c>
      <c r="BD397" s="6">
        <v>108.66774193548387</v>
      </c>
    </row>
    <row r="398" spans="52:56" x14ac:dyDescent="0.25">
      <c r="AZ398" s="6">
        <v>395</v>
      </c>
      <c r="BA398" s="6">
        <v>0.32</v>
      </c>
      <c r="BB398" s="6">
        <v>0</v>
      </c>
      <c r="BC398" s="6">
        <v>308</v>
      </c>
      <c r="BD398" s="6">
        <v>108.94354838709678</v>
      </c>
    </row>
    <row r="399" spans="52:56" x14ac:dyDescent="0.25">
      <c r="AZ399" s="6">
        <v>396</v>
      </c>
      <c r="BA399" s="6">
        <v>0.32</v>
      </c>
      <c r="BB399" s="6">
        <v>0</v>
      </c>
      <c r="BC399" s="6">
        <v>308</v>
      </c>
      <c r="BD399" s="6">
        <v>109.21935483870968</v>
      </c>
    </row>
    <row r="400" spans="52:56" x14ac:dyDescent="0.25">
      <c r="AZ400" s="6">
        <v>397</v>
      </c>
      <c r="BA400" s="6">
        <v>0.32</v>
      </c>
      <c r="BB400" s="6">
        <v>1</v>
      </c>
      <c r="BC400" s="6">
        <v>309</v>
      </c>
      <c r="BD400" s="6">
        <v>109.49516129032259</v>
      </c>
    </row>
    <row r="401" spans="52:56" x14ac:dyDescent="0.25">
      <c r="AZ401" s="6">
        <v>398</v>
      </c>
      <c r="BA401" s="6">
        <v>0.32</v>
      </c>
      <c r="BB401" s="6">
        <v>1</v>
      </c>
      <c r="BC401" s="6">
        <v>310</v>
      </c>
      <c r="BD401" s="6">
        <v>109.77096774193549</v>
      </c>
    </row>
    <row r="402" spans="52:56" x14ac:dyDescent="0.25">
      <c r="AZ402" s="6">
        <v>399</v>
      </c>
      <c r="BA402" s="6">
        <v>0.32</v>
      </c>
      <c r="BB402" s="6">
        <v>1</v>
      </c>
      <c r="BC402" s="6">
        <v>311</v>
      </c>
      <c r="BD402" s="6">
        <v>110.04677419354839</v>
      </c>
    </row>
    <row r="403" spans="52:56" x14ac:dyDescent="0.25">
      <c r="AZ403" s="6">
        <v>400</v>
      </c>
      <c r="BA403" s="6">
        <v>0.32</v>
      </c>
      <c r="BB403" s="6">
        <v>0</v>
      </c>
      <c r="BC403" s="6">
        <v>311</v>
      </c>
      <c r="BD403" s="6">
        <v>110.3225806451613</v>
      </c>
    </row>
    <row r="404" spans="52:56" x14ac:dyDescent="0.25">
      <c r="AZ404" s="6">
        <v>401</v>
      </c>
      <c r="BA404" s="6">
        <v>0.32</v>
      </c>
      <c r="BB404" s="6">
        <v>1</v>
      </c>
      <c r="BC404" s="6">
        <v>312</v>
      </c>
      <c r="BD404" s="6">
        <v>110.5983870967742</v>
      </c>
    </row>
    <row r="405" spans="52:56" x14ac:dyDescent="0.25">
      <c r="AZ405" s="6">
        <v>402</v>
      </c>
      <c r="BA405" s="6">
        <v>0.32</v>
      </c>
      <c r="BB405" s="6">
        <v>0</v>
      </c>
      <c r="BC405" s="6">
        <v>312</v>
      </c>
      <c r="BD405" s="6">
        <v>110.8741935483871</v>
      </c>
    </row>
    <row r="406" spans="52:56" x14ac:dyDescent="0.25">
      <c r="AZ406" s="6">
        <v>403</v>
      </c>
      <c r="BA406" s="6">
        <v>0.32</v>
      </c>
      <c r="BB406" s="6">
        <v>1</v>
      </c>
      <c r="BC406" s="6">
        <v>313</v>
      </c>
      <c r="BD406" s="6">
        <v>111.15</v>
      </c>
    </row>
    <row r="407" spans="52:56" x14ac:dyDescent="0.25">
      <c r="AZ407" s="6">
        <v>404</v>
      </c>
      <c r="BA407" s="6">
        <v>0.32</v>
      </c>
      <c r="BB407" s="6">
        <v>0</v>
      </c>
      <c r="BC407" s="6">
        <v>313</v>
      </c>
      <c r="BD407" s="6">
        <v>111.42580645161291</v>
      </c>
    </row>
    <row r="408" spans="52:56" x14ac:dyDescent="0.25">
      <c r="AZ408" s="6">
        <v>405</v>
      </c>
      <c r="BA408" s="6">
        <v>0.32</v>
      </c>
      <c r="BB408" s="6">
        <v>0</v>
      </c>
      <c r="BC408" s="6">
        <v>313</v>
      </c>
      <c r="BD408" s="6">
        <v>111.70161290322581</v>
      </c>
    </row>
    <row r="409" spans="52:56" x14ac:dyDescent="0.25">
      <c r="AZ409" s="6">
        <v>406</v>
      </c>
      <c r="BA409" s="6">
        <v>0.32</v>
      </c>
      <c r="BB409" s="6">
        <v>0</v>
      </c>
      <c r="BC409" s="6">
        <v>313</v>
      </c>
      <c r="BD409" s="6">
        <v>111.97741935483872</v>
      </c>
    </row>
    <row r="410" spans="52:56" x14ac:dyDescent="0.25">
      <c r="AZ410" s="6">
        <v>407</v>
      </c>
      <c r="BA410" s="6">
        <v>0.32</v>
      </c>
      <c r="BB410" s="6">
        <v>1</v>
      </c>
      <c r="BC410" s="6">
        <v>314</v>
      </c>
      <c r="BD410" s="6">
        <v>112.25322580645162</v>
      </c>
    </row>
    <row r="411" spans="52:56" x14ac:dyDescent="0.25">
      <c r="AZ411" s="6">
        <v>408</v>
      </c>
      <c r="BA411" s="6">
        <v>0.2857142857142857</v>
      </c>
      <c r="BB411" s="6">
        <v>1</v>
      </c>
      <c r="BC411" s="6">
        <v>315</v>
      </c>
      <c r="BD411" s="6">
        <v>112.52903225806452</v>
      </c>
    </row>
    <row r="412" spans="52:56" x14ac:dyDescent="0.25">
      <c r="AZ412" s="6">
        <v>409</v>
      </c>
      <c r="BA412" s="6">
        <v>0.2857142857142857</v>
      </c>
      <c r="BB412" s="6">
        <v>0</v>
      </c>
      <c r="BC412" s="6">
        <v>315</v>
      </c>
      <c r="BD412" s="6">
        <v>112.80483870967743</v>
      </c>
    </row>
    <row r="413" spans="52:56" x14ac:dyDescent="0.25">
      <c r="AZ413" s="6">
        <v>410</v>
      </c>
      <c r="BA413" s="6">
        <v>0.2857142857142857</v>
      </c>
      <c r="BB413" s="6">
        <v>1</v>
      </c>
      <c r="BC413" s="6">
        <v>316</v>
      </c>
      <c r="BD413" s="6">
        <v>113.08064516129032</v>
      </c>
    </row>
    <row r="414" spans="52:56" x14ac:dyDescent="0.25">
      <c r="AZ414" s="6">
        <v>411</v>
      </c>
      <c r="BA414" s="6">
        <v>0.14285714285714288</v>
      </c>
      <c r="BB414" s="6">
        <v>0</v>
      </c>
      <c r="BC414" s="6">
        <v>316</v>
      </c>
      <c r="BD414" s="6">
        <v>113.35645161290323</v>
      </c>
    </row>
    <row r="415" spans="52:56" x14ac:dyDescent="0.25">
      <c r="AZ415" s="6">
        <v>412</v>
      </c>
      <c r="BA415" s="6">
        <v>0.14285714285714288</v>
      </c>
      <c r="BB415" s="6">
        <v>1</v>
      </c>
      <c r="BC415" s="6">
        <v>317</v>
      </c>
      <c r="BD415" s="6">
        <v>113.63225806451614</v>
      </c>
    </row>
    <row r="416" spans="52:56" x14ac:dyDescent="0.25">
      <c r="AZ416" s="6">
        <v>413</v>
      </c>
      <c r="BA416" s="6">
        <v>0.14285714285714288</v>
      </c>
      <c r="BB416" s="6">
        <v>0</v>
      </c>
      <c r="BC416" s="6">
        <v>317</v>
      </c>
      <c r="BD416" s="6">
        <v>113.90806451612903</v>
      </c>
    </row>
    <row r="417" spans="52:56" x14ac:dyDescent="0.25">
      <c r="AZ417" s="6">
        <v>414</v>
      </c>
      <c r="BA417" s="6">
        <v>0.14285714285714288</v>
      </c>
      <c r="BB417" s="6">
        <v>0</v>
      </c>
      <c r="BC417" s="6">
        <v>317</v>
      </c>
      <c r="BD417" s="6">
        <v>114.18387096774194</v>
      </c>
    </row>
    <row r="418" spans="52:56" x14ac:dyDescent="0.25">
      <c r="AZ418" s="6">
        <v>415</v>
      </c>
      <c r="BA418" s="6">
        <v>0.14285714285714288</v>
      </c>
      <c r="BB418" s="6">
        <v>0</v>
      </c>
      <c r="BC418" s="6">
        <v>317</v>
      </c>
      <c r="BD418" s="6">
        <v>114.45967741935485</v>
      </c>
    </row>
    <row r="419" spans="52:56" x14ac:dyDescent="0.25">
      <c r="AZ419" s="6">
        <v>416</v>
      </c>
      <c r="BA419" s="6">
        <v>0.14285714285714288</v>
      </c>
      <c r="BB419" s="6">
        <v>0</v>
      </c>
      <c r="BC419" s="6">
        <v>317</v>
      </c>
      <c r="BD419" s="6">
        <v>114.73548387096774</v>
      </c>
    </row>
    <row r="420" spans="52:56" x14ac:dyDescent="0.25">
      <c r="AZ420" s="6">
        <v>417</v>
      </c>
      <c r="BA420" s="6">
        <v>0.14285714285714288</v>
      </c>
      <c r="BB420" s="6">
        <v>0</v>
      </c>
      <c r="BC420" s="6">
        <v>317</v>
      </c>
      <c r="BD420" s="6">
        <v>115.01129032258065</v>
      </c>
    </row>
    <row r="421" spans="52:56" x14ac:dyDescent="0.25">
      <c r="AZ421" s="6">
        <v>418</v>
      </c>
      <c r="BA421" s="6">
        <v>0.14285714285714288</v>
      </c>
      <c r="BB421" s="6">
        <v>0</v>
      </c>
      <c r="BC421" s="6">
        <v>317</v>
      </c>
      <c r="BD421" s="6">
        <v>115.28709677419356</v>
      </c>
    </row>
    <row r="422" spans="52:56" x14ac:dyDescent="0.25">
      <c r="AZ422" s="6">
        <v>419</v>
      </c>
      <c r="BA422" s="6">
        <v>0.14285714285714288</v>
      </c>
      <c r="BB422" s="6">
        <v>0</v>
      </c>
      <c r="BC422" s="6">
        <v>317</v>
      </c>
      <c r="BD422" s="6">
        <v>115.56290322580645</v>
      </c>
    </row>
    <row r="423" spans="52:56" x14ac:dyDescent="0.25">
      <c r="AZ423" s="6">
        <v>420</v>
      </c>
      <c r="BA423" s="6">
        <v>0.14285714285714288</v>
      </c>
      <c r="BB423" s="6">
        <v>0</v>
      </c>
      <c r="BC423" s="6">
        <v>317</v>
      </c>
      <c r="BD423" s="6">
        <v>115.83870967741936</v>
      </c>
    </row>
    <row r="424" spans="52:56" x14ac:dyDescent="0.25">
      <c r="AZ424" s="6">
        <v>421</v>
      </c>
      <c r="BA424" s="6">
        <v>0.14285714285714288</v>
      </c>
      <c r="BB424" s="6">
        <v>0</v>
      </c>
      <c r="BC424" s="6">
        <v>317</v>
      </c>
      <c r="BD424" s="6">
        <v>116.11451612903227</v>
      </c>
    </row>
    <row r="425" spans="52:56" x14ac:dyDescent="0.25">
      <c r="AZ425" s="6">
        <v>422</v>
      </c>
      <c r="BA425" s="6">
        <v>0.14285714285714288</v>
      </c>
      <c r="BB425" s="6">
        <v>0</v>
      </c>
      <c r="BC425" s="6">
        <v>317</v>
      </c>
      <c r="BD425" s="6">
        <v>116.39032258064516</v>
      </c>
    </row>
    <row r="426" spans="52:56" x14ac:dyDescent="0.25">
      <c r="AZ426" s="6">
        <v>423</v>
      </c>
      <c r="BA426" s="6">
        <v>0.14285714285714288</v>
      </c>
      <c r="BB426" s="6">
        <v>0</v>
      </c>
      <c r="BC426" s="6">
        <v>317</v>
      </c>
      <c r="BD426" s="6">
        <v>116.66612903225807</v>
      </c>
    </row>
    <row r="427" spans="52:56" x14ac:dyDescent="0.25">
      <c r="AZ427" s="6">
        <v>424</v>
      </c>
      <c r="BA427" s="6">
        <v>0.14285714285714288</v>
      </c>
      <c r="BB427" s="6">
        <v>0</v>
      </c>
      <c r="BC427" s="6">
        <v>317</v>
      </c>
      <c r="BD427" s="6">
        <v>116.94193548387098</v>
      </c>
    </row>
    <row r="428" spans="52:56" x14ac:dyDescent="0.25">
      <c r="AZ428" s="6">
        <v>425</v>
      </c>
      <c r="BA428" s="6">
        <v>0.14285714285714288</v>
      </c>
      <c r="BB428" s="6">
        <v>0</v>
      </c>
      <c r="BC428" s="6">
        <v>317</v>
      </c>
      <c r="BD428" s="6">
        <v>117.21774193548387</v>
      </c>
    </row>
    <row r="429" spans="52:56" x14ac:dyDescent="0.25">
      <c r="AZ429" s="6">
        <v>426</v>
      </c>
      <c r="BA429" s="6">
        <v>0.14285714285714288</v>
      </c>
      <c r="BB429" s="6">
        <v>1</v>
      </c>
      <c r="BC429" s="6">
        <v>318</v>
      </c>
      <c r="BD429" s="6">
        <v>117.49354838709678</v>
      </c>
    </row>
    <row r="430" spans="52:56" x14ac:dyDescent="0.25">
      <c r="AZ430" s="6">
        <v>427</v>
      </c>
      <c r="BA430" s="6">
        <v>0.14285714285714288</v>
      </c>
      <c r="BB430" s="6">
        <v>0</v>
      </c>
      <c r="BC430" s="6">
        <v>318</v>
      </c>
      <c r="BD430" s="6">
        <v>117.76935483870969</v>
      </c>
    </row>
    <row r="431" spans="52:56" x14ac:dyDescent="0.25">
      <c r="AZ431" s="6">
        <v>428</v>
      </c>
      <c r="BA431" s="6">
        <v>0.14285714285714288</v>
      </c>
      <c r="BB431" s="6">
        <v>1</v>
      </c>
      <c r="BC431" s="6">
        <v>319</v>
      </c>
      <c r="BD431" s="6">
        <v>118.04516129032258</v>
      </c>
    </row>
    <row r="432" spans="52:56" x14ac:dyDescent="0.25">
      <c r="AZ432" s="6">
        <v>429</v>
      </c>
      <c r="BA432" s="6">
        <v>0.14285714285714288</v>
      </c>
      <c r="BB432" s="6">
        <v>1</v>
      </c>
      <c r="BC432" s="6">
        <v>320</v>
      </c>
      <c r="BD432" s="6">
        <v>118.32096774193549</v>
      </c>
    </row>
    <row r="433" spans="52:56" x14ac:dyDescent="0.25">
      <c r="AZ433" s="6">
        <v>430</v>
      </c>
      <c r="BA433" s="6">
        <v>0.14285714285714288</v>
      </c>
      <c r="BB433" s="6">
        <v>0</v>
      </c>
      <c r="BC433" s="6">
        <v>320</v>
      </c>
      <c r="BD433" s="6">
        <v>118.5967741935484</v>
      </c>
    </row>
    <row r="434" spans="52:56" x14ac:dyDescent="0.25">
      <c r="AZ434" s="6">
        <v>431</v>
      </c>
      <c r="BA434" s="6">
        <v>0.14285714285714288</v>
      </c>
      <c r="BB434" s="6">
        <v>0</v>
      </c>
      <c r="BC434" s="6">
        <v>320</v>
      </c>
      <c r="BD434" s="6">
        <v>118.87258064516129</v>
      </c>
    </row>
    <row r="435" spans="52:56" x14ac:dyDescent="0.25">
      <c r="AZ435" s="6">
        <v>432</v>
      </c>
      <c r="BA435" s="6">
        <v>0.14285714285714288</v>
      </c>
      <c r="BB435" s="6">
        <v>0</v>
      </c>
      <c r="BC435" s="6">
        <v>320</v>
      </c>
      <c r="BD435" s="6">
        <v>119.1483870967742</v>
      </c>
    </row>
    <row r="436" spans="52:56" x14ac:dyDescent="0.25">
      <c r="AZ436" s="6">
        <v>433</v>
      </c>
      <c r="BA436" s="6">
        <v>0.14285714285714288</v>
      </c>
      <c r="BB436" s="6">
        <v>0</v>
      </c>
      <c r="BC436" s="6">
        <v>320</v>
      </c>
      <c r="BD436" s="6">
        <v>119.42419354838709</v>
      </c>
    </row>
    <row r="437" spans="52:56" x14ac:dyDescent="0.25">
      <c r="AZ437" s="6">
        <v>434</v>
      </c>
      <c r="BA437" s="6">
        <v>0.14285714285714288</v>
      </c>
      <c r="BB437" s="6">
        <v>0</v>
      </c>
      <c r="BC437" s="6">
        <v>320</v>
      </c>
      <c r="BD437" s="6">
        <v>119.7</v>
      </c>
    </row>
    <row r="438" spans="52:56" x14ac:dyDescent="0.25">
      <c r="AZ438" s="6">
        <v>435</v>
      </c>
      <c r="BA438" s="6">
        <v>0.14285714285714288</v>
      </c>
      <c r="BB438" s="6">
        <v>1</v>
      </c>
      <c r="BC438" s="6">
        <v>321</v>
      </c>
      <c r="BD438" s="6">
        <v>119.97580645161291</v>
      </c>
    </row>
    <row r="439" spans="52:56" x14ac:dyDescent="0.25">
      <c r="AZ439" s="6">
        <v>436</v>
      </c>
      <c r="BA439" s="6">
        <v>0.14285714285714288</v>
      </c>
      <c r="BB439" s="6">
        <v>0</v>
      </c>
      <c r="BC439" s="6">
        <v>321</v>
      </c>
      <c r="BD439" s="6">
        <v>120.2516129032258</v>
      </c>
    </row>
    <row r="440" spans="52:56" x14ac:dyDescent="0.25">
      <c r="AZ440" s="6">
        <v>437</v>
      </c>
      <c r="BA440" s="6">
        <v>0.14285714285714288</v>
      </c>
      <c r="BB440" s="6">
        <v>0</v>
      </c>
      <c r="BC440" s="6">
        <v>321</v>
      </c>
      <c r="BD440" s="6">
        <v>120.52741935483871</v>
      </c>
    </row>
    <row r="441" spans="52:56" x14ac:dyDescent="0.25">
      <c r="AZ441" s="6">
        <v>438</v>
      </c>
      <c r="BA441" s="6">
        <v>0.14285714285714288</v>
      </c>
      <c r="BB441" s="6">
        <v>0</v>
      </c>
      <c r="BC441" s="6">
        <v>321</v>
      </c>
      <c r="BD441" s="6">
        <v>120.80322580645162</v>
      </c>
    </row>
    <row r="442" spans="52:56" x14ac:dyDescent="0.25">
      <c r="AZ442" s="6">
        <v>439</v>
      </c>
      <c r="BA442" s="6">
        <v>0.14285714285714288</v>
      </c>
      <c r="BB442" s="6">
        <v>0</v>
      </c>
      <c r="BC442" s="6">
        <v>321</v>
      </c>
      <c r="BD442" s="6">
        <v>121.07903225806452</v>
      </c>
    </row>
    <row r="443" spans="52:56" x14ac:dyDescent="0.25">
      <c r="AZ443" s="6">
        <v>440</v>
      </c>
      <c r="BA443" s="6">
        <v>0.14285714285714288</v>
      </c>
      <c r="BB443" s="6">
        <v>0</v>
      </c>
      <c r="BC443" s="6">
        <v>321</v>
      </c>
      <c r="BD443" s="6">
        <v>121.35483870967742</v>
      </c>
    </row>
    <row r="444" spans="52:56" x14ac:dyDescent="0.25">
      <c r="AZ444" s="6">
        <v>441</v>
      </c>
      <c r="BA444" s="6">
        <v>0.14285714285714288</v>
      </c>
      <c r="BB444" s="6">
        <v>0</v>
      </c>
      <c r="BC444" s="6">
        <v>321</v>
      </c>
      <c r="BD444" s="6">
        <v>121.63064516129033</v>
      </c>
    </row>
    <row r="445" spans="52:56" x14ac:dyDescent="0.25">
      <c r="AZ445" s="6">
        <v>442</v>
      </c>
      <c r="BA445" s="6">
        <v>0.14285714285714288</v>
      </c>
      <c r="BB445" s="6">
        <v>0</v>
      </c>
      <c r="BC445" s="6">
        <v>321</v>
      </c>
      <c r="BD445" s="6">
        <v>121.90645161290323</v>
      </c>
    </row>
    <row r="446" spans="52:56" x14ac:dyDescent="0.25">
      <c r="AZ446" s="6">
        <v>443</v>
      </c>
      <c r="BA446" s="6">
        <v>0.14285714285714288</v>
      </c>
      <c r="BB446" s="6">
        <v>0</v>
      </c>
      <c r="BC446" s="6">
        <v>321</v>
      </c>
      <c r="BD446" s="6">
        <v>122.18225806451613</v>
      </c>
    </row>
    <row r="447" spans="52:56" x14ac:dyDescent="0.25">
      <c r="AZ447" s="6">
        <v>444</v>
      </c>
      <c r="BA447" s="6">
        <v>0.14285714285714288</v>
      </c>
      <c r="BB447" s="6">
        <v>0</v>
      </c>
      <c r="BC447" s="6">
        <v>321</v>
      </c>
      <c r="BD447" s="6">
        <v>122.45806451612904</v>
      </c>
    </row>
    <row r="448" spans="52:56" x14ac:dyDescent="0.25">
      <c r="AZ448" s="6">
        <v>445</v>
      </c>
      <c r="BA448" s="6">
        <v>0.14285714285714288</v>
      </c>
      <c r="BB448" s="6">
        <v>0</v>
      </c>
      <c r="BC448" s="6">
        <v>321</v>
      </c>
      <c r="BD448" s="6">
        <v>122.73387096774194</v>
      </c>
    </row>
    <row r="449" spans="52:56" x14ac:dyDescent="0.25">
      <c r="AZ449" s="6">
        <v>446</v>
      </c>
      <c r="BA449" s="6">
        <v>0.14285714285714288</v>
      </c>
      <c r="BB449" s="6">
        <v>0</v>
      </c>
      <c r="BC449" s="6">
        <v>321</v>
      </c>
      <c r="BD449" s="6">
        <v>123.00967741935484</v>
      </c>
    </row>
    <row r="450" spans="52:56" x14ac:dyDescent="0.25">
      <c r="AZ450" s="6">
        <v>447</v>
      </c>
      <c r="BA450" s="6">
        <v>0.14285714285714288</v>
      </c>
      <c r="BB450" s="6">
        <v>0</v>
      </c>
      <c r="BC450" s="6">
        <v>321</v>
      </c>
      <c r="BD450" s="6">
        <v>123.28548387096775</v>
      </c>
    </row>
    <row r="451" spans="52:56" x14ac:dyDescent="0.25">
      <c r="AZ451" s="6">
        <v>448</v>
      </c>
      <c r="BA451" s="6">
        <v>0.14285714285714288</v>
      </c>
      <c r="BB451" s="6">
        <v>0</v>
      </c>
      <c r="BC451" s="6">
        <v>321</v>
      </c>
      <c r="BD451" s="6">
        <v>123.56129032258065</v>
      </c>
    </row>
    <row r="452" spans="52:56" x14ac:dyDescent="0.25">
      <c r="AZ452" s="6">
        <v>449</v>
      </c>
      <c r="BA452" s="6">
        <v>0.14285714285714288</v>
      </c>
      <c r="BB452" s="6">
        <v>1</v>
      </c>
      <c r="BC452" s="6">
        <v>322</v>
      </c>
      <c r="BD452" s="6">
        <v>123.83709677419355</v>
      </c>
    </row>
    <row r="453" spans="52:56" x14ac:dyDescent="0.25">
      <c r="AZ453" s="6">
        <v>450</v>
      </c>
      <c r="BA453" s="6">
        <v>0.14285714285714288</v>
      </c>
      <c r="BB453" s="6">
        <v>0</v>
      </c>
      <c r="BC453" s="6">
        <v>322</v>
      </c>
      <c r="BD453" s="6">
        <v>124.11290322580646</v>
      </c>
    </row>
    <row r="454" spans="52:56" x14ac:dyDescent="0.25">
      <c r="AZ454" s="6">
        <v>451</v>
      </c>
      <c r="BA454" s="6">
        <v>0.14285714285714288</v>
      </c>
      <c r="BB454" s="6">
        <v>0</v>
      </c>
      <c r="BC454" s="6">
        <v>322</v>
      </c>
      <c r="BD454" s="6">
        <v>124.38870967741936</v>
      </c>
    </row>
    <row r="455" spans="52:56" x14ac:dyDescent="0.25">
      <c r="AZ455" s="6">
        <v>452</v>
      </c>
      <c r="BA455" s="6">
        <v>0.14285714285714288</v>
      </c>
      <c r="BB455" s="6">
        <v>1</v>
      </c>
      <c r="BC455" s="6">
        <v>323</v>
      </c>
      <c r="BD455" s="6">
        <v>124.66451612903226</v>
      </c>
    </row>
    <row r="456" spans="52:56" x14ac:dyDescent="0.25">
      <c r="AZ456" s="6">
        <v>453</v>
      </c>
      <c r="BA456" s="6">
        <v>0.14285714285714288</v>
      </c>
      <c r="BB456" s="6">
        <v>0</v>
      </c>
      <c r="BC456" s="6">
        <v>323</v>
      </c>
      <c r="BD456" s="6">
        <v>124.94032258064517</v>
      </c>
    </row>
    <row r="457" spans="52:56" x14ac:dyDescent="0.25">
      <c r="AZ457" s="6">
        <v>454</v>
      </c>
      <c r="BA457" s="6">
        <v>0.14285714285714288</v>
      </c>
      <c r="BB457" s="6">
        <v>0</v>
      </c>
      <c r="BC457" s="6">
        <v>323</v>
      </c>
      <c r="BD457" s="6">
        <v>125.21612903225807</v>
      </c>
    </row>
    <row r="458" spans="52:56" x14ac:dyDescent="0.25">
      <c r="AZ458" s="6">
        <v>455</v>
      </c>
      <c r="BA458" s="6">
        <v>0.14285714285714288</v>
      </c>
      <c r="BB458" s="6">
        <v>0</v>
      </c>
      <c r="BC458" s="6">
        <v>323</v>
      </c>
      <c r="BD458" s="6">
        <v>125.49193548387098</v>
      </c>
    </row>
    <row r="459" spans="52:56" x14ac:dyDescent="0.25">
      <c r="AZ459" s="6">
        <v>456</v>
      </c>
      <c r="BA459" s="6">
        <v>0.14285714285714288</v>
      </c>
      <c r="BB459" s="6">
        <v>0</v>
      </c>
      <c r="BC459" s="6">
        <v>323</v>
      </c>
      <c r="BD459" s="6">
        <v>125.76774193548387</v>
      </c>
    </row>
    <row r="460" spans="52:56" x14ac:dyDescent="0.25">
      <c r="AZ460" s="6">
        <v>457</v>
      </c>
      <c r="BA460" s="6">
        <v>0.14285714285714288</v>
      </c>
      <c r="BB460" s="6">
        <v>0</v>
      </c>
      <c r="BC460" s="6">
        <v>323</v>
      </c>
      <c r="BD460" s="6">
        <v>126.04354838709678</v>
      </c>
    </row>
    <row r="461" spans="52:56" x14ac:dyDescent="0.25">
      <c r="AZ461" s="6">
        <v>458</v>
      </c>
      <c r="BA461" s="6">
        <v>0.14285714285714288</v>
      </c>
      <c r="BB461" s="6">
        <v>0</v>
      </c>
      <c r="BC461" s="6">
        <v>323</v>
      </c>
      <c r="BD461" s="6">
        <v>126.31935483870969</v>
      </c>
    </row>
    <row r="462" spans="52:56" x14ac:dyDescent="0.25">
      <c r="AZ462" s="6">
        <v>459</v>
      </c>
      <c r="BA462" s="6">
        <v>0.14285714285714288</v>
      </c>
      <c r="BB462" s="6">
        <v>0</v>
      </c>
      <c r="BC462" s="6">
        <v>323</v>
      </c>
      <c r="BD462" s="6">
        <v>126.59516129032258</v>
      </c>
    </row>
    <row r="463" spans="52:56" x14ac:dyDescent="0.25">
      <c r="AZ463" s="6">
        <v>460</v>
      </c>
      <c r="BA463" s="6">
        <v>0.14285714285714285</v>
      </c>
      <c r="BB463" s="6">
        <v>0</v>
      </c>
      <c r="BC463" s="6">
        <v>323</v>
      </c>
      <c r="BD463" s="6">
        <v>126.87096774193549</v>
      </c>
    </row>
    <row r="464" spans="52:56" x14ac:dyDescent="0.25">
      <c r="AZ464" s="6">
        <v>461</v>
      </c>
      <c r="BA464" s="6">
        <v>0.14285714285714285</v>
      </c>
      <c r="BB464" s="6">
        <v>0</v>
      </c>
      <c r="BC464" s="6">
        <v>323</v>
      </c>
      <c r="BD464" s="6">
        <v>127.1467741935484</v>
      </c>
    </row>
    <row r="465" spans="52:56" x14ac:dyDescent="0.25">
      <c r="AZ465" s="6">
        <v>462</v>
      </c>
      <c r="BA465" s="6">
        <v>0.14285714285714285</v>
      </c>
      <c r="BB465" s="6">
        <v>1</v>
      </c>
      <c r="BC465" s="6">
        <v>324</v>
      </c>
      <c r="BD465" s="6">
        <v>127.42258064516129</v>
      </c>
    </row>
    <row r="466" spans="52:56" x14ac:dyDescent="0.25">
      <c r="AZ466" s="6">
        <v>463</v>
      </c>
      <c r="BA466" s="6">
        <v>0.14285714285714285</v>
      </c>
      <c r="BB466" s="6">
        <v>0</v>
      </c>
      <c r="BC466" s="6">
        <v>324</v>
      </c>
      <c r="BD466" s="6">
        <v>127.6983870967742</v>
      </c>
    </row>
    <row r="467" spans="52:56" x14ac:dyDescent="0.25">
      <c r="AZ467" s="6">
        <v>464</v>
      </c>
      <c r="BA467" s="6">
        <v>0.14285714285714285</v>
      </c>
      <c r="BB467" s="6">
        <v>0</v>
      </c>
      <c r="BC467" s="6">
        <v>324</v>
      </c>
      <c r="BD467" s="6">
        <v>127.97419354838711</v>
      </c>
    </row>
    <row r="468" spans="52:56" x14ac:dyDescent="0.25">
      <c r="AZ468" s="6">
        <v>465</v>
      </c>
      <c r="BA468" s="6">
        <v>0.14285714285714285</v>
      </c>
      <c r="BB468" s="6">
        <v>1</v>
      </c>
      <c r="BC468" s="6">
        <v>325</v>
      </c>
      <c r="BD468" s="6">
        <v>128.25</v>
      </c>
    </row>
    <row r="469" spans="52:56" x14ac:dyDescent="0.25">
      <c r="AZ469" s="6">
        <v>466</v>
      </c>
      <c r="BA469" s="6">
        <v>0.14285714285714285</v>
      </c>
      <c r="BB469" s="6">
        <v>0</v>
      </c>
      <c r="BC469" s="6">
        <v>325</v>
      </c>
      <c r="BD469" s="6">
        <v>128.52580645161291</v>
      </c>
    </row>
    <row r="470" spans="52:56" x14ac:dyDescent="0.25">
      <c r="AZ470" s="6">
        <v>467</v>
      </c>
      <c r="BA470" s="6">
        <v>0.14285714285714285</v>
      </c>
      <c r="BB470" s="6">
        <v>0</v>
      </c>
      <c r="BC470" s="6">
        <v>325</v>
      </c>
      <c r="BD470" s="6">
        <v>128.80161290322582</v>
      </c>
    </row>
    <row r="471" spans="52:56" x14ac:dyDescent="0.25">
      <c r="AZ471" s="6">
        <v>468</v>
      </c>
      <c r="BA471" s="6">
        <v>0.14285714285714285</v>
      </c>
      <c r="BB471" s="6">
        <v>0</v>
      </c>
      <c r="BC471" s="6">
        <v>325</v>
      </c>
      <c r="BD471" s="6">
        <v>129.07741935483872</v>
      </c>
    </row>
    <row r="472" spans="52:56" x14ac:dyDescent="0.25">
      <c r="AZ472" s="6">
        <v>469</v>
      </c>
      <c r="BA472" s="6">
        <v>0.14285714285714285</v>
      </c>
      <c r="BB472" s="6">
        <v>0</v>
      </c>
      <c r="BC472" s="6">
        <v>325</v>
      </c>
      <c r="BD472" s="6">
        <v>129.3532258064516</v>
      </c>
    </row>
    <row r="473" spans="52:56" x14ac:dyDescent="0.25">
      <c r="AZ473" s="6">
        <v>470</v>
      </c>
      <c r="BA473" s="6">
        <v>0.14285714285714285</v>
      </c>
      <c r="BB473" s="6">
        <v>0</v>
      </c>
      <c r="BC473" s="6">
        <v>325</v>
      </c>
      <c r="BD473" s="6">
        <v>129.62903225806451</v>
      </c>
    </row>
    <row r="474" spans="52:56" x14ac:dyDescent="0.25">
      <c r="AZ474" s="6">
        <v>471</v>
      </c>
      <c r="BA474" s="6">
        <v>0.14285714285714285</v>
      </c>
      <c r="BB474" s="6">
        <v>1</v>
      </c>
      <c r="BC474" s="6">
        <v>326</v>
      </c>
      <c r="BD474" s="6">
        <v>129.90483870967742</v>
      </c>
    </row>
    <row r="475" spans="52:56" x14ac:dyDescent="0.25">
      <c r="AZ475" s="6">
        <v>472</v>
      </c>
      <c r="BA475" s="6">
        <v>0.14285714285714285</v>
      </c>
      <c r="BB475" s="6">
        <v>1</v>
      </c>
      <c r="BC475" s="6">
        <v>327</v>
      </c>
      <c r="BD475" s="6">
        <v>130.18064516129033</v>
      </c>
    </row>
    <row r="476" spans="52:56" x14ac:dyDescent="0.25">
      <c r="AZ476" s="6">
        <v>473</v>
      </c>
      <c r="BA476" s="6">
        <v>0.14285714285714285</v>
      </c>
      <c r="BB476" s="6">
        <v>0</v>
      </c>
      <c r="BC476" s="6">
        <v>327</v>
      </c>
      <c r="BD476" s="6">
        <v>130.45645161290324</v>
      </c>
    </row>
    <row r="477" spans="52:56" x14ac:dyDescent="0.25">
      <c r="AZ477" s="6">
        <v>474</v>
      </c>
      <c r="BA477" s="6">
        <v>0.14285714285714285</v>
      </c>
      <c r="BB477" s="6">
        <v>0</v>
      </c>
      <c r="BC477" s="6">
        <v>327</v>
      </c>
      <c r="BD477" s="6">
        <v>130.73225806451615</v>
      </c>
    </row>
    <row r="478" spans="52:56" x14ac:dyDescent="0.25">
      <c r="AZ478" s="6">
        <v>475</v>
      </c>
      <c r="BA478" s="6">
        <v>0.14285714285714285</v>
      </c>
      <c r="BB478" s="6">
        <v>0</v>
      </c>
      <c r="BC478" s="6">
        <v>327</v>
      </c>
      <c r="BD478" s="6">
        <v>131.00806451612902</v>
      </c>
    </row>
    <row r="479" spans="52:56" x14ac:dyDescent="0.25">
      <c r="AZ479" s="6">
        <v>476</v>
      </c>
      <c r="BA479" s="6">
        <v>0.14285714285714285</v>
      </c>
      <c r="BB479" s="6">
        <v>0</v>
      </c>
      <c r="BC479" s="6">
        <v>327</v>
      </c>
      <c r="BD479" s="6">
        <v>131.28387096774193</v>
      </c>
    </row>
    <row r="480" spans="52:56" x14ac:dyDescent="0.25">
      <c r="AZ480" s="6">
        <v>477</v>
      </c>
      <c r="BA480" s="6">
        <v>0.14285714285714285</v>
      </c>
      <c r="BB480" s="6">
        <v>0</v>
      </c>
      <c r="BC480" s="6">
        <v>327</v>
      </c>
      <c r="BD480" s="6">
        <v>131.55967741935484</v>
      </c>
    </row>
    <row r="481" spans="52:56" x14ac:dyDescent="0.25">
      <c r="AZ481" s="6">
        <v>478</v>
      </c>
      <c r="BA481" s="6">
        <v>0.14285714285714285</v>
      </c>
      <c r="BB481" s="6">
        <v>0</v>
      </c>
      <c r="BC481" s="6">
        <v>327</v>
      </c>
      <c r="BD481" s="6">
        <v>131.83548387096775</v>
      </c>
    </row>
    <row r="482" spans="52:56" x14ac:dyDescent="0.25">
      <c r="AZ482" s="6">
        <v>479</v>
      </c>
      <c r="BA482" s="6">
        <v>0.14285714285714285</v>
      </c>
      <c r="BB482" s="6">
        <v>0</v>
      </c>
      <c r="BC482" s="6">
        <v>327</v>
      </c>
      <c r="BD482" s="6">
        <v>132.11129032258066</v>
      </c>
    </row>
    <row r="483" spans="52:56" x14ac:dyDescent="0.25">
      <c r="AZ483" s="6">
        <v>480</v>
      </c>
      <c r="BA483" s="6">
        <v>0.14285714285714285</v>
      </c>
      <c r="BB483" s="6">
        <v>0</v>
      </c>
      <c r="BC483" s="6">
        <v>327</v>
      </c>
      <c r="BD483" s="6">
        <v>132.38709677419357</v>
      </c>
    </row>
    <row r="484" spans="52:56" x14ac:dyDescent="0.25">
      <c r="AZ484" s="6">
        <v>481</v>
      </c>
      <c r="BA484" s="6">
        <v>0.14285714285714285</v>
      </c>
      <c r="BB484" s="6">
        <v>0</v>
      </c>
      <c r="BC484" s="6">
        <v>327</v>
      </c>
      <c r="BD484" s="6">
        <v>132.66290322580645</v>
      </c>
    </row>
    <row r="485" spans="52:56" x14ac:dyDescent="0.25">
      <c r="AZ485" s="6">
        <v>482</v>
      </c>
      <c r="BA485" s="6">
        <v>0.14285714285714285</v>
      </c>
      <c r="BB485" s="6">
        <v>0</v>
      </c>
      <c r="BC485" s="6">
        <v>327</v>
      </c>
      <c r="BD485" s="6">
        <v>132.93870967741935</v>
      </c>
    </row>
    <row r="486" spans="52:56" x14ac:dyDescent="0.25">
      <c r="AZ486" s="6">
        <v>483</v>
      </c>
      <c r="BA486" s="6">
        <v>0.14285714285714285</v>
      </c>
      <c r="BB486" s="6">
        <v>0</v>
      </c>
      <c r="BC486" s="6">
        <v>327</v>
      </c>
      <c r="BD486" s="6">
        <v>133.21451612903226</v>
      </c>
    </row>
    <row r="487" spans="52:56" x14ac:dyDescent="0.25">
      <c r="AZ487" s="6">
        <v>484</v>
      </c>
      <c r="BA487" s="6">
        <v>0.14285714285714285</v>
      </c>
      <c r="BB487" s="6">
        <v>1</v>
      </c>
      <c r="BC487" s="6">
        <v>328</v>
      </c>
      <c r="BD487" s="6">
        <v>133.49032258064517</v>
      </c>
    </row>
    <row r="488" spans="52:56" x14ac:dyDescent="0.25">
      <c r="AZ488" s="6">
        <v>485</v>
      </c>
      <c r="BA488" s="6">
        <v>0.14285714285714285</v>
      </c>
      <c r="BB488" s="6">
        <v>0</v>
      </c>
      <c r="BC488" s="6">
        <v>328</v>
      </c>
      <c r="BD488" s="6">
        <v>133.76612903225808</v>
      </c>
    </row>
    <row r="489" spans="52:56" x14ac:dyDescent="0.25">
      <c r="AZ489" s="6">
        <v>486</v>
      </c>
      <c r="BA489" s="6">
        <v>0.14285714285714285</v>
      </c>
      <c r="BB489" s="6">
        <v>0</v>
      </c>
      <c r="BC489" s="6">
        <v>328</v>
      </c>
      <c r="BD489" s="6">
        <v>134.04193548387099</v>
      </c>
    </row>
    <row r="490" spans="52:56" x14ac:dyDescent="0.25">
      <c r="AZ490" s="6">
        <v>487</v>
      </c>
      <c r="BA490" s="6">
        <v>3.333333333333334E-2</v>
      </c>
      <c r="BB490" s="6">
        <v>1</v>
      </c>
      <c r="BC490" s="6">
        <v>329</v>
      </c>
      <c r="BD490" s="6">
        <v>134.31774193548387</v>
      </c>
    </row>
    <row r="491" spans="52:56" x14ac:dyDescent="0.25">
      <c r="AZ491" s="6">
        <v>488</v>
      </c>
      <c r="BA491" s="6">
        <v>3.333333333333334E-2</v>
      </c>
      <c r="BB491" s="6">
        <v>0</v>
      </c>
      <c r="BC491" s="6">
        <v>329</v>
      </c>
      <c r="BD491" s="6">
        <v>134.59354838709677</v>
      </c>
    </row>
    <row r="492" spans="52:56" x14ac:dyDescent="0.25">
      <c r="AZ492" s="6">
        <v>489</v>
      </c>
      <c r="BA492" s="6">
        <v>3.333333333333334E-2</v>
      </c>
      <c r="BB492" s="6">
        <v>0</v>
      </c>
      <c r="BC492" s="6">
        <v>329</v>
      </c>
      <c r="BD492" s="6">
        <v>134.86935483870968</v>
      </c>
    </row>
    <row r="493" spans="52:56" x14ac:dyDescent="0.25">
      <c r="AZ493" s="6">
        <v>490</v>
      </c>
      <c r="BA493" s="6">
        <v>3.333333333333334E-2</v>
      </c>
      <c r="BB493" s="6">
        <v>0</v>
      </c>
      <c r="BC493" s="6">
        <v>329</v>
      </c>
      <c r="BD493" s="6">
        <v>135.14516129032259</v>
      </c>
    </row>
    <row r="494" spans="52:56" x14ac:dyDescent="0.25">
      <c r="AZ494" s="6">
        <v>491</v>
      </c>
      <c r="BA494" s="6">
        <v>3.333333333333334E-2</v>
      </c>
      <c r="BB494" s="6">
        <v>0</v>
      </c>
      <c r="BC494" s="6">
        <v>329</v>
      </c>
      <c r="BD494" s="6">
        <v>135.4209677419355</v>
      </c>
    </row>
    <row r="495" spans="52:56" x14ac:dyDescent="0.25">
      <c r="AZ495" s="6">
        <v>492</v>
      </c>
      <c r="BA495" s="6">
        <v>3.333333333333334E-2</v>
      </c>
      <c r="BB495" s="6">
        <v>0</v>
      </c>
      <c r="BC495" s="6">
        <v>329</v>
      </c>
      <c r="BD495" s="6">
        <v>135.69677419354838</v>
      </c>
    </row>
    <row r="496" spans="52:56" x14ac:dyDescent="0.25">
      <c r="AZ496" s="6">
        <v>493</v>
      </c>
      <c r="BA496" s="6">
        <v>3.333333333333334E-2</v>
      </c>
      <c r="BB496" s="6">
        <v>0</v>
      </c>
      <c r="BC496" s="6">
        <v>329</v>
      </c>
      <c r="BD496" s="6">
        <v>135.97258064516129</v>
      </c>
    </row>
    <row r="497" spans="52:56" x14ac:dyDescent="0.25">
      <c r="AZ497" s="6">
        <v>494</v>
      </c>
      <c r="BA497" s="6">
        <v>3.333333333333334E-2</v>
      </c>
      <c r="BB497" s="6">
        <v>0</v>
      </c>
      <c r="BC497" s="6">
        <v>329</v>
      </c>
      <c r="BD497" s="6">
        <v>136.2483870967742</v>
      </c>
    </row>
    <row r="498" spans="52:56" x14ac:dyDescent="0.25">
      <c r="AZ498" s="6">
        <v>495</v>
      </c>
      <c r="BA498" s="6">
        <v>3.333333333333334E-2</v>
      </c>
      <c r="BB498" s="6">
        <v>0</v>
      </c>
      <c r="BC498" s="6">
        <v>329</v>
      </c>
      <c r="BD498" s="6">
        <v>136.5241935483871</v>
      </c>
    </row>
    <row r="499" spans="52:56" x14ac:dyDescent="0.25">
      <c r="AZ499" s="6">
        <v>496</v>
      </c>
      <c r="BA499" s="6">
        <v>3.333333333333334E-2</v>
      </c>
      <c r="BB499" s="6">
        <v>0</v>
      </c>
      <c r="BC499" s="6">
        <v>329</v>
      </c>
      <c r="BD499" s="6">
        <v>136.80000000000001</v>
      </c>
    </row>
    <row r="500" spans="52:56" x14ac:dyDescent="0.25">
      <c r="AZ500" s="5">
        <v>497</v>
      </c>
      <c r="BA500" s="5">
        <v>3.333333333333334E-2</v>
      </c>
      <c r="BB500" s="5">
        <v>0</v>
      </c>
      <c r="BC500" s="5">
        <v>329</v>
      </c>
      <c r="BD500" s="5">
        <v>137.07580645161292</v>
      </c>
    </row>
    <row r="501" spans="52:56" x14ac:dyDescent="0.25">
      <c r="AZ501" s="5">
        <v>498</v>
      </c>
      <c r="BA501" s="5">
        <v>3.333333333333334E-2</v>
      </c>
      <c r="BB501" s="5">
        <v>0</v>
      </c>
      <c r="BC501" s="5">
        <v>329</v>
      </c>
      <c r="BD501" s="5">
        <v>137.3516129032258</v>
      </c>
    </row>
    <row r="502" spans="52:56" x14ac:dyDescent="0.25">
      <c r="AZ502" s="5">
        <v>499</v>
      </c>
      <c r="BA502" s="5">
        <v>3.333333333333334E-2</v>
      </c>
      <c r="BB502" s="5">
        <v>1</v>
      </c>
      <c r="BC502" s="5">
        <v>330</v>
      </c>
      <c r="BD502" s="5">
        <v>137.62741935483871</v>
      </c>
    </row>
    <row r="503" spans="52:56" x14ac:dyDescent="0.25">
      <c r="AZ503" s="5">
        <v>500</v>
      </c>
      <c r="BA503" s="5">
        <v>3.333333333333334E-2</v>
      </c>
      <c r="BB503" s="5">
        <v>0</v>
      </c>
      <c r="BC503" s="5">
        <v>330</v>
      </c>
      <c r="BD503" s="5">
        <v>137.90322580645162</v>
      </c>
    </row>
    <row r="504" spans="52:56" x14ac:dyDescent="0.25">
      <c r="AZ504" s="5">
        <v>501</v>
      </c>
      <c r="BA504" s="5">
        <v>3.333333333333334E-2</v>
      </c>
      <c r="BB504" s="5">
        <v>0</v>
      </c>
      <c r="BC504" s="5">
        <v>330</v>
      </c>
      <c r="BD504" s="5">
        <v>138.17903225806452</v>
      </c>
    </row>
    <row r="505" spans="52:56" x14ac:dyDescent="0.25">
      <c r="AZ505" s="5">
        <v>502</v>
      </c>
      <c r="BA505" s="5">
        <v>3.333333333333334E-2</v>
      </c>
      <c r="BB505" s="5">
        <v>0</v>
      </c>
      <c r="BC505" s="5">
        <v>330</v>
      </c>
      <c r="BD505" s="5">
        <v>138.45483870967743</v>
      </c>
    </row>
    <row r="506" spans="52:56" x14ac:dyDescent="0.25">
      <c r="AZ506" s="5">
        <v>503</v>
      </c>
      <c r="BA506" s="5">
        <v>3.333333333333334E-2</v>
      </c>
      <c r="BB506" s="5">
        <v>0</v>
      </c>
      <c r="BC506" s="5">
        <v>330</v>
      </c>
      <c r="BD506" s="5">
        <v>138.73064516129034</v>
      </c>
    </row>
    <row r="507" spans="52:56" x14ac:dyDescent="0.25">
      <c r="AZ507" s="5">
        <v>504</v>
      </c>
      <c r="BA507" s="5">
        <v>3.333333333333334E-2</v>
      </c>
      <c r="BB507" s="5">
        <v>0</v>
      </c>
      <c r="BC507" s="5">
        <v>330</v>
      </c>
      <c r="BD507" s="5">
        <v>139.00645161290322</v>
      </c>
    </row>
    <row r="508" spans="52:56" x14ac:dyDescent="0.25">
      <c r="AZ508" s="5">
        <v>505</v>
      </c>
      <c r="BA508" s="5">
        <v>3.333333333333334E-2</v>
      </c>
      <c r="BB508" s="5">
        <v>0</v>
      </c>
      <c r="BC508" s="5">
        <v>330</v>
      </c>
      <c r="BD508" s="5">
        <v>139.28225806451613</v>
      </c>
    </row>
    <row r="509" spans="52:56" x14ac:dyDescent="0.25">
      <c r="AZ509" s="5">
        <v>506</v>
      </c>
      <c r="BA509" s="5">
        <v>3.333333333333334E-2</v>
      </c>
      <c r="BB509" s="5">
        <v>0</v>
      </c>
      <c r="BC509" s="5">
        <v>330</v>
      </c>
      <c r="BD509" s="5">
        <v>139.55806451612904</v>
      </c>
    </row>
    <row r="510" spans="52:56" x14ac:dyDescent="0.25">
      <c r="AZ510" s="5">
        <v>507</v>
      </c>
      <c r="BA510" s="5">
        <v>3.333333333333334E-2</v>
      </c>
      <c r="BB510" s="5">
        <v>1</v>
      </c>
      <c r="BC510" s="5">
        <v>331</v>
      </c>
      <c r="BD510" s="5">
        <v>139.83387096774194</v>
      </c>
    </row>
    <row r="511" spans="52:56" x14ac:dyDescent="0.25">
      <c r="AZ511" s="5">
        <v>508</v>
      </c>
      <c r="BA511" s="5">
        <v>3.333333333333334E-2</v>
      </c>
      <c r="BB511" s="5">
        <v>0</v>
      </c>
      <c r="BC511" s="5">
        <v>331</v>
      </c>
      <c r="BD511" s="5">
        <v>140.10967741935485</v>
      </c>
    </row>
    <row r="512" spans="52:56" x14ac:dyDescent="0.25">
      <c r="AZ512" s="5">
        <v>509</v>
      </c>
      <c r="BA512" s="5">
        <v>3.333333333333334E-2</v>
      </c>
      <c r="BB512" s="5">
        <v>0</v>
      </c>
      <c r="BC512" s="5">
        <v>331</v>
      </c>
      <c r="BD512" s="5">
        <v>140.38548387096776</v>
      </c>
    </row>
    <row r="513" spans="52:56" x14ac:dyDescent="0.25">
      <c r="AZ513" s="5">
        <v>510</v>
      </c>
      <c r="BA513" s="5">
        <v>3.333333333333334E-2</v>
      </c>
      <c r="BB513" s="5">
        <v>0</v>
      </c>
      <c r="BC513" s="5">
        <v>331</v>
      </c>
      <c r="BD513" s="5">
        <v>140.66129032258064</v>
      </c>
    </row>
    <row r="514" spans="52:56" x14ac:dyDescent="0.25">
      <c r="AZ514" s="5">
        <v>511</v>
      </c>
      <c r="BA514" s="5">
        <v>3.333333333333334E-2</v>
      </c>
      <c r="BB514" s="5">
        <v>1</v>
      </c>
      <c r="BC514" s="5">
        <v>332</v>
      </c>
      <c r="BD514" s="5">
        <v>140.93709677419355</v>
      </c>
    </row>
    <row r="515" spans="52:56" x14ac:dyDescent="0.25">
      <c r="AZ515" s="5">
        <v>512</v>
      </c>
      <c r="BA515" s="5">
        <v>3.333333333333334E-2</v>
      </c>
      <c r="BB515" s="5">
        <v>0</v>
      </c>
      <c r="BC515" s="5">
        <v>332</v>
      </c>
      <c r="BD515" s="5">
        <v>141.21290322580646</v>
      </c>
    </row>
    <row r="516" spans="52:56" x14ac:dyDescent="0.25">
      <c r="AZ516" s="5">
        <v>513</v>
      </c>
      <c r="BA516" s="5">
        <v>3.333333333333334E-2</v>
      </c>
      <c r="BB516" s="5">
        <v>0</v>
      </c>
      <c r="BC516" s="5">
        <v>332</v>
      </c>
      <c r="BD516" s="5">
        <v>141.48870967741937</v>
      </c>
    </row>
    <row r="517" spans="52:56" x14ac:dyDescent="0.25">
      <c r="AZ517" s="5">
        <v>514</v>
      </c>
      <c r="BA517" s="5">
        <v>3.333333333333334E-2</v>
      </c>
      <c r="BB517" s="5">
        <v>0</v>
      </c>
      <c r="BC517" s="5">
        <v>332</v>
      </c>
      <c r="BD517" s="5">
        <v>141.76451612903227</v>
      </c>
    </row>
    <row r="518" spans="52:56" x14ac:dyDescent="0.25">
      <c r="AZ518" s="5">
        <v>515</v>
      </c>
      <c r="BA518" s="5">
        <v>3.333333333333334E-2</v>
      </c>
      <c r="BB518" s="5">
        <v>0</v>
      </c>
      <c r="BC518" s="5">
        <v>332</v>
      </c>
      <c r="BD518" s="5">
        <v>142.04032258064515</v>
      </c>
    </row>
    <row r="519" spans="52:56" x14ac:dyDescent="0.25">
      <c r="AZ519" s="5">
        <v>516</v>
      </c>
      <c r="BA519" s="5">
        <v>3.333333333333334E-2</v>
      </c>
      <c r="BB519" s="5">
        <v>0</v>
      </c>
      <c r="BC519" s="5">
        <v>332</v>
      </c>
      <c r="BD519" s="5">
        <v>142.31612903225806</v>
      </c>
    </row>
    <row r="520" spans="52:56" x14ac:dyDescent="0.25">
      <c r="AZ520" s="5">
        <v>517</v>
      </c>
      <c r="BA520" s="5">
        <v>3.333333333333334E-2</v>
      </c>
      <c r="BB520" s="5">
        <v>0</v>
      </c>
      <c r="BC520" s="5">
        <v>332</v>
      </c>
      <c r="BD520" s="5">
        <v>142.59193548387097</v>
      </c>
    </row>
    <row r="521" spans="52:56" x14ac:dyDescent="0.25">
      <c r="AZ521" s="5">
        <v>518</v>
      </c>
      <c r="BA521" s="5">
        <v>3.333333333333334E-2</v>
      </c>
      <c r="BB521" s="5">
        <v>0</v>
      </c>
      <c r="BC521" s="5">
        <v>332</v>
      </c>
      <c r="BD521" s="5">
        <v>142.86774193548388</v>
      </c>
    </row>
    <row r="522" spans="52:56" x14ac:dyDescent="0.25">
      <c r="AZ522" s="5">
        <v>519</v>
      </c>
      <c r="BA522" s="5">
        <v>3.333333333333334E-2</v>
      </c>
      <c r="BB522" s="5">
        <v>0</v>
      </c>
      <c r="BC522" s="5">
        <v>332</v>
      </c>
      <c r="BD522" s="5">
        <v>143.14354838709679</v>
      </c>
    </row>
    <row r="523" spans="52:56" x14ac:dyDescent="0.25">
      <c r="AZ523" s="5">
        <v>520</v>
      </c>
      <c r="BA523" s="5">
        <v>3.333333333333334E-2</v>
      </c>
      <c r="BB523" s="5">
        <v>0</v>
      </c>
      <c r="BC523" s="5">
        <v>332</v>
      </c>
      <c r="BD523" s="5">
        <v>143.41935483870969</v>
      </c>
    </row>
    <row r="524" spans="52:56" x14ac:dyDescent="0.25">
      <c r="AZ524" s="5">
        <v>521</v>
      </c>
      <c r="BA524" s="5">
        <v>3.333333333333334E-2</v>
      </c>
      <c r="BB524" s="5">
        <v>0</v>
      </c>
      <c r="BC524" s="5">
        <v>332</v>
      </c>
      <c r="BD524" s="5">
        <v>143.69516129032257</v>
      </c>
    </row>
    <row r="525" spans="52:56" x14ac:dyDescent="0.25">
      <c r="AZ525" s="5">
        <v>522</v>
      </c>
      <c r="BA525" s="5">
        <v>3.333333333333334E-2</v>
      </c>
      <c r="BB525" s="5">
        <v>0</v>
      </c>
      <c r="BC525" s="5">
        <v>332</v>
      </c>
      <c r="BD525" s="5">
        <v>143.97096774193548</v>
      </c>
    </row>
    <row r="526" spans="52:56" x14ac:dyDescent="0.25">
      <c r="AZ526" s="5">
        <v>523</v>
      </c>
      <c r="BA526" s="5">
        <v>3.333333333333334E-2</v>
      </c>
      <c r="BB526" s="5">
        <v>0</v>
      </c>
      <c r="BC526" s="5">
        <v>332</v>
      </c>
      <c r="BD526" s="5">
        <v>144.24677419354839</v>
      </c>
    </row>
    <row r="527" spans="52:56" x14ac:dyDescent="0.25">
      <c r="AZ527" s="5">
        <v>524</v>
      </c>
      <c r="BA527" s="5">
        <v>3.333333333333334E-2</v>
      </c>
      <c r="BB527" s="5">
        <v>1</v>
      </c>
      <c r="BC527" s="5">
        <v>333</v>
      </c>
      <c r="BD527" s="5">
        <v>144.5225806451613</v>
      </c>
    </row>
    <row r="528" spans="52:56" x14ac:dyDescent="0.25">
      <c r="AZ528" s="5">
        <v>525</v>
      </c>
      <c r="BA528" s="5">
        <v>3.333333333333334E-2</v>
      </c>
      <c r="BB528" s="5">
        <v>0</v>
      </c>
      <c r="BC528" s="5">
        <v>333</v>
      </c>
      <c r="BD528" s="5">
        <v>144.79838709677421</v>
      </c>
    </row>
    <row r="529" spans="52:56" x14ac:dyDescent="0.25">
      <c r="AZ529" s="5">
        <v>526</v>
      </c>
      <c r="BA529" s="5">
        <v>3.333333333333334E-2</v>
      </c>
      <c r="BB529" s="5">
        <v>0</v>
      </c>
      <c r="BC529" s="5">
        <v>333</v>
      </c>
      <c r="BD529" s="5">
        <v>145.07419354838711</v>
      </c>
    </row>
    <row r="530" spans="52:56" x14ac:dyDescent="0.25">
      <c r="AZ530" s="5">
        <v>527</v>
      </c>
      <c r="BA530" s="5">
        <v>3.333333333333334E-2</v>
      </c>
      <c r="BB530" s="5">
        <v>0</v>
      </c>
      <c r="BC530" s="5">
        <v>333</v>
      </c>
      <c r="BD530" s="5">
        <v>145.35</v>
      </c>
    </row>
    <row r="531" spans="52:56" x14ac:dyDescent="0.25">
      <c r="AZ531" s="5">
        <v>528</v>
      </c>
      <c r="BA531" s="5">
        <v>3.333333333333334E-2</v>
      </c>
      <c r="BB531" s="5">
        <v>0</v>
      </c>
      <c r="BC531" s="5">
        <v>333</v>
      </c>
      <c r="BD531" s="5">
        <v>145.6258064516129</v>
      </c>
    </row>
    <row r="532" spans="52:56" x14ac:dyDescent="0.25">
      <c r="AZ532" s="5">
        <v>529</v>
      </c>
      <c r="BA532" s="5">
        <v>3.333333333333334E-2</v>
      </c>
      <c r="BB532" s="5">
        <v>0</v>
      </c>
      <c r="BC532" s="5">
        <v>333</v>
      </c>
      <c r="BD532" s="5">
        <v>145.90161290322581</v>
      </c>
    </row>
    <row r="533" spans="52:56" x14ac:dyDescent="0.25">
      <c r="AZ533" s="5">
        <v>530</v>
      </c>
      <c r="BA533" s="5">
        <v>3.333333333333334E-2</v>
      </c>
      <c r="BB533" s="5">
        <v>0</v>
      </c>
      <c r="BC533" s="5">
        <v>333</v>
      </c>
      <c r="BD533" s="5">
        <v>146.17741935483872</v>
      </c>
    </row>
    <row r="534" spans="52:56" x14ac:dyDescent="0.25">
      <c r="AZ534" s="5">
        <v>531</v>
      </c>
      <c r="BA534" s="5">
        <v>3.333333333333334E-2</v>
      </c>
      <c r="BB534" s="5">
        <v>0</v>
      </c>
      <c r="BC534" s="5">
        <v>333</v>
      </c>
      <c r="BD534" s="5">
        <v>146.45322580645163</v>
      </c>
    </row>
    <row r="535" spans="52:56" x14ac:dyDescent="0.25">
      <c r="AZ535" s="5">
        <v>532</v>
      </c>
      <c r="BA535" s="5">
        <v>3.333333333333334E-2</v>
      </c>
      <c r="BB535" s="5">
        <v>0</v>
      </c>
      <c r="BC535" s="5">
        <v>333</v>
      </c>
      <c r="BD535" s="5">
        <v>146.72903225806454</v>
      </c>
    </row>
    <row r="536" spans="52:56" x14ac:dyDescent="0.25">
      <c r="AZ536" s="5">
        <v>533</v>
      </c>
      <c r="BA536" s="5">
        <v>3.333333333333334E-2</v>
      </c>
      <c r="BB536" s="5">
        <v>0</v>
      </c>
      <c r="BC536" s="5">
        <v>333</v>
      </c>
      <c r="BD536" s="5">
        <v>147.00483870967741</v>
      </c>
    </row>
    <row r="537" spans="52:56" x14ac:dyDescent="0.25">
      <c r="AZ537" s="5">
        <v>534</v>
      </c>
      <c r="BA537" s="5">
        <v>3.333333333333334E-2</v>
      </c>
      <c r="BB537" s="5">
        <v>0</v>
      </c>
      <c r="BC537" s="5">
        <v>333</v>
      </c>
      <c r="BD537" s="5">
        <v>147.28064516129032</v>
      </c>
    </row>
    <row r="538" spans="52:56" x14ac:dyDescent="0.25">
      <c r="AZ538" s="5">
        <v>535</v>
      </c>
      <c r="BA538" s="5">
        <v>3.333333333333334E-2</v>
      </c>
      <c r="BB538" s="5">
        <v>0</v>
      </c>
      <c r="BC538" s="5">
        <v>333</v>
      </c>
      <c r="BD538" s="5">
        <v>147.55645161290323</v>
      </c>
    </row>
    <row r="539" spans="52:56" x14ac:dyDescent="0.25">
      <c r="AZ539" s="5">
        <v>536</v>
      </c>
      <c r="BA539" s="5">
        <v>3.333333333333334E-2</v>
      </c>
      <c r="BB539" s="5">
        <v>0</v>
      </c>
      <c r="BC539" s="5">
        <v>333</v>
      </c>
      <c r="BD539" s="5">
        <v>147.83225806451614</v>
      </c>
    </row>
    <row r="540" spans="52:56" x14ac:dyDescent="0.25">
      <c r="AZ540" s="5">
        <v>537</v>
      </c>
      <c r="BA540" s="5">
        <v>3.333333333333334E-2</v>
      </c>
      <c r="BB540" s="5">
        <v>0</v>
      </c>
      <c r="BC540" s="5">
        <v>333</v>
      </c>
      <c r="BD540" s="5">
        <v>148.10806451612905</v>
      </c>
    </row>
    <row r="541" spans="52:56" x14ac:dyDescent="0.25">
      <c r="AZ541" s="5">
        <v>538</v>
      </c>
      <c r="BA541" s="5">
        <v>3.333333333333334E-2</v>
      </c>
      <c r="BB541" s="5">
        <v>0</v>
      </c>
      <c r="BC541" s="5">
        <v>333</v>
      </c>
      <c r="BD541" s="5">
        <v>148.38387096774193</v>
      </c>
    </row>
    <row r="542" spans="52:56" x14ac:dyDescent="0.25">
      <c r="AZ542" s="5">
        <v>539</v>
      </c>
      <c r="BA542" s="5">
        <v>3.333333333333334E-2</v>
      </c>
      <c r="BB542" s="5">
        <v>0</v>
      </c>
      <c r="BC542" s="5">
        <v>333</v>
      </c>
      <c r="BD542" s="5">
        <v>148.65967741935484</v>
      </c>
    </row>
    <row r="543" spans="52:56" x14ac:dyDescent="0.25">
      <c r="AZ543" s="5">
        <v>540</v>
      </c>
      <c r="BA543" s="5">
        <v>3.333333333333334E-2</v>
      </c>
      <c r="BB543" s="5">
        <v>0</v>
      </c>
      <c r="BC543" s="5">
        <v>333</v>
      </c>
      <c r="BD543" s="5">
        <v>148.93548387096774</v>
      </c>
    </row>
    <row r="544" spans="52:56" x14ac:dyDescent="0.25">
      <c r="AZ544" s="5">
        <v>541</v>
      </c>
      <c r="BA544" s="5">
        <v>3.333333333333334E-2</v>
      </c>
      <c r="BB544" s="5">
        <v>0</v>
      </c>
      <c r="BC544" s="5">
        <v>333</v>
      </c>
      <c r="BD544" s="5">
        <v>149.21129032258065</v>
      </c>
    </row>
    <row r="545" spans="52:56" x14ac:dyDescent="0.25">
      <c r="AZ545" s="5">
        <v>542</v>
      </c>
      <c r="BA545" s="5">
        <v>3.333333333333334E-2</v>
      </c>
      <c r="BB545" s="5">
        <v>0</v>
      </c>
      <c r="BC545" s="5">
        <v>333</v>
      </c>
      <c r="BD545" s="5">
        <v>149.48709677419356</v>
      </c>
    </row>
    <row r="546" spans="52:56" x14ac:dyDescent="0.25">
      <c r="AZ546" s="5">
        <v>543</v>
      </c>
      <c r="BA546" s="5">
        <v>3.333333333333334E-2</v>
      </c>
      <c r="BB546" s="5">
        <v>0</v>
      </c>
      <c r="BC546" s="5">
        <v>333</v>
      </c>
      <c r="BD546" s="5">
        <v>149.76290322580647</v>
      </c>
    </row>
    <row r="547" spans="52:56" x14ac:dyDescent="0.25">
      <c r="AZ547" s="5">
        <v>544</v>
      </c>
      <c r="BA547" s="5">
        <v>3.333333333333334E-2</v>
      </c>
      <c r="BB547" s="5">
        <v>0</v>
      </c>
      <c r="BC547" s="5">
        <v>333</v>
      </c>
      <c r="BD547" s="5">
        <v>150.03870967741935</v>
      </c>
    </row>
    <row r="548" spans="52:56" x14ac:dyDescent="0.25">
      <c r="AZ548" s="5">
        <v>545</v>
      </c>
      <c r="BA548" s="5">
        <v>3.333333333333334E-2</v>
      </c>
      <c r="BB548" s="5">
        <v>0</v>
      </c>
      <c r="BC548" s="5">
        <v>333</v>
      </c>
      <c r="BD548" s="5">
        <v>150.31451612903226</v>
      </c>
    </row>
    <row r="549" spans="52:56" x14ac:dyDescent="0.25">
      <c r="AZ549" s="5">
        <v>546</v>
      </c>
      <c r="BA549" s="5">
        <v>3.333333333333334E-2</v>
      </c>
      <c r="BB549" s="5">
        <v>0</v>
      </c>
      <c r="BC549" s="5">
        <v>333</v>
      </c>
      <c r="BD549" s="5">
        <v>150.59032258064516</v>
      </c>
    </row>
    <row r="550" spans="52:56" x14ac:dyDescent="0.25">
      <c r="AZ550" s="5">
        <v>547</v>
      </c>
      <c r="BA550" s="5">
        <v>3.333333333333334E-2</v>
      </c>
      <c r="BB550" s="5">
        <v>0</v>
      </c>
      <c r="BC550" s="5">
        <v>333</v>
      </c>
      <c r="BD550" s="5">
        <v>150.86612903225807</v>
      </c>
    </row>
    <row r="551" spans="52:56" x14ac:dyDescent="0.25">
      <c r="AZ551" s="5">
        <v>548</v>
      </c>
      <c r="BA551" s="5">
        <v>3.333333333333334E-2</v>
      </c>
      <c r="BB551" s="5">
        <v>0</v>
      </c>
      <c r="BC551" s="5">
        <v>333</v>
      </c>
      <c r="BD551" s="5">
        <v>151.14193548387098</v>
      </c>
    </row>
    <row r="552" spans="52:56" x14ac:dyDescent="0.25">
      <c r="AZ552" s="5">
        <v>549</v>
      </c>
      <c r="BA552" s="5">
        <v>3.333333333333334E-2</v>
      </c>
      <c r="BB552" s="5">
        <v>0</v>
      </c>
      <c r="BC552" s="5">
        <v>333</v>
      </c>
      <c r="BD552" s="5">
        <v>151.41774193548389</v>
      </c>
    </row>
    <row r="553" spans="52:56" x14ac:dyDescent="0.25">
      <c r="AZ553" s="5">
        <v>550</v>
      </c>
      <c r="BA553" s="5">
        <v>3.333333333333334E-2</v>
      </c>
      <c r="BB553" s="5">
        <v>0</v>
      </c>
      <c r="BC553" s="5">
        <v>333</v>
      </c>
      <c r="BD553" s="5">
        <v>151.69354838709677</v>
      </c>
    </row>
    <row r="554" spans="52:56" x14ac:dyDescent="0.25">
      <c r="AZ554" s="5">
        <v>551</v>
      </c>
      <c r="BA554" s="5">
        <v>3.333333333333334E-2</v>
      </c>
      <c r="BB554" s="5">
        <v>0</v>
      </c>
      <c r="BC554" s="5">
        <v>333</v>
      </c>
      <c r="BD554" s="5">
        <v>151.96935483870968</v>
      </c>
    </row>
    <row r="555" spans="52:56" x14ac:dyDescent="0.25">
      <c r="AZ555" s="5">
        <v>552</v>
      </c>
      <c r="BA555" s="5">
        <v>3.333333333333334E-2</v>
      </c>
      <c r="BB555" s="5">
        <v>0</v>
      </c>
      <c r="BC555" s="5">
        <v>333</v>
      </c>
      <c r="BD555" s="5">
        <v>152.24516129032259</v>
      </c>
    </row>
    <row r="556" spans="52:56" x14ac:dyDescent="0.25">
      <c r="AZ556" s="5">
        <v>553</v>
      </c>
      <c r="BA556" s="5">
        <v>3.333333333333334E-2</v>
      </c>
      <c r="BB556" s="5">
        <v>0</v>
      </c>
      <c r="BC556" s="5">
        <v>333</v>
      </c>
      <c r="BD556" s="5">
        <v>152.52096774193549</v>
      </c>
    </row>
    <row r="557" spans="52:56" x14ac:dyDescent="0.25">
      <c r="AZ557" s="5">
        <v>554</v>
      </c>
      <c r="BA557" s="5">
        <v>3.333333333333334E-2</v>
      </c>
      <c r="BB557" s="5">
        <v>0</v>
      </c>
      <c r="BC557" s="5">
        <v>333</v>
      </c>
      <c r="BD557" s="5">
        <v>152.7967741935484</v>
      </c>
    </row>
    <row r="558" spans="52:56" x14ac:dyDescent="0.25">
      <c r="AZ558" s="5">
        <v>555</v>
      </c>
      <c r="BA558" s="5">
        <v>1.8947368421052633E-2</v>
      </c>
      <c r="BB558" s="5">
        <v>0</v>
      </c>
      <c r="BC558" s="5">
        <v>333</v>
      </c>
      <c r="BD558" s="5">
        <v>153.07258064516131</v>
      </c>
    </row>
    <row r="559" spans="52:56" x14ac:dyDescent="0.25">
      <c r="AZ559" s="5">
        <v>556</v>
      </c>
      <c r="BA559" s="5">
        <v>1.8947368421052633E-2</v>
      </c>
      <c r="BB559" s="5">
        <v>0</v>
      </c>
      <c r="BC559" s="5">
        <v>333</v>
      </c>
      <c r="BD559" s="5">
        <v>153.34838709677419</v>
      </c>
    </row>
    <row r="560" spans="52:56" x14ac:dyDescent="0.25">
      <c r="AZ560" s="5">
        <v>557</v>
      </c>
      <c r="BA560" s="5">
        <v>1.8947368421052633E-2</v>
      </c>
      <c r="BB560" s="5">
        <v>0</v>
      </c>
      <c r="BC560" s="5">
        <v>333</v>
      </c>
      <c r="BD560" s="5">
        <v>153.6241935483871</v>
      </c>
    </row>
    <row r="561" spans="52:56" x14ac:dyDescent="0.25">
      <c r="AZ561" s="5">
        <v>558</v>
      </c>
      <c r="BA561" s="5">
        <v>1.8947368421052633E-2</v>
      </c>
      <c r="BB561" s="5">
        <v>0</v>
      </c>
      <c r="BC561" s="5">
        <v>333</v>
      </c>
      <c r="BD561" s="5">
        <v>153.9</v>
      </c>
    </row>
    <row r="562" spans="52:56" x14ac:dyDescent="0.25">
      <c r="AZ562" s="5">
        <v>559</v>
      </c>
      <c r="BA562" s="5">
        <v>1.8947368421052633E-2</v>
      </c>
      <c r="BB562" s="5">
        <v>0</v>
      </c>
      <c r="BC562" s="5">
        <v>333</v>
      </c>
      <c r="BD562" s="5">
        <v>154.17580645161291</v>
      </c>
    </row>
    <row r="563" spans="52:56" x14ac:dyDescent="0.25">
      <c r="AZ563" s="5">
        <v>560</v>
      </c>
      <c r="BA563" s="5">
        <v>1.8947368421052633E-2</v>
      </c>
      <c r="BB563" s="5">
        <v>0</v>
      </c>
      <c r="BC563" s="5">
        <v>333</v>
      </c>
      <c r="BD563" s="5">
        <v>154.45161290322582</v>
      </c>
    </row>
    <row r="564" spans="52:56" x14ac:dyDescent="0.25">
      <c r="AZ564" s="5">
        <v>561</v>
      </c>
      <c r="BA564" s="5">
        <v>1.8947368421052633E-2</v>
      </c>
      <c r="BB564" s="5">
        <v>0</v>
      </c>
      <c r="BC564" s="5">
        <v>333</v>
      </c>
      <c r="BD564" s="5">
        <v>154.7274193548387</v>
      </c>
    </row>
    <row r="565" spans="52:56" x14ac:dyDescent="0.25">
      <c r="AZ565" s="5">
        <v>562</v>
      </c>
      <c r="BA565" s="5">
        <v>1.8947368421052633E-2</v>
      </c>
      <c r="BB565" s="5">
        <v>0</v>
      </c>
      <c r="BC565" s="5">
        <v>333</v>
      </c>
      <c r="BD565" s="5">
        <v>155.00322580645161</v>
      </c>
    </row>
    <row r="566" spans="52:56" x14ac:dyDescent="0.25">
      <c r="AZ566" s="5">
        <v>563</v>
      </c>
      <c r="BA566" s="5">
        <v>1.8947368421052633E-2</v>
      </c>
      <c r="BB566" s="5">
        <v>0</v>
      </c>
      <c r="BC566" s="5">
        <v>333</v>
      </c>
      <c r="BD566" s="5">
        <v>155.27903225806452</v>
      </c>
    </row>
    <row r="567" spans="52:56" x14ac:dyDescent="0.25">
      <c r="AZ567" s="5">
        <v>564</v>
      </c>
      <c r="BA567" s="5">
        <v>1.8947368421052633E-2</v>
      </c>
      <c r="BB567" s="5">
        <v>0</v>
      </c>
      <c r="BC567" s="5">
        <v>333</v>
      </c>
      <c r="BD567" s="5">
        <v>155.55483870967743</v>
      </c>
    </row>
    <row r="568" spans="52:56" x14ac:dyDescent="0.25">
      <c r="AZ568" s="5">
        <v>565</v>
      </c>
      <c r="BA568" s="5">
        <v>1.8947368421052633E-2</v>
      </c>
      <c r="BB568" s="5">
        <v>0</v>
      </c>
      <c r="BC568" s="5">
        <v>333</v>
      </c>
      <c r="BD568" s="5">
        <v>155.83064516129033</v>
      </c>
    </row>
    <row r="569" spans="52:56" x14ac:dyDescent="0.25">
      <c r="AZ569" s="5">
        <v>566</v>
      </c>
      <c r="BA569" s="5">
        <v>1.8947368421052633E-2</v>
      </c>
      <c r="BB569" s="5">
        <v>0</v>
      </c>
      <c r="BC569" s="5">
        <v>333</v>
      </c>
      <c r="BD569" s="5">
        <v>156.10645161290324</v>
      </c>
    </row>
    <row r="570" spans="52:56" x14ac:dyDescent="0.25">
      <c r="AZ570" s="5">
        <v>567</v>
      </c>
      <c r="BA570" s="5">
        <v>1.8947368421052633E-2</v>
      </c>
      <c r="BB570" s="5">
        <v>0</v>
      </c>
      <c r="BC570" s="5">
        <v>333</v>
      </c>
      <c r="BD570" s="5">
        <v>156.38225806451612</v>
      </c>
    </row>
    <row r="571" spans="52:56" x14ac:dyDescent="0.25">
      <c r="AZ571" s="5">
        <v>568</v>
      </c>
      <c r="BA571" s="5">
        <v>1.8947368421052633E-2</v>
      </c>
      <c r="BB571" s="5">
        <v>0</v>
      </c>
      <c r="BC571" s="5">
        <v>333</v>
      </c>
      <c r="BD571" s="5">
        <v>156.65806451612903</v>
      </c>
    </row>
    <row r="572" spans="52:56" x14ac:dyDescent="0.25">
      <c r="AZ572" s="5">
        <v>569</v>
      </c>
      <c r="BA572" s="5">
        <v>1.8947368421052633E-2</v>
      </c>
      <c r="BB572" s="5">
        <v>0</v>
      </c>
      <c r="BC572" s="5">
        <v>333</v>
      </c>
      <c r="BD572" s="5">
        <v>156.93387096774194</v>
      </c>
    </row>
    <row r="573" spans="52:56" x14ac:dyDescent="0.25">
      <c r="AZ573" s="5">
        <v>570</v>
      </c>
      <c r="BA573" s="5">
        <v>1.8947368421052633E-2</v>
      </c>
      <c r="BB573" s="5">
        <v>0</v>
      </c>
      <c r="BC573" s="5">
        <v>333</v>
      </c>
      <c r="BD573" s="5">
        <v>157.20967741935485</v>
      </c>
    </row>
    <row r="574" spans="52:56" x14ac:dyDescent="0.25">
      <c r="AZ574" s="5">
        <v>571</v>
      </c>
      <c r="BA574" s="5">
        <v>1.8947368421052633E-2</v>
      </c>
      <c r="BB574" s="5">
        <v>0</v>
      </c>
      <c r="BC574" s="5">
        <v>333</v>
      </c>
      <c r="BD574" s="5">
        <v>157.48548387096776</v>
      </c>
    </row>
    <row r="575" spans="52:56" x14ac:dyDescent="0.25">
      <c r="AZ575" s="5">
        <v>572</v>
      </c>
      <c r="BA575" s="5">
        <v>1.8947368421052633E-2</v>
      </c>
      <c r="BB575" s="5">
        <v>0</v>
      </c>
      <c r="BC575" s="5">
        <v>333</v>
      </c>
      <c r="BD575" s="5">
        <v>157.76129032258066</v>
      </c>
    </row>
    <row r="576" spans="52:56" x14ac:dyDescent="0.25">
      <c r="AZ576" s="5">
        <v>573</v>
      </c>
      <c r="BA576" s="5">
        <v>1.8947368421052633E-2</v>
      </c>
      <c r="BB576" s="5">
        <v>0</v>
      </c>
      <c r="BC576" s="5">
        <v>333</v>
      </c>
      <c r="BD576" s="5">
        <v>158.03709677419354</v>
      </c>
    </row>
    <row r="577" spans="52:56" x14ac:dyDescent="0.25">
      <c r="AZ577" s="5">
        <v>574</v>
      </c>
      <c r="BA577" s="5">
        <v>1.8947368421052633E-2</v>
      </c>
      <c r="BB577" s="5">
        <v>0</v>
      </c>
      <c r="BC577" s="5">
        <v>333</v>
      </c>
      <c r="BD577" s="5">
        <v>158.31290322580645</v>
      </c>
    </row>
    <row r="578" spans="52:56" x14ac:dyDescent="0.25">
      <c r="AZ578" s="5">
        <v>575</v>
      </c>
      <c r="BA578" s="5">
        <v>1.8947368421052633E-2</v>
      </c>
      <c r="BB578" s="5">
        <v>0</v>
      </c>
      <c r="BC578" s="5">
        <v>333</v>
      </c>
      <c r="BD578" s="5">
        <v>158.58870967741936</v>
      </c>
    </row>
    <row r="579" spans="52:56" x14ac:dyDescent="0.25">
      <c r="AZ579" s="5">
        <v>576</v>
      </c>
      <c r="BA579" s="5">
        <v>1.8947368421052633E-2</v>
      </c>
      <c r="BB579" s="5">
        <v>0</v>
      </c>
      <c r="BC579" s="5">
        <v>333</v>
      </c>
      <c r="BD579" s="5">
        <v>158.86451612903227</v>
      </c>
    </row>
    <row r="580" spans="52:56" x14ac:dyDescent="0.25">
      <c r="AZ580" s="5">
        <v>577</v>
      </c>
      <c r="BA580" s="5">
        <v>1.8947368421052633E-2</v>
      </c>
      <c r="BB580" s="5">
        <v>0</v>
      </c>
      <c r="BC580" s="5">
        <v>333</v>
      </c>
      <c r="BD580" s="5">
        <v>159.14032258064518</v>
      </c>
    </row>
    <row r="581" spans="52:56" x14ac:dyDescent="0.25">
      <c r="AZ581" s="5">
        <v>578</v>
      </c>
      <c r="BA581" s="5">
        <v>1.8947368421052633E-2</v>
      </c>
      <c r="BB581" s="5">
        <v>0</v>
      </c>
      <c r="BC581" s="5">
        <v>333</v>
      </c>
      <c r="BD581" s="5">
        <v>159.41612903225808</v>
      </c>
    </row>
    <row r="582" spans="52:56" x14ac:dyDescent="0.25">
      <c r="AZ582" s="5">
        <v>579</v>
      </c>
      <c r="BA582" s="5">
        <v>1.8947368421052633E-2</v>
      </c>
      <c r="BB582" s="5">
        <v>0</v>
      </c>
      <c r="BC582" s="5">
        <v>333</v>
      </c>
      <c r="BD582" s="5">
        <v>159.69193548387096</v>
      </c>
    </row>
    <row r="583" spans="52:56" x14ac:dyDescent="0.25">
      <c r="AZ583" s="5">
        <v>580</v>
      </c>
      <c r="BA583" s="5">
        <v>1.8947368421052633E-2</v>
      </c>
      <c r="BB583" s="5">
        <v>0</v>
      </c>
      <c r="BC583" s="5">
        <v>333</v>
      </c>
      <c r="BD583" s="5">
        <v>159.96774193548387</v>
      </c>
    </row>
    <row r="584" spans="52:56" x14ac:dyDescent="0.25">
      <c r="AZ584" s="5">
        <v>581</v>
      </c>
      <c r="BA584" s="5">
        <v>1.8947368421052633E-2</v>
      </c>
      <c r="BB584" s="5">
        <v>0</v>
      </c>
      <c r="BC584" s="5">
        <v>333</v>
      </c>
      <c r="BD584" s="5">
        <v>160.24354838709678</v>
      </c>
    </row>
    <row r="585" spans="52:56" x14ac:dyDescent="0.25">
      <c r="AZ585" s="5">
        <v>582</v>
      </c>
      <c r="BA585" s="5">
        <v>1.8947368421052633E-2</v>
      </c>
      <c r="BB585" s="5">
        <v>0</v>
      </c>
      <c r="BC585" s="5">
        <v>333</v>
      </c>
      <c r="BD585" s="5">
        <v>160.51935483870969</v>
      </c>
    </row>
    <row r="586" spans="52:56" x14ac:dyDescent="0.25">
      <c r="AZ586" s="5">
        <v>583</v>
      </c>
      <c r="BA586" s="5">
        <v>1.8947368421052633E-2</v>
      </c>
      <c r="BB586" s="5">
        <v>0</v>
      </c>
      <c r="BC586" s="5">
        <v>333</v>
      </c>
      <c r="BD586" s="5">
        <v>160.7951612903226</v>
      </c>
    </row>
    <row r="587" spans="52:56" x14ac:dyDescent="0.25">
      <c r="AZ587" s="5">
        <v>584</v>
      </c>
      <c r="BA587" s="5">
        <v>1.8947368421052633E-2</v>
      </c>
      <c r="BB587" s="5">
        <v>0</v>
      </c>
      <c r="BC587" s="5">
        <v>333</v>
      </c>
      <c r="BD587" s="5">
        <v>161.07096774193548</v>
      </c>
    </row>
    <row r="588" spans="52:56" x14ac:dyDescent="0.25">
      <c r="AZ588" s="5">
        <v>585</v>
      </c>
      <c r="BA588" s="5">
        <v>1.8947368421052633E-2</v>
      </c>
      <c r="BB588" s="5">
        <v>0</v>
      </c>
      <c r="BC588" s="5">
        <v>333</v>
      </c>
      <c r="BD588" s="5">
        <v>161.34677419354838</v>
      </c>
    </row>
    <row r="589" spans="52:56" x14ac:dyDescent="0.25">
      <c r="AZ589" s="5">
        <v>586</v>
      </c>
      <c r="BA589" s="5">
        <v>1.8947368421052633E-2</v>
      </c>
      <c r="BB589" s="5">
        <v>0</v>
      </c>
      <c r="BC589" s="5">
        <v>333</v>
      </c>
      <c r="BD589" s="5">
        <v>161.62258064516129</v>
      </c>
    </row>
    <row r="590" spans="52:56" x14ac:dyDescent="0.25">
      <c r="AZ590" s="5">
        <v>587</v>
      </c>
      <c r="BA590" s="5">
        <v>1.8947368421052633E-2</v>
      </c>
      <c r="BB590" s="5">
        <v>0</v>
      </c>
      <c r="BC590" s="5">
        <v>333</v>
      </c>
      <c r="BD590" s="5">
        <v>161.8983870967742</v>
      </c>
    </row>
    <row r="591" spans="52:56" x14ac:dyDescent="0.25">
      <c r="AZ591" s="5">
        <v>588</v>
      </c>
      <c r="BA591" s="5">
        <v>1.8947368421052633E-2</v>
      </c>
      <c r="BB591" s="5">
        <v>0</v>
      </c>
      <c r="BC591" s="5">
        <v>333</v>
      </c>
      <c r="BD591" s="5">
        <v>162.17419354838711</v>
      </c>
    </row>
    <row r="592" spans="52:56" x14ac:dyDescent="0.25">
      <c r="AZ592" s="5">
        <v>589</v>
      </c>
      <c r="BA592" s="5">
        <v>1.8947368421052633E-2</v>
      </c>
      <c r="BB592" s="5">
        <v>0</v>
      </c>
      <c r="BC592" s="5">
        <v>333</v>
      </c>
      <c r="BD592" s="5">
        <v>162.45000000000002</v>
      </c>
    </row>
    <row r="593" spans="52:56" x14ac:dyDescent="0.25">
      <c r="AZ593" s="5">
        <v>590</v>
      </c>
      <c r="BA593" s="5">
        <v>1.8947368421052633E-2</v>
      </c>
      <c r="BB593" s="5">
        <v>0</v>
      </c>
      <c r="BC593" s="5">
        <v>333</v>
      </c>
      <c r="BD593" s="5">
        <v>162.7258064516129</v>
      </c>
    </row>
    <row r="594" spans="52:56" x14ac:dyDescent="0.25">
      <c r="AZ594" s="5">
        <v>591</v>
      </c>
      <c r="BA594" s="5">
        <v>1.8947368421052633E-2</v>
      </c>
      <c r="BB594" s="5">
        <v>0</v>
      </c>
      <c r="BC594" s="5">
        <v>333</v>
      </c>
      <c r="BD594" s="5">
        <v>163.0016129032258</v>
      </c>
    </row>
    <row r="595" spans="52:56" x14ac:dyDescent="0.25">
      <c r="AZ595" s="5">
        <v>592</v>
      </c>
      <c r="BA595" s="5">
        <v>1.8947368421052633E-2</v>
      </c>
      <c r="BB595" s="5">
        <v>0</v>
      </c>
      <c r="BC595" s="5">
        <v>333</v>
      </c>
      <c r="BD595" s="5">
        <v>163.27741935483871</v>
      </c>
    </row>
    <row r="596" spans="52:56" x14ac:dyDescent="0.25">
      <c r="AZ596" s="5">
        <v>593</v>
      </c>
      <c r="BA596" s="5">
        <v>1.8947368421052633E-2</v>
      </c>
      <c r="BB596" s="5">
        <v>0</v>
      </c>
      <c r="BC596" s="5">
        <v>333</v>
      </c>
      <c r="BD596" s="5">
        <v>163.55322580645162</v>
      </c>
    </row>
    <row r="597" spans="52:56" x14ac:dyDescent="0.25">
      <c r="AZ597" s="5">
        <v>594</v>
      </c>
      <c r="BA597" s="5">
        <v>1.8947368421052633E-2</v>
      </c>
      <c r="BB597" s="5">
        <v>0</v>
      </c>
      <c r="BC597" s="5">
        <v>333</v>
      </c>
      <c r="BD597" s="5">
        <v>163.82903225806453</v>
      </c>
    </row>
    <row r="598" spans="52:56" x14ac:dyDescent="0.25">
      <c r="AZ598" s="5">
        <v>595</v>
      </c>
      <c r="BA598" s="5">
        <v>1.8947368421052633E-2</v>
      </c>
      <c r="BB598" s="5">
        <v>0</v>
      </c>
      <c r="BC598" s="5">
        <v>333</v>
      </c>
      <c r="BD598" s="5">
        <v>164.10483870967744</v>
      </c>
    </row>
    <row r="599" spans="52:56" x14ac:dyDescent="0.25">
      <c r="AZ599" s="5">
        <v>596</v>
      </c>
      <c r="BA599" s="5">
        <v>1.8947368421052633E-2</v>
      </c>
      <c r="BB599" s="5">
        <v>0</v>
      </c>
      <c r="BC599" s="5">
        <v>333</v>
      </c>
      <c r="BD599" s="5">
        <v>164.38064516129032</v>
      </c>
    </row>
    <row r="600" spans="52:56" x14ac:dyDescent="0.25">
      <c r="AZ600" s="5">
        <v>597</v>
      </c>
      <c r="BA600" s="5">
        <v>1.8947368421052633E-2</v>
      </c>
      <c r="BB600" s="5">
        <v>0</v>
      </c>
      <c r="BC600" s="5">
        <v>333</v>
      </c>
      <c r="BD600" s="5">
        <v>164.65645161290323</v>
      </c>
    </row>
    <row r="601" spans="52:56" x14ac:dyDescent="0.25">
      <c r="AZ601" s="5">
        <v>598</v>
      </c>
      <c r="BA601" s="5">
        <v>1.8947368421052633E-2</v>
      </c>
      <c r="BB601" s="5">
        <v>0</v>
      </c>
      <c r="BC601" s="5">
        <v>333</v>
      </c>
      <c r="BD601" s="5">
        <v>164.93225806451613</v>
      </c>
    </row>
    <row r="602" spans="52:56" x14ac:dyDescent="0.25">
      <c r="AZ602" s="5">
        <v>599</v>
      </c>
      <c r="BA602" s="5">
        <v>1.8947368421052633E-2</v>
      </c>
      <c r="BB602" s="5">
        <v>0</v>
      </c>
      <c r="BC602" s="5">
        <v>333</v>
      </c>
      <c r="BD602" s="5">
        <v>165.20806451612904</v>
      </c>
    </row>
    <row r="603" spans="52:56" x14ac:dyDescent="0.25">
      <c r="AZ603" s="5">
        <v>600</v>
      </c>
      <c r="BA603" s="5">
        <v>1.8947368421052633E-2</v>
      </c>
      <c r="BB603" s="5">
        <v>0</v>
      </c>
      <c r="BC603" s="5">
        <v>333</v>
      </c>
      <c r="BD603" s="5">
        <v>165.48387096774195</v>
      </c>
    </row>
    <row r="604" spans="52:56" x14ac:dyDescent="0.25">
      <c r="AZ604" s="5">
        <v>601</v>
      </c>
      <c r="BA604" s="5">
        <v>1.8947368421052633E-2</v>
      </c>
      <c r="BB604" s="5">
        <v>0</v>
      </c>
      <c r="BC604" s="5">
        <v>333</v>
      </c>
      <c r="BD604" s="5">
        <v>165.75967741935486</v>
      </c>
    </row>
    <row r="605" spans="52:56" x14ac:dyDescent="0.25">
      <c r="AZ605" s="5">
        <v>602</v>
      </c>
      <c r="BA605" s="5">
        <v>1.8947368421052633E-2</v>
      </c>
      <c r="BB605" s="5">
        <v>0</v>
      </c>
      <c r="BC605" s="5">
        <v>333</v>
      </c>
      <c r="BD605" s="5">
        <v>166.03548387096774</v>
      </c>
    </row>
    <row r="606" spans="52:56" x14ac:dyDescent="0.25">
      <c r="AZ606" s="5">
        <v>603</v>
      </c>
      <c r="BA606" s="5">
        <v>1.8947368421052633E-2</v>
      </c>
      <c r="BB606" s="5">
        <v>0</v>
      </c>
      <c r="BC606" s="5">
        <v>333</v>
      </c>
      <c r="BD606" s="5">
        <v>166.31129032258065</v>
      </c>
    </row>
    <row r="607" spans="52:56" x14ac:dyDescent="0.25">
      <c r="AZ607" s="5">
        <v>604</v>
      </c>
      <c r="BA607" s="5">
        <v>1.8947368421052633E-2</v>
      </c>
      <c r="BB607" s="5">
        <v>0</v>
      </c>
      <c r="BC607" s="5">
        <v>333</v>
      </c>
      <c r="BD607" s="5">
        <v>166.58709677419355</v>
      </c>
    </row>
    <row r="608" spans="52:56" x14ac:dyDescent="0.25">
      <c r="AZ608" s="5">
        <v>605</v>
      </c>
      <c r="BA608" s="5">
        <v>1.8947368421052633E-2</v>
      </c>
      <c r="BB608" s="5">
        <v>0</v>
      </c>
      <c r="BC608" s="5">
        <v>333</v>
      </c>
      <c r="BD608" s="5">
        <v>166.86290322580646</v>
      </c>
    </row>
    <row r="609" spans="52:56" x14ac:dyDescent="0.25">
      <c r="AZ609" s="5">
        <v>606</v>
      </c>
      <c r="BA609" s="5">
        <v>1.8947368421052633E-2</v>
      </c>
      <c r="BB609" s="5">
        <v>0</v>
      </c>
      <c r="BC609" s="5">
        <v>333</v>
      </c>
      <c r="BD609" s="5">
        <v>167.13870967741937</v>
      </c>
    </row>
    <row r="610" spans="52:56" x14ac:dyDescent="0.25">
      <c r="AZ610" s="5">
        <v>607</v>
      </c>
      <c r="BA610" s="5">
        <v>1.8947368421052633E-2</v>
      </c>
      <c r="BB610" s="5">
        <v>0</v>
      </c>
      <c r="BC610" s="5">
        <v>333</v>
      </c>
      <c r="BD610" s="5">
        <v>167.41451612903225</v>
      </c>
    </row>
    <row r="611" spans="52:56" x14ac:dyDescent="0.25">
      <c r="AZ611" s="5">
        <v>608</v>
      </c>
      <c r="BA611" s="5">
        <v>1.8947368421052633E-2</v>
      </c>
      <c r="BB611" s="5">
        <v>0</v>
      </c>
      <c r="BC611" s="5">
        <v>333</v>
      </c>
      <c r="BD611" s="5">
        <v>167.69032258064516</v>
      </c>
    </row>
    <row r="612" spans="52:56" x14ac:dyDescent="0.25">
      <c r="AZ612" s="5">
        <v>609</v>
      </c>
      <c r="BA612" s="5">
        <v>1.8947368421052633E-2</v>
      </c>
      <c r="BB612" s="5">
        <v>0</v>
      </c>
      <c r="BC612" s="5">
        <v>333</v>
      </c>
      <c r="BD612" s="5">
        <v>167.96612903225807</v>
      </c>
    </row>
    <row r="613" spans="52:56" x14ac:dyDescent="0.25">
      <c r="AZ613" s="5">
        <v>610</v>
      </c>
      <c r="BA613" s="5">
        <v>1.8947368421052633E-2</v>
      </c>
      <c r="BB613" s="5">
        <v>0</v>
      </c>
      <c r="BC613" s="5">
        <v>333</v>
      </c>
      <c r="BD613" s="5">
        <v>168.24193548387098</v>
      </c>
    </row>
    <row r="614" spans="52:56" x14ac:dyDescent="0.25">
      <c r="AZ614" s="5">
        <v>611</v>
      </c>
      <c r="BA614" s="5">
        <v>1.8947368421052633E-2</v>
      </c>
      <c r="BB614" s="5">
        <v>0</v>
      </c>
      <c r="BC614" s="5">
        <v>333</v>
      </c>
      <c r="BD614" s="5">
        <v>168.51774193548388</v>
      </c>
    </row>
    <row r="615" spans="52:56" x14ac:dyDescent="0.25">
      <c r="AZ615" s="5">
        <v>612</v>
      </c>
      <c r="BA615" s="5">
        <v>1.8947368421052633E-2</v>
      </c>
      <c r="BB615" s="5">
        <v>0</v>
      </c>
      <c r="BC615" s="5">
        <v>333</v>
      </c>
      <c r="BD615" s="5">
        <v>168.79354838709679</v>
      </c>
    </row>
    <row r="616" spans="52:56" x14ac:dyDescent="0.25">
      <c r="AZ616" s="5">
        <v>613</v>
      </c>
      <c r="BA616" s="5">
        <v>1.8947368421052633E-2</v>
      </c>
      <c r="BB616" s="5">
        <v>0</v>
      </c>
      <c r="BC616" s="5">
        <v>333</v>
      </c>
      <c r="BD616" s="5">
        <v>169.06935483870967</v>
      </c>
    </row>
    <row r="617" spans="52:56" x14ac:dyDescent="0.25">
      <c r="AZ617" s="5">
        <v>614</v>
      </c>
      <c r="BA617" s="5">
        <v>1.8947368421052633E-2</v>
      </c>
      <c r="BB617" s="5">
        <v>0</v>
      </c>
      <c r="BC617" s="5">
        <v>333</v>
      </c>
      <c r="BD617" s="5">
        <v>169.34516129032258</v>
      </c>
    </row>
    <row r="618" spans="52:56" x14ac:dyDescent="0.25">
      <c r="AZ618" s="5">
        <v>615</v>
      </c>
      <c r="BA618" s="5">
        <v>1.8947368421052633E-2</v>
      </c>
      <c r="BB618" s="5">
        <v>0</v>
      </c>
      <c r="BC618" s="5">
        <v>333</v>
      </c>
      <c r="BD618" s="5">
        <v>169.62096774193549</v>
      </c>
    </row>
    <row r="619" spans="52:56" x14ac:dyDescent="0.25">
      <c r="AZ619" s="5">
        <v>616</v>
      </c>
      <c r="BA619" s="5">
        <v>1.8947368421052633E-2</v>
      </c>
      <c r="BB619" s="5">
        <v>0</v>
      </c>
      <c r="BC619" s="5">
        <v>333</v>
      </c>
      <c r="BD619" s="5">
        <v>169.8967741935484</v>
      </c>
    </row>
    <row r="620" spans="52:56" x14ac:dyDescent="0.25">
      <c r="AZ620" s="5">
        <v>617</v>
      </c>
      <c r="BA620" s="5">
        <v>1.8947368421052633E-2</v>
      </c>
      <c r="BB620" s="5">
        <v>0</v>
      </c>
      <c r="BC620" s="5">
        <v>333</v>
      </c>
      <c r="BD620" s="5">
        <v>170.1725806451613</v>
      </c>
    </row>
    <row r="621" spans="52:56" x14ac:dyDescent="0.25">
      <c r="AZ621" s="5">
        <v>618</v>
      </c>
      <c r="BA621" s="5">
        <v>1.8947368421052633E-2</v>
      </c>
      <c r="BB621" s="5">
        <v>0</v>
      </c>
      <c r="BC621" s="5">
        <v>333</v>
      </c>
      <c r="BD621" s="5">
        <v>170.44838709677421</v>
      </c>
    </row>
    <row r="622" spans="52:56" x14ac:dyDescent="0.25">
      <c r="AZ622" s="5">
        <v>619</v>
      </c>
      <c r="BA622" s="5">
        <v>1.8947368421052633E-2</v>
      </c>
      <c r="BB622" s="5">
        <v>0</v>
      </c>
      <c r="BC622" s="5">
        <v>333</v>
      </c>
      <c r="BD622" s="5">
        <v>170.72419354838709</v>
      </c>
    </row>
    <row r="623" spans="52:56" x14ac:dyDescent="0.25">
      <c r="AZ623" s="5">
        <v>620</v>
      </c>
      <c r="BA623" s="5">
        <v>1.8947368421052633E-2</v>
      </c>
      <c r="BB623" s="5">
        <v>0</v>
      </c>
      <c r="BC623" s="5">
        <v>333</v>
      </c>
      <c r="BD623" s="5">
        <v>171</v>
      </c>
    </row>
    <row r="624" spans="52:56" x14ac:dyDescent="0.25">
      <c r="AZ624" s="6">
        <v>621</v>
      </c>
      <c r="BA624" s="6">
        <v>1.8947368421052633E-2</v>
      </c>
      <c r="BB624" s="6">
        <v>0</v>
      </c>
      <c r="BC624" s="6">
        <v>333</v>
      </c>
      <c r="BD624" s="6">
        <v>171.27580645161291</v>
      </c>
    </row>
    <row r="625" spans="52:56" x14ac:dyDescent="0.25">
      <c r="AZ625" s="6">
        <v>622</v>
      </c>
      <c r="BA625" s="6">
        <v>1.8947368421052633E-2</v>
      </c>
      <c r="BB625" s="6">
        <v>0</v>
      </c>
      <c r="BC625" s="6">
        <v>333</v>
      </c>
      <c r="BD625" s="6">
        <v>171.55161290322582</v>
      </c>
    </row>
    <row r="626" spans="52:56" x14ac:dyDescent="0.25">
      <c r="AZ626" s="6">
        <v>623</v>
      </c>
      <c r="BA626" s="6">
        <v>1.8947368421052633E-2</v>
      </c>
      <c r="BB626" s="6">
        <v>0</v>
      </c>
      <c r="BC626" s="6">
        <v>333</v>
      </c>
      <c r="BD626" s="6">
        <v>171.82741935483872</v>
      </c>
    </row>
    <row r="627" spans="52:56" x14ac:dyDescent="0.25">
      <c r="AZ627" s="6">
        <v>624</v>
      </c>
      <c r="BA627" s="6">
        <v>1.8947368421052633E-2</v>
      </c>
      <c r="BB627" s="6">
        <v>0</v>
      </c>
      <c r="BC627" s="6">
        <v>333</v>
      </c>
      <c r="BD627" s="6">
        <v>172.10322580645163</v>
      </c>
    </row>
    <row r="628" spans="52:56" x14ac:dyDescent="0.25">
      <c r="AZ628" s="6">
        <v>625</v>
      </c>
      <c r="BA628" s="6">
        <v>1.8947368421052633E-2</v>
      </c>
      <c r="BB628" s="6">
        <v>0</v>
      </c>
      <c r="BC628" s="6">
        <v>333</v>
      </c>
      <c r="BD628" s="6">
        <v>172.37903225806451</v>
      </c>
    </row>
    <row r="629" spans="52:56" x14ac:dyDescent="0.25">
      <c r="AZ629" s="6">
        <v>626</v>
      </c>
      <c r="BA629" s="6">
        <v>1.8947368421052633E-2</v>
      </c>
      <c r="BB629" s="6">
        <v>1</v>
      </c>
      <c r="BC629" s="6">
        <v>334</v>
      </c>
      <c r="BD629" s="6">
        <v>172.65483870967742</v>
      </c>
    </row>
    <row r="630" spans="52:56" x14ac:dyDescent="0.25">
      <c r="AZ630" s="6">
        <v>627</v>
      </c>
      <c r="BA630" s="6">
        <v>1.8947368421052633E-2</v>
      </c>
      <c r="BB630" s="6">
        <v>0</v>
      </c>
      <c r="BC630" s="6">
        <v>334</v>
      </c>
      <c r="BD630" s="6">
        <v>172.93064516129033</v>
      </c>
    </row>
    <row r="631" spans="52:56" x14ac:dyDescent="0.25">
      <c r="AZ631" s="6">
        <v>628</v>
      </c>
      <c r="BA631" s="6">
        <v>1.8947368421052633E-2</v>
      </c>
      <c r="BB631" s="6">
        <v>0</v>
      </c>
      <c r="BC631" s="6">
        <v>334</v>
      </c>
      <c r="BD631" s="6">
        <v>173.20645161290324</v>
      </c>
    </row>
    <row r="632" spans="52:56" x14ac:dyDescent="0.25">
      <c r="AZ632" s="6">
        <v>629</v>
      </c>
      <c r="BA632" s="6">
        <v>1.8947368421052633E-2</v>
      </c>
      <c r="BB632" s="6">
        <v>0</v>
      </c>
      <c r="BC632" s="6">
        <v>334</v>
      </c>
      <c r="BD632" s="6">
        <v>173.48225806451615</v>
      </c>
    </row>
    <row r="633" spans="52:56" x14ac:dyDescent="0.25">
      <c r="AZ633" s="6">
        <v>630</v>
      </c>
      <c r="BA633" s="6">
        <v>1.8947368421052633E-2</v>
      </c>
      <c r="BB633" s="6">
        <v>0</v>
      </c>
      <c r="BC633" s="6">
        <v>334</v>
      </c>
      <c r="BD633" s="6">
        <v>173.75806451612902</v>
      </c>
    </row>
    <row r="634" spans="52:56" x14ac:dyDescent="0.25">
      <c r="AZ634" s="6">
        <v>631</v>
      </c>
      <c r="BA634" s="6">
        <v>1.8947368421052633E-2</v>
      </c>
      <c r="BB634" s="6">
        <v>0</v>
      </c>
      <c r="BC634" s="6">
        <v>334</v>
      </c>
      <c r="BD634" s="6">
        <v>174.03387096774193</v>
      </c>
    </row>
    <row r="635" spans="52:56" x14ac:dyDescent="0.25">
      <c r="AZ635" s="6">
        <v>632</v>
      </c>
      <c r="BA635" s="6">
        <v>1.8947368421052633E-2</v>
      </c>
      <c r="BB635" s="6">
        <v>0</v>
      </c>
      <c r="BC635" s="6">
        <v>334</v>
      </c>
      <c r="BD635" s="6">
        <v>174.30967741935484</v>
      </c>
    </row>
    <row r="636" spans="52:56" x14ac:dyDescent="0.25">
      <c r="AZ636" s="6">
        <v>633</v>
      </c>
      <c r="BA636" s="6">
        <v>1.8947368421052633E-2</v>
      </c>
      <c r="BB636" s="6">
        <v>0</v>
      </c>
      <c r="BC636" s="6">
        <v>334</v>
      </c>
      <c r="BD636" s="6">
        <v>174.58548387096775</v>
      </c>
    </row>
    <row r="637" spans="52:56" x14ac:dyDescent="0.25">
      <c r="AZ637" s="6">
        <v>634</v>
      </c>
      <c r="BA637" s="6">
        <v>1.8947368421052633E-2</v>
      </c>
      <c r="BB637" s="6">
        <v>0</v>
      </c>
      <c r="BC637" s="6">
        <v>334</v>
      </c>
      <c r="BD637" s="6">
        <v>174.86129032258066</v>
      </c>
    </row>
    <row r="638" spans="52:56" x14ac:dyDescent="0.25">
      <c r="AZ638" s="6">
        <v>635</v>
      </c>
      <c r="BA638" s="6">
        <v>1.8947368421052633E-2</v>
      </c>
      <c r="BB638" s="6">
        <v>0</v>
      </c>
      <c r="BC638" s="6">
        <v>334</v>
      </c>
      <c r="BD638" s="6">
        <v>175.13709677419357</v>
      </c>
    </row>
    <row r="639" spans="52:56" x14ac:dyDescent="0.25">
      <c r="AZ639" s="6">
        <v>636</v>
      </c>
      <c r="BA639" s="6">
        <v>1.8947368421052633E-2</v>
      </c>
      <c r="BB639" s="6">
        <v>0</v>
      </c>
      <c r="BC639" s="6">
        <v>334</v>
      </c>
      <c r="BD639" s="6">
        <v>175.41290322580645</v>
      </c>
    </row>
    <row r="640" spans="52:56" x14ac:dyDescent="0.25">
      <c r="AZ640" s="6">
        <v>637</v>
      </c>
      <c r="BA640" s="6">
        <v>1.8947368421052633E-2</v>
      </c>
      <c r="BB640" s="6">
        <v>0</v>
      </c>
      <c r="BC640" s="6">
        <v>334</v>
      </c>
      <c r="BD640" s="6">
        <v>175.68870967741935</v>
      </c>
    </row>
    <row r="641" spans="52:56" x14ac:dyDescent="0.25">
      <c r="AZ641" s="6">
        <v>638</v>
      </c>
      <c r="BA641" s="6">
        <v>1.8947368421052633E-2</v>
      </c>
      <c r="BB641" s="6">
        <v>0</v>
      </c>
      <c r="BC641" s="6">
        <v>334</v>
      </c>
      <c r="BD641" s="6">
        <v>175.96451612903226</v>
      </c>
    </row>
    <row r="642" spans="52:56" x14ac:dyDescent="0.25">
      <c r="AZ642" s="6">
        <v>639</v>
      </c>
      <c r="BA642" s="6">
        <v>1.8947368421052633E-2</v>
      </c>
      <c r="BB642" s="6">
        <v>0</v>
      </c>
      <c r="BC642" s="6">
        <v>334</v>
      </c>
      <c r="BD642" s="6">
        <v>176.24032258064517</v>
      </c>
    </row>
    <row r="643" spans="52:56" x14ac:dyDescent="0.25">
      <c r="AZ643" s="6">
        <v>640</v>
      </c>
      <c r="BA643" s="6">
        <v>1.8947368421052633E-2</v>
      </c>
      <c r="BB643" s="6">
        <v>0</v>
      </c>
      <c r="BC643" s="6">
        <v>334</v>
      </c>
      <c r="BD643" s="6">
        <v>176.51612903225808</v>
      </c>
    </row>
    <row r="644" spans="52:56" x14ac:dyDescent="0.25">
      <c r="AZ644" s="6">
        <v>641</v>
      </c>
      <c r="BA644" s="6">
        <v>1.8947368421052633E-2</v>
      </c>
      <c r="BB644" s="6">
        <v>0</v>
      </c>
      <c r="BC644" s="6">
        <v>334</v>
      </c>
      <c r="BD644" s="6">
        <v>176.79193548387099</v>
      </c>
    </row>
    <row r="645" spans="52:56" x14ac:dyDescent="0.25">
      <c r="AZ645" s="6">
        <v>642</v>
      </c>
      <c r="BA645" s="6">
        <v>1.8947368421052633E-2</v>
      </c>
      <c r="BB645" s="6">
        <v>0</v>
      </c>
      <c r="BC645" s="6">
        <v>334</v>
      </c>
      <c r="BD645" s="6">
        <v>177.06774193548387</v>
      </c>
    </row>
    <row r="646" spans="52:56" x14ac:dyDescent="0.25">
      <c r="AZ646" s="6">
        <v>643</v>
      </c>
      <c r="BA646" s="6">
        <v>1.8947368421052633E-2</v>
      </c>
      <c r="BB646" s="6">
        <v>0</v>
      </c>
      <c r="BC646" s="6">
        <v>334</v>
      </c>
      <c r="BD646" s="6">
        <v>177.34354838709677</v>
      </c>
    </row>
    <row r="647" spans="52:56" x14ac:dyDescent="0.25">
      <c r="AZ647" s="6">
        <v>644</v>
      </c>
      <c r="BA647" s="6">
        <v>1.8947368421052633E-2</v>
      </c>
      <c r="BB647" s="6">
        <v>0</v>
      </c>
      <c r="BC647" s="6">
        <v>334</v>
      </c>
      <c r="BD647" s="6">
        <v>177.61935483870968</v>
      </c>
    </row>
    <row r="648" spans="52:56" x14ac:dyDescent="0.25">
      <c r="AZ648" s="6">
        <v>645</v>
      </c>
      <c r="BA648" s="6">
        <v>1.8947368421052633E-2</v>
      </c>
      <c r="BB648" s="6">
        <v>0</v>
      </c>
      <c r="BC648" s="6">
        <v>334</v>
      </c>
      <c r="BD648" s="6">
        <v>177.89516129032259</v>
      </c>
    </row>
    <row r="649" spans="52:56" x14ac:dyDescent="0.25">
      <c r="AZ649" s="6">
        <v>646</v>
      </c>
      <c r="BA649" s="6">
        <v>1.8947368421052633E-2</v>
      </c>
      <c r="BB649" s="6">
        <v>0</v>
      </c>
      <c r="BC649" s="6">
        <v>334</v>
      </c>
      <c r="BD649" s="6">
        <v>178.1709677419355</v>
      </c>
    </row>
    <row r="650" spans="52:56" x14ac:dyDescent="0.25">
      <c r="AZ650" s="6">
        <v>647</v>
      </c>
      <c r="BA650" s="6">
        <v>1.8947368421052633E-2</v>
      </c>
      <c r="BB650" s="6">
        <v>0</v>
      </c>
      <c r="BC650" s="6">
        <v>334</v>
      </c>
      <c r="BD650" s="6">
        <v>178.44677419354841</v>
      </c>
    </row>
    <row r="651" spans="52:56" x14ac:dyDescent="0.25">
      <c r="AZ651" s="6">
        <v>648</v>
      </c>
      <c r="BA651" s="6">
        <v>1.8947368421052633E-2</v>
      </c>
      <c r="BB651" s="6">
        <v>0</v>
      </c>
      <c r="BC651" s="6">
        <v>334</v>
      </c>
      <c r="BD651" s="6">
        <v>178.72258064516129</v>
      </c>
    </row>
    <row r="652" spans="52:56" x14ac:dyDescent="0.25">
      <c r="AZ652" s="6">
        <v>649</v>
      </c>
      <c r="BA652" s="6">
        <v>1.8947368421052633E-2</v>
      </c>
      <c r="BB652" s="6">
        <v>0</v>
      </c>
      <c r="BC652" s="6">
        <v>334</v>
      </c>
      <c r="BD652" s="6">
        <v>178.9983870967742</v>
      </c>
    </row>
    <row r="653" spans="52:56" x14ac:dyDescent="0.25">
      <c r="AZ653" s="6">
        <v>650</v>
      </c>
      <c r="BA653" s="6">
        <v>1.8947368421052633E-2</v>
      </c>
      <c r="BB653" s="6">
        <v>0</v>
      </c>
      <c r="BC653" s="6">
        <v>334</v>
      </c>
      <c r="BD653" s="6">
        <v>179.2741935483871</v>
      </c>
    </row>
    <row r="654" spans="52:56" x14ac:dyDescent="0.25">
      <c r="AZ654" s="6">
        <v>651</v>
      </c>
      <c r="BA654" s="6">
        <v>1.8947368421052633E-2</v>
      </c>
      <c r="BB654" s="6">
        <v>0</v>
      </c>
      <c r="BC654" s="6">
        <v>334</v>
      </c>
      <c r="BD654" s="6">
        <v>179.55</v>
      </c>
    </row>
    <row r="655" spans="52:56" x14ac:dyDescent="0.25">
      <c r="AZ655" s="6">
        <v>652</v>
      </c>
      <c r="BA655" s="6">
        <v>1.8947368421052633E-2</v>
      </c>
      <c r="BB655" s="6">
        <v>0</v>
      </c>
      <c r="BC655" s="6">
        <v>334</v>
      </c>
      <c r="BD655" s="6">
        <v>179.82580645161292</v>
      </c>
    </row>
    <row r="656" spans="52:56" x14ac:dyDescent="0.25">
      <c r="AZ656" s="6">
        <v>653</v>
      </c>
      <c r="BA656" s="6">
        <v>1.8947368421052633E-2</v>
      </c>
      <c r="BB656" s="6">
        <v>0</v>
      </c>
      <c r="BC656" s="6">
        <v>334</v>
      </c>
      <c r="BD656" s="6">
        <v>180.1016129032258</v>
      </c>
    </row>
    <row r="657" spans="52:56" x14ac:dyDescent="0.25">
      <c r="AZ657" s="6">
        <v>654</v>
      </c>
      <c r="BA657" s="6">
        <v>1.8947368421052633E-2</v>
      </c>
      <c r="BB657" s="6">
        <v>0</v>
      </c>
      <c r="BC657" s="6">
        <v>334</v>
      </c>
      <c r="BD657" s="6">
        <v>180.37741935483871</v>
      </c>
    </row>
    <row r="658" spans="52:56" x14ac:dyDescent="0.25">
      <c r="AZ658" s="6">
        <v>655</v>
      </c>
      <c r="BA658" s="6">
        <v>1.8947368421052633E-2</v>
      </c>
      <c r="BB658" s="6">
        <v>0</v>
      </c>
      <c r="BC658" s="6">
        <v>334</v>
      </c>
      <c r="BD658" s="6">
        <v>180.65322580645162</v>
      </c>
    </row>
    <row r="659" spans="52:56" x14ac:dyDescent="0.25">
      <c r="AZ659" s="6">
        <v>656</v>
      </c>
      <c r="BA659" s="6">
        <v>1.8947368421052633E-2</v>
      </c>
      <c r="BB659" s="6">
        <v>0</v>
      </c>
      <c r="BC659" s="6">
        <v>334</v>
      </c>
      <c r="BD659" s="6">
        <v>180.92903225806452</v>
      </c>
    </row>
    <row r="660" spans="52:56" x14ac:dyDescent="0.25">
      <c r="AZ660" s="6">
        <v>657</v>
      </c>
      <c r="BA660" s="6">
        <v>1.8947368421052633E-2</v>
      </c>
      <c r="BB660" s="6">
        <v>0</v>
      </c>
      <c r="BC660" s="6">
        <v>334</v>
      </c>
      <c r="BD660" s="6">
        <v>181.20483870967743</v>
      </c>
    </row>
    <row r="661" spans="52:56" x14ac:dyDescent="0.25">
      <c r="AZ661" s="6">
        <v>658</v>
      </c>
      <c r="BA661" s="6">
        <v>1.8947368421052633E-2</v>
      </c>
      <c r="BB661" s="6">
        <v>0</v>
      </c>
      <c r="BC661" s="6">
        <v>334</v>
      </c>
      <c r="BD661" s="6">
        <v>181.48064516129034</v>
      </c>
    </row>
    <row r="662" spans="52:56" x14ac:dyDescent="0.25">
      <c r="AZ662" s="6">
        <v>659</v>
      </c>
      <c r="BA662" s="6">
        <v>1.8947368421052633E-2</v>
      </c>
      <c r="BB662" s="6">
        <v>0</v>
      </c>
      <c r="BC662" s="6">
        <v>334</v>
      </c>
      <c r="BD662" s="6">
        <v>181.75645161290322</v>
      </c>
    </row>
    <row r="663" spans="52:56" x14ac:dyDescent="0.25">
      <c r="AZ663" s="6">
        <v>660</v>
      </c>
      <c r="BA663" s="6">
        <v>1.8947368421052633E-2</v>
      </c>
      <c r="BB663" s="6">
        <v>0</v>
      </c>
      <c r="BC663" s="6">
        <v>334</v>
      </c>
      <c r="BD663" s="6">
        <v>182.03225806451613</v>
      </c>
    </row>
    <row r="664" spans="52:56" x14ac:dyDescent="0.25">
      <c r="AZ664" s="6">
        <v>661</v>
      </c>
      <c r="BA664" s="6">
        <v>1.8947368421052633E-2</v>
      </c>
      <c r="BB664" s="6">
        <v>0</v>
      </c>
      <c r="BC664" s="6">
        <v>334</v>
      </c>
      <c r="BD664" s="6">
        <v>182.30806451612904</v>
      </c>
    </row>
    <row r="665" spans="52:56" x14ac:dyDescent="0.25">
      <c r="AZ665" s="6">
        <v>662</v>
      </c>
      <c r="BA665" s="6">
        <v>1.8947368421052633E-2</v>
      </c>
      <c r="BB665" s="6">
        <v>0</v>
      </c>
      <c r="BC665" s="6">
        <v>334</v>
      </c>
      <c r="BD665" s="6">
        <v>182.58387096774194</v>
      </c>
    </row>
    <row r="666" spans="52:56" x14ac:dyDescent="0.25">
      <c r="AZ666" s="6">
        <v>663</v>
      </c>
      <c r="BA666" s="6">
        <v>1.8947368421052633E-2</v>
      </c>
      <c r="BB666" s="6">
        <v>0</v>
      </c>
      <c r="BC666" s="6">
        <v>334</v>
      </c>
      <c r="BD666" s="6">
        <v>182.85967741935485</v>
      </c>
    </row>
    <row r="667" spans="52:56" x14ac:dyDescent="0.25">
      <c r="AZ667" s="6">
        <v>664</v>
      </c>
      <c r="BA667" s="6">
        <v>1.8947368421052633E-2</v>
      </c>
      <c r="BB667" s="6">
        <v>0</v>
      </c>
      <c r="BC667" s="6">
        <v>334</v>
      </c>
      <c r="BD667" s="6">
        <v>183.13548387096776</v>
      </c>
    </row>
    <row r="668" spans="52:56" x14ac:dyDescent="0.25">
      <c r="AZ668" s="6">
        <v>665</v>
      </c>
      <c r="BA668" s="6">
        <v>1.8947368421052633E-2</v>
      </c>
      <c r="BB668" s="6">
        <v>0</v>
      </c>
      <c r="BC668" s="6">
        <v>334</v>
      </c>
      <c r="BD668" s="6">
        <v>183.41129032258064</v>
      </c>
    </row>
    <row r="669" spans="52:56" x14ac:dyDescent="0.25">
      <c r="AZ669" s="6">
        <v>666</v>
      </c>
      <c r="BA669" s="6">
        <v>1.8947368421052633E-2</v>
      </c>
      <c r="BB669" s="6">
        <v>0</v>
      </c>
      <c r="BC669" s="6">
        <v>334</v>
      </c>
      <c r="BD669" s="6">
        <v>183.68709677419355</v>
      </c>
    </row>
    <row r="670" spans="52:56" x14ac:dyDescent="0.25">
      <c r="AZ670" s="6">
        <v>667</v>
      </c>
      <c r="BA670" s="6">
        <v>1.8947368421052633E-2</v>
      </c>
      <c r="BB670" s="6">
        <v>0</v>
      </c>
      <c r="BC670" s="6">
        <v>334</v>
      </c>
      <c r="BD670" s="6">
        <v>183.96290322580646</v>
      </c>
    </row>
    <row r="671" spans="52:56" x14ac:dyDescent="0.25">
      <c r="AZ671" s="6">
        <v>668</v>
      </c>
      <c r="BA671" s="6">
        <v>1.8947368421052633E-2</v>
      </c>
      <c r="BB671" s="6">
        <v>0</v>
      </c>
      <c r="BC671" s="6">
        <v>334</v>
      </c>
      <c r="BD671" s="6">
        <v>184.23870967741937</v>
      </c>
    </row>
    <row r="672" spans="52:56" x14ac:dyDescent="0.25">
      <c r="AZ672" s="6">
        <v>669</v>
      </c>
      <c r="BA672" s="6">
        <v>1.8947368421052633E-2</v>
      </c>
      <c r="BB672" s="6">
        <v>0</v>
      </c>
      <c r="BC672" s="6">
        <v>334</v>
      </c>
      <c r="BD672" s="6">
        <v>184.51451612903227</v>
      </c>
    </row>
    <row r="673" spans="52:56" x14ac:dyDescent="0.25">
      <c r="AZ673" s="6">
        <v>670</v>
      </c>
      <c r="BA673" s="6">
        <v>1.8947368421052633E-2</v>
      </c>
      <c r="BB673" s="6">
        <v>0</v>
      </c>
      <c r="BC673" s="6">
        <v>334</v>
      </c>
      <c r="BD673" s="6">
        <v>184.79032258064518</v>
      </c>
    </row>
    <row r="674" spans="52:56" x14ac:dyDescent="0.25">
      <c r="AZ674" s="6">
        <v>671</v>
      </c>
      <c r="BA674" s="6">
        <v>1.8947368421052633E-2</v>
      </c>
      <c r="BB674" s="6">
        <v>0</v>
      </c>
      <c r="BC674" s="6">
        <v>334</v>
      </c>
      <c r="BD674" s="6">
        <v>185.06612903225806</v>
      </c>
    </row>
    <row r="675" spans="52:56" x14ac:dyDescent="0.25">
      <c r="AZ675" s="6">
        <v>672</v>
      </c>
      <c r="BA675" s="6">
        <v>1.8947368421052633E-2</v>
      </c>
      <c r="BB675" s="6">
        <v>0</v>
      </c>
      <c r="BC675" s="6">
        <v>334</v>
      </c>
      <c r="BD675" s="6">
        <v>185.34193548387097</v>
      </c>
    </row>
    <row r="676" spans="52:56" x14ac:dyDescent="0.25">
      <c r="AZ676" s="6">
        <v>673</v>
      </c>
      <c r="BA676" s="6">
        <v>1.8947368421052633E-2</v>
      </c>
      <c r="BB676" s="6">
        <v>0</v>
      </c>
      <c r="BC676" s="6">
        <v>334</v>
      </c>
      <c r="BD676" s="6">
        <v>185.61774193548388</v>
      </c>
    </row>
    <row r="677" spans="52:56" x14ac:dyDescent="0.25">
      <c r="AZ677" s="6">
        <v>674</v>
      </c>
      <c r="BA677" s="6">
        <v>1.8947368421052633E-2</v>
      </c>
      <c r="BB677" s="6">
        <v>1</v>
      </c>
      <c r="BC677" s="6">
        <v>335</v>
      </c>
      <c r="BD677" s="6">
        <v>185.89354838709679</v>
      </c>
    </row>
    <row r="678" spans="52:56" x14ac:dyDescent="0.25">
      <c r="AZ678" s="6">
        <v>675</v>
      </c>
      <c r="BA678" s="6">
        <v>1.8947368421052633E-2</v>
      </c>
      <c r="BB678" s="6">
        <v>0</v>
      </c>
      <c r="BC678" s="6">
        <v>335</v>
      </c>
      <c r="BD678" s="6">
        <v>186.16935483870969</v>
      </c>
    </row>
    <row r="679" spans="52:56" x14ac:dyDescent="0.25">
      <c r="AZ679" s="6">
        <v>676</v>
      </c>
      <c r="BA679" s="6">
        <v>1.8947368421052633E-2</v>
      </c>
      <c r="BB679" s="6">
        <v>0</v>
      </c>
      <c r="BC679" s="6">
        <v>335</v>
      </c>
      <c r="BD679" s="6">
        <v>186.44516129032257</v>
      </c>
    </row>
    <row r="680" spans="52:56" x14ac:dyDescent="0.25">
      <c r="AZ680" s="6">
        <v>677</v>
      </c>
      <c r="BA680" s="6">
        <v>1.8947368421052633E-2</v>
      </c>
      <c r="BB680" s="6">
        <v>0</v>
      </c>
      <c r="BC680" s="6">
        <v>335</v>
      </c>
      <c r="BD680" s="6">
        <v>186.72096774193548</v>
      </c>
    </row>
    <row r="681" spans="52:56" x14ac:dyDescent="0.25">
      <c r="AZ681" s="6">
        <v>678</v>
      </c>
      <c r="BA681" s="6">
        <v>1.8947368421052633E-2</v>
      </c>
      <c r="BB681" s="6">
        <v>0</v>
      </c>
      <c r="BC681" s="6">
        <v>335</v>
      </c>
      <c r="BD681" s="6">
        <v>186.99677419354839</v>
      </c>
    </row>
    <row r="682" spans="52:56" x14ac:dyDescent="0.25">
      <c r="AZ682" s="6">
        <v>679</v>
      </c>
      <c r="BA682" s="6">
        <v>1.8947368421052633E-2</v>
      </c>
      <c r="BB682" s="6">
        <v>0</v>
      </c>
      <c r="BC682" s="6">
        <v>335</v>
      </c>
      <c r="BD682" s="6">
        <v>187.2725806451613</v>
      </c>
    </row>
    <row r="683" spans="52:56" x14ac:dyDescent="0.25">
      <c r="AZ683" s="6">
        <v>680</v>
      </c>
      <c r="BA683" s="6">
        <v>1.8947368421052633E-2</v>
      </c>
      <c r="BB683" s="6">
        <v>0</v>
      </c>
      <c r="BC683" s="6">
        <v>335</v>
      </c>
      <c r="BD683" s="6">
        <v>187.54838709677421</v>
      </c>
    </row>
    <row r="684" spans="52:56" x14ac:dyDescent="0.25">
      <c r="AZ684" s="6">
        <v>681</v>
      </c>
      <c r="BA684" s="6">
        <v>1.8947368421052633E-2</v>
      </c>
      <c r="BB684" s="6">
        <v>0</v>
      </c>
      <c r="BC684" s="6">
        <v>335</v>
      </c>
      <c r="BD684" s="6">
        <v>187.82419354838711</v>
      </c>
    </row>
    <row r="685" spans="52:56" x14ac:dyDescent="0.25">
      <c r="AZ685" s="6">
        <v>682</v>
      </c>
      <c r="BA685" s="6">
        <v>1.8947368421052633E-2</v>
      </c>
      <c r="BB685" s="6">
        <v>0</v>
      </c>
      <c r="BC685" s="6">
        <v>335</v>
      </c>
      <c r="BD685" s="6">
        <v>188.1</v>
      </c>
    </row>
    <row r="686" spans="52:56" x14ac:dyDescent="0.25">
      <c r="AZ686" s="6">
        <v>683</v>
      </c>
      <c r="BA686" s="6">
        <v>1.8947368421052633E-2</v>
      </c>
      <c r="BB686" s="6">
        <v>0</v>
      </c>
      <c r="BC686" s="6">
        <v>335</v>
      </c>
      <c r="BD686" s="6">
        <v>188.3758064516129</v>
      </c>
    </row>
    <row r="687" spans="52:56" x14ac:dyDescent="0.25">
      <c r="AZ687" s="6">
        <v>684</v>
      </c>
      <c r="BA687" s="6">
        <v>1.8947368421052633E-2</v>
      </c>
      <c r="BB687" s="6">
        <v>0</v>
      </c>
      <c r="BC687" s="6">
        <v>335</v>
      </c>
      <c r="BD687" s="6">
        <v>188.65161290322581</v>
      </c>
    </row>
    <row r="688" spans="52:56" x14ac:dyDescent="0.25">
      <c r="AZ688" s="6">
        <v>685</v>
      </c>
      <c r="BA688" s="6">
        <v>1.8947368421052633E-2</v>
      </c>
      <c r="BB688" s="6">
        <v>0</v>
      </c>
      <c r="BC688" s="6">
        <v>335</v>
      </c>
      <c r="BD688" s="6">
        <v>188.92741935483872</v>
      </c>
    </row>
    <row r="689" spans="52:56" x14ac:dyDescent="0.25">
      <c r="AZ689" s="6">
        <v>686</v>
      </c>
      <c r="BA689" s="6">
        <v>1.8947368421052633E-2</v>
      </c>
      <c r="BB689" s="6">
        <v>0</v>
      </c>
      <c r="BC689" s="6">
        <v>335</v>
      </c>
      <c r="BD689" s="6">
        <v>189.20322580645163</v>
      </c>
    </row>
    <row r="690" spans="52:56" x14ac:dyDescent="0.25">
      <c r="AZ690" s="6">
        <v>687</v>
      </c>
      <c r="BA690" s="6">
        <v>1.8947368421052633E-2</v>
      </c>
      <c r="BB690" s="6">
        <v>0</v>
      </c>
      <c r="BC690" s="6">
        <v>335</v>
      </c>
      <c r="BD690" s="6">
        <v>189.47903225806454</v>
      </c>
    </row>
    <row r="691" spans="52:56" x14ac:dyDescent="0.25">
      <c r="AZ691" s="6">
        <v>688</v>
      </c>
      <c r="BA691" s="6">
        <v>1.8947368421052633E-2</v>
      </c>
      <c r="BB691" s="6">
        <v>0</v>
      </c>
      <c r="BC691" s="6">
        <v>335</v>
      </c>
      <c r="BD691" s="6">
        <v>189.75483870967741</v>
      </c>
    </row>
    <row r="692" spans="52:56" x14ac:dyDescent="0.25">
      <c r="AZ692" s="6">
        <v>689</v>
      </c>
      <c r="BA692" s="6">
        <v>1.8947368421052633E-2</v>
      </c>
      <c r="BB692" s="6">
        <v>0</v>
      </c>
      <c r="BC692" s="6">
        <v>335</v>
      </c>
      <c r="BD692" s="6">
        <v>190.03064516129032</v>
      </c>
    </row>
    <row r="693" spans="52:56" x14ac:dyDescent="0.25">
      <c r="AZ693" s="6">
        <v>690</v>
      </c>
      <c r="BA693" s="6">
        <v>1.8947368421052633E-2</v>
      </c>
      <c r="BB693" s="6">
        <v>0</v>
      </c>
      <c r="BC693" s="6">
        <v>335</v>
      </c>
      <c r="BD693" s="6">
        <v>190.30645161290323</v>
      </c>
    </row>
    <row r="694" spans="52:56" x14ac:dyDescent="0.25">
      <c r="AZ694" s="6">
        <v>691</v>
      </c>
      <c r="BA694" s="6">
        <v>1.8947368421052633E-2</v>
      </c>
      <c r="BB694" s="6">
        <v>0</v>
      </c>
      <c r="BC694" s="6">
        <v>335</v>
      </c>
      <c r="BD694" s="6">
        <v>190.58225806451614</v>
      </c>
    </row>
    <row r="695" spans="52:56" x14ac:dyDescent="0.25">
      <c r="AZ695" s="6">
        <v>692</v>
      </c>
      <c r="BA695" s="6">
        <v>1.8947368421052633E-2</v>
      </c>
      <c r="BB695" s="6">
        <v>1</v>
      </c>
      <c r="BC695" s="6">
        <v>336</v>
      </c>
      <c r="BD695" s="6">
        <v>190.85806451612905</v>
      </c>
    </row>
    <row r="696" spans="52:56" x14ac:dyDescent="0.25">
      <c r="AZ696" s="6">
        <v>693</v>
      </c>
      <c r="BA696" s="6">
        <v>1.8947368421052633E-2</v>
      </c>
      <c r="BB696" s="6">
        <v>0</v>
      </c>
      <c r="BC696" s="6">
        <v>336</v>
      </c>
      <c r="BD696" s="6">
        <v>191.13387096774196</v>
      </c>
    </row>
    <row r="697" spans="52:56" x14ac:dyDescent="0.25">
      <c r="AZ697" s="6">
        <v>694</v>
      </c>
      <c r="BA697" s="6">
        <v>1.8947368421052633E-2</v>
      </c>
      <c r="BB697" s="6">
        <v>0</v>
      </c>
      <c r="BC697" s="6">
        <v>336</v>
      </c>
      <c r="BD697" s="6">
        <v>191.40967741935484</v>
      </c>
    </row>
    <row r="698" spans="52:56" x14ac:dyDescent="0.25">
      <c r="AZ698" s="6">
        <v>695</v>
      </c>
      <c r="BA698" s="6">
        <v>1.8947368421052633E-2</v>
      </c>
      <c r="BB698" s="6">
        <v>0</v>
      </c>
      <c r="BC698" s="6">
        <v>336</v>
      </c>
      <c r="BD698" s="6">
        <v>191.68548387096774</v>
      </c>
    </row>
    <row r="699" spans="52:56" x14ac:dyDescent="0.25">
      <c r="AZ699" s="6">
        <v>696</v>
      </c>
      <c r="BA699" s="6">
        <v>1.8947368421052633E-2</v>
      </c>
      <c r="BB699" s="6">
        <v>0</v>
      </c>
      <c r="BC699" s="6">
        <v>336</v>
      </c>
      <c r="BD699" s="6">
        <v>191.96129032258065</v>
      </c>
    </row>
    <row r="700" spans="52:56" x14ac:dyDescent="0.25">
      <c r="AZ700" s="6">
        <v>697</v>
      </c>
      <c r="BA700" s="6">
        <v>1.8947368421052633E-2</v>
      </c>
      <c r="BB700" s="6">
        <v>0</v>
      </c>
      <c r="BC700" s="6">
        <v>336</v>
      </c>
      <c r="BD700" s="6">
        <v>192.23709677419356</v>
      </c>
    </row>
    <row r="701" spans="52:56" x14ac:dyDescent="0.25">
      <c r="AZ701" s="6">
        <v>698</v>
      </c>
      <c r="BA701" s="6">
        <v>1.8947368421052633E-2</v>
      </c>
      <c r="BB701" s="6">
        <v>0</v>
      </c>
      <c r="BC701" s="6">
        <v>336</v>
      </c>
      <c r="BD701" s="6">
        <v>192.51290322580647</v>
      </c>
    </row>
    <row r="702" spans="52:56" x14ac:dyDescent="0.25">
      <c r="AZ702" s="6">
        <v>699</v>
      </c>
      <c r="BA702" s="6">
        <v>1.8947368421052633E-2</v>
      </c>
      <c r="BB702" s="6">
        <v>0</v>
      </c>
      <c r="BC702" s="6">
        <v>336</v>
      </c>
      <c r="BD702" s="6">
        <v>192.78870967741935</v>
      </c>
    </row>
    <row r="703" spans="52:56" x14ac:dyDescent="0.25">
      <c r="AZ703" s="6">
        <v>700</v>
      </c>
      <c r="BA703" s="6">
        <v>1.8947368421052633E-2</v>
      </c>
      <c r="BB703" s="6">
        <v>0</v>
      </c>
      <c r="BC703" s="6">
        <v>336</v>
      </c>
      <c r="BD703" s="6">
        <v>193.06451612903226</v>
      </c>
    </row>
    <row r="704" spans="52:56" x14ac:dyDescent="0.25">
      <c r="AZ704" s="6">
        <v>701</v>
      </c>
      <c r="BA704" s="6">
        <v>1.8947368421052633E-2</v>
      </c>
      <c r="BB704" s="6">
        <v>0</v>
      </c>
      <c r="BC704" s="6">
        <v>336</v>
      </c>
      <c r="BD704" s="6">
        <v>193.34032258064516</v>
      </c>
    </row>
    <row r="705" spans="52:56" x14ac:dyDescent="0.25">
      <c r="AZ705" s="6">
        <v>702</v>
      </c>
      <c r="BA705" s="6">
        <v>1.8947368421052633E-2</v>
      </c>
      <c r="BB705" s="6">
        <v>0</v>
      </c>
      <c r="BC705" s="6">
        <v>336</v>
      </c>
      <c r="BD705" s="6">
        <v>193.61612903225807</v>
      </c>
    </row>
    <row r="706" spans="52:56" x14ac:dyDescent="0.25">
      <c r="AZ706" s="6">
        <v>703</v>
      </c>
      <c r="BA706" s="6">
        <v>1.8947368421052633E-2</v>
      </c>
      <c r="BB706" s="6">
        <v>0</v>
      </c>
      <c r="BC706" s="6">
        <v>336</v>
      </c>
      <c r="BD706" s="6">
        <v>193.89193548387098</v>
      </c>
    </row>
    <row r="707" spans="52:56" x14ac:dyDescent="0.25">
      <c r="AZ707" s="6">
        <v>704</v>
      </c>
      <c r="BA707" s="6">
        <v>1.8947368421052633E-2</v>
      </c>
      <c r="BB707" s="6">
        <v>0</v>
      </c>
      <c r="BC707" s="6">
        <v>336</v>
      </c>
      <c r="BD707" s="6">
        <v>194.16774193548389</v>
      </c>
    </row>
    <row r="708" spans="52:56" x14ac:dyDescent="0.25">
      <c r="AZ708" s="6">
        <v>705</v>
      </c>
      <c r="BA708" s="6">
        <v>1.8947368421052633E-2</v>
      </c>
      <c r="BB708" s="6">
        <v>0</v>
      </c>
      <c r="BC708" s="6">
        <v>336</v>
      </c>
      <c r="BD708" s="6">
        <v>194.44354838709677</v>
      </c>
    </row>
    <row r="709" spans="52:56" x14ac:dyDescent="0.25">
      <c r="AZ709" s="6">
        <v>706</v>
      </c>
      <c r="BA709" s="6">
        <v>1.8947368421052633E-2</v>
      </c>
      <c r="BB709" s="6">
        <v>0</v>
      </c>
      <c r="BC709" s="6">
        <v>336</v>
      </c>
      <c r="BD709" s="6">
        <v>194.71935483870968</v>
      </c>
    </row>
    <row r="710" spans="52:56" x14ac:dyDescent="0.25">
      <c r="AZ710" s="6">
        <v>707</v>
      </c>
      <c r="BA710" s="6">
        <v>1.8947368421052633E-2</v>
      </c>
      <c r="BB710" s="6">
        <v>1</v>
      </c>
      <c r="BC710" s="6">
        <v>337</v>
      </c>
      <c r="BD710" s="6">
        <v>194.99516129032259</v>
      </c>
    </row>
    <row r="711" spans="52:56" x14ac:dyDescent="0.25">
      <c r="AZ711" s="6">
        <v>708</v>
      </c>
      <c r="BA711" s="6">
        <v>1.8947368421052633E-2</v>
      </c>
      <c r="BB711" s="6">
        <v>0</v>
      </c>
      <c r="BC711" s="6">
        <v>337</v>
      </c>
      <c r="BD711" s="6">
        <v>195.27096774193549</v>
      </c>
    </row>
    <row r="712" spans="52:56" x14ac:dyDescent="0.25">
      <c r="AZ712" s="6">
        <v>709</v>
      </c>
      <c r="BA712" s="6">
        <v>1.8947368421052633E-2</v>
      </c>
      <c r="BB712" s="6">
        <v>0</v>
      </c>
      <c r="BC712" s="6">
        <v>337</v>
      </c>
      <c r="BD712" s="6">
        <v>195.5467741935484</v>
      </c>
    </row>
    <row r="713" spans="52:56" x14ac:dyDescent="0.25">
      <c r="AZ713" s="6">
        <v>710</v>
      </c>
      <c r="BA713" s="6">
        <v>1.8947368421052633E-2</v>
      </c>
      <c r="BB713" s="6">
        <v>0</v>
      </c>
      <c r="BC713" s="6">
        <v>337</v>
      </c>
      <c r="BD713" s="6">
        <v>195.82258064516131</v>
      </c>
    </row>
    <row r="714" spans="52:56" x14ac:dyDescent="0.25">
      <c r="AZ714" s="6">
        <v>711</v>
      </c>
      <c r="BA714" s="6">
        <v>1.8947368421052633E-2</v>
      </c>
      <c r="BB714" s="6">
        <v>0</v>
      </c>
      <c r="BC714" s="6">
        <v>337</v>
      </c>
      <c r="BD714" s="6">
        <v>196.09838709677419</v>
      </c>
    </row>
    <row r="715" spans="52:56" x14ac:dyDescent="0.25">
      <c r="AZ715" s="6">
        <v>712</v>
      </c>
      <c r="BA715" s="6">
        <v>1.8947368421052633E-2</v>
      </c>
      <c r="BB715" s="6">
        <v>0</v>
      </c>
      <c r="BC715" s="6">
        <v>337</v>
      </c>
      <c r="BD715" s="6">
        <v>196.3741935483871</v>
      </c>
    </row>
    <row r="716" spans="52:56" x14ac:dyDescent="0.25">
      <c r="AZ716" s="6">
        <v>713</v>
      </c>
      <c r="BA716" s="6">
        <v>1.8947368421052633E-2</v>
      </c>
      <c r="BB716" s="6">
        <v>0</v>
      </c>
      <c r="BC716" s="6">
        <v>337</v>
      </c>
      <c r="BD716" s="6">
        <v>196.65</v>
      </c>
    </row>
    <row r="717" spans="52:56" x14ac:dyDescent="0.25">
      <c r="AZ717" s="6">
        <v>714</v>
      </c>
      <c r="BA717" s="6">
        <v>1.8947368421052633E-2</v>
      </c>
      <c r="BB717" s="6">
        <v>0</v>
      </c>
      <c r="BC717" s="6">
        <v>337</v>
      </c>
      <c r="BD717" s="6">
        <v>196.92580645161291</v>
      </c>
    </row>
    <row r="718" spans="52:56" x14ac:dyDescent="0.25">
      <c r="AZ718" s="6">
        <v>715</v>
      </c>
      <c r="BA718" s="6">
        <v>1.8947368421052633E-2</v>
      </c>
      <c r="BB718" s="6">
        <v>0</v>
      </c>
      <c r="BC718" s="6">
        <v>337</v>
      </c>
      <c r="BD718" s="6">
        <v>197.20161290322582</v>
      </c>
    </row>
    <row r="719" spans="52:56" x14ac:dyDescent="0.25">
      <c r="AZ719" s="6">
        <v>716</v>
      </c>
      <c r="BA719" s="6">
        <v>1.8947368421052633E-2</v>
      </c>
      <c r="BB719" s="6">
        <v>0</v>
      </c>
      <c r="BC719" s="6">
        <v>337</v>
      </c>
      <c r="BD719" s="6">
        <v>197.47741935483873</v>
      </c>
    </row>
    <row r="720" spans="52:56" x14ac:dyDescent="0.25">
      <c r="AZ720" s="6">
        <v>717</v>
      </c>
      <c r="BA720" s="6">
        <v>1.8947368421052633E-2</v>
      </c>
      <c r="BB720" s="6">
        <v>0</v>
      </c>
      <c r="BC720" s="6">
        <v>337</v>
      </c>
      <c r="BD720" s="6">
        <v>197.75322580645161</v>
      </c>
    </row>
    <row r="721" spans="52:56" x14ac:dyDescent="0.25">
      <c r="AZ721" s="6">
        <v>718</v>
      </c>
      <c r="BA721" s="6">
        <v>1.8947368421052633E-2</v>
      </c>
      <c r="BB721" s="6">
        <v>0</v>
      </c>
      <c r="BC721" s="6">
        <v>337</v>
      </c>
      <c r="BD721" s="6">
        <v>198.02903225806452</v>
      </c>
    </row>
    <row r="722" spans="52:56" x14ac:dyDescent="0.25">
      <c r="AZ722" s="6">
        <v>719</v>
      </c>
      <c r="BA722" s="6">
        <v>1.8947368421052633E-2</v>
      </c>
      <c r="BB722" s="6">
        <v>0</v>
      </c>
      <c r="BC722" s="6">
        <v>337</v>
      </c>
      <c r="BD722" s="6">
        <v>198.30483870967743</v>
      </c>
    </row>
    <row r="723" spans="52:56" x14ac:dyDescent="0.25">
      <c r="AZ723" s="6">
        <v>720</v>
      </c>
      <c r="BA723" s="6">
        <v>1.8947368421052633E-2</v>
      </c>
      <c r="BB723" s="6">
        <v>0</v>
      </c>
      <c r="BC723" s="6">
        <v>337</v>
      </c>
      <c r="BD723" s="6">
        <v>198.58064516129033</v>
      </c>
    </row>
    <row r="724" spans="52:56" x14ac:dyDescent="0.25">
      <c r="AZ724" s="6">
        <v>721</v>
      </c>
      <c r="BA724" s="6">
        <v>1.8947368421052633E-2</v>
      </c>
      <c r="BB724" s="6">
        <v>0</v>
      </c>
      <c r="BC724" s="6">
        <v>337</v>
      </c>
      <c r="BD724" s="6">
        <v>198.85645161290324</v>
      </c>
    </row>
    <row r="725" spans="52:56" x14ac:dyDescent="0.25">
      <c r="AZ725" s="6">
        <v>722</v>
      </c>
      <c r="BA725" s="6">
        <v>1.8947368421052633E-2</v>
      </c>
      <c r="BB725" s="6">
        <v>0</v>
      </c>
      <c r="BC725" s="6">
        <v>337</v>
      </c>
      <c r="BD725" s="6">
        <v>199.13225806451612</v>
      </c>
    </row>
    <row r="726" spans="52:56" x14ac:dyDescent="0.25">
      <c r="AZ726" s="6">
        <v>723</v>
      </c>
      <c r="BA726" s="6">
        <v>1.8947368421052633E-2</v>
      </c>
      <c r="BB726" s="6">
        <v>0</v>
      </c>
      <c r="BC726" s="6">
        <v>337</v>
      </c>
      <c r="BD726" s="6">
        <v>199.40806451612903</v>
      </c>
    </row>
    <row r="727" spans="52:56" x14ac:dyDescent="0.25">
      <c r="AZ727" s="6">
        <v>724</v>
      </c>
      <c r="BA727" s="6">
        <v>1.8947368421052633E-2</v>
      </c>
      <c r="BB727" s="6">
        <v>0</v>
      </c>
      <c r="BC727" s="6">
        <v>337</v>
      </c>
      <c r="BD727" s="6">
        <v>199.68387096774194</v>
      </c>
    </row>
    <row r="728" spans="52:56" x14ac:dyDescent="0.25">
      <c r="AZ728" s="6">
        <v>725</v>
      </c>
      <c r="BA728" s="6">
        <v>1.8947368421052633E-2</v>
      </c>
      <c r="BB728" s="6">
        <v>0</v>
      </c>
      <c r="BC728" s="6">
        <v>337</v>
      </c>
      <c r="BD728" s="6">
        <v>199.95967741935485</v>
      </c>
    </row>
    <row r="729" spans="52:56" x14ac:dyDescent="0.25">
      <c r="AZ729" s="6">
        <v>726</v>
      </c>
      <c r="BA729" s="6">
        <v>1.8947368421052633E-2</v>
      </c>
      <c r="BB729" s="6">
        <v>0</v>
      </c>
      <c r="BC729" s="6">
        <v>337</v>
      </c>
      <c r="BD729" s="6">
        <v>200.23548387096776</v>
      </c>
    </row>
    <row r="730" spans="52:56" x14ac:dyDescent="0.25">
      <c r="AZ730" s="6">
        <v>727</v>
      </c>
      <c r="BA730" s="6">
        <v>1.8947368421052633E-2</v>
      </c>
      <c r="BB730" s="6">
        <v>0</v>
      </c>
      <c r="BC730" s="6">
        <v>337</v>
      </c>
      <c r="BD730" s="6">
        <v>200.51129032258066</v>
      </c>
    </row>
    <row r="731" spans="52:56" x14ac:dyDescent="0.25">
      <c r="AZ731" s="6">
        <v>728</v>
      </c>
      <c r="BA731" s="6">
        <v>1.8947368421052633E-2</v>
      </c>
      <c r="BB731" s="6">
        <v>0</v>
      </c>
      <c r="BC731" s="6">
        <v>337</v>
      </c>
      <c r="BD731" s="6">
        <v>200.78709677419354</v>
      </c>
    </row>
    <row r="732" spans="52:56" x14ac:dyDescent="0.25">
      <c r="AZ732" s="6">
        <v>729</v>
      </c>
      <c r="BA732" s="6">
        <v>1.8947368421052633E-2</v>
      </c>
      <c r="BB732" s="6">
        <v>0</v>
      </c>
      <c r="BC732" s="6">
        <v>337</v>
      </c>
      <c r="BD732" s="6">
        <v>201.06290322580645</v>
      </c>
    </row>
    <row r="733" spans="52:56" x14ac:dyDescent="0.25">
      <c r="AZ733" s="6">
        <v>730</v>
      </c>
      <c r="BA733" s="6">
        <v>1.8947368421052633E-2</v>
      </c>
      <c r="BB733" s="6">
        <v>0</v>
      </c>
      <c r="BC733" s="6">
        <v>337</v>
      </c>
      <c r="BD733" s="6">
        <v>201.33870967741936</v>
      </c>
    </row>
    <row r="734" spans="52:56" x14ac:dyDescent="0.25">
      <c r="AZ734" s="6">
        <v>731</v>
      </c>
      <c r="BA734" s="6">
        <v>1.8947368421052633E-2</v>
      </c>
      <c r="BB734" s="6">
        <v>0</v>
      </c>
      <c r="BC734" s="6">
        <v>337</v>
      </c>
      <c r="BD734" s="6">
        <v>201.61451612903227</v>
      </c>
    </row>
    <row r="735" spans="52:56" x14ac:dyDescent="0.25">
      <c r="AZ735" s="6">
        <v>732</v>
      </c>
      <c r="BA735" s="6">
        <v>1.8947368421052633E-2</v>
      </c>
      <c r="BB735" s="6">
        <v>0</v>
      </c>
      <c r="BC735" s="6">
        <v>337</v>
      </c>
      <c r="BD735" s="6">
        <v>201.89032258064518</v>
      </c>
    </row>
    <row r="736" spans="52:56" x14ac:dyDescent="0.25">
      <c r="AZ736" s="6">
        <v>733</v>
      </c>
      <c r="BA736" s="6">
        <v>1.8947368421052633E-2</v>
      </c>
      <c r="BB736" s="6">
        <v>0</v>
      </c>
      <c r="BC736" s="6">
        <v>337</v>
      </c>
      <c r="BD736" s="6">
        <v>202.16612903225808</v>
      </c>
    </row>
    <row r="737" spans="52:56" x14ac:dyDescent="0.25">
      <c r="AZ737" s="6">
        <v>734</v>
      </c>
      <c r="BA737" s="6">
        <v>1.8947368421052633E-2</v>
      </c>
      <c r="BB737" s="6">
        <v>0</v>
      </c>
      <c r="BC737" s="6">
        <v>337</v>
      </c>
      <c r="BD737" s="6">
        <v>202.44193548387096</v>
      </c>
    </row>
    <row r="738" spans="52:56" x14ac:dyDescent="0.25">
      <c r="AZ738" s="6">
        <v>735</v>
      </c>
      <c r="BA738" s="6">
        <v>1.8947368421052633E-2</v>
      </c>
      <c r="BB738" s="6">
        <v>0</v>
      </c>
      <c r="BC738" s="6">
        <v>337</v>
      </c>
      <c r="BD738" s="6">
        <v>202.71774193548387</v>
      </c>
    </row>
    <row r="739" spans="52:56" x14ac:dyDescent="0.25">
      <c r="AZ739" s="6">
        <v>736</v>
      </c>
      <c r="BA739" s="6">
        <v>1.8947368421052633E-2</v>
      </c>
      <c r="BB739" s="6">
        <v>0</v>
      </c>
      <c r="BC739" s="6">
        <v>337</v>
      </c>
      <c r="BD739" s="6">
        <v>202.99354838709678</v>
      </c>
    </row>
    <row r="740" spans="52:56" x14ac:dyDescent="0.25">
      <c r="AZ740" s="6">
        <v>737</v>
      </c>
      <c r="BA740" s="6">
        <v>1.8947368421052633E-2</v>
      </c>
      <c r="BB740" s="6">
        <v>0</v>
      </c>
      <c r="BC740" s="6">
        <v>337</v>
      </c>
      <c r="BD740" s="6">
        <v>203.26935483870969</v>
      </c>
    </row>
    <row r="741" spans="52:56" x14ac:dyDescent="0.25">
      <c r="AZ741" s="6">
        <v>738</v>
      </c>
      <c r="BA741" s="6">
        <v>1.8947368421052633E-2</v>
      </c>
      <c r="BB741" s="6">
        <v>0</v>
      </c>
      <c r="BC741" s="6">
        <v>337</v>
      </c>
      <c r="BD741" s="6">
        <v>203.5451612903226</v>
      </c>
    </row>
    <row r="742" spans="52:56" x14ac:dyDescent="0.25">
      <c r="AZ742" s="6">
        <v>739</v>
      </c>
      <c r="BA742" s="6">
        <v>1.8947368421052633E-2</v>
      </c>
      <c r="BB742" s="6">
        <v>0</v>
      </c>
      <c r="BC742" s="6">
        <v>337</v>
      </c>
      <c r="BD742" s="6">
        <v>203.8209677419355</v>
      </c>
    </row>
    <row r="743" spans="52:56" x14ac:dyDescent="0.25">
      <c r="AZ743" s="6">
        <v>740</v>
      </c>
      <c r="BA743" s="6">
        <v>1.8947368421052633E-2</v>
      </c>
      <c r="BB743" s="6">
        <v>0</v>
      </c>
      <c r="BC743" s="6">
        <v>337</v>
      </c>
      <c r="BD743" s="6">
        <v>204.09677419354838</v>
      </c>
    </row>
    <row r="744" spans="52:56" x14ac:dyDescent="0.25">
      <c r="AZ744" s="6">
        <v>741</v>
      </c>
      <c r="BA744" s="6">
        <v>1.8947368421052633E-2</v>
      </c>
      <c r="BB744" s="6">
        <v>0</v>
      </c>
      <c r="BC744" s="6">
        <v>337</v>
      </c>
      <c r="BD744" s="6">
        <v>204.37258064516129</v>
      </c>
    </row>
    <row r="745" spans="52:56" x14ac:dyDescent="0.25">
      <c r="AZ745" s="6">
        <v>742</v>
      </c>
      <c r="BA745" s="6">
        <v>1.8947368421052633E-2</v>
      </c>
      <c r="BB745" s="6">
        <v>0</v>
      </c>
      <c r="BC745" s="6">
        <v>337</v>
      </c>
      <c r="BD745" s="6">
        <v>204.6483870967742</v>
      </c>
    </row>
    <row r="746" spans="52:56" x14ac:dyDescent="0.25">
      <c r="AZ746" s="6">
        <v>743</v>
      </c>
      <c r="BA746" s="6">
        <v>1.8947368421052633E-2</v>
      </c>
      <c r="BB746" s="6">
        <v>0</v>
      </c>
      <c r="BC746" s="6">
        <v>337</v>
      </c>
      <c r="BD746" s="6">
        <v>204.92419354838711</v>
      </c>
    </row>
    <row r="747" spans="52:56" x14ac:dyDescent="0.25">
      <c r="AZ747" s="6">
        <v>744</v>
      </c>
      <c r="BA747" s="6">
        <v>1.8947368421052633E-2</v>
      </c>
      <c r="BB747" s="6">
        <v>0</v>
      </c>
      <c r="BC747" s="6">
        <v>337</v>
      </c>
      <c r="BD747" s="6">
        <v>205.20000000000002</v>
      </c>
    </row>
    <row r="748" spans="52:56" x14ac:dyDescent="0.25">
      <c r="AZ748" s="5">
        <v>745</v>
      </c>
      <c r="BA748" s="5">
        <v>1.8947368421052633E-2</v>
      </c>
      <c r="BB748" s="5">
        <v>0</v>
      </c>
      <c r="BC748" s="5">
        <v>337</v>
      </c>
      <c r="BD748" s="5">
        <v>205.4758064516129</v>
      </c>
    </row>
    <row r="749" spans="52:56" x14ac:dyDescent="0.25">
      <c r="AZ749" s="5">
        <v>746</v>
      </c>
      <c r="BA749" s="5">
        <v>1.8947368421052633E-2</v>
      </c>
      <c r="BB749" s="5">
        <v>0</v>
      </c>
      <c r="BC749" s="5">
        <v>337</v>
      </c>
      <c r="BD749" s="5">
        <v>205.7516129032258</v>
      </c>
    </row>
    <row r="750" spans="52:56" x14ac:dyDescent="0.25">
      <c r="AZ750" s="5">
        <v>747</v>
      </c>
      <c r="BA750" s="5">
        <v>1.8947368421052633E-2</v>
      </c>
      <c r="BB750" s="5">
        <v>0</v>
      </c>
      <c r="BC750" s="5">
        <v>337</v>
      </c>
      <c r="BD750" s="5">
        <v>206.02741935483871</v>
      </c>
    </row>
    <row r="751" spans="52:56" x14ac:dyDescent="0.25">
      <c r="AZ751" s="5">
        <v>748</v>
      </c>
      <c r="BA751" s="5">
        <v>1.8947368421052633E-2</v>
      </c>
      <c r="BB751" s="5">
        <v>0</v>
      </c>
      <c r="BC751" s="5">
        <v>337</v>
      </c>
      <c r="BD751" s="5">
        <v>206.30322580645162</v>
      </c>
    </row>
    <row r="752" spans="52:56" x14ac:dyDescent="0.25">
      <c r="AZ752" s="5">
        <v>749</v>
      </c>
      <c r="BA752" s="5">
        <v>1.8947368421052633E-2</v>
      </c>
      <c r="BB752" s="5">
        <v>0</v>
      </c>
      <c r="BC752" s="5">
        <v>337</v>
      </c>
      <c r="BD752" s="5">
        <v>206.57903225806453</v>
      </c>
    </row>
    <row r="753" spans="52:56" x14ac:dyDescent="0.25">
      <c r="AZ753" s="5">
        <v>750</v>
      </c>
      <c r="BA753" s="5">
        <v>1.8947368421052633E-2</v>
      </c>
      <c r="BB753" s="5">
        <v>0</v>
      </c>
      <c r="BC753" s="5">
        <v>337</v>
      </c>
      <c r="BD753" s="5">
        <v>206.85483870967744</v>
      </c>
    </row>
    <row r="754" spans="52:56" x14ac:dyDescent="0.25">
      <c r="AZ754" s="5">
        <v>751</v>
      </c>
      <c r="BA754" s="5">
        <v>1.8947368421052633E-2</v>
      </c>
      <c r="BB754" s="5">
        <v>0</v>
      </c>
      <c r="BC754" s="5">
        <v>337</v>
      </c>
      <c r="BD754" s="5">
        <v>207.13064516129032</v>
      </c>
    </row>
    <row r="755" spans="52:56" x14ac:dyDescent="0.25">
      <c r="AZ755" s="5">
        <v>752</v>
      </c>
      <c r="BA755" s="5">
        <v>1.8947368421052633E-2</v>
      </c>
      <c r="BB755" s="5">
        <v>0</v>
      </c>
      <c r="BC755" s="5">
        <v>337</v>
      </c>
      <c r="BD755" s="5">
        <v>207.40645161290323</v>
      </c>
    </row>
    <row r="756" spans="52:56" x14ac:dyDescent="0.25">
      <c r="AZ756" s="5">
        <v>753</v>
      </c>
      <c r="BA756" s="5">
        <v>1.8947368421052633E-2</v>
      </c>
      <c r="BB756" s="5">
        <v>0</v>
      </c>
      <c r="BC756" s="5">
        <v>337</v>
      </c>
      <c r="BD756" s="5">
        <v>207.68225806451613</v>
      </c>
    </row>
    <row r="757" spans="52:56" x14ac:dyDescent="0.25">
      <c r="AZ757" s="5">
        <v>754</v>
      </c>
      <c r="BA757" s="5">
        <v>1.8947368421052633E-2</v>
      </c>
      <c r="BB757" s="5">
        <v>1</v>
      </c>
      <c r="BC757" s="5">
        <v>338</v>
      </c>
      <c r="BD757" s="5">
        <v>207.95806451612904</v>
      </c>
    </row>
    <row r="758" spans="52:56" x14ac:dyDescent="0.25">
      <c r="AZ758" s="5">
        <v>755</v>
      </c>
      <c r="BA758" s="5">
        <v>1.8947368421052633E-2</v>
      </c>
      <c r="BB758" s="5">
        <v>0</v>
      </c>
      <c r="BC758" s="5">
        <v>338</v>
      </c>
      <c r="BD758" s="5">
        <v>208.23387096774195</v>
      </c>
    </row>
    <row r="759" spans="52:56" x14ac:dyDescent="0.25">
      <c r="AZ759" s="5">
        <v>756</v>
      </c>
      <c r="BA759" s="5">
        <v>1.8947368421052633E-2</v>
      </c>
      <c r="BB759" s="5">
        <v>0</v>
      </c>
      <c r="BC759" s="5">
        <v>338</v>
      </c>
      <c r="BD759" s="5">
        <v>208.50967741935486</v>
      </c>
    </row>
    <row r="760" spans="52:56" x14ac:dyDescent="0.25">
      <c r="AZ760" s="5">
        <v>757</v>
      </c>
      <c r="BA760" s="5">
        <v>1.8947368421052633E-2</v>
      </c>
      <c r="BB760" s="5">
        <v>0</v>
      </c>
      <c r="BC760" s="5">
        <v>338</v>
      </c>
      <c r="BD760" s="5">
        <v>208.78548387096774</v>
      </c>
    </row>
    <row r="761" spans="52:56" x14ac:dyDescent="0.25">
      <c r="AZ761" s="5">
        <v>758</v>
      </c>
      <c r="BA761" s="5">
        <v>1.8947368421052633E-2</v>
      </c>
      <c r="BB761" s="5">
        <v>0</v>
      </c>
      <c r="BC761" s="5">
        <v>338</v>
      </c>
      <c r="BD761" s="5">
        <v>209.06129032258065</v>
      </c>
    </row>
    <row r="762" spans="52:56" x14ac:dyDescent="0.25">
      <c r="AZ762" s="5">
        <v>759</v>
      </c>
      <c r="BA762" s="5">
        <v>1.8947368421052633E-2</v>
      </c>
      <c r="BB762" s="5">
        <v>0</v>
      </c>
      <c r="BC762" s="5">
        <v>338</v>
      </c>
      <c r="BD762" s="5">
        <v>209.33709677419355</v>
      </c>
    </row>
    <row r="763" spans="52:56" x14ac:dyDescent="0.25">
      <c r="AZ763" s="5">
        <v>760</v>
      </c>
      <c r="BA763" s="5">
        <v>1.8947368421052633E-2</v>
      </c>
      <c r="BB763" s="5">
        <v>0</v>
      </c>
      <c r="BC763" s="5">
        <v>338</v>
      </c>
      <c r="BD763" s="5">
        <v>209.61290322580646</v>
      </c>
    </row>
    <row r="764" spans="52:56" x14ac:dyDescent="0.25">
      <c r="AZ764" s="5">
        <v>761</v>
      </c>
      <c r="BA764" s="5">
        <v>1.8947368421052633E-2</v>
      </c>
      <c r="BB764" s="5">
        <v>0</v>
      </c>
      <c r="BC764" s="5">
        <v>338</v>
      </c>
      <c r="BD764" s="5">
        <v>209.88870967741937</v>
      </c>
    </row>
    <row r="765" spans="52:56" x14ac:dyDescent="0.25">
      <c r="AZ765" s="5">
        <v>762</v>
      </c>
      <c r="BA765" s="5">
        <v>1.8947368421052633E-2</v>
      </c>
      <c r="BB765" s="5">
        <v>0</v>
      </c>
      <c r="BC765" s="5">
        <v>338</v>
      </c>
      <c r="BD765" s="5">
        <v>210.16451612903228</v>
      </c>
    </row>
    <row r="766" spans="52:56" x14ac:dyDescent="0.25">
      <c r="AZ766" s="5">
        <v>763</v>
      </c>
      <c r="BA766" s="5">
        <v>1.8947368421052633E-2</v>
      </c>
      <c r="BB766" s="5">
        <v>0</v>
      </c>
      <c r="BC766" s="5">
        <v>338</v>
      </c>
      <c r="BD766" s="5">
        <v>210.44032258064516</v>
      </c>
    </row>
    <row r="767" spans="52:56" x14ac:dyDescent="0.25">
      <c r="AZ767" s="5">
        <v>764</v>
      </c>
      <c r="BA767" s="5">
        <v>1.8947368421052633E-2</v>
      </c>
      <c r="BB767" s="5">
        <v>0</v>
      </c>
      <c r="BC767" s="5">
        <v>338</v>
      </c>
      <c r="BD767" s="5">
        <v>210.71612903225807</v>
      </c>
    </row>
    <row r="768" spans="52:56" x14ac:dyDescent="0.25">
      <c r="AZ768" s="5">
        <v>765</v>
      </c>
      <c r="BA768" s="5">
        <v>1.8947368421052633E-2</v>
      </c>
      <c r="BB768" s="5">
        <v>0</v>
      </c>
      <c r="BC768" s="5">
        <v>338</v>
      </c>
      <c r="BD768" s="5">
        <v>210.99193548387098</v>
      </c>
    </row>
    <row r="769" spans="52:56" x14ac:dyDescent="0.25">
      <c r="AZ769" s="5">
        <v>766</v>
      </c>
      <c r="BA769" s="5">
        <v>1.8947368421052633E-2</v>
      </c>
      <c r="BB769" s="5">
        <v>0</v>
      </c>
      <c r="BC769" s="5">
        <v>338</v>
      </c>
      <c r="BD769" s="5">
        <v>211.26774193548388</v>
      </c>
    </row>
    <row r="770" spans="52:56" x14ac:dyDescent="0.25">
      <c r="AZ770" s="5">
        <v>767</v>
      </c>
      <c r="BA770" s="5">
        <v>1.8947368421052633E-2</v>
      </c>
      <c r="BB770" s="5">
        <v>0</v>
      </c>
      <c r="BC770" s="5">
        <v>338</v>
      </c>
      <c r="BD770" s="5">
        <v>211.54354838709679</v>
      </c>
    </row>
    <row r="771" spans="52:56" x14ac:dyDescent="0.25">
      <c r="AZ771" s="5">
        <v>768</v>
      </c>
      <c r="BA771" s="5">
        <v>1.8947368421052633E-2</v>
      </c>
      <c r="BB771" s="5">
        <v>0</v>
      </c>
      <c r="BC771" s="5">
        <v>338</v>
      </c>
      <c r="BD771" s="5">
        <v>211.81935483870967</v>
      </c>
    </row>
    <row r="772" spans="52:56" x14ac:dyDescent="0.25">
      <c r="AZ772" s="5">
        <v>769</v>
      </c>
      <c r="BA772" s="5">
        <v>1.8947368421052633E-2</v>
      </c>
      <c r="BB772" s="5">
        <v>0</v>
      </c>
      <c r="BC772" s="5">
        <v>338</v>
      </c>
      <c r="BD772" s="5">
        <v>212.09516129032258</v>
      </c>
    </row>
    <row r="773" spans="52:56" x14ac:dyDescent="0.25">
      <c r="AZ773" s="5">
        <v>770</v>
      </c>
      <c r="BA773" s="5">
        <v>1.8947368421052633E-2</v>
      </c>
      <c r="BB773" s="5">
        <v>0</v>
      </c>
      <c r="BC773" s="5">
        <v>338</v>
      </c>
      <c r="BD773" s="5">
        <v>212.37096774193549</v>
      </c>
    </row>
    <row r="774" spans="52:56" x14ac:dyDescent="0.25">
      <c r="AZ774" s="5">
        <v>771</v>
      </c>
      <c r="BA774" s="5">
        <v>1.8947368421052633E-2</v>
      </c>
      <c r="BB774" s="5">
        <v>0</v>
      </c>
      <c r="BC774" s="5">
        <v>338</v>
      </c>
      <c r="BD774" s="5">
        <v>212.6467741935484</v>
      </c>
    </row>
    <row r="775" spans="52:56" x14ac:dyDescent="0.25">
      <c r="AZ775" s="5">
        <v>772</v>
      </c>
      <c r="BA775" s="5">
        <v>1.8947368421052633E-2</v>
      </c>
      <c r="BB775" s="5">
        <v>0</v>
      </c>
      <c r="BC775" s="5">
        <v>338</v>
      </c>
      <c r="BD775" s="5">
        <v>212.9225806451613</v>
      </c>
    </row>
    <row r="776" spans="52:56" x14ac:dyDescent="0.25">
      <c r="AZ776" s="5">
        <v>773</v>
      </c>
      <c r="BA776" s="5">
        <v>1.8947368421052633E-2</v>
      </c>
      <c r="BB776" s="5">
        <v>0</v>
      </c>
      <c r="BC776" s="5">
        <v>338</v>
      </c>
      <c r="BD776" s="5">
        <v>213.19838709677421</v>
      </c>
    </row>
    <row r="777" spans="52:56" x14ac:dyDescent="0.25">
      <c r="AZ777" s="5">
        <v>774</v>
      </c>
      <c r="BA777" s="5">
        <v>1.8947368421052633E-2</v>
      </c>
      <c r="BB777" s="5">
        <v>0</v>
      </c>
      <c r="BC777" s="5">
        <v>338</v>
      </c>
      <c r="BD777" s="5">
        <v>213.47419354838709</v>
      </c>
    </row>
    <row r="778" spans="52:56" x14ac:dyDescent="0.25">
      <c r="AZ778" s="5">
        <v>775</v>
      </c>
      <c r="BA778" s="5">
        <v>1.8947368421052633E-2</v>
      </c>
      <c r="BB778" s="5">
        <v>0</v>
      </c>
      <c r="BC778" s="5">
        <v>338</v>
      </c>
      <c r="BD778" s="5">
        <v>213.75</v>
      </c>
    </row>
    <row r="779" spans="52:56" x14ac:dyDescent="0.25">
      <c r="AZ779" s="5">
        <v>776</v>
      </c>
      <c r="BA779" s="5">
        <v>1.8947368421052633E-2</v>
      </c>
      <c r="BB779" s="5">
        <v>0</v>
      </c>
      <c r="BC779" s="5">
        <v>338</v>
      </c>
      <c r="BD779" s="5">
        <v>214.02580645161291</v>
      </c>
    </row>
    <row r="780" spans="52:56" x14ac:dyDescent="0.25">
      <c r="AZ780" s="5">
        <v>777</v>
      </c>
      <c r="BA780" s="5">
        <v>1.8947368421052633E-2</v>
      </c>
      <c r="BB780" s="5">
        <v>0</v>
      </c>
      <c r="BC780" s="5">
        <v>338</v>
      </c>
      <c r="BD780" s="5">
        <v>214.30161290322582</v>
      </c>
    </row>
    <row r="781" spans="52:56" x14ac:dyDescent="0.25">
      <c r="AZ781" s="5">
        <v>778</v>
      </c>
      <c r="BA781" s="5">
        <v>1.8947368421052633E-2</v>
      </c>
      <c r="BB781" s="5">
        <v>0</v>
      </c>
      <c r="BC781" s="5">
        <v>338</v>
      </c>
      <c r="BD781" s="5">
        <v>214.57741935483872</v>
      </c>
    </row>
    <row r="782" spans="52:56" x14ac:dyDescent="0.25">
      <c r="AZ782" s="5">
        <v>779</v>
      </c>
      <c r="BA782" s="5">
        <v>1.8947368421052633E-2</v>
      </c>
      <c r="BB782" s="5">
        <v>0</v>
      </c>
      <c r="BC782" s="5">
        <v>338</v>
      </c>
      <c r="BD782" s="5">
        <v>214.85322580645163</v>
      </c>
    </row>
    <row r="783" spans="52:56" x14ac:dyDescent="0.25">
      <c r="AZ783" s="5">
        <v>780</v>
      </c>
      <c r="BA783" s="5">
        <v>1.8947368421052633E-2</v>
      </c>
      <c r="BB783" s="5">
        <v>0</v>
      </c>
      <c r="BC783" s="5">
        <v>338</v>
      </c>
      <c r="BD783" s="5">
        <v>215.12903225806451</v>
      </c>
    </row>
    <row r="784" spans="52:56" x14ac:dyDescent="0.25">
      <c r="AZ784" s="5">
        <v>781</v>
      </c>
      <c r="BA784" s="5">
        <v>1.8947368421052633E-2</v>
      </c>
      <c r="BB784" s="5">
        <v>1</v>
      </c>
      <c r="BC784" s="5">
        <v>339</v>
      </c>
      <c r="BD784" s="5">
        <v>215.40483870967742</v>
      </c>
    </row>
    <row r="785" spans="52:56" x14ac:dyDescent="0.25">
      <c r="AZ785" s="5">
        <v>782</v>
      </c>
      <c r="BA785" s="5">
        <v>1.8947368421052633E-2</v>
      </c>
      <c r="BB785" s="5">
        <v>0</v>
      </c>
      <c r="BC785" s="5">
        <v>339</v>
      </c>
      <c r="BD785" s="5">
        <v>215.68064516129033</v>
      </c>
    </row>
    <row r="786" spans="52:56" x14ac:dyDescent="0.25">
      <c r="AZ786" s="5">
        <v>783</v>
      </c>
      <c r="BA786" s="5">
        <v>1.8947368421052633E-2</v>
      </c>
      <c r="BB786" s="5">
        <v>1</v>
      </c>
      <c r="BC786" s="5">
        <v>340</v>
      </c>
      <c r="BD786" s="5">
        <v>215.95645161290324</v>
      </c>
    </row>
    <row r="787" spans="52:56" x14ac:dyDescent="0.25">
      <c r="AZ787" s="5">
        <v>784</v>
      </c>
      <c r="BA787" s="5">
        <v>1.8947368421052633E-2</v>
      </c>
      <c r="BB787" s="5">
        <v>0</v>
      </c>
      <c r="BC787" s="5">
        <v>340</v>
      </c>
      <c r="BD787" s="5">
        <v>216.23225806451615</v>
      </c>
    </row>
    <row r="788" spans="52:56" x14ac:dyDescent="0.25">
      <c r="AZ788" s="5">
        <v>785</v>
      </c>
      <c r="BA788" s="5">
        <v>1.8947368421052633E-2</v>
      </c>
      <c r="BB788" s="5">
        <v>0</v>
      </c>
      <c r="BC788" s="5">
        <v>340</v>
      </c>
      <c r="BD788" s="5">
        <v>216.50806451612905</v>
      </c>
    </row>
    <row r="789" spans="52:56" x14ac:dyDescent="0.25">
      <c r="AZ789" s="5">
        <v>786</v>
      </c>
      <c r="BA789" s="5">
        <v>1.8947368421052633E-2</v>
      </c>
      <c r="BB789" s="5">
        <v>0</v>
      </c>
      <c r="BC789" s="5">
        <v>340</v>
      </c>
      <c r="BD789" s="5">
        <v>216.78387096774193</v>
      </c>
    </row>
    <row r="790" spans="52:56" x14ac:dyDescent="0.25">
      <c r="AZ790" s="5">
        <v>787</v>
      </c>
      <c r="BA790" s="5">
        <v>1.8947368421052633E-2</v>
      </c>
      <c r="BB790" s="5">
        <v>0</v>
      </c>
      <c r="BC790" s="5">
        <v>340</v>
      </c>
      <c r="BD790" s="5">
        <v>217.05967741935484</v>
      </c>
    </row>
    <row r="791" spans="52:56" x14ac:dyDescent="0.25">
      <c r="AZ791" s="5">
        <v>788</v>
      </c>
      <c r="BA791" s="5">
        <v>1.8947368421052633E-2</v>
      </c>
      <c r="BB791" s="5">
        <v>0</v>
      </c>
      <c r="BC791" s="5">
        <v>340</v>
      </c>
      <c r="BD791" s="5">
        <v>217.33548387096775</v>
      </c>
    </row>
    <row r="792" spans="52:56" x14ac:dyDescent="0.25">
      <c r="AZ792" s="5">
        <v>789</v>
      </c>
      <c r="BA792" s="5">
        <v>1.8947368421052633E-2</v>
      </c>
      <c r="BB792" s="5">
        <v>0</v>
      </c>
      <c r="BC792" s="5">
        <v>340</v>
      </c>
      <c r="BD792" s="5">
        <v>217.61129032258066</v>
      </c>
    </row>
    <row r="793" spans="52:56" x14ac:dyDescent="0.25">
      <c r="AZ793" s="5">
        <v>790</v>
      </c>
      <c r="BA793" s="5">
        <v>1.8947368421052633E-2</v>
      </c>
      <c r="BB793" s="5">
        <v>0</v>
      </c>
      <c r="BC793" s="5">
        <v>340</v>
      </c>
      <c r="BD793" s="5">
        <v>217.88709677419357</v>
      </c>
    </row>
    <row r="794" spans="52:56" x14ac:dyDescent="0.25">
      <c r="AZ794" s="5">
        <v>791</v>
      </c>
      <c r="BA794" s="5">
        <v>1.8947368421052633E-2</v>
      </c>
      <c r="BB794" s="5">
        <v>0</v>
      </c>
      <c r="BC794" s="5">
        <v>340</v>
      </c>
      <c r="BD794" s="5">
        <v>218.16290322580647</v>
      </c>
    </row>
    <row r="795" spans="52:56" x14ac:dyDescent="0.25">
      <c r="AZ795" s="5">
        <v>792</v>
      </c>
      <c r="BA795" s="5">
        <v>1.8947368421052633E-2</v>
      </c>
      <c r="BB795" s="5">
        <v>0</v>
      </c>
      <c r="BC795" s="5">
        <v>340</v>
      </c>
      <c r="BD795" s="5">
        <v>218.43870967741935</v>
      </c>
    </row>
    <row r="796" spans="52:56" x14ac:dyDescent="0.25">
      <c r="AZ796" s="5">
        <v>793</v>
      </c>
      <c r="BA796" s="5">
        <v>1.8947368421052633E-2</v>
      </c>
      <c r="BB796" s="5">
        <v>0</v>
      </c>
      <c r="BC796" s="5">
        <v>340</v>
      </c>
      <c r="BD796" s="5">
        <v>218.71451612903226</v>
      </c>
    </row>
    <row r="797" spans="52:56" x14ac:dyDescent="0.25">
      <c r="AZ797" s="5">
        <v>794</v>
      </c>
      <c r="BA797" s="5">
        <v>1.8947368421052633E-2</v>
      </c>
      <c r="BB797" s="5">
        <v>0</v>
      </c>
      <c r="BC797" s="5">
        <v>340</v>
      </c>
      <c r="BD797" s="5">
        <v>218.99032258064517</v>
      </c>
    </row>
    <row r="798" spans="52:56" x14ac:dyDescent="0.25">
      <c r="AZ798" s="5">
        <v>795</v>
      </c>
      <c r="BA798" s="5">
        <v>1.8947368421052633E-2</v>
      </c>
      <c r="BB798" s="5">
        <v>0</v>
      </c>
      <c r="BC798" s="5">
        <v>340</v>
      </c>
      <c r="BD798" s="5">
        <v>219.26612903225808</v>
      </c>
    </row>
    <row r="799" spans="52:56" x14ac:dyDescent="0.25">
      <c r="AZ799" s="5">
        <v>796</v>
      </c>
      <c r="BA799" s="5">
        <v>1.8947368421052633E-2</v>
      </c>
      <c r="BB799" s="5">
        <v>0</v>
      </c>
      <c r="BC799" s="5">
        <v>340</v>
      </c>
      <c r="BD799" s="5">
        <v>219.54193548387099</v>
      </c>
    </row>
    <row r="800" spans="52:56" x14ac:dyDescent="0.25">
      <c r="AZ800" s="5">
        <v>797</v>
      </c>
      <c r="BA800" s="5">
        <v>1.8947368421052633E-2</v>
      </c>
      <c r="BB800" s="5">
        <v>0</v>
      </c>
      <c r="BC800" s="5">
        <v>340</v>
      </c>
      <c r="BD800" s="5">
        <v>219.81774193548387</v>
      </c>
    </row>
    <row r="801" spans="52:56" x14ac:dyDescent="0.25">
      <c r="AZ801" s="5">
        <v>798</v>
      </c>
      <c r="BA801" s="5">
        <v>1.8947368421052633E-2</v>
      </c>
      <c r="BB801" s="5">
        <v>0</v>
      </c>
      <c r="BC801" s="5">
        <v>340</v>
      </c>
      <c r="BD801" s="5">
        <v>220.09354838709677</v>
      </c>
    </row>
    <row r="802" spans="52:56" x14ac:dyDescent="0.25">
      <c r="AZ802" s="5">
        <v>799</v>
      </c>
      <c r="BA802" s="5">
        <v>1.8947368421052633E-2</v>
      </c>
      <c r="BB802" s="5">
        <v>0</v>
      </c>
      <c r="BC802" s="5">
        <v>340</v>
      </c>
      <c r="BD802" s="5">
        <v>220.36935483870968</v>
      </c>
    </row>
    <row r="803" spans="52:56" x14ac:dyDescent="0.25">
      <c r="AZ803" s="5">
        <v>800</v>
      </c>
      <c r="BA803" s="5">
        <v>1.8947368421052633E-2</v>
      </c>
      <c r="BB803" s="5">
        <v>0</v>
      </c>
      <c r="BC803" s="5">
        <v>340</v>
      </c>
      <c r="BD803" s="5">
        <v>220.64516129032259</v>
      </c>
    </row>
    <row r="804" spans="52:56" x14ac:dyDescent="0.25">
      <c r="AZ804" s="5">
        <v>801</v>
      </c>
      <c r="BA804" s="5">
        <v>1.8947368421052633E-2</v>
      </c>
      <c r="BB804" s="5">
        <v>0</v>
      </c>
      <c r="BC804" s="5">
        <v>340</v>
      </c>
      <c r="BD804" s="5">
        <v>220.9209677419355</v>
      </c>
    </row>
    <row r="805" spans="52:56" x14ac:dyDescent="0.25">
      <c r="AZ805" s="5">
        <v>802</v>
      </c>
      <c r="BA805" s="5">
        <v>1.8947368421052633E-2</v>
      </c>
      <c r="BB805" s="5">
        <v>0</v>
      </c>
      <c r="BC805" s="5">
        <v>340</v>
      </c>
      <c r="BD805" s="5">
        <v>221.19677419354841</v>
      </c>
    </row>
    <row r="806" spans="52:56" x14ac:dyDescent="0.25">
      <c r="AZ806" s="5">
        <v>803</v>
      </c>
      <c r="BA806" s="5">
        <v>1.8947368421052633E-2</v>
      </c>
      <c r="BB806" s="5">
        <v>0</v>
      </c>
      <c r="BC806" s="5">
        <v>340</v>
      </c>
      <c r="BD806" s="5">
        <v>221.47258064516129</v>
      </c>
    </row>
    <row r="807" spans="52:56" x14ac:dyDescent="0.25">
      <c r="AZ807" s="5">
        <v>804</v>
      </c>
      <c r="BA807" s="5">
        <v>1.8947368421052633E-2</v>
      </c>
      <c r="BB807" s="5">
        <v>0</v>
      </c>
      <c r="BC807" s="5">
        <v>340</v>
      </c>
      <c r="BD807" s="5">
        <v>221.7483870967742</v>
      </c>
    </row>
    <row r="808" spans="52:56" x14ac:dyDescent="0.25">
      <c r="AZ808" s="5">
        <v>805</v>
      </c>
      <c r="BA808" s="5">
        <v>1.8947368421052633E-2</v>
      </c>
      <c r="BB808" s="5">
        <v>0</v>
      </c>
      <c r="BC808" s="5">
        <v>340</v>
      </c>
      <c r="BD808" s="5">
        <v>222.0241935483871</v>
      </c>
    </row>
    <row r="809" spans="52:56" x14ac:dyDescent="0.25">
      <c r="AZ809" s="5">
        <v>806</v>
      </c>
      <c r="BA809" s="5">
        <v>1.8947368421052633E-2</v>
      </c>
      <c r="BB809" s="5">
        <v>0</v>
      </c>
      <c r="BC809" s="5">
        <v>340</v>
      </c>
      <c r="BD809" s="5">
        <v>222.3</v>
      </c>
    </row>
    <row r="810" spans="52:56" x14ac:dyDescent="0.25">
      <c r="AZ810" s="5">
        <v>807</v>
      </c>
      <c r="BA810" s="5">
        <v>1.8947368421052633E-2</v>
      </c>
      <c r="BB810" s="5">
        <v>0</v>
      </c>
      <c r="BC810" s="5">
        <v>340</v>
      </c>
      <c r="BD810" s="5">
        <v>222.57580645161292</v>
      </c>
    </row>
    <row r="811" spans="52:56" x14ac:dyDescent="0.25">
      <c r="AZ811" s="5">
        <v>808</v>
      </c>
      <c r="BA811" s="5">
        <v>1.8947368421052633E-2</v>
      </c>
      <c r="BB811" s="5">
        <v>0</v>
      </c>
      <c r="BC811" s="5">
        <v>340</v>
      </c>
      <c r="BD811" s="5">
        <v>222.85161290322583</v>
      </c>
    </row>
    <row r="812" spans="52:56" x14ac:dyDescent="0.25">
      <c r="AZ812" s="5">
        <v>809</v>
      </c>
      <c r="BA812" s="5">
        <v>1.8947368421052633E-2</v>
      </c>
      <c r="BB812" s="5">
        <v>0</v>
      </c>
      <c r="BC812" s="5">
        <v>340</v>
      </c>
      <c r="BD812" s="5">
        <v>223.12741935483871</v>
      </c>
    </row>
    <row r="813" spans="52:56" x14ac:dyDescent="0.25">
      <c r="AZ813" s="5">
        <v>810</v>
      </c>
      <c r="BA813" s="5">
        <v>1.8947368421052633E-2</v>
      </c>
      <c r="BB813" s="5">
        <v>0</v>
      </c>
      <c r="BC813" s="5">
        <v>340</v>
      </c>
      <c r="BD813" s="5">
        <v>223.40322580645162</v>
      </c>
    </row>
    <row r="814" spans="52:56" x14ac:dyDescent="0.25">
      <c r="AZ814" s="5">
        <v>811</v>
      </c>
      <c r="BA814" s="5">
        <v>1.8947368421052633E-2</v>
      </c>
      <c r="BB814" s="5">
        <v>0</v>
      </c>
      <c r="BC814" s="5">
        <v>340</v>
      </c>
      <c r="BD814" s="5">
        <v>223.67903225806452</v>
      </c>
    </row>
    <row r="815" spans="52:56" x14ac:dyDescent="0.25">
      <c r="AZ815" s="5">
        <v>812</v>
      </c>
      <c r="BA815" s="5">
        <v>1.8947368421052633E-2</v>
      </c>
      <c r="BB815" s="5">
        <v>0</v>
      </c>
      <c r="BC815" s="5">
        <v>340</v>
      </c>
      <c r="BD815" s="5">
        <v>223.95483870967743</v>
      </c>
    </row>
    <row r="816" spans="52:56" x14ac:dyDescent="0.25">
      <c r="AZ816" s="5">
        <v>813</v>
      </c>
      <c r="BA816" s="5">
        <v>1.8947368421052633E-2</v>
      </c>
      <c r="BB816" s="5">
        <v>0</v>
      </c>
      <c r="BC816" s="5">
        <v>340</v>
      </c>
      <c r="BD816" s="5">
        <v>224.23064516129034</v>
      </c>
    </row>
    <row r="817" spans="52:56" x14ac:dyDescent="0.25">
      <c r="AZ817" s="5">
        <v>814</v>
      </c>
      <c r="BA817" s="5">
        <v>1.8947368421052633E-2</v>
      </c>
      <c r="BB817" s="5">
        <v>0</v>
      </c>
      <c r="BC817" s="5">
        <v>340</v>
      </c>
      <c r="BD817" s="5">
        <v>224.50645161290325</v>
      </c>
    </row>
    <row r="818" spans="52:56" x14ac:dyDescent="0.25">
      <c r="AZ818" s="5">
        <v>815</v>
      </c>
      <c r="BA818" s="5">
        <v>1.8947368421052633E-2</v>
      </c>
      <c r="BB818" s="5">
        <v>0</v>
      </c>
      <c r="BC818" s="5">
        <v>340</v>
      </c>
      <c r="BD818" s="5">
        <v>224.78225806451613</v>
      </c>
    </row>
    <row r="819" spans="52:56" x14ac:dyDescent="0.25">
      <c r="AZ819" s="5">
        <v>816</v>
      </c>
      <c r="BA819" s="5">
        <v>1.8947368421052633E-2</v>
      </c>
      <c r="BB819" s="5">
        <v>0</v>
      </c>
      <c r="BC819" s="5">
        <v>340</v>
      </c>
      <c r="BD819" s="5">
        <v>225.05806451612904</v>
      </c>
    </row>
    <row r="820" spans="52:56" x14ac:dyDescent="0.25">
      <c r="AZ820" s="5">
        <v>817</v>
      </c>
      <c r="BA820" s="5">
        <v>1.8947368421052633E-2</v>
      </c>
      <c r="BB820" s="5">
        <v>0</v>
      </c>
      <c r="BC820" s="5">
        <v>340</v>
      </c>
      <c r="BD820" s="5">
        <v>225.33387096774194</v>
      </c>
    </row>
    <row r="821" spans="52:56" x14ac:dyDescent="0.25">
      <c r="AZ821" s="5">
        <v>818</v>
      </c>
      <c r="BA821" s="5">
        <v>1.8947368421052633E-2</v>
      </c>
      <c r="BB821" s="5">
        <v>0</v>
      </c>
      <c r="BC821" s="5">
        <v>340</v>
      </c>
      <c r="BD821" s="5">
        <v>225.60967741935485</v>
      </c>
    </row>
    <row r="822" spans="52:56" x14ac:dyDescent="0.25">
      <c r="AZ822" s="5">
        <v>819</v>
      </c>
      <c r="BA822" s="5">
        <v>1.8947368421052633E-2</v>
      </c>
      <c r="BB822" s="5">
        <v>0</v>
      </c>
      <c r="BC822" s="5">
        <v>340</v>
      </c>
      <c r="BD822" s="5">
        <v>225.88548387096776</v>
      </c>
    </row>
    <row r="823" spans="52:56" x14ac:dyDescent="0.25">
      <c r="AZ823" s="5">
        <v>820</v>
      </c>
      <c r="BA823" s="5">
        <v>1.8947368421052633E-2</v>
      </c>
      <c r="BB823" s="5">
        <v>0</v>
      </c>
      <c r="BC823" s="5">
        <v>340</v>
      </c>
      <c r="BD823" s="5">
        <v>226.16129032258064</v>
      </c>
    </row>
    <row r="824" spans="52:56" x14ac:dyDescent="0.25">
      <c r="AZ824" s="5">
        <v>821</v>
      </c>
      <c r="BA824" s="5">
        <v>1.8947368421052633E-2</v>
      </c>
      <c r="BB824" s="5">
        <v>0</v>
      </c>
      <c r="BC824" s="5">
        <v>340</v>
      </c>
      <c r="BD824" s="5">
        <v>226.43709677419355</v>
      </c>
    </row>
    <row r="825" spans="52:56" x14ac:dyDescent="0.25">
      <c r="AZ825" s="5">
        <v>822</v>
      </c>
      <c r="BA825" s="5">
        <v>1.8947368421052633E-2</v>
      </c>
      <c r="BB825" s="5">
        <v>0</v>
      </c>
      <c r="BC825" s="5">
        <v>340</v>
      </c>
      <c r="BD825" s="5">
        <v>226.71290322580646</v>
      </c>
    </row>
    <row r="826" spans="52:56" x14ac:dyDescent="0.25">
      <c r="AZ826" s="5">
        <v>823</v>
      </c>
      <c r="BA826" s="5">
        <v>1.8947368421052633E-2</v>
      </c>
      <c r="BB826" s="5">
        <v>0</v>
      </c>
      <c r="BC826" s="5">
        <v>340</v>
      </c>
      <c r="BD826" s="5">
        <v>226.98870967741937</v>
      </c>
    </row>
    <row r="827" spans="52:56" x14ac:dyDescent="0.25">
      <c r="AZ827" s="5">
        <v>824</v>
      </c>
      <c r="BA827" s="5">
        <v>1.8947368421052633E-2</v>
      </c>
      <c r="BB827" s="5">
        <v>0</v>
      </c>
      <c r="BC827" s="5">
        <v>340</v>
      </c>
      <c r="BD827" s="5">
        <v>227.26451612903227</v>
      </c>
    </row>
    <row r="828" spans="52:56" x14ac:dyDescent="0.25">
      <c r="AZ828" s="5">
        <v>825</v>
      </c>
      <c r="BA828" s="5">
        <v>1.8947368421052633E-2</v>
      </c>
      <c r="BB828" s="5">
        <v>0</v>
      </c>
      <c r="BC828" s="5">
        <v>340</v>
      </c>
      <c r="BD828" s="5">
        <v>227.54032258064518</v>
      </c>
    </row>
    <row r="829" spans="52:56" x14ac:dyDescent="0.25">
      <c r="AZ829" s="5">
        <v>826</v>
      </c>
      <c r="BA829" s="5">
        <v>1.8947368421052633E-2</v>
      </c>
      <c r="BB829" s="5">
        <v>0</v>
      </c>
      <c r="BC829" s="5">
        <v>340</v>
      </c>
      <c r="BD829" s="5">
        <v>227.81612903225806</v>
      </c>
    </row>
    <row r="830" spans="52:56" x14ac:dyDescent="0.25">
      <c r="AZ830" s="5">
        <v>827</v>
      </c>
      <c r="BA830" s="5">
        <v>1.8947368421052633E-2</v>
      </c>
      <c r="BB830" s="5">
        <v>0</v>
      </c>
      <c r="BC830" s="5">
        <v>340</v>
      </c>
      <c r="BD830" s="5">
        <v>228.09193548387097</v>
      </c>
    </row>
    <row r="831" spans="52:56" x14ac:dyDescent="0.25">
      <c r="AZ831" s="5">
        <v>828</v>
      </c>
      <c r="BA831" s="5">
        <v>1.8947368421052633E-2</v>
      </c>
      <c r="BB831" s="5">
        <v>0</v>
      </c>
      <c r="BC831" s="5">
        <v>340</v>
      </c>
      <c r="BD831" s="5">
        <v>228.36774193548388</v>
      </c>
    </row>
    <row r="832" spans="52:56" x14ac:dyDescent="0.25">
      <c r="AZ832" s="5">
        <v>829</v>
      </c>
      <c r="BA832" s="5">
        <v>1.8947368421052633E-2</v>
      </c>
      <c r="BB832" s="5">
        <v>0</v>
      </c>
      <c r="BC832" s="5">
        <v>340</v>
      </c>
      <c r="BD832" s="5">
        <v>228.64354838709679</v>
      </c>
    </row>
    <row r="833" spans="52:56" x14ac:dyDescent="0.25">
      <c r="AZ833" s="5">
        <v>830</v>
      </c>
      <c r="BA833" s="5">
        <v>1.8947368421052633E-2</v>
      </c>
      <c r="BB833" s="5">
        <v>0</v>
      </c>
      <c r="BC833" s="5">
        <v>340</v>
      </c>
      <c r="BD833" s="5">
        <v>228.91935483870969</v>
      </c>
    </row>
    <row r="834" spans="52:56" x14ac:dyDescent="0.25">
      <c r="AZ834" s="5">
        <v>831</v>
      </c>
      <c r="BA834" s="5">
        <v>1.8947368421052633E-2</v>
      </c>
      <c r="BB834" s="5">
        <v>1</v>
      </c>
      <c r="BC834" s="5">
        <v>341</v>
      </c>
      <c r="BD834" s="5">
        <v>229.1951612903226</v>
      </c>
    </row>
    <row r="835" spans="52:56" x14ac:dyDescent="0.25">
      <c r="AZ835" s="5">
        <v>832</v>
      </c>
      <c r="BA835" s="5">
        <v>1.8947368421052633E-2</v>
      </c>
      <c r="BB835" s="5">
        <v>0</v>
      </c>
      <c r="BC835" s="5">
        <v>341</v>
      </c>
      <c r="BD835" s="5">
        <v>229.47096774193548</v>
      </c>
    </row>
    <row r="836" spans="52:56" x14ac:dyDescent="0.25">
      <c r="AZ836" s="5">
        <v>833</v>
      </c>
      <c r="BA836" s="5">
        <v>1.8947368421052633E-2</v>
      </c>
      <c r="BB836" s="5">
        <v>0</v>
      </c>
      <c r="BC836" s="5">
        <v>341</v>
      </c>
      <c r="BD836" s="5">
        <v>229.74677419354839</v>
      </c>
    </row>
    <row r="837" spans="52:56" x14ac:dyDescent="0.25">
      <c r="AZ837" s="5">
        <v>834</v>
      </c>
      <c r="BA837" s="5">
        <v>1.8947368421052633E-2</v>
      </c>
      <c r="BB837" s="5">
        <v>0</v>
      </c>
      <c r="BC837" s="5">
        <v>341</v>
      </c>
      <c r="BD837" s="5">
        <v>230.0225806451613</v>
      </c>
    </row>
    <row r="838" spans="52:56" x14ac:dyDescent="0.25">
      <c r="AZ838" s="5">
        <v>835</v>
      </c>
      <c r="BA838" s="5">
        <v>1.8947368421052633E-2</v>
      </c>
      <c r="BB838" s="5">
        <v>0</v>
      </c>
      <c r="BC838" s="5">
        <v>341</v>
      </c>
      <c r="BD838" s="5">
        <v>230.29838709677421</v>
      </c>
    </row>
    <row r="839" spans="52:56" x14ac:dyDescent="0.25">
      <c r="AZ839" s="5">
        <v>836</v>
      </c>
      <c r="BA839" s="5">
        <v>1.8947368421052633E-2</v>
      </c>
      <c r="BB839" s="5">
        <v>0</v>
      </c>
      <c r="BC839" s="5">
        <v>341</v>
      </c>
      <c r="BD839" s="5">
        <v>230.57419354838711</v>
      </c>
    </row>
    <row r="840" spans="52:56" x14ac:dyDescent="0.25">
      <c r="AZ840" s="5">
        <v>837</v>
      </c>
      <c r="BA840" s="5">
        <v>1.8947368421052633E-2</v>
      </c>
      <c r="BB840" s="5">
        <v>0</v>
      </c>
      <c r="BC840" s="5">
        <v>341</v>
      </c>
      <c r="BD840" s="5">
        <v>230.85000000000002</v>
      </c>
    </row>
    <row r="841" spans="52:56" x14ac:dyDescent="0.25">
      <c r="AZ841" s="5">
        <v>838</v>
      </c>
      <c r="BA841" s="5">
        <v>1.8947368421052633E-2</v>
      </c>
      <c r="BB841" s="5">
        <v>0</v>
      </c>
      <c r="BC841" s="5">
        <v>341</v>
      </c>
      <c r="BD841" s="5">
        <v>231.1258064516129</v>
      </c>
    </row>
    <row r="842" spans="52:56" x14ac:dyDescent="0.25">
      <c r="AZ842" s="5">
        <v>839</v>
      </c>
      <c r="BA842" s="5">
        <v>1.8947368421052633E-2</v>
      </c>
      <c r="BB842" s="5">
        <v>0</v>
      </c>
      <c r="BC842" s="5">
        <v>341</v>
      </c>
      <c r="BD842" s="5">
        <v>231.40161290322581</v>
      </c>
    </row>
    <row r="843" spans="52:56" x14ac:dyDescent="0.25">
      <c r="AZ843" s="5">
        <v>840</v>
      </c>
      <c r="BA843" s="5">
        <v>1.8947368421052633E-2</v>
      </c>
      <c r="BB843" s="5">
        <v>0</v>
      </c>
      <c r="BC843" s="5">
        <v>341</v>
      </c>
      <c r="BD843" s="5">
        <v>231.67741935483872</v>
      </c>
    </row>
    <row r="844" spans="52:56" x14ac:dyDescent="0.25">
      <c r="AZ844" s="5">
        <v>841</v>
      </c>
      <c r="BA844" s="5">
        <v>1.8947368421052633E-2</v>
      </c>
      <c r="BB844" s="5">
        <v>0</v>
      </c>
      <c r="BC844" s="5">
        <v>341</v>
      </c>
      <c r="BD844" s="5">
        <v>231.95322580645163</v>
      </c>
    </row>
    <row r="845" spans="52:56" x14ac:dyDescent="0.25">
      <c r="AZ845" s="5">
        <v>842</v>
      </c>
      <c r="BA845" s="5">
        <v>1.8947368421052633E-2</v>
      </c>
      <c r="BB845" s="5">
        <v>0</v>
      </c>
      <c r="BC845" s="5">
        <v>341</v>
      </c>
      <c r="BD845" s="5">
        <v>232.22903225806454</v>
      </c>
    </row>
    <row r="846" spans="52:56" x14ac:dyDescent="0.25">
      <c r="AZ846" s="5">
        <v>843</v>
      </c>
      <c r="BA846" s="5">
        <v>1.8947368421052633E-2</v>
      </c>
      <c r="BB846" s="5">
        <v>0</v>
      </c>
      <c r="BC846" s="5">
        <v>341</v>
      </c>
      <c r="BD846" s="5">
        <v>232.50483870967741</v>
      </c>
    </row>
    <row r="847" spans="52:56" x14ac:dyDescent="0.25">
      <c r="AZ847" s="5">
        <v>844</v>
      </c>
      <c r="BA847" s="5">
        <v>1.8947368421052633E-2</v>
      </c>
      <c r="BB847" s="5">
        <v>0</v>
      </c>
      <c r="BC847" s="5">
        <v>341</v>
      </c>
      <c r="BD847" s="5">
        <v>232.78064516129032</v>
      </c>
    </row>
    <row r="848" spans="52:56" x14ac:dyDescent="0.25">
      <c r="AZ848" s="5">
        <v>845</v>
      </c>
      <c r="BA848" s="5">
        <v>1.8947368421052633E-2</v>
      </c>
      <c r="BB848" s="5">
        <v>0</v>
      </c>
      <c r="BC848" s="5">
        <v>341</v>
      </c>
      <c r="BD848" s="5">
        <v>233.05645161290323</v>
      </c>
    </row>
    <row r="849" spans="52:56" x14ac:dyDescent="0.25">
      <c r="AZ849" s="5">
        <v>846</v>
      </c>
      <c r="BA849" s="5">
        <v>1.8947368421052633E-2</v>
      </c>
      <c r="BB849" s="5">
        <v>0</v>
      </c>
      <c r="BC849" s="5">
        <v>341</v>
      </c>
      <c r="BD849" s="5">
        <v>233.33225806451614</v>
      </c>
    </row>
    <row r="850" spans="52:56" x14ac:dyDescent="0.25">
      <c r="AZ850" s="5">
        <v>847</v>
      </c>
      <c r="BA850" s="5">
        <v>1.8947368421052633E-2</v>
      </c>
      <c r="BB850" s="5">
        <v>0</v>
      </c>
      <c r="BC850" s="5">
        <v>341</v>
      </c>
      <c r="BD850" s="5">
        <v>233.60806451612905</v>
      </c>
    </row>
    <row r="851" spans="52:56" x14ac:dyDescent="0.25">
      <c r="AZ851" s="5">
        <v>848</v>
      </c>
      <c r="BA851" s="5">
        <v>1.8947368421052633E-2</v>
      </c>
      <c r="BB851" s="5">
        <v>0</v>
      </c>
      <c r="BC851" s="5">
        <v>341</v>
      </c>
      <c r="BD851" s="5">
        <v>233.88387096774196</v>
      </c>
    </row>
    <row r="852" spans="52:56" x14ac:dyDescent="0.25">
      <c r="AZ852" s="5">
        <v>849</v>
      </c>
      <c r="BA852" s="5">
        <v>1.8947368421052633E-2</v>
      </c>
      <c r="BB852" s="5">
        <v>1</v>
      </c>
      <c r="BC852" s="5">
        <v>342</v>
      </c>
      <c r="BD852" s="5">
        <v>234.15967741935484</v>
      </c>
    </row>
    <row r="853" spans="52:56" x14ac:dyDescent="0.25">
      <c r="AZ853" s="5">
        <v>850</v>
      </c>
      <c r="BA853" s="5">
        <v>1.8947368421052633E-2</v>
      </c>
      <c r="BB853" s="5">
        <v>0</v>
      </c>
      <c r="BC853" s="5">
        <v>342</v>
      </c>
      <c r="BD853" s="5">
        <v>234.43548387096774</v>
      </c>
    </row>
    <row r="854" spans="52:56" x14ac:dyDescent="0.25">
      <c r="AZ854" s="5">
        <v>851</v>
      </c>
      <c r="BA854" s="5">
        <v>2.5000000000000001E-3</v>
      </c>
      <c r="BB854" s="5">
        <v>0</v>
      </c>
      <c r="BC854" s="5">
        <v>342</v>
      </c>
      <c r="BD854" s="5">
        <v>234.71129032258065</v>
      </c>
    </row>
    <row r="855" spans="52:56" x14ac:dyDescent="0.25">
      <c r="AZ855" s="5">
        <v>852</v>
      </c>
      <c r="BA855" s="5">
        <v>2.5000000000000001E-3</v>
      </c>
      <c r="BB855" s="5">
        <v>0</v>
      </c>
      <c r="BC855" s="5">
        <v>342</v>
      </c>
      <c r="BD855" s="5">
        <v>234.98709677419356</v>
      </c>
    </row>
    <row r="856" spans="52:56" x14ac:dyDescent="0.25">
      <c r="AZ856" s="5">
        <v>853</v>
      </c>
      <c r="BA856" s="5">
        <v>2.5000000000000001E-3</v>
      </c>
      <c r="BB856" s="5">
        <v>0</v>
      </c>
      <c r="BC856" s="5">
        <v>342</v>
      </c>
      <c r="BD856" s="5">
        <v>235.26290322580647</v>
      </c>
    </row>
    <row r="857" spans="52:56" x14ac:dyDescent="0.25">
      <c r="AZ857" s="5">
        <v>854</v>
      </c>
      <c r="BA857" s="5">
        <v>2.5000000000000001E-3</v>
      </c>
      <c r="BB857" s="5">
        <v>0</v>
      </c>
      <c r="BC857" s="5">
        <v>342</v>
      </c>
      <c r="BD857" s="5">
        <v>235.53870967741938</v>
      </c>
    </row>
    <row r="858" spans="52:56" x14ac:dyDescent="0.25">
      <c r="AZ858" s="5">
        <v>855</v>
      </c>
      <c r="BA858" s="5">
        <v>2.5000000000000001E-3</v>
      </c>
      <c r="BB858" s="5">
        <v>0</v>
      </c>
      <c r="BC858" s="5">
        <v>342</v>
      </c>
      <c r="BD858" s="5">
        <v>235.81451612903226</v>
      </c>
    </row>
    <row r="859" spans="52:56" x14ac:dyDescent="0.25">
      <c r="AZ859" s="5">
        <v>856</v>
      </c>
      <c r="BA859" s="5">
        <v>2.5000000000000001E-3</v>
      </c>
      <c r="BB859" s="5">
        <v>0</v>
      </c>
      <c r="BC859" s="5">
        <v>342</v>
      </c>
      <c r="BD859" s="5">
        <v>236.09032258064516</v>
      </c>
    </row>
    <row r="860" spans="52:56" x14ac:dyDescent="0.25">
      <c r="AZ860" s="5">
        <v>857</v>
      </c>
      <c r="BA860" s="5">
        <v>2.5000000000000001E-3</v>
      </c>
      <c r="BB860" s="5">
        <v>0</v>
      </c>
      <c r="BC860" s="5">
        <v>342</v>
      </c>
      <c r="BD860" s="5">
        <v>236.36612903225807</v>
      </c>
    </row>
    <row r="861" spans="52:56" x14ac:dyDescent="0.25">
      <c r="AZ861" s="5">
        <v>858</v>
      </c>
      <c r="BA861" s="5">
        <v>2.5000000000000001E-3</v>
      </c>
      <c r="BB861" s="5">
        <v>0</v>
      </c>
      <c r="BC861" s="5">
        <v>342</v>
      </c>
      <c r="BD861" s="5">
        <v>236.64193548387098</v>
      </c>
    </row>
    <row r="862" spans="52:56" x14ac:dyDescent="0.25">
      <c r="AZ862" s="5">
        <v>859</v>
      </c>
      <c r="BA862" s="5">
        <v>2.5000000000000001E-3</v>
      </c>
      <c r="BB862" s="5">
        <v>0</v>
      </c>
      <c r="BC862" s="5">
        <v>342</v>
      </c>
      <c r="BD862" s="5">
        <v>236.91774193548389</v>
      </c>
    </row>
    <row r="863" spans="52:56" x14ac:dyDescent="0.25">
      <c r="AZ863" s="5">
        <v>860</v>
      </c>
      <c r="BA863" s="5">
        <v>2.5000000000000001E-3</v>
      </c>
      <c r="BB863" s="5">
        <v>0</v>
      </c>
      <c r="BC863" s="5">
        <v>342</v>
      </c>
      <c r="BD863" s="5">
        <v>237.1935483870968</v>
      </c>
    </row>
    <row r="864" spans="52:56" x14ac:dyDescent="0.25">
      <c r="AZ864" s="5">
        <v>861</v>
      </c>
      <c r="BA864" s="5">
        <v>2.5000000000000001E-3</v>
      </c>
      <c r="BB864" s="5">
        <v>0</v>
      </c>
      <c r="BC864" s="5">
        <v>342</v>
      </c>
      <c r="BD864" s="5">
        <v>237.46935483870968</v>
      </c>
    </row>
    <row r="865" spans="52:56" x14ac:dyDescent="0.25">
      <c r="AZ865" s="5">
        <v>862</v>
      </c>
      <c r="BA865" s="5">
        <v>2.5000000000000001E-3</v>
      </c>
      <c r="BB865" s="5">
        <v>0</v>
      </c>
      <c r="BC865" s="5">
        <v>342</v>
      </c>
      <c r="BD865" s="5">
        <v>237.74516129032259</v>
      </c>
    </row>
    <row r="866" spans="52:56" x14ac:dyDescent="0.25">
      <c r="AZ866" s="5">
        <v>863</v>
      </c>
      <c r="BA866" s="5">
        <v>2.5000000000000001E-3</v>
      </c>
      <c r="BB866" s="5">
        <v>0</v>
      </c>
      <c r="BC866" s="5">
        <v>342</v>
      </c>
      <c r="BD866" s="5">
        <v>238.02096774193549</v>
      </c>
    </row>
    <row r="867" spans="52:56" x14ac:dyDescent="0.25">
      <c r="AZ867" s="5">
        <v>864</v>
      </c>
      <c r="BA867" s="5">
        <v>2.5000000000000001E-3</v>
      </c>
      <c r="BB867" s="5">
        <v>0</v>
      </c>
      <c r="BC867" s="5">
        <v>342</v>
      </c>
      <c r="BD867" s="5">
        <v>238.2967741935484</v>
      </c>
    </row>
    <row r="868" spans="52:56" x14ac:dyDescent="0.25">
      <c r="AZ868" s="5">
        <v>865</v>
      </c>
      <c r="BA868" s="5">
        <v>2.5000000000000001E-3</v>
      </c>
      <c r="BB868" s="5">
        <v>0</v>
      </c>
      <c r="BC868" s="5">
        <v>342</v>
      </c>
      <c r="BD868" s="5">
        <v>238.57258064516131</v>
      </c>
    </row>
    <row r="869" spans="52:56" x14ac:dyDescent="0.25">
      <c r="AZ869" s="5">
        <v>866</v>
      </c>
      <c r="BA869" s="5">
        <v>2.5000000000000001E-3</v>
      </c>
      <c r="BB869" s="5">
        <v>0</v>
      </c>
      <c r="BC869" s="5">
        <v>342</v>
      </c>
      <c r="BD869" s="5">
        <v>238.84838709677419</v>
      </c>
    </row>
    <row r="870" spans="52:56" x14ac:dyDescent="0.25">
      <c r="AZ870" s="5">
        <v>867</v>
      </c>
      <c r="BA870" s="5">
        <v>2.5000000000000001E-3</v>
      </c>
      <c r="BB870" s="5">
        <v>0</v>
      </c>
      <c r="BC870" s="5">
        <v>342</v>
      </c>
      <c r="BD870" s="5">
        <v>239.1241935483871</v>
      </c>
    </row>
    <row r="871" spans="52:56" x14ac:dyDescent="0.25">
      <c r="AZ871" s="5">
        <v>868</v>
      </c>
      <c r="BA871" s="5">
        <v>2.5000000000000001E-3</v>
      </c>
      <c r="BB871" s="5">
        <v>0</v>
      </c>
      <c r="BC871" s="5">
        <v>342</v>
      </c>
      <c r="BD871" s="5">
        <v>239.4</v>
      </c>
    </row>
    <row r="872" spans="52:56" x14ac:dyDescent="0.25">
      <c r="AZ872" s="6">
        <v>869</v>
      </c>
      <c r="BA872" s="6">
        <v>2.5000000000000001E-3</v>
      </c>
      <c r="BB872" s="6">
        <v>0</v>
      </c>
      <c r="BC872" s="6">
        <v>342</v>
      </c>
      <c r="BD872" s="6">
        <v>239.67580645161291</v>
      </c>
    </row>
    <row r="873" spans="52:56" x14ac:dyDescent="0.25">
      <c r="AZ873" s="6">
        <v>870</v>
      </c>
      <c r="BA873" s="6">
        <v>2.5000000000000001E-3</v>
      </c>
      <c r="BB873" s="6">
        <v>0</v>
      </c>
      <c r="BC873" s="6">
        <v>342</v>
      </c>
      <c r="BD873" s="6">
        <v>239.95161290322582</v>
      </c>
    </row>
    <row r="874" spans="52:56" x14ac:dyDescent="0.25">
      <c r="AZ874" s="6">
        <v>871</v>
      </c>
      <c r="BA874" s="6">
        <v>2.5000000000000001E-3</v>
      </c>
      <c r="BB874" s="6">
        <v>0</v>
      </c>
      <c r="BC874" s="6">
        <v>342</v>
      </c>
      <c r="BD874" s="6">
        <v>240.22741935483873</v>
      </c>
    </row>
    <row r="875" spans="52:56" x14ac:dyDescent="0.25">
      <c r="AZ875" s="6">
        <v>872</v>
      </c>
      <c r="BA875" s="6">
        <v>2.5000000000000001E-3</v>
      </c>
      <c r="BB875" s="6">
        <v>0</v>
      </c>
      <c r="BC875" s="6">
        <v>342</v>
      </c>
      <c r="BD875" s="6">
        <v>240.50322580645161</v>
      </c>
    </row>
    <row r="876" spans="52:56" x14ac:dyDescent="0.25">
      <c r="AZ876" s="6">
        <v>873</v>
      </c>
      <c r="BA876" s="6">
        <v>2.5000000000000001E-3</v>
      </c>
      <c r="BB876" s="6">
        <v>0</v>
      </c>
      <c r="BC876" s="6">
        <v>342</v>
      </c>
      <c r="BD876" s="6">
        <v>240.77903225806452</v>
      </c>
    </row>
    <row r="877" spans="52:56" x14ac:dyDescent="0.25">
      <c r="AZ877" s="6">
        <v>874</v>
      </c>
      <c r="BA877" s="6">
        <v>2.5000000000000001E-3</v>
      </c>
      <c r="BB877" s="6">
        <v>0</v>
      </c>
      <c r="BC877" s="6">
        <v>342</v>
      </c>
      <c r="BD877" s="6">
        <v>241.05483870967743</v>
      </c>
    </row>
    <row r="878" spans="52:56" x14ac:dyDescent="0.25">
      <c r="AZ878" s="6">
        <v>875</v>
      </c>
      <c r="BA878" s="6">
        <v>2.5000000000000001E-3</v>
      </c>
      <c r="BB878" s="6">
        <v>0</v>
      </c>
      <c r="BC878" s="6">
        <v>342</v>
      </c>
      <c r="BD878" s="6">
        <v>241.33064516129033</v>
      </c>
    </row>
    <row r="879" spans="52:56" x14ac:dyDescent="0.25">
      <c r="AZ879" s="6">
        <v>876</v>
      </c>
      <c r="BA879" s="6">
        <v>2.5000000000000001E-3</v>
      </c>
      <c r="BB879" s="6">
        <v>0</v>
      </c>
      <c r="BC879" s="6">
        <v>342</v>
      </c>
      <c r="BD879" s="6">
        <v>241.60645161290324</v>
      </c>
    </row>
    <row r="880" spans="52:56" x14ac:dyDescent="0.25">
      <c r="AZ880" s="6">
        <v>877</v>
      </c>
      <c r="BA880" s="6">
        <v>2.5000000000000001E-3</v>
      </c>
      <c r="BB880" s="6">
        <v>0</v>
      </c>
      <c r="BC880" s="6">
        <v>342</v>
      </c>
      <c r="BD880" s="6">
        <v>241.88225806451615</v>
      </c>
    </row>
    <row r="881" spans="52:56" x14ac:dyDescent="0.25">
      <c r="AZ881" s="6">
        <v>878</v>
      </c>
      <c r="BA881" s="6">
        <v>2.5000000000000001E-3</v>
      </c>
      <c r="BB881" s="6">
        <v>0</v>
      </c>
      <c r="BC881" s="6">
        <v>342</v>
      </c>
      <c r="BD881" s="6">
        <v>242.15806451612903</v>
      </c>
    </row>
    <row r="882" spans="52:56" x14ac:dyDescent="0.25">
      <c r="AZ882" s="6">
        <v>879</v>
      </c>
      <c r="BA882" s="6">
        <v>2.5000000000000001E-3</v>
      </c>
      <c r="BB882" s="6">
        <v>0</v>
      </c>
      <c r="BC882" s="6">
        <v>342</v>
      </c>
      <c r="BD882" s="6">
        <v>242.43387096774194</v>
      </c>
    </row>
    <row r="883" spans="52:56" x14ac:dyDescent="0.25">
      <c r="AZ883" s="6">
        <v>880</v>
      </c>
      <c r="BA883" s="6">
        <v>2.5000000000000001E-3</v>
      </c>
      <c r="BB883" s="6">
        <v>0</v>
      </c>
      <c r="BC883" s="6">
        <v>342</v>
      </c>
      <c r="BD883" s="6">
        <v>242.70967741935485</v>
      </c>
    </row>
    <row r="884" spans="52:56" x14ac:dyDescent="0.25">
      <c r="AZ884" s="6">
        <v>881</v>
      </c>
      <c r="BA884" s="6">
        <v>2.5000000000000001E-3</v>
      </c>
      <c r="BB884" s="6">
        <v>0</v>
      </c>
      <c r="BC884" s="6">
        <v>342</v>
      </c>
      <c r="BD884" s="6">
        <v>242.98548387096776</v>
      </c>
    </row>
    <row r="885" spans="52:56" x14ac:dyDescent="0.25">
      <c r="AZ885" s="6">
        <v>882</v>
      </c>
      <c r="BA885" s="6">
        <v>2.5000000000000001E-3</v>
      </c>
      <c r="BB885" s="6">
        <v>0</v>
      </c>
      <c r="BC885" s="6">
        <v>342</v>
      </c>
      <c r="BD885" s="6">
        <v>243.26129032258066</v>
      </c>
    </row>
    <row r="886" spans="52:56" x14ac:dyDescent="0.25">
      <c r="AZ886" s="6">
        <v>883</v>
      </c>
      <c r="BA886" s="6">
        <v>2.5000000000000001E-3</v>
      </c>
      <c r="BB886" s="6">
        <v>0</v>
      </c>
      <c r="BC886" s="6">
        <v>342</v>
      </c>
      <c r="BD886" s="6">
        <v>243.53709677419357</v>
      </c>
    </row>
    <row r="887" spans="52:56" x14ac:dyDescent="0.25">
      <c r="AZ887" s="6">
        <v>884</v>
      </c>
      <c r="BA887" s="6">
        <v>2.5000000000000001E-3</v>
      </c>
      <c r="BB887" s="6">
        <v>0</v>
      </c>
      <c r="BC887" s="6">
        <v>342</v>
      </c>
      <c r="BD887" s="6">
        <v>243.81290322580645</v>
      </c>
    </row>
    <row r="888" spans="52:56" x14ac:dyDescent="0.25">
      <c r="AZ888" s="6">
        <v>885</v>
      </c>
      <c r="BA888" s="6">
        <v>2.5000000000000001E-3</v>
      </c>
      <c r="BB888" s="6">
        <v>0</v>
      </c>
      <c r="BC888" s="6">
        <v>342</v>
      </c>
      <c r="BD888" s="6">
        <v>244.08870967741936</v>
      </c>
    </row>
    <row r="889" spans="52:56" x14ac:dyDescent="0.25">
      <c r="AZ889" s="6">
        <v>886</v>
      </c>
      <c r="BA889" s="6">
        <v>2.5000000000000001E-3</v>
      </c>
      <c r="BB889" s="6">
        <v>0</v>
      </c>
      <c r="BC889" s="6">
        <v>342</v>
      </c>
      <c r="BD889" s="6">
        <v>244.36451612903227</v>
      </c>
    </row>
    <row r="890" spans="52:56" x14ac:dyDescent="0.25">
      <c r="AZ890" s="6">
        <v>887</v>
      </c>
      <c r="BA890" s="6">
        <v>2.5000000000000001E-3</v>
      </c>
      <c r="BB890" s="6">
        <v>0</v>
      </c>
      <c r="BC890" s="6">
        <v>342</v>
      </c>
      <c r="BD890" s="6">
        <v>244.64032258064518</v>
      </c>
    </row>
    <row r="891" spans="52:56" x14ac:dyDescent="0.25">
      <c r="AZ891" s="6">
        <v>888</v>
      </c>
      <c r="BA891" s="6">
        <v>2.5000000000000001E-3</v>
      </c>
      <c r="BB891" s="6">
        <v>0</v>
      </c>
      <c r="BC891" s="6">
        <v>342</v>
      </c>
      <c r="BD891" s="6">
        <v>244.91612903225808</v>
      </c>
    </row>
    <row r="892" spans="52:56" x14ac:dyDescent="0.25">
      <c r="AZ892" s="6">
        <v>889</v>
      </c>
      <c r="BA892" s="6">
        <v>2.5000000000000001E-3</v>
      </c>
      <c r="BB892" s="6">
        <v>0</v>
      </c>
      <c r="BC892" s="6">
        <v>342</v>
      </c>
      <c r="BD892" s="6">
        <v>245.19193548387096</v>
      </c>
    </row>
    <row r="893" spans="52:56" x14ac:dyDescent="0.25">
      <c r="AZ893" s="6">
        <v>890</v>
      </c>
      <c r="BA893" s="6">
        <v>2.5000000000000001E-3</v>
      </c>
      <c r="BB893" s="6">
        <v>0</v>
      </c>
      <c r="BC893" s="6">
        <v>342</v>
      </c>
      <c r="BD893" s="6">
        <v>245.46774193548387</v>
      </c>
    </row>
    <row r="894" spans="52:56" x14ac:dyDescent="0.25">
      <c r="AZ894" s="6">
        <v>891</v>
      </c>
      <c r="BA894" s="6">
        <v>2.5000000000000001E-3</v>
      </c>
      <c r="BB894" s="6">
        <v>0</v>
      </c>
      <c r="BC894" s="6">
        <v>342</v>
      </c>
      <c r="BD894" s="6">
        <v>245.74354838709678</v>
      </c>
    </row>
    <row r="895" spans="52:56" x14ac:dyDescent="0.25">
      <c r="AZ895" s="6">
        <v>892</v>
      </c>
      <c r="BA895" s="6">
        <v>2.5000000000000001E-3</v>
      </c>
      <c r="BB895" s="6">
        <v>0</v>
      </c>
      <c r="BC895" s="6">
        <v>342</v>
      </c>
      <c r="BD895" s="6">
        <v>246.01935483870969</v>
      </c>
    </row>
    <row r="896" spans="52:56" x14ac:dyDescent="0.25">
      <c r="AZ896" s="6">
        <v>893</v>
      </c>
      <c r="BA896" s="6">
        <v>2.5000000000000001E-3</v>
      </c>
      <c r="BB896" s="6">
        <v>0</v>
      </c>
      <c r="BC896" s="6">
        <v>342</v>
      </c>
      <c r="BD896" s="6">
        <v>246.2951612903226</v>
      </c>
    </row>
    <row r="897" spans="52:56" x14ac:dyDescent="0.25">
      <c r="AZ897" s="6">
        <v>894</v>
      </c>
      <c r="BA897" s="6">
        <v>2.5000000000000001E-3</v>
      </c>
      <c r="BB897" s="6">
        <v>0</v>
      </c>
      <c r="BC897" s="6">
        <v>342</v>
      </c>
      <c r="BD897" s="6">
        <v>246.5709677419355</v>
      </c>
    </row>
    <row r="898" spans="52:56" x14ac:dyDescent="0.25">
      <c r="AZ898" s="6">
        <v>895</v>
      </c>
      <c r="BA898" s="6">
        <v>2.5000000000000001E-3</v>
      </c>
      <c r="BB898" s="6">
        <v>0</v>
      </c>
      <c r="BC898" s="6">
        <v>342</v>
      </c>
      <c r="BD898" s="6">
        <v>246.84677419354838</v>
      </c>
    </row>
    <row r="899" spans="52:56" x14ac:dyDescent="0.25">
      <c r="AZ899" s="6">
        <v>896</v>
      </c>
      <c r="BA899" s="6">
        <v>2.5000000000000001E-3</v>
      </c>
      <c r="BB899" s="6">
        <v>0</v>
      </c>
      <c r="BC899" s="6">
        <v>342</v>
      </c>
      <c r="BD899" s="6">
        <v>247.12258064516129</v>
      </c>
    </row>
    <row r="900" spans="52:56" x14ac:dyDescent="0.25">
      <c r="AZ900" s="6">
        <v>897</v>
      </c>
      <c r="BA900" s="6">
        <v>2.5000000000000001E-3</v>
      </c>
      <c r="BB900" s="6">
        <v>0</v>
      </c>
      <c r="BC900" s="6">
        <v>342</v>
      </c>
      <c r="BD900" s="6">
        <v>247.3983870967742</v>
      </c>
    </row>
    <row r="901" spans="52:56" x14ac:dyDescent="0.25">
      <c r="AZ901" s="6">
        <v>898</v>
      </c>
      <c r="BA901" s="6">
        <v>2.5000000000000001E-3</v>
      </c>
      <c r="BB901" s="6">
        <v>0</v>
      </c>
      <c r="BC901" s="6">
        <v>342</v>
      </c>
      <c r="BD901" s="6">
        <v>247.67419354838711</v>
      </c>
    </row>
    <row r="902" spans="52:56" x14ac:dyDescent="0.25">
      <c r="AZ902" s="6">
        <v>899</v>
      </c>
      <c r="BA902" s="6">
        <v>2.5000000000000001E-3</v>
      </c>
      <c r="BB902" s="6">
        <v>0</v>
      </c>
      <c r="BC902" s="6">
        <v>342</v>
      </c>
      <c r="BD902" s="6">
        <v>247.95000000000002</v>
      </c>
    </row>
    <row r="903" spans="52:56" x14ac:dyDescent="0.25">
      <c r="AZ903" s="6">
        <v>900</v>
      </c>
      <c r="BA903" s="6">
        <v>2.5000000000000001E-3</v>
      </c>
      <c r="BB903" s="6">
        <v>0</v>
      </c>
      <c r="BC903" s="6">
        <v>342</v>
      </c>
      <c r="BD903" s="6">
        <v>248.22580645161293</v>
      </c>
    </row>
    <row r="904" spans="52:56" x14ac:dyDescent="0.25">
      <c r="AZ904" s="6">
        <v>901</v>
      </c>
      <c r="BA904" s="6">
        <v>2.5000000000000001E-3</v>
      </c>
      <c r="BB904" s="6">
        <v>0</v>
      </c>
      <c r="BC904" s="6">
        <v>342</v>
      </c>
      <c r="BD904" s="6">
        <v>248.5016129032258</v>
      </c>
    </row>
    <row r="905" spans="52:56" x14ac:dyDescent="0.25">
      <c r="AZ905" s="6">
        <v>902</v>
      </c>
      <c r="BA905" s="6">
        <v>2.5000000000000001E-3</v>
      </c>
      <c r="BB905" s="6">
        <v>0</v>
      </c>
      <c r="BC905" s="6">
        <v>342</v>
      </c>
      <c r="BD905" s="6">
        <v>248.77741935483871</v>
      </c>
    </row>
    <row r="906" spans="52:56" x14ac:dyDescent="0.25">
      <c r="AZ906" s="6">
        <v>903</v>
      </c>
      <c r="BA906" s="6">
        <v>2.5000000000000001E-3</v>
      </c>
      <c r="BB906" s="6">
        <v>0</v>
      </c>
      <c r="BC906" s="6">
        <v>342</v>
      </c>
      <c r="BD906" s="6">
        <v>249.05322580645162</v>
      </c>
    </row>
    <row r="907" spans="52:56" x14ac:dyDescent="0.25">
      <c r="AZ907" s="6">
        <v>904</v>
      </c>
      <c r="BA907" s="6">
        <v>2.5000000000000001E-3</v>
      </c>
      <c r="BB907" s="6">
        <v>0</v>
      </c>
      <c r="BC907" s="6">
        <v>342</v>
      </c>
      <c r="BD907" s="6">
        <v>249.32903225806453</v>
      </c>
    </row>
    <row r="908" spans="52:56" x14ac:dyDescent="0.25">
      <c r="AZ908" s="6">
        <v>905</v>
      </c>
      <c r="BA908" s="6">
        <v>2.5000000000000001E-3</v>
      </c>
      <c r="BB908" s="6">
        <v>0</v>
      </c>
      <c r="BC908" s="6">
        <v>342</v>
      </c>
      <c r="BD908" s="6">
        <v>249.60483870967744</v>
      </c>
    </row>
    <row r="909" spans="52:56" x14ac:dyDescent="0.25">
      <c r="AZ909" s="6">
        <v>906</v>
      </c>
      <c r="BA909" s="6">
        <v>2.5000000000000001E-3</v>
      </c>
      <c r="BB909" s="6">
        <v>0</v>
      </c>
      <c r="BC909" s="6">
        <v>342</v>
      </c>
      <c r="BD909" s="6">
        <v>249.88064516129035</v>
      </c>
    </row>
    <row r="910" spans="52:56" x14ac:dyDescent="0.25">
      <c r="AZ910" s="6">
        <v>907</v>
      </c>
      <c r="BA910" s="6">
        <v>2.5000000000000001E-3</v>
      </c>
      <c r="BB910" s="6">
        <v>0</v>
      </c>
      <c r="BC910" s="6">
        <v>342</v>
      </c>
      <c r="BD910" s="6">
        <v>250.15645161290323</v>
      </c>
    </row>
    <row r="911" spans="52:56" x14ac:dyDescent="0.25">
      <c r="AZ911" s="6">
        <v>908</v>
      </c>
      <c r="BA911" s="6">
        <v>2.5000000000000001E-3</v>
      </c>
      <c r="BB911" s="6">
        <v>0</v>
      </c>
      <c r="BC911" s="6">
        <v>342</v>
      </c>
      <c r="BD911" s="6">
        <v>250.43225806451613</v>
      </c>
    </row>
    <row r="912" spans="52:56" x14ac:dyDescent="0.25">
      <c r="AZ912" s="6">
        <v>909</v>
      </c>
      <c r="BA912" s="6">
        <v>2.5000000000000001E-3</v>
      </c>
      <c r="BB912" s="6">
        <v>0</v>
      </c>
      <c r="BC912" s="6">
        <v>342</v>
      </c>
      <c r="BD912" s="6">
        <v>250.70806451612904</v>
      </c>
    </row>
    <row r="913" spans="52:56" x14ac:dyDescent="0.25">
      <c r="AZ913" s="6">
        <v>910</v>
      </c>
      <c r="BA913" s="6">
        <v>2.5000000000000001E-3</v>
      </c>
      <c r="BB913" s="6">
        <v>0</v>
      </c>
      <c r="BC913" s="6">
        <v>342</v>
      </c>
      <c r="BD913" s="6">
        <v>250.98387096774195</v>
      </c>
    </row>
    <row r="914" spans="52:56" x14ac:dyDescent="0.25">
      <c r="AZ914" s="6">
        <v>911</v>
      </c>
      <c r="BA914" s="6">
        <v>2.5000000000000001E-3</v>
      </c>
      <c r="BB914" s="6">
        <v>0</v>
      </c>
      <c r="BC914" s="6">
        <v>342</v>
      </c>
      <c r="BD914" s="6">
        <v>251.25967741935486</v>
      </c>
    </row>
    <row r="915" spans="52:56" x14ac:dyDescent="0.25">
      <c r="AZ915" s="6">
        <v>912</v>
      </c>
      <c r="BA915" s="6">
        <v>2.5000000000000001E-3</v>
      </c>
      <c r="BB915" s="6">
        <v>0</v>
      </c>
      <c r="BC915" s="6">
        <v>342</v>
      </c>
      <c r="BD915" s="6">
        <v>251.53548387096774</v>
      </c>
    </row>
    <row r="916" spans="52:56" x14ac:dyDescent="0.25">
      <c r="AZ916" s="6">
        <v>913</v>
      </c>
      <c r="BA916" s="6">
        <v>2.5000000000000001E-3</v>
      </c>
      <c r="BB916" s="6">
        <v>0</v>
      </c>
      <c r="BC916" s="6">
        <v>342</v>
      </c>
      <c r="BD916" s="6">
        <v>251.81129032258065</v>
      </c>
    </row>
    <row r="917" spans="52:56" x14ac:dyDescent="0.25">
      <c r="AZ917" s="6">
        <v>914</v>
      </c>
      <c r="BA917" s="6">
        <v>2.5000000000000001E-3</v>
      </c>
      <c r="BB917" s="6">
        <v>0</v>
      </c>
      <c r="BC917" s="6">
        <v>342</v>
      </c>
      <c r="BD917" s="6">
        <v>252.08709677419355</v>
      </c>
    </row>
    <row r="918" spans="52:56" x14ac:dyDescent="0.25">
      <c r="AZ918" s="6">
        <v>915</v>
      </c>
      <c r="BA918" s="6">
        <v>2.5000000000000001E-3</v>
      </c>
      <c r="BB918" s="6">
        <v>0</v>
      </c>
      <c r="BC918" s="6">
        <v>342</v>
      </c>
      <c r="BD918" s="6">
        <v>252.36290322580646</v>
      </c>
    </row>
    <row r="919" spans="52:56" x14ac:dyDescent="0.25">
      <c r="AZ919" s="6">
        <v>916</v>
      </c>
      <c r="BA919" s="6">
        <v>2.5000000000000001E-3</v>
      </c>
      <c r="BB919" s="6">
        <v>0</v>
      </c>
      <c r="BC919" s="6">
        <v>342</v>
      </c>
      <c r="BD919" s="6">
        <v>252.63870967741937</v>
      </c>
    </row>
    <row r="920" spans="52:56" x14ac:dyDescent="0.25">
      <c r="AZ920" s="6">
        <v>917</v>
      </c>
      <c r="BA920" s="6">
        <v>2.5000000000000001E-3</v>
      </c>
      <c r="BB920" s="6">
        <v>0</v>
      </c>
      <c r="BC920" s="6">
        <v>342</v>
      </c>
      <c r="BD920" s="6">
        <v>252.91451612903228</v>
      </c>
    </row>
    <row r="921" spans="52:56" x14ac:dyDescent="0.25">
      <c r="AZ921" s="6">
        <v>918</v>
      </c>
      <c r="BA921" s="6">
        <v>2.5000000000000001E-3</v>
      </c>
      <c r="BB921" s="6">
        <v>0</v>
      </c>
      <c r="BC921" s="6">
        <v>342</v>
      </c>
      <c r="BD921" s="6">
        <v>253.19032258064516</v>
      </c>
    </row>
    <row r="922" spans="52:56" x14ac:dyDescent="0.25">
      <c r="AZ922" s="6">
        <v>919</v>
      </c>
      <c r="BA922" s="6">
        <v>2.5000000000000001E-3</v>
      </c>
      <c r="BB922" s="6">
        <v>0</v>
      </c>
      <c r="BC922" s="6">
        <v>342</v>
      </c>
      <c r="BD922" s="6">
        <v>253.46612903225807</v>
      </c>
    </row>
    <row r="923" spans="52:56" x14ac:dyDescent="0.25">
      <c r="AZ923" s="6">
        <v>920</v>
      </c>
      <c r="BA923" s="6">
        <v>2.5000000000000001E-3</v>
      </c>
      <c r="BB923" s="6">
        <v>0</v>
      </c>
      <c r="BC923" s="6">
        <v>342</v>
      </c>
      <c r="BD923" s="6">
        <v>253.74193548387098</v>
      </c>
    </row>
    <row r="924" spans="52:56" x14ac:dyDescent="0.25">
      <c r="AZ924" s="6">
        <v>921</v>
      </c>
      <c r="BA924" s="6">
        <v>2.5000000000000001E-3</v>
      </c>
      <c r="BB924" s="6">
        <v>0</v>
      </c>
      <c r="BC924" s="6">
        <v>342</v>
      </c>
      <c r="BD924" s="6">
        <v>254.01774193548388</v>
      </c>
    </row>
    <row r="925" spans="52:56" x14ac:dyDescent="0.25">
      <c r="AZ925" s="6">
        <v>922</v>
      </c>
      <c r="BA925" s="6">
        <v>2.5000000000000001E-3</v>
      </c>
      <c r="BB925" s="6">
        <v>0</v>
      </c>
      <c r="BC925" s="6">
        <v>342</v>
      </c>
      <c r="BD925" s="6">
        <v>254.29354838709679</v>
      </c>
    </row>
    <row r="926" spans="52:56" x14ac:dyDescent="0.25">
      <c r="AZ926" s="6">
        <v>923</v>
      </c>
      <c r="BA926" s="6">
        <v>2.5000000000000001E-3</v>
      </c>
      <c r="BB926" s="6">
        <v>0</v>
      </c>
      <c r="BC926" s="6">
        <v>342</v>
      </c>
      <c r="BD926" s="6">
        <v>254.5693548387097</v>
      </c>
    </row>
    <row r="927" spans="52:56" x14ac:dyDescent="0.25">
      <c r="AZ927" s="6">
        <v>924</v>
      </c>
      <c r="BA927" s="6">
        <v>2.5000000000000001E-3</v>
      </c>
      <c r="BB927" s="6">
        <v>0</v>
      </c>
      <c r="BC927" s="6">
        <v>342</v>
      </c>
      <c r="BD927" s="6">
        <v>254.84516129032258</v>
      </c>
    </row>
    <row r="928" spans="52:56" x14ac:dyDescent="0.25">
      <c r="AZ928" s="6">
        <v>925</v>
      </c>
      <c r="BA928" s="6">
        <v>2.5000000000000001E-3</v>
      </c>
      <c r="BB928" s="6">
        <v>0</v>
      </c>
      <c r="BC928" s="6">
        <v>342</v>
      </c>
      <c r="BD928" s="6">
        <v>255.12096774193549</v>
      </c>
    </row>
    <row r="929" spans="52:56" x14ac:dyDescent="0.25">
      <c r="AZ929" s="6">
        <v>926</v>
      </c>
      <c r="BA929" s="6">
        <v>2.5000000000000001E-3</v>
      </c>
      <c r="BB929" s="6">
        <v>0</v>
      </c>
      <c r="BC929" s="6">
        <v>342</v>
      </c>
      <c r="BD929" s="6">
        <v>255.3967741935484</v>
      </c>
    </row>
    <row r="930" spans="52:56" x14ac:dyDescent="0.25">
      <c r="AZ930" s="6">
        <v>927</v>
      </c>
      <c r="BA930" s="6">
        <v>2.5000000000000001E-3</v>
      </c>
      <c r="BB930" s="6">
        <v>0</v>
      </c>
      <c r="BC930" s="6">
        <v>342</v>
      </c>
      <c r="BD930" s="6">
        <v>255.6725806451613</v>
      </c>
    </row>
    <row r="931" spans="52:56" x14ac:dyDescent="0.25">
      <c r="AZ931" s="6">
        <v>928</v>
      </c>
      <c r="BA931" s="6">
        <v>2.5000000000000001E-3</v>
      </c>
      <c r="BB931" s="6">
        <v>0</v>
      </c>
      <c r="BC931" s="6">
        <v>342</v>
      </c>
      <c r="BD931" s="6">
        <v>255.94838709677421</v>
      </c>
    </row>
    <row r="932" spans="52:56" x14ac:dyDescent="0.25">
      <c r="AZ932" s="6">
        <v>929</v>
      </c>
      <c r="BA932" s="6">
        <v>2.5000000000000001E-3</v>
      </c>
      <c r="BB932" s="6">
        <v>0</v>
      </c>
      <c r="BC932" s="6">
        <v>342</v>
      </c>
      <c r="BD932" s="6">
        <v>256.22419354838712</v>
      </c>
    </row>
    <row r="933" spans="52:56" x14ac:dyDescent="0.25">
      <c r="AZ933" s="6">
        <v>930</v>
      </c>
      <c r="BA933" s="6">
        <v>2.5000000000000001E-3</v>
      </c>
      <c r="BB933" s="6">
        <v>0</v>
      </c>
      <c r="BC933" s="6">
        <v>342</v>
      </c>
      <c r="BD933" s="6">
        <v>256.5</v>
      </c>
    </row>
    <row r="934" spans="52:56" x14ac:dyDescent="0.25">
      <c r="AZ934" s="6">
        <v>931</v>
      </c>
      <c r="BA934" s="6">
        <v>2.5000000000000001E-3</v>
      </c>
      <c r="BB934" s="6">
        <v>0</v>
      </c>
      <c r="BC934" s="6">
        <v>342</v>
      </c>
      <c r="BD934" s="6">
        <v>256.77580645161294</v>
      </c>
    </row>
    <row r="935" spans="52:56" x14ac:dyDescent="0.25">
      <c r="AZ935" s="6">
        <v>932</v>
      </c>
      <c r="BA935" s="6">
        <v>2.5000000000000001E-3</v>
      </c>
      <c r="BB935" s="6">
        <v>0</v>
      </c>
      <c r="BC935" s="6">
        <v>342</v>
      </c>
      <c r="BD935" s="6">
        <v>257.05161290322582</v>
      </c>
    </row>
    <row r="936" spans="52:56" x14ac:dyDescent="0.25">
      <c r="AZ936" s="6">
        <v>933</v>
      </c>
      <c r="BA936" s="6">
        <v>2.5000000000000001E-3</v>
      </c>
      <c r="BB936" s="6">
        <v>0</v>
      </c>
      <c r="BC936" s="6">
        <v>342</v>
      </c>
      <c r="BD936" s="6">
        <v>257.3274193548387</v>
      </c>
    </row>
    <row r="937" spans="52:56" x14ac:dyDescent="0.25">
      <c r="AZ937" s="6">
        <v>934</v>
      </c>
      <c r="BA937" s="6">
        <v>2.5000000000000001E-3</v>
      </c>
      <c r="BB937" s="6">
        <v>0</v>
      </c>
      <c r="BC937" s="6">
        <v>342</v>
      </c>
      <c r="BD937" s="6">
        <v>257.60322580645163</v>
      </c>
    </row>
    <row r="938" spans="52:56" x14ac:dyDescent="0.25">
      <c r="AZ938" s="6">
        <v>935</v>
      </c>
      <c r="BA938" s="6">
        <v>2.5000000000000001E-3</v>
      </c>
      <c r="BB938" s="6">
        <v>0</v>
      </c>
      <c r="BC938" s="6">
        <v>342</v>
      </c>
      <c r="BD938" s="6">
        <v>257.87903225806451</v>
      </c>
    </row>
    <row r="939" spans="52:56" x14ac:dyDescent="0.25">
      <c r="AZ939" s="6">
        <v>936</v>
      </c>
      <c r="BA939" s="6">
        <v>2.5000000000000001E-3</v>
      </c>
      <c r="BB939" s="6">
        <v>0</v>
      </c>
      <c r="BC939" s="6">
        <v>342</v>
      </c>
      <c r="BD939" s="6">
        <v>258.15483870967745</v>
      </c>
    </row>
    <row r="940" spans="52:56" x14ac:dyDescent="0.25">
      <c r="AZ940" s="6">
        <v>937</v>
      </c>
      <c r="BA940" s="6">
        <v>2.5000000000000001E-3</v>
      </c>
      <c r="BB940" s="6">
        <v>0</v>
      </c>
      <c r="BC940" s="6">
        <v>342</v>
      </c>
      <c r="BD940" s="6">
        <v>258.43064516129033</v>
      </c>
    </row>
    <row r="941" spans="52:56" x14ac:dyDescent="0.25">
      <c r="AZ941" s="6">
        <v>938</v>
      </c>
      <c r="BA941" s="6">
        <v>2.5000000000000001E-3</v>
      </c>
      <c r="BB941" s="6">
        <v>0</v>
      </c>
      <c r="BC941" s="6">
        <v>342</v>
      </c>
      <c r="BD941" s="6">
        <v>258.70645161290321</v>
      </c>
    </row>
    <row r="942" spans="52:56" x14ac:dyDescent="0.25">
      <c r="AZ942" s="6">
        <v>939</v>
      </c>
      <c r="BA942" s="6">
        <v>2.5000000000000001E-3</v>
      </c>
      <c r="BB942" s="6">
        <v>0</v>
      </c>
      <c r="BC942" s="6">
        <v>342</v>
      </c>
      <c r="BD942" s="6">
        <v>258.98225806451615</v>
      </c>
    </row>
    <row r="943" spans="52:56" x14ac:dyDescent="0.25">
      <c r="AZ943" s="6">
        <v>940</v>
      </c>
      <c r="BA943" s="6">
        <v>2.5000000000000001E-3</v>
      </c>
      <c r="BB943" s="6">
        <v>0</v>
      </c>
      <c r="BC943" s="6">
        <v>342</v>
      </c>
      <c r="BD943" s="6">
        <v>259.25806451612902</v>
      </c>
    </row>
    <row r="944" spans="52:56" x14ac:dyDescent="0.25">
      <c r="AZ944" s="6">
        <v>941</v>
      </c>
      <c r="BA944" s="6">
        <v>2.5000000000000001E-3</v>
      </c>
      <c r="BB944" s="6">
        <v>0</v>
      </c>
      <c r="BC944" s="6">
        <v>342</v>
      </c>
      <c r="BD944" s="6">
        <v>259.53387096774196</v>
      </c>
    </row>
    <row r="945" spans="52:56" x14ac:dyDescent="0.25">
      <c r="AZ945" s="6">
        <v>942</v>
      </c>
      <c r="BA945" s="6">
        <v>2.5000000000000001E-3</v>
      </c>
      <c r="BB945" s="6">
        <v>0</v>
      </c>
      <c r="BC945" s="6">
        <v>342</v>
      </c>
      <c r="BD945" s="6">
        <v>259.80967741935484</v>
      </c>
    </row>
    <row r="946" spans="52:56" x14ac:dyDescent="0.25">
      <c r="AZ946" s="6">
        <v>943</v>
      </c>
      <c r="BA946" s="6">
        <v>2.5000000000000001E-3</v>
      </c>
      <c r="BB946" s="6">
        <v>0</v>
      </c>
      <c r="BC946" s="6">
        <v>342</v>
      </c>
      <c r="BD946" s="6">
        <v>260.08548387096778</v>
      </c>
    </row>
    <row r="947" spans="52:56" x14ac:dyDescent="0.25">
      <c r="AZ947" s="6">
        <v>944</v>
      </c>
      <c r="BA947" s="6">
        <v>2.5000000000000001E-3</v>
      </c>
      <c r="BB947" s="6">
        <v>0</v>
      </c>
      <c r="BC947" s="6">
        <v>342</v>
      </c>
      <c r="BD947" s="6">
        <v>260.36129032258066</v>
      </c>
    </row>
    <row r="948" spans="52:56" x14ac:dyDescent="0.25">
      <c r="AZ948" s="6">
        <v>945</v>
      </c>
      <c r="BA948" s="6">
        <v>2.5000000000000001E-3</v>
      </c>
      <c r="BB948" s="6">
        <v>0</v>
      </c>
      <c r="BC948" s="6">
        <v>342</v>
      </c>
      <c r="BD948" s="6">
        <v>260.63709677419354</v>
      </c>
    </row>
    <row r="949" spans="52:56" x14ac:dyDescent="0.25">
      <c r="AZ949" s="6">
        <v>946</v>
      </c>
      <c r="BA949" s="6">
        <v>2.5000000000000001E-3</v>
      </c>
      <c r="BB949" s="6">
        <v>0</v>
      </c>
      <c r="BC949" s="6">
        <v>342</v>
      </c>
      <c r="BD949" s="6">
        <v>260.91290322580647</v>
      </c>
    </row>
    <row r="950" spans="52:56" x14ac:dyDescent="0.25">
      <c r="AZ950" s="6">
        <v>947</v>
      </c>
      <c r="BA950" s="6">
        <v>2.5000000000000001E-3</v>
      </c>
      <c r="BB950" s="6">
        <v>0</v>
      </c>
      <c r="BC950" s="6">
        <v>342</v>
      </c>
      <c r="BD950" s="6">
        <v>261.18870967741935</v>
      </c>
    </row>
    <row r="951" spans="52:56" x14ac:dyDescent="0.25">
      <c r="AZ951" s="6">
        <v>948</v>
      </c>
      <c r="BA951" s="6">
        <v>2.5000000000000001E-3</v>
      </c>
      <c r="BB951" s="6">
        <v>0</v>
      </c>
      <c r="BC951" s="6">
        <v>342</v>
      </c>
      <c r="BD951" s="6">
        <v>261.46451612903229</v>
      </c>
    </row>
    <row r="952" spans="52:56" x14ac:dyDescent="0.25">
      <c r="AZ952" s="6">
        <v>949</v>
      </c>
      <c r="BA952" s="6">
        <v>2.5000000000000001E-3</v>
      </c>
      <c r="BB952" s="6">
        <v>0</v>
      </c>
      <c r="BC952" s="6">
        <v>342</v>
      </c>
      <c r="BD952" s="6">
        <v>261.74032258064517</v>
      </c>
    </row>
    <row r="953" spans="52:56" x14ac:dyDescent="0.25">
      <c r="AZ953" s="6">
        <v>950</v>
      </c>
      <c r="BA953" s="6">
        <v>2.5000000000000001E-3</v>
      </c>
      <c r="BB953" s="6">
        <v>0</v>
      </c>
      <c r="BC953" s="6">
        <v>342</v>
      </c>
      <c r="BD953" s="6">
        <v>262.01612903225805</v>
      </c>
    </row>
    <row r="954" spans="52:56" x14ac:dyDescent="0.25">
      <c r="AZ954" s="6">
        <v>951</v>
      </c>
      <c r="BA954" s="6">
        <v>2.5000000000000001E-3</v>
      </c>
      <c r="BB954" s="6">
        <v>0</v>
      </c>
      <c r="BC954" s="6">
        <v>342</v>
      </c>
      <c r="BD954" s="6">
        <v>262.29193548387099</v>
      </c>
    </row>
    <row r="955" spans="52:56" x14ac:dyDescent="0.25">
      <c r="AZ955" s="6">
        <v>952</v>
      </c>
      <c r="BA955" s="6">
        <v>2.5000000000000001E-3</v>
      </c>
      <c r="BB955" s="6">
        <v>0</v>
      </c>
      <c r="BC955" s="6">
        <v>342</v>
      </c>
      <c r="BD955" s="6">
        <v>262.56774193548387</v>
      </c>
    </row>
    <row r="956" spans="52:56" x14ac:dyDescent="0.25">
      <c r="AZ956" s="6">
        <v>953</v>
      </c>
      <c r="BA956" s="6">
        <v>2.5000000000000001E-3</v>
      </c>
      <c r="BB956" s="6">
        <v>0</v>
      </c>
      <c r="BC956" s="6">
        <v>342</v>
      </c>
      <c r="BD956" s="6">
        <v>262.8435483870968</v>
      </c>
    </row>
    <row r="957" spans="52:56" x14ac:dyDescent="0.25">
      <c r="AZ957" s="6">
        <v>954</v>
      </c>
      <c r="BA957" s="6">
        <v>2.5000000000000001E-3</v>
      </c>
      <c r="BB957" s="6">
        <v>0</v>
      </c>
      <c r="BC957" s="6">
        <v>342</v>
      </c>
      <c r="BD957" s="6">
        <v>263.11935483870968</v>
      </c>
    </row>
    <row r="958" spans="52:56" x14ac:dyDescent="0.25">
      <c r="AZ958" s="6">
        <v>955</v>
      </c>
      <c r="BA958" s="6">
        <v>2.5000000000000001E-3</v>
      </c>
      <c r="BB958" s="6">
        <v>0</v>
      </c>
      <c r="BC958" s="6">
        <v>342</v>
      </c>
      <c r="BD958" s="6">
        <v>263.39516129032256</v>
      </c>
    </row>
    <row r="959" spans="52:56" x14ac:dyDescent="0.25">
      <c r="AZ959" s="6">
        <v>956</v>
      </c>
      <c r="BA959" s="6">
        <v>2.5000000000000001E-3</v>
      </c>
      <c r="BB959" s="6">
        <v>0</v>
      </c>
      <c r="BC959" s="6">
        <v>342</v>
      </c>
      <c r="BD959" s="6">
        <v>263.6709677419355</v>
      </c>
    </row>
    <row r="960" spans="52:56" x14ac:dyDescent="0.25">
      <c r="AZ960" s="6">
        <v>957</v>
      </c>
      <c r="BA960" s="6">
        <v>2.5000000000000001E-3</v>
      </c>
      <c r="BB960" s="6">
        <v>0</v>
      </c>
      <c r="BC960" s="6">
        <v>342</v>
      </c>
      <c r="BD960" s="6">
        <v>263.94677419354838</v>
      </c>
    </row>
    <row r="961" spans="52:56" x14ac:dyDescent="0.25">
      <c r="AZ961" s="6">
        <v>958</v>
      </c>
      <c r="BA961" s="6">
        <v>2.5000000000000001E-3</v>
      </c>
      <c r="BB961" s="6">
        <v>0</v>
      </c>
      <c r="BC961" s="6">
        <v>342</v>
      </c>
      <c r="BD961" s="6">
        <v>264.22258064516132</v>
      </c>
    </row>
    <row r="962" spans="52:56" x14ac:dyDescent="0.25">
      <c r="AZ962" s="6">
        <v>959</v>
      </c>
      <c r="BA962" s="6">
        <v>2.5000000000000001E-3</v>
      </c>
      <c r="BB962" s="6">
        <v>0</v>
      </c>
      <c r="BC962" s="6">
        <v>342</v>
      </c>
      <c r="BD962" s="6">
        <v>264.4983870967742</v>
      </c>
    </row>
    <row r="963" spans="52:56" x14ac:dyDescent="0.25">
      <c r="AZ963" s="6">
        <v>960</v>
      </c>
      <c r="BA963" s="6">
        <v>2.5000000000000001E-3</v>
      </c>
      <c r="BB963" s="6">
        <v>0</v>
      </c>
      <c r="BC963" s="6">
        <v>342</v>
      </c>
      <c r="BD963" s="6">
        <v>264.77419354838713</v>
      </c>
    </row>
    <row r="964" spans="52:56" x14ac:dyDescent="0.25">
      <c r="AZ964" s="6">
        <v>961</v>
      </c>
      <c r="BA964" s="6">
        <v>2.5000000000000001E-3</v>
      </c>
      <c r="BB964" s="6">
        <v>0</v>
      </c>
      <c r="BC964" s="6">
        <v>342</v>
      </c>
      <c r="BD964" s="6">
        <v>265.05</v>
      </c>
    </row>
    <row r="965" spans="52:56" x14ac:dyDescent="0.25">
      <c r="AZ965" s="6">
        <v>962</v>
      </c>
      <c r="BA965" s="6">
        <v>2.5000000000000001E-3</v>
      </c>
      <c r="BB965" s="6">
        <v>0</v>
      </c>
      <c r="BC965" s="6">
        <v>342</v>
      </c>
      <c r="BD965" s="6">
        <v>265.32580645161289</v>
      </c>
    </row>
    <row r="966" spans="52:56" x14ac:dyDescent="0.25">
      <c r="AZ966" s="6">
        <v>963</v>
      </c>
      <c r="BA966" s="6">
        <v>2.5000000000000001E-3</v>
      </c>
      <c r="BB966" s="6">
        <v>0</v>
      </c>
      <c r="BC966" s="6">
        <v>342</v>
      </c>
      <c r="BD966" s="6">
        <v>265.60161290322583</v>
      </c>
    </row>
    <row r="967" spans="52:56" x14ac:dyDescent="0.25">
      <c r="AZ967" s="6">
        <v>964</v>
      </c>
      <c r="BA967" s="6">
        <v>2.5000000000000001E-3</v>
      </c>
      <c r="BB967" s="6">
        <v>0</v>
      </c>
      <c r="BC967" s="6">
        <v>342</v>
      </c>
      <c r="BD967" s="6">
        <v>265.87741935483871</v>
      </c>
    </row>
    <row r="968" spans="52:56" x14ac:dyDescent="0.25">
      <c r="AZ968" s="6">
        <v>965</v>
      </c>
      <c r="BA968" s="6">
        <v>2.5000000000000001E-3</v>
      </c>
      <c r="BB968" s="6">
        <v>0</v>
      </c>
      <c r="BC968" s="6">
        <v>342</v>
      </c>
      <c r="BD968" s="6">
        <v>266.15322580645164</v>
      </c>
    </row>
    <row r="969" spans="52:56" x14ac:dyDescent="0.25">
      <c r="AZ969" s="6">
        <v>966</v>
      </c>
      <c r="BA969" s="6">
        <v>2.5000000000000001E-3</v>
      </c>
      <c r="BB969" s="6">
        <v>0</v>
      </c>
      <c r="BC969" s="6">
        <v>342</v>
      </c>
      <c r="BD969" s="6">
        <v>266.42903225806452</v>
      </c>
    </row>
    <row r="970" spans="52:56" x14ac:dyDescent="0.25">
      <c r="AZ970" s="6">
        <v>967</v>
      </c>
      <c r="BA970" s="6">
        <v>2.5000000000000001E-3</v>
      </c>
      <c r="BB970" s="6">
        <v>0</v>
      </c>
      <c r="BC970" s="6">
        <v>342</v>
      </c>
      <c r="BD970" s="6">
        <v>266.7048387096774</v>
      </c>
    </row>
    <row r="971" spans="52:56" x14ac:dyDescent="0.25">
      <c r="AZ971" s="6">
        <v>968</v>
      </c>
      <c r="BA971" s="6">
        <v>2.5000000000000001E-3</v>
      </c>
      <c r="BB971" s="6">
        <v>0</v>
      </c>
      <c r="BC971" s="6">
        <v>342</v>
      </c>
      <c r="BD971" s="6">
        <v>266.98064516129034</v>
      </c>
    </row>
    <row r="972" spans="52:56" x14ac:dyDescent="0.25">
      <c r="AZ972" s="6">
        <v>969</v>
      </c>
      <c r="BA972" s="6">
        <v>2.5000000000000001E-3</v>
      </c>
      <c r="BB972" s="6">
        <v>0</v>
      </c>
      <c r="BC972" s="6">
        <v>342</v>
      </c>
      <c r="BD972" s="6">
        <v>267.25645161290322</v>
      </c>
    </row>
    <row r="973" spans="52:56" x14ac:dyDescent="0.25">
      <c r="AZ973" s="6">
        <v>970</v>
      </c>
      <c r="BA973" s="6">
        <v>2.5000000000000001E-3</v>
      </c>
      <c r="BB973" s="6">
        <v>0</v>
      </c>
      <c r="BC973" s="6">
        <v>342</v>
      </c>
      <c r="BD973" s="6">
        <v>267.53225806451616</v>
      </c>
    </row>
    <row r="974" spans="52:56" x14ac:dyDescent="0.25">
      <c r="AZ974" s="6">
        <v>971</v>
      </c>
      <c r="BA974" s="6">
        <v>2.5000000000000001E-3</v>
      </c>
      <c r="BB974" s="6">
        <v>0</v>
      </c>
      <c r="BC974" s="6">
        <v>342</v>
      </c>
      <c r="BD974" s="6">
        <v>267.80806451612904</v>
      </c>
    </row>
    <row r="975" spans="52:56" x14ac:dyDescent="0.25">
      <c r="AZ975" s="6">
        <v>972</v>
      </c>
      <c r="BA975" s="6">
        <v>2.5000000000000001E-3</v>
      </c>
      <c r="BB975" s="6">
        <v>0</v>
      </c>
      <c r="BC975" s="6">
        <v>342</v>
      </c>
      <c r="BD975" s="6">
        <v>268.08387096774197</v>
      </c>
    </row>
    <row r="976" spans="52:56" x14ac:dyDescent="0.25">
      <c r="AZ976" s="6">
        <v>973</v>
      </c>
      <c r="BA976" s="6">
        <v>2.5000000000000001E-3</v>
      </c>
      <c r="BB976" s="6">
        <v>0</v>
      </c>
      <c r="BC976" s="6">
        <v>342</v>
      </c>
      <c r="BD976" s="6">
        <v>268.35967741935485</v>
      </c>
    </row>
    <row r="977" spans="52:56" x14ac:dyDescent="0.25">
      <c r="AZ977" s="6">
        <v>974</v>
      </c>
      <c r="BA977" s="6">
        <v>2.5000000000000001E-3</v>
      </c>
      <c r="BB977" s="6">
        <v>0</v>
      </c>
      <c r="BC977" s="6">
        <v>342</v>
      </c>
      <c r="BD977" s="6">
        <v>268.63548387096773</v>
      </c>
    </row>
    <row r="978" spans="52:56" x14ac:dyDescent="0.25">
      <c r="AZ978" s="6">
        <v>975</v>
      </c>
      <c r="BA978" s="6">
        <v>2.5000000000000001E-3</v>
      </c>
      <c r="BB978" s="6">
        <v>0</v>
      </c>
      <c r="BC978" s="6">
        <v>342</v>
      </c>
      <c r="BD978" s="6">
        <v>268.91129032258067</v>
      </c>
    </row>
    <row r="979" spans="52:56" x14ac:dyDescent="0.25">
      <c r="AZ979" s="6">
        <v>976</v>
      </c>
      <c r="BA979" s="6">
        <v>2.5000000000000001E-3</v>
      </c>
      <c r="BB979" s="6">
        <v>0</v>
      </c>
      <c r="BC979" s="6">
        <v>342</v>
      </c>
      <c r="BD979" s="6">
        <v>269.18709677419355</v>
      </c>
    </row>
    <row r="980" spans="52:56" x14ac:dyDescent="0.25">
      <c r="AZ980" s="6">
        <v>977</v>
      </c>
      <c r="BA980" s="6">
        <v>2.5000000000000001E-3</v>
      </c>
      <c r="BB980" s="6">
        <v>0</v>
      </c>
      <c r="BC980" s="6">
        <v>342</v>
      </c>
      <c r="BD980" s="6">
        <v>269.46290322580649</v>
      </c>
    </row>
    <row r="981" spans="52:56" x14ac:dyDescent="0.25">
      <c r="AZ981" s="6">
        <v>978</v>
      </c>
      <c r="BA981" s="6">
        <v>2.5000000000000001E-3</v>
      </c>
      <c r="BB981" s="6">
        <v>0</v>
      </c>
      <c r="BC981" s="6">
        <v>342</v>
      </c>
      <c r="BD981" s="6">
        <v>269.73870967741937</v>
      </c>
    </row>
    <row r="982" spans="52:56" x14ac:dyDescent="0.25">
      <c r="AZ982" s="6">
        <v>979</v>
      </c>
      <c r="BA982" s="6">
        <v>2.5000000000000001E-3</v>
      </c>
      <c r="BB982" s="6">
        <v>0</v>
      </c>
      <c r="BC982" s="6">
        <v>342</v>
      </c>
      <c r="BD982" s="6">
        <v>270.01451612903224</v>
      </c>
    </row>
    <row r="983" spans="52:56" x14ac:dyDescent="0.25">
      <c r="AZ983" s="6">
        <v>980</v>
      </c>
      <c r="BA983" s="6">
        <v>2.5000000000000001E-3</v>
      </c>
      <c r="BB983" s="6">
        <v>0</v>
      </c>
      <c r="BC983" s="6">
        <v>342</v>
      </c>
      <c r="BD983" s="6">
        <v>270.29032258064518</v>
      </c>
    </row>
    <row r="984" spans="52:56" x14ac:dyDescent="0.25">
      <c r="AZ984" s="6">
        <v>981</v>
      </c>
      <c r="BA984" s="6">
        <v>2.5000000000000001E-3</v>
      </c>
      <c r="BB984" s="6">
        <v>0</v>
      </c>
      <c r="BC984" s="6">
        <v>342</v>
      </c>
      <c r="BD984" s="6">
        <v>270.56612903225806</v>
      </c>
    </row>
    <row r="985" spans="52:56" x14ac:dyDescent="0.25">
      <c r="AZ985" s="6">
        <v>982</v>
      </c>
      <c r="BA985" s="6">
        <v>2.5000000000000001E-3</v>
      </c>
      <c r="BB985" s="6">
        <v>0</v>
      </c>
      <c r="BC985" s="6">
        <v>342</v>
      </c>
      <c r="BD985" s="6">
        <v>270.841935483871</v>
      </c>
    </row>
    <row r="986" spans="52:56" x14ac:dyDescent="0.25">
      <c r="AZ986" s="6">
        <v>983</v>
      </c>
      <c r="BA986" s="6">
        <v>2.5000000000000001E-3</v>
      </c>
      <c r="BB986" s="6">
        <v>0</v>
      </c>
      <c r="BC986" s="6">
        <v>342</v>
      </c>
      <c r="BD986" s="6">
        <v>271.11774193548388</v>
      </c>
    </row>
    <row r="987" spans="52:56" x14ac:dyDescent="0.25">
      <c r="AZ987" s="6">
        <v>984</v>
      </c>
      <c r="BA987" s="6">
        <v>2.5000000000000001E-3</v>
      </c>
      <c r="BB987" s="6">
        <v>0</v>
      </c>
      <c r="BC987" s="6">
        <v>342</v>
      </c>
      <c r="BD987" s="6">
        <v>271.39354838709676</v>
      </c>
    </row>
    <row r="988" spans="52:56" x14ac:dyDescent="0.25">
      <c r="AZ988" s="6">
        <v>985</v>
      </c>
      <c r="BA988" s="6">
        <v>2.5000000000000001E-3</v>
      </c>
      <c r="BB988" s="6">
        <v>0</v>
      </c>
      <c r="BC988" s="6">
        <v>342</v>
      </c>
      <c r="BD988" s="6">
        <v>271.66935483870969</v>
      </c>
    </row>
    <row r="989" spans="52:56" x14ac:dyDescent="0.25">
      <c r="AZ989" s="6">
        <v>986</v>
      </c>
      <c r="BA989" s="6">
        <v>2.5000000000000001E-3</v>
      </c>
      <c r="BB989" s="6">
        <v>0</v>
      </c>
      <c r="BC989" s="6">
        <v>342</v>
      </c>
      <c r="BD989" s="6">
        <v>271.94516129032257</v>
      </c>
    </row>
    <row r="990" spans="52:56" x14ac:dyDescent="0.25">
      <c r="AZ990" s="6">
        <v>987</v>
      </c>
      <c r="BA990" s="6">
        <v>2.5000000000000001E-3</v>
      </c>
      <c r="BB990" s="6">
        <v>0</v>
      </c>
      <c r="BC990" s="6">
        <v>342</v>
      </c>
      <c r="BD990" s="6">
        <v>272.22096774193551</v>
      </c>
    </row>
    <row r="991" spans="52:56" x14ac:dyDescent="0.25">
      <c r="AZ991" s="6">
        <v>988</v>
      </c>
      <c r="BA991" s="6">
        <v>2.5000000000000001E-3</v>
      </c>
      <c r="BB991" s="6">
        <v>0</v>
      </c>
      <c r="BC991" s="6">
        <v>342</v>
      </c>
      <c r="BD991" s="6">
        <v>272.49677419354839</v>
      </c>
    </row>
    <row r="992" spans="52:56" x14ac:dyDescent="0.25">
      <c r="AZ992" s="6">
        <v>989</v>
      </c>
      <c r="BA992" s="6">
        <v>2.5000000000000001E-3</v>
      </c>
      <c r="BB992" s="6">
        <v>0</v>
      </c>
      <c r="BC992" s="6">
        <v>342</v>
      </c>
      <c r="BD992" s="6">
        <v>272.77258064516133</v>
      </c>
    </row>
    <row r="993" spans="52:56" x14ac:dyDescent="0.25">
      <c r="AZ993" s="6">
        <v>990</v>
      </c>
      <c r="BA993" s="6">
        <v>2.5000000000000001E-3</v>
      </c>
      <c r="BB993" s="6">
        <v>0</v>
      </c>
      <c r="BC993" s="6">
        <v>342</v>
      </c>
      <c r="BD993" s="6">
        <v>273.04838709677421</v>
      </c>
    </row>
    <row r="994" spans="52:56" x14ac:dyDescent="0.25">
      <c r="AZ994" s="6">
        <v>991</v>
      </c>
      <c r="BA994" s="6">
        <v>2.5000000000000001E-3</v>
      </c>
      <c r="BB994" s="6">
        <v>0</v>
      </c>
      <c r="BC994" s="6">
        <v>342</v>
      </c>
      <c r="BD994" s="6">
        <v>273.32419354838709</v>
      </c>
    </row>
    <row r="995" spans="52:56" x14ac:dyDescent="0.25">
      <c r="AZ995" s="6">
        <v>992</v>
      </c>
      <c r="BA995" s="6">
        <v>2.5000000000000001E-3</v>
      </c>
      <c r="BB995" s="6">
        <v>0</v>
      </c>
      <c r="BC995" s="6">
        <v>342</v>
      </c>
      <c r="BD995" s="6">
        <v>273.60000000000002</v>
      </c>
    </row>
    <row r="996" spans="52:56" x14ac:dyDescent="0.25">
      <c r="AZ996" s="5">
        <v>993</v>
      </c>
      <c r="BA996" s="5">
        <v>2.5000000000000001E-3</v>
      </c>
      <c r="BB996" s="5">
        <v>0</v>
      </c>
      <c r="BC996" s="5">
        <v>342</v>
      </c>
      <c r="BD996" s="5">
        <v>273.8758064516129</v>
      </c>
    </row>
    <row r="997" spans="52:56" x14ac:dyDescent="0.25">
      <c r="AZ997" s="5">
        <v>994</v>
      </c>
      <c r="BA997" s="5">
        <v>2.5000000000000001E-3</v>
      </c>
      <c r="BB997" s="5">
        <v>0</v>
      </c>
      <c r="BC997" s="5">
        <v>342</v>
      </c>
      <c r="BD997" s="5">
        <v>274.15161290322584</v>
      </c>
    </row>
    <row r="998" spans="52:56" x14ac:dyDescent="0.25">
      <c r="AZ998" s="5">
        <v>995</v>
      </c>
      <c r="BA998" s="5">
        <v>2.5000000000000001E-3</v>
      </c>
      <c r="BB998" s="5">
        <v>0</v>
      </c>
      <c r="BC998" s="5">
        <v>342</v>
      </c>
      <c r="BD998" s="5">
        <v>274.42741935483872</v>
      </c>
    </row>
    <row r="999" spans="52:56" x14ac:dyDescent="0.25">
      <c r="AZ999" s="5">
        <v>996</v>
      </c>
      <c r="BA999" s="5">
        <v>2.5000000000000001E-3</v>
      </c>
      <c r="BB999" s="5">
        <v>0</v>
      </c>
      <c r="BC999" s="5">
        <v>342</v>
      </c>
      <c r="BD999" s="5">
        <v>274.7032258064516</v>
      </c>
    </row>
    <row r="1000" spans="52:56" x14ac:dyDescent="0.25">
      <c r="AZ1000" s="5">
        <v>997</v>
      </c>
      <c r="BA1000" s="5">
        <v>2.5000000000000001E-3</v>
      </c>
      <c r="BB1000" s="5">
        <v>0</v>
      </c>
      <c r="BC1000" s="5">
        <v>342</v>
      </c>
      <c r="BD1000" s="5">
        <v>274.97903225806454</v>
      </c>
    </row>
    <row r="1001" spans="52:56" x14ac:dyDescent="0.25">
      <c r="AZ1001" s="5">
        <v>998</v>
      </c>
      <c r="BA1001" s="5">
        <v>2.5000000000000001E-3</v>
      </c>
      <c r="BB1001" s="5">
        <v>0</v>
      </c>
      <c r="BC1001" s="5">
        <v>342</v>
      </c>
      <c r="BD1001" s="5">
        <v>275.25483870967741</v>
      </c>
    </row>
    <row r="1002" spans="52:56" x14ac:dyDescent="0.25">
      <c r="AZ1002" s="5">
        <v>999</v>
      </c>
      <c r="BA1002" s="5">
        <v>2.5000000000000001E-3</v>
      </c>
      <c r="BB1002" s="5">
        <v>0</v>
      </c>
      <c r="BC1002" s="5">
        <v>342</v>
      </c>
      <c r="BD1002" s="5">
        <v>275.53064516129035</v>
      </c>
    </row>
    <row r="1003" spans="52:56" x14ac:dyDescent="0.25">
      <c r="AZ1003" s="5">
        <v>1000</v>
      </c>
      <c r="BA1003" s="5">
        <v>2.5000000000000001E-3</v>
      </c>
      <c r="BB1003" s="5">
        <v>0</v>
      </c>
      <c r="BC1003" s="5">
        <v>342</v>
      </c>
      <c r="BD1003" s="5">
        <v>275.80645161290323</v>
      </c>
    </row>
    <row r="1004" spans="52:56" x14ac:dyDescent="0.25">
      <c r="AZ1004" s="5">
        <v>1001</v>
      </c>
      <c r="BA1004" s="5">
        <v>2.5000000000000001E-3</v>
      </c>
      <c r="BB1004" s="5">
        <v>0</v>
      </c>
      <c r="BC1004" s="5">
        <v>342</v>
      </c>
      <c r="BD1004" s="5">
        <v>276.08225806451611</v>
      </c>
    </row>
    <row r="1005" spans="52:56" x14ac:dyDescent="0.25">
      <c r="AZ1005" s="5">
        <v>1002</v>
      </c>
      <c r="BA1005" s="5">
        <v>2.5000000000000001E-3</v>
      </c>
      <c r="BB1005" s="5">
        <v>0</v>
      </c>
      <c r="BC1005" s="5">
        <v>342</v>
      </c>
      <c r="BD1005" s="5">
        <v>276.35806451612905</v>
      </c>
    </row>
    <row r="1006" spans="52:56" x14ac:dyDescent="0.25">
      <c r="AZ1006" s="5">
        <v>1003</v>
      </c>
      <c r="BA1006" s="5">
        <v>2.5000000000000001E-3</v>
      </c>
      <c r="BB1006" s="5">
        <v>0</v>
      </c>
      <c r="BC1006" s="5">
        <v>342</v>
      </c>
      <c r="BD1006" s="5">
        <v>276.63387096774193</v>
      </c>
    </row>
    <row r="1007" spans="52:56" x14ac:dyDescent="0.25">
      <c r="AZ1007" s="5">
        <v>1004</v>
      </c>
      <c r="BA1007" s="5">
        <v>2.5000000000000001E-3</v>
      </c>
      <c r="BB1007" s="5">
        <v>0</v>
      </c>
      <c r="BC1007" s="5">
        <v>342</v>
      </c>
      <c r="BD1007" s="5">
        <v>276.90967741935486</v>
      </c>
    </row>
    <row r="1008" spans="52:56" x14ac:dyDescent="0.25">
      <c r="AZ1008" s="5">
        <v>1005</v>
      </c>
      <c r="BA1008" s="5">
        <v>2.5000000000000001E-3</v>
      </c>
      <c r="BB1008" s="5">
        <v>0</v>
      </c>
      <c r="BC1008" s="5">
        <v>342</v>
      </c>
      <c r="BD1008" s="5">
        <v>277.18548387096774</v>
      </c>
    </row>
    <row r="1009" spans="52:56" x14ac:dyDescent="0.25">
      <c r="AZ1009" s="5">
        <v>1006</v>
      </c>
      <c r="BA1009" s="5">
        <v>2.5000000000000001E-3</v>
      </c>
      <c r="BB1009" s="5">
        <v>0</v>
      </c>
      <c r="BC1009" s="5">
        <v>342</v>
      </c>
      <c r="BD1009" s="5">
        <v>277.46129032258068</v>
      </c>
    </row>
    <row r="1010" spans="52:56" x14ac:dyDescent="0.25">
      <c r="AZ1010" s="5">
        <v>1007</v>
      </c>
      <c r="BA1010" s="5">
        <v>2.5000000000000001E-3</v>
      </c>
      <c r="BB1010" s="5">
        <v>0</v>
      </c>
      <c r="BC1010" s="5">
        <v>342</v>
      </c>
      <c r="BD1010" s="5">
        <v>277.73709677419356</v>
      </c>
    </row>
    <row r="1011" spans="52:56" x14ac:dyDescent="0.25">
      <c r="AZ1011" s="5">
        <v>1008</v>
      </c>
      <c r="BA1011" s="5">
        <v>2.5000000000000001E-3</v>
      </c>
      <c r="BB1011" s="5">
        <v>0</v>
      </c>
      <c r="BC1011" s="5">
        <v>342</v>
      </c>
      <c r="BD1011" s="5">
        <v>278.01290322580644</v>
      </c>
    </row>
    <row r="1012" spans="52:56" x14ac:dyDescent="0.25">
      <c r="AZ1012" s="5">
        <v>1009</v>
      </c>
      <c r="BA1012" s="5">
        <v>2.5000000000000001E-3</v>
      </c>
      <c r="BB1012" s="5">
        <v>0</v>
      </c>
      <c r="BC1012" s="5">
        <v>342</v>
      </c>
      <c r="BD1012" s="5">
        <v>278.28870967741938</v>
      </c>
    </row>
    <row r="1013" spans="52:56" x14ac:dyDescent="0.25">
      <c r="AZ1013" s="5">
        <v>1010</v>
      </c>
      <c r="BA1013" s="5">
        <v>2.5000000000000001E-3</v>
      </c>
      <c r="BB1013" s="5">
        <v>0</v>
      </c>
      <c r="BC1013" s="5">
        <v>342</v>
      </c>
      <c r="BD1013" s="5">
        <v>278.56451612903226</v>
      </c>
    </row>
    <row r="1014" spans="52:56" x14ac:dyDescent="0.25">
      <c r="AZ1014" s="5">
        <v>1011</v>
      </c>
      <c r="BA1014" s="5">
        <v>2.5000000000000001E-3</v>
      </c>
      <c r="BB1014" s="5">
        <v>0</v>
      </c>
      <c r="BC1014" s="5">
        <v>342</v>
      </c>
      <c r="BD1014" s="5">
        <v>278.84032258064519</v>
      </c>
    </row>
    <row r="1015" spans="52:56" x14ac:dyDescent="0.25">
      <c r="AZ1015" s="5">
        <v>1012</v>
      </c>
      <c r="BA1015" s="5">
        <v>2.5000000000000001E-3</v>
      </c>
      <c r="BB1015" s="5">
        <v>0</v>
      </c>
      <c r="BC1015" s="5">
        <v>342</v>
      </c>
      <c r="BD1015" s="5">
        <v>279.11612903225807</v>
      </c>
    </row>
    <row r="1016" spans="52:56" x14ac:dyDescent="0.25">
      <c r="AZ1016" s="5">
        <v>1013</v>
      </c>
      <c r="BA1016" s="5">
        <v>2.5000000000000001E-3</v>
      </c>
      <c r="BB1016" s="5">
        <v>0</v>
      </c>
      <c r="BC1016" s="5">
        <v>342</v>
      </c>
      <c r="BD1016" s="5">
        <v>279.39193548387095</v>
      </c>
    </row>
    <row r="1017" spans="52:56" x14ac:dyDescent="0.25">
      <c r="AZ1017" s="5">
        <v>1014</v>
      </c>
      <c r="BA1017" s="5">
        <v>2.5000000000000001E-3</v>
      </c>
      <c r="BB1017" s="5">
        <v>0</v>
      </c>
      <c r="BC1017" s="5">
        <v>342</v>
      </c>
      <c r="BD1017" s="5">
        <v>279.66774193548389</v>
      </c>
    </row>
    <row r="1018" spans="52:56" x14ac:dyDescent="0.25">
      <c r="AZ1018" s="5">
        <v>1015</v>
      </c>
      <c r="BA1018" s="5">
        <v>2.5000000000000001E-3</v>
      </c>
      <c r="BB1018" s="5">
        <v>0</v>
      </c>
      <c r="BC1018" s="5">
        <v>342</v>
      </c>
      <c r="BD1018" s="5">
        <v>279.94354838709677</v>
      </c>
    </row>
    <row r="1019" spans="52:56" x14ac:dyDescent="0.25">
      <c r="AZ1019" s="5">
        <v>1016</v>
      </c>
      <c r="BA1019" s="5">
        <v>2.5000000000000001E-3</v>
      </c>
      <c r="BB1019" s="5">
        <v>0</v>
      </c>
      <c r="BC1019" s="5">
        <v>342</v>
      </c>
      <c r="BD1019" s="5">
        <v>280.21935483870971</v>
      </c>
    </row>
    <row r="1020" spans="52:56" x14ac:dyDescent="0.25">
      <c r="AZ1020" s="5">
        <v>1017</v>
      </c>
      <c r="BA1020" s="5">
        <v>2.5000000000000001E-3</v>
      </c>
      <c r="BB1020" s="5">
        <v>0</v>
      </c>
      <c r="BC1020" s="5">
        <v>342</v>
      </c>
      <c r="BD1020" s="5">
        <v>280.49516129032259</v>
      </c>
    </row>
    <row r="1021" spans="52:56" x14ac:dyDescent="0.25">
      <c r="AZ1021" s="5">
        <v>1018</v>
      </c>
      <c r="BA1021" s="5">
        <v>2.5000000000000001E-3</v>
      </c>
      <c r="BB1021" s="5">
        <v>0</v>
      </c>
      <c r="BC1021" s="5">
        <v>342</v>
      </c>
      <c r="BD1021" s="5">
        <v>280.77096774193552</v>
      </c>
    </row>
    <row r="1022" spans="52:56" x14ac:dyDescent="0.25">
      <c r="AZ1022" s="5">
        <v>1019</v>
      </c>
      <c r="BA1022" s="5">
        <v>2.5000000000000001E-3</v>
      </c>
      <c r="BB1022" s="5">
        <v>0</v>
      </c>
      <c r="BC1022" s="5">
        <v>342</v>
      </c>
      <c r="BD1022" s="5">
        <v>281.0467741935484</v>
      </c>
    </row>
    <row r="1023" spans="52:56" x14ac:dyDescent="0.25">
      <c r="AZ1023" s="5">
        <v>1020</v>
      </c>
      <c r="BA1023" s="5">
        <v>2.5000000000000001E-3</v>
      </c>
      <c r="BB1023" s="5">
        <v>0</v>
      </c>
      <c r="BC1023" s="5">
        <v>342</v>
      </c>
      <c r="BD1023" s="5">
        <v>281.32258064516128</v>
      </c>
    </row>
    <row r="1024" spans="52:56" x14ac:dyDescent="0.25">
      <c r="AZ1024" s="5">
        <v>1021</v>
      </c>
      <c r="BA1024" s="5">
        <v>2.5000000000000001E-3</v>
      </c>
      <c r="BB1024" s="5">
        <v>0</v>
      </c>
      <c r="BC1024" s="5">
        <v>342</v>
      </c>
      <c r="BD1024" s="5">
        <v>281.59838709677422</v>
      </c>
    </row>
    <row r="1025" spans="52:56" x14ac:dyDescent="0.25">
      <c r="AZ1025" s="5">
        <v>1022</v>
      </c>
      <c r="BA1025" s="5">
        <v>2.5000000000000001E-3</v>
      </c>
      <c r="BB1025" s="5">
        <v>0</v>
      </c>
      <c r="BC1025" s="5">
        <v>342</v>
      </c>
      <c r="BD1025" s="5">
        <v>281.8741935483871</v>
      </c>
    </row>
    <row r="1026" spans="52:56" x14ac:dyDescent="0.25">
      <c r="AZ1026" s="5">
        <v>1023</v>
      </c>
      <c r="BA1026" s="5">
        <v>2.5000000000000001E-3</v>
      </c>
      <c r="BB1026" s="5">
        <v>0</v>
      </c>
      <c r="BC1026" s="5">
        <v>342</v>
      </c>
      <c r="BD1026" s="5">
        <v>282.15000000000003</v>
      </c>
    </row>
    <row r="1027" spans="52:56" x14ac:dyDescent="0.25">
      <c r="AZ1027" s="5">
        <v>1024</v>
      </c>
      <c r="BA1027" s="5">
        <v>2.5000000000000001E-3</v>
      </c>
      <c r="BB1027" s="5">
        <v>0</v>
      </c>
      <c r="BC1027" s="5">
        <v>342</v>
      </c>
      <c r="BD1027" s="5">
        <v>282.42580645161291</v>
      </c>
    </row>
    <row r="1028" spans="52:56" x14ac:dyDescent="0.25">
      <c r="AZ1028" s="5">
        <v>1025</v>
      </c>
      <c r="BA1028" s="5">
        <v>2.5000000000000001E-3</v>
      </c>
      <c r="BB1028" s="5">
        <v>0</v>
      </c>
      <c r="BC1028" s="5">
        <v>342</v>
      </c>
      <c r="BD1028" s="5">
        <v>282.70161290322579</v>
      </c>
    </row>
    <row r="1029" spans="52:56" x14ac:dyDescent="0.25">
      <c r="AZ1029" s="5">
        <v>1026</v>
      </c>
      <c r="BA1029" s="5">
        <v>2.5000000000000001E-3</v>
      </c>
      <c r="BB1029" s="5">
        <v>0</v>
      </c>
      <c r="BC1029" s="5">
        <v>342</v>
      </c>
      <c r="BD1029" s="5">
        <v>282.97741935483873</v>
      </c>
    </row>
    <row r="1030" spans="52:56" x14ac:dyDescent="0.25">
      <c r="AZ1030" s="5">
        <v>1027</v>
      </c>
      <c r="BA1030" s="5">
        <v>2.5000000000000001E-3</v>
      </c>
      <c r="BB1030" s="5">
        <v>0</v>
      </c>
      <c r="BC1030" s="5">
        <v>342</v>
      </c>
      <c r="BD1030" s="5">
        <v>283.25322580645161</v>
      </c>
    </row>
    <row r="1031" spans="52:56" x14ac:dyDescent="0.25">
      <c r="AZ1031" s="5">
        <v>1028</v>
      </c>
      <c r="BA1031" s="5">
        <v>2.5000000000000001E-3</v>
      </c>
      <c r="BB1031" s="5">
        <v>0</v>
      </c>
      <c r="BC1031" s="5">
        <v>342</v>
      </c>
      <c r="BD1031" s="5">
        <v>283.52903225806455</v>
      </c>
    </row>
    <row r="1032" spans="52:56" x14ac:dyDescent="0.25">
      <c r="AZ1032" s="5">
        <v>1029</v>
      </c>
      <c r="BA1032" s="5">
        <v>2.5000000000000001E-3</v>
      </c>
      <c r="BB1032" s="5">
        <v>0</v>
      </c>
      <c r="BC1032" s="5">
        <v>342</v>
      </c>
      <c r="BD1032" s="5">
        <v>283.80483870967743</v>
      </c>
    </row>
    <row r="1033" spans="52:56" x14ac:dyDescent="0.25">
      <c r="AZ1033" s="5">
        <v>1030</v>
      </c>
      <c r="BA1033" s="5">
        <v>2.5000000000000001E-3</v>
      </c>
      <c r="BB1033" s="5">
        <v>0</v>
      </c>
      <c r="BC1033" s="5">
        <v>342</v>
      </c>
      <c r="BD1033" s="5">
        <v>284.08064516129031</v>
      </c>
    </row>
    <row r="1034" spans="52:56" x14ac:dyDescent="0.25">
      <c r="AZ1034" s="5">
        <v>1031</v>
      </c>
      <c r="BA1034" s="5">
        <v>2.5000000000000001E-3</v>
      </c>
      <c r="BB1034" s="5">
        <v>0</v>
      </c>
      <c r="BC1034" s="5">
        <v>342</v>
      </c>
      <c r="BD1034" s="5">
        <v>284.35645161290324</v>
      </c>
    </row>
    <row r="1035" spans="52:56" x14ac:dyDescent="0.25">
      <c r="AZ1035" s="5">
        <v>1032</v>
      </c>
      <c r="BA1035" s="5">
        <v>2.5000000000000001E-3</v>
      </c>
      <c r="BB1035" s="5">
        <v>0</v>
      </c>
      <c r="BC1035" s="5">
        <v>342</v>
      </c>
      <c r="BD1035" s="5">
        <v>284.63225806451612</v>
      </c>
    </row>
    <row r="1036" spans="52:56" x14ac:dyDescent="0.25">
      <c r="AZ1036" s="5">
        <v>1033</v>
      </c>
      <c r="BA1036" s="5">
        <v>2.5000000000000001E-3</v>
      </c>
      <c r="BB1036" s="5">
        <v>0</v>
      </c>
      <c r="BC1036" s="5">
        <v>342</v>
      </c>
      <c r="BD1036" s="5">
        <v>284.90806451612906</v>
      </c>
    </row>
    <row r="1037" spans="52:56" x14ac:dyDescent="0.25">
      <c r="AZ1037" s="5">
        <v>1034</v>
      </c>
      <c r="BA1037" s="5">
        <v>2.5000000000000001E-3</v>
      </c>
      <c r="BB1037" s="5">
        <v>0</v>
      </c>
      <c r="BC1037" s="5">
        <v>342</v>
      </c>
      <c r="BD1037" s="5">
        <v>285.18387096774194</v>
      </c>
    </row>
    <row r="1038" spans="52:56" x14ac:dyDescent="0.25">
      <c r="AZ1038" s="5">
        <v>1035</v>
      </c>
      <c r="BA1038" s="5">
        <v>2.5000000000000001E-3</v>
      </c>
      <c r="BB1038" s="5">
        <v>0</v>
      </c>
      <c r="BC1038" s="5">
        <v>342</v>
      </c>
      <c r="BD1038" s="5">
        <v>285.45967741935488</v>
      </c>
    </row>
    <row r="1039" spans="52:56" x14ac:dyDescent="0.25">
      <c r="AZ1039" s="5">
        <v>1036</v>
      </c>
      <c r="BA1039" s="5">
        <v>2.5000000000000001E-3</v>
      </c>
      <c r="BB1039" s="5">
        <v>0</v>
      </c>
      <c r="BC1039" s="5">
        <v>342</v>
      </c>
      <c r="BD1039" s="5">
        <v>285.73548387096776</v>
      </c>
    </row>
    <row r="1040" spans="52:56" x14ac:dyDescent="0.25">
      <c r="AZ1040" s="5">
        <v>1037</v>
      </c>
      <c r="BA1040" s="5">
        <v>2.5000000000000001E-3</v>
      </c>
      <c r="BB1040" s="5">
        <v>0</v>
      </c>
      <c r="BC1040" s="5">
        <v>342</v>
      </c>
      <c r="BD1040" s="5">
        <v>286.01129032258063</v>
      </c>
    </row>
    <row r="1041" spans="52:56" x14ac:dyDescent="0.25">
      <c r="AZ1041" s="5">
        <v>1038</v>
      </c>
      <c r="BA1041" s="5">
        <v>2.5000000000000001E-3</v>
      </c>
      <c r="BB1041" s="5">
        <v>0</v>
      </c>
      <c r="BC1041" s="5">
        <v>342</v>
      </c>
      <c r="BD1041" s="5">
        <v>286.28709677419357</v>
      </c>
    </row>
    <row r="1042" spans="52:56" x14ac:dyDescent="0.25">
      <c r="AZ1042" s="5">
        <v>1039</v>
      </c>
      <c r="BA1042" s="5">
        <v>2.5000000000000001E-3</v>
      </c>
      <c r="BB1042" s="5">
        <v>0</v>
      </c>
      <c r="BC1042" s="5">
        <v>342</v>
      </c>
      <c r="BD1042" s="5">
        <v>286.56290322580645</v>
      </c>
    </row>
    <row r="1043" spans="52:56" x14ac:dyDescent="0.25">
      <c r="AZ1043" s="5">
        <v>1040</v>
      </c>
      <c r="BA1043" s="5">
        <v>2.5000000000000001E-3</v>
      </c>
      <c r="BB1043" s="5">
        <v>0</v>
      </c>
      <c r="BC1043" s="5">
        <v>342</v>
      </c>
      <c r="BD1043" s="5">
        <v>286.83870967741939</v>
      </c>
    </row>
    <row r="1044" spans="52:56" x14ac:dyDescent="0.25">
      <c r="AZ1044" s="5">
        <v>1041</v>
      </c>
      <c r="BA1044" s="5">
        <v>2.5000000000000001E-3</v>
      </c>
      <c r="BB1044" s="5">
        <v>0</v>
      </c>
      <c r="BC1044" s="5">
        <v>342</v>
      </c>
      <c r="BD1044" s="5">
        <v>287.11451612903227</v>
      </c>
    </row>
    <row r="1045" spans="52:56" x14ac:dyDescent="0.25">
      <c r="AZ1045" s="5">
        <v>1042</v>
      </c>
      <c r="BA1045" s="5">
        <v>2.5000000000000001E-3</v>
      </c>
      <c r="BB1045" s="5">
        <v>0</v>
      </c>
      <c r="BC1045" s="5">
        <v>342</v>
      </c>
      <c r="BD1045" s="5">
        <v>287.39032258064515</v>
      </c>
    </row>
    <row r="1046" spans="52:56" x14ac:dyDescent="0.25">
      <c r="AZ1046" s="5">
        <v>1043</v>
      </c>
      <c r="BA1046" s="5">
        <v>2.5000000000000001E-3</v>
      </c>
      <c r="BB1046" s="5">
        <v>0</v>
      </c>
      <c r="BC1046" s="5">
        <v>342</v>
      </c>
      <c r="BD1046" s="5">
        <v>287.66612903225808</v>
      </c>
    </row>
    <row r="1047" spans="52:56" x14ac:dyDescent="0.25">
      <c r="AZ1047" s="5">
        <v>1044</v>
      </c>
      <c r="BA1047" s="5">
        <v>2.5000000000000001E-3</v>
      </c>
      <c r="BB1047" s="5">
        <v>0</v>
      </c>
      <c r="BC1047" s="5">
        <v>342</v>
      </c>
      <c r="BD1047" s="5">
        <v>287.94193548387096</v>
      </c>
    </row>
    <row r="1048" spans="52:56" x14ac:dyDescent="0.25">
      <c r="AZ1048" s="5">
        <v>1045</v>
      </c>
      <c r="BA1048" s="5">
        <v>2.5000000000000001E-3</v>
      </c>
      <c r="BB1048" s="5">
        <v>0</v>
      </c>
      <c r="BC1048" s="5">
        <v>342</v>
      </c>
      <c r="BD1048" s="5">
        <v>288.2177419354839</v>
      </c>
    </row>
    <row r="1049" spans="52:56" x14ac:dyDescent="0.25">
      <c r="AZ1049" s="5">
        <v>1046</v>
      </c>
      <c r="BA1049" s="5">
        <v>2.5000000000000001E-3</v>
      </c>
      <c r="BB1049" s="5">
        <v>0</v>
      </c>
      <c r="BC1049" s="5">
        <v>342</v>
      </c>
      <c r="BD1049" s="5">
        <v>288.49354838709678</v>
      </c>
    </row>
    <row r="1050" spans="52:56" x14ac:dyDescent="0.25">
      <c r="AZ1050" s="5">
        <v>1047</v>
      </c>
      <c r="BA1050" s="5">
        <v>2.5000000000000001E-3</v>
      </c>
      <c r="BB1050" s="5">
        <v>0</v>
      </c>
      <c r="BC1050" s="5">
        <v>342</v>
      </c>
      <c r="BD1050" s="5">
        <v>288.76935483870972</v>
      </c>
    </row>
    <row r="1051" spans="52:56" x14ac:dyDescent="0.25">
      <c r="AZ1051" s="5">
        <v>1048</v>
      </c>
      <c r="BA1051" s="5">
        <v>2.5000000000000001E-3</v>
      </c>
      <c r="BB1051" s="5">
        <v>0</v>
      </c>
      <c r="BC1051" s="5">
        <v>342</v>
      </c>
      <c r="BD1051" s="5">
        <v>289.0451612903226</v>
      </c>
    </row>
    <row r="1052" spans="52:56" x14ac:dyDescent="0.25">
      <c r="AZ1052" s="5">
        <v>1049</v>
      </c>
      <c r="BA1052" s="5">
        <v>2.5000000000000001E-3</v>
      </c>
      <c r="BB1052" s="5">
        <v>0</v>
      </c>
      <c r="BC1052" s="5">
        <v>342</v>
      </c>
      <c r="BD1052" s="5">
        <v>289.32096774193548</v>
      </c>
    </row>
    <row r="1053" spans="52:56" x14ac:dyDescent="0.25">
      <c r="AZ1053" s="5">
        <v>1050</v>
      </c>
      <c r="BA1053" s="5">
        <v>2.5000000000000001E-3</v>
      </c>
      <c r="BB1053" s="5">
        <v>0</v>
      </c>
      <c r="BC1053" s="5">
        <v>342</v>
      </c>
      <c r="BD1053" s="5">
        <v>289.59677419354841</v>
      </c>
    </row>
    <row r="1054" spans="52:56" x14ac:dyDescent="0.25">
      <c r="AZ1054" s="5">
        <v>1051</v>
      </c>
      <c r="BA1054" s="5">
        <v>2.5000000000000001E-3</v>
      </c>
      <c r="BB1054" s="5">
        <v>0</v>
      </c>
      <c r="BC1054" s="5">
        <v>342</v>
      </c>
      <c r="BD1054" s="5">
        <v>289.87258064516129</v>
      </c>
    </row>
    <row r="1055" spans="52:56" x14ac:dyDescent="0.25">
      <c r="AZ1055" s="5">
        <v>1052</v>
      </c>
      <c r="BA1055" s="5">
        <v>2.5000000000000001E-3</v>
      </c>
      <c r="BB1055" s="5">
        <v>0</v>
      </c>
      <c r="BC1055" s="5">
        <v>342</v>
      </c>
      <c r="BD1055" s="5">
        <v>290.14838709677423</v>
      </c>
    </row>
    <row r="1056" spans="52:56" x14ac:dyDescent="0.25">
      <c r="AZ1056" s="5">
        <v>1053</v>
      </c>
      <c r="BA1056" s="5">
        <v>2.5000000000000001E-3</v>
      </c>
      <c r="BB1056" s="5">
        <v>0</v>
      </c>
      <c r="BC1056" s="5">
        <v>342</v>
      </c>
      <c r="BD1056" s="5">
        <v>290.42419354838711</v>
      </c>
    </row>
    <row r="1057" spans="52:56" x14ac:dyDescent="0.25">
      <c r="AZ1057" s="5">
        <v>1054</v>
      </c>
      <c r="BA1057" s="5">
        <v>2.5000000000000001E-3</v>
      </c>
      <c r="BB1057" s="5">
        <v>0</v>
      </c>
      <c r="BC1057" s="5">
        <v>342</v>
      </c>
      <c r="BD1057" s="5">
        <v>290.7</v>
      </c>
    </row>
    <row r="1058" spans="52:56" x14ac:dyDescent="0.25">
      <c r="AZ1058" s="5">
        <v>1055</v>
      </c>
      <c r="BA1058" s="5">
        <v>2.5000000000000001E-3</v>
      </c>
      <c r="BB1058" s="5">
        <v>0</v>
      </c>
      <c r="BC1058" s="5">
        <v>342</v>
      </c>
      <c r="BD1058" s="5">
        <v>290.97580645161293</v>
      </c>
    </row>
    <row r="1059" spans="52:56" x14ac:dyDescent="0.25">
      <c r="AZ1059" s="5">
        <v>1056</v>
      </c>
      <c r="BA1059" s="5">
        <v>2.5000000000000001E-3</v>
      </c>
      <c r="BB1059" s="5">
        <v>0</v>
      </c>
      <c r="BC1059" s="5">
        <v>342</v>
      </c>
      <c r="BD1059" s="5">
        <v>291.2516129032258</v>
      </c>
    </row>
    <row r="1060" spans="52:56" x14ac:dyDescent="0.25">
      <c r="AZ1060" s="5">
        <v>1057</v>
      </c>
      <c r="BA1060" s="5">
        <v>2.5000000000000001E-3</v>
      </c>
      <c r="BB1060" s="5">
        <v>0</v>
      </c>
      <c r="BC1060" s="5">
        <v>342</v>
      </c>
      <c r="BD1060" s="5">
        <v>291.52741935483874</v>
      </c>
    </row>
    <row r="1061" spans="52:56" x14ac:dyDescent="0.25">
      <c r="AZ1061" s="5">
        <v>1058</v>
      </c>
      <c r="BA1061" s="5">
        <v>2.5000000000000001E-3</v>
      </c>
      <c r="BB1061" s="5">
        <v>0</v>
      </c>
      <c r="BC1061" s="5">
        <v>342</v>
      </c>
      <c r="BD1061" s="5">
        <v>291.80322580645162</v>
      </c>
    </row>
    <row r="1062" spans="52:56" x14ac:dyDescent="0.25">
      <c r="AZ1062" s="5">
        <v>1059</v>
      </c>
      <c r="BA1062" s="5">
        <v>2.5000000000000001E-3</v>
      </c>
      <c r="BB1062" s="5">
        <v>0</v>
      </c>
      <c r="BC1062" s="5">
        <v>342</v>
      </c>
      <c r="BD1062" s="5">
        <v>292.0790322580645</v>
      </c>
    </row>
    <row r="1063" spans="52:56" x14ac:dyDescent="0.25">
      <c r="AZ1063" s="5">
        <v>1060</v>
      </c>
      <c r="BA1063" s="5">
        <v>2.5000000000000001E-3</v>
      </c>
      <c r="BB1063" s="5">
        <v>0</v>
      </c>
      <c r="BC1063" s="5">
        <v>342</v>
      </c>
      <c r="BD1063" s="5">
        <v>292.35483870967744</v>
      </c>
    </row>
    <row r="1064" spans="52:56" x14ac:dyDescent="0.25">
      <c r="AZ1064" s="5">
        <v>1061</v>
      </c>
      <c r="BA1064" s="5">
        <v>2.5000000000000001E-3</v>
      </c>
      <c r="BB1064" s="5">
        <v>0</v>
      </c>
      <c r="BC1064" s="5">
        <v>342</v>
      </c>
      <c r="BD1064" s="5">
        <v>292.63064516129032</v>
      </c>
    </row>
    <row r="1065" spans="52:56" x14ac:dyDescent="0.25">
      <c r="AZ1065" s="5">
        <v>1062</v>
      </c>
      <c r="BA1065" s="5">
        <v>2.5000000000000001E-3</v>
      </c>
      <c r="BB1065" s="5">
        <v>0</v>
      </c>
      <c r="BC1065" s="5">
        <v>342</v>
      </c>
      <c r="BD1065" s="5">
        <v>292.90645161290325</v>
      </c>
    </row>
    <row r="1066" spans="52:56" x14ac:dyDescent="0.25">
      <c r="AZ1066" s="5">
        <v>1063</v>
      </c>
      <c r="BA1066" s="5">
        <v>2.5000000000000001E-3</v>
      </c>
      <c r="BB1066" s="5">
        <v>0</v>
      </c>
      <c r="BC1066" s="5">
        <v>342</v>
      </c>
      <c r="BD1066" s="5">
        <v>293.18225806451613</v>
      </c>
    </row>
    <row r="1067" spans="52:56" x14ac:dyDescent="0.25">
      <c r="AZ1067" s="5">
        <v>1064</v>
      </c>
      <c r="BA1067" s="5">
        <v>2.5000000000000001E-3</v>
      </c>
      <c r="BB1067" s="5">
        <v>0</v>
      </c>
      <c r="BC1067" s="5">
        <v>342</v>
      </c>
      <c r="BD1067" s="5">
        <v>293.45806451612907</v>
      </c>
    </row>
    <row r="1068" spans="52:56" x14ac:dyDescent="0.25">
      <c r="AZ1068" s="5">
        <v>1065</v>
      </c>
      <c r="BA1068" s="5">
        <v>2.5000000000000001E-3</v>
      </c>
      <c r="BB1068" s="5">
        <v>0</v>
      </c>
      <c r="BC1068" s="5">
        <v>342</v>
      </c>
      <c r="BD1068" s="5">
        <v>293.73387096774195</v>
      </c>
    </row>
    <row r="1069" spans="52:56" x14ac:dyDescent="0.25">
      <c r="AZ1069" s="5">
        <v>1066</v>
      </c>
      <c r="BA1069" s="5">
        <v>2.5000000000000001E-3</v>
      </c>
      <c r="BB1069" s="5">
        <v>0</v>
      </c>
      <c r="BC1069" s="5">
        <v>342</v>
      </c>
      <c r="BD1069" s="5">
        <v>294.00967741935483</v>
      </c>
    </row>
    <row r="1070" spans="52:56" x14ac:dyDescent="0.25">
      <c r="AZ1070" s="5">
        <v>1067</v>
      </c>
      <c r="BA1070" s="5">
        <v>2.5000000000000001E-3</v>
      </c>
      <c r="BB1070" s="5">
        <v>0</v>
      </c>
      <c r="BC1070" s="5">
        <v>342</v>
      </c>
      <c r="BD1070" s="5">
        <v>294.28548387096777</v>
      </c>
    </row>
    <row r="1071" spans="52:56" x14ac:dyDescent="0.25">
      <c r="AZ1071" s="5">
        <v>1068</v>
      </c>
      <c r="BA1071" s="5">
        <v>2.5000000000000001E-3</v>
      </c>
      <c r="BB1071" s="5">
        <v>0</v>
      </c>
      <c r="BC1071" s="5">
        <v>342</v>
      </c>
      <c r="BD1071" s="5">
        <v>294.56129032258065</v>
      </c>
    </row>
    <row r="1072" spans="52:56" x14ac:dyDescent="0.25">
      <c r="AZ1072" s="5">
        <v>1069</v>
      </c>
      <c r="BA1072" s="5">
        <v>2.5000000000000001E-3</v>
      </c>
      <c r="BB1072" s="5">
        <v>0</v>
      </c>
      <c r="BC1072" s="5">
        <v>342</v>
      </c>
      <c r="BD1072" s="5">
        <v>294.83709677419358</v>
      </c>
    </row>
    <row r="1073" spans="52:56" x14ac:dyDescent="0.25">
      <c r="AZ1073" s="5">
        <v>1070</v>
      </c>
      <c r="BA1073" s="5">
        <v>2.5000000000000001E-3</v>
      </c>
      <c r="BB1073" s="5">
        <v>0</v>
      </c>
      <c r="BC1073" s="5">
        <v>342</v>
      </c>
      <c r="BD1073" s="5">
        <v>295.11290322580646</v>
      </c>
    </row>
    <row r="1074" spans="52:56" x14ac:dyDescent="0.25">
      <c r="AZ1074" s="5">
        <v>1071</v>
      </c>
      <c r="BA1074" s="5">
        <v>2.5000000000000001E-3</v>
      </c>
      <c r="BB1074" s="5">
        <v>0</v>
      </c>
      <c r="BC1074" s="5">
        <v>342</v>
      </c>
      <c r="BD1074" s="5">
        <v>295.38870967741934</v>
      </c>
    </row>
    <row r="1075" spans="52:56" x14ac:dyDescent="0.25">
      <c r="AZ1075" s="5">
        <v>1072</v>
      </c>
      <c r="BA1075" s="5">
        <v>2.5000000000000001E-3</v>
      </c>
      <c r="BB1075" s="5">
        <v>0</v>
      </c>
      <c r="BC1075" s="5">
        <v>342</v>
      </c>
      <c r="BD1075" s="5">
        <v>295.66451612903228</v>
      </c>
    </row>
    <row r="1076" spans="52:56" x14ac:dyDescent="0.25">
      <c r="AZ1076" s="5">
        <v>1073</v>
      </c>
      <c r="BA1076" s="5">
        <v>2.5000000000000001E-3</v>
      </c>
      <c r="BB1076" s="5">
        <v>0</v>
      </c>
      <c r="BC1076" s="5">
        <v>342</v>
      </c>
      <c r="BD1076" s="5">
        <v>295.94032258064516</v>
      </c>
    </row>
    <row r="1077" spans="52:56" x14ac:dyDescent="0.25">
      <c r="AZ1077" s="5">
        <v>1074</v>
      </c>
      <c r="BA1077" s="5">
        <v>2.5000000000000001E-3</v>
      </c>
      <c r="BB1077" s="5">
        <v>0</v>
      </c>
      <c r="BC1077" s="5">
        <v>342</v>
      </c>
      <c r="BD1077" s="5">
        <v>296.2161290322581</v>
      </c>
    </row>
    <row r="1078" spans="52:56" x14ac:dyDescent="0.25">
      <c r="AZ1078" s="5">
        <v>1075</v>
      </c>
      <c r="BA1078" s="5">
        <v>2.5000000000000001E-3</v>
      </c>
      <c r="BB1078" s="5">
        <v>0</v>
      </c>
      <c r="BC1078" s="5">
        <v>342</v>
      </c>
      <c r="BD1078" s="5">
        <v>296.49193548387098</v>
      </c>
    </row>
    <row r="1079" spans="52:56" x14ac:dyDescent="0.25">
      <c r="AZ1079" s="5">
        <v>1076</v>
      </c>
      <c r="BA1079" s="5">
        <v>2.5000000000000001E-3</v>
      </c>
      <c r="BB1079" s="5">
        <v>0</v>
      </c>
      <c r="BC1079" s="5">
        <v>342</v>
      </c>
      <c r="BD1079" s="5">
        <v>296.76774193548385</v>
      </c>
    </row>
    <row r="1080" spans="52:56" x14ac:dyDescent="0.25">
      <c r="AZ1080" s="5">
        <v>1077</v>
      </c>
      <c r="BA1080" s="5">
        <v>2.5000000000000001E-3</v>
      </c>
      <c r="BB1080" s="5">
        <v>0</v>
      </c>
      <c r="BC1080" s="5">
        <v>342</v>
      </c>
      <c r="BD1080" s="5">
        <v>297.04354838709679</v>
      </c>
    </row>
    <row r="1081" spans="52:56" x14ac:dyDescent="0.25">
      <c r="AZ1081" s="5">
        <v>1078</v>
      </c>
      <c r="BA1081" s="5">
        <v>2.5000000000000001E-3</v>
      </c>
      <c r="BB1081" s="5">
        <v>0</v>
      </c>
      <c r="BC1081" s="5">
        <v>342</v>
      </c>
      <c r="BD1081" s="5">
        <v>297.31935483870967</v>
      </c>
    </row>
    <row r="1082" spans="52:56" x14ac:dyDescent="0.25">
      <c r="AZ1082" s="5">
        <v>1079</v>
      </c>
      <c r="BA1082" s="5">
        <v>2.5000000000000001E-3</v>
      </c>
      <c r="BB1082" s="5">
        <v>0</v>
      </c>
      <c r="BC1082" s="5">
        <v>342</v>
      </c>
      <c r="BD1082" s="5">
        <v>297.59516129032261</v>
      </c>
    </row>
    <row r="1083" spans="52:56" x14ac:dyDescent="0.25">
      <c r="AZ1083" s="5">
        <v>1080</v>
      </c>
      <c r="BA1083" s="5">
        <v>2.5000000000000001E-3</v>
      </c>
      <c r="BB1083" s="5">
        <v>0</v>
      </c>
      <c r="BC1083" s="5">
        <v>342</v>
      </c>
      <c r="BD1083" s="5">
        <v>297.87096774193549</v>
      </c>
    </row>
    <row r="1084" spans="52:56" x14ac:dyDescent="0.25">
      <c r="AZ1084" s="5">
        <v>1081</v>
      </c>
      <c r="BA1084" s="5">
        <v>2.5000000000000001E-3</v>
      </c>
      <c r="BB1084" s="5">
        <v>0</v>
      </c>
      <c r="BC1084" s="5">
        <v>342</v>
      </c>
      <c r="BD1084" s="5">
        <v>298.14677419354842</v>
      </c>
    </row>
    <row r="1085" spans="52:56" x14ac:dyDescent="0.25">
      <c r="AZ1085" s="5">
        <v>1082</v>
      </c>
      <c r="BA1085" s="5">
        <v>2.5000000000000001E-3</v>
      </c>
      <c r="BB1085" s="5">
        <v>0</v>
      </c>
      <c r="BC1085" s="5">
        <v>342</v>
      </c>
      <c r="BD1085" s="5">
        <v>298.4225806451613</v>
      </c>
    </row>
    <row r="1086" spans="52:56" x14ac:dyDescent="0.25">
      <c r="AZ1086" s="5">
        <v>1083</v>
      </c>
      <c r="BA1086" s="5">
        <v>2.5000000000000001E-3</v>
      </c>
      <c r="BB1086" s="5">
        <v>0</v>
      </c>
      <c r="BC1086" s="5">
        <v>342</v>
      </c>
      <c r="BD1086" s="5">
        <v>298.69838709677418</v>
      </c>
    </row>
    <row r="1087" spans="52:56" x14ac:dyDescent="0.25">
      <c r="AZ1087" s="5">
        <v>1084</v>
      </c>
      <c r="BA1087" s="5">
        <v>2.5000000000000001E-3</v>
      </c>
      <c r="BB1087" s="5">
        <v>0</v>
      </c>
      <c r="BC1087" s="5">
        <v>342</v>
      </c>
      <c r="BD1087" s="5">
        <v>298.97419354838712</v>
      </c>
    </row>
    <row r="1088" spans="52:56" x14ac:dyDescent="0.25">
      <c r="AZ1088" s="5">
        <v>1085</v>
      </c>
      <c r="BA1088" s="5">
        <v>2.5000000000000001E-3</v>
      </c>
      <c r="BB1088" s="5">
        <v>0</v>
      </c>
      <c r="BC1088" s="5">
        <v>342</v>
      </c>
      <c r="BD1088" s="5">
        <v>299.25</v>
      </c>
    </row>
    <row r="1089" spans="52:56" x14ac:dyDescent="0.25">
      <c r="AZ1089" s="5">
        <v>1086</v>
      </c>
      <c r="BA1089" s="5">
        <v>2.5000000000000001E-3</v>
      </c>
      <c r="BB1089" s="5">
        <v>0</v>
      </c>
      <c r="BC1089" s="5">
        <v>342</v>
      </c>
      <c r="BD1089" s="5">
        <v>299.52580645161294</v>
      </c>
    </row>
    <row r="1090" spans="52:56" x14ac:dyDescent="0.25">
      <c r="AZ1090" s="5">
        <v>1087</v>
      </c>
      <c r="BA1090" s="5">
        <v>2.5000000000000001E-3</v>
      </c>
      <c r="BB1090" s="5">
        <v>0</v>
      </c>
      <c r="BC1090" s="5">
        <v>342</v>
      </c>
      <c r="BD1090" s="5">
        <v>299.80161290322582</v>
      </c>
    </row>
    <row r="1091" spans="52:56" x14ac:dyDescent="0.25">
      <c r="AZ1091" s="5">
        <v>1088</v>
      </c>
      <c r="BA1091" s="5">
        <v>2.5000000000000001E-3</v>
      </c>
      <c r="BB1091" s="5">
        <v>0</v>
      </c>
      <c r="BC1091" s="5">
        <v>342</v>
      </c>
      <c r="BD1091" s="5">
        <v>300.0774193548387</v>
      </c>
    </row>
    <row r="1092" spans="52:56" x14ac:dyDescent="0.25">
      <c r="AZ1092" s="5">
        <v>1089</v>
      </c>
      <c r="BA1092" s="5">
        <v>2.5000000000000001E-3</v>
      </c>
      <c r="BB1092" s="5">
        <v>0</v>
      </c>
      <c r="BC1092" s="5">
        <v>342</v>
      </c>
      <c r="BD1092" s="5">
        <v>300.35322580645163</v>
      </c>
    </row>
    <row r="1093" spans="52:56" x14ac:dyDescent="0.25">
      <c r="AZ1093" s="5">
        <v>1090</v>
      </c>
      <c r="BA1093" s="5">
        <v>2.5000000000000001E-3</v>
      </c>
      <c r="BB1093" s="5">
        <v>0</v>
      </c>
      <c r="BC1093" s="5">
        <v>342</v>
      </c>
      <c r="BD1093" s="5">
        <v>300.62903225806451</v>
      </c>
    </row>
    <row r="1094" spans="52:56" x14ac:dyDescent="0.25">
      <c r="AZ1094" s="5">
        <v>1091</v>
      </c>
      <c r="BA1094" s="5">
        <v>2.5000000000000001E-3</v>
      </c>
      <c r="BB1094" s="5">
        <v>0</v>
      </c>
      <c r="BC1094" s="5">
        <v>342</v>
      </c>
      <c r="BD1094" s="5">
        <v>300.90483870967745</v>
      </c>
    </row>
    <row r="1095" spans="52:56" x14ac:dyDescent="0.25">
      <c r="AZ1095" s="5">
        <v>1092</v>
      </c>
      <c r="BA1095" s="5">
        <v>2.5000000000000001E-3</v>
      </c>
      <c r="BB1095" s="5">
        <v>0</v>
      </c>
      <c r="BC1095" s="5">
        <v>342</v>
      </c>
      <c r="BD1095" s="5">
        <v>301.18064516129033</v>
      </c>
    </row>
    <row r="1096" spans="52:56" x14ac:dyDescent="0.25">
      <c r="AZ1096" s="5">
        <v>1093</v>
      </c>
      <c r="BA1096" s="5">
        <v>2.5000000000000001E-3</v>
      </c>
      <c r="BB1096" s="5">
        <v>0</v>
      </c>
      <c r="BC1096" s="5">
        <v>342</v>
      </c>
      <c r="BD1096" s="5">
        <v>301.45645161290327</v>
      </c>
    </row>
    <row r="1097" spans="52:56" x14ac:dyDescent="0.25">
      <c r="AZ1097" s="5">
        <v>1094</v>
      </c>
      <c r="BA1097" s="5">
        <v>2.5000000000000001E-3</v>
      </c>
      <c r="BB1097" s="5">
        <v>0</v>
      </c>
      <c r="BC1097" s="5">
        <v>342</v>
      </c>
      <c r="BD1097" s="5">
        <v>301.73225806451615</v>
      </c>
    </row>
    <row r="1098" spans="52:56" x14ac:dyDescent="0.25">
      <c r="AZ1098" s="5">
        <v>1095</v>
      </c>
      <c r="BA1098" s="5">
        <v>2.5000000000000001E-3</v>
      </c>
      <c r="BB1098" s="5">
        <v>0</v>
      </c>
      <c r="BC1098" s="5">
        <v>342</v>
      </c>
      <c r="BD1098" s="5">
        <v>302.00806451612902</v>
      </c>
    </row>
    <row r="1099" spans="52:56" x14ac:dyDescent="0.25">
      <c r="AZ1099" s="5">
        <v>1096</v>
      </c>
      <c r="BA1099" s="5">
        <v>2.5000000000000001E-3</v>
      </c>
      <c r="BB1099" s="5">
        <v>0</v>
      </c>
      <c r="BC1099" s="5">
        <v>342</v>
      </c>
      <c r="BD1099" s="5">
        <v>302.28387096774196</v>
      </c>
    </row>
    <row r="1100" spans="52:56" x14ac:dyDescent="0.25">
      <c r="AZ1100" s="5">
        <v>1097</v>
      </c>
      <c r="BA1100" s="5">
        <v>2.5000000000000001E-3</v>
      </c>
      <c r="BB1100" s="5">
        <v>0</v>
      </c>
      <c r="BC1100" s="5">
        <v>342</v>
      </c>
      <c r="BD1100" s="5">
        <v>302.55967741935484</v>
      </c>
    </row>
    <row r="1101" spans="52:56" x14ac:dyDescent="0.25">
      <c r="AZ1101" s="5">
        <v>1098</v>
      </c>
      <c r="BA1101" s="5">
        <v>2.5000000000000001E-3</v>
      </c>
      <c r="BB1101" s="5">
        <v>0</v>
      </c>
      <c r="BC1101" s="5">
        <v>342</v>
      </c>
      <c r="BD1101" s="5">
        <v>302.83548387096778</v>
      </c>
    </row>
    <row r="1102" spans="52:56" x14ac:dyDescent="0.25">
      <c r="AZ1102" s="5">
        <v>1099</v>
      </c>
      <c r="BA1102" s="5">
        <v>2.5000000000000001E-3</v>
      </c>
      <c r="BB1102" s="5">
        <v>0</v>
      </c>
      <c r="BC1102" s="5">
        <v>342</v>
      </c>
      <c r="BD1102" s="5">
        <v>303.11129032258066</v>
      </c>
    </row>
    <row r="1103" spans="52:56" x14ac:dyDescent="0.25">
      <c r="AZ1103" s="5">
        <v>1100</v>
      </c>
      <c r="BA1103" s="5">
        <v>2.5000000000000001E-3</v>
      </c>
      <c r="BB1103" s="5">
        <v>0</v>
      </c>
      <c r="BC1103" s="5">
        <v>342</v>
      </c>
      <c r="BD1103" s="5">
        <v>303.38709677419354</v>
      </c>
    </row>
    <row r="1104" spans="52:56" x14ac:dyDescent="0.25">
      <c r="AZ1104" s="5">
        <v>1101</v>
      </c>
      <c r="BA1104" s="5">
        <v>2.5000000000000001E-3</v>
      </c>
      <c r="BB1104" s="5">
        <v>0</v>
      </c>
      <c r="BC1104" s="5">
        <v>342</v>
      </c>
      <c r="BD1104" s="5">
        <v>303.66290322580647</v>
      </c>
    </row>
    <row r="1105" spans="52:56" x14ac:dyDescent="0.25">
      <c r="AZ1105" s="5">
        <v>1102</v>
      </c>
      <c r="BA1105" s="5">
        <v>2.5000000000000001E-3</v>
      </c>
      <c r="BB1105" s="5">
        <v>0</v>
      </c>
      <c r="BC1105" s="5">
        <v>342</v>
      </c>
      <c r="BD1105" s="5">
        <v>303.93870967741935</v>
      </c>
    </row>
    <row r="1106" spans="52:56" x14ac:dyDescent="0.25">
      <c r="AZ1106" s="5">
        <v>1103</v>
      </c>
      <c r="BA1106" s="5">
        <v>2.5000000000000001E-3</v>
      </c>
      <c r="BB1106" s="5">
        <v>0</v>
      </c>
      <c r="BC1106" s="5">
        <v>342</v>
      </c>
      <c r="BD1106" s="5">
        <v>304.21451612903229</v>
      </c>
    </row>
    <row r="1107" spans="52:56" x14ac:dyDescent="0.25">
      <c r="AZ1107" s="5">
        <v>1104</v>
      </c>
      <c r="BA1107" s="5">
        <v>2.5000000000000001E-3</v>
      </c>
      <c r="BB1107" s="5">
        <v>0</v>
      </c>
      <c r="BC1107" s="5">
        <v>342</v>
      </c>
      <c r="BD1107" s="5">
        <v>304.49032258064517</v>
      </c>
    </row>
    <row r="1108" spans="52:56" x14ac:dyDescent="0.25">
      <c r="AZ1108" s="5">
        <v>1105</v>
      </c>
      <c r="BA1108" s="5">
        <v>2.5000000000000001E-3</v>
      </c>
      <c r="BB1108" s="5">
        <v>0</v>
      </c>
      <c r="BC1108" s="5">
        <v>342</v>
      </c>
      <c r="BD1108" s="5">
        <v>304.76612903225805</v>
      </c>
    </row>
    <row r="1109" spans="52:56" x14ac:dyDescent="0.25">
      <c r="AZ1109" s="5">
        <v>1106</v>
      </c>
      <c r="BA1109" s="5">
        <v>0</v>
      </c>
      <c r="BB1109" s="5">
        <v>0</v>
      </c>
      <c r="BC1109" s="5">
        <v>342</v>
      </c>
      <c r="BD1109" s="5">
        <v>305.04193548387099</v>
      </c>
    </row>
    <row r="1110" spans="52:56" x14ac:dyDescent="0.25">
      <c r="AZ1110" s="5">
        <v>1107</v>
      </c>
      <c r="BA1110" s="5">
        <v>0</v>
      </c>
      <c r="BB1110" s="5">
        <v>0</v>
      </c>
      <c r="BC1110" s="5">
        <v>342</v>
      </c>
      <c r="BD1110" s="5">
        <v>305.31774193548387</v>
      </c>
    </row>
    <row r="1111" spans="52:56" x14ac:dyDescent="0.25">
      <c r="AZ1111" s="5">
        <v>1108</v>
      </c>
      <c r="BA1111" s="5">
        <v>0</v>
      </c>
      <c r="BB1111" s="5">
        <v>0</v>
      </c>
      <c r="BC1111" s="5">
        <v>342</v>
      </c>
      <c r="BD1111" s="5">
        <v>305.5935483870968</v>
      </c>
    </row>
    <row r="1112" spans="52:56" x14ac:dyDescent="0.25">
      <c r="AZ1112" s="5">
        <v>1109</v>
      </c>
      <c r="BA1112" s="5">
        <v>0</v>
      </c>
      <c r="BB1112" s="5">
        <v>0</v>
      </c>
      <c r="BC1112" s="5">
        <v>342</v>
      </c>
      <c r="BD1112" s="5">
        <v>305.86935483870968</v>
      </c>
    </row>
    <row r="1113" spans="52:56" x14ac:dyDescent="0.25">
      <c r="AZ1113" s="5">
        <v>1110</v>
      </c>
      <c r="BA1113" s="5">
        <v>0</v>
      </c>
      <c r="BB1113" s="5">
        <v>0</v>
      </c>
      <c r="BC1113" s="5">
        <v>342</v>
      </c>
      <c r="BD1113" s="5">
        <v>306.14516129032262</v>
      </c>
    </row>
    <row r="1114" spans="52:56" x14ac:dyDescent="0.25">
      <c r="AZ1114" s="5">
        <v>1111</v>
      </c>
      <c r="BA1114" s="5">
        <v>0</v>
      </c>
      <c r="BB1114" s="5">
        <v>0</v>
      </c>
      <c r="BC1114" s="5">
        <v>342</v>
      </c>
      <c r="BD1114" s="5">
        <v>306.4209677419355</v>
      </c>
    </row>
    <row r="1115" spans="52:56" x14ac:dyDescent="0.25">
      <c r="AZ1115" s="5">
        <v>1112</v>
      </c>
      <c r="BA1115" s="5">
        <v>0</v>
      </c>
      <c r="BB1115" s="5">
        <v>0</v>
      </c>
      <c r="BC1115" s="5">
        <v>342</v>
      </c>
      <c r="BD1115" s="5">
        <v>306.69677419354838</v>
      </c>
    </row>
    <row r="1116" spans="52:56" x14ac:dyDescent="0.25">
      <c r="AZ1116" s="5">
        <v>1113</v>
      </c>
      <c r="BA1116" s="5">
        <v>0</v>
      </c>
      <c r="BB1116" s="5">
        <v>0</v>
      </c>
      <c r="BC1116" s="5">
        <v>342</v>
      </c>
      <c r="BD1116" s="5">
        <v>306.97258064516132</v>
      </c>
    </row>
    <row r="1117" spans="52:56" x14ac:dyDescent="0.25">
      <c r="AZ1117" s="5">
        <v>1114</v>
      </c>
      <c r="BA1117" s="5">
        <v>0</v>
      </c>
      <c r="BB1117" s="5">
        <v>0</v>
      </c>
      <c r="BC1117" s="5">
        <v>342</v>
      </c>
      <c r="BD1117" s="5">
        <v>307.2483870967742</v>
      </c>
    </row>
    <row r="1118" spans="52:56" x14ac:dyDescent="0.25">
      <c r="AZ1118" s="5">
        <v>1115</v>
      </c>
      <c r="BA1118" s="5">
        <v>0</v>
      </c>
      <c r="BB1118" s="5">
        <v>0</v>
      </c>
      <c r="BC1118" s="5">
        <v>342</v>
      </c>
      <c r="BD1118" s="5">
        <v>307.52419354838713</v>
      </c>
    </row>
    <row r="1119" spans="52:56" x14ac:dyDescent="0.25">
      <c r="AZ1119" s="5">
        <v>1116</v>
      </c>
      <c r="BA1119" s="5">
        <v>0</v>
      </c>
      <c r="BB1119" s="5">
        <v>0</v>
      </c>
      <c r="BC1119" s="5">
        <v>342</v>
      </c>
      <c r="BD1119" s="5">
        <v>307.8</v>
      </c>
    </row>
    <row r="1120" spans="52:56" x14ac:dyDescent="0.25">
      <c r="AZ1120" s="6">
        <v>1117</v>
      </c>
      <c r="BA1120" s="6">
        <v>0</v>
      </c>
      <c r="BB1120" s="6">
        <v>0</v>
      </c>
      <c r="BC1120" s="6">
        <v>342</v>
      </c>
      <c r="BD1120" s="6">
        <v>308.07580645161289</v>
      </c>
    </row>
    <row r="1121" spans="52:56" x14ac:dyDescent="0.25">
      <c r="AZ1121" s="6">
        <v>1118</v>
      </c>
      <c r="BA1121" s="6">
        <v>0</v>
      </c>
      <c r="BB1121" s="6">
        <v>0</v>
      </c>
      <c r="BC1121" s="6">
        <v>342</v>
      </c>
      <c r="BD1121" s="6">
        <v>308.35161290322583</v>
      </c>
    </row>
    <row r="1122" spans="52:56" x14ac:dyDescent="0.25">
      <c r="AZ1122" s="6">
        <v>1119</v>
      </c>
      <c r="BA1122" s="6">
        <v>0</v>
      </c>
      <c r="BB1122" s="6">
        <v>0</v>
      </c>
      <c r="BC1122" s="6">
        <v>342</v>
      </c>
      <c r="BD1122" s="6">
        <v>308.62741935483871</v>
      </c>
    </row>
    <row r="1123" spans="52:56" x14ac:dyDescent="0.25">
      <c r="AZ1123" s="6">
        <v>1120</v>
      </c>
      <c r="BA1123" s="6">
        <v>0</v>
      </c>
      <c r="BB1123" s="6">
        <v>0</v>
      </c>
      <c r="BC1123" s="6">
        <v>342</v>
      </c>
      <c r="BD1123" s="6">
        <v>308.90322580645164</v>
      </c>
    </row>
    <row r="1124" spans="52:56" x14ac:dyDescent="0.25">
      <c r="AZ1124" s="6">
        <v>1121</v>
      </c>
      <c r="BA1124" s="6">
        <v>0</v>
      </c>
      <c r="BB1124" s="6">
        <v>0</v>
      </c>
      <c r="BC1124" s="6">
        <v>342</v>
      </c>
      <c r="BD1124" s="6">
        <v>309.17903225806452</v>
      </c>
    </row>
    <row r="1125" spans="52:56" x14ac:dyDescent="0.25">
      <c r="AZ1125" s="6">
        <v>1122</v>
      </c>
      <c r="BA1125" s="6">
        <v>0</v>
      </c>
      <c r="BB1125" s="6">
        <v>0</v>
      </c>
      <c r="BC1125" s="6">
        <v>342</v>
      </c>
      <c r="BD1125" s="6">
        <v>309.4548387096774</v>
      </c>
    </row>
    <row r="1126" spans="52:56" x14ac:dyDescent="0.25">
      <c r="AZ1126" s="6">
        <v>1123</v>
      </c>
      <c r="BA1126" s="6">
        <v>0</v>
      </c>
      <c r="BB1126" s="6">
        <v>0</v>
      </c>
      <c r="BC1126" s="6">
        <v>342</v>
      </c>
      <c r="BD1126" s="6">
        <v>309.73064516129034</v>
      </c>
    </row>
    <row r="1127" spans="52:56" x14ac:dyDescent="0.25">
      <c r="AZ1127" s="6">
        <v>1124</v>
      </c>
      <c r="BA1127" s="6">
        <v>0</v>
      </c>
      <c r="BB1127" s="6">
        <v>0</v>
      </c>
      <c r="BC1127" s="6">
        <v>342</v>
      </c>
      <c r="BD1127" s="6">
        <v>310.00645161290322</v>
      </c>
    </row>
    <row r="1128" spans="52:56" x14ac:dyDescent="0.25">
      <c r="AZ1128" s="6">
        <v>1125</v>
      </c>
      <c r="BA1128" s="6">
        <v>0</v>
      </c>
      <c r="BB1128" s="6">
        <v>0</v>
      </c>
      <c r="BC1128" s="6">
        <v>342</v>
      </c>
      <c r="BD1128" s="6">
        <v>310.28225806451616</v>
      </c>
    </row>
    <row r="1129" spans="52:56" x14ac:dyDescent="0.25">
      <c r="AZ1129" s="6">
        <v>1126</v>
      </c>
      <c r="BA1129" s="6">
        <v>0</v>
      </c>
      <c r="BB1129" s="6">
        <v>0</v>
      </c>
      <c r="BC1129" s="6">
        <v>342</v>
      </c>
      <c r="BD1129" s="6">
        <v>310.55806451612904</v>
      </c>
    </row>
    <row r="1130" spans="52:56" x14ac:dyDescent="0.25">
      <c r="AZ1130" s="6">
        <v>1127</v>
      </c>
      <c r="BA1130" s="6">
        <v>0</v>
      </c>
      <c r="BB1130" s="6">
        <v>0</v>
      </c>
      <c r="BC1130" s="6">
        <v>342</v>
      </c>
      <c r="BD1130" s="6">
        <v>310.83387096774197</v>
      </c>
    </row>
    <row r="1131" spans="52:56" x14ac:dyDescent="0.25">
      <c r="AZ1131" s="6">
        <v>1128</v>
      </c>
      <c r="BA1131" s="6">
        <v>0</v>
      </c>
      <c r="BB1131" s="6">
        <v>0</v>
      </c>
      <c r="BC1131" s="6">
        <v>342</v>
      </c>
      <c r="BD1131" s="6">
        <v>311.10967741935485</v>
      </c>
    </row>
    <row r="1132" spans="52:56" x14ac:dyDescent="0.25">
      <c r="AZ1132" s="6">
        <v>1129</v>
      </c>
      <c r="BA1132" s="6">
        <v>0</v>
      </c>
      <c r="BB1132" s="6">
        <v>0</v>
      </c>
      <c r="BC1132" s="6">
        <v>342</v>
      </c>
      <c r="BD1132" s="6">
        <v>311.38548387096773</v>
      </c>
    </row>
    <row r="1133" spans="52:56" x14ac:dyDescent="0.25">
      <c r="AZ1133" s="6">
        <v>1130</v>
      </c>
      <c r="BA1133" s="6">
        <v>0</v>
      </c>
      <c r="BB1133" s="6">
        <v>0</v>
      </c>
      <c r="BC1133" s="6">
        <v>342</v>
      </c>
      <c r="BD1133" s="6">
        <v>311.66129032258067</v>
      </c>
    </row>
    <row r="1134" spans="52:56" x14ac:dyDescent="0.25">
      <c r="AZ1134" s="6">
        <v>1131</v>
      </c>
      <c r="BA1134" s="6">
        <v>0</v>
      </c>
      <c r="BB1134" s="6">
        <v>0</v>
      </c>
      <c r="BC1134" s="6">
        <v>342</v>
      </c>
      <c r="BD1134" s="6">
        <v>311.93709677419355</v>
      </c>
    </row>
    <row r="1135" spans="52:56" x14ac:dyDescent="0.25">
      <c r="AZ1135" s="6">
        <v>1132</v>
      </c>
      <c r="BA1135" s="6">
        <v>0</v>
      </c>
      <c r="BB1135" s="6">
        <v>0</v>
      </c>
      <c r="BC1135" s="6">
        <v>342</v>
      </c>
      <c r="BD1135" s="6">
        <v>312.21290322580649</v>
      </c>
    </row>
    <row r="1136" spans="52:56" x14ac:dyDescent="0.25">
      <c r="AZ1136" s="6">
        <v>1133</v>
      </c>
      <c r="BA1136" s="6">
        <v>0</v>
      </c>
      <c r="BB1136" s="6">
        <v>0</v>
      </c>
      <c r="BC1136" s="6">
        <v>342</v>
      </c>
      <c r="BD1136" s="6">
        <v>312.48870967741937</v>
      </c>
    </row>
    <row r="1137" spans="52:56" x14ac:dyDescent="0.25">
      <c r="AZ1137" s="6">
        <v>1134</v>
      </c>
      <c r="BA1137" s="6">
        <v>0</v>
      </c>
      <c r="BB1137" s="6">
        <v>0</v>
      </c>
      <c r="BC1137" s="6">
        <v>342</v>
      </c>
      <c r="BD1137" s="6">
        <v>312.76451612903224</v>
      </c>
    </row>
    <row r="1138" spans="52:56" x14ac:dyDescent="0.25">
      <c r="AZ1138" s="6">
        <v>1135</v>
      </c>
      <c r="BA1138" s="6">
        <v>0</v>
      </c>
      <c r="BB1138" s="6">
        <v>0</v>
      </c>
      <c r="BC1138" s="6">
        <v>342</v>
      </c>
      <c r="BD1138" s="6">
        <v>313.04032258064518</v>
      </c>
    </row>
    <row r="1139" spans="52:56" x14ac:dyDescent="0.25">
      <c r="AZ1139" s="6">
        <v>1136</v>
      </c>
      <c r="BA1139" s="6">
        <v>0</v>
      </c>
      <c r="BB1139" s="6">
        <v>0</v>
      </c>
      <c r="BC1139" s="6">
        <v>342</v>
      </c>
      <c r="BD1139" s="6">
        <v>313.31612903225806</v>
      </c>
    </row>
    <row r="1140" spans="52:56" x14ac:dyDescent="0.25">
      <c r="AZ1140" s="6">
        <v>1137</v>
      </c>
      <c r="BA1140" s="6">
        <v>0</v>
      </c>
      <c r="BB1140" s="6">
        <v>0</v>
      </c>
      <c r="BC1140" s="6">
        <v>342</v>
      </c>
      <c r="BD1140" s="6">
        <v>313.591935483871</v>
      </c>
    </row>
    <row r="1141" spans="52:56" x14ac:dyDescent="0.25">
      <c r="AZ1141" s="6">
        <v>1138</v>
      </c>
      <c r="BA1141" s="6">
        <v>0</v>
      </c>
      <c r="BB1141" s="6">
        <v>0</v>
      </c>
      <c r="BC1141" s="6">
        <v>342</v>
      </c>
      <c r="BD1141" s="6">
        <v>313.86774193548388</v>
      </c>
    </row>
    <row r="1142" spans="52:56" x14ac:dyDescent="0.25">
      <c r="AZ1142" s="6">
        <v>1139</v>
      </c>
      <c r="BA1142" s="6">
        <v>0</v>
      </c>
      <c r="BB1142" s="6">
        <v>0</v>
      </c>
      <c r="BC1142" s="6">
        <v>342</v>
      </c>
      <c r="BD1142" s="6">
        <v>314.14354838709681</v>
      </c>
    </row>
    <row r="1143" spans="52:56" x14ac:dyDescent="0.25">
      <c r="AZ1143" s="6">
        <v>1140</v>
      </c>
      <c r="BA1143" s="6">
        <v>0</v>
      </c>
      <c r="BB1143" s="6">
        <v>0</v>
      </c>
      <c r="BC1143" s="6">
        <v>342</v>
      </c>
      <c r="BD1143" s="6">
        <v>314.41935483870969</v>
      </c>
    </row>
    <row r="1144" spans="52:56" x14ac:dyDescent="0.25">
      <c r="AZ1144" s="6">
        <v>1141</v>
      </c>
      <c r="BA1144" s="6">
        <v>0</v>
      </c>
      <c r="BB1144" s="6">
        <v>0</v>
      </c>
      <c r="BC1144" s="6">
        <v>342</v>
      </c>
      <c r="BD1144" s="6">
        <v>314.69516129032257</v>
      </c>
    </row>
    <row r="1145" spans="52:56" x14ac:dyDescent="0.25">
      <c r="AZ1145" s="6">
        <v>1142</v>
      </c>
      <c r="BA1145" s="6">
        <v>0</v>
      </c>
      <c r="BB1145" s="6">
        <v>0</v>
      </c>
      <c r="BC1145" s="6">
        <v>342</v>
      </c>
      <c r="BD1145" s="6">
        <v>314.97096774193551</v>
      </c>
    </row>
    <row r="1146" spans="52:56" x14ac:dyDescent="0.25">
      <c r="AZ1146" s="6">
        <v>1143</v>
      </c>
      <c r="BA1146" s="6">
        <v>0</v>
      </c>
      <c r="BB1146" s="6">
        <v>0</v>
      </c>
      <c r="BC1146" s="6">
        <v>342</v>
      </c>
      <c r="BD1146" s="6">
        <v>315.24677419354839</v>
      </c>
    </row>
    <row r="1147" spans="52:56" x14ac:dyDescent="0.25">
      <c r="AZ1147" s="6">
        <v>1144</v>
      </c>
      <c r="BA1147" s="6">
        <v>0</v>
      </c>
      <c r="BB1147" s="6">
        <v>0</v>
      </c>
      <c r="BC1147" s="6">
        <v>342</v>
      </c>
      <c r="BD1147" s="6">
        <v>315.52258064516133</v>
      </c>
    </row>
    <row r="1148" spans="52:56" x14ac:dyDescent="0.25">
      <c r="AZ1148" s="6">
        <v>1145</v>
      </c>
      <c r="BA1148" s="6">
        <v>0</v>
      </c>
      <c r="BB1148" s="6">
        <v>0</v>
      </c>
      <c r="BC1148" s="6">
        <v>342</v>
      </c>
      <c r="BD1148" s="6">
        <v>315.79838709677421</v>
      </c>
    </row>
    <row r="1149" spans="52:56" x14ac:dyDescent="0.25">
      <c r="AZ1149" s="6">
        <v>1146</v>
      </c>
      <c r="BA1149" s="6">
        <v>0</v>
      </c>
      <c r="BB1149" s="6">
        <v>0</v>
      </c>
      <c r="BC1149" s="6">
        <v>342</v>
      </c>
      <c r="BD1149" s="6">
        <v>316.07419354838709</v>
      </c>
    </row>
    <row r="1150" spans="52:56" x14ac:dyDescent="0.25">
      <c r="AZ1150" s="6">
        <v>1147</v>
      </c>
      <c r="BA1150" s="6">
        <v>0</v>
      </c>
      <c r="BB1150" s="6">
        <v>0</v>
      </c>
      <c r="BC1150" s="6">
        <v>342</v>
      </c>
      <c r="BD1150" s="6">
        <v>316.35000000000002</v>
      </c>
    </row>
    <row r="1151" spans="52:56" x14ac:dyDescent="0.25">
      <c r="AZ1151" s="6">
        <v>1148</v>
      </c>
      <c r="BA1151" s="6">
        <v>0</v>
      </c>
      <c r="BB1151" s="6">
        <v>0</v>
      </c>
      <c r="BC1151" s="6">
        <v>342</v>
      </c>
      <c r="BD1151" s="6">
        <v>316.6258064516129</v>
      </c>
    </row>
    <row r="1152" spans="52:56" x14ac:dyDescent="0.25">
      <c r="AZ1152" s="6">
        <v>1149</v>
      </c>
      <c r="BA1152" s="6">
        <v>0</v>
      </c>
      <c r="BB1152" s="6">
        <v>0</v>
      </c>
      <c r="BC1152" s="6">
        <v>342</v>
      </c>
      <c r="BD1152" s="6">
        <v>316.90161290322584</v>
      </c>
    </row>
    <row r="1153" spans="52:56" x14ac:dyDescent="0.25">
      <c r="AZ1153" s="6">
        <v>1150</v>
      </c>
      <c r="BA1153" s="6">
        <v>0</v>
      </c>
      <c r="BB1153" s="6">
        <v>0</v>
      </c>
      <c r="BC1153" s="6">
        <v>342</v>
      </c>
      <c r="BD1153" s="6">
        <v>317.17741935483872</v>
      </c>
    </row>
    <row r="1154" spans="52:56" x14ac:dyDescent="0.25">
      <c r="AZ1154" s="6">
        <v>1151</v>
      </c>
      <c r="BA1154" s="6">
        <v>0</v>
      </c>
      <c r="BB1154" s="6">
        <v>0</v>
      </c>
      <c r="BC1154" s="6">
        <v>342</v>
      </c>
      <c r="BD1154" s="6">
        <v>317.4532258064516</v>
      </c>
    </row>
    <row r="1155" spans="52:56" x14ac:dyDescent="0.25">
      <c r="AZ1155" s="6">
        <v>1152</v>
      </c>
      <c r="BA1155" s="6">
        <v>0</v>
      </c>
      <c r="BB1155" s="6">
        <v>0</v>
      </c>
      <c r="BC1155" s="6">
        <v>342</v>
      </c>
      <c r="BD1155" s="6">
        <v>317.72903225806454</v>
      </c>
    </row>
    <row r="1156" spans="52:56" x14ac:dyDescent="0.25">
      <c r="AZ1156" s="6">
        <v>1153</v>
      </c>
      <c r="BA1156" s="6">
        <v>0</v>
      </c>
      <c r="BB1156" s="6">
        <v>0</v>
      </c>
      <c r="BC1156" s="6">
        <v>342</v>
      </c>
      <c r="BD1156" s="6">
        <v>318.00483870967741</v>
      </c>
    </row>
    <row r="1157" spans="52:56" x14ac:dyDescent="0.25">
      <c r="AZ1157" s="6">
        <v>1154</v>
      </c>
      <c r="BA1157" s="6">
        <v>0</v>
      </c>
      <c r="BB1157" s="6">
        <v>0</v>
      </c>
      <c r="BC1157" s="6">
        <v>342</v>
      </c>
      <c r="BD1157" s="6">
        <v>318.28064516129035</v>
      </c>
    </row>
    <row r="1158" spans="52:56" x14ac:dyDescent="0.25">
      <c r="AZ1158" s="6">
        <v>1155</v>
      </c>
      <c r="BA1158" s="6">
        <v>0</v>
      </c>
      <c r="BB1158" s="6">
        <v>0</v>
      </c>
      <c r="BC1158" s="6">
        <v>342</v>
      </c>
      <c r="BD1158" s="6">
        <v>318.55645161290323</v>
      </c>
    </row>
    <row r="1159" spans="52:56" x14ac:dyDescent="0.25">
      <c r="AZ1159" s="6">
        <v>1156</v>
      </c>
      <c r="BA1159" s="6">
        <v>0</v>
      </c>
      <c r="BB1159" s="6">
        <v>0</v>
      </c>
      <c r="BC1159" s="6">
        <v>342</v>
      </c>
      <c r="BD1159" s="6">
        <v>318.83225806451617</v>
      </c>
    </row>
    <row r="1160" spans="52:56" x14ac:dyDescent="0.25">
      <c r="AZ1160" s="6">
        <v>1157</v>
      </c>
      <c r="BA1160" s="6">
        <v>0</v>
      </c>
      <c r="BB1160" s="6">
        <v>0</v>
      </c>
      <c r="BC1160" s="6">
        <v>342</v>
      </c>
      <c r="BD1160" s="6">
        <v>319.10806451612905</v>
      </c>
    </row>
    <row r="1161" spans="52:56" x14ac:dyDescent="0.25">
      <c r="AZ1161" s="6">
        <v>1158</v>
      </c>
      <c r="BA1161" s="6">
        <v>0</v>
      </c>
      <c r="BB1161" s="6">
        <v>0</v>
      </c>
      <c r="BC1161" s="6">
        <v>342</v>
      </c>
      <c r="BD1161" s="6">
        <v>319.38387096774193</v>
      </c>
    </row>
    <row r="1162" spans="52:56" x14ac:dyDescent="0.25">
      <c r="AZ1162" s="6">
        <v>1159</v>
      </c>
      <c r="BA1162" s="6">
        <v>0</v>
      </c>
      <c r="BB1162" s="6">
        <v>0</v>
      </c>
      <c r="BC1162" s="6">
        <v>342</v>
      </c>
      <c r="BD1162" s="6">
        <v>319.65967741935486</v>
      </c>
    </row>
    <row r="1163" spans="52:56" x14ac:dyDescent="0.25">
      <c r="AZ1163" s="6">
        <v>1160</v>
      </c>
      <c r="BA1163" s="6">
        <v>0</v>
      </c>
      <c r="BB1163" s="6">
        <v>0</v>
      </c>
      <c r="BC1163" s="6">
        <v>342</v>
      </c>
      <c r="BD1163" s="6">
        <v>319.93548387096774</v>
      </c>
    </row>
    <row r="1164" spans="52:56" x14ac:dyDescent="0.25">
      <c r="AZ1164" s="6">
        <v>1161</v>
      </c>
      <c r="BA1164" s="6">
        <v>0</v>
      </c>
      <c r="BB1164" s="6">
        <v>0</v>
      </c>
      <c r="BC1164" s="6">
        <v>342</v>
      </c>
      <c r="BD1164" s="6">
        <v>320.21129032258068</v>
      </c>
    </row>
    <row r="1165" spans="52:56" x14ac:dyDescent="0.25">
      <c r="AZ1165" s="6">
        <v>1162</v>
      </c>
      <c r="BA1165" s="6">
        <v>0</v>
      </c>
      <c r="BB1165" s="6">
        <v>0</v>
      </c>
      <c r="BC1165" s="6">
        <v>342</v>
      </c>
      <c r="BD1165" s="6">
        <v>320.48709677419356</v>
      </c>
    </row>
    <row r="1166" spans="52:56" x14ac:dyDescent="0.25">
      <c r="AZ1166" s="6">
        <v>1163</v>
      </c>
      <c r="BA1166" s="6">
        <v>0</v>
      </c>
      <c r="BB1166" s="6">
        <v>0</v>
      </c>
      <c r="BC1166" s="6">
        <v>342</v>
      </c>
      <c r="BD1166" s="6">
        <v>320.76290322580644</v>
      </c>
    </row>
    <row r="1167" spans="52:56" x14ac:dyDescent="0.25">
      <c r="AZ1167" s="6">
        <v>1164</v>
      </c>
      <c r="BA1167" s="6">
        <v>0</v>
      </c>
      <c r="BB1167" s="6">
        <v>0</v>
      </c>
      <c r="BC1167" s="6">
        <v>342</v>
      </c>
      <c r="BD1167" s="6">
        <v>321.03870967741938</v>
      </c>
    </row>
    <row r="1168" spans="52:56" x14ac:dyDescent="0.25">
      <c r="AZ1168" s="6">
        <v>1165</v>
      </c>
      <c r="BA1168" s="6">
        <v>0</v>
      </c>
      <c r="BB1168" s="6">
        <v>0</v>
      </c>
      <c r="BC1168" s="6">
        <v>342</v>
      </c>
      <c r="BD1168" s="6">
        <v>321.31451612903226</v>
      </c>
    </row>
    <row r="1169" spans="52:56" x14ac:dyDescent="0.25">
      <c r="AZ1169" s="6">
        <v>1166</v>
      </c>
      <c r="BA1169" s="6">
        <v>0</v>
      </c>
      <c r="BB1169" s="6">
        <v>0</v>
      </c>
      <c r="BC1169" s="6">
        <v>342</v>
      </c>
      <c r="BD1169" s="6">
        <v>321.59032258064519</v>
      </c>
    </row>
    <row r="1170" spans="52:56" x14ac:dyDescent="0.25">
      <c r="AZ1170" s="6">
        <v>1167</v>
      </c>
      <c r="BA1170" s="6">
        <v>0</v>
      </c>
      <c r="BB1170" s="6">
        <v>0</v>
      </c>
      <c r="BC1170" s="6">
        <v>342</v>
      </c>
      <c r="BD1170" s="6">
        <v>321.86612903225807</v>
      </c>
    </row>
    <row r="1171" spans="52:56" x14ac:dyDescent="0.25">
      <c r="AZ1171" s="6">
        <v>1168</v>
      </c>
      <c r="BA1171" s="6">
        <v>0</v>
      </c>
      <c r="BB1171" s="6">
        <v>0</v>
      </c>
      <c r="BC1171" s="6">
        <v>342</v>
      </c>
      <c r="BD1171" s="6">
        <v>322.14193548387095</v>
      </c>
    </row>
    <row r="1172" spans="52:56" x14ac:dyDescent="0.25">
      <c r="AZ1172" s="6">
        <v>1169</v>
      </c>
      <c r="BA1172" s="6">
        <v>0</v>
      </c>
      <c r="BB1172" s="6">
        <v>0</v>
      </c>
      <c r="BC1172" s="6">
        <v>342</v>
      </c>
      <c r="BD1172" s="6">
        <v>322.41774193548389</v>
      </c>
    </row>
    <row r="1173" spans="52:56" x14ac:dyDescent="0.25">
      <c r="AZ1173" s="6">
        <v>1170</v>
      </c>
      <c r="BA1173" s="6">
        <v>0</v>
      </c>
      <c r="BB1173" s="6">
        <v>0</v>
      </c>
      <c r="BC1173" s="6">
        <v>342</v>
      </c>
      <c r="BD1173" s="6">
        <v>322.69354838709677</v>
      </c>
    </row>
    <row r="1174" spans="52:56" x14ac:dyDescent="0.25">
      <c r="AZ1174" s="6">
        <v>1171</v>
      </c>
      <c r="BA1174" s="6">
        <v>0</v>
      </c>
      <c r="BB1174" s="6">
        <v>0</v>
      </c>
      <c r="BC1174" s="6">
        <v>342</v>
      </c>
      <c r="BD1174" s="6">
        <v>322.96935483870971</v>
      </c>
    </row>
    <row r="1175" spans="52:56" x14ac:dyDescent="0.25">
      <c r="AZ1175" s="6">
        <v>1172</v>
      </c>
      <c r="BA1175" s="6">
        <v>0</v>
      </c>
      <c r="BB1175" s="6">
        <v>0</v>
      </c>
      <c r="BC1175" s="6">
        <v>342</v>
      </c>
      <c r="BD1175" s="6">
        <v>323.24516129032259</v>
      </c>
    </row>
    <row r="1176" spans="52:56" x14ac:dyDescent="0.25">
      <c r="AZ1176" s="6">
        <v>1173</v>
      </c>
      <c r="BA1176" s="6">
        <v>0</v>
      </c>
      <c r="BB1176" s="6">
        <v>0</v>
      </c>
      <c r="BC1176" s="6">
        <v>342</v>
      </c>
      <c r="BD1176" s="6">
        <v>323.52096774193552</v>
      </c>
    </row>
    <row r="1177" spans="52:56" x14ac:dyDescent="0.25">
      <c r="AZ1177" s="6">
        <v>1174</v>
      </c>
      <c r="BA1177" s="6">
        <v>0</v>
      </c>
      <c r="BB1177" s="6">
        <v>0</v>
      </c>
      <c r="BC1177" s="6">
        <v>342</v>
      </c>
      <c r="BD1177" s="6">
        <v>323.7967741935484</v>
      </c>
    </row>
    <row r="1178" spans="52:56" x14ac:dyDescent="0.25">
      <c r="AZ1178" s="6">
        <v>1175</v>
      </c>
      <c r="BA1178" s="6">
        <v>0</v>
      </c>
      <c r="BB1178" s="6">
        <v>0</v>
      </c>
      <c r="BC1178" s="6">
        <v>342</v>
      </c>
      <c r="BD1178" s="6">
        <v>324.07258064516128</v>
      </c>
    </row>
    <row r="1179" spans="52:56" x14ac:dyDescent="0.25">
      <c r="AZ1179" s="6">
        <v>1176</v>
      </c>
      <c r="BA1179" s="6">
        <v>0</v>
      </c>
      <c r="BB1179" s="6">
        <v>0</v>
      </c>
      <c r="BC1179" s="6">
        <v>342</v>
      </c>
      <c r="BD1179" s="6">
        <v>324.34838709677422</v>
      </c>
    </row>
    <row r="1180" spans="52:56" x14ac:dyDescent="0.25">
      <c r="AZ1180" s="6">
        <v>1177</v>
      </c>
      <c r="BA1180" s="6">
        <v>0</v>
      </c>
      <c r="BB1180" s="6">
        <v>0</v>
      </c>
      <c r="BC1180" s="6">
        <v>342</v>
      </c>
      <c r="BD1180" s="6">
        <v>324.6241935483871</v>
      </c>
    </row>
    <row r="1181" spans="52:56" x14ac:dyDescent="0.25">
      <c r="AZ1181" s="6">
        <v>1178</v>
      </c>
      <c r="BA1181" s="6">
        <v>0</v>
      </c>
      <c r="BB1181" s="6">
        <v>0</v>
      </c>
      <c r="BC1181" s="6">
        <v>342</v>
      </c>
      <c r="BD1181" s="6">
        <v>324.90000000000003</v>
      </c>
    </row>
    <row r="1182" spans="52:56" x14ac:dyDescent="0.25">
      <c r="AZ1182" s="6">
        <v>1179</v>
      </c>
      <c r="BA1182" s="6">
        <v>0</v>
      </c>
      <c r="BB1182" s="6">
        <v>0</v>
      </c>
      <c r="BC1182" s="6">
        <v>342</v>
      </c>
      <c r="BD1182" s="6">
        <v>325.17580645161291</v>
      </c>
    </row>
    <row r="1183" spans="52:56" x14ac:dyDescent="0.25">
      <c r="AZ1183" s="6">
        <v>1180</v>
      </c>
      <c r="BA1183" s="6">
        <v>0</v>
      </c>
      <c r="BB1183" s="6">
        <v>0</v>
      </c>
      <c r="BC1183" s="6">
        <v>342</v>
      </c>
      <c r="BD1183" s="6">
        <v>325.45161290322579</v>
      </c>
    </row>
    <row r="1184" spans="52:56" x14ac:dyDescent="0.25">
      <c r="AZ1184" s="6">
        <v>1181</v>
      </c>
      <c r="BA1184" s="6">
        <v>0</v>
      </c>
      <c r="BB1184" s="6">
        <v>0</v>
      </c>
      <c r="BC1184" s="6">
        <v>342</v>
      </c>
      <c r="BD1184" s="6">
        <v>325.72741935483873</v>
      </c>
    </row>
    <row r="1185" spans="52:56" x14ac:dyDescent="0.25">
      <c r="AZ1185" s="6">
        <v>1182</v>
      </c>
      <c r="BA1185" s="6">
        <v>0</v>
      </c>
      <c r="BB1185" s="6">
        <v>0</v>
      </c>
      <c r="BC1185" s="6">
        <v>342</v>
      </c>
      <c r="BD1185" s="6">
        <v>326.00322580645161</v>
      </c>
    </row>
    <row r="1186" spans="52:56" x14ac:dyDescent="0.25">
      <c r="AZ1186" s="6">
        <v>1183</v>
      </c>
      <c r="BA1186" s="6">
        <v>0</v>
      </c>
      <c r="BB1186" s="6">
        <v>0</v>
      </c>
      <c r="BC1186" s="6">
        <v>342</v>
      </c>
      <c r="BD1186" s="6">
        <v>326.27903225806455</v>
      </c>
    </row>
    <row r="1187" spans="52:56" x14ac:dyDescent="0.25">
      <c r="AZ1187" s="6">
        <v>1184</v>
      </c>
      <c r="BA1187" s="6">
        <v>0</v>
      </c>
      <c r="BB1187" s="6">
        <v>0</v>
      </c>
      <c r="BC1187" s="6">
        <v>342</v>
      </c>
      <c r="BD1187" s="6">
        <v>326.55483870967743</v>
      </c>
    </row>
    <row r="1188" spans="52:56" x14ac:dyDescent="0.25">
      <c r="AZ1188" s="6">
        <v>1185</v>
      </c>
      <c r="BA1188" s="6">
        <v>0</v>
      </c>
      <c r="BB1188" s="6">
        <v>0</v>
      </c>
      <c r="BC1188" s="6">
        <v>342</v>
      </c>
      <c r="BD1188" s="6">
        <v>326.83064516129036</v>
      </c>
    </row>
    <row r="1189" spans="52:56" x14ac:dyDescent="0.25">
      <c r="AZ1189" s="6">
        <v>1186</v>
      </c>
      <c r="BA1189" s="6">
        <v>0</v>
      </c>
      <c r="BB1189" s="6">
        <v>0</v>
      </c>
      <c r="BC1189" s="6">
        <v>342</v>
      </c>
      <c r="BD1189" s="6">
        <v>327.10645161290324</v>
      </c>
    </row>
    <row r="1190" spans="52:56" x14ac:dyDescent="0.25">
      <c r="AZ1190" s="6">
        <v>1187</v>
      </c>
      <c r="BA1190" s="6">
        <v>0</v>
      </c>
      <c r="BB1190" s="6">
        <v>0</v>
      </c>
      <c r="BC1190" s="6">
        <v>342</v>
      </c>
      <c r="BD1190" s="6">
        <v>327.38225806451612</v>
      </c>
    </row>
    <row r="1191" spans="52:56" x14ac:dyDescent="0.25">
      <c r="AZ1191" s="6">
        <v>1188</v>
      </c>
      <c r="BA1191" s="6">
        <v>0</v>
      </c>
      <c r="BB1191" s="6">
        <v>0</v>
      </c>
      <c r="BC1191" s="6">
        <v>342</v>
      </c>
      <c r="BD1191" s="6">
        <v>327.65806451612906</v>
      </c>
    </row>
    <row r="1192" spans="52:56" x14ac:dyDescent="0.25">
      <c r="AZ1192" s="6">
        <v>1189</v>
      </c>
      <c r="BA1192" s="6">
        <v>0</v>
      </c>
      <c r="BB1192" s="6">
        <v>0</v>
      </c>
      <c r="BC1192" s="6">
        <v>342</v>
      </c>
      <c r="BD1192" s="6">
        <v>327.93387096774194</v>
      </c>
    </row>
    <row r="1193" spans="52:56" x14ac:dyDescent="0.25">
      <c r="AZ1193" s="6">
        <v>1190</v>
      </c>
      <c r="BA1193" s="6">
        <v>0</v>
      </c>
      <c r="BB1193" s="6">
        <v>0</v>
      </c>
      <c r="BC1193" s="6">
        <v>342</v>
      </c>
      <c r="BD1193" s="6">
        <v>328.20967741935488</v>
      </c>
    </row>
    <row r="1194" spans="52:56" x14ac:dyDescent="0.25">
      <c r="AZ1194" s="6">
        <v>1191</v>
      </c>
      <c r="BA1194" s="6">
        <v>0</v>
      </c>
      <c r="BB1194" s="6">
        <v>0</v>
      </c>
      <c r="BC1194" s="6">
        <v>342</v>
      </c>
      <c r="BD1194" s="6">
        <v>328.48548387096776</v>
      </c>
    </row>
    <row r="1195" spans="52:56" x14ac:dyDescent="0.25">
      <c r="AZ1195" s="6">
        <v>1192</v>
      </c>
      <c r="BA1195" s="6">
        <v>0</v>
      </c>
      <c r="BB1195" s="6">
        <v>0</v>
      </c>
      <c r="BC1195" s="6">
        <v>342</v>
      </c>
      <c r="BD1195" s="6">
        <v>328.76129032258063</v>
      </c>
    </row>
    <row r="1196" spans="52:56" x14ac:dyDescent="0.25">
      <c r="AZ1196" s="6">
        <v>1193</v>
      </c>
      <c r="BA1196" s="6">
        <v>0</v>
      </c>
      <c r="BB1196" s="6">
        <v>0</v>
      </c>
      <c r="BC1196" s="6">
        <v>342</v>
      </c>
      <c r="BD1196" s="6">
        <v>329.03709677419357</v>
      </c>
    </row>
    <row r="1197" spans="52:56" x14ac:dyDescent="0.25">
      <c r="AZ1197" s="6">
        <v>1194</v>
      </c>
      <c r="BA1197" s="6">
        <v>0</v>
      </c>
      <c r="BB1197" s="6">
        <v>0</v>
      </c>
      <c r="BC1197" s="6">
        <v>342</v>
      </c>
      <c r="BD1197" s="6">
        <v>329.31290322580645</v>
      </c>
    </row>
    <row r="1198" spans="52:56" x14ac:dyDescent="0.25">
      <c r="AZ1198" s="6">
        <v>1195</v>
      </c>
      <c r="BA1198" s="6">
        <v>0</v>
      </c>
      <c r="BB1198" s="6">
        <v>0</v>
      </c>
      <c r="BC1198" s="6">
        <v>342</v>
      </c>
      <c r="BD1198" s="6">
        <v>329.58870967741939</v>
      </c>
    </row>
    <row r="1199" spans="52:56" x14ac:dyDescent="0.25">
      <c r="AZ1199" s="6">
        <v>1196</v>
      </c>
      <c r="BA1199" s="6">
        <v>0</v>
      </c>
      <c r="BB1199" s="6">
        <v>0</v>
      </c>
      <c r="BC1199" s="6">
        <v>342</v>
      </c>
      <c r="BD1199" s="6">
        <v>329.86451612903227</v>
      </c>
    </row>
    <row r="1200" spans="52:56" x14ac:dyDescent="0.25">
      <c r="AZ1200" s="6">
        <v>1197</v>
      </c>
      <c r="BA1200" s="6">
        <v>0</v>
      </c>
      <c r="BB1200" s="6">
        <v>0</v>
      </c>
      <c r="BC1200" s="6">
        <v>342</v>
      </c>
      <c r="BD1200" s="6">
        <v>330.14032258064515</v>
      </c>
    </row>
    <row r="1201" spans="52:56" x14ac:dyDescent="0.25">
      <c r="AZ1201" s="6">
        <v>1198</v>
      </c>
      <c r="BA1201" s="6">
        <v>0</v>
      </c>
      <c r="BB1201" s="6">
        <v>0</v>
      </c>
      <c r="BC1201" s="6">
        <v>342</v>
      </c>
      <c r="BD1201" s="6">
        <v>330.41612903225808</v>
      </c>
    </row>
    <row r="1202" spans="52:56" x14ac:dyDescent="0.25">
      <c r="AZ1202" s="6">
        <v>1199</v>
      </c>
      <c r="BA1202" s="6">
        <v>0</v>
      </c>
      <c r="BB1202" s="6">
        <v>0</v>
      </c>
      <c r="BC1202" s="6">
        <v>342</v>
      </c>
      <c r="BD1202" s="6">
        <v>330.69193548387096</v>
      </c>
    </row>
    <row r="1203" spans="52:56" x14ac:dyDescent="0.25">
      <c r="AZ1203" s="6">
        <v>1200</v>
      </c>
      <c r="BA1203" s="6">
        <v>0</v>
      </c>
      <c r="BB1203" s="6">
        <v>0</v>
      </c>
      <c r="BC1203" s="6">
        <v>342</v>
      </c>
      <c r="BD1203" s="6">
        <v>330.9677419354839</v>
      </c>
    </row>
    <row r="1204" spans="52:56" x14ac:dyDescent="0.25">
      <c r="AZ1204" s="6">
        <v>1201</v>
      </c>
      <c r="BA1204" s="6">
        <v>0</v>
      </c>
      <c r="BB1204" s="6">
        <v>0</v>
      </c>
      <c r="BC1204" s="6">
        <v>342</v>
      </c>
      <c r="BD1204" s="6">
        <v>331.24354838709678</v>
      </c>
    </row>
    <row r="1205" spans="52:56" x14ac:dyDescent="0.25">
      <c r="AZ1205" s="6">
        <v>1202</v>
      </c>
      <c r="BA1205" s="6">
        <v>0</v>
      </c>
      <c r="BB1205" s="6">
        <v>0</v>
      </c>
      <c r="BC1205" s="6">
        <v>342</v>
      </c>
      <c r="BD1205" s="6">
        <v>331.51935483870972</v>
      </c>
    </row>
    <row r="1206" spans="52:56" x14ac:dyDescent="0.25">
      <c r="AZ1206" s="6">
        <v>1203</v>
      </c>
      <c r="BA1206" s="6">
        <v>0</v>
      </c>
      <c r="BB1206" s="6">
        <v>0</v>
      </c>
      <c r="BC1206" s="6">
        <v>342</v>
      </c>
      <c r="BD1206" s="6">
        <v>331.7951612903226</v>
      </c>
    </row>
    <row r="1207" spans="52:56" x14ac:dyDescent="0.25">
      <c r="AZ1207" s="6">
        <v>1204</v>
      </c>
      <c r="BA1207" s="6">
        <v>0</v>
      </c>
      <c r="BB1207" s="6">
        <v>0</v>
      </c>
      <c r="BC1207" s="6">
        <v>342</v>
      </c>
      <c r="BD1207" s="6">
        <v>332.07096774193548</v>
      </c>
    </row>
    <row r="1208" spans="52:56" x14ac:dyDescent="0.25">
      <c r="AZ1208" s="6">
        <v>1205</v>
      </c>
      <c r="BA1208" s="6">
        <v>0</v>
      </c>
      <c r="BB1208" s="6">
        <v>0</v>
      </c>
      <c r="BC1208" s="6">
        <v>342</v>
      </c>
      <c r="BD1208" s="6">
        <v>332.34677419354841</v>
      </c>
    </row>
    <row r="1209" spans="52:56" x14ac:dyDescent="0.25">
      <c r="AZ1209" s="6">
        <v>1206</v>
      </c>
      <c r="BA1209" s="6">
        <v>0</v>
      </c>
      <c r="BB1209" s="6">
        <v>0</v>
      </c>
      <c r="BC1209" s="6">
        <v>342</v>
      </c>
      <c r="BD1209" s="6">
        <v>332.62258064516129</v>
      </c>
    </row>
    <row r="1210" spans="52:56" x14ac:dyDescent="0.25">
      <c r="AZ1210" s="6">
        <v>1207</v>
      </c>
      <c r="BA1210" s="6">
        <v>0</v>
      </c>
      <c r="BB1210" s="6">
        <v>0</v>
      </c>
      <c r="BC1210" s="6">
        <v>342</v>
      </c>
      <c r="BD1210" s="6">
        <v>332.89838709677423</v>
      </c>
    </row>
    <row r="1211" spans="52:56" x14ac:dyDescent="0.25">
      <c r="AZ1211" s="6">
        <v>1208</v>
      </c>
      <c r="BA1211" s="6">
        <v>0</v>
      </c>
      <c r="BB1211" s="6">
        <v>0</v>
      </c>
      <c r="BC1211" s="6">
        <v>342</v>
      </c>
      <c r="BD1211" s="6">
        <v>333.17419354838711</v>
      </c>
    </row>
    <row r="1212" spans="52:56" x14ac:dyDescent="0.25">
      <c r="AZ1212" s="6">
        <v>1209</v>
      </c>
      <c r="BA1212" s="6">
        <v>0</v>
      </c>
      <c r="BB1212" s="6">
        <v>0</v>
      </c>
      <c r="BC1212" s="6">
        <v>342</v>
      </c>
      <c r="BD1212" s="6">
        <v>333.45</v>
      </c>
    </row>
    <row r="1213" spans="52:56" x14ac:dyDescent="0.25">
      <c r="AZ1213" s="6">
        <v>1210</v>
      </c>
      <c r="BA1213" s="6">
        <v>0</v>
      </c>
      <c r="BB1213" s="6">
        <v>0</v>
      </c>
      <c r="BC1213" s="6">
        <v>342</v>
      </c>
      <c r="BD1213" s="6">
        <v>333.72580645161293</v>
      </c>
    </row>
    <row r="1214" spans="52:56" x14ac:dyDescent="0.25">
      <c r="AZ1214" s="6">
        <v>1211</v>
      </c>
      <c r="BA1214" s="6">
        <v>0</v>
      </c>
      <c r="BB1214" s="6">
        <v>0</v>
      </c>
      <c r="BC1214" s="6">
        <v>342</v>
      </c>
      <c r="BD1214" s="6">
        <v>334.0016129032258</v>
      </c>
    </row>
    <row r="1215" spans="52:56" x14ac:dyDescent="0.25">
      <c r="AZ1215" s="6">
        <v>1212</v>
      </c>
      <c r="BA1215" s="6">
        <v>0</v>
      </c>
      <c r="BB1215" s="6">
        <v>0</v>
      </c>
      <c r="BC1215" s="6">
        <v>342</v>
      </c>
      <c r="BD1215" s="6">
        <v>334.27741935483874</v>
      </c>
    </row>
    <row r="1216" spans="52:56" x14ac:dyDescent="0.25">
      <c r="AZ1216" s="6">
        <v>1213</v>
      </c>
      <c r="BA1216" s="6">
        <v>0</v>
      </c>
      <c r="BB1216" s="6">
        <v>0</v>
      </c>
      <c r="BC1216" s="6">
        <v>342</v>
      </c>
      <c r="BD1216" s="6">
        <v>334.55322580645162</v>
      </c>
    </row>
    <row r="1217" spans="52:56" x14ac:dyDescent="0.25">
      <c r="AZ1217" s="6">
        <v>1214</v>
      </c>
      <c r="BA1217" s="6">
        <v>0</v>
      </c>
      <c r="BB1217" s="6">
        <v>0</v>
      </c>
      <c r="BC1217" s="6">
        <v>342</v>
      </c>
      <c r="BD1217" s="6">
        <v>334.8290322580645</v>
      </c>
    </row>
    <row r="1218" spans="52:56" x14ac:dyDescent="0.25">
      <c r="AZ1218" s="6">
        <v>1215</v>
      </c>
      <c r="BA1218" s="6">
        <v>0</v>
      </c>
      <c r="BB1218" s="6">
        <v>0</v>
      </c>
      <c r="BC1218" s="6">
        <v>342</v>
      </c>
      <c r="BD1218" s="6">
        <v>335.10483870967744</v>
      </c>
    </row>
    <row r="1219" spans="52:56" x14ac:dyDescent="0.25">
      <c r="AZ1219" s="6">
        <v>1216</v>
      </c>
      <c r="BA1219" s="6">
        <v>0</v>
      </c>
      <c r="BB1219" s="6">
        <v>0</v>
      </c>
      <c r="BC1219" s="6">
        <v>342</v>
      </c>
      <c r="BD1219" s="6">
        <v>335.38064516129032</v>
      </c>
    </row>
    <row r="1220" spans="52:56" x14ac:dyDescent="0.25">
      <c r="AZ1220" s="6">
        <v>1217</v>
      </c>
      <c r="BA1220" s="6">
        <v>0</v>
      </c>
      <c r="BB1220" s="6">
        <v>0</v>
      </c>
      <c r="BC1220" s="6">
        <v>342</v>
      </c>
      <c r="BD1220" s="6">
        <v>335.65645161290325</v>
      </c>
    </row>
    <row r="1221" spans="52:56" x14ac:dyDescent="0.25">
      <c r="AZ1221" s="6">
        <v>1218</v>
      </c>
      <c r="BA1221" s="6">
        <v>0</v>
      </c>
      <c r="BB1221" s="6">
        <v>0</v>
      </c>
      <c r="BC1221" s="6">
        <v>342</v>
      </c>
      <c r="BD1221" s="6">
        <v>335.93225806451613</v>
      </c>
    </row>
    <row r="1222" spans="52:56" x14ac:dyDescent="0.25">
      <c r="AZ1222" s="6">
        <v>1219</v>
      </c>
      <c r="BA1222" s="6">
        <v>0</v>
      </c>
      <c r="BB1222" s="6">
        <v>0</v>
      </c>
      <c r="BC1222" s="6">
        <v>342</v>
      </c>
      <c r="BD1222" s="6">
        <v>336.20806451612907</v>
      </c>
    </row>
    <row r="1223" spans="52:56" x14ac:dyDescent="0.25">
      <c r="AZ1223" s="6">
        <v>1220</v>
      </c>
      <c r="BA1223" s="6">
        <v>0</v>
      </c>
      <c r="BB1223" s="6">
        <v>0</v>
      </c>
      <c r="BC1223" s="6">
        <v>342</v>
      </c>
      <c r="BD1223" s="6">
        <v>336.48387096774195</v>
      </c>
    </row>
    <row r="1224" spans="52:56" x14ac:dyDescent="0.25">
      <c r="AZ1224" s="6">
        <v>1221</v>
      </c>
      <c r="BA1224" s="6">
        <v>0</v>
      </c>
      <c r="BB1224" s="6">
        <v>0</v>
      </c>
      <c r="BC1224" s="6">
        <v>342</v>
      </c>
      <c r="BD1224" s="6">
        <v>336.75967741935483</v>
      </c>
    </row>
    <row r="1225" spans="52:56" x14ac:dyDescent="0.25">
      <c r="AZ1225" s="6">
        <v>1222</v>
      </c>
      <c r="BA1225" s="6">
        <v>0</v>
      </c>
      <c r="BB1225" s="6">
        <v>0</v>
      </c>
      <c r="BC1225" s="6">
        <v>342</v>
      </c>
      <c r="BD1225" s="6">
        <v>337.03548387096777</v>
      </c>
    </row>
    <row r="1226" spans="52:56" x14ac:dyDescent="0.25">
      <c r="AZ1226" s="6">
        <v>1223</v>
      </c>
      <c r="BA1226" s="6">
        <v>0</v>
      </c>
      <c r="BB1226" s="6">
        <v>0</v>
      </c>
      <c r="BC1226" s="6">
        <v>342</v>
      </c>
      <c r="BD1226" s="6">
        <v>337.31129032258065</v>
      </c>
    </row>
    <row r="1227" spans="52:56" x14ac:dyDescent="0.25">
      <c r="AZ1227" s="6">
        <v>1224</v>
      </c>
      <c r="BA1227" s="6">
        <v>0</v>
      </c>
      <c r="BB1227" s="6">
        <v>0</v>
      </c>
      <c r="BC1227" s="6">
        <v>342</v>
      </c>
      <c r="BD1227" s="6">
        <v>337.58709677419358</v>
      </c>
    </row>
    <row r="1228" spans="52:56" x14ac:dyDescent="0.25">
      <c r="AZ1228" s="6">
        <v>1225</v>
      </c>
      <c r="BA1228" s="6">
        <v>0</v>
      </c>
      <c r="BB1228" s="6">
        <v>0</v>
      </c>
      <c r="BC1228" s="6">
        <v>342</v>
      </c>
      <c r="BD1228" s="6">
        <v>337.86290322580646</v>
      </c>
    </row>
    <row r="1229" spans="52:56" x14ac:dyDescent="0.25">
      <c r="AZ1229" s="6">
        <v>1226</v>
      </c>
      <c r="BA1229" s="6">
        <v>0</v>
      </c>
      <c r="BB1229" s="6">
        <v>0</v>
      </c>
      <c r="BC1229" s="6">
        <v>342</v>
      </c>
      <c r="BD1229" s="6">
        <v>338.13870967741934</v>
      </c>
    </row>
    <row r="1230" spans="52:56" x14ac:dyDescent="0.25">
      <c r="AZ1230" s="6">
        <v>1227</v>
      </c>
      <c r="BA1230" s="6">
        <v>0</v>
      </c>
      <c r="BB1230" s="6">
        <v>0</v>
      </c>
      <c r="BC1230" s="6">
        <v>342</v>
      </c>
      <c r="BD1230" s="6">
        <v>338.41451612903228</v>
      </c>
    </row>
    <row r="1231" spans="52:56" x14ac:dyDescent="0.25">
      <c r="AZ1231" s="6">
        <v>1228</v>
      </c>
      <c r="BA1231" s="6">
        <v>0</v>
      </c>
      <c r="BB1231" s="6">
        <v>0</v>
      </c>
      <c r="BC1231" s="6">
        <v>342</v>
      </c>
      <c r="BD1231" s="6">
        <v>338.69032258064516</v>
      </c>
    </row>
    <row r="1232" spans="52:56" x14ac:dyDescent="0.25">
      <c r="AZ1232" s="6">
        <v>1229</v>
      </c>
      <c r="BA1232" s="6">
        <v>0</v>
      </c>
      <c r="BB1232" s="6">
        <v>0</v>
      </c>
      <c r="BC1232" s="6">
        <v>342</v>
      </c>
      <c r="BD1232" s="6">
        <v>338.9661290322581</v>
      </c>
    </row>
    <row r="1233" spans="52:56" x14ac:dyDescent="0.25">
      <c r="AZ1233" s="6">
        <v>1230</v>
      </c>
      <c r="BA1233" s="6">
        <v>0</v>
      </c>
      <c r="BB1233" s="6">
        <v>0</v>
      </c>
      <c r="BC1233" s="6">
        <v>342</v>
      </c>
      <c r="BD1233" s="6">
        <v>339.24193548387098</v>
      </c>
    </row>
    <row r="1234" spans="52:56" x14ac:dyDescent="0.25">
      <c r="AZ1234" s="6">
        <v>1231</v>
      </c>
      <c r="BA1234" s="6">
        <v>0</v>
      </c>
      <c r="BB1234" s="6">
        <v>0</v>
      </c>
      <c r="BC1234" s="6">
        <v>342</v>
      </c>
      <c r="BD1234" s="6">
        <v>339.51774193548391</v>
      </c>
    </row>
    <row r="1235" spans="52:56" x14ac:dyDescent="0.25">
      <c r="AZ1235" s="6">
        <v>1232</v>
      </c>
      <c r="BA1235" s="6">
        <v>0</v>
      </c>
      <c r="BB1235" s="6">
        <v>0</v>
      </c>
      <c r="BC1235" s="6">
        <v>342</v>
      </c>
      <c r="BD1235" s="6">
        <v>339.79354838709679</v>
      </c>
    </row>
    <row r="1236" spans="52:56" x14ac:dyDescent="0.25">
      <c r="AZ1236" s="6">
        <v>1233</v>
      </c>
      <c r="BA1236" s="6">
        <v>0</v>
      </c>
      <c r="BB1236" s="6">
        <v>0</v>
      </c>
      <c r="BC1236" s="6">
        <v>342</v>
      </c>
      <c r="BD1236" s="6">
        <v>340.06935483870967</v>
      </c>
    </row>
    <row r="1237" spans="52:56" x14ac:dyDescent="0.25">
      <c r="AZ1237" s="6">
        <v>1234</v>
      </c>
      <c r="BA1237" s="6">
        <v>0</v>
      </c>
      <c r="BB1237" s="6">
        <v>0</v>
      </c>
      <c r="BC1237" s="6">
        <v>342</v>
      </c>
      <c r="BD1237" s="6">
        <v>340.34516129032261</v>
      </c>
    </row>
    <row r="1238" spans="52:56" x14ac:dyDescent="0.25">
      <c r="AZ1238" s="6">
        <v>1235</v>
      </c>
      <c r="BA1238" s="6">
        <v>0</v>
      </c>
      <c r="BB1238" s="6">
        <v>0</v>
      </c>
      <c r="BC1238" s="6">
        <v>342</v>
      </c>
      <c r="BD1238" s="6">
        <v>340.62096774193549</v>
      </c>
    </row>
    <row r="1239" spans="52:56" x14ac:dyDescent="0.25">
      <c r="AZ1239" s="6">
        <v>1236</v>
      </c>
      <c r="BA1239" s="6">
        <v>0</v>
      </c>
      <c r="BB1239" s="6">
        <v>0</v>
      </c>
      <c r="BC1239" s="6">
        <v>342</v>
      </c>
      <c r="BD1239" s="6">
        <v>340.89677419354842</v>
      </c>
    </row>
    <row r="1240" spans="52:56" x14ac:dyDescent="0.25">
      <c r="AZ1240" s="6">
        <v>1237</v>
      </c>
      <c r="BA1240" s="6">
        <v>0</v>
      </c>
      <c r="BB1240" s="6">
        <v>0</v>
      </c>
      <c r="BC1240" s="6">
        <v>342</v>
      </c>
      <c r="BD1240" s="6">
        <v>341.1725806451613</v>
      </c>
    </row>
    <row r="1241" spans="52:56" x14ac:dyDescent="0.25">
      <c r="AZ1241" s="6">
        <v>1238</v>
      </c>
      <c r="BA1241" s="6">
        <v>0</v>
      </c>
      <c r="BB1241" s="6">
        <v>0</v>
      </c>
      <c r="BC1241" s="6">
        <v>342</v>
      </c>
      <c r="BD1241" s="6">
        <v>341.44838709677418</v>
      </c>
    </row>
    <row r="1242" spans="52:56" x14ac:dyDescent="0.25">
      <c r="AZ1242" s="6">
        <v>1239</v>
      </c>
      <c r="BA1242" s="6">
        <v>0</v>
      </c>
      <c r="BB1242" s="6">
        <v>0</v>
      </c>
      <c r="BC1242" s="6">
        <v>342</v>
      </c>
      <c r="BD1242" s="6">
        <v>341.72419354838712</v>
      </c>
    </row>
    <row r="1243" spans="52:56" x14ac:dyDescent="0.25">
      <c r="AZ1243" s="6">
        <v>1240</v>
      </c>
      <c r="BA1243" s="6">
        <v>0</v>
      </c>
      <c r="BB1243" s="6">
        <v>0</v>
      </c>
      <c r="BC1243" s="6">
        <v>342</v>
      </c>
      <c r="BD1243" s="6">
        <v>342</v>
      </c>
    </row>
  </sheetData>
  <mergeCells count="17">
    <mergeCell ref="N4:Q4"/>
    <mergeCell ref="B7:C7"/>
    <mergeCell ref="D7:E7"/>
    <mergeCell ref="F7:G7"/>
    <mergeCell ref="H7:I7"/>
    <mergeCell ref="J7:K7"/>
    <mergeCell ref="B4:K4"/>
    <mergeCell ref="B5:C5"/>
    <mergeCell ref="D5:E5"/>
    <mergeCell ref="F5:G5"/>
    <mergeCell ref="H5:I5"/>
    <mergeCell ref="J5:K5"/>
    <mergeCell ref="B6:C6"/>
    <mergeCell ref="D6:E6"/>
    <mergeCell ref="F6:G6"/>
    <mergeCell ref="H6:I6"/>
    <mergeCell ref="J6:K6"/>
  </mergeCells>
  <hyperlinks>
    <hyperlink ref="B5" location="'CT_FullTree'!$B$12:$B$12" display="Full-Grown Tree"/>
    <hyperlink ref="D5" location="'CT_Output'!$B$12:$B$12" display="Inputs"/>
    <hyperlink ref="F5" location="'CT_Output'!$B$46:$B$46" display="Prior class probs"/>
    <hyperlink ref="H5" location="'CT_Output'!$B$54:$B$54" display="Train Log"/>
    <hyperlink ref="J5" location="'CT_Output'!$B$104:$B$104" display="Full-Grown Tree Rules"/>
    <hyperlink ref="B6" location="'CT_Output'!$B$202:$B$202" display="Train. Score Summary."/>
    <hyperlink ref="D6" location="'CT_Output'!$B$225:$B$225" display="Best-Pruned Tree Rules"/>
    <hyperlink ref="F6" location="'CT_Output'!$B$279:$B$279" display="Valid. Score Summary"/>
    <hyperlink ref="H6" location="'CT_PruneLog'!$B$2:$B$2" display="Prune Log"/>
    <hyperlink ref="J6" location="'CT_PruneTree'!$B$12:$B$12" display="Best-Pruned Tree"/>
    <hyperlink ref="B7" location="'CT_TrainingLiftChart'!$B$12:$B$12" display="CT Train. Lift Chart"/>
    <hyperlink ref="D7" location="'CT_TrainingScore'!$B$2:$B$2" display="Train. Score Detail"/>
    <hyperlink ref="F7" location="'CT_ValidationLiftChart'!$B$12:$B$12" display="CT Valid. Lift Chart"/>
    <hyperlink ref="H7" location="'CT_ValidationScore'!$B$2:$B$2" display="Valid. Score Detail"/>
  </hyperlink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O230"/>
  <sheetViews>
    <sheetView showGridLines="0" workbookViewId="0"/>
  </sheetViews>
  <sheetFormatPr defaultRowHeight="15" x14ac:dyDescent="0.25"/>
  <cols>
    <col min="2" max="2" width="25.28515625" bestFit="1" customWidth="1"/>
  </cols>
  <sheetData>
    <row r="2" spans="2:14" x14ac:dyDescent="0.25">
      <c r="N2" t="s">
        <v>9</v>
      </c>
    </row>
    <row r="3" spans="2:14" x14ac:dyDescent="0.25">
      <c r="B3" s="3" t="s">
        <v>10</v>
      </c>
      <c r="C3" s="1" t="s">
        <v>11</v>
      </c>
      <c r="F3" s="2" t="s">
        <v>12</v>
      </c>
      <c r="G3" s="2" t="s">
        <v>13</v>
      </c>
      <c r="H3" s="2" t="s">
        <v>14</v>
      </c>
      <c r="I3" s="2">
        <v>0</v>
      </c>
      <c r="J3" s="2">
        <v>1</v>
      </c>
    </row>
    <row r="4" spans="2:14" x14ac:dyDescent="0.25">
      <c r="B4" s="3" t="s">
        <v>15</v>
      </c>
      <c r="C4" s="1" t="s">
        <v>16</v>
      </c>
      <c r="F4" s="1">
        <v>0</v>
      </c>
      <c r="G4" s="1">
        <v>0</v>
      </c>
      <c r="H4" s="1" t="b">
        <v>1</v>
      </c>
      <c r="I4" s="1">
        <v>0.717741935483871</v>
      </c>
      <c r="J4" s="1">
        <v>0.28225806451612906</v>
      </c>
    </row>
    <row r="5" spans="2:14" x14ac:dyDescent="0.25">
      <c r="B5" s="3" t="s">
        <v>17</v>
      </c>
      <c r="C5" s="1">
        <v>8</v>
      </c>
      <c r="F5" s="1">
        <v>1</v>
      </c>
      <c r="G5" s="1">
        <v>0</v>
      </c>
      <c r="H5" s="1" t="b">
        <v>1</v>
      </c>
      <c r="I5" s="1">
        <v>0.86519766688269606</v>
      </c>
      <c r="J5" s="1">
        <v>0.13480233311730394</v>
      </c>
    </row>
    <row r="6" spans="2:14" x14ac:dyDescent="0.25">
      <c r="B6" s="3" t="s">
        <v>18</v>
      </c>
      <c r="C6" s="1" t="s">
        <v>19</v>
      </c>
      <c r="F6" s="1">
        <v>2</v>
      </c>
      <c r="G6" s="1">
        <v>1</v>
      </c>
      <c r="H6" s="1" t="b">
        <v>0</v>
      </c>
      <c r="I6" s="1">
        <v>0</v>
      </c>
      <c r="J6" s="1">
        <v>1</v>
      </c>
    </row>
    <row r="7" spans="2:14" x14ac:dyDescent="0.25">
      <c r="B7" s="3" t="s">
        <v>12</v>
      </c>
      <c r="C7" s="1" t="s">
        <v>20</v>
      </c>
      <c r="F7" s="1">
        <v>3</v>
      </c>
      <c r="G7" s="1">
        <v>0</v>
      </c>
      <c r="H7" s="1" t="b">
        <v>1</v>
      </c>
      <c r="I7" s="1">
        <v>0.92466296590007935</v>
      </c>
      <c r="J7" s="1">
        <v>7.5337034099920694E-2</v>
      </c>
    </row>
    <row r="8" spans="2:14" x14ac:dyDescent="0.25">
      <c r="B8" s="3" t="s">
        <v>21</v>
      </c>
      <c r="C8" s="1" t="s">
        <v>22</v>
      </c>
      <c r="F8" s="1">
        <v>4</v>
      </c>
      <c r="G8" s="1">
        <v>0</v>
      </c>
      <c r="H8" s="1" t="b">
        <v>1</v>
      </c>
      <c r="I8" s="1">
        <v>0.599290780141844</v>
      </c>
      <c r="J8" s="1">
        <v>0.40070921985815605</v>
      </c>
    </row>
    <row r="9" spans="2:14" x14ac:dyDescent="0.25">
      <c r="B9" s="3" t="s">
        <v>23</v>
      </c>
      <c r="C9" s="1" t="s">
        <v>24</v>
      </c>
      <c r="F9" s="1">
        <v>5</v>
      </c>
      <c r="G9" s="1">
        <v>0</v>
      </c>
      <c r="H9" s="1" t="b">
        <v>1</v>
      </c>
      <c r="I9" s="1">
        <v>0.9304</v>
      </c>
      <c r="J9" s="1">
        <v>6.9599999999999995E-2</v>
      </c>
    </row>
    <row r="10" spans="2:14" x14ac:dyDescent="0.25">
      <c r="B10" s="3" t="s">
        <v>25</v>
      </c>
      <c r="C10" s="1" t="s">
        <v>26</v>
      </c>
      <c r="F10" s="1">
        <v>6</v>
      </c>
      <c r="G10" s="1">
        <v>1</v>
      </c>
      <c r="H10" s="1" t="b">
        <v>0</v>
      </c>
      <c r="I10" s="1">
        <v>0.27272727272727271</v>
      </c>
      <c r="J10" s="1">
        <v>0.72727272727272729</v>
      </c>
    </row>
    <row r="11" spans="2:14" x14ac:dyDescent="0.25">
      <c r="B11" s="3" t="s">
        <v>27</v>
      </c>
      <c r="C11" s="1" t="s">
        <v>28</v>
      </c>
      <c r="F11" s="1">
        <v>7</v>
      </c>
      <c r="G11" s="1">
        <v>1</v>
      </c>
      <c r="H11" s="1" t="b">
        <v>0</v>
      </c>
      <c r="I11" s="1">
        <v>0.1</v>
      </c>
      <c r="J11" s="1">
        <v>0.9</v>
      </c>
    </row>
    <row r="12" spans="2:14" x14ac:dyDescent="0.25">
      <c r="B12" s="3" t="s">
        <v>29</v>
      </c>
      <c r="C12" s="1" t="s">
        <v>30</v>
      </c>
      <c r="F12" s="1">
        <v>8</v>
      </c>
      <c r="G12" s="1">
        <v>0</v>
      </c>
      <c r="H12" s="1" t="b">
        <v>1</v>
      </c>
      <c r="I12" s="1">
        <v>0.61764705882352944</v>
      </c>
      <c r="J12" s="1">
        <v>0.38235294117647056</v>
      </c>
    </row>
    <row r="13" spans="2:14" x14ac:dyDescent="0.25">
      <c r="B13" s="3" t="s">
        <v>31</v>
      </c>
      <c r="C13" s="1" t="s">
        <v>32</v>
      </c>
      <c r="F13" s="1">
        <v>9</v>
      </c>
      <c r="G13" s="1">
        <v>0</v>
      </c>
      <c r="H13" s="1" t="b">
        <v>1</v>
      </c>
      <c r="I13" s="1">
        <v>0.89882352941176469</v>
      </c>
      <c r="J13" s="1">
        <v>0.1011764705882353</v>
      </c>
    </row>
    <row r="14" spans="2:14" x14ac:dyDescent="0.25">
      <c r="B14" s="3" t="s">
        <v>33</v>
      </c>
      <c r="C14" s="1" t="s">
        <v>34</v>
      </c>
      <c r="F14" s="1">
        <v>10</v>
      </c>
      <c r="G14" s="1">
        <v>0</v>
      </c>
      <c r="H14" s="1" t="b">
        <v>1</v>
      </c>
      <c r="I14" s="1">
        <v>0.99750000000000005</v>
      </c>
      <c r="J14" s="1">
        <v>2.5000000000000001E-3</v>
      </c>
    </row>
    <row r="15" spans="2:14" x14ac:dyDescent="0.25">
      <c r="B15" s="3" t="s">
        <v>35</v>
      </c>
      <c r="C15" s="1" t="s">
        <v>36</v>
      </c>
      <c r="F15" s="1">
        <v>11</v>
      </c>
      <c r="G15" s="1">
        <v>0</v>
      </c>
      <c r="H15" s="1" t="b">
        <v>1</v>
      </c>
      <c r="I15" s="1">
        <v>0.77906976744186052</v>
      </c>
      <c r="J15" s="1">
        <v>0.22093023255813954</v>
      </c>
    </row>
    <row r="16" spans="2:14" x14ac:dyDescent="0.25">
      <c r="B16" s="3" t="s">
        <v>37</v>
      </c>
      <c r="C16" s="1" t="s">
        <v>38</v>
      </c>
      <c r="F16" s="1">
        <v>12</v>
      </c>
      <c r="G16" s="1">
        <v>0</v>
      </c>
      <c r="H16" s="1" t="b">
        <v>1</v>
      </c>
      <c r="I16" s="1">
        <v>0.543010752688172</v>
      </c>
      <c r="J16" s="1">
        <v>0.45698924731182794</v>
      </c>
    </row>
    <row r="17" spans="2:10" x14ac:dyDescent="0.25">
      <c r="B17" s="3" t="s">
        <v>39</v>
      </c>
      <c r="C17" s="1" t="s">
        <v>40</v>
      </c>
      <c r="F17" s="1">
        <v>13</v>
      </c>
      <c r="G17" s="1">
        <v>0</v>
      </c>
      <c r="H17" s="1" t="b">
        <v>1</v>
      </c>
      <c r="I17" s="1">
        <v>0.91917973462002411</v>
      </c>
      <c r="J17" s="1">
        <v>8.0820265379975872E-2</v>
      </c>
    </row>
    <row r="18" spans="2:10" x14ac:dyDescent="0.25">
      <c r="B18" s="3" t="s">
        <v>41</v>
      </c>
      <c r="C18" s="1" t="s">
        <v>42</v>
      </c>
      <c r="F18" s="1">
        <v>14</v>
      </c>
      <c r="G18" s="1">
        <v>1</v>
      </c>
      <c r="H18" s="1" t="b">
        <v>0</v>
      </c>
      <c r="I18" s="1">
        <v>9.5238095238095233E-2</v>
      </c>
      <c r="J18" s="1">
        <v>0.90476190476190477</v>
      </c>
    </row>
    <row r="19" spans="2:10" x14ac:dyDescent="0.25">
      <c r="B19" s="3" t="s">
        <v>43</v>
      </c>
      <c r="C19" s="1" t="s">
        <v>44</v>
      </c>
      <c r="F19" s="1">
        <v>15</v>
      </c>
      <c r="G19" s="1">
        <v>0</v>
      </c>
      <c r="H19" s="1" t="b">
        <v>0</v>
      </c>
      <c r="I19" s="1">
        <v>0.96</v>
      </c>
      <c r="J19" s="1">
        <v>0.04</v>
      </c>
    </row>
    <row r="20" spans="2:10" x14ac:dyDescent="0.25">
      <c r="B20" s="3" t="s">
        <v>45</v>
      </c>
      <c r="C20" s="1" t="s">
        <v>46</v>
      </c>
      <c r="F20" s="1">
        <v>16</v>
      </c>
      <c r="G20" s="1">
        <v>0</v>
      </c>
      <c r="H20" s="1" t="b">
        <v>0</v>
      </c>
      <c r="I20" s="1">
        <v>1</v>
      </c>
      <c r="J20" s="1">
        <v>0</v>
      </c>
    </row>
    <row r="21" spans="2:10" x14ac:dyDescent="0.25">
      <c r="B21" s="3" t="s">
        <v>47</v>
      </c>
      <c r="C21" s="1" t="s">
        <v>48</v>
      </c>
      <c r="F21" s="1">
        <v>17</v>
      </c>
      <c r="G21" s="1">
        <v>1</v>
      </c>
      <c r="H21" s="1" t="b">
        <v>0</v>
      </c>
      <c r="I21" s="1">
        <v>0.4375</v>
      </c>
      <c r="J21" s="1">
        <v>0.5625</v>
      </c>
    </row>
    <row r="22" spans="2:10" x14ac:dyDescent="0.25">
      <c r="B22" s="3" t="s">
        <v>49</v>
      </c>
      <c r="C22" s="1">
        <v>1</v>
      </c>
      <c r="F22" s="1">
        <v>18</v>
      </c>
      <c r="G22" s="1">
        <v>0</v>
      </c>
      <c r="H22" s="1" t="b">
        <v>1</v>
      </c>
      <c r="I22" s="1">
        <v>0.8571428571428571</v>
      </c>
      <c r="J22" s="1">
        <v>0.14285714285714285</v>
      </c>
    </row>
    <row r="23" spans="2:10" x14ac:dyDescent="0.25">
      <c r="B23" s="3" t="s">
        <v>50</v>
      </c>
      <c r="C23" s="1">
        <v>0.25</v>
      </c>
      <c r="F23" s="1">
        <v>19</v>
      </c>
      <c r="G23" s="1">
        <v>0</v>
      </c>
      <c r="H23" s="1" t="b">
        <v>1</v>
      </c>
      <c r="I23" s="1">
        <v>0.62790697674418605</v>
      </c>
      <c r="J23" s="1">
        <v>0.37209302325581395</v>
      </c>
    </row>
    <row r="24" spans="2:10" x14ac:dyDescent="0.25">
      <c r="F24" s="1">
        <v>20</v>
      </c>
      <c r="G24" s="1">
        <v>1</v>
      </c>
      <c r="H24" s="1" t="b">
        <v>1</v>
      </c>
      <c r="I24" s="1">
        <v>0.47</v>
      </c>
      <c r="J24" s="1">
        <v>0.53</v>
      </c>
    </row>
    <row r="25" spans="2:10" x14ac:dyDescent="0.25">
      <c r="F25" s="1">
        <v>21</v>
      </c>
      <c r="G25" s="1">
        <v>0</v>
      </c>
      <c r="H25" s="1" t="b">
        <v>1</v>
      </c>
      <c r="I25" s="1">
        <v>0.97089397089397089</v>
      </c>
      <c r="J25" s="1">
        <v>2.9106029106029108E-2</v>
      </c>
    </row>
    <row r="26" spans="2:10" x14ac:dyDescent="0.25">
      <c r="F26" s="1">
        <v>22</v>
      </c>
      <c r="G26" s="1">
        <v>0</v>
      </c>
      <c r="H26" s="1" t="b">
        <v>1</v>
      </c>
      <c r="I26" s="1">
        <v>0.8477011494252874</v>
      </c>
      <c r="J26" s="1">
        <v>0.15229885057471265</v>
      </c>
    </row>
    <row r="27" spans="2:10" x14ac:dyDescent="0.25">
      <c r="F27" s="1">
        <v>23</v>
      </c>
      <c r="G27" s="1">
        <v>0</v>
      </c>
      <c r="H27" s="1" t="b">
        <v>1</v>
      </c>
      <c r="I27" s="1">
        <v>0.81818181818181823</v>
      </c>
      <c r="J27" s="1">
        <v>0.18181818181818182</v>
      </c>
    </row>
    <row r="28" spans="2:10" x14ac:dyDescent="0.25">
      <c r="F28" s="1">
        <v>24</v>
      </c>
      <c r="G28" s="1">
        <v>0</v>
      </c>
      <c r="H28" s="1" t="b">
        <v>0</v>
      </c>
      <c r="I28" s="1">
        <v>1</v>
      </c>
      <c r="J28" s="1">
        <v>0</v>
      </c>
    </row>
    <row r="29" spans="2:10" x14ac:dyDescent="0.25">
      <c r="F29" s="1">
        <v>25</v>
      </c>
      <c r="G29" s="1">
        <v>1</v>
      </c>
      <c r="H29" s="1" t="b">
        <v>0</v>
      </c>
      <c r="I29" s="1">
        <v>0.27272727272727271</v>
      </c>
      <c r="J29" s="1">
        <v>0.72727272727272729</v>
      </c>
    </row>
    <row r="30" spans="2:10" x14ac:dyDescent="0.25">
      <c r="F30" s="1">
        <v>26</v>
      </c>
      <c r="G30" s="1">
        <v>0</v>
      </c>
      <c r="H30" s="1" t="b">
        <v>1</v>
      </c>
      <c r="I30" s="1">
        <v>0.68</v>
      </c>
      <c r="J30" s="1">
        <v>0.32</v>
      </c>
    </row>
    <row r="31" spans="2:10" x14ac:dyDescent="0.25">
      <c r="F31" s="1">
        <v>27</v>
      </c>
      <c r="G31" s="1">
        <v>0</v>
      </c>
      <c r="H31" s="1" t="b">
        <v>1</v>
      </c>
      <c r="I31" s="1">
        <v>0.625</v>
      </c>
      <c r="J31" s="1">
        <v>0.375</v>
      </c>
    </row>
    <row r="32" spans="2:10" x14ac:dyDescent="0.25">
      <c r="F32" s="1">
        <v>28</v>
      </c>
      <c r="G32" s="1">
        <v>1</v>
      </c>
      <c r="H32" s="1" t="b">
        <v>1</v>
      </c>
      <c r="I32" s="1">
        <v>0.36666666666666664</v>
      </c>
      <c r="J32" s="1">
        <v>0.6333333333333333</v>
      </c>
    </row>
    <row r="33" spans="6:10" x14ac:dyDescent="0.25">
      <c r="F33" s="1">
        <v>29</v>
      </c>
      <c r="G33" s="1">
        <v>0</v>
      </c>
      <c r="H33" s="1" t="b">
        <v>1</v>
      </c>
      <c r="I33" s="1">
        <v>0.9810526315789474</v>
      </c>
      <c r="J33" s="1">
        <v>1.8947368421052633E-2</v>
      </c>
    </row>
    <row r="34" spans="6:10" x14ac:dyDescent="0.25">
      <c r="F34" s="1">
        <v>30</v>
      </c>
      <c r="G34" s="1">
        <v>1</v>
      </c>
      <c r="H34" s="1" t="b">
        <v>0</v>
      </c>
      <c r="I34" s="1">
        <v>0.16666666666666666</v>
      </c>
      <c r="J34" s="1">
        <v>0.83333333333333337</v>
      </c>
    </row>
    <row r="35" spans="6:10" x14ac:dyDescent="0.25">
      <c r="F35" s="1">
        <v>31</v>
      </c>
      <c r="G35" s="1">
        <v>1</v>
      </c>
      <c r="H35" s="1" t="b">
        <v>0</v>
      </c>
      <c r="I35" s="1">
        <v>0.31818181818181818</v>
      </c>
      <c r="J35" s="1">
        <v>0.68181818181818177</v>
      </c>
    </row>
    <row r="36" spans="6:10" x14ac:dyDescent="0.25">
      <c r="F36" s="1">
        <v>32</v>
      </c>
      <c r="G36" s="1">
        <v>0</v>
      </c>
      <c r="H36" s="1" t="b">
        <v>1</v>
      </c>
      <c r="I36" s="1">
        <v>0.8834355828220859</v>
      </c>
      <c r="J36" s="1">
        <v>0.1165644171779141</v>
      </c>
    </row>
    <row r="37" spans="6:10" x14ac:dyDescent="0.25">
      <c r="F37" s="1">
        <v>33</v>
      </c>
      <c r="G37" s="1">
        <v>0</v>
      </c>
      <c r="H37" s="1" t="b">
        <v>1</v>
      </c>
      <c r="I37" s="1">
        <v>0.92307692307692313</v>
      </c>
      <c r="J37" s="1">
        <v>7.6923076923076927E-2</v>
      </c>
    </row>
    <row r="38" spans="6:10" x14ac:dyDescent="0.25">
      <c r="F38" s="1">
        <v>34</v>
      </c>
      <c r="G38" s="1">
        <v>0</v>
      </c>
      <c r="H38" s="1" t="b">
        <v>0</v>
      </c>
      <c r="I38" s="1">
        <v>0.5625</v>
      </c>
      <c r="J38" s="1">
        <v>0.4375</v>
      </c>
    </row>
    <row r="39" spans="6:10" x14ac:dyDescent="0.25">
      <c r="F39" s="1">
        <v>35</v>
      </c>
      <c r="G39" s="1">
        <v>0</v>
      </c>
      <c r="H39" s="1" t="b">
        <v>1</v>
      </c>
      <c r="I39" s="1">
        <v>0.75</v>
      </c>
      <c r="J39" s="1">
        <v>0.25</v>
      </c>
    </row>
    <row r="40" spans="6:10" x14ac:dyDescent="0.25">
      <c r="F40" s="1">
        <v>36</v>
      </c>
      <c r="G40" s="1">
        <v>0</v>
      </c>
      <c r="H40" s="1" t="b">
        <v>0</v>
      </c>
      <c r="I40" s="1">
        <v>0.55555555555555558</v>
      </c>
      <c r="J40" s="1">
        <v>0.44444444444444442</v>
      </c>
    </row>
    <row r="41" spans="6:10" x14ac:dyDescent="0.25">
      <c r="F41" s="1">
        <v>37</v>
      </c>
      <c r="G41" s="1">
        <v>1</v>
      </c>
      <c r="H41" s="1" t="b">
        <v>0</v>
      </c>
      <c r="I41" s="1">
        <v>0.47058823529411764</v>
      </c>
      <c r="J41" s="1">
        <v>0.52941176470588236</v>
      </c>
    </row>
    <row r="42" spans="6:10" x14ac:dyDescent="0.25">
      <c r="F42" s="1">
        <v>38</v>
      </c>
      <c r="G42" s="1">
        <v>0</v>
      </c>
      <c r="H42" s="1" t="b">
        <v>0</v>
      </c>
      <c r="I42" s="1">
        <v>0.73913043478260865</v>
      </c>
      <c r="J42" s="1">
        <v>0.2608695652173913</v>
      </c>
    </row>
    <row r="43" spans="6:10" x14ac:dyDescent="0.25">
      <c r="F43" s="1">
        <v>39</v>
      </c>
      <c r="G43" s="1">
        <v>1</v>
      </c>
      <c r="H43" s="1" t="b">
        <v>0</v>
      </c>
      <c r="I43" s="1">
        <v>0</v>
      </c>
      <c r="J43" s="1">
        <v>1</v>
      </c>
    </row>
    <row r="44" spans="6:10" x14ac:dyDescent="0.25">
      <c r="F44" s="1">
        <v>40</v>
      </c>
      <c r="G44" s="1">
        <v>1</v>
      </c>
      <c r="H44" s="1" t="b">
        <v>1</v>
      </c>
      <c r="I44" s="1">
        <v>0.42307692307692307</v>
      </c>
      <c r="J44" s="1">
        <v>0.57692307692307687</v>
      </c>
    </row>
    <row r="45" spans="6:10" x14ac:dyDescent="0.25">
      <c r="F45" s="1">
        <v>41</v>
      </c>
      <c r="G45" s="1">
        <v>0</v>
      </c>
      <c r="H45" s="1" t="b">
        <v>1</v>
      </c>
      <c r="I45" s="1">
        <v>0.9</v>
      </c>
      <c r="J45" s="1">
        <v>0.1</v>
      </c>
    </row>
    <row r="46" spans="6:10" x14ac:dyDescent="0.25">
      <c r="F46" s="1">
        <v>42</v>
      </c>
      <c r="G46" s="1">
        <v>0</v>
      </c>
      <c r="H46" s="1" t="b">
        <v>1</v>
      </c>
      <c r="I46" s="1">
        <v>0.99506172839506168</v>
      </c>
      <c r="J46" s="1">
        <v>4.9382716049382715E-3</v>
      </c>
    </row>
    <row r="47" spans="6:10" x14ac:dyDescent="0.25">
      <c r="F47" s="1">
        <v>43</v>
      </c>
      <c r="G47" s="1">
        <v>0</v>
      </c>
      <c r="H47" s="1" t="b">
        <v>1</v>
      </c>
      <c r="I47" s="1">
        <v>0.91512915129151295</v>
      </c>
      <c r="J47" s="1">
        <v>8.4870848708487087E-2</v>
      </c>
    </row>
    <row r="48" spans="6:10" x14ac:dyDescent="0.25">
      <c r="F48" s="1">
        <v>44</v>
      </c>
      <c r="G48" s="1">
        <v>0</v>
      </c>
      <c r="H48" s="1" t="b">
        <v>1</v>
      </c>
      <c r="I48" s="1">
        <v>0.72727272727272729</v>
      </c>
      <c r="J48" s="1">
        <v>0.27272727272727271</v>
      </c>
    </row>
    <row r="49" spans="6:10" x14ac:dyDescent="0.25">
      <c r="F49" s="1">
        <v>45</v>
      </c>
      <c r="G49" s="1">
        <v>0</v>
      </c>
      <c r="H49" s="1" t="b">
        <v>1</v>
      </c>
      <c r="I49" s="1">
        <v>0.97222222222222221</v>
      </c>
      <c r="J49" s="1">
        <v>2.7777777777777776E-2</v>
      </c>
    </row>
    <row r="50" spans="6:10" x14ac:dyDescent="0.25">
      <c r="F50" s="1">
        <v>46</v>
      </c>
      <c r="G50" s="1">
        <v>1</v>
      </c>
      <c r="H50" s="1" t="b">
        <v>0</v>
      </c>
      <c r="I50" s="1">
        <v>0.33333333333333331</v>
      </c>
      <c r="J50" s="1">
        <v>0.66666666666666663</v>
      </c>
    </row>
    <row r="51" spans="6:10" x14ac:dyDescent="0.25">
      <c r="F51" s="1">
        <v>47</v>
      </c>
      <c r="G51" s="1">
        <v>1</v>
      </c>
      <c r="H51" s="1" t="b">
        <v>0</v>
      </c>
      <c r="I51" s="1">
        <v>0.33333333333333331</v>
      </c>
      <c r="J51" s="1">
        <v>0.66666666666666663</v>
      </c>
    </row>
    <row r="52" spans="6:10" x14ac:dyDescent="0.25">
      <c r="F52" s="1">
        <v>48</v>
      </c>
      <c r="G52" s="1">
        <v>0</v>
      </c>
      <c r="H52" s="1" t="b">
        <v>1</v>
      </c>
      <c r="I52" s="1">
        <v>0.77777777777777779</v>
      </c>
      <c r="J52" s="1">
        <v>0.22222222222222221</v>
      </c>
    </row>
    <row r="53" spans="6:10" x14ac:dyDescent="0.25">
      <c r="F53" s="1">
        <v>49</v>
      </c>
      <c r="G53" s="1">
        <v>0</v>
      </c>
      <c r="H53" s="1" t="b">
        <v>0</v>
      </c>
      <c r="I53" s="1">
        <v>1</v>
      </c>
      <c r="J53" s="1">
        <v>0</v>
      </c>
    </row>
    <row r="54" spans="6:10" x14ac:dyDescent="0.25">
      <c r="F54" s="1">
        <v>50</v>
      </c>
      <c r="G54" s="1">
        <v>1</v>
      </c>
      <c r="H54" s="1" t="b">
        <v>1</v>
      </c>
      <c r="I54" s="1">
        <v>0.38775510204081631</v>
      </c>
      <c r="J54" s="1">
        <v>0.61224489795918369</v>
      </c>
    </row>
    <row r="55" spans="6:10" x14ac:dyDescent="0.25">
      <c r="F55" s="1">
        <v>51</v>
      </c>
      <c r="G55" s="1">
        <v>0</v>
      </c>
      <c r="H55" s="1" t="b">
        <v>1</v>
      </c>
      <c r="I55" s="1">
        <v>0.91304347826086951</v>
      </c>
      <c r="J55" s="1">
        <v>8.6956521739130432E-2</v>
      </c>
    </row>
    <row r="56" spans="6:10" x14ac:dyDescent="0.25">
      <c r="F56" s="1">
        <v>52</v>
      </c>
      <c r="G56" s="1">
        <v>1</v>
      </c>
      <c r="H56" s="1" t="b">
        <v>0</v>
      </c>
      <c r="I56" s="1">
        <v>0</v>
      </c>
      <c r="J56" s="1">
        <v>1</v>
      </c>
    </row>
    <row r="57" spans="6:10" x14ac:dyDescent="0.25">
      <c r="F57" s="1">
        <v>53</v>
      </c>
      <c r="G57" s="1">
        <v>0</v>
      </c>
      <c r="H57" s="1" t="b">
        <v>1</v>
      </c>
      <c r="I57" s="1">
        <v>0.98684210526315785</v>
      </c>
      <c r="J57" s="1">
        <v>1.3157894736842105E-2</v>
      </c>
    </row>
    <row r="58" spans="6:10" x14ac:dyDescent="0.25">
      <c r="F58" s="1">
        <v>54</v>
      </c>
      <c r="G58" s="1">
        <v>0</v>
      </c>
      <c r="H58" s="1" t="b">
        <v>0</v>
      </c>
      <c r="I58" s="1">
        <v>1</v>
      </c>
      <c r="J58" s="1">
        <v>0</v>
      </c>
    </row>
    <row r="59" spans="6:10" x14ac:dyDescent="0.25">
      <c r="F59" s="1">
        <v>55</v>
      </c>
      <c r="G59" s="1">
        <v>0</v>
      </c>
      <c r="H59" s="1" t="b">
        <v>1</v>
      </c>
      <c r="I59" s="1">
        <v>0.8</v>
      </c>
      <c r="J59" s="1">
        <v>0.2</v>
      </c>
    </row>
    <row r="60" spans="6:10" x14ac:dyDescent="0.25">
      <c r="F60" s="1">
        <v>56</v>
      </c>
      <c r="G60" s="1">
        <v>0</v>
      </c>
      <c r="H60" s="1" t="b">
        <v>0</v>
      </c>
      <c r="I60" s="1">
        <v>1</v>
      </c>
      <c r="J60" s="1">
        <v>0</v>
      </c>
    </row>
    <row r="61" spans="6:10" x14ac:dyDescent="0.25">
      <c r="F61" s="1">
        <v>57</v>
      </c>
      <c r="G61" s="1">
        <v>1</v>
      </c>
      <c r="H61" s="1" t="b">
        <v>0</v>
      </c>
      <c r="I61" s="1">
        <v>0.30769230769230771</v>
      </c>
      <c r="J61" s="1">
        <v>0.69230769230769229</v>
      </c>
    </row>
    <row r="62" spans="6:10" x14ac:dyDescent="0.25">
      <c r="F62" s="1">
        <v>58</v>
      </c>
      <c r="G62" s="1">
        <v>0</v>
      </c>
      <c r="H62" s="1" t="b">
        <v>1</v>
      </c>
      <c r="I62" s="1">
        <v>0.8571428571428571</v>
      </c>
      <c r="J62" s="1">
        <v>0.14285714285714285</v>
      </c>
    </row>
    <row r="63" spans="6:10" x14ac:dyDescent="0.25">
      <c r="F63" s="1">
        <v>59</v>
      </c>
      <c r="G63" s="1">
        <v>0</v>
      </c>
      <c r="H63" s="1" t="b">
        <v>0</v>
      </c>
      <c r="I63" s="1">
        <v>0.9</v>
      </c>
      <c r="J63" s="1">
        <v>0.1</v>
      </c>
    </row>
    <row r="64" spans="6:10" x14ac:dyDescent="0.25">
      <c r="F64" s="1">
        <v>60</v>
      </c>
      <c r="G64" s="1">
        <v>0</v>
      </c>
      <c r="H64" s="1" t="b">
        <v>0</v>
      </c>
      <c r="I64" s="1">
        <v>1</v>
      </c>
      <c r="J64" s="1">
        <v>0</v>
      </c>
    </row>
    <row r="65" spans="6:10" x14ac:dyDescent="0.25">
      <c r="F65" s="1">
        <v>61</v>
      </c>
      <c r="G65" s="1">
        <v>0</v>
      </c>
      <c r="H65" s="1" t="b">
        <v>0</v>
      </c>
      <c r="I65" s="1">
        <v>0.6</v>
      </c>
      <c r="J65" s="1">
        <v>0.4</v>
      </c>
    </row>
    <row r="66" spans="6:10" x14ac:dyDescent="0.25">
      <c r="F66" s="1">
        <v>62</v>
      </c>
      <c r="G66" s="1">
        <v>0</v>
      </c>
      <c r="H66" s="1" t="b">
        <v>1</v>
      </c>
      <c r="I66" s="1">
        <v>0.82857142857142863</v>
      </c>
      <c r="J66" s="1">
        <v>0.17142857142857143</v>
      </c>
    </row>
    <row r="67" spans="6:10" x14ac:dyDescent="0.25">
      <c r="F67" s="1">
        <v>63</v>
      </c>
      <c r="G67" s="1">
        <v>1</v>
      </c>
      <c r="H67" s="1" t="b">
        <v>1</v>
      </c>
      <c r="I67" s="1">
        <v>0.47058823529411764</v>
      </c>
      <c r="J67" s="1">
        <v>0.52941176470588236</v>
      </c>
    </row>
    <row r="68" spans="6:10" x14ac:dyDescent="0.25">
      <c r="F68" s="1">
        <v>64</v>
      </c>
      <c r="G68" s="1">
        <v>1</v>
      </c>
      <c r="H68" s="1" t="b">
        <v>0</v>
      </c>
      <c r="I68" s="1">
        <v>0.2</v>
      </c>
      <c r="J68" s="1">
        <v>0.8</v>
      </c>
    </row>
    <row r="69" spans="6:10" x14ac:dyDescent="0.25">
      <c r="F69" s="1">
        <v>65</v>
      </c>
      <c r="G69" s="1">
        <v>0</v>
      </c>
      <c r="H69" s="1" t="b">
        <v>1</v>
      </c>
      <c r="I69" s="1">
        <v>0.967741935483871</v>
      </c>
      <c r="J69" s="1">
        <v>3.2258064516129031E-2</v>
      </c>
    </row>
    <row r="70" spans="6:10" x14ac:dyDescent="0.25">
      <c r="F70" s="1">
        <v>66</v>
      </c>
      <c r="G70" s="1">
        <v>0</v>
      </c>
      <c r="H70" s="1" t="b">
        <v>1</v>
      </c>
      <c r="I70" s="1">
        <v>0.86842105263157898</v>
      </c>
      <c r="J70" s="1">
        <v>0.13157894736842105</v>
      </c>
    </row>
    <row r="71" spans="6:10" x14ac:dyDescent="0.25">
      <c r="F71" s="1">
        <v>67</v>
      </c>
      <c r="G71" s="1">
        <v>0</v>
      </c>
      <c r="H71" s="1" t="b">
        <v>1</v>
      </c>
      <c r="I71" s="1">
        <v>0.99295774647887325</v>
      </c>
      <c r="J71" s="1">
        <v>7.0422535211267607E-3</v>
      </c>
    </row>
    <row r="72" spans="6:10" x14ac:dyDescent="0.25">
      <c r="F72" s="1">
        <v>68</v>
      </c>
      <c r="G72" s="1">
        <v>0</v>
      </c>
      <c r="H72" s="1" t="b">
        <v>0</v>
      </c>
      <c r="I72" s="1">
        <v>0.9</v>
      </c>
      <c r="J72" s="1">
        <v>0.1</v>
      </c>
    </row>
    <row r="73" spans="6:10" x14ac:dyDescent="0.25">
      <c r="F73" s="1">
        <v>69</v>
      </c>
      <c r="G73" s="1">
        <v>0</v>
      </c>
      <c r="H73" s="1" t="b">
        <v>1</v>
      </c>
      <c r="I73" s="1">
        <v>0.96666666666666667</v>
      </c>
      <c r="J73" s="1">
        <v>3.3333333333333333E-2</v>
      </c>
    </row>
    <row r="74" spans="6:10" x14ac:dyDescent="0.25">
      <c r="F74" s="1">
        <v>70</v>
      </c>
      <c r="G74" s="1">
        <v>1</v>
      </c>
      <c r="H74" s="1" t="b">
        <v>0</v>
      </c>
      <c r="I74" s="1">
        <v>0.2</v>
      </c>
      <c r="J74" s="1">
        <v>0.8</v>
      </c>
    </row>
    <row r="75" spans="6:10" x14ac:dyDescent="0.25">
      <c r="F75" s="1">
        <v>71</v>
      </c>
      <c r="G75" s="1">
        <v>0</v>
      </c>
      <c r="H75" s="1" t="b">
        <v>0</v>
      </c>
      <c r="I75" s="1">
        <v>0.96551724137931039</v>
      </c>
      <c r="J75" s="1">
        <v>3.4482758620689655E-2</v>
      </c>
    </row>
    <row r="76" spans="6:10" x14ac:dyDescent="0.25">
      <c r="F76" s="1">
        <v>72</v>
      </c>
      <c r="G76" s="1">
        <v>0</v>
      </c>
      <c r="H76" s="1" t="b">
        <v>0</v>
      </c>
      <c r="I76" s="1">
        <v>0.61538461538461542</v>
      </c>
      <c r="J76" s="1">
        <v>0.38461538461538464</v>
      </c>
    </row>
    <row r="77" spans="6:10" x14ac:dyDescent="0.25">
      <c r="F77" s="1">
        <v>73</v>
      </c>
      <c r="G77" s="1">
        <v>0</v>
      </c>
      <c r="H77" s="1" t="b">
        <v>1</v>
      </c>
      <c r="I77" s="1">
        <v>0.87096774193548387</v>
      </c>
      <c r="J77" s="1">
        <v>0.12903225806451613</v>
      </c>
    </row>
    <row r="78" spans="6:10" x14ac:dyDescent="0.25">
      <c r="F78" s="1">
        <v>74</v>
      </c>
      <c r="G78" s="1">
        <v>0</v>
      </c>
      <c r="H78" s="1" t="b">
        <v>0</v>
      </c>
      <c r="I78" s="1">
        <v>0.5</v>
      </c>
      <c r="J78" s="1">
        <v>0.5</v>
      </c>
    </row>
    <row r="79" spans="6:10" x14ac:dyDescent="0.25">
      <c r="F79" s="1">
        <v>75</v>
      </c>
      <c r="G79" s="1">
        <v>1</v>
      </c>
      <c r="H79" s="1" t="b">
        <v>1</v>
      </c>
      <c r="I79" s="1">
        <v>0.4375</v>
      </c>
      <c r="J79" s="1">
        <v>0.5625</v>
      </c>
    </row>
    <row r="80" spans="6:10" x14ac:dyDescent="0.25">
      <c r="F80" s="1">
        <v>76</v>
      </c>
      <c r="G80" s="1">
        <v>0</v>
      </c>
      <c r="H80" s="1" t="b">
        <v>0</v>
      </c>
      <c r="I80" s="1">
        <v>1</v>
      </c>
      <c r="J80" s="1">
        <v>0</v>
      </c>
    </row>
    <row r="81" spans="6:10" x14ac:dyDescent="0.25">
      <c r="F81" s="1">
        <v>77</v>
      </c>
      <c r="G81" s="1">
        <v>0</v>
      </c>
      <c r="H81" s="1" t="b">
        <v>0</v>
      </c>
      <c r="I81" s="1">
        <v>0.9285714285714286</v>
      </c>
      <c r="J81" s="1">
        <v>7.1428571428571425E-2</v>
      </c>
    </row>
    <row r="82" spans="6:10" x14ac:dyDescent="0.25">
      <c r="F82" s="1">
        <v>78</v>
      </c>
      <c r="G82" s="1">
        <v>0</v>
      </c>
      <c r="H82" s="1" t="b">
        <v>0</v>
      </c>
      <c r="I82" s="1">
        <v>1</v>
      </c>
      <c r="J82" s="1">
        <v>0</v>
      </c>
    </row>
    <row r="83" spans="6:10" x14ac:dyDescent="0.25">
      <c r="F83" s="1">
        <v>79</v>
      </c>
      <c r="G83" s="1">
        <v>0</v>
      </c>
      <c r="H83" s="1" t="b">
        <v>0</v>
      </c>
      <c r="I83" s="1">
        <v>0.7857142857142857</v>
      </c>
      <c r="J83" s="1">
        <v>0.21428571428571427</v>
      </c>
    </row>
    <row r="84" spans="6:10" x14ac:dyDescent="0.25">
      <c r="F84" s="1">
        <v>80</v>
      </c>
      <c r="G84" s="1">
        <v>0</v>
      </c>
      <c r="H84" s="1" t="b">
        <v>0</v>
      </c>
      <c r="I84" s="1">
        <v>0.91666666666666663</v>
      </c>
      <c r="J84" s="1">
        <v>8.3333333333333329E-2</v>
      </c>
    </row>
    <row r="85" spans="6:10" x14ac:dyDescent="0.25">
      <c r="F85" s="1">
        <v>81</v>
      </c>
      <c r="G85" s="1">
        <v>0</v>
      </c>
      <c r="H85" s="1" t="b">
        <v>1</v>
      </c>
      <c r="I85" s="1">
        <v>0.98181818181818181</v>
      </c>
      <c r="J85" s="1">
        <v>1.8181818181818181E-2</v>
      </c>
    </row>
    <row r="86" spans="6:10" x14ac:dyDescent="0.25">
      <c r="F86" s="1">
        <v>82</v>
      </c>
      <c r="G86" s="1">
        <v>0</v>
      </c>
      <c r="H86" s="1" t="b">
        <v>0</v>
      </c>
      <c r="I86" s="1">
        <v>1</v>
      </c>
      <c r="J86" s="1">
        <v>0</v>
      </c>
    </row>
    <row r="87" spans="6:10" x14ac:dyDescent="0.25">
      <c r="F87" s="1">
        <v>83</v>
      </c>
      <c r="G87" s="1">
        <v>0</v>
      </c>
      <c r="H87" s="1" t="b">
        <v>0</v>
      </c>
      <c r="I87" s="1">
        <v>0.7</v>
      </c>
      <c r="J87" s="1">
        <v>0.3</v>
      </c>
    </row>
    <row r="88" spans="6:10" x14ac:dyDescent="0.25">
      <c r="F88" s="1">
        <v>84</v>
      </c>
      <c r="G88" s="1">
        <v>0</v>
      </c>
      <c r="H88" s="1" t="b">
        <v>0</v>
      </c>
      <c r="I88" s="1">
        <v>1</v>
      </c>
      <c r="J88" s="1">
        <v>0</v>
      </c>
    </row>
    <row r="89" spans="6:10" x14ac:dyDescent="0.25">
      <c r="F89" s="1">
        <v>85</v>
      </c>
      <c r="G89" s="1">
        <v>0</v>
      </c>
      <c r="H89" s="1" t="b">
        <v>0</v>
      </c>
      <c r="I89" s="1">
        <v>0.625</v>
      </c>
      <c r="J89" s="1">
        <v>0.375</v>
      </c>
    </row>
    <row r="90" spans="6:10" x14ac:dyDescent="0.25">
      <c r="F90" s="1">
        <v>86</v>
      </c>
      <c r="G90" s="1">
        <v>0</v>
      </c>
      <c r="H90" s="1" t="b">
        <v>0</v>
      </c>
      <c r="I90" s="1">
        <v>0.95652173913043481</v>
      </c>
      <c r="J90" s="1">
        <v>4.3478260869565216E-2</v>
      </c>
    </row>
    <row r="91" spans="6:10" x14ac:dyDescent="0.25">
      <c r="F91" s="1">
        <v>87</v>
      </c>
      <c r="G91" s="1">
        <v>1</v>
      </c>
      <c r="H91" s="1" t="b">
        <v>0</v>
      </c>
      <c r="I91" s="1">
        <v>0.36</v>
      </c>
      <c r="J91" s="1">
        <v>0.64</v>
      </c>
    </row>
    <row r="92" spans="6:10" x14ac:dyDescent="0.25">
      <c r="F92" s="1">
        <v>88</v>
      </c>
      <c r="G92" s="1">
        <v>0</v>
      </c>
      <c r="H92" s="1" t="b">
        <v>0</v>
      </c>
      <c r="I92" s="1">
        <v>0.7142857142857143</v>
      </c>
      <c r="J92" s="1">
        <v>0.2857142857142857</v>
      </c>
    </row>
    <row r="93" spans="6:10" x14ac:dyDescent="0.25">
      <c r="F93" s="1">
        <v>89</v>
      </c>
      <c r="G93" s="1">
        <v>0</v>
      </c>
      <c r="H93" s="1" t="b">
        <v>0</v>
      </c>
      <c r="I93" s="1">
        <v>1</v>
      </c>
      <c r="J93" s="1">
        <v>0</v>
      </c>
    </row>
    <row r="94" spans="6:10" x14ac:dyDescent="0.25">
      <c r="F94" s="1">
        <v>90</v>
      </c>
      <c r="G94" s="1">
        <v>1</v>
      </c>
      <c r="H94" s="1" t="b">
        <v>0</v>
      </c>
      <c r="I94" s="1">
        <v>0</v>
      </c>
      <c r="J94" s="1">
        <v>1</v>
      </c>
    </row>
    <row r="97" spans="6:12" x14ac:dyDescent="0.25">
      <c r="F97" s="2" t="s">
        <v>27</v>
      </c>
      <c r="G97" s="2" t="s">
        <v>51</v>
      </c>
      <c r="H97" s="2" t="s">
        <v>52</v>
      </c>
      <c r="I97" s="2" t="s">
        <v>53</v>
      </c>
      <c r="J97" s="2" t="s">
        <v>54</v>
      </c>
      <c r="K97" s="2" t="s">
        <v>55</v>
      </c>
      <c r="L97" s="2" t="s">
        <v>56</v>
      </c>
    </row>
    <row r="98" spans="6:12" x14ac:dyDescent="0.25">
      <c r="F98" s="1">
        <v>0</v>
      </c>
      <c r="G98" s="1" t="s">
        <v>5</v>
      </c>
      <c r="H98" s="1">
        <v>5</v>
      </c>
      <c r="I98" s="1">
        <v>0.5</v>
      </c>
      <c r="J98" s="1" t="s">
        <v>57</v>
      </c>
      <c r="K98" s="1">
        <v>1</v>
      </c>
      <c r="L98" s="1">
        <v>2</v>
      </c>
    </row>
    <row r="99" spans="6:12" x14ac:dyDescent="0.25">
      <c r="F99" s="1">
        <v>1</v>
      </c>
      <c r="G99" s="1" t="s">
        <v>0</v>
      </c>
      <c r="H99" s="1">
        <v>0</v>
      </c>
      <c r="I99" s="1">
        <v>73.5</v>
      </c>
      <c r="J99" s="1" t="s">
        <v>57</v>
      </c>
      <c r="K99" s="1">
        <v>3</v>
      </c>
      <c r="L99" s="1">
        <v>4</v>
      </c>
    </row>
    <row r="100" spans="6:12" x14ac:dyDescent="0.25">
      <c r="F100" s="1">
        <v>3</v>
      </c>
      <c r="G100" s="1" t="s">
        <v>2</v>
      </c>
      <c r="H100" s="1">
        <v>2</v>
      </c>
      <c r="I100" s="1">
        <v>45.5</v>
      </c>
      <c r="J100" s="1" t="s">
        <v>57</v>
      </c>
      <c r="K100" s="1">
        <v>5</v>
      </c>
      <c r="L100" s="1">
        <v>6</v>
      </c>
    </row>
    <row r="101" spans="6:12" x14ac:dyDescent="0.25">
      <c r="F101" s="1">
        <v>4</v>
      </c>
      <c r="G101" s="1" t="s">
        <v>0</v>
      </c>
      <c r="H101" s="1">
        <v>0</v>
      </c>
      <c r="I101" s="1">
        <v>74.5</v>
      </c>
      <c r="J101" s="1" t="s">
        <v>57</v>
      </c>
      <c r="K101" s="1">
        <v>7</v>
      </c>
      <c r="L101" s="1">
        <v>8</v>
      </c>
    </row>
    <row r="102" spans="6:12" x14ac:dyDescent="0.25">
      <c r="F102" s="1">
        <v>5</v>
      </c>
      <c r="G102" s="1" t="s">
        <v>0</v>
      </c>
      <c r="H102" s="1">
        <v>0</v>
      </c>
      <c r="I102" s="1">
        <v>53.5</v>
      </c>
      <c r="J102" s="1" t="s">
        <v>57</v>
      </c>
      <c r="K102" s="1">
        <v>9</v>
      </c>
      <c r="L102" s="1">
        <v>10</v>
      </c>
    </row>
    <row r="103" spans="6:12" x14ac:dyDescent="0.25">
      <c r="F103" s="1">
        <v>8</v>
      </c>
      <c r="G103" s="1" t="s">
        <v>0</v>
      </c>
      <c r="H103" s="1">
        <v>0</v>
      </c>
      <c r="I103" s="1">
        <v>79.5</v>
      </c>
      <c r="J103" s="1" t="s">
        <v>57</v>
      </c>
      <c r="K103" s="1">
        <v>11</v>
      </c>
      <c r="L103" s="1">
        <v>12</v>
      </c>
    </row>
    <row r="104" spans="6:12" x14ac:dyDescent="0.25">
      <c r="F104" s="1">
        <v>9</v>
      </c>
      <c r="G104" s="1" t="s">
        <v>0</v>
      </c>
      <c r="H104" s="1">
        <v>0</v>
      </c>
      <c r="I104" s="1">
        <v>52.5</v>
      </c>
      <c r="J104" s="1" t="s">
        <v>57</v>
      </c>
      <c r="K104" s="1">
        <v>13</v>
      </c>
      <c r="L104" s="1">
        <v>14</v>
      </c>
    </row>
    <row r="105" spans="6:12" x14ac:dyDescent="0.25">
      <c r="F105" s="1">
        <v>10</v>
      </c>
      <c r="G105" s="1" t="s">
        <v>0</v>
      </c>
      <c r="H105" s="1">
        <v>0</v>
      </c>
      <c r="I105" s="1">
        <v>54.5</v>
      </c>
      <c r="J105" s="1" t="s">
        <v>57</v>
      </c>
      <c r="K105" s="1">
        <v>15</v>
      </c>
      <c r="L105" s="1">
        <v>16</v>
      </c>
    </row>
    <row r="106" spans="6:12" x14ac:dyDescent="0.25">
      <c r="F106" s="1">
        <v>11</v>
      </c>
      <c r="G106" s="1" t="s">
        <v>0</v>
      </c>
      <c r="H106" s="1">
        <v>0</v>
      </c>
      <c r="I106" s="1">
        <v>75.5</v>
      </c>
      <c r="J106" s="1" t="s">
        <v>57</v>
      </c>
      <c r="K106" s="1">
        <v>17</v>
      </c>
      <c r="L106" s="1">
        <v>18</v>
      </c>
    </row>
    <row r="107" spans="6:12" x14ac:dyDescent="0.25">
      <c r="F107" s="1">
        <v>12</v>
      </c>
      <c r="G107" s="1" t="s">
        <v>6</v>
      </c>
      <c r="H107" s="1">
        <v>6</v>
      </c>
      <c r="I107" s="1">
        <v>12715.5</v>
      </c>
      <c r="J107" s="1" t="s">
        <v>57</v>
      </c>
      <c r="K107" s="1">
        <v>19</v>
      </c>
      <c r="L107" s="1">
        <v>20</v>
      </c>
    </row>
    <row r="108" spans="6:12" x14ac:dyDescent="0.25">
      <c r="F108" s="1">
        <v>13</v>
      </c>
      <c r="G108" s="1" t="s">
        <v>0</v>
      </c>
      <c r="H108" s="1">
        <v>0</v>
      </c>
      <c r="I108" s="1">
        <v>27.5</v>
      </c>
      <c r="J108" s="1" t="s">
        <v>57</v>
      </c>
      <c r="K108" s="1">
        <v>21</v>
      </c>
      <c r="L108" s="1">
        <v>22</v>
      </c>
    </row>
    <row r="109" spans="6:12" x14ac:dyDescent="0.25">
      <c r="F109" s="1">
        <v>18</v>
      </c>
      <c r="G109" s="1" t="s">
        <v>0</v>
      </c>
      <c r="H109" s="1">
        <v>0</v>
      </c>
      <c r="I109" s="1">
        <v>78.5</v>
      </c>
      <c r="J109" s="1" t="s">
        <v>57</v>
      </c>
      <c r="K109" s="1">
        <v>23</v>
      </c>
      <c r="L109" s="1">
        <v>24</v>
      </c>
    </row>
    <row r="110" spans="6:12" x14ac:dyDescent="0.25">
      <c r="F110" s="1">
        <v>19</v>
      </c>
      <c r="G110" s="1" t="s">
        <v>6</v>
      </c>
      <c r="H110" s="1">
        <v>6</v>
      </c>
      <c r="I110" s="1">
        <v>6145.5</v>
      </c>
      <c r="J110" s="1" t="s">
        <v>57</v>
      </c>
      <c r="K110" s="1">
        <v>25</v>
      </c>
      <c r="L110" s="1">
        <v>26</v>
      </c>
    </row>
    <row r="111" spans="6:12" x14ac:dyDescent="0.25">
      <c r="F111" s="1">
        <v>20</v>
      </c>
      <c r="G111" s="1" t="s">
        <v>3</v>
      </c>
      <c r="H111" s="1">
        <v>3</v>
      </c>
      <c r="I111" s="1">
        <v>3.5</v>
      </c>
      <c r="J111" s="1" t="s">
        <v>57</v>
      </c>
      <c r="K111" s="1">
        <v>27</v>
      </c>
      <c r="L111" s="1">
        <v>28</v>
      </c>
    </row>
    <row r="112" spans="6:12" x14ac:dyDescent="0.25">
      <c r="F112" s="1">
        <v>21</v>
      </c>
      <c r="G112" s="1" t="s">
        <v>6</v>
      </c>
      <c r="H112" s="1">
        <v>6</v>
      </c>
      <c r="I112" s="1">
        <v>36388</v>
      </c>
      <c r="J112" s="1" t="s">
        <v>57</v>
      </c>
      <c r="K112" s="1">
        <v>29</v>
      </c>
      <c r="L112" s="1">
        <v>30</v>
      </c>
    </row>
    <row r="113" spans="6:12" x14ac:dyDescent="0.25">
      <c r="F113" s="1">
        <v>22</v>
      </c>
      <c r="G113" s="1" t="s">
        <v>0</v>
      </c>
      <c r="H113" s="1">
        <v>0</v>
      </c>
      <c r="I113" s="1">
        <v>28.5</v>
      </c>
      <c r="J113" s="1" t="s">
        <v>57</v>
      </c>
      <c r="K113" s="1">
        <v>31</v>
      </c>
      <c r="L113" s="1">
        <v>32</v>
      </c>
    </row>
    <row r="114" spans="6:12" x14ac:dyDescent="0.25">
      <c r="F114" s="1">
        <v>23</v>
      </c>
      <c r="G114" s="1" t="s">
        <v>0</v>
      </c>
      <c r="H114" s="1">
        <v>0</v>
      </c>
      <c r="I114" s="1">
        <v>77.5</v>
      </c>
      <c r="J114" s="1" t="s">
        <v>57</v>
      </c>
      <c r="K114" s="1">
        <v>33</v>
      </c>
      <c r="L114" s="1">
        <v>34</v>
      </c>
    </row>
    <row r="115" spans="6:12" x14ac:dyDescent="0.25">
      <c r="F115" s="1">
        <v>26</v>
      </c>
      <c r="G115" s="1" t="s">
        <v>3</v>
      </c>
      <c r="H115" s="1">
        <v>3</v>
      </c>
      <c r="I115" s="1">
        <v>4.5</v>
      </c>
      <c r="J115" s="1" t="s">
        <v>57</v>
      </c>
      <c r="K115" s="1">
        <v>35</v>
      </c>
      <c r="L115" s="1">
        <v>36</v>
      </c>
    </row>
    <row r="116" spans="6:12" x14ac:dyDescent="0.25">
      <c r="F116" s="1">
        <v>27</v>
      </c>
      <c r="G116" s="1" t="s">
        <v>0</v>
      </c>
      <c r="H116" s="1">
        <v>0</v>
      </c>
      <c r="I116" s="1">
        <v>83.5</v>
      </c>
      <c r="J116" s="1" t="s">
        <v>57</v>
      </c>
      <c r="K116" s="1">
        <v>37</v>
      </c>
      <c r="L116" s="1">
        <v>38</v>
      </c>
    </row>
    <row r="117" spans="6:12" x14ac:dyDescent="0.25">
      <c r="F117" s="1">
        <v>28</v>
      </c>
      <c r="G117" s="1" t="s">
        <v>6</v>
      </c>
      <c r="H117" s="1">
        <v>6</v>
      </c>
      <c r="I117" s="1">
        <v>14127.5</v>
      </c>
      <c r="J117" s="1" t="s">
        <v>57</v>
      </c>
      <c r="K117" s="1">
        <v>39</v>
      </c>
      <c r="L117" s="1">
        <v>40</v>
      </c>
    </row>
    <row r="118" spans="6:12" x14ac:dyDescent="0.25">
      <c r="F118" s="1">
        <v>29</v>
      </c>
      <c r="G118" s="1" t="s">
        <v>6</v>
      </c>
      <c r="H118" s="1">
        <v>6</v>
      </c>
      <c r="I118" s="1">
        <v>1665</v>
      </c>
      <c r="J118" s="1" t="s">
        <v>57</v>
      </c>
      <c r="K118" s="1">
        <v>41</v>
      </c>
      <c r="L118" s="1">
        <v>42</v>
      </c>
    </row>
    <row r="119" spans="6:12" x14ac:dyDescent="0.25">
      <c r="F119" s="1">
        <v>32</v>
      </c>
      <c r="G119" s="1" t="s">
        <v>0</v>
      </c>
      <c r="H119" s="1">
        <v>0</v>
      </c>
      <c r="I119" s="1">
        <v>49.5</v>
      </c>
      <c r="J119" s="1" t="s">
        <v>57</v>
      </c>
      <c r="K119" s="1">
        <v>43</v>
      </c>
      <c r="L119" s="1">
        <v>44</v>
      </c>
    </row>
    <row r="120" spans="6:12" x14ac:dyDescent="0.25">
      <c r="F120" s="1">
        <v>33</v>
      </c>
      <c r="G120" s="1" t="s">
        <v>7</v>
      </c>
      <c r="H120" s="1">
        <v>7</v>
      </c>
      <c r="I120" s="1">
        <v>0.5</v>
      </c>
      <c r="J120" s="1" t="s">
        <v>57</v>
      </c>
      <c r="K120" s="1">
        <v>45</v>
      </c>
      <c r="L120" s="1">
        <v>46</v>
      </c>
    </row>
    <row r="121" spans="6:12" x14ac:dyDescent="0.25">
      <c r="F121" s="1">
        <v>35</v>
      </c>
      <c r="G121" s="1" t="s">
        <v>6</v>
      </c>
      <c r="H121" s="1">
        <v>6</v>
      </c>
      <c r="I121" s="1">
        <v>7083.5</v>
      </c>
      <c r="J121" s="1" t="s">
        <v>57</v>
      </c>
      <c r="K121" s="1">
        <v>47</v>
      </c>
      <c r="L121" s="1">
        <v>48</v>
      </c>
    </row>
    <row r="122" spans="6:12" x14ac:dyDescent="0.25">
      <c r="F122" s="1">
        <v>40</v>
      </c>
      <c r="G122" s="1" t="s">
        <v>6</v>
      </c>
      <c r="H122" s="1">
        <v>6</v>
      </c>
      <c r="I122" s="1">
        <v>14423</v>
      </c>
      <c r="J122" s="1" t="s">
        <v>57</v>
      </c>
      <c r="K122" s="1">
        <v>49</v>
      </c>
      <c r="L122" s="1">
        <v>50</v>
      </c>
    </row>
    <row r="123" spans="6:12" x14ac:dyDescent="0.25">
      <c r="F123" s="1">
        <v>41</v>
      </c>
      <c r="G123" s="1" t="s">
        <v>6</v>
      </c>
      <c r="H123" s="1">
        <v>6</v>
      </c>
      <c r="I123" s="1">
        <v>1652</v>
      </c>
      <c r="J123" s="1" t="s">
        <v>57</v>
      </c>
      <c r="K123" s="1">
        <v>51</v>
      </c>
      <c r="L123" s="1">
        <v>52</v>
      </c>
    </row>
    <row r="124" spans="6:12" x14ac:dyDescent="0.25">
      <c r="F124" s="1">
        <v>42</v>
      </c>
      <c r="G124" s="1" t="s">
        <v>0</v>
      </c>
      <c r="H124" s="1">
        <v>0</v>
      </c>
      <c r="I124" s="1">
        <v>5.5</v>
      </c>
      <c r="J124" s="1" t="s">
        <v>57</v>
      </c>
      <c r="K124" s="1">
        <v>53</v>
      </c>
      <c r="L124" s="1">
        <v>54</v>
      </c>
    </row>
    <row r="125" spans="6:12" x14ac:dyDescent="0.25">
      <c r="F125" s="1">
        <v>43</v>
      </c>
      <c r="G125" s="1" t="s">
        <v>0</v>
      </c>
      <c r="H125" s="1">
        <v>0</v>
      </c>
      <c r="I125" s="1">
        <v>37.5</v>
      </c>
      <c r="J125" s="1" t="s">
        <v>57</v>
      </c>
      <c r="K125" s="1">
        <v>55</v>
      </c>
      <c r="L125" s="1">
        <v>56</v>
      </c>
    </row>
    <row r="126" spans="6:12" x14ac:dyDescent="0.25">
      <c r="F126" s="1">
        <v>44</v>
      </c>
      <c r="G126" s="1" t="s">
        <v>0</v>
      </c>
      <c r="H126" s="1">
        <v>0</v>
      </c>
      <c r="I126" s="1">
        <v>50.5</v>
      </c>
      <c r="J126" s="1" t="s">
        <v>57</v>
      </c>
      <c r="K126" s="1">
        <v>57</v>
      </c>
      <c r="L126" s="1">
        <v>58</v>
      </c>
    </row>
    <row r="127" spans="6:12" x14ac:dyDescent="0.25">
      <c r="F127" s="1">
        <v>45</v>
      </c>
      <c r="G127" s="1" t="s">
        <v>6</v>
      </c>
      <c r="H127" s="1">
        <v>6</v>
      </c>
      <c r="I127" s="1">
        <v>9592</v>
      </c>
      <c r="J127" s="1" t="s">
        <v>57</v>
      </c>
      <c r="K127" s="1">
        <v>59</v>
      </c>
      <c r="L127" s="1">
        <v>60</v>
      </c>
    </row>
    <row r="128" spans="6:12" x14ac:dyDescent="0.25">
      <c r="F128" s="1">
        <v>48</v>
      </c>
      <c r="G128" s="1" t="s">
        <v>0</v>
      </c>
      <c r="H128" s="1">
        <v>0</v>
      </c>
      <c r="I128" s="1">
        <v>82.5</v>
      </c>
      <c r="J128" s="1" t="s">
        <v>57</v>
      </c>
      <c r="K128" s="1">
        <v>61</v>
      </c>
      <c r="L128" s="1">
        <v>62</v>
      </c>
    </row>
    <row r="129" spans="6:12" x14ac:dyDescent="0.25">
      <c r="F129" s="1">
        <v>50</v>
      </c>
      <c r="G129" s="1" t="s">
        <v>2</v>
      </c>
      <c r="H129" s="1">
        <v>2</v>
      </c>
      <c r="I129" s="1">
        <v>8.5</v>
      </c>
      <c r="J129" s="1" t="s">
        <v>57</v>
      </c>
      <c r="K129" s="1">
        <v>63</v>
      </c>
      <c r="L129" s="1">
        <v>64</v>
      </c>
    </row>
    <row r="130" spans="6:12" x14ac:dyDescent="0.25">
      <c r="F130" s="1">
        <v>51</v>
      </c>
      <c r="G130" s="1" t="s">
        <v>1</v>
      </c>
      <c r="H130" s="1">
        <v>1</v>
      </c>
      <c r="I130" s="1">
        <v>0.5</v>
      </c>
      <c r="J130" s="1" t="s">
        <v>57</v>
      </c>
      <c r="K130" s="1">
        <v>65</v>
      </c>
      <c r="L130" s="1">
        <v>66</v>
      </c>
    </row>
    <row r="131" spans="6:12" x14ac:dyDescent="0.25">
      <c r="F131" s="1">
        <v>53</v>
      </c>
      <c r="G131" s="1" t="s">
        <v>6</v>
      </c>
      <c r="H131" s="1">
        <v>6</v>
      </c>
      <c r="I131" s="1">
        <v>14944.5</v>
      </c>
      <c r="J131" s="1" t="s">
        <v>57</v>
      </c>
      <c r="K131" s="1">
        <v>67</v>
      </c>
      <c r="L131" s="1">
        <v>68</v>
      </c>
    </row>
    <row r="132" spans="6:12" x14ac:dyDescent="0.25">
      <c r="F132" s="1">
        <v>55</v>
      </c>
      <c r="G132" s="1" t="s">
        <v>0</v>
      </c>
      <c r="H132" s="1">
        <v>0</v>
      </c>
      <c r="I132" s="1">
        <v>35.5</v>
      </c>
      <c r="J132" s="1" t="s">
        <v>57</v>
      </c>
      <c r="K132" s="1">
        <v>69</v>
      </c>
      <c r="L132" s="1">
        <v>70</v>
      </c>
    </row>
    <row r="133" spans="6:12" x14ac:dyDescent="0.25">
      <c r="F133" s="1">
        <v>58</v>
      </c>
      <c r="G133" s="1" t="s">
        <v>4</v>
      </c>
      <c r="H133" s="1">
        <v>4</v>
      </c>
      <c r="I133" s="1">
        <v>0.5</v>
      </c>
      <c r="J133" s="1" t="s">
        <v>57</v>
      </c>
      <c r="K133" s="1">
        <v>71</v>
      </c>
      <c r="L133" s="1">
        <v>72</v>
      </c>
    </row>
    <row r="134" spans="6:12" x14ac:dyDescent="0.25">
      <c r="F134" s="1">
        <v>62</v>
      </c>
      <c r="G134" s="1" t="s">
        <v>0</v>
      </c>
      <c r="H134" s="1">
        <v>0</v>
      </c>
      <c r="I134" s="1">
        <v>95.5</v>
      </c>
      <c r="J134" s="1" t="s">
        <v>57</v>
      </c>
      <c r="K134" s="1">
        <v>73</v>
      </c>
      <c r="L134" s="1">
        <v>74</v>
      </c>
    </row>
    <row r="135" spans="6:12" x14ac:dyDescent="0.25">
      <c r="F135" s="1">
        <v>63</v>
      </c>
      <c r="G135" s="1" t="s">
        <v>0</v>
      </c>
      <c r="H135" s="1">
        <v>0</v>
      </c>
      <c r="I135" s="1">
        <v>89.5</v>
      </c>
      <c r="J135" s="1" t="s">
        <v>57</v>
      </c>
      <c r="K135" s="1">
        <v>75</v>
      </c>
      <c r="L135" s="1">
        <v>76</v>
      </c>
    </row>
    <row r="136" spans="6:12" x14ac:dyDescent="0.25">
      <c r="F136" s="1">
        <v>65</v>
      </c>
      <c r="G136" s="1" t="s">
        <v>6</v>
      </c>
      <c r="H136" s="1">
        <v>6</v>
      </c>
      <c r="I136" s="1">
        <v>1300</v>
      </c>
      <c r="J136" s="1" t="s">
        <v>57</v>
      </c>
      <c r="K136" s="1">
        <v>77</v>
      </c>
      <c r="L136" s="1">
        <v>78</v>
      </c>
    </row>
    <row r="137" spans="6:12" x14ac:dyDescent="0.25">
      <c r="F137" s="1">
        <v>66</v>
      </c>
      <c r="G137" s="1" t="s">
        <v>6</v>
      </c>
      <c r="H137" s="1">
        <v>6</v>
      </c>
      <c r="I137" s="1">
        <v>1190</v>
      </c>
      <c r="J137" s="1" t="s">
        <v>57</v>
      </c>
      <c r="K137" s="1">
        <v>79</v>
      </c>
      <c r="L137" s="1">
        <v>80</v>
      </c>
    </row>
    <row r="138" spans="6:12" x14ac:dyDescent="0.25">
      <c r="F138" s="1">
        <v>67</v>
      </c>
      <c r="G138" s="1" t="s">
        <v>6</v>
      </c>
      <c r="H138" s="1">
        <v>6</v>
      </c>
      <c r="I138" s="1">
        <v>2135.5</v>
      </c>
      <c r="J138" s="1" t="s">
        <v>57</v>
      </c>
      <c r="K138" s="1">
        <v>81</v>
      </c>
      <c r="L138" s="1">
        <v>82</v>
      </c>
    </row>
    <row r="139" spans="6:12" x14ac:dyDescent="0.25">
      <c r="F139" s="1">
        <v>69</v>
      </c>
      <c r="G139" s="1" t="s">
        <v>0</v>
      </c>
      <c r="H139" s="1">
        <v>0</v>
      </c>
      <c r="I139" s="1">
        <v>29.5</v>
      </c>
      <c r="J139" s="1" t="s">
        <v>57</v>
      </c>
      <c r="K139" s="1">
        <v>83</v>
      </c>
      <c r="L139" s="1">
        <v>84</v>
      </c>
    </row>
    <row r="140" spans="6:12" x14ac:dyDescent="0.25">
      <c r="F140" s="1">
        <v>73</v>
      </c>
      <c r="G140" s="1" t="s">
        <v>3</v>
      </c>
      <c r="H140" s="1">
        <v>3</v>
      </c>
      <c r="I140" s="1">
        <v>2.5</v>
      </c>
      <c r="J140" s="1" t="s">
        <v>57</v>
      </c>
      <c r="K140" s="1">
        <v>85</v>
      </c>
      <c r="L140" s="1">
        <v>86</v>
      </c>
    </row>
    <row r="141" spans="6:12" x14ac:dyDescent="0.25">
      <c r="F141" s="1">
        <v>75</v>
      </c>
      <c r="G141" s="1" t="s">
        <v>6</v>
      </c>
      <c r="H141" s="1">
        <v>6</v>
      </c>
      <c r="I141" s="1">
        <v>26526</v>
      </c>
      <c r="J141" s="1" t="s">
        <v>57</v>
      </c>
      <c r="K141" s="1">
        <v>87</v>
      </c>
      <c r="L141" s="1">
        <v>88</v>
      </c>
    </row>
    <row r="142" spans="6:12" x14ac:dyDescent="0.25">
      <c r="F142" s="1">
        <v>81</v>
      </c>
      <c r="G142" s="1" t="s">
        <v>6</v>
      </c>
      <c r="H142" s="1">
        <v>6</v>
      </c>
      <c r="I142" s="1">
        <v>2123.5</v>
      </c>
      <c r="J142" s="1" t="s">
        <v>57</v>
      </c>
      <c r="K142" s="1">
        <v>89</v>
      </c>
      <c r="L142" s="1">
        <v>90</v>
      </c>
    </row>
    <row r="145" spans="2:15" x14ac:dyDescent="0.25">
      <c r="F145" s="3" t="s">
        <v>41</v>
      </c>
      <c r="G145" s="1" t="s">
        <v>0</v>
      </c>
      <c r="H145" s="1" t="s">
        <v>1</v>
      </c>
      <c r="I145" s="1" t="s">
        <v>2</v>
      </c>
      <c r="J145" s="1" t="s">
        <v>3</v>
      </c>
      <c r="K145" s="1" t="s">
        <v>4</v>
      </c>
      <c r="L145" s="1" t="s">
        <v>5</v>
      </c>
      <c r="M145" s="1" t="s">
        <v>6</v>
      </c>
      <c r="N145" s="1" t="s">
        <v>7</v>
      </c>
      <c r="O145" s="1" t="s">
        <v>8</v>
      </c>
    </row>
    <row r="146" spans="2:15" x14ac:dyDescent="0.25">
      <c r="F146" s="3" t="s">
        <v>58</v>
      </c>
      <c r="G146" s="1" t="s">
        <v>59</v>
      </c>
      <c r="H146" s="1" t="s">
        <v>59</v>
      </c>
      <c r="I146" s="1" t="s">
        <v>59</v>
      </c>
      <c r="J146" s="1" t="s">
        <v>59</v>
      </c>
      <c r="K146" s="1" t="s">
        <v>59</v>
      </c>
      <c r="L146" s="1" t="s">
        <v>59</v>
      </c>
      <c r="M146" s="1" t="s">
        <v>59</v>
      </c>
      <c r="N146" s="1" t="s">
        <v>59</v>
      </c>
      <c r="O146" s="1" t="s">
        <v>60</v>
      </c>
    </row>
    <row r="147" spans="2:15" x14ac:dyDescent="0.25">
      <c r="F147" s="3" t="s">
        <v>61</v>
      </c>
      <c r="G147" s="1">
        <v>0</v>
      </c>
      <c r="H147" s="1">
        <v>1</v>
      </c>
      <c r="I147" s="1">
        <v>2</v>
      </c>
      <c r="J147" s="1">
        <v>3</v>
      </c>
      <c r="K147" s="1">
        <v>4</v>
      </c>
      <c r="L147" s="1">
        <v>5</v>
      </c>
      <c r="M147" s="1">
        <v>6</v>
      </c>
      <c r="N147" s="1">
        <v>7</v>
      </c>
      <c r="O147" s="1">
        <v>8</v>
      </c>
    </row>
    <row r="148" spans="2:15" x14ac:dyDescent="0.25">
      <c r="F148" s="3" t="s">
        <v>62</v>
      </c>
      <c r="G148" s="1">
        <v>0</v>
      </c>
      <c r="H148" s="1">
        <v>1</v>
      </c>
      <c r="I148" s="1">
        <v>2</v>
      </c>
      <c r="J148" s="1">
        <v>3</v>
      </c>
      <c r="K148" s="1">
        <v>4</v>
      </c>
      <c r="L148" s="1">
        <v>5</v>
      </c>
      <c r="M148" s="1">
        <v>6</v>
      </c>
      <c r="N148" s="1">
        <v>7</v>
      </c>
    </row>
    <row r="151" spans="2:15" x14ac:dyDescent="0.25">
      <c r="B151" s="3" t="s">
        <v>10</v>
      </c>
      <c r="C151" s="1" t="s">
        <v>11</v>
      </c>
      <c r="F151" s="2" t="s">
        <v>12</v>
      </c>
      <c r="G151" s="2" t="s">
        <v>13</v>
      </c>
      <c r="H151" s="2" t="s">
        <v>14</v>
      </c>
      <c r="I151" s="2">
        <v>0</v>
      </c>
      <c r="J151" s="2">
        <v>1</v>
      </c>
    </row>
    <row r="152" spans="2:15" x14ac:dyDescent="0.25">
      <c r="B152" s="3" t="s">
        <v>15</v>
      </c>
      <c r="C152" s="1" t="s">
        <v>63</v>
      </c>
      <c r="F152" s="1">
        <v>0</v>
      </c>
      <c r="G152" s="1">
        <v>0</v>
      </c>
      <c r="H152" s="1" t="b">
        <v>1</v>
      </c>
      <c r="I152" s="1">
        <v>0.717741935483871</v>
      </c>
      <c r="J152" s="1">
        <v>0.28225806451612906</v>
      </c>
    </row>
    <row r="153" spans="2:15" x14ac:dyDescent="0.25">
      <c r="B153" s="3" t="s">
        <v>17</v>
      </c>
      <c r="C153" s="1">
        <v>8</v>
      </c>
      <c r="F153" s="1">
        <v>1</v>
      </c>
      <c r="G153" s="1">
        <v>0</v>
      </c>
      <c r="H153" s="1" t="b">
        <v>1</v>
      </c>
      <c r="I153" s="1">
        <v>0.86519766688269606</v>
      </c>
      <c r="J153" s="1">
        <v>0.13480233311730394</v>
      </c>
    </row>
    <row r="154" spans="2:15" x14ac:dyDescent="0.25">
      <c r="B154" s="3" t="s">
        <v>18</v>
      </c>
      <c r="C154" s="1" t="s">
        <v>64</v>
      </c>
      <c r="F154" s="1">
        <v>2</v>
      </c>
      <c r="G154" s="1">
        <v>1</v>
      </c>
      <c r="H154" s="1" t="b">
        <v>0</v>
      </c>
      <c r="I154" s="1">
        <v>0</v>
      </c>
      <c r="J154" s="1">
        <v>1</v>
      </c>
    </row>
    <row r="155" spans="2:15" x14ac:dyDescent="0.25">
      <c r="B155" s="3" t="s">
        <v>12</v>
      </c>
      <c r="C155" s="1" t="s">
        <v>65</v>
      </c>
      <c r="F155" s="1">
        <v>3</v>
      </c>
      <c r="G155" s="1">
        <v>0</v>
      </c>
      <c r="H155" s="1" t="b">
        <v>1</v>
      </c>
      <c r="I155" s="1">
        <v>0.92466296590007935</v>
      </c>
      <c r="J155" s="1">
        <v>7.5337034099920694E-2</v>
      </c>
    </row>
    <row r="156" spans="2:15" x14ac:dyDescent="0.25">
      <c r="B156" s="3" t="s">
        <v>21</v>
      </c>
      <c r="C156" s="1" t="s">
        <v>66</v>
      </c>
      <c r="F156" s="1">
        <v>4</v>
      </c>
      <c r="G156" s="1">
        <v>0</v>
      </c>
      <c r="H156" s="1" t="b">
        <v>1</v>
      </c>
      <c r="I156" s="1">
        <v>0.599290780141844</v>
      </c>
      <c r="J156" s="1">
        <v>0.40070921985815605</v>
      </c>
    </row>
    <row r="157" spans="2:15" x14ac:dyDescent="0.25">
      <c r="B157" s="3" t="s">
        <v>23</v>
      </c>
      <c r="C157" s="1" t="s">
        <v>67</v>
      </c>
      <c r="F157" s="1">
        <v>5</v>
      </c>
      <c r="G157" s="1">
        <v>0</v>
      </c>
      <c r="H157" s="1" t="b">
        <v>1</v>
      </c>
      <c r="I157" s="1">
        <v>0.9304</v>
      </c>
      <c r="J157" s="1">
        <v>6.9599999999999995E-2</v>
      </c>
    </row>
    <row r="158" spans="2:15" x14ac:dyDescent="0.25">
      <c r="B158" s="3" t="s">
        <v>25</v>
      </c>
      <c r="C158" s="1" t="s">
        <v>68</v>
      </c>
      <c r="F158" s="1">
        <v>6</v>
      </c>
      <c r="G158" s="1">
        <v>1</v>
      </c>
      <c r="H158" s="1" t="b">
        <v>0</v>
      </c>
      <c r="I158" s="1">
        <v>0.27272727272727271</v>
      </c>
      <c r="J158" s="1">
        <v>0.72727272727272729</v>
      </c>
    </row>
    <row r="159" spans="2:15" x14ac:dyDescent="0.25">
      <c r="B159" s="3" t="s">
        <v>27</v>
      </c>
      <c r="C159" s="1" t="s">
        <v>69</v>
      </c>
      <c r="F159" s="1">
        <v>7</v>
      </c>
      <c r="G159" s="1">
        <v>1</v>
      </c>
      <c r="H159" s="1" t="b">
        <v>0</v>
      </c>
      <c r="I159" s="1">
        <v>0.1</v>
      </c>
      <c r="J159" s="1">
        <v>0.9</v>
      </c>
    </row>
    <row r="160" spans="2:15" x14ac:dyDescent="0.25">
      <c r="B160" s="3" t="s">
        <v>29</v>
      </c>
      <c r="C160" s="1" t="s">
        <v>70</v>
      </c>
      <c r="F160" s="1">
        <v>8</v>
      </c>
      <c r="G160" s="1">
        <v>0</v>
      </c>
      <c r="H160" s="1" t="b">
        <v>1</v>
      </c>
      <c r="I160" s="1">
        <v>0.61764705882352944</v>
      </c>
      <c r="J160" s="1">
        <v>0.38235294117647056</v>
      </c>
    </row>
    <row r="161" spans="2:10" x14ac:dyDescent="0.25">
      <c r="B161" s="3" t="s">
        <v>31</v>
      </c>
      <c r="C161" s="1" t="s">
        <v>71</v>
      </c>
      <c r="F161" s="1">
        <v>9</v>
      </c>
      <c r="G161" s="1">
        <v>0</v>
      </c>
      <c r="H161" s="1" t="b">
        <v>1</v>
      </c>
      <c r="I161" s="1">
        <v>0.89882352941176469</v>
      </c>
      <c r="J161" s="1">
        <v>0.1011764705882353</v>
      </c>
    </row>
    <row r="162" spans="2:10" x14ac:dyDescent="0.25">
      <c r="B162" s="3" t="s">
        <v>33</v>
      </c>
      <c r="C162" s="1" t="s">
        <v>72</v>
      </c>
      <c r="F162" s="1">
        <v>10</v>
      </c>
      <c r="G162" s="1">
        <v>0</v>
      </c>
      <c r="H162" s="1" t="b">
        <v>0</v>
      </c>
      <c r="I162" s="1">
        <v>0.99750000000000005</v>
      </c>
      <c r="J162" s="1">
        <v>2.5000000000000001E-3</v>
      </c>
    </row>
    <row r="163" spans="2:10" x14ac:dyDescent="0.25">
      <c r="B163" s="3" t="s">
        <v>35</v>
      </c>
      <c r="C163" s="1" t="s">
        <v>73</v>
      </c>
      <c r="F163" s="1">
        <v>11</v>
      </c>
      <c r="G163" s="1">
        <v>0</v>
      </c>
      <c r="H163" s="1" t="b">
        <v>1</v>
      </c>
      <c r="I163" s="1">
        <v>0.77906976744186052</v>
      </c>
      <c r="J163" s="1">
        <v>0.22093023255813954</v>
      </c>
    </row>
    <row r="164" spans="2:10" x14ac:dyDescent="0.25">
      <c r="B164" s="3" t="s">
        <v>37</v>
      </c>
      <c r="C164" s="1" t="s">
        <v>74</v>
      </c>
      <c r="F164" s="1">
        <v>12</v>
      </c>
      <c r="G164" s="1">
        <v>0</v>
      </c>
      <c r="H164" s="1" t="b">
        <v>1</v>
      </c>
      <c r="I164" s="1">
        <v>0.543010752688172</v>
      </c>
      <c r="J164" s="1">
        <v>0.45698924731182794</v>
      </c>
    </row>
    <row r="165" spans="2:10" x14ac:dyDescent="0.25">
      <c r="B165" s="3" t="s">
        <v>39</v>
      </c>
      <c r="C165" s="1" t="s">
        <v>75</v>
      </c>
      <c r="F165" s="1">
        <v>13</v>
      </c>
      <c r="G165" s="1">
        <v>0</v>
      </c>
      <c r="H165" s="1" t="b">
        <v>1</v>
      </c>
      <c r="I165" s="1">
        <v>0.91917973462002411</v>
      </c>
      <c r="J165" s="1">
        <v>8.0820265379975872E-2</v>
      </c>
    </row>
    <row r="166" spans="2:10" x14ac:dyDescent="0.25">
      <c r="B166" s="3" t="s">
        <v>41</v>
      </c>
      <c r="C166" s="1" t="s">
        <v>76</v>
      </c>
      <c r="F166" s="1">
        <v>14</v>
      </c>
      <c r="G166" s="1">
        <v>1</v>
      </c>
      <c r="H166" s="1" t="b">
        <v>0</v>
      </c>
      <c r="I166" s="1">
        <v>9.5238095238095233E-2</v>
      </c>
      <c r="J166" s="1">
        <v>0.90476190476190477</v>
      </c>
    </row>
    <row r="167" spans="2:10" x14ac:dyDescent="0.25">
      <c r="B167" s="3" t="s">
        <v>43</v>
      </c>
      <c r="C167" s="1" t="s">
        <v>77</v>
      </c>
      <c r="F167" s="1">
        <v>15</v>
      </c>
      <c r="G167" s="1">
        <v>1</v>
      </c>
      <c r="H167" s="1" t="b">
        <v>0</v>
      </c>
      <c r="I167" s="1">
        <v>0.4375</v>
      </c>
      <c r="J167" s="1">
        <v>0.5625</v>
      </c>
    </row>
    <row r="168" spans="2:10" x14ac:dyDescent="0.25">
      <c r="B168" s="3" t="s">
        <v>45</v>
      </c>
      <c r="C168" s="1" t="s">
        <v>78</v>
      </c>
      <c r="F168" s="1">
        <v>16</v>
      </c>
      <c r="G168" s="1">
        <v>0</v>
      </c>
      <c r="H168" s="1" t="b">
        <v>0</v>
      </c>
      <c r="I168" s="1">
        <v>0.8571428571428571</v>
      </c>
      <c r="J168" s="1">
        <v>0.14285714285714285</v>
      </c>
    </row>
    <row r="169" spans="2:10" x14ac:dyDescent="0.25">
      <c r="B169" s="3" t="s">
        <v>47</v>
      </c>
      <c r="C169" s="1" t="s">
        <v>79</v>
      </c>
      <c r="F169" s="1">
        <v>17</v>
      </c>
      <c r="G169" s="1">
        <v>0</v>
      </c>
      <c r="H169" s="1" t="b">
        <v>1</v>
      </c>
      <c r="I169" s="1">
        <v>0.62790697674418605</v>
      </c>
      <c r="J169" s="1">
        <v>0.37209302325581395</v>
      </c>
    </row>
    <row r="170" spans="2:10" x14ac:dyDescent="0.25">
      <c r="B170" s="3" t="s">
        <v>49</v>
      </c>
      <c r="C170" s="1">
        <v>1</v>
      </c>
      <c r="F170" s="1">
        <v>18</v>
      </c>
      <c r="G170" s="1">
        <v>1</v>
      </c>
      <c r="H170" s="1" t="b">
        <v>1</v>
      </c>
      <c r="I170" s="1">
        <v>0.47</v>
      </c>
      <c r="J170" s="1">
        <v>0.53</v>
      </c>
    </row>
    <row r="171" spans="2:10" x14ac:dyDescent="0.25">
      <c r="B171" s="3" t="s">
        <v>50</v>
      </c>
      <c r="C171" s="1">
        <v>0.25</v>
      </c>
      <c r="F171" s="1">
        <v>19</v>
      </c>
      <c r="G171" s="1">
        <v>0</v>
      </c>
      <c r="H171" s="1" t="b">
        <v>1</v>
      </c>
      <c r="I171" s="1">
        <v>0.97089397089397089</v>
      </c>
      <c r="J171" s="1">
        <v>2.9106029106029108E-2</v>
      </c>
    </row>
    <row r="172" spans="2:10" x14ac:dyDescent="0.25">
      <c r="F172" s="1">
        <v>20</v>
      </c>
      <c r="G172" s="1">
        <v>0</v>
      </c>
      <c r="H172" s="1" t="b">
        <v>1</v>
      </c>
      <c r="I172" s="1">
        <v>0.8477011494252874</v>
      </c>
      <c r="J172" s="1">
        <v>0.15229885057471265</v>
      </c>
    </row>
    <row r="173" spans="2:10" x14ac:dyDescent="0.25">
      <c r="F173" s="1">
        <v>21</v>
      </c>
      <c r="G173" s="1">
        <v>1</v>
      </c>
      <c r="H173" s="1" t="b">
        <v>0</v>
      </c>
      <c r="I173" s="1">
        <v>0.27272727272727271</v>
      </c>
      <c r="J173" s="1">
        <v>0.72727272727272729</v>
      </c>
    </row>
    <row r="174" spans="2:10" x14ac:dyDescent="0.25">
      <c r="F174" s="1">
        <v>22</v>
      </c>
      <c r="G174" s="1">
        <v>0</v>
      </c>
      <c r="H174" s="1" t="b">
        <v>0</v>
      </c>
      <c r="I174" s="1">
        <v>0.68</v>
      </c>
      <c r="J174" s="1">
        <v>0.32</v>
      </c>
    </row>
    <row r="175" spans="2:10" x14ac:dyDescent="0.25">
      <c r="F175" s="1">
        <v>23</v>
      </c>
      <c r="G175" s="1">
        <v>0</v>
      </c>
      <c r="H175" s="1" t="b">
        <v>0</v>
      </c>
      <c r="I175" s="1">
        <v>0.625</v>
      </c>
      <c r="J175" s="1">
        <v>0.375</v>
      </c>
    </row>
    <row r="176" spans="2:10" x14ac:dyDescent="0.25">
      <c r="F176" s="1">
        <v>24</v>
      </c>
      <c r="G176" s="1">
        <v>1</v>
      </c>
      <c r="H176" s="1" t="b">
        <v>1</v>
      </c>
      <c r="I176" s="1">
        <v>0.36666666666666664</v>
      </c>
      <c r="J176" s="1">
        <v>0.6333333333333333</v>
      </c>
    </row>
    <row r="177" spans="6:10" x14ac:dyDescent="0.25">
      <c r="F177" s="1">
        <v>25</v>
      </c>
      <c r="G177" s="1">
        <v>0</v>
      </c>
      <c r="H177" s="1" t="b">
        <v>0</v>
      </c>
      <c r="I177" s="1">
        <v>0.9810526315789474</v>
      </c>
      <c r="J177" s="1">
        <v>1.8947368421052633E-2</v>
      </c>
    </row>
    <row r="178" spans="6:10" x14ac:dyDescent="0.25">
      <c r="F178" s="1">
        <v>26</v>
      </c>
      <c r="G178" s="1">
        <v>1</v>
      </c>
      <c r="H178" s="1" t="b">
        <v>0</v>
      </c>
      <c r="I178" s="1">
        <v>0.16666666666666666</v>
      </c>
      <c r="J178" s="1">
        <v>0.83333333333333337</v>
      </c>
    </row>
    <row r="179" spans="6:10" x14ac:dyDescent="0.25">
      <c r="F179" s="1">
        <v>27</v>
      </c>
      <c r="G179" s="1">
        <v>1</v>
      </c>
      <c r="H179" s="1" t="b">
        <v>0</v>
      </c>
      <c r="I179" s="1">
        <v>0.31818181818181818</v>
      </c>
      <c r="J179" s="1">
        <v>0.68181818181818177</v>
      </c>
    </row>
    <row r="180" spans="6:10" x14ac:dyDescent="0.25">
      <c r="F180" s="1">
        <v>28</v>
      </c>
      <c r="G180" s="1">
        <v>0</v>
      </c>
      <c r="H180" s="1" t="b">
        <v>1</v>
      </c>
      <c r="I180" s="1">
        <v>0.8834355828220859</v>
      </c>
      <c r="J180" s="1">
        <v>0.1165644171779141</v>
      </c>
    </row>
    <row r="181" spans="6:10" x14ac:dyDescent="0.25">
      <c r="F181" s="1">
        <v>29</v>
      </c>
      <c r="G181" s="1">
        <v>1</v>
      </c>
      <c r="H181" s="1" t="b">
        <v>0</v>
      </c>
      <c r="I181" s="1">
        <v>0</v>
      </c>
      <c r="J181" s="1">
        <v>1</v>
      </c>
    </row>
    <row r="182" spans="6:10" x14ac:dyDescent="0.25">
      <c r="F182" s="1">
        <v>30</v>
      </c>
      <c r="G182" s="1">
        <v>1</v>
      </c>
      <c r="H182" s="1" t="b">
        <v>1</v>
      </c>
      <c r="I182" s="1">
        <v>0.42307692307692307</v>
      </c>
      <c r="J182" s="1">
        <v>0.57692307692307687</v>
      </c>
    </row>
    <row r="183" spans="6:10" x14ac:dyDescent="0.25">
      <c r="F183" s="1">
        <v>31</v>
      </c>
      <c r="G183" s="1">
        <v>0</v>
      </c>
      <c r="H183" s="1" t="b">
        <v>1</v>
      </c>
      <c r="I183" s="1">
        <v>0.91512915129151295</v>
      </c>
      <c r="J183" s="1">
        <v>8.4870848708487087E-2</v>
      </c>
    </row>
    <row r="184" spans="6:10" x14ac:dyDescent="0.25">
      <c r="F184" s="1">
        <v>32</v>
      </c>
      <c r="G184" s="1">
        <v>0</v>
      </c>
      <c r="H184" s="1" t="b">
        <v>1</v>
      </c>
      <c r="I184" s="1">
        <v>0.72727272727272729</v>
      </c>
      <c r="J184" s="1">
        <v>0.27272727272727271</v>
      </c>
    </row>
    <row r="185" spans="6:10" x14ac:dyDescent="0.25">
      <c r="F185" s="1">
        <v>33</v>
      </c>
      <c r="G185" s="1">
        <v>0</v>
      </c>
      <c r="H185" s="1" t="b">
        <v>0</v>
      </c>
      <c r="I185" s="1">
        <v>1</v>
      </c>
      <c r="J185" s="1">
        <v>0</v>
      </c>
    </row>
    <row r="186" spans="6:10" x14ac:dyDescent="0.25">
      <c r="F186" s="1">
        <v>34</v>
      </c>
      <c r="G186" s="1">
        <v>1</v>
      </c>
      <c r="H186" s="1" t="b">
        <v>1</v>
      </c>
      <c r="I186" s="1">
        <v>0.38775510204081631</v>
      </c>
      <c r="J186" s="1">
        <v>0.61224489795918369</v>
      </c>
    </row>
    <row r="187" spans="6:10" x14ac:dyDescent="0.25">
      <c r="F187" s="1">
        <v>35</v>
      </c>
      <c r="G187" s="1">
        <v>0</v>
      </c>
      <c r="H187" s="1" t="b">
        <v>1</v>
      </c>
      <c r="I187" s="1">
        <v>0.8</v>
      </c>
      <c r="J187" s="1">
        <v>0.2</v>
      </c>
    </row>
    <row r="188" spans="6:10" x14ac:dyDescent="0.25">
      <c r="F188" s="1">
        <v>36</v>
      </c>
      <c r="G188" s="1">
        <v>0</v>
      </c>
      <c r="H188" s="1" t="b">
        <v>0</v>
      </c>
      <c r="I188" s="1">
        <v>1</v>
      </c>
      <c r="J188" s="1">
        <v>0</v>
      </c>
    </row>
    <row r="189" spans="6:10" x14ac:dyDescent="0.25">
      <c r="F189" s="1">
        <v>37</v>
      </c>
      <c r="G189" s="1">
        <v>1</v>
      </c>
      <c r="H189" s="1" t="b">
        <v>0</v>
      </c>
      <c r="I189" s="1">
        <v>0.30769230769230771</v>
      </c>
      <c r="J189" s="1">
        <v>0.69230769230769229</v>
      </c>
    </row>
    <row r="190" spans="6:10" x14ac:dyDescent="0.25">
      <c r="F190" s="1">
        <v>38</v>
      </c>
      <c r="G190" s="1">
        <v>0</v>
      </c>
      <c r="H190" s="1" t="b">
        <v>0</v>
      </c>
      <c r="I190" s="1">
        <v>0.8571428571428571</v>
      </c>
      <c r="J190" s="1">
        <v>0.14285714285714285</v>
      </c>
    </row>
    <row r="191" spans="6:10" x14ac:dyDescent="0.25">
      <c r="F191" s="1">
        <v>39</v>
      </c>
      <c r="G191" s="1">
        <v>1</v>
      </c>
      <c r="H191" s="1" t="b">
        <v>1</v>
      </c>
      <c r="I191" s="1">
        <v>0.47058823529411764</v>
      </c>
      <c r="J191" s="1">
        <v>0.52941176470588236</v>
      </c>
    </row>
    <row r="192" spans="6:10" x14ac:dyDescent="0.25">
      <c r="F192" s="1">
        <v>40</v>
      </c>
      <c r="G192" s="1">
        <v>1</v>
      </c>
      <c r="H192" s="1" t="b">
        <v>0</v>
      </c>
      <c r="I192" s="1">
        <v>0.2</v>
      </c>
      <c r="J192" s="1">
        <v>0.8</v>
      </c>
    </row>
    <row r="193" spans="6:12" x14ac:dyDescent="0.25">
      <c r="F193" s="1">
        <v>41</v>
      </c>
      <c r="G193" s="1">
        <v>0</v>
      </c>
      <c r="H193" s="1" t="b">
        <v>0</v>
      </c>
      <c r="I193" s="1">
        <v>0.96666666666666667</v>
      </c>
      <c r="J193" s="1">
        <v>3.3333333333333333E-2</v>
      </c>
    </row>
    <row r="194" spans="6:12" x14ac:dyDescent="0.25">
      <c r="F194" s="1">
        <v>42</v>
      </c>
      <c r="G194" s="1">
        <v>1</v>
      </c>
      <c r="H194" s="1" t="b">
        <v>0</v>
      </c>
      <c r="I194" s="1">
        <v>0.2</v>
      </c>
      <c r="J194" s="1">
        <v>0.8</v>
      </c>
    </row>
    <row r="195" spans="6:12" x14ac:dyDescent="0.25">
      <c r="F195" s="1">
        <v>43</v>
      </c>
      <c r="G195" s="1">
        <v>1</v>
      </c>
      <c r="H195" s="1" t="b">
        <v>1</v>
      </c>
      <c r="I195" s="1">
        <v>0.4375</v>
      </c>
      <c r="J195" s="1">
        <v>0.5625</v>
      </c>
    </row>
    <row r="196" spans="6:12" x14ac:dyDescent="0.25">
      <c r="F196" s="1">
        <v>44</v>
      </c>
      <c r="G196" s="1">
        <v>0</v>
      </c>
      <c r="H196" s="1" t="b">
        <v>0</v>
      </c>
      <c r="I196" s="1">
        <v>1</v>
      </c>
      <c r="J196" s="1">
        <v>0</v>
      </c>
    </row>
    <row r="197" spans="6:12" x14ac:dyDescent="0.25">
      <c r="F197" s="1">
        <v>45</v>
      </c>
      <c r="G197" s="1">
        <v>1</v>
      </c>
      <c r="H197" s="1" t="b">
        <v>0</v>
      </c>
      <c r="I197" s="1">
        <v>0.36</v>
      </c>
      <c r="J197" s="1">
        <v>0.64</v>
      </c>
    </row>
    <row r="198" spans="6:12" x14ac:dyDescent="0.25">
      <c r="F198" s="1">
        <v>46</v>
      </c>
      <c r="G198" s="1">
        <v>0</v>
      </c>
      <c r="H198" s="1" t="b">
        <v>0</v>
      </c>
      <c r="I198" s="1">
        <v>0.7142857142857143</v>
      </c>
      <c r="J198" s="1">
        <v>0.2857142857142857</v>
      </c>
    </row>
    <row r="201" spans="6:12" x14ac:dyDescent="0.25">
      <c r="F201" s="2" t="s">
        <v>27</v>
      </c>
      <c r="G201" s="2" t="s">
        <v>51</v>
      </c>
      <c r="H201" s="2" t="s">
        <v>52</v>
      </c>
      <c r="I201" s="2" t="s">
        <v>53</v>
      </c>
      <c r="J201" s="2" t="s">
        <v>54</v>
      </c>
      <c r="K201" s="2" t="s">
        <v>55</v>
      </c>
      <c r="L201" s="2" t="s">
        <v>56</v>
      </c>
    </row>
    <row r="202" spans="6:12" x14ac:dyDescent="0.25">
      <c r="F202" s="1">
        <v>0</v>
      </c>
      <c r="G202" s="1" t="s">
        <v>5</v>
      </c>
      <c r="H202" s="1">
        <v>5</v>
      </c>
      <c r="I202" s="1">
        <v>0.5</v>
      </c>
      <c r="J202" s="1" t="s">
        <v>57</v>
      </c>
      <c r="K202" s="1">
        <v>1</v>
      </c>
      <c r="L202" s="1">
        <v>2</v>
      </c>
    </row>
    <row r="203" spans="6:12" x14ac:dyDescent="0.25">
      <c r="F203" s="1">
        <v>1</v>
      </c>
      <c r="G203" s="1" t="s">
        <v>0</v>
      </c>
      <c r="H203" s="1">
        <v>0</v>
      </c>
      <c r="I203" s="1">
        <v>73.5</v>
      </c>
      <c r="J203" s="1" t="s">
        <v>57</v>
      </c>
      <c r="K203" s="1">
        <v>3</v>
      </c>
      <c r="L203" s="1">
        <v>4</v>
      </c>
    </row>
    <row r="204" spans="6:12" x14ac:dyDescent="0.25">
      <c r="F204" s="1">
        <v>3</v>
      </c>
      <c r="G204" s="1" t="s">
        <v>2</v>
      </c>
      <c r="H204" s="1">
        <v>2</v>
      </c>
      <c r="I204" s="1">
        <v>45.5</v>
      </c>
      <c r="J204" s="1" t="s">
        <v>57</v>
      </c>
      <c r="K204" s="1">
        <v>5</v>
      </c>
      <c r="L204" s="1">
        <v>6</v>
      </c>
    </row>
    <row r="205" spans="6:12" x14ac:dyDescent="0.25">
      <c r="F205" s="1">
        <v>4</v>
      </c>
      <c r="G205" s="1" t="s">
        <v>0</v>
      </c>
      <c r="H205" s="1">
        <v>0</v>
      </c>
      <c r="I205" s="1">
        <v>74.5</v>
      </c>
      <c r="J205" s="1" t="s">
        <v>57</v>
      </c>
      <c r="K205" s="1">
        <v>7</v>
      </c>
      <c r="L205" s="1">
        <v>8</v>
      </c>
    </row>
    <row r="206" spans="6:12" x14ac:dyDescent="0.25">
      <c r="F206" s="1">
        <v>5</v>
      </c>
      <c r="G206" s="1" t="s">
        <v>0</v>
      </c>
      <c r="H206" s="1">
        <v>0</v>
      </c>
      <c r="I206" s="1">
        <v>53.5</v>
      </c>
      <c r="J206" s="1" t="s">
        <v>57</v>
      </c>
      <c r="K206" s="1">
        <v>9</v>
      </c>
      <c r="L206" s="1">
        <v>10</v>
      </c>
    </row>
    <row r="207" spans="6:12" x14ac:dyDescent="0.25">
      <c r="F207" s="1">
        <v>8</v>
      </c>
      <c r="G207" s="1" t="s">
        <v>0</v>
      </c>
      <c r="H207" s="1">
        <v>0</v>
      </c>
      <c r="I207" s="1">
        <v>79.5</v>
      </c>
      <c r="J207" s="1" t="s">
        <v>57</v>
      </c>
      <c r="K207" s="1">
        <v>11</v>
      </c>
      <c r="L207" s="1">
        <v>12</v>
      </c>
    </row>
    <row r="208" spans="6:12" x14ac:dyDescent="0.25">
      <c r="F208" s="1">
        <v>9</v>
      </c>
      <c r="G208" s="1" t="s">
        <v>0</v>
      </c>
      <c r="H208" s="1">
        <v>0</v>
      </c>
      <c r="I208" s="1">
        <v>52.5</v>
      </c>
      <c r="J208" s="1" t="s">
        <v>57</v>
      </c>
      <c r="K208" s="1">
        <v>13</v>
      </c>
      <c r="L208" s="1">
        <v>14</v>
      </c>
    </row>
    <row r="209" spans="6:12" x14ac:dyDescent="0.25">
      <c r="F209" s="1">
        <v>11</v>
      </c>
      <c r="G209" s="1" t="s">
        <v>0</v>
      </c>
      <c r="H209" s="1">
        <v>0</v>
      </c>
      <c r="I209" s="1">
        <v>75.5</v>
      </c>
      <c r="J209" s="1" t="s">
        <v>57</v>
      </c>
      <c r="K209" s="1">
        <v>15</v>
      </c>
      <c r="L209" s="1">
        <v>16</v>
      </c>
    </row>
    <row r="210" spans="6:12" x14ac:dyDescent="0.25">
      <c r="F210" s="1">
        <v>12</v>
      </c>
      <c r="G210" s="1" t="s">
        <v>6</v>
      </c>
      <c r="H210" s="1">
        <v>6</v>
      </c>
      <c r="I210" s="1">
        <v>12715.5</v>
      </c>
      <c r="J210" s="1" t="s">
        <v>57</v>
      </c>
      <c r="K210" s="1">
        <v>17</v>
      </c>
      <c r="L210" s="1">
        <v>18</v>
      </c>
    </row>
    <row r="211" spans="6:12" x14ac:dyDescent="0.25">
      <c r="F211" s="1">
        <v>13</v>
      </c>
      <c r="G211" s="1" t="s">
        <v>0</v>
      </c>
      <c r="H211" s="1">
        <v>0</v>
      </c>
      <c r="I211" s="1">
        <v>27.5</v>
      </c>
      <c r="J211" s="1" t="s">
        <v>57</v>
      </c>
      <c r="K211" s="1">
        <v>19</v>
      </c>
      <c r="L211" s="1">
        <v>20</v>
      </c>
    </row>
    <row r="212" spans="6:12" x14ac:dyDescent="0.25">
      <c r="F212" s="1">
        <v>17</v>
      </c>
      <c r="G212" s="1" t="s">
        <v>6</v>
      </c>
      <c r="H212" s="1">
        <v>6</v>
      </c>
      <c r="I212" s="1">
        <v>6145.5</v>
      </c>
      <c r="J212" s="1" t="s">
        <v>57</v>
      </c>
      <c r="K212" s="1">
        <v>21</v>
      </c>
      <c r="L212" s="1">
        <v>22</v>
      </c>
    </row>
    <row r="213" spans="6:12" x14ac:dyDescent="0.25">
      <c r="F213" s="1">
        <v>18</v>
      </c>
      <c r="G213" s="1" t="s">
        <v>3</v>
      </c>
      <c r="H213" s="1">
        <v>3</v>
      </c>
      <c r="I213" s="1">
        <v>3.5</v>
      </c>
      <c r="J213" s="1" t="s">
        <v>57</v>
      </c>
      <c r="K213" s="1">
        <v>23</v>
      </c>
      <c r="L213" s="1">
        <v>24</v>
      </c>
    </row>
    <row r="214" spans="6:12" x14ac:dyDescent="0.25">
      <c r="F214" s="1">
        <v>19</v>
      </c>
      <c r="G214" s="1" t="s">
        <v>6</v>
      </c>
      <c r="H214" s="1">
        <v>6</v>
      </c>
      <c r="I214" s="1">
        <v>36388</v>
      </c>
      <c r="J214" s="1" t="s">
        <v>57</v>
      </c>
      <c r="K214" s="1">
        <v>25</v>
      </c>
      <c r="L214" s="1">
        <v>26</v>
      </c>
    </row>
    <row r="215" spans="6:12" x14ac:dyDescent="0.25">
      <c r="F215" s="1">
        <v>20</v>
      </c>
      <c r="G215" s="1" t="s">
        <v>0</v>
      </c>
      <c r="H215" s="1">
        <v>0</v>
      </c>
      <c r="I215" s="1">
        <v>28.5</v>
      </c>
      <c r="J215" s="1" t="s">
        <v>57</v>
      </c>
      <c r="K215" s="1">
        <v>27</v>
      </c>
      <c r="L215" s="1">
        <v>28</v>
      </c>
    </row>
    <row r="216" spans="6:12" x14ac:dyDescent="0.25">
      <c r="F216" s="1">
        <v>24</v>
      </c>
      <c r="G216" s="1" t="s">
        <v>6</v>
      </c>
      <c r="H216" s="1">
        <v>6</v>
      </c>
      <c r="I216" s="1">
        <v>14127.5</v>
      </c>
      <c r="J216" s="1" t="s">
        <v>57</v>
      </c>
      <c r="K216" s="1">
        <v>29</v>
      </c>
      <c r="L216" s="1">
        <v>30</v>
      </c>
    </row>
    <row r="217" spans="6:12" x14ac:dyDescent="0.25">
      <c r="F217" s="1">
        <v>28</v>
      </c>
      <c r="G217" s="1" t="s">
        <v>0</v>
      </c>
      <c r="H217" s="1">
        <v>0</v>
      </c>
      <c r="I217" s="1">
        <v>49.5</v>
      </c>
      <c r="J217" s="1" t="s">
        <v>57</v>
      </c>
      <c r="K217" s="1">
        <v>31</v>
      </c>
      <c r="L217" s="1">
        <v>32</v>
      </c>
    </row>
    <row r="218" spans="6:12" x14ac:dyDescent="0.25">
      <c r="F218" s="1">
        <v>30</v>
      </c>
      <c r="G218" s="1" t="s">
        <v>6</v>
      </c>
      <c r="H218" s="1">
        <v>6</v>
      </c>
      <c r="I218" s="1">
        <v>14423</v>
      </c>
      <c r="J218" s="1" t="s">
        <v>57</v>
      </c>
      <c r="K218" s="1">
        <v>33</v>
      </c>
      <c r="L218" s="1">
        <v>34</v>
      </c>
    </row>
    <row r="219" spans="6:12" x14ac:dyDescent="0.25">
      <c r="F219" s="1">
        <v>31</v>
      </c>
      <c r="G219" s="1" t="s">
        <v>0</v>
      </c>
      <c r="H219" s="1">
        <v>0</v>
      </c>
      <c r="I219" s="1">
        <v>37.5</v>
      </c>
      <c r="J219" s="1" t="s">
        <v>57</v>
      </c>
      <c r="K219" s="1">
        <v>35</v>
      </c>
      <c r="L219" s="1">
        <v>36</v>
      </c>
    </row>
    <row r="220" spans="6:12" x14ac:dyDescent="0.25">
      <c r="F220" s="1">
        <v>32</v>
      </c>
      <c r="G220" s="1" t="s">
        <v>0</v>
      </c>
      <c r="H220" s="1">
        <v>0</v>
      </c>
      <c r="I220" s="1">
        <v>50.5</v>
      </c>
      <c r="J220" s="1" t="s">
        <v>57</v>
      </c>
      <c r="K220" s="1">
        <v>37</v>
      </c>
      <c r="L220" s="1">
        <v>38</v>
      </c>
    </row>
    <row r="221" spans="6:12" x14ac:dyDescent="0.25">
      <c r="F221" s="1">
        <v>34</v>
      </c>
      <c r="G221" s="1" t="s">
        <v>2</v>
      </c>
      <c r="H221" s="1">
        <v>2</v>
      </c>
      <c r="I221" s="1">
        <v>8.5</v>
      </c>
      <c r="J221" s="1" t="s">
        <v>57</v>
      </c>
      <c r="K221" s="1">
        <v>39</v>
      </c>
      <c r="L221" s="1">
        <v>40</v>
      </c>
    </row>
    <row r="222" spans="6:12" x14ac:dyDescent="0.25">
      <c r="F222" s="1">
        <v>35</v>
      </c>
      <c r="G222" s="1" t="s">
        <v>0</v>
      </c>
      <c r="H222" s="1">
        <v>0</v>
      </c>
      <c r="I222" s="1">
        <v>35.5</v>
      </c>
      <c r="J222" s="1" t="s">
        <v>57</v>
      </c>
      <c r="K222" s="1">
        <v>41</v>
      </c>
      <c r="L222" s="1">
        <v>42</v>
      </c>
    </row>
    <row r="223" spans="6:12" x14ac:dyDescent="0.25">
      <c r="F223" s="1">
        <v>39</v>
      </c>
      <c r="G223" s="1" t="s">
        <v>0</v>
      </c>
      <c r="H223" s="1">
        <v>0</v>
      </c>
      <c r="I223" s="1">
        <v>89.5</v>
      </c>
      <c r="J223" s="1" t="s">
        <v>57</v>
      </c>
      <c r="K223" s="1">
        <v>43</v>
      </c>
      <c r="L223" s="1">
        <v>44</v>
      </c>
    </row>
    <row r="224" spans="6:12" x14ac:dyDescent="0.25">
      <c r="F224" s="1">
        <v>43</v>
      </c>
      <c r="G224" s="1" t="s">
        <v>6</v>
      </c>
      <c r="H224" s="1">
        <v>6</v>
      </c>
      <c r="I224" s="1">
        <v>26526</v>
      </c>
      <c r="J224" s="1" t="s">
        <v>57</v>
      </c>
      <c r="K224" s="1">
        <v>45</v>
      </c>
      <c r="L224" s="1">
        <v>46</v>
      </c>
    </row>
    <row r="227" spans="6:15" x14ac:dyDescent="0.25">
      <c r="F227" s="3" t="s">
        <v>41</v>
      </c>
      <c r="G227" s="1" t="s">
        <v>0</v>
      </c>
      <c r="H227" s="1" t="s">
        <v>1</v>
      </c>
      <c r="I227" s="1" t="s">
        <v>2</v>
      </c>
      <c r="J227" s="1" t="s">
        <v>3</v>
      </c>
      <c r="K227" s="1" t="s">
        <v>4</v>
      </c>
      <c r="L227" s="1" t="s">
        <v>5</v>
      </c>
      <c r="M227" s="1" t="s">
        <v>6</v>
      </c>
      <c r="N227" s="1" t="s">
        <v>7</v>
      </c>
      <c r="O227" s="1" t="s">
        <v>8</v>
      </c>
    </row>
    <row r="228" spans="6:15" x14ac:dyDescent="0.25">
      <c r="F228" s="3" t="s">
        <v>58</v>
      </c>
      <c r="G228" s="1" t="s">
        <v>59</v>
      </c>
      <c r="H228" s="1" t="s">
        <v>59</v>
      </c>
      <c r="I228" s="1" t="s">
        <v>59</v>
      </c>
      <c r="J228" s="1" t="s">
        <v>59</v>
      </c>
      <c r="K228" s="1" t="s">
        <v>59</v>
      </c>
      <c r="L228" s="1" t="s">
        <v>59</v>
      </c>
      <c r="M228" s="1" t="s">
        <v>59</v>
      </c>
      <c r="N228" s="1" t="s">
        <v>59</v>
      </c>
      <c r="O228" s="1" t="s">
        <v>60</v>
      </c>
    </row>
    <row r="229" spans="6:15" x14ac:dyDescent="0.25">
      <c r="F229" s="3" t="s">
        <v>61</v>
      </c>
      <c r="G229" s="1">
        <v>0</v>
      </c>
      <c r="H229" s="1">
        <v>1</v>
      </c>
      <c r="I229" s="1">
        <v>2</v>
      </c>
      <c r="J229" s="1">
        <v>3</v>
      </c>
      <c r="K229" s="1">
        <v>4</v>
      </c>
      <c r="L229" s="1">
        <v>5</v>
      </c>
      <c r="M229" s="1">
        <v>6</v>
      </c>
      <c r="N229" s="1">
        <v>7</v>
      </c>
      <c r="O229" s="1">
        <v>8</v>
      </c>
    </row>
    <row r="230" spans="6:15" x14ac:dyDescent="0.25">
      <c r="F230" s="3" t="s">
        <v>62</v>
      </c>
      <c r="G230" s="1">
        <v>0</v>
      </c>
      <c r="H230" s="1">
        <v>1</v>
      </c>
      <c r="I230" s="1">
        <v>2</v>
      </c>
      <c r="J230" s="1">
        <v>3</v>
      </c>
      <c r="K230" s="1">
        <v>4</v>
      </c>
      <c r="L230" s="1">
        <v>5</v>
      </c>
      <c r="M230" s="1">
        <v>6</v>
      </c>
      <c r="N230" s="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Sheet1</vt:lpstr>
      <vt:lpstr>CT_Output</vt:lpstr>
      <vt:lpstr>CT_TrainingScore</vt:lpstr>
      <vt:lpstr>CT_ValidationScore</vt:lpstr>
      <vt:lpstr>CT_PruneLog</vt:lpstr>
      <vt:lpstr>CT_PruneTree</vt:lpstr>
      <vt:lpstr>CT_FullTree</vt:lpstr>
      <vt:lpstr>CT_TrainingLiftChart</vt:lpstr>
      <vt:lpstr>CT_ValidationLiftChart</vt:lpstr>
      <vt:lpstr>CT_Stored</vt:lpstr>
    </vt:vector>
  </TitlesOfParts>
  <Company>Georgia State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cuongish</cp:lastModifiedBy>
  <dcterms:created xsi:type="dcterms:W3CDTF">2017-02-28T22:26:05Z</dcterms:created>
  <dcterms:modified xsi:type="dcterms:W3CDTF">2017-05-26T08:55:18Z</dcterms:modified>
</cp:coreProperties>
</file>
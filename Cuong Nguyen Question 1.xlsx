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24000" windowHeight="9510"/>
  </bookViews>
  <sheets>
    <sheet name="Sheet1" sheetId="1" r:id="rId1"/>
  </sheets>
  <definedNames>
    <definedName name="solver_typ" localSheetId="0" hidden="1">2</definedName>
    <definedName name="solver_ver" localSheetId="0" hidden="1">16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M12" i="1" l="1"/>
  <c r="K12" i="1"/>
  <c r="M10" i="1"/>
  <c r="K10" i="1"/>
  <c r="K11" i="1"/>
  <c r="L11" i="1"/>
  <c r="M11" i="1" s="1"/>
  <c r="L10" i="1"/>
  <c r="L7" i="1"/>
  <c r="L6" i="1"/>
</calcChain>
</file>

<file path=xl/sharedStrings.xml><?xml version="1.0" encoding="utf-8"?>
<sst xmlns="http://schemas.openxmlformats.org/spreadsheetml/2006/main" count="16" uniqueCount="16">
  <si>
    <t>Confusion Matrix</t>
  </si>
  <si>
    <t>Predicted Class</t>
  </si>
  <si>
    <t>Actual Class</t>
  </si>
  <si>
    <t>Error Report</t>
  </si>
  <si>
    <t>Class</t>
  </si>
  <si>
    <t># Cases</t>
  </si>
  <si>
    <t># Errors</t>
  </si>
  <si>
    <t>% Error</t>
  </si>
  <si>
    <t>Overall</t>
  </si>
  <si>
    <t>Performance</t>
  </si>
  <si>
    <t>Success Class</t>
  </si>
  <si>
    <t>Precision</t>
  </si>
  <si>
    <t>Recall (Sensitivity)</t>
  </si>
  <si>
    <t>Specificity</t>
  </si>
  <si>
    <t>F1-Score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</si>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</sst>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165" fontId="3" fillId="2" borderId="3" xfId="1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applyFill="1"/>
    <xf numFmtId="0" fontId="4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0" fillId="0" borderId="4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P19"/>
  <sheetViews>
    <sheetView tabSelected="1" topLeftCell="G1" workbookViewId="0">
      <selection activeCell="N5" sqref="N5"/>
    </sheetView>
  </sheetViews>
  <sheetFormatPr defaultRowHeight="15" x14ac:dyDescent="0.25"/>
  <cols>
    <col min="10" max="10" width="10" bestFit="1" customWidth="1"/>
    <col min="11" max="11" width="9.28515625" bestFit="1" customWidth="1"/>
    <col min="12" max="12" width="9.7109375" customWidth="1"/>
    <col min="13" max="13" width="11.5703125" bestFit="1" customWidth="1"/>
  </cols>
  <sheetData>
    <row r="3" spans="10:16" ht="15.75" x14ac:dyDescent="0.25">
      <c r="J3" s="12" t="s">
        <v>0</v>
      </c>
      <c r="K3" s="12"/>
      <c r="L3" s="12"/>
      <c r="M3" s="9"/>
    </row>
    <row r="4" spans="10:16" x14ac:dyDescent="0.25">
      <c r="J4" s="13"/>
      <c r="K4" s="14" t="s">
        <v>1</v>
      </c>
      <c r="L4" s="14"/>
      <c r="M4" s="9"/>
      <c r="N4" s="15" t="s">
        <v>15</v>
      </c>
    </row>
    <row r="5" spans="10:16" ht="26.25" x14ac:dyDescent="0.25">
      <c r="J5" s="11" t="s">
        <v>2</v>
      </c>
      <c r="K5" s="11">
        <v>1</v>
      </c>
      <c r="L5" s="11">
        <v>0</v>
      </c>
      <c r="M5" s="9"/>
      <c r="N5" s="15">
        <v>4800</v>
      </c>
    </row>
    <row r="6" spans="10:16" ht="15.75" x14ac:dyDescent="0.25">
      <c r="J6" s="6">
        <v>1</v>
      </c>
      <c r="K6" s="2">
        <v>922</v>
      </c>
      <c r="L6" s="2">
        <f>N6-K6</f>
        <v>166</v>
      </c>
      <c r="M6" s="9"/>
      <c r="N6" s="15">
        <v>1088</v>
      </c>
      <c r="O6" s="1"/>
    </row>
    <row r="7" spans="10:16" ht="15.75" x14ac:dyDescent="0.25">
      <c r="J7" s="6">
        <v>0</v>
      </c>
      <c r="K7" s="2">
        <v>232</v>
      </c>
      <c r="L7" s="2">
        <f>N7-K7</f>
        <v>3480</v>
      </c>
      <c r="M7" s="9"/>
      <c r="N7" s="15">
        <v>3712</v>
      </c>
      <c r="O7" s="1"/>
      <c r="P7" s="1"/>
    </row>
    <row r="8" spans="10:16" ht="15.75" x14ac:dyDescent="0.25">
      <c r="J8" s="7" t="s">
        <v>3</v>
      </c>
      <c r="K8" s="8"/>
      <c r="L8" s="8"/>
      <c r="M8" s="8"/>
    </row>
    <row r="9" spans="10:16" x14ac:dyDescent="0.25">
      <c r="J9" s="6" t="s">
        <v>4</v>
      </c>
      <c r="K9" s="6" t="s">
        <v>5</v>
      </c>
      <c r="L9" s="6" t="s">
        <v>6</v>
      </c>
      <c r="M9" s="6" t="s">
        <v>7</v>
      </c>
    </row>
    <row r="10" spans="10:16" x14ac:dyDescent="0.25">
      <c r="J10" s="6">
        <v>1</v>
      </c>
      <c r="K10" s="2">
        <f>N6</f>
        <v>1088</v>
      </c>
      <c r="L10" s="2">
        <f>L6</f>
        <v>166</v>
      </c>
      <c r="M10" s="3">
        <f>L10/K10</f>
        <v>0.15257352941176472</v>
      </c>
    </row>
    <row r="11" spans="10:16" x14ac:dyDescent="0.25">
      <c r="J11" s="6">
        <v>0</v>
      </c>
      <c r="K11" s="2">
        <f>N7</f>
        <v>3712</v>
      </c>
      <c r="L11" s="2">
        <f>K7</f>
        <v>232</v>
      </c>
      <c r="M11" s="3">
        <f>L11/K11</f>
        <v>6.25E-2</v>
      </c>
    </row>
    <row r="12" spans="10:16" x14ac:dyDescent="0.25">
      <c r="J12" s="6" t="s">
        <v>8</v>
      </c>
      <c r="K12" s="2">
        <f>N5</f>
        <v>4800</v>
      </c>
      <c r="L12" s="2">
        <v>276</v>
      </c>
      <c r="M12" s="3">
        <f>L12/K12</f>
        <v>5.7500000000000002E-2</v>
      </c>
    </row>
    <row r="13" spans="10:16" ht="15.75" x14ac:dyDescent="0.25">
      <c r="J13" s="7" t="s">
        <v>9</v>
      </c>
      <c r="K13" s="8"/>
      <c r="L13" s="8"/>
      <c r="M13" s="9"/>
    </row>
    <row r="14" spans="10:16" x14ac:dyDescent="0.25">
      <c r="J14" s="4" t="s">
        <v>10</v>
      </c>
      <c r="K14" s="5"/>
      <c r="L14" s="2">
        <v>1</v>
      </c>
      <c r="M14" s="9"/>
    </row>
    <row r="15" spans="10:16" x14ac:dyDescent="0.25">
      <c r="J15" s="4" t="s">
        <v>11</v>
      </c>
      <c r="K15" s="5"/>
      <c r="L15" s="2">
        <f>K6/(K6+K7)</f>
        <v>0.79896013864818027</v>
      </c>
      <c r="M15" s="9"/>
    </row>
    <row r="16" spans="10:16" x14ac:dyDescent="0.25">
      <c r="J16" s="4" t="s">
        <v>12</v>
      </c>
      <c r="K16" s="5"/>
      <c r="L16" s="2">
        <f>K6/($K$6+$L$6)</f>
        <v>0.84742647058823528</v>
      </c>
      <c r="M16" s="9"/>
    </row>
    <row r="17" spans="10:13" x14ac:dyDescent="0.25">
      <c r="J17" s="4" t="s">
        <v>13</v>
      </c>
      <c r="K17" s="5"/>
      <c r="L17" s="2">
        <f>L7/($K$7+$L$7)</f>
        <v>0.9375</v>
      </c>
      <c r="M17" s="9"/>
    </row>
    <row r="18" spans="10:13" x14ac:dyDescent="0.25">
      <c r="J18" s="4" t="s">
        <v>14</v>
      </c>
      <c r="K18" s="5"/>
      <c r="L18" s="2">
        <f>2*$L$15*$L$16/($L$15+$L$16)</f>
        <v>0.82247992863514718</v>
      </c>
      <c r="M18" s="9"/>
    </row>
    <row r="19" spans="10:13" x14ac:dyDescent="0.25">
      <c r="J19" s="10"/>
      <c r="K19" s="10"/>
      <c r="L19" s="10"/>
      <c r="M19" s="10"/>
    </row>
  </sheetData>
  <mergeCells count="9">
    <mergeCell ref="J16:K16"/>
    <mergeCell ref="J17:K17"/>
    <mergeCell ref="J18:K18"/>
    <mergeCell ref="J3:L3"/>
    <mergeCell ref="K4:L4"/>
    <mergeCell ref="J8:M8"/>
    <mergeCell ref="J13:L13"/>
    <mergeCell ref="J14:K14"/>
    <mergeCell ref="J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cuongish</dc:creator>
  <cp:lastModifiedBy>cuongish</cp:lastModifiedBy>
  <dcterms:created xsi:type="dcterms:W3CDTF">2017-05-26T06:36:00Z</dcterms:created>
  <dcterms:modified xsi:type="dcterms:W3CDTF">2017-05-26T06:58:26Z</dcterms:modified>
</cp:coreProperties>
</file>